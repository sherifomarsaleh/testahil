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Technical" sheetId="5" state="visible" r:id="rId7"/>
    <sheet name="Monte Carlo" sheetId="6" state="visible" r:id="rId8"/>
    <sheet name="Sensitivity" sheetId="7" state="visible" r:id="rId9"/>
    <sheet name="Step 0 Calibration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Reuters poll, 2026 median ~$4,746-$4,916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Provided OHLC, 2026-06-25</t>
        </r>
      </text>
    </comment>
    <comment ref="B6" authorId="0">
      <text>
        <r>
          <rPr>
            <sz val="10"/>
            <rFont val="Arial"/>
            <family val="2"/>
          </rPr>
          <t xml:space="preserve">Step 0: trailing-252d realized; conditional pass (small sample)</t>
        </r>
      </text>
    </comment>
    <comment ref="B9" authorId="0">
      <text>
        <r>
          <rPr>
            <sz val="10"/>
            <rFont val="Arial"/>
            <family val="2"/>
          </rPr>
          <t xml:space="preserve">Reuters 30-analyst 2026 median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why the median sits below the mean</t>
        </r>
      </text>
    </comment>
  </commentList>
</comments>
</file>

<file path=xl/sharedStrings.xml><?xml version="1.0" encoding="utf-8"?>
<sst xmlns="http://schemas.openxmlformats.org/spreadsheetml/2006/main" count="318" uniqueCount="271">
  <si>
    <t xml:space="preserve">READ FIRST — DISCLOSURE &amp; DISCLAIMER · GOLD (XAUUSD) 12-MONTH FORECAST MODEL (EDUCATIONAL)</t>
  </si>
  <si>
    <t xml:space="preserve">NATURE OF THIS WORKBOOK</t>
  </si>
  <si>
    <t xml:space="preserve">An educational valuation model and an expression of the preparer's personal analytical opinion, built only from public information and explicit assumptions, published free to demonstrate methodology. The instrument is a commodity (spot gold, XAUUSD), not a security. This is the 12-MONTH companion to the 1-/3-month study — a longer, materially more uncertain horizon.</t>
  </si>
  <si>
    <t xml:space="preserve">CALIBRATION CAVEAT — CENTRAL</t>
  </si>
  <si>
    <t xml:space="preserve">12-month forecasts are weakly identified: 16.5 years of data contain only ~16 INDEPENDENT year-long windows, so coverage carries ±8–12% error. These numbers are a wide scenario distribution, not a precise forecast.</t>
  </si>
  <si>
    <t xml:space="preserve">MEDIAN vs MEAN</t>
  </si>
  <si>
    <t xml:space="preserve">At σ=27% over a full year the distribution is right-skewed — though far less so than silver's at σ=64% — so the median sits modestly below the mean. Both sit above spot, reflecting the structural bid and expected 2027 easing; the median is mechanically dragged by the −½σ² term. The mean and the fundamental zone are the better central anchors. Both are shown.</t>
  </si>
  <si>
    <t xml:space="preserve">NO ADVICE / NO LICENSED ACTIVITY</t>
  </si>
  <si>
    <t xml:space="preserve">Nothing here is advice, a recommendation, a rating, a price target, an offer or a solicitation. The preparer is not licensed with the FRA, the CFTC, or any securities/commodities regulator, manages no money, and accepts no clients or fees.</t>
  </si>
  <si>
    <t xml:space="preserve">COMMODITY RISK &amp; DATA</t>
  </si>
  <si>
    <t xml:space="preserve">Gold is volatile (it corrected ~29% from a $5,595 all-time high in the months to June 2026). Vendor data are flagged and not guaranteed; the provided price series agrees with other feeds within ~0.01%. All values are uncertain model outputs.</t>
  </si>
  <si>
    <t xml:space="preserve">HOW TO USE</t>
  </si>
  <si>
    <t xml:space="preserve">Blue cells are inputs; black cells are same-sheet formulas. Anchor and technicals are from the attached XAUUSD history (01 Jan 2010 – 25 Jun 2026). Gold has no financials, so the lens is the analyst-consensus forward anchor + central-bank/structural demand + cost floor + real-rate carry (a fair-value ZONE).</t>
  </si>
  <si>
    <t xml:space="preserve">HOLDINGS DISCLOSURE</t>
  </si>
  <si>
    <t xml:space="preserve">The preparer may hold, and may in the future take or dispose of, a position in the instrument discussed in this report.</t>
  </si>
  <si>
    <t xml:space="preserve">GOLD (XAUUSD) — 12-MONTH FORECAST  ·  THREE LENSES</t>
  </si>
  <si>
    <t xml:space="preserve">Fundamental (analyst-consensus anchor + structural demand), technical, and a 50,000-path Monte Carlo at the 12-month horizon. No external target embedded. Calibration is a conditional pass (small sample).</t>
  </si>
  <si>
    <t xml:space="preserve">HEADLINE — 12 MONTHS AHEAD (USD / oz)</t>
  </si>
  <si>
    <t xml:space="preserve">Anchor — spot close (25-Jun-26)</t>
  </si>
  <si>
    <t xml:space="preserve">Monte Carlo MEDIAN (50/50 level)</t>
  </si>
  <si>
    <t xml:space="preserve">above spot; only 40% of paths below spot</t>
  </si>
  <si>
    <t xml:space="preserve">Monte Carlo MEAN</t>
  </si>
  <si>
    <t xml:space="preserve">reflects +12% drift; ≈ consensus centre</t>
  </si>
  <si>
    <t xml:space="preserve">90% band (P5 – P95)</t>
  </si>
  <si>
    <t xml:space="preserve">$2,624 – $7,026</t>
  </si>
  <si>
    <t xml:space="preserve">the irreducible message: vast uncertainty</t>
  </si>
  <si>
    <t xml:space="preserve">Fundamental fair-value zone (consensus-anchored)</t>
  </si>
  <si>
    <t xml:space="preserve">$4,200 – $5,000</t>
  </si>
  <si>
    <t xml:space="preserve">centre ≈ $4,600; the 6–18m magnet</t>
  </si>
  <si>
    <t xml:space="preserve">Pivotal level</t>
  </si>
  <si>
    <t xml:space="preserve">$4,500 zone test</t>
  </si>
  <si>
    <t xml:space="preserve">73% touch prob over 12m</t>
  </si>
  <si>
    <t xml:space="preserve">THREE LENSES — 12 MONTHS</t>
  </si>
  <si>
    <t xml:space="preserve">Lens</t>
  </si>
  <si>
    <t xml:space="preserve">12-month read</t>
  </si>
  <si>
    <t xml:space="preserve">Character</t>
  </si>
  <si>
    <t xml:space="preserve">Fundamental (consensus anchor)</t>
  </si>
  <si>
    <t xml:space="preserve">$4,200–5,000 (≈$4,600)</t>
  </si>
  <si>
    <t xml:space="preserve">medium-term magnet; consensus mean-reversion + structural demand; spot ~5% below floor</t>
  </si>
  <si>
    <t xml:space="preserve">Technical (structure)</t>
  </si>
  <si>
    <t xml:space="preserve">consensus-zone recovery</t>
  </si>
  <si>
    <t xml:space="preserve">oversold near-term; fresh death-cross; structure has flipped</t>
  </si>
  <si>
    <t xml:space="preserve">Monte Carlo</t>
  </si>
  <si>
    <t xml:space="preserve">median $4,295 / mean $4,487 / 90% $2,624–7,026</t>
  </si>
  <si>
    <t xml:space="preserve">+12% drift on mean; mild skew; wide dispersion</t>
  </si>
  <si>
    <t xml:space="preserve">WHAT IT RESTS ON</t>
  </si>
  <si>
    <t xml:space="preserve">•  σ = 27% annualized (Step-0-validated) — drives the wide, mildly-skewed cone; half silver's 64%</t>
  </si>
  <si>
    <t xml:space="preserve">•  Net 12-month drift +12.0% on the MEAN (structural CB demand + 2027 easing + mean-reversion &gt; fading headwind)</t>
  </si>
  <si>
    <t xml:space="preserve">•  Consensus anchor ~$4,800 (Reuters 30-analyst 2026 median); the zone is the 6–18m magnet</t>
  </si>
  <si>
    <t xml:space="preserve">•  Only ~16 independent year-long windows in the data — the forecast is weakly identified</t>
  </si>
  <si>
    <t xml:space="preserve">FUNDAMENTAL — CONSENSUS ANCHOR + STRUCTURAL DEMAND → FAIR-VALUE ZONE (12-MONTH ANCHOR)</t>
  </si>
  <si>
    <t xml:space="preserve">No financials ⇒ no SOTP/RNAV. Gold is the senior monetary metal; the analyst-consensus zone is a 6–18m magnet, so it is the primary anchor at 12 months. USD/oz.</t>
  </si>
  <si>
    <t xml:space="preserve">INPUTS</t>
  </si>
  <si>
    <t xml:space="preserve">Spot anchor (25-Jun-26)</t>
  </si>
  <si>
    <t xml:space="preserve">Analyst-consensus anchor (Reuters 30-analyst 2026 median)</t>
  </si>
  <si>
    <t xml:space="preserve">Consensus vs spot</t>
  </si>
  <si>
    <t xml:space="preserve">spot ~17% below the consensus median</t>
  </si>
  <si>
    <t xml:space="preserve">METHOD 1 — ANALYST-CONSENSUS FORWARD ANCHOR (PRIMARY)  ·  year-end-2026 targets</t>
  </si>
  <si>
    <t xml:space="preserve">Source / scenario</t>
  </si>
  <si>
    <t xml:space="preserve">2026 target</t>
  </si>
  <si>
    <t xml:space="preserve">vs spot</t>
  </si>
  <si>
    <t xml:space="preserve">Regime / 12-month view</t>
  </si>
  <si>
    <t xml:space="preserve">Morgan Stanley / Deutsche</t>
  </si>
  <si>
    <t xml:space="preserve">conservative cluster</t>
  </si>
  <si>
    <t xml:space="preserve">Reuters 30-analyst median</t>
  </si>
  <si>
    <t xml:space="preserve">the neutral consensus anchor</t>
  </si>
  <si>
    <t xml:space="preserve">Goldman Sachs (cut 20-Jun)</t>
  </si>
  <si>
    <t xml:space="preserve">all 2026 cuts removed; 2027 easing</t>
  </si>
  <si>
    <t xml:space="preserve">Citi / Commerzbank / BofA</t>
  </si>
  <si>
    <t xml:space="preserve">mid-cluster</t>
  </si>
  <si>
    <t xml:space="preserve">UBS (Dec) / BNP</t>
  </si>
  <si>
    <t xml:space="preserve">structurally bullish</t>
  </si>
  <si>
    <t xml:space="preserve">J.P. Morgan / Wells Fargo</t>
  </si>
  <si>
    <t xml:space="preserve">most bullish; $6,300 possible</t>
  </si>
  <si>
    <t xml:space="preserve">METHOD 2 — STRUCTURAL DEMAND (12-month+ support)</t>
  </si>
  <si>
    <t xml:space="preserve">2025 total demand</t>
  </si>
  <si>
    <t xml:space="preserve">&amp;gt;5,000t (record); investment- &amp; CB-led</t>
  </si>
  <si>
    <t xml:space="preserve">Central-bank buying</t>
  </si>
  <si>
    <t xml:space="preserve">863t 2025; ~2025 levels 2026F; debasement trade</t>
  </si>
  <si>
    <t xml:space="preserve">Gold as reserve asset</t>
  </si>
  <si>
    <t xml:space="preserve">overtook US Treasuries by value (late-2025)</t>
  </si>
  <si>
    <t xml:space="preserve">Industry AISC (cost floor, non-binding)</t>
  </si>
  <si>
    <t xml:space="preserve">$1,400–1,600/oz (far below spot)</t>
  </si>
  <si>
    <t xml:space="preserve">SYNTHESIS — 12-MONTH FAIR-VALUE ZONE</t>
  </si>
  <si>
    <t xml:space="preserve">Lower (conservative cluster)</t>
  </si>
  <si>
    <t xml:space="preserve">Centre (consensus, near-term haircut)</t>
  </si>
  <si>
    <t xml:space="preserve">Upper (Goldman/Citi/BofA)</t>
  </si>
  <si>
    <t xml:space="preserve">Over 12 months gold is expected to revert toward the consensus zone as real rates stabilise (2027 easing) and structural demand reasserts; the rate path is the dominant swing factor.</t>
  </si>
  <si>
    <t xml:space="preserve">ASSUMPTIONS — ALL BLUE CELLS ARE INPUTS (12-MONTH)</t>
  </si>
  <si>
    <t xml:space="preserve">USD/oz. σ Step-0-validated (conditional pass). Factor judgments are red-pennable. Macro figures sourced (Sources tab).</t>
  </si>
  <si>
    <t xml:space="preserve">MARKET &amp; MODEL</t>
  </si>
  <si>
    <t xml:space="preserve">Anchor — spot close (USD/oz, 25-Jun-26)</t>
  </si>
  <si>
    <t xml:space="preserve">Annualized volatility σ</t>
  </si>
  <si>
    <t xml:space="preserve">Horizon (sessions ≈ 12 months)</t>
  </si>
  <si>
    <t xml:space="preserve">Interim horizon (sessions ≈ 6 months)</t>
  </si>
  <si>
    <t xml:space="preserve">Analyst-consensus anchor (USD/oz)</t>
  </si>
  <si>
    <t xml:space="preserve">Trading days / year</t>
  </si>
  <si>
    <t xml:space="preserve">STRUCTURAL LEVELS (USD/oz)</t>
  </si>
  <si>
    <t xml:space="preserve">$3,800 support</t>
  </si>
  <si>
    <t xml:space="preserve">$3,500</t>
  </si>
  <si>
    <t xml:space="preserve">52-week low</t>
  </si>
  <si>
    <t xml:space="preserve">SMA 200</t>
  </si>
  <si>
    <t xml:space="preserve">Consensus zone floor $4,200</t>
  </si>
  <si>
    <t xml:space="preserve">$5,000</t>
  </si>
  <si>
    <t xml:space="preserve">52-week high / prior peak</t>
  </si>
  <si>
    <t xml:space="preserve">$6,000</t>
  </si>
  <si>
    <t xml:space="preserve">TECHNICAL — FROM PROVIDED OHLC (12-MONTH STRUCTURAL VIEW)</t>
  </si>
  <si>
    <t xml:space="preserve">Indicator readings 2026-06-25. For a 12-month view the structural levels matter more than daily oscillators.</t>
  </si>
  <si>
    <t xml:space="preserve">Indicator</t>
  </si>
  <si>
    <t xml:space="preserve">Reading</t>
  </si>
  <si>
    <t xml:space="preserve">Signal</t>
  </si>
  <si>
    <t xml:space="preserve">Close</t>
  </si>
  <si>
    <t xml:space="preserve">$3,989.85</t>
  </si>
  <si>
    <t xml:space="preserve">—</t>
  </si>
  <si>
    <t xml:space="preserve">SMA 50</t>
  </si>
  <si>
    <t xml:space="preserve">$4,469.81</t>
  </si>
  <si>
    <t xml:space="preserve">price −10.7% below</t>
  </si>
  <si>
    <t xml:space="preserve">$4,486.99</t>
  </si>
  <si>
    <t xml:space="preserve">price −11.1% below</t>
  </si>
  <si>
    <t xml:space="preserve">SMA50 vs SMA200</t>
  </si>
  <si>
    <t xml:space="preserve">−0.4%</t>
  </si>
  <si>
    <t xml:space="preserve">fresh death-cross (structure flipped)</t>
  </si>
  <si>
    <t xml:space="preserve">MACD (12·26·9)</t>
  </si>
  <si>
    <t xml:space="preserve">−121.3 / −105.0 / −16.3</t>
  </si>
  <si>
    <t xml:space="preserve">bearish</t>
  </si>
  <si>
    <t xml:space="preserve">RSI-14</t>
  </si>
  <si>
    <t xml:space="preserve">30.2</t>
  </si>
  <si>
    <t xml:space="preserve">oversold</t>
  </si>
  <si>
    <t xml:space="preserve">ATR-14</t>
  </si>
  <si>
    <t xml:space="preserve">$107.98 (2.7%)</t>
  </si>
  <si>
    <t xml:space="preserve">contained</t>
  </si>
  <si>
    <t xml:space="preserve">52-week range</t>
  </si>
  <si>
    <t xml:space="preserve">$3,268 – $5,595</t>
  </si>
  <si>
    <t xml:space="preserve">$4,500 consensus-zone test (12m touch 73%)</t>
  </si>
  <si>
    <t xml:space="preserve">the reversion target</t>
  </si>
  <si>
    <t xml:space="preserve">Read: bearish near-term with a fresh death-cross; over 12 months the constructive case is reversion into the $4,200–5,000 consensus zone. Resistance $4,487 (SMA200) → $5,000 → prior peak $5,595.</t>
  </si>
  <si>
    <t xml:space="preserve">MONTE CARLO — 12-MONTH FACTOR MODEL (5 CONTINUOUS + 6 DISCRETE)</t>
  </si>
  <si>
    <t xml:space="preserve">50,000 paths · seed 42 · horizon 252 · anchor 25-Jun-26. σ Step-0-validated. At σ=27% over a year the distribution is right-skewed: median &lt; mean (both shown), but both above spot.</t>
  </si>
  <si>
    <t xml:space="preserve">CORE INPUTS</t>
  </si>
  <si>
    <t xml:space="preserve">Anchor price (USD/oz)</t>
  </si>
  <si>
    <t xml:space="preserve">Annualized σ</t>
  </si>
  <si>
    <t xml:space="preserve">Horizon (sessions)</t>
  </si>
  <si>
    <t xml:space="preserve">FACTOR SET — CALIBRATION (12-month)</t>
  </si>
  <si>
    <t xml:space="preserve">Factor</t>
  </si>
  <si>
    <t xml:space="preserve">Type</t>
  </si>
  <si>
    <t xml:space="preserve">12M drift</t>
  </si>
  <si>
    <t xml:space="preserve">12M vol</t>
  </si>
  <si>
    <t xml:space="preserve">Event prob</t>
  </si>
  <si>
    <t xml:space="preserve">Impact mean</t>
  </si>
  <si>
    <t xml:space="preserve">Impact sd</t>
  </si>
  <si>
    <t xml:space="preserve">Expected</t>
  </si>
  <si>
    <t xml:space="preserve">Channel</t>
  </si>
  <si>
    <t xml:space="preserve">Real US 10-year yield</t>
  </si>
  <si>
    <t xml:space="preserve">continuous</t>
  </si>
  <si>
    <t xml:space="preserve">–</t>
  </si>
  <si>
    <t xml:space="preserve">headwind early, fades as 2027 easing nears</t>
  </si>
  <si>
    <t xml:space="preserve">DXY (US dollar index)</t>
  </si>
  <si>
    <t xml:space="preserve">dollar headwind may persist</t>
  </si>
  <si>
    <t xml:space="preserve">Fed-path / real-rate expectations</t>
  </si>
  <si>
    <t xml:space="preserve">easing RESUMES 2027 (Goldman Jun &amp; Dec)</t>
  </si>
  <si>
    <t xml:space="preserve">Central-bank / official-sector demand</t>
  </si>
  <si>
    <t xml:space="preserve">structural multi-year bid; debasement / de-dollarisation</t>
  </si>
  <si>
    <t xml:space="preserve">Investment / ETF-flow momentum</t>
  </si>
  <si>
    <t xml:space="preserve">ETF re-acceleration H2-26/2027 as rates ease</t>
  </si>
  <si>
    <t xml:space="preserve">Geopolitical / safe-haven shock</t>
  </si>
  <si>
    <t xml:space="preserve">event</t>
  </si>
  <si>
    <t xml:space="preserve">more time for a shock over 12m</t>
  </si>
  <si>
    <t xml:space="preserve">Central-bank buying surprise</t>
  </si>
  <si>
    <t xml:space="preserve">structural; very likely over a year</t>
  </si>
  <si>
    <t xml:space="preserve">Monetary-policy surprise</t>
  </si>
  <si>
    <t xml:space="preserve">two-sided; hawkish-tilted early</t>
  </si>
  <si>
    <t xml:space="preserve">Fiscal / debasement / sovereign stress</t>
  </si>
  <si>
    <t xml:space="preserve">US fiscal trajectory; debasement catalyst</t>
  </si>
  <si>
    <t xml:space="preserve">Large COT / ETF positioning unwind</t>
  </si>
  <si>
    <t xml:space="preserve">deep liquidation a live left-tail</t>
  </si>
  <si>
    <t xml:space="preserve">ETF / investment-flow resurgence</t>
  </si>
  <si>
    <t xml:space="preserve">2027 Fed-cut re-pricing reignites ETF</t>
  </si>
  <si>
    <t xml:space="preserve">FACTOR MOMENTS (live formulas)</t>
  </si>
  <si>
    <t xml:space="preserve">Net continuous drift</t>
  </si>
  <si>
    <t xml:space="preserve">Net event expected (Σ prob×impact)</t>
  </si>
  <si>
    <t xml:space="preserve">Net expected 12M contribution (on MEAN)</t>
  </si>
  <si>
    <t xml:space="preserve">σ over horizon (=σ·√(252/252))</t>
  </si>
  <si>
    <t xml:space="preserve">−½σ² (Itô drag on the median)</t>
  </si>
  <si>
    <t xml:space="preserve">Simulated 12m path vol (engine)</t>
  </si>
  <si>
    <t xml:space="preserve">PERCENTILES (USD/oz) — CLOSED-FORM (formula) vs ENGINE (simulated), 12-MONTH</t>
  </si>
  <si>
    <t xml:space="preserve">Horizon</t>
  </si>
  <si>
    <t xml:space="preserve">P5</t>
  </si>
  <si>
    <t xml:space="preserve">P25</t>
  </si>
  <si>
    <t xml:space="preserve">Median</t>
  </si>
  <si>
    <t xml:space="preserve">P75</t>
  </si>
  <si>
    <t xml:space="preserve">P95</t>
  </si>
  <si>
    <t xml:space="preserve">Source</t>
  </si>
  <si>
    <t xml:space="preserve">T+252 — closed form</t>
  </si>
  <si>
    <t xml:space="preserve">lognormal + Itô</t>
  </si>
  <si>
    <t xml:space="preserve">T+252 — engine (simulated)</t>
  </si>
  <si>
    <t xml:space="preserve">50k paths · seed 42</t>
  </si>
  <si>
    <t xml:space="preserve">MEDIAN vs MEAN — the skew (USD/oz)</t>
  </si>
  <si>
    <t xml:space="preserve">T+252 MEDIAN (engine, 50/50 level)</t>
  </si>
  <si>
    <t xml:space="preserve">only 40% of paths below spot</t>
  </si>
  <si>
    <t xml:space="preserve">T+252 MEAN (engine)</t>
  </si>
  <si>
    <t xml:space="preserve">≈ consensus centre</t>
  </si>
  <si>
    <t xml:space="preserve">  closed-form median check</t>
  </si>
  <si>
    <t xml:space="preserve">  closed-form mean check</t>
  </si>
  <si>
    <t xml:space="preserve">T+126 (6m) median (engine)</t>
  </si>
  <si>
    <t xml:space="preserve">T+126 mean 4,230</t>
  </si>
  <si>
    <t xml:space="preserve">PROBABILITY ZONES at T+252 (engine)</t>
  </si>
  <si>
    <t xml:space="preserve">Zone (USD/oz)</t>
  </si>
  <si>
    <t xml:space="preserve">Probability</t>
  </si>
  <si>
    <t xml:space="preserve">&lt; $3,500</t>
  </si>
  <si>
    <t xml:space="preserve">$3,500 – $4,200</t>
  </si>
  <si>
    <t xml:space="preserve">$4,200 – $4,800</t>
  </si>
  <si>
    <t xml:space="preserve">$4,800 – $5,600</t>
  </si>
  <si>
    <t xml:space="preserve">≥ $5,600</t>
  </si>
  <si>
    <t xml:space="preserve">LEVEL-TOUCH PROBABILITIES by T+252 (engine)</t>
  </si>
  <si>
    <t xml:space="preserve">Price level (USD/oz)</t>
  </si>
  <si>
    <t xml:space="preserve">P(touch by 12m)</t>
  </si>
  <si>
    <t xml:space="preserve">— spot 3,990 —</t>
  </si>
  <si>
    <t xml:space="preserve">Touch probabilities are running-extrema outputs and exceed terminal-zone probabilities. Note $4,500 (73%) &gt; $3,500 (56%) because the median sits above spot.</t>
  </si>
  <si>
    <t xml:space="preserve">SENSITIVITY (12-MONTH)</t>
  </si>
  <si>
    <t xml:space="preserve">At 12 months the median DEPENDS on σ via the −½σ² term — a lower forward σ (vol mean-reversion) lifts the median. Fundamental fair value scales with the consensus anchor.</t>
  </si>
  <si>
    <t xml:space="preserve">A · FUNDAMENTAL FAIR VALUE (USD/oz) = consensus anchor × (1 − near-term discount)</t>
  </si>
  <si>
    <t xml:space="preserve">anchor ↓ / discount →</t>
  </si>
  <si>
    <t xml:space="preserve">B · 12-MONTH MEDIAN (USD/oz) = anchor·EXP(LN(1+drift) − ½σ²)   — note σ-dependence</t>
  </si>
  <si>
    <t xml:space="preserve">σ ↓ / drift →</t>
  </si>
  <si>
    <t xml:space="preserve">C · 12-MONTH P95 UPSIDE (USD/oz) = anchor·EXP(LN(1+drift) − ½σ² + σ·NORMSINV(0.95))</t>
  </si>
  <si>
    <t xml:space="preserve">STEP 0 — 12-MONTH CALIBRATION</t>
  </si>
  <si>
    <t xml:space="preserve">Rolling 12-month forecasts scored vs realized close, full 2010–2026 sample. CONDITIONAL PASS. Dominant caveat: only ~16 independent windows exist, so coverage carries ±8–12% error.</t>
  </si>
  <si>
    <t xml:space="preserve">INTERVAL COVERAGE</t>
  </si>
  <si>
    <t xml:space="preserve">Band</t>
  </si>
  <si>
    <t xml:space="preserve">Target</t>
  </si>
  <si>
    <t xml:space="preserve">Realized (independent, n=16)</t>
  </si>
  <si>
    <t xml:space="preserve">Binomial SE</t>
  </si>
  <si>
    <t xml:space="preserve">Realized (overlap, n=181)</t>
  </si>
  <si>
    <t xml:space="preserve">Central 50% (P25–P75)</t>
  </si>
  <si>
    <t xml:space="preserve">±12%</t>
  </si>
  <si>
    <t xml:space="preserve">Central 80% (P10–P90)</t>
  </si>
  <si>
    <t xml:space="preserve">±10%</t>
  </si>
  <si>
    <t xml:space="preserve">Central 90% (P5–P95)</t>
  </si>
  <si>
    <t xml:space="preserve">±8%</t>
  </si>
  <si>
    <t xml:space="preserve">PIT mean (independent / overlap)</t>
  </si>
  <si>
    <t xml:space="preserve">0.64 / 0.62</t>
  </si>
  <si>
    <t xml:space="preserve">mild upward skew (sample uptrend); direction not calibrated</t>
  </si>
  <si>
    <t xml:space="preserve">Verdict</t>
  </si>
  <si>
    <t xml:space="preserve">CONDITIONAL PASS</t>
  </si>
  <si>
    <t xml:space="preserve">90%-band under-coverage (fatter-than-lognormal annual tails) widened via the event overlay; centre within sampling error. The 12-month forecast is weaker than the 3-month one by construction. Recommended live σ = 27%; direction is the factor overlay's judgment. PIT histogram + coverage CSV ship in files/.</t>
  </si>
  <si>
    <t xml:space="preserve">SOURCES — PRIMARY-PREFERRED, WITH AS-OF DATES</t>
  </si>
  <si>
    <t xml:space="preserve">Every figure, its source, and as-of date.</t>
  </si>
  <si>
    <t xml:space="preserve">Figure / series</t>
  </si>
  <si>
    <t xml:space="preserve">As-of</t>
  </si>
  <si>
    <t xml:space="preserve">Demand &gt;5,000t, CB 863t, supply 5,002t, ETF +437t</t>
  </si>
  <si>
    <t xml:space="preserve">29-Jan-2026</t>
  </si>
  <si>
    <t xml:space="preserve">WGC Gold Demand Trends Full Year 2025 / Metals Focus</t>
  </si>
  <si>
    <t xml:space="preserve">2026 outlook (CB ~2025, geopolitical premium, ETF &lt; 2025)</t>
  </si>
  <si>
    <t xml:space="preserve">~29-Apr-2026</t>
  </si>
  <si>
    <t xml:space="preserve">WGC Gold Demand Trends Q1 2026 / Outlook</t>
  </si>
  <si>
    <t xml:space="preserve">Year-end cut $5,400→$4,900; 2026 cuts removed (easing to 2027)</t>
  </si>
  <si>
    <t xml:space="preserve">20-Jun-2026</t>
  </si>
  <si>
    <t xml:space="preserve">Goldman Sachs Global Research</t>
  </si>
  <si>
    <t xml:space="preserve">Reuters 30-31 analyst 2026 median ~$4,800; bank targets $4,400–$6,300</t>
  </si>
  <si>
    <t xml:space="preserve">2026</t>
  </si>
  <si>
    <t xml:space="preserve">Reuters poll; bank compilations</t>
  </si>
  <si>
    <t xml:space="preserve">DXY&gt;100; Warsh hawkish; ~68% Sept-hike odds</t>
  </si>
  <si>
    <t xml:space="preserve">24-Jun-2026</t>
  </si>
  <si>
    <t xml:space="preserve">USAGOLD daily report</t>
  </si>
  <si>
    <t xml:space="preserve">Anchor price series ($3,989.85)</t>
  </si>
  <si>
    <t xml:space="preserve">25-Jun-2026</t>
  </si>
  <si>
    <t xml:space="preserve">Provided OHLC (XAUUSD, 01-Jan-2010 → 25-Jun-2026)</t>
  </si>
  <si>
    <t xml:space="preserve">12-month calibration backtest</t>
  </si>
  <si>
    <t xml:space="preserve">This study (Step 0, full 2010–2026 sample)</t>
  </si>
  <si>
    <t xml:space="preserve">Cross-check: feeds agree within ~0.01% (OANDA $3,989.55)</t>
  </si>
  <si>
    <t xml:space="preserve">TradingView/OANDA — no basis adjustment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</si>
</sst>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\$#,##0"/>
    <numFmt numFmtId="167" formatCode="\+0%;\-0%"/>
    <numFmt numFmtId="168" formatCode="0%"/>
    <numFmt numFmtId="169" formatCode="0"/>
    <numFmt numFmtId="170" formatCode="0.0%"/>
    <numFmt numFmtId="171" formatCode="0.00"/>
    <numFmt numFmtId="172" formatCode="\+0.0%;\-0.0%"/>
    <numFmt numFmtId="173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5E5E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1B5E5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B5E5E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B089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sz val="9"/>
      <color rgb="FF99999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B0894B"/>
        <bgColor rgb="FF9999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B0894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55.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42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55.5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42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42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55.5" hidden="false" customHeight="true" outlineLevel="0" collapsed="false">
      <c r="A19" s="3" t="s">
        <v>12</v>
      </c>
    </row>
    <row r="21" customFormat="false" ht="15" hidden="false" customHeight="false" outlineLevel="0" collapsed="false">
      <c r="A21" s="2" t="s">
        <v>13</v>
      </c>
    </row>
    <row r="22" customFormat="false" ht="27.75" hidden="false" customHeight="true" outlineLevel="0" collapsed="false">
      <c r="A2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9.5" hidden="false" customHeight="true" outlineLevel="0" collapsed="false">
      <c r="A1" s="1" t="s">
        <v>15</v>
      </c>
      <c r="B1" s="4"/>
      <c r="C1" s="4"/>
      <c r="D1" s="4"/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6" t="s">
        <v>17</v>
      </c>
    </row>
    <row r="5" customFormat="false" ht="15" hidden="false" customHeight="false" outlineLevel="0" collapsed="false">
      <c r="A5" s="7" t="s">
        <v>18</v>
      </c>
      <c r="B5" s="8" t="n">
        <v>3989.85</v>
      </c>
    </row>
    <row r="6" customFormat="false" ht="15" hidden="false" customHeight="false" outlineLevel="0" collapsed="false">
      <c r="A6" s="7" t="s">
        <v>19</v>
      </c>
      <c r="B6" s="9" t="n">
        <v>4295</v>
      </c>
      <c r="D6" s="10" t="s">
        <v>20</v>
      </c>
    </row>
    <row r="7" customFormat="false" ht="15" hidden="false" customHeight="false" outlineLevel="0" collapsed="false">
      <c r="A7" s="7" t="s">
        <v>21</v>
      </c>
      <c r="B7" s="9" t="n">
        <v>4487</v>
      </c>
      <c r="D7" s="10" t="s">
        <v>22</v>
      </c>
    </row>
    <row r="8" customFormat="false" ht="15" hidden="false" customHeight="false" outlineLevel="0" collapsed="false">
      <c r="A8" s="7" t="s">
        <v>23</v>
      </c>
      <c r="B8" s="11" t="s">
        <v>24</v>
      </c>
      <c r="D8" s="10" t="s">
        <v>25</v>
      </c>
    </row>
    <row r="9" customFormat="false" ht="15" hidden="false" customHeight="false" outlineLevel="0" collapsed="false">
      <c r="A9" s="7" t="s">
        <v>26</v>
      </c>
      <c r="B9" s="12" t="s">
        <v>27</v>
      </c>
      <c r="D9" s="10" t="s">
        <v>28</v>
      </c>
    </row>
    <row r="10" customFormat="false" ht="15" hidden="false" customHeight="false" outlineLevel="0" collapsed="false">
      <c r="A10" s="7" t="s">
        <v>29</v>
      </c>
      <c r="B10" s="11" t="s">
        <v>30</v>
      </c>
      <c r="D10" s="10" t="s">
        <v>31</v>
      </c>
    </row>
    <row r="12" customFormat="false" ht="15" hidden="false" customHeight="false" outlineLevel="0" collapsed="false">
      <c r="A12" s="6" t="s">
        <v>32</v>
      </c>
    </row>
    <row r="13" customFormat="false" ht="15" hidden="false" customHeight="false" outlineLevel="0" collapsed="false">
      <c r="A13" s="13" t="s">
        <v>33</v>
      </c>
      <c r="B13" s="13" t="s">
        <v>34</v>
      </c>
      <c r="C13" s="13"/>
      <c r="D13" s="13" t="s">
        <v>35</v>
      </c>
    </row>
    <row r="14" customFormat="false" ht="15" hidden="false" customHeight="false" outlineLevel="0" collapsed="false">
      <c r="A14" s="7" t="s">
        <v>36</v>
      </c>
      <c r="B14" s="14" t="s">
        <v>37</v>
      </c>
      <c r="C14" s="14"/>
      <c r="D14" s="15" t="s">
        <v>38</v>
      </c>
    </row>
    <row r="15" customFormat="false" ht="15" hidden="false" customHeight="false" outlineLevel="0" collapsed="false">
      <c r="A15" s="7" t="s">
        <v>39</v>
      </c>
      <c r="B15" s="14" t="s">
        <v>40</v>
      </c>
      <c r="C15" s="14"/>
      <c r="D15" s="15" t="s">
        <v>41</v>
      </c>
    </row>
    <row r="16" customFormat="false" ht="15" hidden="false" customHeight="false" outlineLevel="0" collapsed="false">
      <c r="A16" s="7" t="s">
        <v>42</v>
      </c>
      <c r="B16" s="14" t="s">
        <v>43</v>
      </c>
      <c r="C16" s="14"/>
      <c r="D16" s="15" t="s">
        <v>44</v>
      </c>
    </row>
    <row r="18" customFormat="false" ht="15" hidden="false" customHeight="false" outlineLevel="0" collapsed="false">
      <c r="A18" s="6" t="s">
        <v>45</v>
      </c>
    </row>
    <row r="19" customFormat="false" ht="15" hidden="false" customHeight="false" outlineLevel="0" collapsed="false">
      <c r="A19" s="7" t="s">
        <v>46</v>
      </c>
    </row>
    <row r="20" customFormat="false" ht="15" hidden="false" customHeight="false" outlineLevel="0" collapsed="false">
      <c r="A20" s="7" t="s">
        <v>47</v>
      </c>
    </row>
    <row r="21" customFormat="false" ht="15" hidden="false" customHeight="false" outlineLevel="0" collapsed="false">
      <c r="A21" s="7" t="s">
        <v>48</v>
      </c>
    </row>
    <row r="22" customFormat="false" ht="15" hidden="false" customHeight="false" outlineLevel="0" collapsed="false">
      <c r="A22" s="7" t="s">
        <v>49</v>
      </c>
    </row>
  </sheetData>
  <mergeCells count="3"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5" min="5" style="0" width="40"/>
  </cols>
  <sheetData>
    <row r="1" customFormat="false" ht="19.5" hidden="false" customHeight="true" outlineLevel="0" collapsed="false">
      <c r="A1" s="1" t="s">
        <v>50</v>
      </c>
      <c r="B1" s="4"/>
      <c r="C1" s="4"/>
      <c r="D1" s="4"/>
      <c r="E1" s="4"/>
    </row>
    <row r="2" customFormat="false" ht="15" hidden="false" customHeight="false" outlineLevel="0" collapsed="false">
      <c r="A2" s="5" t="s">
        <v>51</v>
      </c>
    </row>
    <row r="4" customFormat="false" ht="15" hidden="false" customHeight="false" outlineLevel="0" collapsed="false">
      <c r="A4" s="6" t="s">
        <v>52</v>
      </c>
    </row>
    <row r="5" customFormat="false" ht="15" hidden="false" customHeight="false" outlineLevel="0" collapsed="false">
      <c r="A5" s="7" t="s">
        <v>53</v>
      </c>
      <c r="B5" s="16" t="n">
        <v>3989.85</v>
      </c>
    </row>
    <row r="6" customFormat="false" ht="15" hidden="false" customHeight="false" outlineLevel="0" collapsed="false">
      <c r="A6" s="7" t="s">
        <v>54</v>
      </c>
      <c r="B6" s="17" t="n">
        <v>4800</v>
      </c>
    </row>
    <row r="7" customFormat="false" ht="15" hidden="false" customHeight="false" outlineLevel="0" collapsed="false">
      <c r="A7" s="7" t="s">
        <v>55</v>
      </c>
      <c r="B7" s="18" t="n">
        <f aca="false">B6/B5-1</f>
        <v>0.203052746343848</v>
      </c>
      <c r="D7" s="10" t="s">
        <v>56</v>
      </c>
    </row>
    <row r="9" customFormat="false" ht="15" hidden="false" customHeight="false" outlineLevel="0" collapsed="false">
      <c r="A9" s="6" t="s">
        <v>57</v>
      </c>
    </row>
    <row r="10" customFormat="false" ht="22.35" hidden="false" customHeight="false" outlineLevel="0" collapsed="false">
      <c r="A10" s="13" t="s">
        <v>58</v>
      </c>
      <c r="B10" s="13" t="s">
        <v>59</v>
      </c>
      <c r="C10" s="13" t="s">
        <v>60</v>
      </c>
      <c r="D10" s="13" t="s">
        <v>61</v>
      </c>
    </row>
    <row r="11" customFormat="false" ht="15" hidden="false" customHeight="false" outlineLevel="0" collapsed="false">
      <c r="A11" s="7" t="s">
        <v>62</v>
      </c>
      <c r="B11" s="17" t="n">
        <v>4425</v>
      </c>
      <c r="C11" s="19" t="n">
        <f aca="false">B11/$B$5-1</f>
        <v>0.109064250535734</v>
      </c>
      <c r="D11" s="10" t="s">
        <v>63</v>
      </c>
    </row>
    <row r="12" customFormat="false" ht="15" hidden="false" customHeight="false" outlineLevel="0" collapsed="false">
      <c r="A12" s="7" t="s">
        <v>64</v>
      </c>
      <c r="B12" s="17" t="n">
        <v>4800</v>
      </c>
      <c r="C12" s="19" t="n">
        <f aca="false">B12/$B$5-1</f>
        <v>0.203052746343848</v>
      </c>
      <c r="D12" s="10" t="s">
        <v>65</v>
      </c>
    </row>
    <row r="13" customFormat="false" ht="15" hidden="false" customHeight="false" outlineLevel="0" collapsed="false">
      <c r="A13" s="7" t="s">
        <v>66</v>
      </c>
      <c r="B13" s="17" t="n">
        <v>4900</v>
      </c>
      <c r="C13" s="19" t="n">
        <f aca="false">B13/$B$5-1</f>
        <v>0.228116345226011</v>
      </c>
      <c r="D13" s="10" t="s">
        <v>67</v>
      </c>
    </row>
    <row r="14" customFormat="false" ht="15" hidden="false" customHeight="false" outlineLevel="0" collapsed="false">
      <c r="A14" s="7" t="s">
        <v>68</v>
      </c>
      <c r="B14" s="17" t="n">
        <v>5000</v>
      </c>
      <c r="C14" s="19" t="n">
        <f aca="false">B14/$B$5-1</f>
        <v>0.253179944108175</v>
      </c>
      <c r="D14" s="10" t="s">
        <v>69</v>
      </c>
    </row>
    <row r="15" customFormat="false" ht="15" hidden="false" customHeight="false" outlineLevel="0" collapsed="false">
      <c r="A15" s="7" t="s">
        <v>70</v>
      </c>
      <c r="B15" s="17" t="n">
        <v>5700</v>
      </c>
      <c r="C15" s="19" t="n">
        <f aca="false">B15/$B$5-1</f>
        <v>0.428625136283319</v>
      </c>
      <c r="D15" s="10" t="s">
        <v>71</v>
      </c>
    </row>
    <row r="16" customFormat="false" ht="15" hidden="false" customHeight="false" outlineLevel="0" collapsed="false">
      <c r="A16" s="7" t="s">
        <v>72</v>
      </c>
      <c r="B16" s="17" t="n">
        <v>6100</v>
      </c>
      <c r="C16" s="19" t="n">
        <f aca="false">B16/$B$5-1</f>
        <v>0.528879531811973</v>
      </c>
      <c r="D16" s="10" t="s">
        <v>73</v>
      </c>
    </row>
    <row r="18" customFormat="false" ht="15" hidden="false" customHeight="false" outlineLevel="0" collapsed="false">
      <c r="A18" s="6" t="s">
        <v>74</v>
      </c>
    </row>
    <row r="19" customFormat="false" ht="15" hidden="false" customHeight="false" outlineLevel="0" collapsed="false">
      <c r="A19" s="7" t="s">
        <v>75</v>
      </c>
      <c r="B19" s="20" t="s">
        <v>76</v>
      </c>
    </row>
    <row r="20" customFormat="false" ht="15" hidden="false" customHeight="false" outlineLevel="0" collapsed="false">
      <c r="A20" s="7" t="s">
        <v>77</v>
      </c>
      <c r="B20" s="20" t="s">
        <v>78</v>
      </c>
    </row>
    <row r="21" customFormat="false" ht="15" hidden="false" customHeight="false" outlineLevel="0" collapsed="false">
      <c r="A21" s="7" t="s">
        <v>79</v>
      </c>
      <c r="B21" s="20" t="s">
        <v>80</v>
      </c>
    </row>
    <row r="22" customFormat="false" ht="15" hidden="false" customHeight="false" outlineLevel="0" collapsed="false">
      <c r="A22" s="7" t="s">
        <v>81</v>
      </c>
      <c r="B22" s="20" t="s">
        <v>82</v>
      </c>
    </row>
    <row r="24" customFormat="false" ht="15" hidden="false" customHeight="false" outlineLevel="0" collapsed="false">
      <c r="A24" s="6" t="s">
        <v>83</v>
      </c>
    </row>
    <row r="25" customFormat="false" ht="15" hidden="false" customHeight="false" outlineLevel="0" collapsed="false">
      <c r="A25" s="21" t="s">
        <v>84</v>
      </c>
      <c r="B25" s="22" t="n">
        <v>4200</v>
      </c>
      <c r="C25" s="19" t="n">
        <f aca="false">B25/$B$5-1</f>
        <v>0.0526711530508666</v>
      </c>
    </row>
    <row r="26" customFormat="false" ht="15" hidden="false" customHeight="false" outlineLevel="0" collapsed="false">
      <c r="A26" s="21" t="s">
        <v>85</v>
      </c>
      <c r="B26" s="9" t="n">
        <f aca="false">ROUND(B6*0.958,-2)</f>
        <v>4600</v>
      </c>
      <c r="C26" s="19" t="n">
        <f aca="false">B26/$B$5-1</f>
        <v>0.15292554857952</v>
      </c>
    </row>
    <row r="27" customFormat="false" ht="15" hidden="false" customHeight="false" outlineLevel="0" collapsed="false">
      <c r="A27" s="21" t="s">
        <v>86</v>
      </c>
      <c r="B27" s="22" t="n">
        <v>5000</v>
      </c>
      <c r="C27" s="19" t="n">
        <f aca="false">B27/$B$5-1</f>
        <v>0.253179944108175</v>
      </c>
    </row>
    <row r="28" customFormat="false" ht="15" hidden="false" customHeight="false" outlineLevel="0" collapsed="false">
      <c r="A28" s="1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9.5" hidden="false" customHeight="true" outlineLevel="0" collapsed="false">
      <c r="A1" s="1" t="s">
        <v>88</v>
      </c>
      <c r="B1" s="4"/>
      <c r="C1" s="4"/>
    </row>
    <row r="2" customFormat="false" ht="15" hidden="false" customHeight="false" outlineLevel="0" collapsed="false">
      <c r="A2" s="5" t="s">
        <v>89</v>
      </c>
    </row>
    <row r="4" customFormat="false" ht="15" hidden="false" customHeight="false" outlineLevel="0" collapsed="false">
      <c r="A4" s="6" t="s">
        <v>90</v>
      </c>
    </row>
    <row r="5" customFormat="false" ht="15" hidden="false" customHeight="false" outlineLevel="0" collapsed="false">
      <c r="A5" s="7" t="s">
        <v>91</v>
      </c>
      <c r="B5" s="16" t="n">
        <v>3989.85</v>
      </c>
    </row>
    <row r="6" customFormat="false" ht="15" hidden="false" customHeight="false" outlineLevel="0" collapsed="false">
      <c r="A6" s="7" t="s">
        <v>92</v>
      </c>
      <c r="B6" s="23" t="n">
        <v>0.27</v>
      </c>
    </row>
    <row r="7" customFormat="false" ht="15" hidden="false" customHeight="false" outlineLevel="0" collapsed="false">
      <c r="A7" s="7" t="s">
        <v>93</v>
      </c>
      <c r="B7" s="24" t="n">
        <v>252</v>
      </c>
    </row>
    <row r="8" customFormat="false" ht="15" hidden="false" customHeight="false" outlineLevel="0" collapsed="false">
      <c r="A8" s="7" t="s">
        <v>94</v>
      </c>
      <c r="B8" s="24" t="n">
        <v>126</v>
      </c>
    </row>
    <row r="9" customFormat="false" ht="15" hidden="false" customHeight="false" outlineLevel="0" collapsed="false">
      <c r="A9" s="7" t="s">
        <v>95</v>
      </c>
      <c r="B9" s="17" t="n">
        <v>4800</v>
      </c>
    </row>
    <row r="10" customFormat="false" ht="15" hidden="false" customHeight="false" outlineLevel="0" collapsed="false">
      <c r="A10" s="7" t="s">
        <v>96</v>
      </c>
      <c r="B10" s="24" t="n">
        <v>252</v>
      </c>
    </row>
    <row r="12" customFormat="false" ht="15" hidden="false" customHeight="false" outlineLevel="0" collapsed="false">
      <c r="A12" s="6" t="s">
        <v>97</v>
      </c>
    </row>
    <row r="13" customFormat="false" ht="15" hidden="false" customHeight="false" outlineLevel="0" collapsed="false">
      <c r="A13" s="7" t="s">
        <v>98</v>
      </c>
      <c r="B13" s="16" t="n">
        <v>3800</v>
      </c>
    </row>
    <row r="14" customFormat="false" ht="15" hidden="false" customHeight="false" outlineLevel="0" collapsed="false">
      <c r="A14" s="7" t="s">
        <v>99</v>
      </c>
      <c r="B14" s="16" t="n">
        <v>3500</v>
      </c>
    </row>
    <row r="15" customFormat="false" ht="15" hidden="false" customHeight="false" outlineLevel="0" collapsed="false">
      <c r="A15" s="7" t="s">
        <v>100</v>
      </c>
      <c r="B15" s="16" t="n">
        <v>3268.15</v>
      </c>
    </row>
    <row r="16" customFormat="false" ht="15" hidden="false" customHeight="false" outlineLevel="0" collapsed="false">
      <c r="A16" s="7" t="s">
        <v>101</v>
      </c>
      <c r="B16" s="16" t="n">
        <v>4486.99</v>
      </c>
    </row>
    <row r="17" customFormat="false" ht="15" hidden="false" customHeight="false" outlineLevel="0" collapsed="false">
      <c r="A17" s="7" t="s">
        <v>102</v>
      </c>
      <c r="B17" s="16" t="n">
        <v>4200</v>
      </c>
    </row>
    <row r="18" customFormat="false" ht="15" hidden="false" customHeight="false" outlineLevel="0" collapsed="false">
      <c r="A18" s="7" t="s">
        <v>103</v>
      </c>
      <c r="B18" s="16" t="n">
        <v>5000</v>
      </c>
    </row>
    <row r="19" customFormat="false" ht="15" hidden="false" customHeight="false" outlineLevel="0" collapsed="false">
      <c r="A19" s="7" t="s">
        <v>104</v>
      </c>
      <c r="B19" s="16" t="n">
        <v>5595.46</v>
      </c>
    </row>
    <row r="20" customFormat="false" ht="15" hidden="false" customHeight="false" outlineLevel="0" collapsed="false">
      <c r="A20" s="7" t="s">
        <v>105</v>
      </c>
      <c r="B20" s="16" t="n"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9.5" hidden="false" customHeight="true" outlineLevel="0" collapsed="false">
      <c r="A1" s="1" t="s">
        <v>106</v>
      </c>
      <c r="B1" s="4"/>
      <c r="C1" s="4"/>
    </row>
    <row r="2" customFormat="false" ht="15" hidden="false" customHeight="false" outlineLevel="0" collapsed="false">
      <c r="A2" s="5" t="s">
        <v>107</v>
      </c>
    </row>
    <row r="4" customFormat="false" ht="15" hidden="false" customHeight="false" outlineLevel="0" collapsed="false">
      <c r="A4" s="13" t="s">
        <v>108</v>
      </c>
      <c r="B4" s="13" t="s">
        <v>109</v>
      </c>
      <c r="C4" s="13" t="s">
        <v>110</v>
      </c>
    </row>
    <row r="5" customFormat="false" ht="15" hidden="false" customHeight="false" outlineLevel="0" collapsed="false">
      <c r="A5" s="7" t="s">
        <v>111</v>
      </c>
      <c r="B5" s="11" t="s">
        <v>112</v>
      </c>
      <c r="C5" s="10" t="s">
        <v>113</v>
      </c>
    </row>
    <row r="6" customFormat="false" ht="15" hidden="false" customHeight="false" outlineLevel="0" collapsed="false">
      <c r="A6" s="7" t="s">
        <v>114</v>
      </c>
      <c r="B6" s="11" t="s">
        <v>115</v>
      </c>
      <c r="C6" s="10" t="s">
        <v>116</v>
      </c>
    </row>
    <row r="7" customFormat="false" ht="15" hidden="false" customHeight="false" outlineLevel="0" collapsed="false">
      <c r="A7" s="7" t="s">
        <v>101</v>
      </c>
      <c r="B7" s="11" t="s">
        <v>117</v>
      </c>
      <c r="C7" s="10" t="s">
        <v>118</v>
      </c>
    </row>
    <row r="8" customFormat="false" ht="15" hidden="false" customHeight="false" outlineLevel="0" collapsed="false">
      <c r="A8" s="7" t="s">
        <v>119</v>
      </c>
      <c r="B8" s="11" t="s">
        <v>120</v>
      </c>
      <c r="C8" s="10" t="s">
        <v>121</v>
      </c>
    </row>
    <row r="9" customFormat="false" ht="15" hidden="false" customHeight="false" outlineLevel="0" collapsed="false">
      <c r="A9" s="7" t="s">
        <v>122</v>
      </c>
      <c r="B9" s="11" t="s">
        <v>123</v>
      </c>
      <c r="C9" s="10" t="s">
        <v>124</v>
      </c>
    </row>
    <row r="10" customFormat="false" ht="15" hidden="false" customHeight="false" outlineLevel="0" collapsed="false">
      <c r="A10" s="7" t="s">
        <v>125</v>
      </c>
      <c r="B10" s="11" t="s">
        <v>126</v>
      </c>
      <c r="C10" s="10" t="s">
        <v>127</v>
      </c>
    </row>
    <row r="11" customFormat="false" ht="15" hidden="false" customHeight="false" outlineLevel="0" collapsed="false">
      <c r="A11" s="7" t="s">
        <v>128</v>
      </c>
      <c r="B11" s="11" t="s">
        <v>129</v>
      </c>
      <c r="C11" s="10" t="s">
        <v>130</v>
      </c>
    </row>
    <row r="12" customFormat="false" ht="15" hidden="false" customHeight="false" outlineLevel="0" collapsed="false">
      <c r="A12" s="7" t="s">
        <v>131</v>
      </c>
      <c r="B12" s="11" t="s">
        <v>132</v>
      </c>
      <c r="C12" s="10" t="s">
        <v>113</v>
      </c>
    </row>
    <row r="14" customFormat="false" ht="15" hidden="false" customHeight="false" outlineLevel="0" collapsed="false">
      <c r="A14" s="21" t="s">
        <v>133</v>
      </c>
      <c r="B14" s="20" t="s">
        <v>134</v>
      </c>
    </row>
    <row r="15" customFormat="false" ht="15" hidden="false" customHeight="false" outlineLevel="0" collapsed="false">
      <c r="A15" s="1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9.5" hidden="false" customHeight="true" outlineLevel="0" collapsed="false">
      <c r="A1" s="1" t="s">
        <v>136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137</v>
      </c>
    </row>
    <row r="4" customFormat="false" ht="15" hidden="false" customHeight="false" outlineLevel="0" collapsed="false">
      <c r="A4" s="6" t="s">
        <v>138</v>
      </c>
    </row>
    <row r="5" customFormat="false" ht="15" hidden="false" customHeight="false" outlineLevel="0" collapsed="false">
      <c r="A5" s="7" t="s">
        <v>139</v>
      </c>
      <c r="B5" s="16" t="n">
        <v>3989.85</v>
      </c>
    </row>
    <row r="6" customFormat="false" ht="15" hidden="false" customHeight="false" outlineLevel="0" collapsed="false">
      <c r="A6" s="7" t="s">
        <v>140</v>
      </c>
      <c r="B6" s="23" t="n">
        <v>0.27</v>
      </c>
    </row>
    <row r="7" customFormat="false" ht="15" hidden="false" customHeight="false" outlineLevel="0" collapsed="false">
      <c r="A7" s="7" t="s">
        <v>141</v>
      </c>
      <c r="B7" s="24" t="n">
        <v>252</v>
      </c>
    </row>
    <row r="8" customFormat="false" ht="15" hidden="false" customHeight="false" outlineLevel="0" collapsed="false">
      <c r="A8" s="7" t="s">
        <v>96</v>
      </c>
      <c r="B8" s="24" t="n">
        <v>252</v>
      </c>
    </row>
    <row r="10" customFormat="false" ht="15" hidden="false" customHeight="false" outlineLevel="0" collapsed="false">
      <c r="A10" s="6" t="s">
        <v>142</v>
      </c>
    </row>
    <row r="11" customFormat="false" ht="15" hidden="false" customHeight="false" outlineLevel="0" collapsed="false">
      <c r="A11" s="13" t="s">
        <v>143</v>
      </c>
      <c r="B11" s="13" t="s">
        <v>144</v>
      </c>
      <c r="C11" s="13" t="s">
        <v>145</v>
      </c>
      <c r="D11" s="13" t="s">
        <v>146</v>
      </c>
      <c r="E11" s="13" t="s">
        <v>147</v>
      </c>
      <c r="F11" s="13" t="s">
        <v>148</v>
      </c>
      <c r="G11" s="13" t="s">
        <v>149</v>
      </c>
      <c r="H11" s="13" t="s">
        <v>150</v>
      </c>
      <c r="I11" s="13" t="s">
        <v>151</v>
      </c>
    </row>
    <row r="12" customFormat="false" ht="15" hidden="false" customHeight="false" outlineLevel="0" collapsed="false">
      <c r="A12" s="7" t="s">
        <v>152</v>
      </c>
      <c r="B12" s="20" t="s">
        <v>153</v>
      </c>
      <c r="C12" s="25" t="n">
        <v>-0.02</v>
      </c>
      <c r="D12" s="25" t="n">
        <v>0.1</v>
      </c>
      <c r="E12" s="26" t="s">
        <v>154</v>
      </c>
      <c r="F12" s="26" t="s">
        <v>154</v>
      </c>
      <c r="G12" s="26" t="s">
        <v>154</v>
      </c>
      <c r="H12" s="26" t="s">
        <v>154</v>
      </c>
      <c r="I12" s="10" t="s">
        <v>155</v>
      </c>
    </row>
    <row r="13" customFormat="false" ht="15" hidden="false" customHeight="false" outlineLevel="0" collapsed="false">
      <c r="A13" s="7" t="s">
        <v>156</v>
      </c>
      <c r="B13" s="20" t="s">
        <v>153</v>
      </c>
      <c r="C13" s="25" t="n">
        <v>-0.015</v>
      </c>
      <c r="D13" s="25" t="n">
        <v>0.09</v>
      </c>
      <c r="E13" s="26" t="s">
        <v>154</v>
      </c>
      <c r="F13" s="26" t="s">
        <v>154</v>
      </c>
      <c r="G13" s="26" t="s">
        <v>154</v>
      </c>
      <c r="H13" s="26" t="s">
        <v>154</v>
      </c>
      <c r="I13" s="10" t="s">
        <v>157</v>
      </c>
    </row>
    <row r="14" customFormat="false" ht="15" hidden="false" customHeight="false" outlineLevel="0" collapsed="false">
      <c r="A14" s="7" t="s">
        <v>158</v>
      </c>
      <c r="B14" s="20" t="s">
        <v>153</v>
      </c>
      <c r="C14" s="25" t="n">
        <v>0.02</v>
      </c>
      <c r="D14" s="25" t="n">
        <v>0.1</v>
      </c>
      <c r="E14" s="26" t="s">
        <v>154</v>
      </c>
      <c r="F14" s="26" t="s">
        <v>154</v>
      </c>
      <c r="G14" s="26" t="s">
        <v>154</v>
      </c>
      <c r="H14" s="26" t="s">
        <v>154</v>
      </c>
      <c r="I14" s="10" t="s">
        <v>159</v>
      </c>
    </row>
    <row r="15" customFormat="false" ht="15" hidden="false" customHeight="false" outlineLevel="0" collapsed="false">
      <c r="A15" s="7" t="s">
        <v>160</v>
      </c>
      <c r="B15" s="20" t="s">
        <v>153</v>
      </c>
      <c r="C15" s="25" t="n">
        <v>0.06</v>
      </c>
      <c r="D15" s="25" t="n">
        <v>0.1</v>
      </c>
      <c r="E15" s="26" t="s">
        <v>154</v>
      </c>
      <c r="F15" s="26" t="s">
        <v>154</v>
      </c>
      <c r="G15" s="26" t="s">
        <v>154</v>
      </c>
      <c r="H15" s="26" t="s">
        <v>154</v>
      </c>
      <c r="I15" s="10" t="s">
        <v>161</v>
      </c>
    </row>
    <row r="16" customFormat="false" ht="15" hidden="false" customHeight="false" outlineLevel="0" collapsed="false">
      <c r="A16" s="7" t="s">
        <v>162</v>
      </c>
      <c r="B16" s="20" t="s">
        <v>153</v>
      </c>
      <c r="C16" s="25" t="n">
        <v>0.01</v>
      </c>
      <c r="D16" s="25" t="n">
        <v>0.12</v>
      </c>
      <c r="E16" s="26" t="s">
        <v>154</v>
      </c>
      <c r="F16" s="26" t="s">
        <v>154</v>
      </c>
      <c r="G16" s="26" t="s">
        <v>154</v>
      </c>
      <c r="H16" s="26" t="s">
        <v>154</v>
      </c>
      <c r="I16" s="10" t="s">
        <v>163</v>
      </c>
    </row>
    <row r="17" customFormat="false" ht="15" hidden="false" customHeight="false" outlineLevel="0" collapsed="false">
      <c r="A17" s="7" t="s">
        <v>164</v>
      </c>
      <c r="B17" s="20" t="s">
        <v>165</v>
      </c>
      <c r="C17" s="26" t="s">
        <v>154</v>
      </c>
      <c r="D17" s="26" t="s">
        <v>154</v>
      </c>
      <c r="E17" s="27" t="n">
        <v>0.45</v>
      </c>
      <c r="F17" s="28" t="n">
        <v>0.06</v>
      </c>
      <c r="G17" s="25" t="n">
        <v>0.07</v>
      </c>
      <c r="H17" s="29" t="n">
        <f aca="false">E17*F17</f>
        <v>0.027</v>
      </c>
      <c r="I17" s="10" t="s">
        <v>166</v>
      </c>
    </row>
    <row r="18" customFormat="false" ht="15" hidden="false" customHeight="false" outlineLevel="0" collapsed="false">
      <c r="A18" s="7" t="s">
        <v>167</v>
      </c>
      <c r="B18" s="20" t="s">
        <v>165</v>
      </c>
      <c r="C18" s="26" t="s">
        <v>154</v>
      </c>
      <c r="D18" s="26" t="s">
        <v>154</v>
      </c>
      <c r="E18" s="27" t="n">
        <v>0.5</v>
      </c>
      <c r="F18" s="28" t="n">
        <v>0.06</v>
      </c>
      <c r="G18" s="25" t="n">
        <v>0.05</v>
      </c>
      <c r="H18" s="29" t="n">
        <f aca="false">E18*F18</f>
        <v>0.03</v>
      </c>
      <c r="I18" s="10" t="s">
        <v>168</v>
      </c>
    </row>
    <row r="19" customFormat="false" ht="15" hidden="false" customHeight="false" outlineLevel="0" collapsed="false">
      <c r="A19" s="7" t="s">
        <v>169</v>
      </c>
      <c r="B19" s="20" t="s">
        <v>165</v>
      </c>
      <c r="C19" s="26" t="s">
        <v>154</v>
      </c>
      <c r="D19" s="26" t="s">
        <v>154</v>
      </c>
      <c r="E19" s="27" t="n">
        <v>0.45</v>
      </c>
      <c r="F19" s="28" t="n">
        <v>-0.04</v>
      </c>
      <c r="G19" s="25" t="n">
        <v>0.07</v>
      </c>
      <c r="H19" s="29" t="n">
        <f aca="false">E19*F19</f>
        <v>-0.018</v>
      </c>
      <c r="I19" s="10" t="s">
        <v>170</v>
      </c>
    </row>
    <row r="20" customFormat="false" ht="15" hidden="false" customHeight="false" outlineLevel="0" collapsed="false">
      <c r="A20" s="7" t="s">
        <v>171</v>
      </c>
      <c r="B20" s="20" t="s">
        <v>165</v>
      </c>
      <c r="C20" s="26" t="s">
        <v>154</v>
      </c>
      <c r="D20" s="26" t="s">
        <v>154</v>
      </c>
      <c r="E20" s="27" t="n">
        <v>0.4</v>
      </c>
      <c r="F20" s="28" t="n">
        <v>0.06</v>
      </c>
      <c r="G20" s="25" t="n">
        <v>0.06</v>
      </c>
      <c r="H20" s="29" t="n">
        <f aca="false">E20*F20</f>
        <v>0.024</v>
      </c>
      <c r="I20" s="10" t="s">
        <v>172</v>
      </c>
    </row>
    <row r="21" customFormat="false" ht="15" hidden="false" customHeight="false" outlineLevel="0" collapsed="false">
      <c r="A21" s="7" t="s">
        <v>173</v>
      </c>
      <c r="B21" s="20" t="s">
        <v>165</v>
      </c>
      <c r="C21" s="26" t="s">
        <v>154</v>
      </c>
      <c r="D21" s="26" t="s">
        <v>154</v>
      </c>
      <c r="E21" s="27" t="n">
        <v>0.4</v>
      </c>
      <c r="F21" s="28" t="n">
        <v>-0.07</v>
      </c>
      <c r="G21" s="25" t="n">
        <v>0.08</v>
      </c>
      <c r="H21" s="29" t="n">
        <f aca="false">E21*F21</f>
        <v>-0.028</v>
      </c>
      <c r="I21" s="10" t="s">
        <v>174</v>
      </c>
    </row>
    <row r="22" customFormat="false" ht="15" hidden="false" customHeight="false" outlineLevel="0" collapsed="false">
      <c r="A22" s="7" t="s">
        <v>175</v>
      </c>
      <c r="B22" s="20" t="s">
        <v>165</v>
      </c>
      <c r="C22" s="26" t="s">
        <v>154</v>
      </c>
      <c r="D22" s="26" t="s">
        <v>154</v>
      </c>
      <c r="E22" s="27" t="n">
        <v>0.5</v>
      </c>
      <c r="F22" s="28" t="n">
        <v>0.06</v>
      </c>
      <c r="G22" s="25" t="n">
        <v>0.05</v>
      </c>
      <c r="H22" s="29" t="n">
        <f aca="false">E22*F22</f>
        <v>0.03</v>
      </c>
      <c r="I22" s="10" t="s">
        <v>176</v>
      </c>
    </row>
    <row r="24" customFormat="false" ht="15" hidden="false" customHeight="false" outlineLevel="0" collapsed="false">
      <c r="A24" s="6" t="s">
        <v>177</v>
      </c>
    </row>
    <row r="25" customFormat="false" ht="15" hidden="false" customHeight="false" outlineLevel="0" collapsed="false">
      <c r="A25" s="7" t="s">
        <v>178</v>
      </c>
      <c r="B25" s="30" t="n">
        <f aca="false">SUM(C12:C16)</f>
        <v>0.055</v>
      </c>
    </row>
    <row r="26" customFormat="false" ht="15" hidden="false" customHeight="false" outlineLevel="0" collapsed="false">
      <c r="A26" s="7" t="s">
        <v>179</v>
      </c>
      <c r="B26" s="30" t="n">
        <f aca="false">SUMPRODUCT(E17:E22,F17:F22)</f>
        <v>0.065</v>
      </c>
    </row>
    <row r="27" customFormat="false" ht="15" hidden="false" customHeight="false" outlineLevel="0" collapsed="false">
      <c r="A27" s="7" t="s">
        <v>180</v>
      </c>
      <c r="B27" s="31" t="n">
        <f aca="false">B25+B26</f>
        <v>0.12</v>
      </c>
    </row>
    <row r="28" customFormat="false" ht="15" hidden="false" customHeight="false" outlineLevel="0" collapsed="false">
      <c r="A28" s="7" t="s">
        <v>181</v>
      </c>
      <c r="B28" s="32" t="n">
        <f aca="false">B6*SQRT(B7/B8)</f>
        <v>0.27</v>
      </c>
    </row>
    <row r="29" customFormat="false" ht="15" hidden="false" customHeight="false" outlineLevel="0" collapsed="false">
      <c r="A29" s="7" t="s">
        <v>182</v>
      </c>
      <c r="B29" s="33" t="n">
        <f aca="false">-0.5*B28^2</f>
        <v>-0.03645</v>
      </c>
    </row>
    <row r="30" customFormat="false" ht="15" hidden="false" customHeight="false" outlineLevel="0" collapsed="false">
      <c r="A30" s="7" t="s">
        <v>183</v>
      </c>
      <c r="B30" s="34" t="n">
        <v>0.3</v>
      </c>
    </row>
    <row r="32" customFormat="false" ht="15" hidden="false" customHeight="false" outlineLevel="0" collapsed="false">
      <c r="A32" s="6" t="s">
        <v>184</v>
      </c>
    </row>
    <row r="33" customFormat="false" ht="15" hidden="false" customHeight="false" outlineLevel="0" collapsed="false">
      <c r="A33" s="13" t="s">
        <v>185</v>
      </c>
      <c r="B33" s="13" t="s">
        <v>186</v>
      </c>
      <c r="C33" s="13" t="s">
        <v>187</v>
      </c>
      <c r="D33" s="13" t="s">
        <v>188</v>
      </c>
      <c r="E33" s="13" t="s">
        <v>189</v>
      </c>
      <c r="F33" s="13" t="s">
        <v>190</v>
      </c>
      <c r="G33" s="13"/>
      <c r="H33" s="13" t="s">
        <v>191</v>
      </c>
    </row>
    <row r="34" customFormat="false" ht="15" hidden="false" customHeight="false" outlineLevel="0" collapsed="false">
      <c r="A34" s="7" t="s">
        <v>192</v>
      </c>
      <c r="B34" s="35" t="n">
        <f aca="false">$B$5*EXP(LN(1+$B$27)+$B$29+$B$28*NORMSINV(0.05))</f>
        <v>2763.56591012021</v>
      </c>
      <c r="C34" s="35" t="n">
        <f aca="false">$B$5*EXP(LN(1+$B$27)+$B$29+$B$28*NORMSINV(0.25))</f>
        <v>3591.3209553717</v>
      </c>
      <c r="D34" s="35" t="n">
        <f aca="false">$B$5*EXP(LN(1+$B$27)+$B$29+$B$28*NORMSINV(0.5))</f>
        <v>4308.68314021537</v>
      </c>
      <c r="E34" s="35" t="n">
        <f aca="false">$B$5*EXP(LN(1+$B$27)+$B$29+$B$28*NORMSINV(0.75))</f>
        <v>5169.33758733203</v>
      </c>
      <c r="F34" s="35" t="n">
        <f aca="false">$B$5*EXP(LN(1+$B$27)+$B$29+$B$28*NORMSINV(0.95))</f>
        <v>6717.67962355875</v>
      </c>
      <c r="H34" s="10" t="s">
        <v>193</v>
      </c>
    </row>
    <row r="35" customFormat="false" ht="15" hidden="false" customHeight="false" outlineLevel="0" collapsed="false">
      <c r="A35" s="7" t="s">
        <v>194</v>
      </c>
      <c r="B35" s="36" t="n">
        <v>2624</v>
      </c>
      <c r="C35" s="36" t="n">
        <v>3515</v>
      </c>
      <c r="D35" s="22" t="n">
        <v>4295</v>
      </c>
      <c r="E35" s="36" t="n">
        <v>5246</v>
      </c>
      <c r="F35" s="36" t="n">
        <v>7026</v>
      </c>
      <c r="H35" s="10" t="s">
        <v>195</v>
      </c>
    </row>
    <row r="37" customFormat="false" ht="15" hidden="false" customHeight="false" outlineLevel="0" collapsed="false">
      <c r="A37" s="6" t="s">
        <v>196</v>
      </c>
    </row>
    <row r="38" customFormat="false" ht="15" hidden="false" customHeight="false" outlineLevel="0" collapsed="false">
      <c r="A38" s="7" t="s">
        <v>197</v>
      </c>
      <c r="B38" s="22" t="n">
        <v>4295</v>
      </c>
      <c r="D38" s="10" t="s">
        <v>198</v>
      </c>
    </row>
    <row r="39" customFormat="false" ht="15" hidden="false" customHeight="false" outlineLevel="0" collapsed="false">
      <c r="A39" s="7" t="s">
        <v>199</v>
      </c>
      <c r="B39" s="9" t="n">
        <v>4487</v>
      </c>
      <c r="D39" s="10" t="s">
        <v>200</v>
      </c>
    </row>
    <row r="40" customFormat="false" ht="15" hidden="false" customHeight="false" outlineLevel="0" collapsed="false">
      <c r="A40" s="7" t="s">
        <v>201</v>
      </c>
      <c r="B40" s="36" t="n">
        <f aca="false">$B$5*EXP(LN(1+$B$27)+$B$29)</f>
        <v>4308.68314021537</v>
      </c>
    </row>
    <row r="41" customFormat="false" ht="15" hidden="false" customHeight="false" outlineLevel="0" collapsed="false">
      <c r="A41" s="7" t="s">
        <v>202</v>
      </c>
      <c r="B41" s="36" t="n">
        <f aca="false">$B$5*(1+$B$27)</f>
        <v>4468.632</v>
      </c>
    </row>
    <row r="42" customFormat="false" ht="15" hidden="false" customHeight="false" outlineLevel="0" collapsed="false">
      <c r="A42" s="7" t="s">
        <v>203</v>
      </c>
      <c r="B42" s="36" t="n">
        <v>4133</v>
      </c>
      <c r="D42" s="10" t="s">
        <v>204</v>
      </c>
    </row>
    <row r="44" customFormat="false" ht="15" hidden="false" customHeight="false" outlineLevel="0" collapsed="false">
      <c r="A44" s="6" t="s">
        <v>205</v>
      </c>
    </row>
    <row r="45" customFormat="false" ht="15" hidden="false" customHeight="false" outlineLevel="0" collapsed="false">
      <c r="A45" s="13" t="s">
        <v>206</v>
      </c>
      <c r="B45" s="13" t="s">
        <v>207</v>
      </c>
    </row>
    <row r="46" customFormat="false" ht="15" hidden="false" customHeight="false" outlineLevel="0" collapsed="false">
      <c r="A46" s="7" t="s">
        <v>208</v>
      </c>
      <c r="B46" s="32" t="n">
        <v>0.246</v>
      </c>
    </row>
    <row r="47" customFormat="false" ht="15" hidden="false" customHeight="false" outlineLevel="0" collapsed="false">
      <c r="A47" s="7" t="s">
        <v>209</v>
      </c>
      <c r="B47" s="32" t="n">
        <v>0.226</v>
      </c>
    </row>
    <row r="48" customFormat="false" ht="15" hidden="false" customHeight="false" outlineLevel="0" collapsed="false">
      <c r="A48" s="7" t="s">
        <v>210</v>
      </c>
      <c r="B48" s="32" t="n">
        <v>0.175</v>
      </c>
    </row>
    <row r="49" customFormat="false" ht="15" hidden="false" customHeight="false" outlineLevel="0" collapsed="false">
      <c r="A49" s="7" t="s">
        <v>211</v>
      </c>
      <c r="B49" s="32" t="n">
        <v>0.168</v>
      </c>
    </row>
    <row r="50" customFormat="false" ht="15" hidden="false" customHeight="false" outlineLevel="0" collapsed="false">
      <c r="A50" s="7" t="s">
        <v>212</v>
      </c>
      <c r="B50" s="32" t="n">
        <v>0.186</v>
      </c>
    </row>
    <row r="52" customFormat="false" ht="15" hidden="false" customHeight="false" outlineLevel="0" collapsed="false">
      <c r="A52" s="6" t="s">
        <v>213</v>
      </c>
    </row>
    <row r="53" customFormat="false" ht="22.35" hidden="false" customHeight="false" outlineLevel="0" collapsed="false">
      <c r="A53" s="13" t="s">
        <v>214</v>
      </c>
      <c r="B53" s="13" t="s">
        <v>215</v>
      </c>
    </row>
    <row r="54" customFormat="false" ht="15" hidden="false" customHeight="false" outlineLevel="0" collapsed="false">
      <c r="A54" s="36" t="n">
        <v>6000</v>
      </c>
      <c r="B54" s="32" t="n">
        <v>0.224</v>
      </c>
    </row>
    <row r="55" customFormat="false" ht="15" hidden="false" customHeight="false" outlineLevel="0" collapsed="false">
      <c r="A55" s="36" t="n">
        <v>5595</v>
      </c>
      <c r="B55" s="32" t="n">
        <v>0.319</v>
      </c>
    </row>
    <row r="56" customFormat="false" ht="15" hidden="false" customHeight="false" outlineLevel="0" collapsed="false">
      <c r="A56" s="36" t="n">
        <v>5000</v>
      </c>
      <c r="B56" s="32" t="n">
        <v>0.511</v>
      </c>
    </row>
    <row r="57" customFormat="false" ht="15" hidden="false" customHeight="false" outlineLevel="0" collapsed="false">
      <c r="A57" s="36" t="n">
        <v>4500</v>
      </c>
      <c r="B57" s="32" t="n">
        <v>0.729</v>
      </c>
    </row>
    <row r="58" customFormat="false" ht="15" hidden="false" customHeight="false" outlineLevel="0" collapsed="false">
      <c r="A58" s="10" t="s">
        <v>216</v>
      </c>
    </row>
    <row r="59" customFormat="false" ht="15" hidden="false" customHeight="false" outlineLevel="0" collapsed="false">
      <c r="A59" s="36" t="n">
        <v>3500</v>
      </c>
      <c r="B59" s="32" t="n">
        <v>0.556</v>
      </c>
    </row>
    <row r="60" customFormat="false" ht="15" hidden="false" customHeight="false" outlineLevel="0" collapsed="false">
      <c r="A60" s="36" t="n">
        <v>3000</v>
      </c>
      <c r="B60" s="32" t="n">
        <v>0.25</v>
      </c>
    </row>
    <row r="61" customFormat="false" ht="15" hidden="false" customHeight="false" outlineLevel="0" collapsed="false">
      <c r="A61" s="1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</cols>
  <sheetData>
    <row r="1" customFormat="false" ht="19.5" hidden="false" customHeight="true" outlineLevel="0" collapsed="false">
      <c r="A1" s="1" t="s">
        <v>218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219</v>
      </c>
    </row>
    <row r="4" customFormat="false" ht="15" hidden="false" customHeight="false" outlineLevel="0" collapsed="false">
      <c r="A4" s="6" t="s">
        <v>220</v>
      </c>
    </row>
    <row r="5" customFormat="false" ht="15" hidden="false" customHeight="false" outlineLevel="0" collapsed="false">
      <c r="A5" s="21" t="s">
        <v>221</v>
      </c>
      <c r="B5" s="23" t="n">
        <v>0</v>
      </c>
      <c r="C5" s="23" t="n">
        <v>0.04</v>
      </c>
      <c r="D5" s="23" t="n">
        <v>0.08</v>
      </c>
      <c r="E5" s="23" t="n">
        <v>0.12</v>
      </c>
      <c r="F5" s="23" t="n">
        <v>0.16</v>
      </c>
    </row>
    <row r="6" customFormat="false" ht="15" hidden="false" customHeight="false" outlineLevel="0" collapsed="false">
      <c r="A6" s="17" t="n">
        <v>6000</v>
      </c>
      <c r="B6" s="36" t="n">
        <f aca="false">$A6*(1-0)</f>
        <v>6000</v>
      </c>
      <c r="C6" s="36" t="n">
        <f aca="false">$A6*(1-0.04)</f>
        <v>5760</v>
      </c>
      <c r="D6" s="36" t="n">
        <f aca="false">$A6*(1-0.08)</f>
        <v>5520</v>
      </c>
      <c r="E6" s="36" t="n">
        <f aca="false">$A6*(1-0.12)</f>
        <v>5280</v>
      </c>
      <c r="F6" s="36" t="n">
        <f aca="false">$A6*(1-0.16)</f>
        <v>5040</v>
      </c>
    </row>
    <row r="7" customFormat="false" ht="15" hidden="false" customHeight="false" outlineLevel="0" collapsed="false">
      <c r="A7" s="17" t="n">
        <v>5200</v>
      </c>
      <c r="B7" s="36" t="n">
        <f aca="false">$A7*(1-0)</f>
        <v>5200</v>
      </c>
      <c r="C7" s="36" t="n">
        <f aca="false">$A7*(1-0.04)</f>
        <v>4992</v>
      </c>
      <c r="D7" s="36" t="n">
        <f aca="false">$A7*(1-0.08)</f>
        <v>4784</v>
      </c>
      <c r="E7" s="36" t="n">
        <f aca="false">$A7*(1-0.12)</f>
        <v>4576</v>
      </c>
      <c r="F7" s="36" t="n">
        <f aca="false">$A7*(1-0.16)</f>
        <v>4368</v>
      </c>
    </row>
    <row r="8" customFormat="false" ht="15" hidden="false" customHeight="false" outlineLevel="0" collapsed="false">
      <c r="A8" s="17" t="n">
        <v>4800</v>
      </c>
      <c r="B8" s="36" t="n">
        <f aca="false">$A8*(1-0)</f>
        <v>4800</v>
      </c>
      <c r="C8" s="22" t="n">
        <f aca="false">$A8*(1-0.04)</f>
        <v>4608</v>
      </c>
      <c r="D8" s="36" t="n">
        <f aca="false">$A8*(1-0.08)</f>
        <v>4416</v>
      </c>
      <c r="E8" s="36" t="n">
        <f aca="false">$A8*(1-0.12)</f>
        <v>4224</v>
      </c>
      <c r="F8" s="36" t="n">
        <f aca="false">$A8*(1-0.16)</f>
        <v>4032</v>
      </c>
    </row>
    <row r="9" customFormat="false" ht="15" hidden="false" customHeight="false" outlineLevel="0" collapsed="false">
      <c r="A9" s="17" t="n">
        <v>4600</v>
      </c>
      <c r="B9" s="36" t="n">
        <f aca="false">$A9*(1-0)</f>
        <v>4600</v>
      </c>
      <c r="C9" s="36" t="n">
        <f aca="false">$A9*(1-0.04)</f>
        <v>4416</v>
      </c>
      <c r="D9" s="36" t="n">
        <f aca="false">$A9*(1-0.08)</f>
        <v>4232</v>
      </c>
      <c r="E9" s="36" t="n">
        <f aca="false">$A9*(1-0.12)</f>
        <v>4048</v>
      </c>
      <c r="F9" s="36" t="n">
        <f aca="false">$A9*(1-0.16)</f>
        <v>3864</v>
      </c>
    </row>
    <row r="10" customFormat="false" ht="15" hidden="false" customHeight="false" outlineLevel="0" collapsed="false">
      <c r="A10" s="17" t="n">
        <v>4400</v>
      </c>
      <c r="B10" s="36" t="n">
        <f aca="false">$A10*(1-0)</f>
        <v>4400</v>
      </c>
      <c r="C10" s="36" t="n">
        <f aca="false">$A10*(1-0.04)</f>
        <v>4224</v>
      </c>
      <c r="D10" s="36" t="n">
        <f aca="false">$A10*(1-0.08)</f>
        <v>4048</v>
      </c>
      <c r="E10" s="36" t="n">
        <f aca="false">$A10*(1-0.12)</f>
        <v>3872</v>
      </c>
      <c r="F10" s="36" t="n">
        <f aca="false">$A10*(1-0.16)</f>
        <v>3696</v>
      </c>
    </row>
    <row r="12" customFormat="false" ht="15" hidden="false" customHeight="false" outlineLevel="0" collapsed="false">
      <c r="A12" s="6" t="s">
        <v>222</v>
      </c>
    </row>
    <row r="13" customFormat="false" ht="15" hidden="false" customHeight="false" outlineLevel="0" collapsed="false">
      <c r="A13" s="21" t="s">
        <v>223</v>
      </c>
      <c r="B13" s="37" t="n">
        <v>-0.08</v>
      </c>
      <c r="C13" s="37" t="n">
        <v>0</v>
      </c>
      <c r="D13" s="37" t="n">
        <v>0.06</v>
      </c>
      <c r="E13" s="37" t="n">
        <v>0.12</v>
      </c>
      <c r="F13" s="37" t="n">
        <v>0.2</v>
      </c>
    </row>
    <row r="14" customFormat="false" ht="15" hidden="false" customHeight="false" outlineLevel="0" collapsed="false">
      <c r="A14" s="23" t="n">
        <v>0.18</v>
      </c>
      <c r="B14" s="36" t="n">
        <f aca="false">3989.85*EXP(LN(1+-0.08)-0.5*$A14^2)</f>
        <v>3611.67634938055</v>
      </c>
      <c r="C14" s="36" t="n">
        <f aca="false">3989.85*EXP(LN(1+0)-0.5*$A14^2)</f>
        <v>3925.73516237017</v>
      </c>
      <c r="D14" s="36" t="n">
        <f aca="false">3989.85*EXP(LN(1+0.06)-0.5*$A14^2)</f>
        <v>4161.27927211238</v>
      </c>
      <c r="E14" s="36" t="n">
        <f aca="false">3989.85*EXP(LN(1+0.12)-0.5*$A14^2)</f>
        <v>4396.82338185459</v>
      </c>
      <c r="F14" s="36" t="n">
        <f aca="false">3989.85*EXP(LN(1+0.2)-0.5*$A14^2)</f>
        <v>4710.8821948442</v>
      </c>
    </row>
    <row r="15" customFormat="false" ht="15" hidden="false" customHeight="false" outlineLevel="0" collapsed="false">
      <c r="A15" s="23" t="n">
        <v>0.23</v>
      </c>
      <c r="B15" s="36" t="n">
        <f aca="false">3989.85*EXP(LN(1+-0.08)-0.5*$A15^2)</f>
        <v>3574.84574610026</v>
      </c>
      <c r="C15" s="36" t="n">
        <f aca="false">3989.85*EXP(LN(1+0)-0.5*$A15^2)</f>
        <v>3885.70189793506</v>
      </c>
      <c r="D15" s="36" t="n">
        <f aca="false">3989.85*EXP(LN(1+0.06)-0.5*$A15^2)</f>
        <v>4118.84401181116</v>
      </c>
      <c r="E15" s="36" t="n">
        <f aca="false">3989.85*EXP(LN(1+0.12)-0.5*$A15^2)</f>
        <v>4351.98612568727</v>
      </c>
      <c r="F15" s="36" t="n">
        <f aca="false">3989.85*EXP(LN(1+0.2)-0.5*$A15^2)</f>
        <v>4662.84227752207</v>
      </c>
    </row>
    <row r="16" customFormat="false" ht="15" hidden="false" customHeight="false" outlineLevel="0" collapsed="false">
      <c r="A16" s="23" t="n">
        <v>0.27</v>
      </c>
      <c r="B16" s="36" t="n">
        <f aca="false">3989.85*EXP(LN(1+-0.08)-0.5*$A16^2)</f>
        <v>3539.27543660548</v>
      </c>
      <c r="C16" s="36" t="n">
        <f aca="false">3989.85*EXP(LN(1+0)-0.5*$A16^2)</f>
        <v>3847.03851804943</v>
      </c>
      <c r="D16" s="36" t="n">
        <f aca="false">3989.85*EXP(LN(1+0.06)-0.5*$A16^2)</f>
        <v>4077.8608291324</v>
      </c>
      <c r="E16" s="22" t="n">
        <f aca="false">3989.85*EXP(LN(1+0.12)-0.5*$A16^2)</f>
        <v>4308.68314021537</v>
      </c>
      <c r="F16" s="36" t="n">
        <f aca="false">3989.85*EXP(LN(1+0.2)-0.5*$A16^2)</f>
        <v>4616.44622165932</v>
      </c>
    </row>
    <row r="17" customFormat="false" ht="15" hidden="false" customHeight="false" outlineLevel="0" collapsed="false">
      <c r="A17" s="23" t="n">
        <v>0.33</v>
      </c>
      <c r="B17" s="36" t="n">
        <f aca="false">3989.85*EXP(LN(1+-0.08)-0.5*$A17^2)</f>
        <v>3476.13841661681</v>
      </c>
      <c r="C17" s="36" t="n">
        <f aca="false">3989.85*EXP(LN(1+0)-0.5*$A17^2)</f>
        <v>3778.41132240958</v>
      </c>
      <c r="D17" s="36" t="n">
        <f aca="false">3989.85*EXP(LN(1+0.06)-0.5*$A17^2)</f>
        <v>4005.11600175415</v>
      </c>
      <c r="E17" s="36" t="n">
        <f aca="false">3989.85*EXP(LN(1+0.12)-0.5*$A17^2)</f>
        <v>4231.82068109873</v>
      </c>
      <c r="F17" s="36" t="n">
        <f aca="false">3989.85*EXP(LN(1+0.2)-0.5*$A17^2)</f>
        <v>4534.09358689149</v>
      </c>
    </row>
    <row r="18" customFormat="false" ht="15" hidden="false" customHeight="false" outlineLevel="0" collapsed="false">
      <c r="A18" s="23" t="n">
        <v>0.4</v>
      </c>
      <c r="B18" s="36" t="n">
        <f aca="false">3989.85*EXP(LN(1+-0.08)-0.5*$A18^2)</f>
        <v>3388.44809426026</v>
      </c>
      <c r="C18" s="36" t="n">
        <f aca="false">3989.85*EXP(LN(1+0)-0.5*$A18^2)</f>
        <v>3683.09575463072</v>
      </c>
      <c r="D18" s="36" t="n">
        <f aca="false">3989.85*EXP(LN(1+0.06)-0.5*$A18^2)</f>
        <v>3904.08149990856</v>
      </c>
      <c r="E18" s="36" t="n">
        <f aca="false">3989.85*EXP(LN(1+0.12)-0.5*$A18^2)</f>
        <v>4125.06724518641</v>
      </c>
      <c r="F18" s="36" t="n">
        <f aca="false">3989.85*EXP(LN(1+0.2)-0.5*$A18^2)</f>
        <v>4419.71490555686</v>
      </c>
    </row>
    <row r="20" customFormat="false" ht="15" hidden="false" customHeight="false" outlineLevel="0" collapsed="false">
      <c r="A20" s="6" t="s">
        <v>224</v>
      </c>
    </row>
    <row r="21" customFormat="false" ht="15" hidden="false" customHeight="false" outlineLevel="0" collapsed="false">
      <c r="A21" s="21" t="s">
        <v>223</v>
      </c>
      <c r="B21" s="37" t="n">
        <v>-0.08</v>
      </c>
      <c r="C21" s="37" t="n">
        <v>0</v>
      </c>
      <c r="D21" s="37" t="n">
        <v>0.06</v>
      </c>
      <c r="E21" s="37" t="n">
        <v>0.12</v>
      </c>
      <c r="F21" s="37" t="n">
        <v>0.2</v>
      </c>
    </row>
    <row r="22" customFormat="false" ht="15" hidden="false" customHeight="false" outlineLevel="0" collapsed="false">
      <c r="A22" s="23" t="n">
        <v>0.18</v>
      </c>
      <c r="B22" s="36" t="n">
        <f aca="false">3989.85*EXP(LN(1+-0.08)-0.5*$A22^2+$A22*NORMSINV(0.95))</f>
        <v>4856.14872390662</v>
      </c>
      <c r="C22" s="36" t="n">
        <f aca="false">3989.85*EXP(LN(1+0)-0.5*$A22^2+$A22*NORMSINV(0.95))</f>
        <v>5278.42252598545</v>
      </c>
      <c r="D22" s="36" t="n">
        <f aca="false">3989.85*EXP(LN(1+0.06)-0.5*$A22^2+$A22*NORMSINV(0.95))</f>
        <v>5595.12787754458</v>
      </c>
      <c r="E22" s="36" t="n">
        <f aca="false">3989.85*EXP(LN(1+0.12)-0.5*$A22^2+$A22*NORMSINV(0.95))</f>
        <v>5911.83322910371</v>
      </c>
      <c r="F22" s="36" t="n">
        <f aca="false">3989.85*EXP(LN(1+0.2)-0.5*$A22^2+$A22*NORMSINV(0.95))</f>
        <v>6334.10703118254</v>
      </c>
    </row>
    <row r="23" customFormat="false" ht="15" hidden="false" customHeight="false" outlineLevel="0" collapsed="false">
      <c r="A23" s="23" t="n">
        <v>0.23</v>
      </c>
      <c r="B23" s="36" t="n">
        <f aca="false">3989.85*EXP(LN(1+-0.08)-0.5*$A23^2+$A23*NORMSINV(0.95))</f>
        <v>5218.64798410442</v>
      </c>
      <c r="C23" s="36" t="n">
        <f aca="false">3989.85*EXP(LN(1+0)-0.5*$A23^2+$A23*NORMSINV(0.95))</f>
        <v>5672.44346098307</v>
      </c>
      <c r="D23" s="36" t="n">
        <f aca="false">3989.85*EXP(LN(1+0.06)-0.5*$A23^2+$A23*NORMSINV(0.95))</f>
        <v>6012.79006864205</v>
      </c>
      <c r="E23" s="36" t="n">
        <f aca="false">3989.85*EXP(LN(1+0.12)-0.5*$A23^2+$A23*NORMSINV(0.95))</f>
        <v>6353.13667630103</v>
      </c>
      <c r="F23" s="36" t="n">
        <f aca="false">3989.85*EXP(LN(1+0.2)-0.5*$A23^2+$A23*NORMSINV(0.95))</f>
        <v>6806.93215317968</v>
      </c>
    </row>
    <row r="24" customFormat="false" ht="15" hidden="false" customHeight="false" outlineLevel="0" collapsed="false">
      <c r="A24" s="23" t="n">
        <v>0.27</v>
      </c>
      <c r="B24" s="36" t="n">
        <f aca="false">3989.85*EXP(LN(1+-0.08)-0.5*$A24^2+$A24*NORMSINV(0.95))</f>
        <v>5518.09397649469</v>
      </c>
      <c r="C24" s="36" t="n">
        <f aca="false">3989.85*EXP(LN(1+0)-0.5*$A24^2+$A24*NORMSINV(0.95))</f>
        <v>5997.92823532032</v>
      </c>
      <c r="D24" s="36" t="n">
        <f aca="false">3989.85*EXP(LN(1+0.06)-0.5*$A24^2+$A24*NORMSINV(0.95))</f>
        <v>6357.80392943954</v>
      </c>
      <c r="E24" s="22" t="n">
        <f aca="false">3989.85*EXP(LN(1+0.12)-0.5*$A24^2+$A24*NORMSINV(0.95))</f>
        <v>6717.67962355875</v>
      </c>
      <c r="F24" s="36" t="n">
        <f aca="false">3989.85*EXP(LN(1+0.2)-0.5*$A24^2+$A24*NORMSINV(0.95))</f>
        <v>7197.51388238438</v>
      </c>
    </row>
    <row r="25" customFormat="false" ht="15" hidden="false" customHeight="false" outlineLevel="0" collapsed="false">
      <c r="A25" s="23" t="n">
        <v>0.33</v>
      </c>
      <c r="B25" s="36" t="n">
        <f aca="false">3989.85*EXP(LN(1+-0.08)-0.5*$A25^2+$A25*NORMSINV(0.95))</f>
        <v>5981.81314891093</v>
      </c>
      <c r="C25" s="36" t="n">
        <f aca="false">3989.85*EXP(LN(1+0)-0.5*$A25^2+$A25*NORMSINV(0.95))</f>
        <v>6501.97081403362</v>
      </c>
      <c r="D25" s="36" t="n">
        <f aca="false">3989.85*EXP(LN(1+0.06)-0.5*$A25^2+$A25*NORMSINV(0.95))</f>
        <v>6892.08906287563</v>
      </c>
      <c r="E25" s="36" t="n">
        <f aca="false">3989.85*EXP(LN(1+0.12)-0.5*$A25^2+$A25*NORMSINV(0.95))</f>
        <v>7282.20731171765</v>
      </c>
      <c r="F25" s="36" t="n">
        <f aca="false">3989.85*EXP(LN(1+0.2)-0.5*$A25^2+$A25*NORMSINV(0.95))</f>
        <v>7802.36497684034</v>
      </c>
    </row>
    <row r="26" customFormat="false" ht="15" hidden="false" customHeight="false" outlineLevel="0" collapsed="false">
      <c r="A26" s="23" t="n">
        <v>0.4</v>
      </c>
      <c r="B26" s="36" t="n">
        <f aca="false">3989.85*EXP(LN(1+-0.08)-0.5*$A26^2+$A26*NORMSINV(0.95))</f>
        <v>6542.46154741658</v>
      </c>
      <c r="C26" s="36" t="n">
        <f aca="false">3989.85*EXP(LN(1+0)-0.5*$A26^2+$A26*NORMSINV(0.95))</f>
        <v>7111.37124719194</v>
      </c>
      <c r="D26" s="36" t="n">
        <f aca="false">3989.85*EXP(LN(1+0.06)-0.5*$A26^2+$A26*NORMSINV(0.95))</f>
        <v>7538.05352202345</v>
      </c>
      <c r="E26" s="36" t="n">
        <f aca="false">3989.85*EXP(LN(1+0.12)-0.5*$A26^2+$A26*NORMSINV(0.95))</f>
        <v>7964.73579685497</v>
      </c>
      <c r="F26" s="36" t="n">
        <f aca="false">3989.85*EXP(LN(1+0.2)-0.5*$A26^2+$A26*NORMSINV(0.95))</f>
        <v>8533.64549663032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19.5" hidden="false" customHeight="true" outlineLevel="0" collapsed="false">
      <c r="A1" s="1" t="s">
        <v>225</v>
      </c>
      <c r="B1" s="4"/>
      <c r="C1" s="4"/>
      <c r="D1" s="4"/>
      <c r="E1" s="4"/>
    </row>
    <row r="2" customFormat="false" ht="15" hidden="false" customHeight="false" outlineLevel="0" collapsed="false">
      <c r="A2" s="5" t="s">
        <v>226</v>
      </c>
    </row>
    <row r="4" customFormat="false" ht="15" hidden="false" customHeight="false" outlineLevel="0" collapsed="false">
      <c r="A4" s="6" t="s">
        <v>227</v>
      </c>
    </row>
    <row r="5" customFormat="false" ht="15" hidden="false" customHeight="false" outlineLevel="0" collapsed="false">
      <c r="A5" s="13" t="s">
        <v>228</v>
      </c>
      <c r="B5" s="13" t="s">
        <v>229</v>
      </c>
      <c r="C5" s="13" t="s">
        <v>230</v>
      </c>
      <c r="D5" s="13" t="s">
        <v>231</v>
      </c>
      <c r="E5" s="13" t="s">
        <v>232</v>
      </c>
    </row>
    <row r="6" customFormat="false" ht="15" hidden="false" customHeight="false" outlineLevel="0" collapsed="false">
      <c r="A6" s="7" t="s">
        <v>233</v>
      </c>
      <c r="B6" s="34" t="n">
        <v>0.5</v>
      </c>
      <c r="C6" s="34" t="n">
        <v>0.5</v>
      </c>
      <c r="D6" s="20" t="s">
        <v>234</v>
      </c>
      <c r="E6" s="34" t="n">
        <v>0.54</v>
      </c>
    </row>
    <row r="7" customFormat="false" ht="15" hidden="false" customHeight="false" outlineLevel="0" collapsed="false">
      <c r="A7" s="7" t="s">
        <v>235</v>
      </c>
      <c r="B7" s="34" t="n">
        <v>0.8</v>
      </c>
      <c r="C7" s="34" t="n">
        <v>0.62</v>
      </c>
      <c r="D7" s="20" t="s">
        <v>236</v>
      </c>
      <c r="E7" s="34" t="n">
        <v>0.71</v>
      </c>
    </row>
    <row r="8" customFormat="false" ht="15" hidden="false" customHeight="false" outlineLevel="0" collapsed="false">
      <c r="A8" s="7" t="s">
        <v>237</v>
      </c>
      <c r="B8" s="34" t="n">
        <v>0.9</v>
      </c>
      <c r="C8" s="34" t="n">
        <v>0.75</v>
      </c>
      <c r="D8" s="20" t="s">
        <v>238</v>
      </c>
      <c r="E8" s="34" t="n">
        <v>0.75</v>
      </c>
    </row>
    <row r="10" customFormat="false" ht="15" hidden="false" customHeight="false" outlineLevel="0" collapsed="false">
      <c r="A10" s="7" t="s">
        <v>239</v>
      </c>
      <c r="B10" s="20" t="s">
        <v>240</v>
      </c>
      <c r="D10" s="10" t="s">
        <v>241</v>
      </c>
    </row>
    <row r="11" customFormat="false" ht="15" hidden="false" customHeight="false" outlineLevel="0" collapsed="false">
      <c r="A11" s="21" t="s">
        <v>242</v>
      </c>
      <c r="B11" s="6" t="s">
        <v>243</v>
      </c>
    </row>
    <row r="13" customFormat="false" ht="15" hidden="false" customHeight="false" outlineLevel="0" collapsed="false">
      <c r="A13" s="10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54"/>
  </cols>
  <sheetData>
    <row r="1" customFormat="false" ht="19.5" hidden="false" customHeight="true" outlineLevel="0" collapsed="false">
      <c r="A1" s="1" t="s">
        <v>245</v>
      </c>
      <c r="B1" s="4"/>
      <c r="C1" s="4"/>
    </row>
    <row r="2" customFormat="false" ht="15" hidden="false" customHeight="false" outlineLevel="0" collapsed="false">
      <c r="A2" s="5" t="s">
        <v>246</v>
      </c>
    </row>
    <row r="4" customFormat="false" ht="15" hidden="false" customHeight="false" outlineLevel="0" collapsed="false">
      <c r="A4" s="13" t="s">
        <v>247</v>
      </c>
      <c r="B4" s="13" t="s">
        <v>248</v>
      </c>
      <c r="C4" s="13" t="s">
        <v>191</v>
      </c>
    </row>
    <row r="5" customFormat="false" ht="15" hidden="false" customHeight="false" outlineLevel="0" collapsed="false">
      <c r="A5" s="7" t="s">
        <v>249</v>
      </c>
      <c r="B5" s="20" t="s">
        <v>250</v>
      </c>
      <c r="C5" s="10" t="s">
        <v>251</v>
      </c>
    </row>
    <row r="6" customFormat="false" ht="15" hidden="false" customHeight="false" outlineLevel="0" collapsed="false">
      <c r="A6" s="7" t="s">
        <v>252</v>
      </c>
      <c r="B6" s="20" t="s">
        <v>253</v>
      </c>
      <c r="C6" s="10" t="s">
        <v>254</v>
      </c>
    </row>
    <row r="7" customFormat="false" ht="15" hidden="false" customHeight="false" outlineLevel="0" collapsed="false">
      <c r="A7" s="7" t="s">
        <v>255</v>
      </c>
      <c r="B7" s="20" t="s">
        <v>256</v>
      </c>
      <c r="C7" s="10" t="s">
        <v>257</v>
      </c>
    </row>
    <row r="8" customFormat="false" ht="15" hidden="false" customHeight="false" outlineLevel="0" collapsed="false">
      <c r="A8" s="7" t="s">
        <v>258</v>
      </c>
      <c r="B8" s="20" t="s">
        <v>259</v>
      </c>
      <c r="C8" s="10" t="s">
        <v>260</v>
      </c>
    </row>
    <row r="9" customFormat="false" ht="15" hidden="false" customHeight="false" outlineLevel="0" collapsed="false">
      <c r="A9" s="7" t="s">
        <v>261</v>
      </c>
      <c r="B9" s="20" t="s">
        <v>262</v>
      </c>
      <c r="C9" s="10" t="s">
        <v>263</v>
      </c>
    </row>
    <row r="10" customFormat="false" ht="15" hidden="false" customHeight="false" outlineLevel="0" collapsed="false">
      <c r="A10" s="7" t="s">
        <v>264</v>
      </c>
      <c r="B10" s="20" t="s">
        <v>265</v>
      </c>
      <c r="C10" s="10" t="s">
        <v>266</v>
      </c>
    </row>
    <row r="11" customFormat="false" ht="15" hidden="false" customHeight="false" outlineLevel="0" collapsed="false">
      <c r="A11" s="7" t="s">
        <v>267</v>
      </c>
      <c r="B11" s="20" t="s">
        <v>265</v>
      </c>
      <c r="C11" s="10" t="s">
        <v>268</v>
      </c>
    </row>
    <row r="12" customFormat="false" ht="15" hidden="false" customHeight="false" outlineLevel="0" collapsed="false">
      <c r="A12" s="7" t="s">
        <v>269</v>
      </c>
      <c r="B12" s="20" t="s">
        <v>265</v>
      </c>
      <c r="C12" s="1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2026-06-25T11:04:58Z</dcterms:created>
  <dc:creator>openpyxl</dc:creator>
  <dc:description/>
  <dc:language>en-US</dc:language>
  <cp:lastModifiedBy/>
  <dcterms:modified xsi:type="dcterms:W3CDTF">2026-06-25T11:04:58Z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