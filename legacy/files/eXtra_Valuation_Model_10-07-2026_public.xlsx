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FIRST" sheetId="1" state="visible" r:id="rId3"/>
    <sheet name="Summary" sheetId="2" state="visible" r:id="rId4"/>
    <sheet name="Fundamental Valuation" sheetId="3" state="visible" r:id="rId5"/>
    <sheet name="Assumptions" sheetId="4" state="visible" r:id="rId6"/>
    <sheet name="SOTP" sheetId="5" state="visible" r:id="rId7"/>
    <sheet name="Segments" sheetId="6" state="visible" r:id="rId8"/>
    <sheet name="DCF" sheetId="7" state="visible" r:id="rId9"/>
    <sheet name="Income Statement" sheetId="8" state="visible" r:id="rId10"/>
    <sheet name="Balance Sheet" sheetId="9" state="visible" r:id="rId11"/>
    <sheet name="Cash Flow" sheetId="10" state="visible" r:id="rId12"/>
    <sheet name="Summary Financials" sheetId="11" state="visible" r:id="rId13"/>
    <sheet name="Monte Carlo" sheetId="12" state="visible" r:id="rId14"/>
    <sheet name="Sensitivity" sheetId="13" state="visible" r:id="rId15"/>
    <sheet name="Per-Share &amp; Ratios" sheetId="14" state="visible" r:id="rId16"/>
    <sheet name="Peer &amp; Sector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<sst xmlns="http://schemas.openxmlformats.org/spreadsheetml/2006/main" count="305" uniqueCount="258">
  <si>
    <t xml:space="preserve">eXtra — United Electronics Company (Tadawul:4003)</t>
  </si>
  <si>
    <t xml:space="preserve">Testahil · Independent Valuation Study — Educational Analysis · Not investment advice</t>
  </si>
  <si>
    <t xml:space="preserve">READ FIRST</t>
  </si>
  <si>
    <t xml:space="preserve">• This model is an educational valuation framework, not investment advice and not a rating or price target.</t>
  </si>
  <si>
    <t xml:space="preserve">• Fair value is presented as a RANGE and a probability distribution — never a single point.</t>
  </si>
  <si>
    <t xml:space="preserve">• Primary lens: split-legs sum-of-the-parts — retail operating-co DCF + Tasheel captive consumer-finance book (68.75%-owned).</t>
  </si>
  <si>
    <t xml:space="preserve">• Blue cells = inputs (edit these). Black = formulas. Green = links to another sheet. Change any blue Assumption and the model reprices.</t>
  </si>
  <si>
    <t xml:space="preserve">• The near-term Monte Carlo is carry-anchored (≈ flat): eXtra pays its ~4.25% risk-free carry, and more, out as a ~6.9% dividend — an explained-flat median.</t>
  </si>
  <si>
    <t xml:space="preserve">• Step 0 calibration: PARITY (CRPS skill -0.050, 90% CI [-0.140,+0.007]) — clears the v3 gate at the honest parity tier.</t>
  </si>
  <si>
    <t xml:space="preserve">• The preparer may hold, and may in the future take or dispose of, a position in the security discussed in this report.</t>
  </si>
  <si>
    <t xml:space="preserve">Spot SAR 68.1 (2026-07-09)  |  Shares 80m  |  Mkt cap SAR 5448m  |  SOTP central ~SAR 81/sh</t>
  </si>
  <si>
    <t xml:space="preserve">Valuation summary — every read at a glance</t>
  </si>
  <si>
    <t xml:space="preserve">SAR / share</t>
  </si>
  <si>
    <t xml:space="preserve">vs spot</t>
  </si>
  <si>
    <t xml:space="preserve">FUNDAMENTAL</t>
  </si>
  <si>
    <t xml:space="preserve">  Sum-of-the-parts (split legs)</t>
  </si>
  <si>
    <t xml:space="preserve">  Retail DCF component</t>
  </si>
  <si>
    <t xml:space="preserve">  Tasheel component (68.75%)</t>
  </si>
  <si>
    <t xml:space="preserve">  Relative (P/E 12x)</t>
  </si>
  <si>
    <t xml:space="preserve">MONTE CARLO</t>
  </si>
  <si>
    <t xml:space="preserve">  T+60 median</t>
  </si>
  <si>
    <t xml:space="preserve">  25th / 75th band low</t>
  </si>
  <si>
    <t xml:space="preserve">  25th / 75th band high</t>
  </si>
  <si>
    <t xml:space="preserve">WEIGHTED CENTRAL</t>
  </si>
  <si>
    <t xml:space="preserve">  Weighted central (SOTP 50 / rel 25 / MC 25)</t>
  </si>
  <si>
    <t xml:space="preserve">Spot SAR 68.1 (2026-07-09)</t>
  </si>
  <si>
    <t xml:space="preserve">Fair-value range ~SAR 65–92/sh. Range, not a target. Step 0 PARITY.</t>
  </si>
  <si>
    <t xml:space="preserve">Fundamental valuation — lens map</t>
  </si>
  <si>
    <t xml:space="preserve">Primary</t>
  </si>
  <si>
    <t xml:space="preserve">Split-legs SOTP: retail operating-co DCF (net-cash, discounted at Ke) + Tasheel captive consumer-finance book (equity×justified P/B, at 68.75%).</t>
  </si>
  <si>
    <t xml:space="preserve">Cross-check</t>
  </si>
  <si>
    <t xml:space="preserve">Relative P/E (12x on group EPS). EV/EBITDA is N/M for the blended entity (finance-book earnings).</t>
  </si>
  <si>
    <t xml:space="preserve">Near-term</t>
  </si>
  <si>
    <t xml:space="preserve">Carry-anchored Monte Carlo (T+60) — explained-flat median (dividend yield ~ risk-free).</t>
  </si>
  <si>
    <t xml:space="preserve">Discipline</t>
  </si>
  <si>
    <t xml:space="preserve">Bottom-up sourced WACC; conservative growth (adopt machinery not broker optimism); fair value as a range.</t>
  </si>
  <si>
    <t xml:space="preserve">Build-up</t>
  </si>
  <si>
    <t xml:space="preserve">SAR mn</t>
  </si>
  <si>
    <t xml:space="preserve">SAR/share</t>
  </si>
  <si>
    <t xml:space="preserve">Retail equity (DCF)</t>
  </si>
  <si>
    <t xml:space="preserve">Tasheel (68.75%)</t>
  </si>
  <si>
    <t xml:space="preserve">SOTP</t>
  </si>
  <si>
    <t xml:space="preserve">Assumptions — single input layer</t>
  </si>
  <si>
    <t xml:space="preserve">Blue = input. Every downstream sheet links here.</t>
  </si>
  <si>
    <t xml:space="preserve">Market</t>
  </si>
  <si>
    <t xml:space="preserve">Spot price (SAR)</t>
  </si>
  <si>
    <t xml:space="preserve">Tadawul close 2026-07-09</t>
  </si>
  <si>
    <t xml:space="preserve">Shares outstanding (mn)</t>
  </si>
  <si>
    <t xml:space="preserve">SAR 800m cap / SAR 10 par (post-2022 60-&gt;80m)</t>
  </si>
  <si>
    <t xml:space="preserve">Effective zakat/tax rate</t>
  </si>
  <si>
    <t xml:space="preserve">eXtra effective ~8-9% (Zakat-based)</t>
  </si>
  <si>
    <t xml:space="preserve">Cost of capital (bottom-up, sourced)</t>
  </si>
  <si>
    <t xml:space="preserve">Risk-free rf (SAR 10Y sukuk)</t>
  </si>
  <si>
    <t xml:space="preserve">Derived; band 5.4-5.6% (Cost_of_Capital_Reference.md) FLAGGED</t>
  </si>
  <si>
    <t xml:space="preserve">ERP — rating-based (primary)</t>
  </si>
  <si>
    <t xml:space="preserve">Damodaran Jan-2026, Saudi Aa3 (CRP 0.78 + 4.23)</t>
  </si>
  <si>
    <t xml:space="preserve">ERP — CDS-based (alt)</t>
  </si>
  <si>
    <t xml:space="preserve">Damodaran Jan-2026, Saudi CDS 0.98</t>
  </si>
  <si>
    <t xml:space="preserve">Beta (base)</t>
  </si>
  <si>
    <t xml:space="preserve">Regressed 0.55 (n=40,R2 8.8%) noisy short window -&gt; carry 0.80 base</t>
  </si>
  <si>
    <t xml:space="preserve">Retail cost of equity Ke = rf + beta×ERP(rating)</t>
  </si>
  <si>
    <t xml:space="preserve">Tasheel cost of equity</t>
  </si>
  <si>
    <t xml:space="preserve">Leveraged consumer-finance lender</t>
  </si>
  <si>
    <t xml:space="preserve">Cost of debt Kd (pre-tax)</t>
  </si>
  <si>
    <t xml:space="preserve">SAIBOR3M 4.79 + spread; Tasheel murabaha FLAGGED</t>
  </si>
  <si>
    <t xml:space="preserve">Retail DCF drivers</t>
  </si>
  <si>
    <t xml:space="preserve">Retail revenue FY2025 (SAR mn)</t>
  </si>
  <si>
    <t xml:space="preserve">Sales &amp; Services segment</t>
  </si>
  <si>
    <t xml:space="preserve">  Revenue growth FY2026</t>
  </si>
  <si>
    <t xml:space="preserve">  Revenue growth FY2027</t>
  </si>
  <si>
    <t xml:space="preserve">  Revenue growth FY2028</t>
  </si>
  <si>
    <t xml:space="preserve">  Revenue growth FY2029</t>
  </si>
  <si>
    <t xml:space="preserve">  Revenue growth FY2030</t>
  </si>
  <si>
    <t xml:space="preserve">  EBIT margin FY2026</t>
  </si>
  <si>
    <t xml:space="preserve">  EBIT margin FY2027</t>
  </si>
  <si>
    <t xml:space="preserve">  EBIT margin FY2028</t>
  </si>
  <si>
    <t xml:space="preserve">  EBIT margin FY2029</t>
  </si>
  <si>
    <t xml:space="preserve">  EBIT margin FY2030</t>
  </si>
  <si>
    <t xml:space="preserve">D&amp;A (% of revenue)</t>
  </si>
  <si>
    <t xml:space="preserve">incl ROU depreciation</t>
  </si>
  <si>
    <t xml:space="preserve">Capex (% of revenue)</t>
  </si>
  <si>
    <t xml:space="preserve">low; Panda funds Clix capex</t>
  </si>
  <si>
    <t xml:space="preserve">Lease payments (% of revenue)</t>
  </si>
  <si>
    <t xml:space="preserve">offsets ROU deprec in FCFF</t>
  </si>
  <si>
    <t xml:space="preserve">ΔWorking capital (% of Δrev)</t>
  </si>
  <si>
    <t xml:space="preserve">Terminal growth g</t>
  </si>
  <si>
    <t xml:space="preserve">Retail standalone net cash (SAR mn)</t>
  </si>
  <si>
    <t xml:space="preserve">Aljazira 2025E net debt -387.9</t>
  </si>
  <si>
    <t xml:space="preserve">Tasheel (captive consumer-finance, 68.75%)</t>
  </si>
  <si>
    <t xml:space="preserve">Tasheel equity book (SAR mn)</t>
  </si>
  <si>
    <t xml:space="preserve">FLAGGED estimate — segment equity not separately disclosed</t>
  </si>
  <si>
    <t xml:space="preserve">Tasheel net income (SAR mn)</t>
  </si>
  <si>
    <t xml:space="preserve">segment NI (Q2-25 59.8m annualized, FY25 softer)</t>
  </si>
  <si>
    <t xml:space="preserve">Tasheel ROE (=NI/equity)</t>
  </si>
  <si>
    <t xml:space="preserve">Tasheel terminal growth</t>
  </si>
  <si>
    <t xml:space="preserve">eXtra stake in Tasheel</t>
  </si>
  <si>
    <t xml:space="preserve">Aljazira-sourced (31.25% NCI)</t>
  </si>
  <si>
    <t xml:space="preserve">Tasheel justified P/B = (ROE-g)/(COE-g)</t>
  </si>
  <si>
    <t xml:space="preserve">Relative</t>
  </si>
  <si>
    <t xml:space="preserve">Peer P/E (x)</t>
  </si>
  <si>
    <t xml:space="preserve">GCC/EM electronics + consumer-finance blend</t>
  </si>
  <si>
    <t xml:space="preserve">Sum-of-the-parts (split legs) — primary lens</t>
  </si>
  <si>
    <t xml:space="preserve">Retail DCF + Tasheel captive-lender at eXtra’s 68.75% stake.</t>
  </si>
  <si>
    <t xml:space="preserve">Leg</t>
  </si>
  <si>
    <t xml:space="preserve">Retail operating-co (DCF)</t>
  </si>
  <si>
    <t xml:space="preserve">Tasheel 100% (equity×justified P/B)</t>
  </si>
  <si>
    <t xml:space="preserve">Tasheel — eXtra 68.75% share</t>
  </si>
  <si>
    <t xml:space="preserve">SOTP equity value</t>
  </si>
  <si>
    <t xml:space="preserve">Cross-checks (SAR/share)</t>
  </si>
  <si>
    <t xml:space="preserve">Relative P/E (12x on EPS)</t>
  </si>
  <si>
    <t xml:space="preserve">Monte Carlo T+60 median</t>
  </si>
  <si>
    <t xml:space="preserve">Weighted central</t>
  </si>
  <si>
    <t xml:space="preserve">Spot</t>
  </si>
  <si>
    <t xml:space="preserve">Fair value presented as a range across beta/WACC and the Tasheel multiple — see Sensitivity. Not a point target.</t>
  </si>
  <si>
    <t xml:space="preserve">Segment scorecard</t>
  </si>
  <si>
    <t xml:space="preserve">Retail (Sales &amp; Services) vs Tasheel (Consumer Finance).</t>
  </si>
  <si>
    <t xml:space="preserve">FY2023</t>
  </si>
  <si>
    <t xml:space="preserve">FY2024</t>
  </si>
  <si>
    <t xml:space="preserve">FY2025</t>
  </si>
  <si>
    <t xml:space="preserve">Retail revenue</t>
  </si>
  <si>
    <t xml:space="preserve">Tasheel revenue</t>
  </si>
  <si>
    <t xml:space="preserve">Retail net income</t>
  </si>
  <si>
    <t xml:space="preserve">Tasheel net income</t>
  </si>
  <si>
    <t xml:space="preserve">Tasheel loan book</t>
  </si>
  <si>
    <t xml:space="preserve">Tasheel equity (est)</t>
  </si>
  <si>
    <t xml:space="preserve">Group net income (incl NCI)</t>
  </si>
  <si>
    <t xml:space="preserve">Tasheel ROE</t>
  </si>
  <si>
    <t xml:space="preserve">Consumer finance is ~45–50% of group net income despite ~7% of revenue — high-margin lending vs thin-margin retail.</t>
  </si>
  <si>
    <t xml:space="preserve">Retail operating-co DCF (FCFF)</t>
  </si>
  <si>
    <t xml:space="preserve">Net-cash entity → discounted at retail Ke. Links to Assumptions.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</si>
  <si>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</si>
  <si>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</si>
  <si>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</si>
  <si>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</si>
  <si>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</si>
  <si>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Revenue</t>
  </si>
  <si>
    <t xml:space="preserve">EBIT</t>
  </si>
  <si>
    <t xml:space="preserve">NOPAT = EBIT×(1−tax)</t>
  </si>
  <si>
    <t xml:space="preserve">+ D&amp;A</t>
  </si>
  <si>
    <t xml:space="preserve">− Capex</t>
  </si>
  <si>
    <t xml:space="preserve">− Lease payments</t>
  </si>
  <si>
    <t xml:space="preserve">− ΔWorking capital</t>
  </si>
  <si>
    <t xml:space="preserve">Free cash flow to firm</t>
  </si>
  <si>
    <t xml:space="preserve">Discount factor</t>
  </si>
  <si>
    <t xml:space="preserve">PV of FCFF</t>
  </si>
  <si>
    <t xml:space="preserve">Terminal value = FCFF₅×(1+g)/(Ke−g)</t>
  </si>
  <si>
    <t xml:space="preserve">PV of terminal value</t>
  </si>
  <si>
    <t xml:space="preserve">Enterprise value (retail)</t>
  </si>
  <si>
    <t xml:space="preserve">+ Retail net cash</t>
  </si>
  <si>
    <t xml:space="preserve">Retail equity value</t>
  </si>
  <si>
    <t xml:space="preserve">Retail value per share (SAR)</t>
  </si>
  <si>
    <t xml:space="preserve">TV as % of enterprise value</t>
  </si>
  <si>
    <t xml:space="preserve">Income Statement</t>
  </si>
  <si>
    <t xml:space="preserve">3 historical + 5 forecast (SAR mn)</t>
  </si>
  <si>
    <t xml:space="preserve">COGS</t>
  </si>
  <si>
    <t xml:space="preserve">Gross profit</t>
  </si>
  <si>
    <t xml:space="preserve">SG&amp;A</t>
  </si>
  <si>
    <t xml:space="preserve">Impairment (CF provisions)</t>
  </si>
  <si>
    <t xml:space="preserve">D&amp;A</t>
  </si>
  <si>
    <t xml:space="preserve">EBITDA</t>
  </si>
  <si>
    <t xml:space="preserve">Finance charges</t>
  </si>
  <si>
    <t xml:space="preserve">Pre-tax profit</t>
  </si>
  <si>
    <t xml:space="preserve">Zakat/tax</t>
  </si>
  <si>
    <t xml:space="preserve">Net income (incl NCI)</t>
  </si>
  <si>
    <t xml:space="preserve">EPS (SAR)</t>
  </si>
  <si>
    <t xml:space="preserve">DPS (SAR)</t>
  </si>
  <si>
    <t xml:space="preserve">Balance Sheet</t>
  </si>
  <si>
    <t xml:space="preserve">Cash &amp; equivalents</t>
  </si>
  <si>
    <t xml:space="preserve">Other current assets</t>
  </si>
  <si>
    <t xml:space="preserve">PP&amp;E</t>
  </si>
  <si>
    <t xml:space="preserve">Right-of-use assets</t>
  </si>
  <si>
    <t xml:space="preserve">Other non-current (finance rec.)</t>
  </si>
  <si>
    <t xml:space="preserve">Total assets</t>
  </si>
  <si>
    <t xml:space="preserve">Current liabilities</t>
  </si>
  <si>
    <t xml:space="preserve">Non-current liabilities</t>
  </si>
  <si>
    <t xml:space="preserve">Total equity (incl NCI)</t>
  </si>
  <si>
    <t xml:space="preserve">Cash Flow</t>
  </si>
  <si>
    <t xml:space="preserve">Cash from operations</t>
  </si>
  <si>
    <t xml:space="preserve">Capex</t>
  </si>
  <si>
    <t xml:space="preserve">Financing (incl dividends)</t>
  </si>
  <si>
    <t xml:space="preserve">Summary financials</t>
  </si>
  <si>
    <t xml:space="preserve">Every cell links to the statement sheets.</t>
  </si>
  <si>
    <t xml:space="preserve">Net income</t>
  </si>
  <si>
    <t xml:space="preserve">Total equity</t>
  </si>
  <si>
    <t xml:space="preserve">Monte Carlo — carry-anchored YZ-HAR-t</t>
  </si>
  <si>
    <t xml:space="preserve">50,000 paths, seed 42. Values are simulation output (source: mc_v3 engine).</t>
  </si>
  <si>
    <t xml:space="preserve">The probability read (T+60)</t>
  </si>
  <si>
    <t xml:space="preserve">P(price above spot)</t>
  </si>
  <si>
    <t xml:space="preserve">P(+10%) vs P(−10%)</t>
  </si>
  <si>
    <t xml:space="preserve">22% vs 22% (odds 0.97)</t>
  </si>
  <si>
    <t xml:space="preserve">Median level (SAR) / move</t>
  </si>
  <si>
    <t xml:space="preserve">67.61 (-0.7%)</t>
  </si>
  <si>
    <t xml:space="preserve">50% band (SAR)</t>
  </si>
  <si>
    <t xml:space="preserve">62.0–73.79 (17% of spot)</t>
  </si>
  <si>
    <t xml:space="preserve">Touch +10% / −10%</t>
  </si>
  <si>
    <t xml:space="preserve">40% / 39%</t>
  </si>
  <si>
    <t xml:space="preserve">Explained flat: expected total return ≈ rf (4.25%), delivered as a ~6.9% dividend; price median ≈ flat, slightly negative as q&gt;rf.</t>
  </si>
  <si>
    <t xml:space="preserve">Percentile (SAR)</t>
  </si>
  <si>
    <t xml:space="preserve">T+20</t>
  </si>
  <si>
    <t xml:space="preserve">T+60</t>
  </si>
  <si>
    <t xml:space="preserve">5th</t>
  </si>
  <si>
    <t xml:space="preserve">10th</t>
  </si>
  <si>
    <t xml:space="preserve">25th</t>
  </si>
  <si>
    <t xml:space="preserve">50th</t>
  </si>
  <si>
    <t xml:space="preserve">75th</t>
  </si>
  <si>
    <t xml:space="preserve">90th</t>
  </si>
  <si>
    <t xml:space="preserve">95th</t>
  </si>
  <si>
    <t xml:space="preserve">Engine: nu 5.0 (fitted), width_cal 1.3, anchor vol 31.6%, carry -0.60%/60d</t>
  </si>
  <si>
    <t xml:space="preserve">Step 0: PARITY (CRPS -0.050, CI [-0.140,+0.007]); PIT 0.48; cov50/80/90 0.72/0.89/1.00</t>
  </si>
  <si>
    <t xml:space="preserve">Sensitivity — SOTP (SAR/share)</t>
  </si>
  <si>
    <t xml:space="preserve">Retail Ke × terminal g; and beta / Tasheel-multiple grids.</t>
  </si>
  <si>
    <t xml:space="preserve">Retail Ke</t>
  </si>
  <si>
    <t xml:space="preserve">g=2.0%</t>
  </si>
  <si>
    <t xml:space="preserve">g=3.0%</t>
  </si>
  <si>
    <t xml:space="preserve">g=4.0%</t>
  </si>
  <si>
    <t xml:space="preserve">8.26%</t>
  </si>
  <si>
    <t xml:space="preserve">9.51%</t>
  </si>
  <si>
    <t xml:space="preserve">10.51%</t>
  </si>
  <si>
    <t xml:space="preserve">11.22%</t>
  </si>
  <si>
    <t xml:space="preserve">SOTP by beta (rating ERP)</t>
  </si>
  <si>
    <t xml:space="preserve">0.55</t>
  </si>
  <si>
    <t xml:space="preserve">0.7</t>
  </si>
  <si>
    <t xml:space="preserve">0.85</t>
  </si>
  <si>
    <t xml:space="preserve">1.0</t>
  </si>
  <si>
    <t xml:space="preserve">SAR/sh</t>
  </si>
  <si>
    <t xml:space="preserve">SOTP by Tasheel P/B</t>
  </si>
  <si>
    <t xml:space="preserve">1.6x</t>
  </si>
  <si>
    <t xml:space="preserve">2.0x</t>
  </si>
  <si>
    <t xml:space="preserve">2.4x</t>
  </si>
  <si>
    <t xml:space="preserve">2.8x</t>
  </si>
  <si>
    <t xml:space="preserve">Per-share &amp; ratio dashboard</t>
  </si>
  <si>
    <t xml:space="preserve">FY2025 actuals at spot.</t>
  </si>
  <si>
    <t xml:space="preserve">Value</t>
  </si>
  <si>
    <t xml:space="preserve">DPS (SAR, normalized)</t>
  </si>
  <si>
    <t xml:space="preserve">BVPS (SAR)</t>
  </si>
  <si>
    <t xml:space="preserve">P/E (x)</t>
  </si>
  <si>
    <t xml:space="preserve">P/B (x)</t>
  </si>
  <si>
    <t xml:space="preserve">Dividend yield</t>
  </si>
  <si>
    <t xml:space="preserve">Payout ratio</t>
  </si>
  <si>
    <t xml:space="preserve">EV/EBITDA (group, x)</t>
  </si>
  <si>
    <t xml:space="preserve">Gross margin</t>
  </si>
  <si>
    <t xml:space="preserve">EBIT margin</t>
  </si>
  <si>
    <t xml:space="preserve">Net margin</t>
  </si>
  <si>
    <t xml:space="preserve">ROE (group)</t>
  </si>
  <si>
    <t xml:space="preserve">Peer set &amp; sector</t>
  </si>
  <si>
    <t xml:space="preserve">Illustrative GCC/EM electronics retail + consumer-finance comparators.</t>
  </si>
  <si>
    <t xml:space="preserve">Div yield</t>
  </si>
  <si>
    <t xml:space="preserve">Note</t>
  </si>
  <si>
    <t xml:space="preserve">eXtra (4003) — subject</t>
  </si>
  <si>
    <t xml:space="preserve">52-wk low; ~half of NI from finance</t>
  </si>
  <si>
    <t xml:space="preserve">Jarir Marketing (4190)</t>
  </si>
  <si>
    <t xml:space="preserve">Closest Saudi peer; ~9% net margin, re-rated</t>
  </si>
  <si>
    <t xml:space="preserve">Al Othaim Markets (4001)</t>
  </si>
  <si>
    <t xml:space="preserve">Saudi grocery + consumer retail</t>
  </si>
  <si>
    <t xml:space="preserve">Best Buy (BBY, approx.)</t>
  </si>
  <si>
    <t xml:space="preserve">US electronics retail (illustrative)</t>
  </si>
  <si>
    <t xml:space="preserve">Ceconomy/Currys (approx.)</t>
  </si>
  <si>
    <t xml:space="preserve">European electronics (illustrative)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</si>
</sst>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"/>
    <numFmt numFmtId="166" formatCode="0.0%"/>
    <numFmt numFmtId="167" formatCode="#,##0"/>
    <numFmt numFmtId="168" formatCode="0.0\x"/>
    <numFmt numFmtId="169" formatCode="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C3A36"/>
      <name val="Arial"/>
      <family val="0"/>
      <charset val="1"/>
    </font>
    <font>
      <i val="true"/>
      <sz val="8"/>
      <color rgb="FF6E7B77"/>
      <name val="Arial"/>
      <family val="0"/>
      <charset val="1"/>
    </font>
    <font>
      <b val="true"/>
      <sz val="10"/>
      <color rgb="FF1C3A36"/>
      <name val="Arial"/>
      <family val="0"/>
      <charset val="1"/>
    </font>
    <font>
      <sz val="10"/>
      <color rgb="FF1C3A3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1C3A36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C3A36"/>
        <bgColor rgb="FF333300"/>
      </patternFill>
    </fill>
    <fill>
      <patternFill patternType="solid">
        <fgColor rgb="FFF6F1E6"/>
        <bgColor rgb="FFEFF3F1"/>
      </patternFill>
    </fill>
    <fill>
      <patternFill patternType="solid">
        <fgColor rgb="FFFFF3B0"/>
        <bgColor rgb="FFF6F1E6"/>
      </patternFill>
    </fill>
    <fill>
      <patternFill patternType="solid">
        <fgColor rgb="FFEFF3F1"/>
        <bgColor rgb="FFF6F1E6"/>
      </patternFill>
    </fill>
    <fill>
      <patternFill patternType="solid">
        <fgColor rgb="FFC0A45F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DDB"/>
      </left>
      <right style="thin">
        <color rgb="FFD5DDDB"/>
      </right>
      <top style="thin">
        <color rgb="FFD5DDDB"/>
      </top>
      <bottom style="thin">
        <color rgb="FFD5DD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E7B77"/>
      <rgbColor rgb="FF9999FF"/>
      <rgbColor rgb="FF993366"/>
      <rgbColor rgb="FFF6F1E6"/>
      <rgbColor rgb="FFEFF3F1"/>
      <rgbColor rgb="FF660066"/>
      <rgbColor rgb="FFFF8080"/>
      <rgbColor rgb="FF0066CC"/>
      <rgbColor rgb="FFD5DD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B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0A45F"/>
      <rgbColor rgb="FF003366"/>
      <rgbColor rgb="FF339966"/>
      <rgbColor rgb="FF003300"/>
      <rgbColor rgb="FF333300"/>
      <rgbColor rgb="FF993300"/>
      <rgbColor rgb="FF993366"/>
      <rgbColor rgb="FF333399"/>
      <rgbColor rgb="FF1C3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8" min="2" style="0" width="16"/>
  </cols>
  <sheetData>
    <row r="1" customFormat="false" ht="16.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4" t="s">
        <v>4</v>
      </c>
    </row>
    <row r="7" customFormat="false" ht="15" hidden="false" customHeight="false" outlineLevel="0" collapsed="false">
      <c r="B7" s="4" t="s">
        <v>5</v>
      </c>
    </row>
    <row r="8" customFormat="false" ht="15" hidden="false" customHeight="false" outlineLevel="0" collapsed="false">
      <c r="B8" s="4" t="s">
        <v>6</v>
      </c>
    </row>
    <row r="9" customFormat="false" ht="15" hidden="false" customHeight="false" outlineLevel="0" collapsed="false">
      <c r="B9" s="4" t="s">
        <v>7</v>
      </c>
    </row>
    <row r="10" customFormat="false" ht="15" hidden="false" customHeight="false" outlineLevel="0" collapsed="false">
      <c r="B10" s="4" t="s">
        <v>8</v>
      </c>
    </row>
    <row r="11" customFormat="false" ht="15" hidden="false" customHeight="false" outlineLevel="0" collapsed="false">
      <c r="B11" s="4" t="s">
        <v>9</v>
      </c>
    </row>
    <row r="13" customFormat="false" ht="15" hidden="false" customHeight="false" outlineLevel="0" collapsed="false">
      <c r="B13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6" min="3" style="0" width="20"/>
  </cols>
  <sheetData>
    <row r="1" customFormat="false" ht="16.15" hidden="false" customHeight="false" outlineLevel="0" collapsed="false">
      <c r="B1" s="1" t="s">
        <v>11</v>
      </c>
    </row>
    <row r="3" customFormat="false" ht="15" hidden="false" customHeight="false" outlineLevel="0" collapsed="false">
      <c r="C3" s="5" t="s">
        <v>12</v>
      </c>
      <c r="D3" s="5" t="s">
        <v>13</v>
      </c>
    </row>
    <row r="4" customFormat="false" ht="15" hidden="false" customHeight="false" outlineLevel="0" collapsed="false">
      <c r="B4" s="6" t="s">
        <v>14</v>
      </c>
      <c r="C4" s="7"/>
      <c r="D4" s="7"/>
    </row>
    <row r="5" customFormat="false" ht="15" hidden="false" customHeight="false" outlineLevel="0" collapsed="false">
      <c r="B5" s="8" t="s">
        <v>15</v>
      </c>
      <c r="C5" s="9" t="n">
        <v>90.3843848968968</v>
      </c>
      <c r="D5" s="10" t="n">
        <f aca="false">Summary!C5/Assumptions!$C$5-1</f>
        <v>0.327230321540334</v>
      </c>
    </row>
    <row r="6" customFormat="false" ht="15" hidden="false" customHeight="false" outlineLevel="0" collapsed="false">
      <c r="B6" s="8" t="s">
        <v>16</v>
      </c>
      <c r="C6" s="9" t="n">
        <v>65.1760515635634</v>
      </c>
      <c r="D6" s="10" t="n">
        <f aca="false">Summary!C6/Assumptions!$C$5-1</f>
        <v>-0.0429361003882023</v>
      </c>
    </row>
    <row r="7" customFormat="false" ht="15" hidden="false" customHeight="false" outlineLevel="0" collapsed="false">
      <c r="B7" s="8" t="s">
        <v>17</v>
      </c>
      <c r="C7" s="9" t="n">
        <v>25.2083333333333</v>
      </c>
      <c r="D7" s="10" t="n">
        <f aca="false">Summary!C7/Assumptions!$C$5-1</f>
        <v>-0.629833578071464</v>
      </c>
    </row>
    <row r="8" customFormat="false" ht="15" hidden="false" customHeight="false" outlineLevel="0" collapsed="false">
      <c r="B8" s="8" t="s">
        <v>18</v>
      </c>
      <c r="C8" s="9" t="n">
        <v>74.52</v>
      </c>
      <c r="D8" s="10" t="n">
        <f aca="false">Summary!C8/Assumptions!$C$5-1</f>
        <v>0.094273127753304</v>
      </c>
    </row>
    <row r="9" customFormat="false" ht="15" hidden="false" customHeight="false" outlineLevel="0" collapsed="false">
      <c r="B9" s="6" t="s">
        <v>19</v>
      </c>
      <c r="C9" s="7"/>
      <c r="D9" s="7"/>
    </row>
    <row r="10" customFormat="false" ht="15" hidden="false" customHeight="false" outlineLevel="0" collapsed="false">
      <c r="B10" s="8" t="s">
        <v>20</v>
      </c>
      <c r="C10" s="9" t="n">
        <v>67.61</v>
      </c>
      <c r="D10" s="10" t="n">
        <f aca="false">Summary!C10/Assumptions!$C$5-1</f>
        <v>-0.00719530102790011</v>
      </c>
    </row>
    <row r="11" customFormat="false" ht="15" hidden="false" customHeight="false" outlineLevel="0" collapsed="false">
      <c r="B11" s="8" t="s">
        <v>21</v>
      </c>
      <c r="C11" s="9" t="n">
        <v>62</v>
      </c>
      <c r="D11" s="10" t="n">
        <f aca="false">Summary!C11/Assumptions!$C$5-1</f>
        <v>-0.0895741556534507</v>
      </c>
    </row>
    <row r="12" customFormat="false" ht="15" hidden="false" customHeight="false" outlineLevel="0" collapsed="false">
      <c r="B12" s="8" t="s">
        <v>22</v>
      </c>
      <c r="C12" s="9" t="n">
        <v>73.79</v>
      </c>
      <c r="D12" s="10" t="n">
        <f aca="false">Summary!C12/Assumptions!$C$5-1</f>
        <v>0.0835535976505142</v>
      </c>
    </row>
    <row r="13" customFormat="false" ht="15" hidden="false" customHeight="false" outlineLevel="0" collapsed="false">
      <c r="B13" s="6" t="s">
        <v>23</v>
      </c>
      <c r="C13" s="7"/>
      <c r="D13" s="7"/>
    </row>
    <row r="14" customFormat="false" ht="15" hidden="false" customHeight="false" outlineLevel="0" collapsed="false">
      <c r="B14" s="8" t="s">
        <v>24</v>
      </c>
      <c r="C14" s="9" t="n">
        <v>80.7246924484484</v>
      </c>
      <c r="D14" s="10" t="n">
        <f aca="false">Summary!C14/Assumptions!$C$5-1</f>
        <v>0.185384617451518</v>
      </c>
    </row>
    <row r="16" customFormat="false" ht="15" hidden="false" customHeight="false" outlineLevel="0" collapsed="false">
      <c r="B16" s="3" t="s">
        <v>25</v>
      </c>
    </row>
    <row r="17" customFormat="false" ht="15" hidden="false" customHeight="false" outlineLevel="0" collapsed="false">
      <c r="B17" s="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5" min="3" style="0" width="22"/>
  </cols>
  <sheetData>
    <row r="1" customFormat="false" ht="16.15" hidden="false" customHeight="false" outlineLevel="0" collapsed="false">
      <c r="B1" s="1" t="s">
        <v>27</v>
      </c>
    </row>
    <row r="3" customFormat="false" ht="42" hidden="false" customHeight="true" outlineLevel="0" collapsed="false">
      <c r="B3" s="11" t="s">
        <v>28</v>
      </c>
      <c r="C3" s="12" t="s">
        <v>29</v>
      </c>
    </row>
    <row r="4" customFormat="false" ht="42" hidden="false" customHeight="true" outlineLevel="0" collapsed="false">
      <c r="B4" s="11" t="s">
        <v>30</v>
      </c>
      <c r="C4" s="12" t="s">
        <v>31</v>
      </c>
    </row>
    <row r="5" customFormat="false" ht="42" hidden="false" customHeight="true" outlineLevel="0" collapsed="false">
      <c r="B5" s="11" t="s">
        <v>32</v>
      </c>
      <c r="C5" s="12" t="s">
        <v>33</v>
      </c>
    </row>
    <row r="6" customFormat="false" ht="42" hidden="false" customHeight="true" outlineLevel="0" collapsed="false">
      <c r="B6" s="11" t="s">
        <v>34</v>
      </c>
      <c r="C6" s="12" t="s">
        <v>35</v>
      </c>
    </row>
    <row r="8" customFormat="false" ht="15" hidden="false" customHeight="false" outlineLevel="0" collapsed="false">
      <c r="B8" s="3" t="s">
        <v>36</v>
      </c>
      <c r="C8" s="5" t="s">
        <v>37</v>
      </c>
      <c r="D8" s="5" t="s">
        <v>38</v>
      </c>
    </row>
    <row r="9" customFormat="false" ht="15" hidden="false" customHeight="false" outlineLevel="0" collapsed="false">
      <c r="B9" s="8" t="s">
        <v>39</v>
      </c>
      <c r="C9" s="13" t="n">
        <f aca="false">DCF!C20</f>
        <v>5214.08412508507</v>
      </c>
      <c r="D9" s="13" t="n">
        <f aca="false">DCF!C21</f>
        <v>65.1760515635634</v>
      </c>
    </row>
    <row r="10" customFormat="false" ht="15" hidden="false" customHeight="false" outlineLevel="0" collapsed="false">
      <c r="B10" s="8" t="s">
        <v>40</v>
      </c>
      <c r="C10" s="13" t="n">
        <f aca="false">SOTP!C7</f>
        <v>2016.66666666667</v>
      </c>
      <c r="D10" s="13" t="n">
        <f aca="false">SOTP!D7</f>
        <v>25.2083333333333</v>
      </c>
    </row>
    <row r="11" customFormat="false" ht="15" hidden="false" customHeight="false" outlineLevel="0" collapsed="false">
      <c r="B11" s="14" t="s">
        <v>41</v>
      </c>
      <c r="C11" s="15" t="n">
        <f aca="false">SUM(C9:C10)</f>
        <v>7230.75079175174</v>
      </c>
      <c r="D11" s="15" t="n">
        <f aca="false">C11/Assumptions!$C$6</f>
        <v>90.3843848968968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7" min="3" style="0" width="17"/>
  </cols>
  <sheetData>
    <row r="1" customFormat="false" ht="16.15" hidden="false" customHeight="false" outlineLevel="0" collapsed="false">
      <c r="B1" s="1" t="s">
        <v>42</v>
      </c>
    </row>
    <row r="2" customFormat="false" ht="15" hidden="false" customHeight="false" outlineLevel="0" collapsed="false">
      <c r="B2" s="2" t="s">
        <v>43</v>
      </c>
    </row>
    <row r="4" customFormat="false" ht="15" hidden="false" customHeight="false" outlineLevel="0" collapsed="false">
      <c r="B4" s="3" t="s">
        <v>44</v>
      </c>
    </row>
    <row r="5" customFormat="false" ht="15" hidden="false" customHeight="false" outlineLevel="0" collapsed="false">
      <c r="B5" s="8" t="s">
        <v>45</v>
      </c>
      <c r="C5" s="16" t="n">
        <v>68.1</v>
      </c>
      <c r="D5" s="2" t="s">
        <v>46</v>
      </c>
    </row>
    <row r="6" customFormat="false" ht="15" hidden="false" customHeight="false" outlineLevel="0" collapsed="false">
      <c r="B6" s="8" t="s">
        <v>47</v>
      </c>
      <c r="C6" s="17" t="n">
        <v>80</v>
      </c>
      <c r="D6" s="2" t="s">
        <v>48</v>
      </c>
    </row>
    <row r="7" customFormat="false" ht="15" hidden="false" customHeight="false" outlineLevel="0" collapsed="false">
      <c r="B7" s="8" t="s">
        <v>49</v>
      </c>
      <c r="C7" s="18" t="n">
        <v>0.09</v>
      </c>
      <c r="D7" s="2" t="s">
        <v>50</v>
      </c>
    </row>
    <row r="9" customFormat="false" ht="15" hidden="false" customHeight="false" outlineLevel="0" collapsed="false">
      <c r="B9" s="3" t="s">
        <v>51</v>
      </c>
    </row>
    <row r="10" customFormat="false" ht="15" hidden="false" customHeight="false" outlineLevel="0" collapsed="false">
      <c r="B10" s="8" t="s">
        <v>52</v>
      </c>
      <c r="C10" s="18" t="n">
        <v>0.055</v>
      </c>
      <c r="D10" s="2" t="s">
        <v>53</v>
      </c>
    </row>
    <row r="11" customFormat="false" ht="15" hidden="false" customHeight="false" outlineLevel="0" collapsed="false">
      <c r="B11" s="8" t="s">
        <v>54</v>
      </c>
      <c r="C11" s="18" t="n">
        <v>0.0501</v>
      </c>
      <c r="D11" s="2" t="s">
        <v>55</v>
      </c>
    </row>
    <row r="12" customFormat="false" ht="15" hidden="false" customHeight="false" outlineLevel="0" collapsed="false">
      <c r="B12" s="8" t="s">
        <v>56</v>
      </c>
      <c r="C12" s="18" t="n">
        <v>0.0572</v>
      </c>
      <c r="D12" s="2" t="s">
        <v>57</v>
      </c>
    </row>
    <row r="13" customFormat="false" ht="15" hidden="false" customHeight="false" outlineLevel="0" collapsed="false">
      <c r="B13" s="8" t="s">
        <v>58</v>
      </c>
      <c r="C13" s="16" t="n">
        <v>0.8</v>
      </c>
      <c r="D13" s="2" t="s">
        <v>59</v>
      </c>
    </row>
    <row r="14" customFormat="false" ht="15" hidden="false" customHeight="false" outlineLevel="0" collapsed="false">
      <c r="B14" s="8" t="s">
        <v>60</v>
      </c>
      <c r="C14" s="10" t="n">
        <f aca="false">Assumptions!$C$10+Assumptions!$C$13*Assumptions!$C$11</f>
        <v>0.09508</v>
      </c>
    </row>
    <row r="15" customFormat="false" ht="15" hidden="false" customHeight="false" outlineLevel="0" collapsed="false">
      <c r="B15" s="8" t="s">
        <v>61</v>
      </c>
      <c r="C15" s="18" t="n">
        <v>0.105</v>
      </c>
      <c r="D15" s="2" t="s">
        <v>62</v>
      </c>
    </row>
    <row r="16" customFormat="false" ht="15" hidden="false" customHeight="false" outlineLevel="0" collapsed="false">
      <c r="B16" s="8" t="s">
        <v>63</v>
      </c>
      <c r="C16" s="18" t="n">
        <v>0.06</v>
      </c>
      <c r="D16" s="2" t="s">
        <v>64</v>
      </c>
    </row>
    <row r="18" customFormat="false" ht="15" hidden="false" customHeight="false" outlineLevel="0" collapsed="false">
      <c r="B18" s="3" t="s">
        <v>65</v>
      </c>
    </row>
    <row r="19" customFormat="false" ht="15" hidden="false" customHeight="false" outlineLevel="0" collapsed="false">
      <c r="B19" s="8" t="s">
        <v>66</v>
      </c>
      <c r="C19" s="17" t="n">
        <v>6950</v>
      </c>
      <c r="D19" s="2" t="s">
        <v>67</v>
      </c>
    </row>
    <row r="20" customFormat="false" ht="15" hidden="false" customHeight="false" outlineLevel="0" collapsed="false">
      <c r="B20" s="8" t="s">
        <v>68</v>
      </c>
      <c r="C20" s="18" t="n">
        <v>0.0549999999999999</v>
      </c>
    </row>
    <row r="21" customFormat="false" ht="15" hidden="false" customHeight="false" outlineLevel="0" collapsed="false">
      <c r="B21" s="8" t="s">
        <v>69</v>
      </c>
      <c r="C21" s="18" t="n">
        <v>0.0549999999999999</v>
      </c>
    </row>
    <row r="22" customFormat="false" ht="15" hidden="false" customHeight="false" outlineLevel="0" collapsed="false">
      <c r="B22" s="8" t="s">
        <v>70</v>
      </c>
      <c r="C22" s="18" t="n">
        <v>0.05</v>
      </c>
    </row>
    <row r="23" customFormat="false" ht="15" hidden="false" customHeight="false" outlineLevel="0" collapsed="false">
      <c r="B23" s="8" t="s">
        <v>71</v>
      </c>
      <c r="C23" s="18" t="n">
        <v>0.05</v>
      </c>
    </row>
    <row r="24" customFormat="false" ht="15" hidden="false" customHeight="false" outlineLevel="0" collapsed="false">
      <c r="B24" s="8" t="s">
        <v>72</v>
      </c>
      <c r="C24" s="18" t="n">
        <v>0.0449999999999999</v>
      </c>
    </row>
    <row r="25" customFormat="false" ht="15" hidden="false" customHeight="false" outlineLevel="0" collapsed="false">
      <c r="B25" s="8" t="s">
        <v>73</v>
      </c>
      <c r="C25" s="18" t="n">
        <v>0.042</v>
      </c>
    </row>
    <row r="26" customFormat="false" ht="15" hidden="false" customHeight="false" outlineLevel="0" collapsed="false">
      <c r="B26" s="8" t="s">
        <v>74</v>
      </c>
      <c r="C26" s="18" t="n">
        <v>0.044</v>
      </c>
    </row>
    <row r="27" customFormat="false" ht="15" hidden="false" customHeight="false" outlineLevel="0" collapsed="false">
      <c r="B27" s="8" t="s">
        <v>75</v>
      </c>
      <c r="C27" s="18" t="n">
        <v>0.045</v>
      </c>
    </row>
    <row r="28" customFormat="false" ht="15" hidden="false" customHeight="false" outlineLevel="0" collapsed="false">
      <c r="B28" s="8" t="s">
        <v>76</v>
      </c>
      <c r="C28" s="18" t="n">
        <v>0.046</v>
      </c>
    </row>
    <row r="29" customFormat="false" ht="15" hidden="false" customHeight="false" outlineLevel="0" collapsed="false">
      <c r="B29" s="8" t="s">
        <v>77</v>
      </c>
      <c r="C29" s="18" t="n">
        <v>0.047</v>
      </c>
    </row>
    <row r="30" customFormat="false" ht="15" hidden="false" customHeight="false" outlineLevel="0" collapsed="false">
      <c r="B30" s="8" t="s">
        <v>78</v>
      </c>
      <c r="C30" s="18" t="n">
        <v>0.022</v>
      </c>
      <c r="D30" s="2" t="s">
        <v>79</v>
      </c>
    </row>
    <row r="31" customFormat="false" ht="15" hidden="false" customHeight="false" outlineLevel="0" collapsed="false">
      <c r="B31" s="8" t="s">
        <v>80</v>
      </c>
      <c r="C31" s="18" t="n">
        <v>0.011</v>
      </c>
      <c r="D31" s="2" t="s">
        <v>81</v>
      </c>
    </row>
    <row r="32" customFormat="false" ht="15" hidden="false" customHeight="false" outlineLevel="0" collapsed="false">
      <c r="B32" s="8" t="s">
        <v>82</v>
      </c>
      <c r="C32" s="18" t="n">
        <v>0.013</v>
      </c>
      <c r="D32" s="2" t="s">
        <v>83</v>
      </c>
    </row>
    <row r="33" customFormat="false" ht="15" hidden="false" customHeight="false" outlineLevel="0" collapsed="false">
      <c r="B33" s="8" t="s">
        <v>84</v>
      </c>
      <c r="C33" s="18" t="n">
        <v>0.004</v>
      </c>
    </row>
    <row r="34" customFormat="false" ht="15" hidden="false" customHeight="false" outlineLevel="0" collapsed="false">
      <c r="B34" s="8" t="s">
        <v>85</v>
      </c>
      <c r="C34" s="18" t="n">
        <v>0.03</v>
      </c>
    </row>
    <row r="35" customFormat="false" ht="15" hidden="false" customHeight="false" outlineLevel="0" collapsed="false">
      <c r="B35" s="8" t="s">
        <v>86</v>
      </c>
      <c r="C35" s="17" t="n">
        <v>388</v>
      </c>
      <c r="D35" s="2" t="s">
        <v>87</v>
      </c>
    </row>
    <row r="37" customFormat="false" ht="15" hidden="false" customHeight="false" outlineLevel="0" collapsed="false">
      <c r="B37" s="3" t="s">
        <v>88</v>
      </c>
    </row>
    <row r="38" customFormat="false" ht="15" hidden="false" customHeight="false" outlineLevel="0" collapsed="false">
      <c r="B38" s="8" t="s">
        <v>89</v>
      </c>
      <c r="C38" s="17" t="n">
        <v>1200</v>
      </c>
      <c r="D38" s="2" t="s">
        <v>90</v>
      </c>
    </row>
    <row r="39" customFormat="false" ht="15" hidden="false" customHeight="false" outlineLevel="0" collapsed="false">
      <c r="B39" s="8" t="s">
        <v>91</v>
      </c>
      <c r="C39" s="17" t="n">
        <v>230</v>
      </c>
      <c r="D39" s="2" t="s">
        <v>92</v>
      </c>
    </row>
    <row r="40" customFormat="false" ht="15" hidden="false" customHeight="false" outlineLevel="0" collapsed="false">
      <c r="B40" s="8" t="s">
        <v>93</v>
      </c>
      <c r="C40" s="10" t="n">
        <f aca="false">Assumptions!$C$39/Assumptions!$C$38</f>
        <v>0.191666666666667</v>
      </c>
    </row>
    <row r="41" customFormat="false" ht="15" hidden="false" customHeight="false" outlineLevel="0" collapsed="false">
      <c r="B41" s="8" t="s">
        <v>94</v>
      </c>
      <c r="C41" s="18" t="n">
        <v>0.045</v>
      </c>
    </row>
    <row r="42" customFormat="false" ht="15" hidden="false" customHeight="false" outlineLevel="0" collapsed="false">
      <c r="B42" s="8" t="s">
        <v>95</v>
      </c>
      <c r="C42" s="18" t="n">
        <v>0.6875</v>
      </c>
      <c r="D42" s="2" t="s">
        <v>96</v>
      </c>
    </row>
    <row r="43" customFormat="false" ht="15" hidden="false" customHeight="false" outlineLevel="0" collapsed="false">
      <c r="B43" s="8" t="s">
        <v>97</v>
      </c>
      <c r="C43" s="19" t="n">
        <f aca="false">(Assumptions!$C$40-Assumptions!$C$41)/(Assumptions!$C$15-Assumptions!$C$41)</f>
        <v>2.44444444444444</v>
      </c>
    </row>
    <row r="45" customFormat="false" ht="15" hidden="false" customHeight="false" outlineLevel="0" collapsed="false">
      <c r="B45" s="3" t="s">
        <v>98</v>
      </c>
    </row>
    <row r="46" customFormat="false" ht="15" hidden="false" customHeight="false" outlineLevel="0" collapsed="false">
      <c r="B46" s="8" t="s">
        <v>99</v>
      </c>
      <c r="C46" s="20" t="n">
        <v>12</v>
      </c>
      <c r="D46" s="2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5" min="3" style="0" width="22"/>
  </cols>
  <sheetData>
    <row r="1" customFormat="false" ht="16.15" hidden="false" customHeight="false" outlineLevel="0" collapsed="false">
      <c r="B1" s="1" t="s">
        <v>101</v>
      </c>
    </row>
    <row r="2" customFormat="false" ht="15" hidden="false" customHeight="false" outlineLevel="0" collapsed="false">
      <c r="B2" s="2" t="s">
        <v>102</v>
      </c>
    </row>
    <row r="4" customFormat="false" ht="15" hidden="false" customHeight="false" outlineLevel="0" collapsed="false">
      <c r="B4" s="3" t="s">
        <v>103</v>
      </c>
      <c r="C4" s="5" t="s">
        <v>37</v>
      </c>
      <c r="D4" s="5" t="s">
        <v>12</v>
      </c>
    </row>
    <row r="5" customFormat="false" ht="15" hidden="false" customHeight="false" outlineLevel="0" collapsed="false">
      <c r="B5" s="8" t="s">
        <v>104</v>
      </c>
      <c r="C5" s="13" t="n">
        <f aca="false">DCF!C20</f>
        <v>5214.08412508507</v>
      </c>
      <c r="D5" s="13" t="n">
        <f aca="false">DCF!C21</f>
        <v>65.1760515635634</v>
      </c>
    </row>
    <row r="6" customFormat="false" ht="15" hidden="false" customHeight="false" outlineLevel="0" collapsed="false">
      <c r="B6" s="8" t="s">
        <v>105</v>
      </c>
      <c r="C6" s="9" t="n">
        <f aca="false">Assumptions!$C$38*Assumptions!$C$43</f>
        <v>2933.33333333333</v>
      </c>
    </row>
    <row r="7" customFormat="false" ht="15" hidden="false" customHeight="false" outlineLevel="0" collapsed="false">
      <c r="B7" s="8" t="s">
        <v>106</v>
      </c>
      <c r="C7" s="9" t="n">
        <f aca="false">SOTP!C6*Assumptions!$C$42</f>
        <v>2016.66666666667</v>
      </c>
      <c r="D7" s="9" t="n">
        <f aca="false">SOTP!C7/Assumptions!$C$6</f>
        <v>25.2083333333333</v>
      </c>
    </row>
    <row r="9" customFormat="false" ht="15" hidden="false" customHeight="false" outlineLevel="0" collapsed="false">
      <c r="B9" s="14" t="s">
        <v>107</v>
      </c>
      <c r="C9" s="15" t="n">
        <f aca="false">DCF!C20+SOTP!C7</f>
        <v>7230.75079175174</v>
      </c>
      <c r="D9" s="15" t="n">
        <f aca="false">SOTP!C9/Assumptions!$C$6</f>
        <v>90.3843848968968</v>
      </c>
    </row>
    <row r="11" customFormat="false" ht="15" hidden="false" customHeight="false" outlineLevel="0" collapsed="false">
      <c r="B11" s="3" t="s">
        <v>108</v>
      </c>
    </row>
    <row r="12" customFormat="false" ht="15" hidden="false" customHeight="false" outlineLevel="0" collapsed="false">
      <c r="B12" s="8" t="s">
        <v>109</v>
      </c>
      <c r="C12" s="9" t="n">
        <v>74.52</v>
      </c>
    </row>
    <row r="13" customFormat="false" ht="15" hidden="false" customHeight="false" outlineLevel="0" collapsed="false">
      <c r="B13" s="8" t="s">
        <v>110</v>
      </c>
      <c r="C13" s="9" t="n">
        <v>67.61</v>
      </c>
    </row>
    <row r="14" customFormat="false" ht="15" hidden="false" customHeight="false" outlineLevel="0" collapsed="false">
      <c r="B14" s="8" t="s">
        <v>111</v>
      </c>
      <c r="C14" s="9" t="n">
        <v>80.7246924484484</v>
      </c>
    </row>
    <row r="15" customFormat="false" ht="15" hidden="false" customHeight="false" outlineLevel="0" collapsed="false">
      <c r="B15" s="8" t="s">
        <v>112</v>
      </c>
      <c r="C15" s="9" t="n">
        <v>68.1</v>
      </c>
    </row>
    <row r="17" customFormat="false" ht="15" hidden="false" customHeight="false" outlineLevel="0" collapsed="false">
      <c r="B17" s="2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6" min="3" style="0" width="16"/>
  </cols>
  <sheetData>
    <row r="1" customFormat="false" ht="16.15" hidden="false" customHeight="false" outlineLevel="0" collapsed="false">
      <c r="B1" s="1" t="s">
        <v>114</v>
      </c>
    </row>
    <row r="2" customFormat="false" ht="15" hidden="false" customHeight="false" outlineLevel="0" collapsed="false">
      <c r="B2" s="2" t="s">
        <v>115</v>
      </c>
    </row>
    <row r="4" customFormat="false" ht="15" hidden="false" customHeight="false" outlineLevel="0" collapsed="false">
      <c r="B4" s="3" t="s">
        <v>37</v>
      </c>
      <c r="C4" s="5" t="s">
        <v>116</v>
      </c>
      <c r="D4" s="5" t="s">
        <v>117</v>
      </c>
      <c r="E4" s="5" t="s">
        <v>118</v>
      </c>
    </row>
    <row r="5" customFormat="false" ht="15" hidden="false" customHeight="false" outlineLevel="0" collapsed="false">
      <c r="B5" s="8" t="s">
        <v>119</v>
      </c>
      <c r="C5" s="21" t="n">
        <v>5850</v>
      </c>
      <c r="D5" s="21" t="n">
        <v>6350</v>
      </c>
      <c r="E5" s="21" t="n">
        <v>6950</v>
      </c>
    </row>
    <row r="6" customFormat="false" ht="15" hidden="false" customHeight="false" outlineLevel="0" collapsed="false">
      <c r="B6" s="22" t="s">
        <v>120</v>
      </c>
      <c r="C6" s="23" t="n">
        <v>350.7</v>
      </c>
      <c r="D6" s="23" t="n">
        <v>431.2</v>
      </c>
      <c r="E6" s="23" t="n">
        <v>500</v>
      </c>
    </row>
    <row r="7" customFormat="false" ht="15" hidden="false" customHeight="false" outlineLevel="0" collapsed="false">
      <c r="B7" s="8" t="s">
        <v>121</v>
      </c>
      <c r="C7" s="21" t="n">
        <v>239.5</v>
      </c>
      <c r="D7" s="21" t="n">
        <v>329.5</v>
      </c>
      <c r="E7" s="21" t="n">
        <v>267</v>
      </c>
    </row>
    <row r="8" customFormat="false" ht="15" hidden="false" customHeight="false" outlineLevel="0" collapsed="false">
      <c r="B8" s="22" t="s">
        <v>122</v>
      </c>
      <c r="C8" s="23" t="n">
        <v>150</v>
      </c>
      <c r="D8" s="23" t="n">
        <v>205</v>
      </c>
      <c r="E8" s="23" t="n">
        <v>230</v>
      </c>
    </row>
    <row r="9" customFormat="false" ht="15" hidden="false" customHeight="false" outlineLevel="0" collapsed="false">
      <c r="B9" s="8" t="s">
        <v>123</v>
      </c>
      <c r="C9" s="21" t="n">
        <v>1850</v>
      </c>
      <c r="D9" s="21" t="n">
        <v>2407</v>
      </c>
      <c r="E9" s="21" t="n">
        <v>3036</v>
      </c>
    </row>
    <row r="10" customFormat="false" ht="15" hidden="false" customHeight="false" outlineLevel="0" collapsed="false">
      <c r="B10" s="22" t="s">
        <v>124</v>
      </c>
      <c r="C10" s="24" t="n">
        <v>900</v>
      </c>
      <c r="D10" s="24" t="n">
        <v>1050</v>
      </c>
      <c r="E10" s="24" t="n">
        <v>1200</v>
      </c>
    </row>
    <row r="11" customFormat="false" ht="15" hidden="false" customHeight="false" outlineLevel="0" collapsed="false">
      <c r="B11" s="8" t="s">
        <v>125</v>
      </c>
      <c r="C11" s="21" t="n">
        <v>389.5</v>
      </c>
      <c r="D11" s="21" t="n">
        <v>534.5</v>
      </c>
      <c r="E11" s="21" t="n">
        <v>497</v>
      </c>
    </row>
    <row r="12" customFormat="false" ht="15" hidden="false" customHeight="false" outlineLevel="0" collapsed="false">
      <c r="B12" s="8" t="s">
        <v>126</v>
      </c>
      <c r="C12" s="10" t="n">
        <f aca="false">Segments!C6/Segments!C8</f>
        <v>2.338</v>
      </c>
      <c r="D12" s="10" t="n">
        <f aca="false">Segments!D6/Segments!D8</f>
        <v>2.10341463414634</v>
      </c>
      <c r="E12" s="10" t="n">
        <f aca="false">Segments!E6/Segments!E8</f>
        <v>2.17391304347826</v>
      </c>
    </row>
    <row r="14" customFormat="false" ht="15" hidden="false" customHeight="false" outlineLevel="0" collapsed="false">
      <c r="B14" s="2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8" min="3" style="0" width="15"/>
  </cols>
  <sheetData>
    <row r="1" customFormat="false" ht="16.15" hidden="false" customHeight="false" outlineLevel="0" collapsed="false">
      <c r="B1" s="1" t="s">
        <v>128</v>
      </c>
    </row>
    <row r="2" customFormat="false" ht="15" hidden="false" customHeight="false" outlineLevel="0" collapsed="false">
      <c r="B2" s="2" t="s">
        <v>129</v>
      </c>
    </row>
    <row r="4" customFormat="false" ht="15" hidden="false" customHeight="false" outlineLevel="0" collapsed="false">
      <c r="B4" s="3" t="s">
        <v>37</v>
      </c>
      <c r="C4" s="5" t="s">
        <v>130</v>
      </c>
      <c r="D4" s="5" t="s">
        <v>131</v>
      </c>
      <c r="E4" s="5" t="s">
        <v>132</v>
      </c>
      <c r="F4" s="5" t="s">
        <v>133</v>
      </c>
      <c r="G4" s="5" t="s">
        <v>134</v>
      </c>
    </row>
    <row r="5" customFormat="false" ht="15" hidden="false" customHeight="false" outlineLevel="0" collapsed="false">
      <c r="B5" s="8" t="s">
        <v>135</v>
      </c>
      <c r="C5" s="9" t="n">
        <f aca="false">Assumptions!$C$19*(1+Assumptions!$C$20)</f>
        <v>7332.25</v>
      </c>
      <c r="D5" s="9" t="n">
        <f aca="false">DCF!C5*(1+Assumptions!$C$21)</f>
        <v>7735.52375</v>
      </c>
      <c r="E5" s="9" t="n">
        <f aca="false">DCF!D5*(1+Assumptions!$C$22)</f>
        <v>8122.2999375</v>
      </c>
      <c r="F5" s="9" t="n">
        <f aca="false">DCF!E5*(1+Assumptions!$C$23)</f>
        <v>8528.414934375</v>
      </c>
      <c r="G5" s="9" t="n">
        <f aca="false">DCF!F5*(1+Assumptions!$C$24)</f>
        <v>8912.19360642187</v>
      </c>
    </row>
    <row r="6" customFormat="false" ht="15" hidden="false" customHeight="false" outlineLevel="0" collapsed="false">
      <c r="B6" s="8" t="s">
        <v>136</v>
      </c>
      <c r="C6" s="9" t="n">
        <f aca="false">DCF!C5*Assumptions!$C$25</f>
        <v>307.9545</v>
      </c>
      <c r="D6" s="9" t="n">
        <f aca="false">DCF!D5*Assumptions!$C$26</f>
        <v>340.363045</v>
      </c>
      <c r="E6" s="9" t="n">
        <f aca="false">DCF!E5*Assumptions!$C$27</f>
        <v>365.5034971875</v>
      </c>
      <c r="F6" s="9" t="n">
        <f aca="false">DCF!F5*Assumptions!$C$28</f>
        <v>392.30708698125</v>
      </c>
      <c r="G6" s="9" t="n">
        <f aca="false">DCF!G5*Assumptions!$C$29</f>
        <v>418.873099501828</v>
      </c>
    </row>
    <row r="7" customFormat="false" ht="15" hidden="false" customHeight="false" outlineLevel="0" collapsed="false">
      <c r="B7" s="8" t="s">
        <v>137</v>
      </c>
      <c r="C7" s="9" t="n">
        <f aca="false">DCF!C6*(1-Assumptions!$C$7)</f>
        <v>280.238595</v>
      </c>
      <c r="D7" s="9" t="n">
        <f aca="false">DCF!D6*(1-Assumptions!$C$7)</f>
        <v>309.73037095</v>
      </c>
      <c r="E7" s="9" t="n">
        <f aca="false">DCF!E6*(1-Assumptions!$C$7)</f>
        <v>332.608182440625</v>
      </c>
      <c r="F7" s="9" t="n">
        <f aca="false">DCF!F6*(1-Assumptions!$C$7)</f>
        <v>356.999449152938</v>
      </c>
      <c r="G7" s="9" t="n">
        <f aca="false">DCF!G6*(1-Assumptions!$C$7)</f>
        <v>381.174520546664</v>
      </c>
    </row>
    <row r="8" customFormat="false" ht="15" hidden="false" customHeight="false" outlineLevel="0" collapsed="false">
      <c r="B8" s="8" t="s">
        <v>138</v>
      </c>
      <c r="C8" s="9" t="n">
        <f aca="false">DCF!C5*Assumptions!$C$30</f>
        <v>161.3095</v>
      </c>
      <c r="D8" s="9" t="n">
        <f aca="false">DCF!D5*Assumptions!$C$30</f>
        <v>170.1815225</v>
      </c>
      <c r="E8" s="9" t="n">
        <f aca="false">DCF!E5*Assumptions!$C$30</f>
        <v>178.690598625</v>
      </c>
      <c r="F8" s="9" t="n">
        <f aca="false">DCF!F5*Assumptions!$C$30</f>
        <v>187.62512855625</v>
      </c>
      <c r="G8" s="9" t="n">
        <f aca="false">DCF!G5*Assumptions!$C$30</f>
        <v>196.068259341281</v>
      </c>
    </row>
    <row r="9" customFormat="false" ht="15" hidden="false" customHeight="false" outlineLevel="0" collapsed="false">
      <c r="B9" s="8" t="s">
        <v>139</v>
      </c>
      <c r="C9" s="9" t="n">
        <f aca="false">-DCF!C5*Assumptions!$C$31</f>
        <v>-80.65475</v>
      </c>
      <c r="D9" s="9" t="n">
        <f aca="false">-DCF!D5*Assumptions!$C$31</f>
        <v>-85.09076125</v>
      </c>
      <c r="E9" s="9" t="n">
        <f aca="false">-DCF!E5*Assumptions!$C$31</f>
        <v>-89.3452993125</v>
      </c>
      <c r="F9" s="9" t="n">
        <f aca="false">-DCF!F5*Assumptions!$C$31</f>
        <v>-93.812564278125</v>
      </c>
      <c r="G9" s="9" t="n">
        <f aca="false">-DCF!G5*Assumptions!$C$31</f>
        <v>-98.0341296706406</v>
      </c>
    </row>
    <row r="10" customFormat="false" ht="15" hidden="false" customHeight="false" outlineLevel="0" collapsed="false">
      <c r="B10" s="8" t="s">
        <v>140</v>
      </c>
      <c r="C10" s="9" t="n">
        <f aca="false">-DCF!C5*Assumptions!$C$32</f>
        <v>-95.31925</v>
      </c>
      <c r="D10" s="9" t="n">
        <f aca="false">-DCF!D5*Assumptions!$C$32</f>
        <v>-100.56180875</v>
      </c>
      <c r="E10" s="9" t="n">
        <f aca="false">-DCF!E5*Assumptions!$C$32</f>
        <v>-105.5898991875</v>
      </c>
      <c r="F10" s="9" t="n">
        <f aca="false">-DCF!F5*Assumptions!$C$32</f>
        <v>-110.869394146875</v>
      </c>
      <c r="G10" s="9" t="n">
        <f aca="false">-DCF!G5*Assumptions!$C$32</f>
        <v>-115.858516883484</v>
      </c>
    </row>
    <row r="11" customFormat="false" ht="15" hidden="false" customHeight="false" outlineLevel="0" collapsed="false">
      <c r="B11" s="8" t="s">
        <v>141</v>
      </c>
      <c r="C11" s="9" t="n">
        <f aca="false">-(DCF!C5-Assumptions!$C$19)*Assumptions!$C$33</f>
        <v>-1.529</v>
      </c>
      <c r="D11" s="9" t="n">
        <f aca="false">-(DCF!D5-DCF!C5)*Assumptions!$C$33</f>
        <v>-1.613095</v>
      </c>
      <c r="E11" s="9" t="n">
        <f aca="false">-(DCF!E5-DCF!D5)*Assumptions!$C$33</f>
        <v>-1.54710475</v>
      </c>
      <c r="F11" s="9" t="n">
        <f aca="false">-(DCF!F5-DCF!E5)*Assumptions!$C$33</f>
        <v>-1.6244599875</v>
      </c>
      <c r="G11" s="9" t="n">
        <f aca="false">-(DCF!G5-DCF!F5)*Assumptions!$C$33</f>
        <v>-1.5351146881875</v>
      </c>
    </row>
    <row r="12" customFormat="false" ht="15" hidden="false" customHeight="false" outlineLevel="0" collapsed="false">
      <c r="B12" s="8" t="s">
        <v>142</v>
      </c>
      <c r="C12" s="9" t="n">
        <f aca="false">DCF!C7+DCF!C8+DCF!C9+DCF!C10+DCF!C11</f>
        <v>264.045095</v>
      </c>
      <c r="D12" s="9" t="n">
        <f aca="false">DCF!D7+DCF!D8+DCF!D9+DCF!D10+DCF!D11</f>
        <v>292.64622845</v>
      </c>
      <c r="E12" s="9" t="n">
        <f aca="false">DCF!E7+DCF!E8+DCF!E9+DCF!E10+DCF!E11</f>
        <v>314.816477815625</v>
      </c>
      <c r="F12" s="9" t="n">
        <f aca="false">DCF!F7+DCF!F8+DCF!F9+DCF!F10+DCF!F11</f>
        <v>338.318159296688</v>
      </c>
      <c r="G12" s="9" t="n">
        <f aca="false">DCF!G7+DCF!G8+DCF!G9+DCF!G10+DCF!G11</f>
        <v>361.815018645632</v>
      </c>
    </row>
    <row r="13" customFormat="false" ht="15" hidden="false" customHeight="false" outlineLevel="0" collapsed="false">
      <c r="B13" s="8" t="s">
        <v>143</v>
      </c>
      <c r="C13" s="25" t="n">
        <f aca="false">1/(1+Assumptions!$C$14)^1</f>
        <v>0.913175293129269</v>
      </c>
      <c r="D13" s="25" t="n">
        <f aca="false">1/(1+Assumptions!$C$14)^2</f>
        <v>0.833889115981727</v>
      </c>
      <c r="E13" s="25" t="n">
        <f aca="false">1/(1+Assumptions!$C$14)^3</f>
        <v>0.76148693792392</v>
      </c>
      <c r="F13" s="25" t="n">
        <f aca="false">1/(1+Assumptions!$C$14)^4</f>
        <v>0.695371057752785</v>
      </c>
      <c r="G13" s="25" t="n">
        <f aca="false">1/(1+Assumptions!$C$14)^5</f>
        <v>0.63499566949701</v>
      </c>
    </row>
    <row r="14" customFormat="false" ht="15" hidden="false" customHeight="false" outlineLevel="0" collapsed="false">
      <c r="B14" s="8" t="s">
        <v>144</v>
      </c>
      <c r="C14" s="9" t="n">
        <f aca="false">DCF!C12*DCF!C13</f>
        <v>241.119457025971</v>
      </c>
      <c r="D14" s="9" t="n">
        <f aca="false">DCF!D12*DCF!D13</f>
        <v>244.034504737557</v>
      </c>
      <c r="E14" s="9" t="n">
        <f aca="false">DCF!E12*DCF!E13</f>
        <v>239.728635699814</v>
      </c>
      <c r="F14" s="9" t="n">
        <f aca="false">DCF!F12*DCF!F13</f>
        <v>235.256656287113</v>
      </c>
      <c r="G14" s="9" t="n">
        <f aca="false">DCF!G12*DCF!G13</f>
        <v>229.750969998956</v>
      </c>
    </row>
    <row r="16" customFormat="false" ht="15" hidden="false" customHeight="false" outlineLevel="0" collapsed="false">
      <c r="B16" s="8" t="s">
        <v>145</v>
      </c>
      <c r="C16" s="9" t="n">
        <f aca="false">DCF!G12*(1+Assumptions!$C$34)/(Assumptions!$C$14-Assumptions!$C$34)</f>
        <v>5726.32866018748</v>
      </c>
    </row>
    <row r="17" customFormat="false" ht="15" hidden="false" customHeight="false" outlineLevel="0" collapsed="false">
      <c r="B17" s="8" t="s">
        <v>146</v>
      </c>
      <c r="C17" s="9" t="n">
        <f aca="false">DCF!C16*DCF!G13</f>
        <v>3636.19390133566</v>
      </c>
    </row>
    <row r="18" customFormat="false" ht="15" hidden="false" customHeight="false" outlineLevel="0" collapsed="false">
      <c r="B18" s="8" t="s">
        <v>147</v>
      </c>
      <c r="C18" s="26" t="n">
        <f aca="false">SUM(DCF!C14:G14)+DCF!C17</f>
        <v>4826.08412508507</v>
      </c>
    </row>
    <row r="19" customFormat="false" ht="15" hidden="false" customHeight="false" outlineLevel="0" collapsed="false">
      <c r="B19" s="8" t="s">
        <v>148</v>
      </c>
      <c r="C19" s="13" t="n">
        <f aca="false">Assumptions!$C$35</f>
        <v>388</v>
      </c>
    </row>
    <row r="20" customFormat="false" ht="15" hidden="false" customHeight="false" outlineLevel="0" collapsed="false">
      <c r="B20" s="8" t="s">
        <v>149</v>
      </c>
      <c r="C20" s="27" t="n">
        <f aca="false">DCF!C18+DCF!C19</f>
        <v>5214.08412508507</v>
      </c>
    </row>
    <row r="21" customFormat="false" ht="15" hidden="false" customHeight="false" outlineLevel="0" collapsed="false">
      <c r="B21" s="8" t="s">
        <v>150</v>
      </c>
      <c r="C21" s="27" t="n">
        <f aca="false">DCF!C20/Assumptions!$C$6</f>
        <v>65.1760515635634</v>
      </c>
    </row>
    <row r="22" customFormat="false" ht="15" hidden="false" customHeight="false" outlineLevel="0" collapsed="false">
      <c r="B22" s="8" t="s">
        <v>151</v>
      </c>
      <c r="C22" s="10" t="n">
        <f aca="false">DCF!C17/DCF!C18</f>
        <v>0.753446025201967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10" min="3" style="0" width="13"/>
  </cols>
  <sheetData>
    <row r="1" customFormat="false" ht="16.15" hidden="false" customHeight="false" outlineLevel="0" collapsed="false">
      <c r="B1" s="1" t="s">
        <v>152</v>
      </c>
    </row>
    <row r="2" customFormat="false" ht="15" hidden="false" customHeight="false" outlineLevel="0" collapsed="false">
      <c r="B2" s="2" t="s">
        <v>153</v>
      </c>
    </row>
    <row r="4" customFormat="false" ht="15" hidden="false" customHeight="false" outlineLevel="0" collapsed="false">
      <c r="C4" s="5" t="s">
        <v>116</v>
      </c>
      <c r="D4" s="5" t="s">
        <v>117</v>
      </c>
      <c r="E4" s="5" t="s">
        <v>118</v>
      </c>
      <c r="F4" s="5" t="s">
        <v>130</v>
      </c>
      <c r="G4" s="5" t="s">
        <v>131</v>
      </c>
      <c r="H4" s="5" t="s">
        <v>132</v>
      </c>
      <c r="I4" s="5" t="s">
        <v>133</v>
      </c>
      <c r="J4" s="5" t="s">
        <v>134</v>
      </c>
    </row>
    <row r="5" customFormat="false" ht="15" hidden="false" customHeight="false" outlineLevel="0" collapsed="false">
      <c r="B5" s="22" t="s">
        <v>135</v>
      </c>
      <c r="C5" s="23" t="n">
        <v>6200.7</v>
      </c>
      <c r="D5" s="23" t="n">
        <v>6781.2</v>
      </c>
      <c r="E5" s="23" t="n">
        <v>7450</v>
      </c>
      <c r="F5" s="23" t="n">
        <v>7897</v>
      </c>
      <c r="G5" s="23" t="n">
        <v>8370.8</v>
      </c>
      <c r="H5" s="23" t="n">
        <v>8831.2</v>
      </c>
      <c r="I5" s="23" t="n">
        <v>9272.8</v>
      </c>
      <c r="J5" s="23" t="n">
        <v>9736.4</v>
      </c>
    </row>
    <row r="6" customFormat="false" ht="15" hidden="false" customHeight="false" outlineLevel="0" collapsed="false">
      <c r="B6" s="8" t="s">
        <v>154</v>
      </c>
      <c r="C6" s="21" t="n">
        <v>-4838.8</v>
      </c>
      <c r="D6" s="21" t="n">
        <v>-5222.2</v>
      </c>
      <c r="E6" s="21" t="n">
        <v>-5669</v>
      </c>
      <c r="F6" s="21"/>
      <c r="G6" s="21"/>
      <c r="H6" s="21"/>
      <c r="I6" s="21"/>
      <c r="J6" s="21"/>
    </row>
    <row r="7" customFormat="false" ht="15" hidden="false" customHeight="false" outlineLevel="0" collapsed="false">
      <c r="B7" s="22" t="s">
        <v>155</v>
      </c>
      <c r="C7" s="23" t="n">
        <v>1361.9</v>
      </c>
      <c r="D7" s="23" t="n">
        <v>1559</v>
      </c>
      <c r="E7" s="23" t="n">
        <v>1781</v>
      </c>
      <c r="F7" s="23" t="n">
        <v>1911.1</v>
      </c>
      <c r="G7" s="23" t="n">
        <v>2025.7</v>
      </c>
      <c r="H7" s="23" t="n">
        <v>2137.2</v>
      </c>
      <c r="I7" s="23" t="n">
        <v>2244</v>
      </c>
      <c r="J7" s="23" t="n">
        <v>2356.2</v>
      </c>
    </row>
    <row r="8" customFormat="false" ht="15" hidden="false" customHeight="false" outlineLevel="0" collapsed="false">
      <c r="B8" s="8" t="s">
        <v>156</v>
      </c>
      <c r="C8" s="21" t="n">
        <v>-811</v>
      </c>
      <c r="D8" s="21" t="n">
        <v>-857</v>
      </c>
      <c r="E8" s="21" t="n">
        <v>-1000</v>
      </c>
      <c r="F8" s="21"/>
      <c r="G8" s="21"/>
      <c r="H8" s="21"/>
      <c r="I8" s="21"/>
      <c r="J8" s="21"/>
    </row>
    <row r="9" customFormat="false" ht="15" hidden="false" customHeight="false" outlineLevel="0" collapsed="false">
      <c r="B9" s="22" t="s">
        <v>157</v>
      </c>
      <c r="C9" s="23" t="n">
        <v>-70</v>
      </c>
      <c r="D9" s="23" t="n">
        <v>-93</v>
      </c>
      <c r="E9" s="23" t="n">
        <v>-175</v>
      </c>
      <c r="F9" s="23"/>
      <c r="G9" s="23"/>
      <c r="H9" s="23"/>
      <c r="I9" s="23"/>
      <c r="J9" s="23"/>
    </row>
    <row r="10" customFormat="false" ht="15" hidden="false" customHeight="false" outlineLevel="0" collapsed="false">
      <c r="B10" s="8" t="s">
        <v>136</v>
      </c>
      <c r="C10" s="21" t="n">
        <v>480.9</v>
      </c>
      <c r="D10" s="21" t="n">
        <v>639</v>
      </c>
      <c r="E10" s="21" t="n">
        <v>600</v>
      </c>
      <c r="F10" s="21" t="n">
        <v>647.6</v>
      </c>
      <c r="G10" s="21" t="n">
        <v>686.4</v>
      </c>
      <c r="H10" s="21" t="n">
        <v>724.2</v>
      </c>
      <c r="I10" s="21" t="n">
        <v>760.4</v>
      </c>
      <c r="J10" s="21" t="n">
        <v>798.4</v>
      </c>
    </row>
    <row r="11" customFormat="false" ht="15" hidden="false" customHeight="false" outlineLevel="0" collapsed="false">
      <c r="B11" s="22" t="s">
        <v>158</v>
      </c>
      <c r="C11" s="23" t="n">
        <v>114</v>
      </c>
      <c r="D11" s="23" t="n">
        <v>119</v>
      </c>
      <c r="E11" s="23" t="n">
        <v>165</v>
      </c>
      <c r="F11" s="23"/>
      <c r="G11" s="23"/>
      <c r="H11" s="23"/>
      <c r="I11" s="23"/>
      <c r="J11" s="23"/>
    </row>
    <row r="12" customFormat="false" ht="15" hidden="false" customHeight="false" outlineLevel="0" collapsed="false">
      <c r="B12" s="8" t="s">
        <v>159</v>
      </c>
      <c r="C12" s="21" t="n">
        <v>595</v>
      </c>
      <c r="D12" s="21" t="n">
        <v>758</v>
      </c>
      <c r="E12" s="21" t="n">
        <v>765</v>
      </c>
      <c r="F12" s="21" t="n">
        <v>821.3</v>
      </c>
      <c r="G12" s="21" t="n">
        <v>870.6</v>
      </c>
      <c r="H12" s="21" t="n">
        <v>918.4</v>
      </c>
      <c r="I12" s="21" t="n">
        <v>964.4</v>
      </c>
      <c r="J12" s="21" t="n">
        <v>1012.6</v>
      </c>
    </row>
    <row r="13" customFormat="false" ht="15" hidden="false" customHeight="false" outlineLevel="0" collapsed="false">
      <c r="B13" s="22" t="s">
        <v>160</v>
      </c>
      <c r="C13" s="23" t="n">
        <v>-62</v>
      </c>
      <c r="D13" s="23" t="n">
        <v>-60</v>
      </c>
      <c r="E13" s="23" t="n">
        <v>-50</v>
      </c>
      <c r="F13" s="23"/>
      <c r="G13" s="23"/>
      <c r="H13" s="23"/>
      <c r="I13" s="23"/>
      <c r="J13" s="23"/>
    </row>
    <row r="14" customFormat="false" ht="15" hidden="false" customHeight="false" outlineLevel="0" collapsed="false">
      <c r="B14" s="8" t="s">
        <v>161</v>
      </c>
      <c r="C14" s="21" t="n">
        <v>418</v>
      </c>
      <c r="D14" s="21" t="n">
        <v>579</v>
      </c>
      <c r="E14" s="21" t="n">
        <v>550</v>
      </c>
      <c r="F14" s="21"/>
      <c r="G14" s="21"/>
      <c r="H14" s="21"/>
      <c r="I14" s="21"/>
      <c r="J14" s="21"/>
    </row>
    <row r="15" customFormat="false" ht="15" hidden="false" customHeight="false" outlineLevel="0" collapsed="false">
      <c r="B15" s="22" t="s">
        <v>162</v>
      </c>
      <c r="C15" s="23" t="n">
        <v>-29</v>
      </c>
      <c r="D15" s="23" t="n">
        <v>-45</v>
      </c>
      <c r="E15" s="23" t="n">
        <v>-53</v>
      </c>
      <c r="F15" s="23"/>
      <c r="G15" s="23"/>
      <c r="H15" s="23"/>
      <c r="I15" s="23"/>
      <c r="J15" s="23"/>
    </row>
    <row r="16" customFormat="false" ht="15" hidden="false" customHeight="false" outlineLevel="0" collapsed="false">
      <c r="B16" s="8" t="s">
        <v>163</v>
      </c>
      <c r="C16" s="21" t="n">
        <v>389.5</v>
      </c>
      <c r="D16" s="21" t="n">
        <v>534.5</v>
      </c>
      <c r="E16" s="21" t="n">
        <v>497</v>
      </c>
      <c r="F16" s="21" t="n">
        <v>552.8</v>
      </c>
      <c r="G16" s="21" t="n">
        <v>586</v>
      </c>
      <c r="H16" s="21" t="n">
        <v>618.2</v>
      </c>
      <c r="I16" s="21" t="n">
        <v>649.1</v>
      </c>
      <c r="J16" s="21" t="n">
        <v>681.5</v>
      </c>
    </row>
    <row r="17" customFormat="false" ht="15" hidden="false" customHeight="false" outlineLevel="0" collapsed="false">
      <c r="B17" s="22" t="s">
        <v>164</v>
      </c>
      <c r="C17" s="28" t="n">
        <v>4.87</v>
      </c>
      <c r="D17" s="28" t="n">
        <v>6.68</v>
      </c>
      <c r="E17" s="28" t="n">
        <v>6.21</v>
      </c>
      <c r="F17" s="28" t="n">
        <v>6.91</v>
      </c>
      <c r="G17" s="28" t="n">
        <v>7.33</v>
      </c>
      <c r="H17" s="28" t="n">
        <v>7.73</v>
      </c>
      <c r="I17" s="28" t="n">
        <v>8.11</v>
      </c>
      <c r="J17" s="28" t="n">
        <v>8.52</v>
      </c>
    </row>
    <row r="18" customFormat="false" ht="15" hidden="false" customHeight="false" outlineLevel="0" collapsed="false">
      <c r="B18" s="8" t="s">
        <v>165</v>
      </c>
      <c r="C18" s="9" t="n">
        <v>3.3</v>
      </c>
      <c r="D18" s="9" t="n">
        <v>10</v>
      </c>
      <c r="E18" s="9" t="n">
        <v>4.72</v>
      </c>
      <c r="F18" s="9" t="n">
        <v>5.25</v>
      </c>
      <c r="G18" s="9" t="n">
        <v>5.57</v>
      </c>
      <c r="H18" s="9" t="n">
        <v>5.87</v>
      </c>
      <c r="I18" s="9" t="n">
        <v>6.17</v>
      </c>
      <c r="J18" s="9" t="n">
        <v>6.47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10" min="3" style="0" width="13"/>
  </cols>
  <sheetData>
    <row r="1" customFormat="false" ht="16.15" hidden="false" customHeight="false" outlineLevel="0" collapsed="false">
      <c r="B1" s="1" t="s">
        <v>166</v>
      </c>
    </row>
    <row r="2" customFormat="false" ht="15" hidden="false" customHeight="false" outlineLevel="0" collapsed="false">
      <c r="B2" s="2" t="s">
        <v>153</v>
      </c>
    </row>
    <row r="4" customFormat="false" ht="15" hidden="false" customHeight="false" outlineLevel="0" collapsed="false">
      <c r="C4" s="5" t="s">
        <v>116</v>
      </c>
      <c r="D4" s="5" t="s">
        <v>117</v>
      </c>
      <c r="E4" s="5" t="s">
        <v>118</v>
      </c>
      <c r="F4" s="5" t="s">
        <v>130</v>
      </c>
      <c r="G4" s="5" t="s">
        <v>131</v>
      </c>
      <c r="H4" s="5" t="s">
        <v>132</v>
      </c>
      <c r="I4" s="5" t="s">
        <v>133</v>
      </c>
      <c r="J4" s="5" t="s">
        <v>134</v>
      </c>
    </row>
    <row r="5" customFormat="false" ht="15" hidden="false" customHeight="false" outlineLevel="0" collapsed="false">
      <c r="B5" s="22" t="s">
        <v>167</v>
      </c>
      <c r="C5" s="23" t="n">
        <v>158</v>
      </c>
      <c r="D5" s="23" t="n">
        <v>476</v>
      </c>
      <c r="E5" s="23" t="n">
        <v>660</v>
      </c>
      <c r="F5" s="23" t="n">
        <v>693</v>
      </c>
      <c r="G5" s="23" t="n">
        <v>728</v>
      </c>
      <c r="H5" s="23" t="n">
        <v>764</v>
      </c>
      <c r="I5" s="23" t="n">
        <v>802</v>
      </c>
      <c r="J5" s="23" t="n">
        <v>842</v>
      </c>
    </row>
    <row r="6" customFormat="false" ht="15" hidden="false" customHeight="false" outlineLevel="0" collapsed="false">
      <c r="B6" s="8" t="s">
        <v>168</v>
      </c>
      <c r="C6" s="21" t="n">
        <v>2204</v>
      </c>
      <c r="D6" s="21" t="n">
        <v>2653</v>
      </c>
      <c r="E6" s="21" t="n">
        <v>2770</v>
      </c>
      <c r="F6" s="21" t="n">
        <v>2936</v>
      </c>
      <c r="G6" s="21" t="n">
        <v>3112</v>
      </c>
      <c r="H6" s="21" t="n">
        <v>3299</v>
      </c>
      <c r="I6" s="21" t="n">
        <v>3497</v>
      </c>
      <c r="J6" s="21" t="n">
        <v>3707</v>
      </c>
    </row>
    <row r="7" customFormat="false" ht="15" hidden="false" customHeight="false" outlineLevel="0" collapsed="false">
      <c r="B7" s="22" t="s">
        <v>169</v>
      </c>
      <c r="C7" s="23" t="n">
        <v>486</v>
      </c>
      <c r="D7" s="23" t="n">
        <v>486</v>
      </c>
      <c r="E7" s="23" t="n">
        <v>504</v>
      </c>
      <c r="F7" s="23" t="n">
        <v>519</v>
      </c>
      <c r="G7" s="23" t="n">
        <v>535</v>
      </c>
      <c r="H7" s="23" t="n">
        <v>551</v>
      </c>
      <c r="I7" s="23" t="n">
        <v>567</v>
      </c>
      <c r="J7" s="23" t="n">
        <v>584</v>
      </c>
    </row>
    <row r="8" customFormat="false" ht="15" hidden="false" customHeight="false" outlineLevel="0" collapsed="false">
      <c r="B8" s="8" t="s">
        <v>170</v>
      </c>
      <c r="C8" s="21" t="n">
        <v>451</v>
      </c>
      <c r="D8" s="21" t="n">
        <v>463</v>
      </c>
      <c r="E8" s="21" t="n">
        <v>483</v>
      </c>
      <c r="F8" s="21" t="n">
        <v>497</v>
      </c>
      <c r="G8" s="21" t="n">
        <v>512</v>
      </c>
      <c r="H8" s="21" t="n">
        <v>528</v>
      </c>
      <c r="I8" s="21" t="n">
        <v>544</v>
      </c>
      <c r="J8" s="21" t="n">
        <v>560</v>
      </c>
    </row>
    <row r="9" customFormat="false" ht="15" hidden="false" customHeight="false" outlineLevel="0" collapsed="false">
      <c r="B9" s="22" t="s">
        <v>171</v>
      </c>
      <c r="C9" s="23" t="n">
        <v>1142</v>
      </c>
      <c r="D9" s="23" t="n">
        <v>1324</v>
      </c>
      <c r="E9" s="23" t="n">
        <v>1763</v>
      </c>
      <c r="F9" s="23" t="n">
        <v>1975</v>
      </c>
      <c r="G9" s="23" t="n">
        <v>2212</v>
      </c>
      <c r="H9" s="23" t="n">
        <v>2477</v>
      </c>
      <c r="I9" s="23" t="n">
        <v>2774</v>
      </c>
      <c r="J9" s="23" t="n">
        <v>3107</v>
      </c>
    </row>
    <row r="10" customFormat="false" ht="15" hidden="false" customHeight="false" outlineLevel="0" collapsed="false">
      <c r="B10" s="8" t="s">
        <v>172</v>
      </c>
      <c r="C10" s="21" t="n">
        <v>4442</v>
      </c>
      <c r="D10" s="21" t="n">
        <v>5402</v>
      </c>
      <c r="E10" s="21" t="n">
        <v>6187</v>
      </c>
      <c r="F10" s="21" t="n">
        <v>6620</v>
      </c>
      <c r="G10" s="21" t="n">
        <v>7083</v>
      </c>
      <c r="H10" s="21" t="n">
        <v>7579</v>
      </c>
      <c r="I10" s="21" t="n">
        <v>8110</v>
      </c>
      <c r="J10" s="21" t="n">
        <v>8678</v>
      </c>
    </row>
    <row r="11" customFormat="false" ht="15" hidden="false" customHeight="false" outlineLevel="0" collapsed="false">
      <c r="B11" s="22" t="s">
        <v>173</v>
      </c>
      <c r="C11" s="23" t="n">
        <v>1679</v>
      </c>
      <c r="D11" s="23" t="n">
        <v>1662</v>
      </c>
      <c r="E11" s="23" t="n">
        <v>2070</v>
      </c>
      <c r="F11" s="23" t="n">
        <v>2194</v>
      </c>
      <c r="G11" s="23" t="n">
        <v>2326</v>
      </c>
      <c r="H11" s="23" t="n">
        <v>2465</v>
      </c>
      <c r="I11" s="23" t="n">
        <v>2613</v>
      </c>
      <c r="J11" s="23" t="n">
        <v>2770</v>
      </c>
    </row>
    <row r="12" customFormat="false" ht="15" hidden="false" customHeight="false" outlineLevel="0" collapsed="false">
      <c r="B12" s="8" t="s">
        <v>174</v>
      </c>
      <c r="C12" s="21" t="n">
        <v>1478</v>
      </c>
      <c r="D12" s="21" t="n">
        <v>1697</v>
      </c>
      <c r="E12" s="21" t="n">
        <v>1947</v>
      </c>
      <c r="F12" s="21" t="n">
        <v>2083</v>
      </c>
      <c r="G12" s="21" t="n">
        <v>2229</v>
      </c>
      <c r="H12" s="21" t="n">
        <v>2385</v>
      </c>
      <c r="I12" s="21" t="n">
        <v>2552</v>
      </c>
      <c r="J12" s="21" t="n">
        <v>2731</v>
      </c>
    </row>
    <row r="13" customFormat="false" ht="15" hidden="false" customHeight="false" outlineLevel="0" collapsed="false">
      <c r="B13" s="22" t="s">
        <v>175</v>
      </c>
      <c r="C13" s="23" t="n">
        <v>1284</v>
      </c>
      <c r="D13" s="23" t="n">
        <v>2043</v>
      </c>
      <c r="E13" s="23" t="n">
        <v>2170</v>
      </c>
      <c r="F13" s="23" t="n">
        <v>2300</v>
      </c>
      <c r="G13" s="23" t="n">
        <v>2438</v>
      </c>
      <c r="H13" s="23" t="n">
        <v>2585</v>
      </c>
      <c r="I13" s="23" t="n">
        <v>2740</v>
      </c>
      <c r="J13" s="23" t="n">
        <v>2904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10" min="3" style="0" width="13"/>
  </cols>
  <sheetData>
    <row r="1" customFormat="false" ht="16.15" hidden="false" customHeight="false" outlineLevel="0" collapsed="false">
      <c r="B1" s="1" t="s">
        <v>176</v>
      </c>
    </row>
    <row r="2" customFormat="false" ht="15" hidden="false" customHeight="false" outlineLevel="0" collapsed="false">
      <c r="B2" s="2" t="s">
        <v>153</v>
      </c>
    </row>
    <row r="4" customFormat="false" ht="15" hidden="false" customHeight="false" outlineLevel="0" collapsed="false">
      <c r="C4" s="5" t="s">
        <v>116</v>
      </c>
      <c r="D4" s="5" t="s">
        <v>117</v>
      </c>
      <c r="E4" s="5" t="s">
        <v>118</v>
      </c>
      <c r="F4" s="5" t="s">
        <v>130</v>
      </c>
      <c r="G4" s="5" t="s">
        <v>131</v>
      </c>
      <c r="H4" s="5" t="s">
        <v>132</v>
      </c>
      <c r="I4" s="5" t="s">
        <v>133</v>
      </c>
      <c r="J4" s="5" t="s">
        <v>134</v>
      </c>
    </row>
    <row r="5" customFormat="false" ht="15" hidden="false" customHeight="false" outlineLevel="0" collapsed="false">
      <c r="B5" s="22" t="s">
        <v>177</v>
      </c>
      <c r="C5" s="23" t="n">
        <v>300</v>
      </c>
      <c r="D5" s="23" t="n">
        <v>601</v>
      </c>
      <c r="E5" s="23" t="n">
        <v>609</v>
      </c>
      <c r="F5" s="23" t="n">
        <v>639</v>
      </c>
      <c r="G5" s="23" t="n">
        <v>671</v>
      </c>
      <c r="H5" s="23" t="n">
        <v>705</v>
      </c>
      <c r="I5" s="23" t="n">
        <v>740</v>
      </c>
      <c r="J5" s="23" t="n">
        <v>777</v>
      </c>
    </row>
    <row r="6" customFormat="false" ht="15" hidden="false" customHeight="false" outlineLevel="0" collapsed="false">
      <c r="B6" s="8" t="s">
        <v>178</v>
      </c>
      <c r="C6" s="21" t="n">
        <v>-59</v>
      </c>
      <c r="D6" s="21" t="n">
        <v>-56</v>
      </c>
      <c r="E6" s="21" t="n">
        <v>-76</v>
      </c>
      <c r="F6" s="21" t="n">
        <v>-80</v>
      </c>
      <c r="G6" s="21" t="n">
        <v>-84</v>
      </c>
      <c r="H6" s="21" t="n">
        <v>-88</v>
      </c>
      <c r="I6" s="21" t="n">
        <v>-92</v>
      </c>
      <c r="J6" s="21" t="n">
        <v>-97</v>
      </c>
    </row>
    <row r="7" customFormat="false" ht="15" hidden="false" customHeight="false" outlineLevel="0" collapsed="false">
      <c r="B7" s="22" t="s">
        <v>179</v>
      </c>
      <c r="C7" s="23" t="n">
        <v>-232</v>
      </c>
      <c r="D7" s="23" t="n">
        <v>-226</v>
      </c>
      <c r="E7" s="23" t="n">
        <v>-424</v>
      </c>
      <c r="F7" s="23" t="n">
        <v>-445</v>
      </c>
      <c r="G7" s="23" t="n">
        <v>-467</v>
      </c>
      <c r="H7" s="23" t="n">
        <v>-491</v>
      </c>
      <c r="I7" s="23" t="n">
        <v>-515</v>
      </c>
      <c r="J7" s="23" t="n">
        <v>-541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10" min="3" style="0" width="13"/>
  </cols>
  <sheetData>
    <row r="1" customFormat="false" ht="16.15" hidden="false" customHeight="false" outlineLevel="0" collapsed="false">
      <c r="B1" s="1" t="s">
        <v>180</v>
      </c>
    </row>
    <row r="2" customFormat="false" ht="15" hidden="false" customHeight="false" outlineLevel="0" collapsed="false">
      <c r="B2" s="2" t="s">
        <v>181</v>
      </c>
    </row>
    <row r="4" customFormat="false" ht="15" hidden="false" customHeight="false" outlineLevel="0" collapsed="false">
      <c r="C4" s="5" t="s">
        <v>116</v>
      </c>
      <c r="D4" s="5" t="s">
        <v>117</v>
      </c>
      <c r="E4" s="5" t="s">
        <v>118</v>
      </c>
      <c r="F4" s="5" t="s">
        <v>130</v>
      </c>
      <c r="G4" s="5" t="s">
        <v>131</v>
      </c>
      <c r="H4" s="5" t="s">
        <v>132</v>
      </c>
      <c r="I4" s="5" t="s">
        <v>133</v>
      </c>
      <c r="J4" s="5" t="s">
        <v>134</v>
      </c>
    </row>
    <row r="5" customFormat="false" ht="15" hidden="false" customHeight="false" outlineLevel="0" collapsed="false">
      <c r="B5" s="8" t="s">
        <v>135</v>
      </c>
      <c r="C5" s="29" t="n">
        <f aca="false">'Income Statement'!C2</f>
        <v>0</v>
      </c>
      <c r="D5" s="29" t="n">
        <f aca="false">'Income Statement'!D2</f>
        <v>0</v>
      </c>
      <c r="E5" s="29" t="n">
        <f aca="false">'Income Statement'!E2</f>
        <v>0</v>
      </c>
      <c r="F5" s="29" t="n">
        <f aca="false">'Income Statement'!F2</f>
        <v>0</v>
      </c>
      <c r="G5" s="29" t="n">
        <f aca="false">'Income Statement'!G2</f>
        <v>0</v>
      </c>
      <c r="H5" s="29" t="n">
        <f aca="false">'Income Statement'!H2</f>
        <v>0</v>
      </c>
      <c r="I5" s="29" t="n">
        <f aca="false">'Income Statement'!I2</f>
        <v>0</v>
      </c>
      <c r="J5" s="29" t="n">
        <f aca="false">'Income Statement'!J2</f>
        <v>0</v>
      </c>
    </row>
    <row r="6" customFormat="false" ht="15" hidden="false" customHeight="false" outlineLevel="0" collapsed="false">
      <c r="B6" s="8" t="s">
        <v>159</v>
      </c>
      <c r="C6" s="29" t="n">
        <f aca="false">'Income Statement'!C9</f>
        <v>-70</v>
      </c>
      <c r="D6" s="29" t="n">
        <f aca="false">'Income Statement'!D9</f>
        <v>-93</v>
      </c>
      <c r="E6" s="29" t="n">
        <f aca="false">'Income Statement'!E9</f>
        <v>-175</v>
      </c>
      <c r="F6" s="29" t="n">
        <f aca="false">'Income Statement'!F9</f>
        <v>0</v>
      </c>
      <c r="G6" s="29" t="n">
        <f aca="false">'Income Statement'!G9</f>
        <v>0</v>
      </c>
      <c r="H6" s="29" t="n">
        <f aca="false">'Income Statement'!H9</f>
        <v>0</v>
      </c>
      <c r="I6" s="29" t="n">
        <f aca="false">'Income Statement'!I9</f>
        <v>0</v>
      </c>
      <c r="J6" s="29" t="n">
        <f aca="false">'Income Statement'!J9</f>
        <v>0</v>
      </c>
    </row>
    <row r="7" customFormat="false" ht="15" hidden="false" customHeight="false" outlineLevel="0" collapsed="false">
      <c r="B7" s="8" t="s">
        <v>182</v>
      </c>
      <c r="C7" s="29" t="n">
        <f aca="false">'Income Statement'!C13</f>
        <v>-62</v>
      </c>
      <c r="D7" s="29" t="n">
        <f aca="false">'Income Statement'!D13</f>
        <v>-60</v>
      </c>
      <c r="E7" s="29" t="n">
        <f aca="false">'Income Statement'!E13</f>
        <v>-50</v>
      </c>
      <c r="F7" s="29" t="n">
        <f aca="false">'Income Statement'!F13</f>
        <v>0</v>
      </c>
      <c r="G7" s="29" t="n">
        <f aca="false">'Income Statement'!G13</f>
        <v>0</v>
      </c>
      <c r="H7" s="29" t="n">
        <f aca="false">'Income Statement'!H13</f>
        <v>0</v>
      </c>
      <c r="I7" s="29" t="n">
        <f aca="false">'Income Statement'!I13</f>
        <v>0</v>
      </c>
      <c r="J7" s="29" t="n">
        <f aca="false">'Income Statement'!J13</f>
        <v>0</v>
      </c>
    </row>
    <row r="8" customFormat="false" ht="15" hidden="false" customHeight="false" outlineLevel="0" collapsed="false">
      <c r="B8" s="8" t="s">
        <v>172</v>
      </c>
      <c r="C8" s="29" t="n">
        <f aca="false">'Balance Sheet'!C7</f>
        <v>486</v>
      </c>
      <c r="D8" s="29" t="n">
        <f aca="false">'Balance Sheet'!D7</f>
        <v>486</v>
      </c>
      <c r="E8" s="29" t="n">
        <f aca="false">'Balance Sheet'!E7</f>
        <v>504</v>
      </c>
      <c r="F8" s="29" t="n">
        <f aca="false">'Balance Sheet'!F7</f>
        <v>519</v>
      </c>
      <c r="G8" s="29" t="n">
        <f aca="false">'Balance Sheet'!G7</f>
        <v>535</v>
      </c>
      <c r="H8" s="29" t="n">
        <f aca="false">'Balance Sheet'!H7</f>
        <v>551</v>
      </c>
      <c r="I8" s="29" t="n">
        <f aca="false">'Balance Sheet'!I7</f>
        <v>567</v>
      </c>
      <c r="J8" s="29" t="n">
        <f aca="false">'Balance Sheet'!J7</f>
        <v>584</v>
      </c>
    </row>
    <row r="9" customFormat="false" ht="15" hidden="false" customHeight="false" outlineLevel="0" collapsed="false">
      <c r="B9" s="8" t="s">
        <v>183</v>
      </c>
      <c r="C9" s="29" t="n">
        <f aca="false">'Balance Sheet'!C10</f>
        <v>4442</v>
      </c>
      <c r="D9" s="29" t="n">
        <f aca="false">'Balance Sheet'!D10</f>
        <v>5402</v>
      </c>
      <c r="E9" s="29" t="n">
        <f aca="false">'Balance Sheet'!E10</f>
        <v>6187</v>
      </c>
      <c r="F9" s="29" t="n">
        <f aca="false">'Balance Sheet'!F10</f>
        <v>6620</v>
      </c>
      <c r="G9" s="29" t="n">
        <f aca="false">'Balance Sheet'!G10</f>
        <v>7083</v>
      </c>
      <c r="H9" s="29" t="n">
        <f aca="false">'Balance Sheet'!H10</f>
        <v>7579</v>
      </c>
      <c r="I9" s="29" t="n">
        <f aca="false">'Balance Sheet'!I10</f>
        <v>8110</v>
      </c>
      <c r="J9" s="29" t="n">
        <f aca="false">'Balance Sheet'!J10</f>
        <v>8678</v>
      </c>
    </row>
    <row r="10" customFormat="false" ht="15" hidden="false" customHeight="false" outlineLevel="0" collapsed="false">
      <c r="B10" s="8" t="s">
        <v>177</v>
      </c>
      <c r="C10" s="29" t="n">
        <f aca="false">'Cash Flow'!C2</f>
        <v>0</v>
      </c>
      <c r="D10" s="29" t="n">
        <f aca="false">'Cash Flow'!D2</f>
        <v>0</v>
      </c>
      <c r="E10" s="29" t="n">
        <f aca="false">'Cash Flow'!E2</f>
        <v>0</v>
      </c>
      <c r="F10" s="29" t="n">
        <f aca="false">'Cash Flow'!F2</f>
        <v>0</v>
      </c>
      <c r="G10" s="29" t="n">
        <f aca="false">'Cash Flow'!G2</f>
        <v>0</v>
      </c>
      <c r="H10" s="29" t="n">
        <f aca="false">'Cash Flow'!H2</f>
        <v>0</v>
      </c>
      <c r="I10" s="29" t="n">
        <f aca="false">'Cash Flow'!I2</f>
        <v>0</v>
      </c>
      <c r="J10" s="29" t="n">
        <f aca="false">'Cash Flow'!J2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6" min="3" style="0" width="18"/>
  </cols>
  <sheetData>
    <row r="1" customFormat="false" ht="16.15" hidden="false" customHeight="false" outlineLevel="0" collapsed="false">
      <c r="B1" s="1" t="s">
        <v>184</v>
      </c>
    </row>
    <row r="2" customFormat="false" ht="15" hidden="false" customHeight="false" outlineLevel="0" collapsed="false">
      <c r="B2" s="2" t="s">
        <v>185</v>
      </c>
    </row>
    <row r="4" customFormat="false" ht="15" hidden="false" customHeight="false" outlineLevel="0" collapsed="false">
      <c r="B4" s="3" t="s">
        <v>186</v>
      </c>
    </row>
    <row r="5" customFormat="false" ht="15" hidden="false" customHeight="false" outlineLevel="0" collapsed="false">
      <c r="B5" s="8" t="s">
        <v>187</v>
      </c>
      <c r="C5" s="10" t="n">
        <v>0.476</v>
      </c>
    </row>
    <row r="6" customFormat="false" ht="15" hidden="false" customHeight="false" outlineLevel="0" collapsed="false">
      <c r="B6" s="8" t="s">
        <v>188</v>
      </c>
      <c r="C6" s="8" t="s">
        <v>189</v>
      </c>
    </row>
    <row r="7" customFormat="false" ht="15" hidden="false" customHeight="false" outlineLevel="0" collapsed="false">
      <c r="B7" s="8" t="s">
        <v>190</v>
      </c>
      <c r="C7" s="8" t="s">
        <v>191</v>
      </c>
    </row>
    <row r="8" customFormat="false" ht="15" hidden="false" customHeight="false" outlineLevel="0" collapsed="false">
      <c r="B8" s="8" t="s">
        <v>192</v>
      </c>
      <c r="C8" s="8" t="s">
        <v>193</v>
      </c>
    </row>
    <row r="9" customFormat="false" ht="15" hidden="false" customHeight="false" outlineLevel="0" collapsed="false">
      <c r="B9" s="8" t="s">
        <v>194</v>
      </c>
      <c r="C9" s="8" t="s">
        <v>195</v>
      </c>
    </row>
    <row r="11" customFormat="false" ht="15" hidden="false" customHeight="false" outlineLevel="0" collapsed="false">
      <c r="B11" s="2" t="s">
        <v>196</v>
      </c>
    </row>
    <row r="13" customFormat="false" ht="15" hidden="false" customHeight="false" outlineLevel="0" collapsed="false">
      <c r="B13" s="3" t="s">
        <v>197</v>
      </c>
      <c r="C13" s="5" t="s">
        <v>198</v>
      </c>
      <c r="D13" s="5" t="s">
        <v>199</v>
      </c>
    </row>
    <row r="14" customFormat="false" ht="15" hidden="false" customHeight="false" outlineLevel="0" collapsed="false">
      <c r="B14" s="8" t="s">
        <v>200</v>
      </c>
      <c r="C14" s="9" t="n">
        <v>59.18</v>
      </c>
      <c r="D14" s="9" t="n">
        <v>53.25</v>
      </c>
    </row>
    <row r="15" customFormat="false" ht="15" hidden="false" customHeight="false" outlineLevel="0" collapsed="false">
      <c r="B15" s="8" t="s">
        <v>201</v>
      </c>
      <c r="C15" s="9" t="n">
        <v>61.89</v>
      </c>
      <c r="D15" s="9" t="n">
        <v>57.62</v>
      </c>
    </row>
    <row r="16" customFormat="false" ht="15" hidden="false" customHeight="false" outlineLevel="0" collapsed="false">
      <c r="B16" s="8" t="s">
        <v>202</v>
      </c>
      <c r="C16" s="9" t="n">
        <v>64.61</v>
      </c>
      <c r="D16" s="9" t="n">
        <v>62</v>
      </c>
    </row>
    <row r="17" customFormat="false" ht="15" hidden="false" customHeight="false" outlineLevel="0" collapsed="false">
      <c r="B17" s="8" t="s">
        <v>203</v>
      </c>
      <c r="C17" s="9" t="n">
        <v>67.92</v>
      </c>
      <c r="D17" s="9" t="n">
        <v>67.61</v>
      </c>
    </row>
    <row r="18" customFormat="false" ht="15" hidden="false" customHeight="false" outlineLevel="0" collapsed="false">
      <c r="B18" s="8" t="s">
        <v>204</v>
      </c>
      <c r="C18" s="9" t="n">
        <v>71.44</v>
      </c>
      <c r="D18" s="9" t="n">
        <v>73.79</v>
      </c>
    </row>
    <row r="19" customFormat="false" ht="15" hidden="false" customHeight="false" outlineLevel="0" collapsed="false">
      <c r="B19" s="8" t="s">
        <v>205</v>
      </c>
      <c r="C19" s="9" t="n">
        <v>74.8</v>
      </c>
      <c r="D19" s="9" t="n">
        <v>80</v>
      </c>
    </row>
    <row r="20" customFormat="false" ht="15" hidden="false" customHeight="false" outlineLevel="0" collapsed="false">
      <c r="B20" s="8" t="s">
        <v>206</v>
      </c>
      <c r="C20" s="9" t="n">
        <v>78.16</v>
      </c>
      <c r="D20" s="9" t="n">
        <v>86.21</v>
      </c>
    </row>
    <row r="22" customFormat="false" ht="15" hidden="false" customHeight="false" outlineLevel="0" collapsed="false">
      <c r="B22" s="2" t="s">
        <v>207</v>
      </c>
    </row>
    <row r="23" customFormat="false" ht="15" hidden="false" customHeight="false" outlineLevel="0" collapsed="false">
      <c r="B23" s="2" t="s">
        <v>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6" min="3" style="0" width="15"/>
  </cols>
  <sheetData>
    <row r="1" customFormat="false" ht="16.15" hidden="false" customHeight="false" outlineLevel="0" collapsed="false">
      <c r="B1" s="1" t="s">
        <v>209</v>
      </c>
    </row>
    <row r="2" customFormat="false" ht="15" hidden="false" customHeight="false" outlineLevel="0" collapsed="false">
      <c r="B2" s="2" t="s">
        <v>210</v>
      </c>
    </row>
    <row r="4" customFormat="false" ht="15" hidden="false" customHeight="false" outlineLevel="0" collapsed="false">
      <c r="B4" s="3" t="s">
        <v>211</v>
      </c>
      <c r="C4" s="5" t="s">
        <v>212</v>
      </c>
      <c r="D4" s="5" t="s">
        <v>213</v>
      </c>
      <c r="E4" s="5" t="s">
        <v>214</v>
      </c>
    </row>
    <row r="5" customFormat="false" ht="15" hidden="false" customHeight="false" outlineLevel="0" collapsed="false">
      <c r="B5" s="8" t="s">
        <v>215</v>
      </c>
      <c r="C5" s="9" t="n">
        <v>95</v>
      </c>
      <c r="D5" s="9" t="n">
        <v>105</v>
      </c>
      <c r="E5" s="9" t="n">
        <v>119.7</v>
      </c>
    </row>
    <row r="6" customFormat="false" ht="15" hidden="false" customHeight="false" outlineLevel="0" collapsed="false">
      <c r="B6" s="8" t="s">
        <v>216</v>
      </c>
      <c r="C6" s="30" t="n">
        <v>83.9</v>
      </c>
      <c r="D6" s="30" t="n">
        <v>90.4</v>
      </c>
      <c r="E6" s="30" t="n">
        <v>99.1</v>
      </c>
    </row>
    <row r="7" customFormat="false" ht="15" hidden="false" customHeight="false" outlineLevel="0" collapsed="false">
      <c r="B7" s="8" t="s">
        <v>217</v>
      </c>
      <c r="C7" s="9" t="n">
        <v>77.4</v>
      </c>
      <c r="D7" s="9" t="n">
        <v>82.2</v>
      </c>
      <c r="E7" s="9" t="n">
        <v>88.4</v>
      </c>
    </row>
    <row r="8" customFormat="false" ht="15" hidden="false" customHeight="false" outlineLevel="0" collapsed="false">
      <c r="B8" s="8" t="s">
        <v>218</v>
      </c>
      <c r="C8" s="9" t="n">
        <v>73.7</v>
      </c>
      <c r="D8" s="9" t="n">
        <v>77.6</v>
      </c>
      <c r="E8" s="9" t="n">
        <v>82.5</v>
      </c>
    </row>
    <row r="10" customFormat="false" ht="15" hidden="false" customHeight="false" outlineLevel="0" collapsed="false">
      <c r="B10" s="3" t="s">
        <v>219</v>
      </c>
    </row>
    <row r="11" customFormat="false" ht="15" hidden="false" customHeight="false" outlineLevel="0" collapsed="false">
      <c r="C11" s="5" t="s">
        <v>220</v>
      </c>
      <c r="D11" s="5" t="s">
        <v>221</v>
      </c>
      <c r="E11" s="5" t="s">
        <v>222</v>
      </c>
      <c r="F11" s="5" t="s">
        <v>223</v>
      </c>
    </row>
    <row r="12" customFormat="false" ht="15" hidden="false" customHeight="false" outlineLevel="0" collapsed="false">
      <c r="B12" s="8" t="s">
        <v>224</v>
      </c>
      <c r="C12" s="9" t="n">
        <v>105.1</v>
      </c>
      <c r="D12" s="9" t="n">
        <v>95.5</v>
      </c>
      <c r="E12" s="9" t="n">
        <v>88.1</v>
      </c>
      <c r="F12" s="9" t="n">
        <v>82.2</v>
      </c>
    </row>
    <row r="14" customFormat="false" ht="15" hidden="false" customHeight="false" outlineLevel="0" collapsed="false">
      <c r="B14" s="3" t="s">
        <v>225</v>
      </c>
    </row>
    <row r="15" customFormat="false" ht="15" hidden="false" customHeight="false" outlineLevel="0" collapsed="false">
      <c r="C15" s="5" t="s">
        <v>226</v>
      </c>
      <c r="D15" s="5" t="s">
        <v>227</v>
      </c>
      <c r="E15" s="5" t="s">
        <v>228</v>
      </c>
      <c r="F15" s="5" t="s">
        <v>229</v>
      </c>
    </row>
    <row r="16" customFormat="false" ht="15" hidden="false" customHeight="false" outlineLevel="0" collapsed="false">
      <c r="B16" s="8" t="s">
        <v>224</v>
      </c>
      <c r="C16" s="9" t="n">
        <v>81.7</v>
      </c>
      <c r="D16" s="9" t="n">
        <v>85.8</v>
      </c>
      <c r="E16" s="9" t="n">
        <v>89.9</v>
      </c>
      <c r="F16" s="9" t="n">
        <v>94.1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6" min="3" style="0" width="17"/>
  </cols>
  <sheetData>
    <row r="1" customFormat="false" ht="16.15" hidden="false" customHeight="false" outlineLevel="0" collapsed="false">
      <c r="B1" s="1" t="s">
        <v>230</v>
      </c>
    </row>
    <row r="2" customFormat="false" ht="15" hidden="false" customHeight="false" outlineLevel="0" collapsed="false">
      <c r="B2" s="2" t="s">
        <v>231</v>
      </c>
    </row>
    <row r="4" customFormat="false" ht="15" hidden="false" customHeight="false" outlineLevel="0" collapsed="false">
      <c r="C4" s="5" t="s">
        <v>232</v>
      </c>
    </row>
    <row r="5" customFormat="false" ht="15" hidden="false" customHeight="false" outlineLevel="0" collapsed="false">
      <c r="B5" s="8" t="s">
        <v>164</v>
      </c>
      <c r="C5" s="9" t="n">
        <v>6.21</v>
      </c>
    </row>
    <row r="6" customFormat="false" ht="15" hidden="false" customHeight="false" outlineLevel="0" collapsed="false">
      <c r="B6" s="22" t="s">
        <v>233</v>
      </c>
      <c r="C6" s="28" t="n">
        <v>4.72</v>
      </c>
    </row>
    <row r="7" customFormat="false" ht="15" hidden="false" customHeight="false" outlineLevel="0" collapsed="false">
      <c r="B7" s="8" t="s">
        <v>234</v>
      </c>
      <c r="C7" s="9" t="n">
        <v>27.125</v>
      </c>
    </row>
    <row r="8" customFormat="false" ht="15" hidden="false" customHeight="false" outlineLevel="0" collapsed="false">
      <c r="B8" s="22" t="s">
        <v>235</v>
      </c>
      <c r="C8" s="31" t="n">
        <v>10.9661835748792</v>
      </c>
    </row>
    <row r="9" customFormat="false" ht="15" hidden="false" customHeight="false" outlineLevel="0" collapsed="false">
      <c r="B9" s="8" t="s">
        <v>236</v>
      </c>
      <c r="C9" s="19" t="n">
        <v>2.51059907834101</v>
      </c>
    </row>
    <row r="10" customFormat="false" ht="15" hidden="false" customHeight="false" outlineLevel="0" collapsed="false">
      <c r="B10" s="22" t="s">
        <v>237</v>
      </c>
      <c r="C10" s="32" t="n">
        <v>0.0693098384728341</v>
      </c>
    </row>
    <row r="11" customFormat="false" ht="15" hidden="false" customHeight="false" outlineLevel="0" collapsed="false">
      <c r="B11" s="8" t="s">
        <v>238</v>
      </c>
      <c r="C11" s="10" t="n">
        <v>0.76</v>
      </c>
    </row>
    <row r="12" customFormat="false" ht="15" hidden="false" customHeight="false" outlineLevel="0" collapsed="false">
      <c r="B12" s="22" t="s">
        <v>239</v>
      </c>
      <c r="C12" s="31" t="n">
        <v>6.61437908496732</v>
      </c>
    </row>
    <row r="13" customFormat="false" ht="15" hidden="false" customHeight="false" outlineLevel="0" collapsed="false">
      <c r="B13" s="8" t="s">
        <v>240</v>
      </c>
      <c r="C13" s="10" t="n">
        <v>0.239</v>
      </c>
    </row>
    <row r="14" customFormat="false" ht="15" hidden="false" customHeight="false" outlineLevel="0" collapsed="false">
      <c r="B14" s="22" t="s">
        <v>241</v>
      </c>
      <c r="C14" s="32" t="n">
        <v>0.0805369127516779</v>
      </c>
    </row>
    <row r="15" customFormat="false" ht="15" hidden="false" customHeight="false" outlineLevel="0" collapsed="false">
      <c r="B15" s="8" t="s">
        <v>242</v>
      </c>
      <c r="C15" s="10" t="n">
        <v>0.0667114093959732</v>
      </c>
    </row>
    <row r="16" customFormat="false" ht="15" hidden="false" customHeight="false" outlineLevel="0" collapsed="false">
      <c r="B16" s="22" t="s">
        <v>243</v>
      </c>
      <c r="C16" s="32" t="n">
        <v>0.229032258064516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6" min="3" style="0" width="18"/>
  </cols>
  <sheetData>
    <row r="1" customFormat="false" ht="16.15" hidden="false" customHeight="false" outlineLevel="0" collapsed="false">
      <c r="B1" s="1" t="s">
        <v>244</v>
      </c>
    </row>
    <row r="2" customFormat="false" ht="15" hidden="false" customHeight="false" outlineLevel="0" collapsed="false">
      <c r="B2" s="2" t="s">
        <v>245</v>
      </c>
    </row>
    <row r="4" customFormat="false" ht="15" hidden="false" customHeight="false" outlineLevel="0" collapsed="false">
      <c r="C4" s="5" t="s">
        <v>235</v>
      </c>
      <c r="D4" s="5" t="s">
        <v>246</v>
      </c>
      <c r="E4" s="5" t="s">
        <v>247</v>
      </c>
    </row>
    <row r="5" customFormat="false" ht="15" hidden="false" customHeight="false" outlineLevel="0" collapsed="false">
      <c r="B5" s="8" t="s">
        <v>248</v>
      </c>
      <c r="C5" s="19" t="n">
        <v>11</v>
      </c>
      <c r="D5" s="10" t="n">
        <v>0.069</v>
      </c>
      <c r="E5" s="2" t="s">
        <v>249</v>
      </c>
    </row>
    <row r="6" customFormat="false" ht="15" hidden="false" customHeight="false" outlineLevel="0" collapsed="false">
      <c r="B6" s="8" t="s">
        <v>250</v>
      </c>
      <c r="C6" s="19" t="n">
        <v>18.5</v>
      </c>
      <c r="D6" s="10" t="n">
        <v>0.054</v>
      </c>
      <c r="E6" s="2" t="s">
        <v>251</v>
      </c>
    </row>
    <row r="7" customFormat="false" ht="15" hidden="false" customHeight="false" outlineLevel="0" collapsed="false">
      <c r="B7" s="8" t="s">
        <v>252</v>
      </c>
      <c r="C7" s="19" t="n">
        <v>16</v>
      </c>
      <c r="D7" s="10" t="n">
        <v>0.03</v>
      </c>
      <c r="E7" s="2" t="s">
        <v>253</v>
      </c>
    </row>
    <row r="8" customFormat="false" ht="15" hidden="false" customHeight="false" outlineLevel="0" collapsed="false">
      <c r="B8" s="8" t="s">
        <v>254</v>
      </c>
      <c r="C8" s="19" t="n">
        <v>12</v>
      </c>
      <c r="D8" s="10" t="n">
        <v>0.045</v>
      </c>
      <c r="E8" s="2" t="s">
        <v>255</v>
      </c>
    </row>
    <row r="9" customFormat="false" ht="15" hidden="false" customHeight="false" outlineLevel="0" collapsed="false">
      <c r="B9" s="8" t="s">
        <v>256</v>
      </c>
      <c r="C9" s="19" t="n">
        <v>10</v>
      </c>
      <c r="D9" s="10" t="n">
        <v>0.03</v>
      </c>
      <c r="E9" s="2" t="s">
        <v>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2026-07-10T09:43:26Z</dcterms:created>
  <dc:creator>openpyxl</dc:creator>
  <dc:description/>
  <dc:language>en-US</dc:language>
  <cp:lastModifiedBy/>
  <dcterms:modified xsi:type="dcterms:W3CDTF">2026-07-10T09:43:26Z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