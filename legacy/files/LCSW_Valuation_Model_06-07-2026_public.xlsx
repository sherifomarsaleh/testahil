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CF — Primary Lens" sheetId="5" state="visible" r:id="rId7"/>
    <sheet name="Segments" sheetId="6" state="visible" r:id="rId8"/>
    <sheet name="Relative &amp; Normalized" sheetId="7" state="visible" r:id="rId9"/>
    <sheet name="FCFE &amp; Asset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<sst xmlns="http://schemas.openxmlformats.org/spreadsheetml/2006/main" count="339" uniqueCount="274">
  <si>
    <t xml:space="preserve">Testahil · Independent Valuation Study — Educational Analysis</t>
  </si>
  <si>
    <t xml:space="preserve">Lecico Egypt (S.A.E.)  ·  EGX: LCSW</t>
  </si>
  <si>
    <t xml:space="preserve">This workbook is an educational valuation exercise and a personal analytical opinion, published free of charge.</t>
  </si>
  <si>
    <t xml:space="preserve">It is NOT investment advice, NOT a recommendation, and NOT a solicitation to buy, sell or hold any security.</t>
  </si>
  <si>
    <t xml:space="preserve">The preparer is not licensed by any securities regulator (incl. Egypt's FRA), manages no money, and takes no clients.</t>
  </si>
  <si>
    <t xml:space="preserve">All values are model outputs shown as ranges and distributions — no single number should be relied upon.</t>
  </si>
  <si>
    <t xml:space="preserve">Reported figures are Lecico's own disclosure (FY2025 results, 28 Feb 2026; Q1-2026 filing). Forward inputs are the</t>
  </si>
  <si>
    <t xml:space="preserve">preparer's judgments and are flagged throughout. Assumptions is the single blue-cell input layer: change an input and</t>
  </si>
  <si>
    <t xml:space="preserve">the whole model reprices. See the Disclosure &amp; Disclaimer in the study. Consult a licensed advisor before investing.</t>
  </si>
  <si>
    <t xml:space="preserve">Colour key:  BLUE = input you can change   ·   BLACK = formula   ·   GREEN = link to another sheet.</t>
  </si>
  <si>
    <t xml:space="preserve">Distributions, not tips — fair-value ranges and probabilities, never a target or rating.</t>
  </si>
  <si>
    <t xml:space="preserve">Valuation summary — every read at a glance</t>
  </si>
  <si>
    <t xml:space="preserve">Lens / read</t>
  </si>
  <si>
    <t xml:space="preserve">Output</t>
  </si>
  <si>
    <t xml:space="preserve">Takeaway</t>
  </si>
  <si>
    <t xml:space="preserve">FUNDAMENTAL — what the business is worth (anchor)</t>
  </si>
  <si>
    <t xml:space="preserve">FCFF DCF (primary)</t>
  </si>
  <si>
    <t xml:space="preserve">see §1.1</t>
  </si>
  <si>
    <t xml:space="preserve">Weighted central (5 lenses)</t>
  </si>
  <si>
    <t xml:space="preserve">TECHNICAL — what the tape is doing</t>
  </si>
  <si>
    <t xml:space="preserve">Trend vs 20/50/100/200-day</t>
  </si>
  <si>
    <t xml:space="preserve">Above all four</t>
  </si>
  <si>
    <t xml:space="preserve">Uptrend, RSI 61</t>
  </si>
  <si>
    <t xml:space="preserve">MONTE CARLO — 3-month price map (paths from spot)</t>
  </si>
  <si>
    <t xml:space="preserve">T+20 (p5 · p50 · p95)</t>
  </si>
  <si>
    <t xml:space="preserve">24.3 · 30.0 · 37.0</t>
  </si>
  <si>
    <t xml:space="preserve">T+60 (p5 · p50 · p95)</t>
  </si>
  <si>
    <t xml:space="preserve">21.7 · 31.0 · 44.4</t>
  </si>
  <si>
    <t xml:space="preserve">EXPERT PANEL — three methods (Appendix D)</t>
  </si>
  <si>
    <t xml:space="preserve">Expert 1 — Normalized earnings power + multiples</t>
  </si>
  <si>
    <t xml:space="preserve">Expert 2 — RNAV at realizable value + cash-conversion</t>
  </si>
  <si>
    <t xml:space="preserve">Expert 3 — DCF + ROIC vs WACC (economic profit)</t>
  </si>
  <si>
    <t xml:space="preserve">Bottom line: fair value ≈ EGP 37 (range 26–51), ~+26% vs spot 29.45; the swing is the EGP path and cash conversion.</t>
  </si>
  <si>
    <t xml:space="preserve">Fundamental valuation — five lenses</t>
  </si>
  <si>
    <t xml:space="preserve">Football-field synthesis; never a single blended point (device A-8).</t>
  </si>
  <si>
    <t xml:space="preserve">Lens</t>
  </si>
  <si>
    <t xml:space="preserve">Weight</t>
  </si>
  <si>
    <t xml:space="preserve">Bear</t>
  </si>
  <si>
    <t xml:space="preserve">Base</t>
  </si>
  <si>
    <t xml:space="preserve">Bull</t>
  </si>
  <si>
    <t xml:space="preserve">DCF (FCFF)</t>
  </si>
  <si>
    <t xml:space="preserve">Relative multiples</t>
  </si>
  <si>
    <t xml:space="preserve">Normalized earnings</t>
  </si>
  <si>
    <t xml:space="preserve">FCFE / owner-earnings</t>
  </si>
  <si>
    <t xml:space="preserve">Asset / reproduction</t>
  </si>
  <si>
    <t xml:space="preserve">Weighted central</t>
  </si>
  <si>
    <t xml:space="preserve">Central vs spot</t>
  </si>
  <si>
    <t xml:space="preserve">Reads: modestly-to-meaningfully undervalued on fundamentals; held back by cash-conversion and EGP competitiveness.</t>
  </si>
  <si>
    <t xml:space="preserve">Assumptions — single blue-cell input layer</t>
  </si>
  <si>
    <t xml:space="preserve">Anchor &amp; capital</t>
  </si>
  <si>
    <t xml:space="preserve">Spot price (EGP)</t>
  </si>
  <si>
    <t xml:space="preserve">6 Jul 2026 close (attached history)</t>
  </si>
  <si>
    <t xml:space="preserve">Shares outstanding (m)</t>
  </si>
  <si>
    <t xml:space="preserve">Net debt, reported Dec-2025 (EGP m)</t>
  </si>
  <si>
    <t xml:space="preserve">Bank facilities + current loans − cash</t>
  </si>
  <si>
    <t xml:space="preserve">Net debt incl. leases + LT notes (EGP m)</t>
  </si>
  <si>
    <t xml:space="preserve">Tax rate (statutory)</t>
  </si>
  <si>
    <t xml:space="preserve">FY2025 base (actuals, EGP m)</t>
  </si>
  <si>
    <t xml:space="preserve">Revenue 2025</t>
  </si>
  <si>
    <t xml:space="preserve">EBITDA 2025</t>
  </si>
  <si>
    <t xml:space="preserve">EBIT 2025</t>
  </si>
  <si>
    <t xml:space="preserve">Forecast drivers (2026E–2030E)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</si>
  <si>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</si>
  <si>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</si>
  <si>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</si>
  <si>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</si>
  <si>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</si>
  <si>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growth %</t>
  </si>
  <si>
    <t xml:space="preserve">EBITDA margin %</t>
  </si>
  <si>
    <t xml:space="preserve">D&amp;A (EGP m)</t>
  </si>
  <si>
    <t xml:space="preserve">Capex (EGP m)</t>
  </si>
  <si>
    <t xml:space="preserve">Δ Working capital (EGP m)</t>
  </si>
  <si>
    <t xml:space="preserve">Cost of capital (Ke = rf + ERP)</t>
  </si>
  <si>
    <t xml:space="preserve">Risk-free (EGP 10-yr sovereign)</t>
  </si>
  <si>
    <t xml:space="preserve">Equity risk premium</t>
  </si>
  <si>
    <t xml:space="preserve">Beta (building materials)</t>
  </si>
  <si>
    <t xml:space="preserve">Ke — pure local</t>
  </si>
  <si>
    <t xml:space="preserve">Ke — export leg (USD-linked)</t>
  </si>
  <si>
    <t xml:space="preserve">Ke — blended (~55% export)</t>
  </si>
  <si>
    <t xml:space="preserve">WACC (base)</t>
  </si>
  <si>
    <t xml:space="preserve">Terminal growth g (nominal EGP)</t>
  </si>
  <si>
    <t xml:space="preserve">Normalization &amp; multiples</t>
  </si>
  <si>
    <t xml:space="preserve">Normalized mid-cycle EBITDA (EGP m)</t>
  </si>
  <si>
    <t xml:space="preserve">Normalized net income (EGP m)</t>
  </si>
  <si>
    <t xml:space="preserve">Fair EV/EBITDA (x)</t>
  </si>
  <si>
    <t xml:space="preserve">Fair P/E (x)</t>
  </si>
  <si>
    <t xml:space="preserve">Normalized EPS (EGP)</t>
  </si>
  <si>
    <t xml:space="preserve">Book value / share (EGP)</t>
  </si>
  <si>
    <t xml:space="preserve">Primary lens — FCFF discounted cash flow (EGP m)</t>
  </si>
  <si>
    <t xml:space="preserve">Going-concern FCFF; nominal EGP; 5-yr explicit + Gordon terminal. Ke published as rf + ERP.</t>
  </si>
  <si>
    <t xml:space="preserve">FCFF build</t>
  </si>
  <si>
    <t xml:space="preserve">Revenue</t>
  </si>
  <si>
    <t xml:space="preserve">EBITDA</t>
  </si>
  <si>
    <t xml:space="preserve">less: D&amp;A</t>
  </si>
  <si>
    <t xml:space="preserve">EBIT</t>
  </si>
  <si>
    <t xml:space="preserve">NOPAT = EBIT×(1−t)</t>
  </si>
  <si>
    <t xml:space="preserve">plus: D&amp;A</t>
  </si>
  <si>
    <t xml:space="preserve">less: Capex</t>
  </si>
  <si>
    <t xml:space="preserve">less: Δ working capital</t>
  </si>
  <si>
    <t xml:space="preserve">Free cash flow to firm (FCFF)</t>
  </si>
  <si>
    <t xml:space="preserve">Discount factor @ WACC</t>
  </si>
  <si>
    <t xml:space="preserve">PV of FCFF</t>
  </si>
  <si>
    <t xml:space="preserve">Terminal value &amp; equity bridge</t>
  </si>
  <si>
    <t xml:space="preserve">Sum PV of explicit FCFF</t>
  </si>
  <si>
    <t xml:space="preserve">Terminal value (Gordon)</t>
  </si>
  <si>
    <t xml:space="preserve">PV of terminal value</t>
  </si>
  <si>
    <t xml:space="preserve">Enterprise value</t>
  </si>
  <si>
    <t xml:space="preserve">TV as % of EV</t>
  </si>
  <si>
    <t xml:space="preserve">less: net debt (Dec-2025)</t>
  </si>
  <si>
    <t xml:space="preserve">Equity value</t>
  </si>
  <si>
    <t xml:space="preserve">Fair value per share (EGP)</t>
  </si>
  <si>
    <t xml:space="preserve">Upside / (downside) vs spot</t>
  </si>
  <si>
    <t xml:space="preserve">Segment build — FY2025 (EGP m)</t>
  </si>
  <si>
    <t xml:space="preserve">Segment</t>
  </si>
  <si>
    <t xml:space="preserve">% rev</t>
  </si>
  <si>
    <t xml:space="preserve">Export %</t>
  </si>
  <si>
    <t xml:space="preserve">Gross margin</t>
  </si>
  <si>
    <t xml:space="preserve">Gross profit</t>
  </si>
  <si>
    <t xml:space="preserve">Sanitary ware</t>
  </si>
  <si>
    <t xml:space="preserve">Tiles</t>
  </si>
  <si>
    <t xml:space="preserve">Brassware</t>
  </si>
  <si>
    <t xml:space="preserve">Total</t>
  </si>
  <si>
    <t xml:space="preserve">Export share of total revenue</t>
  </si>
  <si>
    <t xml:space="preserve">Sanitary ware is 64% of revenue and 81% export — the hard-currency earner; tiles are domestic; brassware is small/high-margin.</t>
  </si>
  <si>
    <t xml:space="preserve">Relative multiples &amp; normalized earnings</t>
  </si>
  <si>
    <t xml:space="preserve">Current trading multiples</t>
  </si>
  <si>
    <t xml:space="preserve">Market cap (EGP m)</t>
  </si>
  <si>
    <t xml:space="preserve">+ net debt</t>
  </si>
  <si>
    <t xml:space="preserve">EV/EBITDA (2025A, 980.8)</t>
  </si>
  <si>
    <t xml:space="preserve">EV/EBITDA (normalized)</t>
  </si>
  <si>
    <t xml:space="preserve">P/E (2025A EPS 3.05)</t>
  </si>
  <si>
    <t xml:space="preserve">P/B (BVPS 49.7)</t>
  </si>
  <si>
    <t xml:space="preserve">Lens A — relative multiples (fair value)</t>
  </si>
  <si>
    <t xml:space="preserve">Fair EV/EBITDA (x) × normalized EBITDA</t>
  </si>
  <si>
    <t xml:space="preserve">less net debt → equity</t>
  </si>
  <si>
    <t xml:space="preserve">Fair value / share (EGP)</t>
  </si>
  <si>
    <t xml:space="preserve">Lens B — normalized earnings power</t>
  </si>
  <si>
    <t xml:space="preserve">× justified P/E (x)</t>
  </si>
  <si>
    <t xml:space="preserve">Peak/mid-cycle: 2025 is a MARGIN TROUGH (EBIT 9.5% vs 2024 17.3%, 2023 19.4%). Normalized ~13% mid-cycle.</t>
  </si>
  <si>
    <t xml:space="preserve">Lens C — FCFE / owner-earnings  ·  Lens D — asset / reproduction</t>
  </si>
  <si>
    <t xml:space="preserve">FCFE / owner-earnings (conservative)</t>
  </si>
  <si>
    <t xml:space="preserve">Steady-state owner-earnings capacity (EGP m)</t>
  </si>
  <si>
    <t xml:space="preserve">Capitalization rate (Ke − g, local-heavy)</t>
  </si>
  <si>
    <t xml:space="preserve">Implied equity value (EGP m)</t>
  </si>
  <si>
    <t xml:space="preserve">Haircut for near-term negative FCF / WC trap</t>
  </si>
  <si>
    <t xml:space="preserve">Asset / reproduction value (floor)</t>
  </si>
  <si>
    <t xml:space="preserve">Total assets (Dec-2025)</t>
  </si>
  <si>
    <t xml:space="preserve">less: inventory haircut 20%</t>
  </si>
  <si>
    <t xml:space="preserve">less: receivables haircut 15%</t>
  </si>
  <si>
    <t xml:space="preserve">less: PP&amp;E haircut 10%</t>
  </si>
  <si>
    <t xml:space="preserve">Realizable assets</t>
  </si>
  <si>
    <t xml:space="preserve">less: total liabilities</t>
  </si>
  <si>
    <t xml:space="preserve">less: minority interest</t>
  </si>
  <si>
    <t xml:space="preserve">Realizable equity (EGP m)</t>
  </si>
  <si>
    <t xml:space="preserve">Stock trades at 0.59× book (BVPS 49.7) — the realizable-asset floor is itself a support.</t>
  </si>
  <si>
    <t xml:space="preserve">Appendix A.1 — Income statement (EGP m): 3-yr historical + 5-yr forecast</t>
  </si>
  <si>
    <t xml:space="preserve">2023A</t>
  </si>
  <si>
    <t xml:space="preserve">2024A</t>
  </si>
  <si>
    <t xml:space="preserve">2025A</t>
  </si>
  <si>
    <t xml:space="preserve">D&amp;A</t>
  </si>
  <si>
    <t xml:space="preserve">Net finance &amp; other</t>
  </si>
  <si>
    <t xml:space="preserve">Profit before tax</t>
  </si>
  <si>
    <t xml:space="preserve">Tax</t>
  </si>
  <si>
    <t xml:space="preserve">Net profit after tax</t>
  </si>
  <si>
    <t xml:space="preserve">Minority interest</t>
  </si>
  <si>
    <t xml:space="preserve">Net profit attributable</t>
  </si>
  <si>
    <t xml:space="preserve">EPS (EGP)</t>
  </si>
  <si>
    <t xml:space="preserve">FY2024 net finance includes ~EGP 362m devaluation/FX gains; forecast below EBIT uses statutory 22.5% tax and ~5% minority.</t>
  </si>
  <si>
    <t xml:space="preserve">Appendix A.2 — Balance sheet (EGP m): 3-yr historical + 5-yr forecast</t>
  </si>
  <si>
    <t xml:space="preserve">Cash &amp; equivalents</t>
  </si>
  <si>
    <t xml:space="preserve">Inventory</t>
  </si>
  <si>
    <t xml:space="preserve">Receivables</t>
  </si>
  <si>
    <t xml:space="preserve">Total current assets</t>
  </si>
  <si>
    <t xml:space="preserve">PP&amp;E</t>
  </si>
  <si>
    <t xml:space="preserve">Other non-current</t>
  </si>
  <si>
    <t xml:space="preserve">Total assets</t>
  </si>
  <si>
    <t xml:space="preserve">Bank facilities + current loans</t>
  </si>
  <si>
    <t xml:space="preserve">Trade &amp; other payables</t>
  </si>
  <si>
    <t xml:space="preserve">Other current liabilities</t>
  </si>
  <si>
    <t xml:space="preserve">Total non-current liabilities</t>
  </si>
  <si>
    <t xml:space="preserve">Total liabilities</t>
  </si>
  <si>
    <t xml:space="preserve">Non-controlling interest</t>
  </si>
  <si>
    <t xml:space="preserve">Total equity (attributable)</t>
  </si>
  <si>
    <t xml:space="preserve">Forecast is indicative (cash and debt held roughly flat as blue inputs; equity rolls forward with retained net income).</t>
  </si>
  <si>
    <t xml:space="preserve">Appendix A.3 — Cash flow (EGP m): 2-yr historical + 5-yr forecast</t>
  </si>
  <si>
    <t xml:space="preserve">Δ working capital</t>
  </si>
  <si>
    <t xml:space="preserve">Tax paid</t>
  </si>
  <si>
    <t xml:space="preserve">Interest paid</t>
  </si>
  <si>
    <t xml:space="preserve">Operating cash flow</t>
  </si>
  <si>
    <t xml:space="preserve">Capex</t>
  </si>
  <si>
    <t xml:space="preserve">Free cash flow to firm</t>
  </si>
  <si>
    <t xml:space="preserve">2025 operating cash flow was NEGATIVE (−196) on a EGP 706m working-capital absorption — the cash-conversion crux.</t>
  </si>
  <si>
    <t xml:space="preserve">Summary financials — links to statement sheets</t>
  </si>
  <si>
    <t xml:space="preserve">Total equity</t>
  </si>
  <si>
    <t xml:space="preserve">FCFF</t>
  </si>
  <si>
    <t xml:space="preserve">Monte Carlo — YZ-HAR engine, 50,000 paths, seed 42</t>
  </si>
  <si>
    <t xml:space="preserve">Probability read (T+60, from the same 50,000 paths)</t>
  </si>
  <si>
    <t xml:space="preserve">P(price &gt; spot) at T+60</t>
  </si>
  <si>
    <t xml:space="preserve">P(+10%) vs P(−10%)</t>
  </si>
  <si>
    <t xml:space="preserve">41% vs 22%</t>
  </si>
  <si>
    <t xml:space="preserve">Odds ratio (up:down)</t>
  </si>
  <si>
    <t xml:space="preserve">1.9 : 1</t>
  </si>
  <si>
    <t xml:space="preserve">Median level / % move</t>
  </si>
  <si>
    <t xml:space="preserve">31.0  (+5.3%)</t>
  </si>
  <si>
    <t xml:space="preserve">50% band (25th–75th)</t>
  </si>
  <si>
    <t xml:space="preserve">27.1 – 35.5  (29% of spot)</t>
  </si>
  <si>
    <t xml:space="preserve">Touch(+10%) / Touch(−10%)</t>
  </si>
  <si>
    <t xml:space="preserve">66% / 46%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</si>
  <si>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</si>
  <si>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</si>
  <si>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</si>
  <si>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</si>
  <si>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</si>
  <si>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</si>
  <si>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</si>
  <si>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</si>
  <si>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</si>
  <si>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Level-touch ladder</t>
  </si>
  <si>
    <t xml:space="preserve">Level (EGP)</t>
  </si>
  <si>
    <t xml:space="preserve">by T+20</t>
  </si>
  <si>
    <t xml:space="preserve">by T+60</t>
  </si>
  <si>
    <t xml:space="preserve">Width = YZ-HAR (ann. sigma 42%); Student-t(5) shape; secular drift +19%/yr (Step-0 calibrated).</t>
  </si>
  <si>
    <t xml:space="preserve">DCF sensitivity — EGP/share by WACC × terminal g</t>
  </si>
  <si>
    <t xml:space="preserve">WACC \ g</t>
  </si>
  <si>
    <t xml:space="preserve">Base case WACC 21% × g 11% → EGP 37. TV is ~78% of EV, so the value is terminal-assumption-sensitive (device A-7).</t>
  </si>
  <si>
    <t xml:space="preserve">Per-Share &amp; Ratios — standardized dashboard</t>
  </si>
  <si>
    <t xml:space="preserve">BVPS (EGP)</t>
  </si>
  <si>
    <t xml:space="preserve">P/E (x, at spot)</t>
  </si>
  <si>
    <t xml:space="preserve">P/B (x, at spot)</t>
  </si>
  <si>
    <t xml:space="preserve">Net debt / EBITDA (x)</t>
  </si>
  <si>
    <t xml:space="preserve">ROIC vs WACC</t>
  </si>
  <si>
    <t xml:space="preserve">Dividend: none (stand-alone accumulated losses block distribution) — DPS/yield rows are N/A by disclosure.</t>
  </si>
  <si>
    <t xml:space="preserve">ROIC (11% in 2025) sits below WACC (21%) at the trough — value creation resumes only as margins normalize.</t>
  </si>
  <si>
    <t xml:space="preserve">Peer set &amp; sector structure</t>
  </si>
  <si>
    <t xml:space="preserve">Peer</t>
  </si>
  <si>
    <t xml:space="preserve">Market</t>
  </si>
  <si>
    <t xml:space="preserve">EV/EBITDA</t>
  </si>
  <si>
    <t xml:space="preserve">P/E</t>
  </si>
  <si>
    <t xml:space="preserve">Note</t>
  </si>
  <si>
    <t xml:space="preserve">Lecico (LCSW)</t>
  </si>
  <si>
    <t xml:space="preserve">EGX</t>
  </si>
  <si>
    <t xml:space="preserve">3.7x</t>
  </si>
  <si>
    <t xml:space="preserve">9.7x</t>
  </si>
  <si>
    <t xml:space="preserve">Trough margins; 0.59x book</t>
  </si>
  <si>
    <t xml:space="preserve">RAK Ceramics</t>
  </si>
  <si>
    <t xml:space="preserve">Abu Dhabi (ADX)</t>
  </si>
  <si>
    <t xml:space="preserve">5–6x</t>
  </si>
  <si>
    <t xml:space="preserve">8–10x</t>
  </si>
  <si>
    <t xml:space="preserve">Regional ceramics leader</t>
  </si>
  <si>
    <t xml:space="preserve">Saudi Ceramics</t>
  </si>
  <si>
    <t xml:space="preserve">Tadawul</t>
  </si>
  <si>
    <t xml:space="preserve">6–8x</t>
  </si>
  <si>
    <t xml:space="preserve">12–16x</t>
  </si>
  <si>
    <t xml:space="preserve">Domestic KSA demand</t>
  </si>
  <si>
    <t xml:space="preserve">Cleopatra Ceramics</t>
  </si>
  <si>
    <t xml:space="preserve">Private / EGX</t>
  </si>
  <si>
    <t xml:space="preserve">n/a</t>
  </si>
  <si>
    <t xml:space="preserve">Egypt tiles peer</t>
  </si>
  <si>
    <t xml:space="preserve">Kajaria Ceramics</t>
  </si>
  <si>
    <t xml:space="preserve">India (NSE)</t>
  </si>
  <si>
    <t xml:space="preserve">20–28x</t>
  </si>
  <si>
    <t xml:space="preserve">40–55x</t>
  </si>
  <si>
    <t xml:space="preserve">Structural-growth premium</t>
  </si>
  <si>
    <t xml:space="preserve">Cera Sanitaryware</t>
  </si>
  <si>
    <t xml:space="preserve">18–24x</t>
  </si>
  <si>
    <t xml:space="preserve">30–40x</t>
  </si>
  <si>
    <t xml:space="preserve">Sanitaryware growth</t>
  </si>
  <si>
    <t xml:space="preserve">Geberit / Villeroy&amp;Boch</t>
  </si>
  <si>
    <t xml:space="preserve">SIX / XETRA</t>
  </si>
  <si>
    <t xml:space="preserve">10–14x</t>
  </si>
  <si>
    <t xml:space="preserve">18–25x</t>
  </si>
  <si>
    <t xml:space="preserve">High-end European</t>
  </si>
  <si>
    <t xml:space="preserve">Sector: cyclical building material; kilns are gas-intensive; export leg is FX-geared. Principal risks: EGP strength,</t>
  </si>
  <si>
    <t xml:space="preserve">energy-cost hikes, working-capital absorption / negative FCF, no dividend, and audit qualifications (hyperinflation/Lebanon).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</si>
</sst>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"/>
    <numFmt numFmtId="167" formatCode="#,##0.00"/>
    <numFmt numFmtId="168" formatCode="#,##0;\(#,##0\);\-"/>
    <numFmt numFmtId="169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Arial"/>
      <family val="0"/>
      <charset val="1"/>
    </font>
    <font>
      <b val="true"/>
      <sz val="12"/>
      <color rgb="FF1B5E5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089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0"/>
      <color rgb="FF1B5E5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8F8F"/>
        <bgColor rgb="FF008080"/>
      </patternFill>
    </fill>
    <fill>
      <patternFill patternType="solid">
        <fgColor rgb="FFEAF2F2"/>
        <bgColor rgb="FFF6EFDD"/>
      </patternFill>
    </fill>
    <fill>
      <patternFill patternType="solid">
        <fgColor rgb="FFF6EFDD"/>
        <bgColor rgb="FFEA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777777"/>
      <rgbColor rgb="FF9999FF"/>
      <rgbColor rgb="FF993366"/>
      <rgbColor rgb="FFF6EFDD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894B"/>
      <rgbColor rgb="FF003366"/>
      <rgbColor rgb="FF2A8F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4" t="s">
        <v>9</v>
      </c>
    </row>
    <row r="14" customFormat="false" ht="15" hidden="false" customHeight="false" outlineLevel="0" collapsed="false">
      <c r="B14" s="5" t="s">
        <v>10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11</v>
      </c>
      <c r="B1" s="1"/>
      <c r="C1" s="1"/>
      <c r="D1" s="1"/>
    </row>
    <row r="3" customFormat="false" ht="15" hidden="false" customHeight="false" outlineLevel="0" collapsed="false">
      <c r="A3" s="6" t="s">
        <v>12</v>
      </c>
      <c r="B3" s="6" t="s">
        <v>13</v>
      </c>
      <c r="C3" s="6" t="s">
        <v>14</v>
      </c>
    </row>
    <row r="4" customFormat="false" ht="15" hidden="false" customHeight="false" outlineLevel="0" collapsed="false">
      <c r="A4" s="7" t="s">
        <v>15</v>
      </c>
      <c r="B4" s="8"/>
      <c r="C4" s="8"/>
    </row>
    <row r="5" customFormat="false" ht="15" hidden="false" customHeight="false" outlineLevel="0" collapsed="false">
      <c r="A5" s="3" t="s">
        <v>16</v>
      </c>
      <c r="B5" s="9" t="n">
        <f aca="false">'DCF — Primary Lens'!$B$26</f>
        <v>37.0548141842142</v>
      </c>
      <c r="C5" s="3" t="s">
        <v>17</v>
      </c>
    </row>
    <row r="6" customFormat="false" ht="15" hidden="false" customHeight="false" outlineLevel="0" collapsed="false">
      <c r="A6" s="10" t="s">
        <v>18</v>
      </c>
      <c r="B6" s="11" t="n">
        <f aca="false">'Fundamental Valuation'!$D$10</f>
        <v>37.2664442552643</v>
      </c>
      <c r="C6" s="12" t="n">
        <f aca="false">B6/Assumptions!B4-1</f>
        <v>0.265414066392674</v>
      </c>
    </row>
    <row r="7" customFormat="false" ht="15" hidden="false" customHeight="false" outlineLevel="0" collapsed="false">
      <c r="A7" s="7" t="s">
        <v>19</v>
      </c>
      <c r="B7" s="8"/>
      <c r="C7" s="8"/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22</v>
      </c>
    </row>
    <row r="9" customFormat="false" ht="15" hidden="false" customHeight="false" outlineLevel="0" collapsed="false">
      <c r="A9" s="7" t="s">
        <v>23</v>
      </c>
      <c r="B9" s="8"/>
      <c r="C9" s="8"/>
    </row>
    <row r="10" customFormat="false" ht="15" hidden="false" customHeight="false" outlineLevel="0" collapsed="false">
      <c r="A10" s="3" t="s">
        <v>24</v>
      </c>
      <c r="B10" s="3" t="s">
        <v>25</v>
      </c>
    </row>
    <row r="11" customFormat="false" ht="15" hidden="false" customHeight="false" outlineLevel="0" collapsed="false">
      <c r="A11" s="3" t="s">
        <v>26</v>
      </c>
      <c r="B11" s="3" t="s">
        <v>27</v>
      </c>
    </row>
    <row r="12" customFormat="false" ht="15" hidden="false" customHeight="false" outlineLevel="0" collapsed="false">
      <c r="A12" s="7" t="s">
        <v>28</v>
      </c>
      <c r="B12" s="8"/>
      <c r="C12" s="8"/>
    </row>
    <row r="13" customFormat="false" ht="15" hidden="false" customHeight="false" outlineLevel="0" collapsed="false">
      <c r="A13" s="3" t="s">
        <v>29</v>
      </c>
      <c r="B13" s="13" t="n">
        <v>40</v>
      </c>
    </row>
    <row r="14" customFormat="false" ht="15" hidden="false" customHeight="false" outlineLevel="0" collapsed="false">
      <c r="A14" s="3" t="s">
        <v>30</v>
      </c>
      <c r="B14" s="13" t="n">
        <v>31</v>
      </c>
    </row>
    <row r="15" customFormat="false" ht="15" hidden="false" customHeight="false" outlineLevel="0" collapsed="false">
      <c r="A15" s="3" t="s">
        <v>31</v>
      </c>
      <c r="B15" s="13" t="n">
        <v>35</v>
      </c>
    </row>
    <row r="17" customFormat="false" ht="15" hidden="false" customHeight="false" outlineLevel="0" collapsed="false">
      <c r="A17" s="5" t="s">
        <v>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4" t="s">
        <v>34</v>
      </c>
    </row>
    <row r="4" customFormat="false" ht="15" hidden="false" customHeight="false" outlineLevel="0" collapsed="false">
      <c r="A4" s="15" t="s">
        <v>35</v>
      </c>
      <c r="B4" s="16" t="s">
        <v>36</v>
      </c>
      <c r="C4" s="16" t="s">
        <v>37</v>
      </c>
      <c r="D4" s="16" t="s">
        <v>38</v>
      </c>
      <c r="E4" s="16" t="s">
        <v>39</v>
      </c>
      <c r="F4" s="16"/>
      <c r="G4" s="16"/>
    </row>
    <row r="5" customFormat="false" ht="15" hidden="false" customHeight="false" outlineLevel="0" collapsed="false">
      <c r="A5" s="3" t="s">
        <v>40</v>
      </c>
      <c r="B5" s="17" t="n">
        <v>0.3</v>
      </c>
      <c r="C5" s="18" t="n">
        <v>21.72</v>
      </c>
      <c r="D5" s="19" t="n">
        <f aca="false">'DCF — Primary Lens'!$B$26</f>
        <v>37.0548141842142</v>
      </c>
      <c r="E5" s="18" t="n">
        <v>61.25</v>
      </c>
    </row>
    <row r="6" customFormat="false" ht="15" hidden="false" customHeight="false" outlineLevel="0" collapsed="false">
      <c r="A6" s="3" t="s">
        <v>41</v>
      </c>
      <c r="B6" s="17" t="n">
        <v>0.2</v>
      </c>
      <c r="C6" s="18" t="n">
        <v>28</v>
      </c>
      <c r="D6" s="18" t="n">
        <v>39</v>
      </c>
      <c r="E6" s="18" t="n">
        <v>52</v>
      </c>
    </row>
    <row r="7" customFormat="false" ht="15" hidden="false" customHeight="false" outlineLevel="0" collapsed="false">
      <c r="A7" s="3" t="s">
        <v>42</v>
      </c>
      <c r="B7" s="17" t="n">
        <v>0.25</v>
      </c>
      <c r="C7" s="18" t="n">
        <v>27</v>
      </c>
      <c r="D7" s="18" t="n">
        <v>39</v>
      </c>
      <c r="E7" s="18" t="n">
        <v>53</v>
      </c>
    </row>
    <row r="8" customFormat="false" ht="15" hidden="false" customHeight="false" outlineLevel="0" collapsed="false">
      <c r="A8" s="3" t="s">
        <v>43</v>
      </c>
      <c r="B8" s="17" t="n">
        <v>0.1</v>
      </c>
      <c r="C8" s="18" t="n">
        <v>22</v>
      </c>
      <c r="D8" s="18" t="n">
        <v>32</v>
      </c>
      <c r="E8" s="18" t="n">
        <v>44</v>
      </c>
    </row>
    <row r="9" customFormat="false" ht="15" hidden="false" customHeight="false" outlineLevel="0" collapsed="false">
      <c r="A9" s="3" t="s">
        <v>44</v>
      </c>
      <c r="B9" s="17" t="n">
        <v>0.15</v>
      </c>
      <c r="C9" s="18" t="n">
        <v>30</v>
      </c>
      <c r="D9" s="18" t="n">
        <v>36</v>
      </c>
      <c r="E9" s="18" t="n">
        <v>44</v>
      </c>
    </row>
    <row r="10" customFormat="false" ht="15" hidden="false" customHeight="false" outlineLevel="0" collapsed="false">
      <c r="A10" s="20" t="s">
        <v>45</v>
      </c>
      <c r="B10" s="21" t="n">
        <f aca="false">SUM(B5:B9)</f>
        <v>1</v>
      </c>
      <c r="C10" s="22" t="n">
        <f aca="false">SUMPRODUCT($B$5:$B$9,C$5:C$9)</f>
        <v>25.566</v>
      </c>
      <c r="D10" s="22" t="n">
        <f aca="false">SUMPRODUCT($B$5:$B$9,D$5:D$9)</f>
        <v>37.2664442552643</v>
      </c>
      <c r="E10" s="22" t="n">
        <f aca="false">SUMPRODUCT($B$5:$B$9,E$5:E$9)</f>
        <v>53.025</v>
      </c>
    </row>
    <row r="12" customFormat="false" ht="15" hidden="false" customHeight="false" outlineLevel="0" collapsed="false">
      <c r="A12" s="5" t="s">
        <v>46</v>
      </c>
      <c r="B12" s="23" t="n">
        <f aca="false">D10/Assumptions!$B$4-1</f>
        <v>0.265414066392674</v>
      </c>
    </row>
    <row r="14" customFormat="false" ht="15" hidden="false" customHeight="false" outlineLevel="0" collapsed="false">
      <c r="A14" s="14" t="s">
        <v>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4" t="s">
        <v>49</v>
      </c>
      <c r="B3" s="24"/>
      <c r="C3" s="24"/>
      <c r="D3" s="24"/>
      <c r="E3" s="24"/>
      <c r="F3" s="24"/>
      <c r="G3" s="24"/>
    </row>
    <row r="4" customFormat="false" ht="15" hidden="false" customHeight="false" outlineLevel="0" collapsed="false">
      <c r="A4" s="3" t="s">
        <v>50</v>
      </c>
      <c r="B4" s="25" t="n">
        <v>29.45</v>
      </c>
      <c r="G4" s="26" t="s">
        <v>51</v>
      </c>
    </row>
    <row r="5" customFormat="false" ht="15" hidden="false" customHeight="false" outlineLevel="0" collapsed="false">
      <c r="A5" s="3" t="s">
        <v>52</v>
      </c>
      <c r="B5" s="27" t="n">
        <v>80</v>
      </c>
    </row>
    <row r="6" customFormat="false" ht="15" hidden="false" customHeight="false" outlineLevel="0" collapsed="false">
      <c r="A6" s="3" t="s">
        <v>53</v>
      </c>
      <c r="B6" s="28" t="n">
        <v>1270</v>
      </c>
      <c r="G6" s="26" t="s">
        <v>54</v>
      </c>
    </row>
    <row r="7" customFormat="false" ht="15" hidden="false" customHeight="false" outlineLevel="0" collapsed="false">
      <c r="A7" s="3" t="s">
        <v>55</v>
      </c>
      <c r="B7" s="28" t="n">
        <v>1660</v>
      </c>
    </row>
    <row r="8" customFormat="false" ht="15" hidden="false" customHeight="false" outlineLevel="0" collapsed="false">
      <c r="A8" s="3" t="s">
        <v>56</v>
      </c>
      <c r="B8" s="29" t="n">
        <v>0.225</v>
      </c>
    </row>
    <row r="10" customFormat="false" ht="15" hidden="false" customHeight="false" outlineLevel="0" collapsed="false">
      <c r="A10" s="24" t="s">
        <v>57</v>
      </c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3" t="s">
        <v>58</v>
      </c>
      <c r="B11" s="27" t="n">
        <v>7803.7</v>
      </c>
    </row>
    <row r="12" customFormat="false" ht="15" hidden="false" customHeight="false" outlineLevel="0" collapsed="false">
      <c r="A12" s="3" t="s">
        <v>59</v>
      </c>
      <c r="B12" s="27" t="n">
        <v>980.8</v>
      </c>
    </row>
    <row r="13" customFormat="false" ht="15" hidden="false" customHeight="false" outlineLevel="0" collapsed="false">
      <c r="A13" s="3" t="s">
        <v>60</v>
      </c>
      <c r="B13" s="27" t="n">
        <v>742.6</v>
      </c>
    </row>
    <row r="15" customFormat="false" ht="15" hidden="false" customHeight="false" outlineLevel="0" collapsed="false">
      <c r="A15" s="24" t="s">
        <v>61</v>
      </c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A16" s="3"/>
      <c r="B16" s="30" t="s">
        <v>62</v>
      </c>
      <c r="C16" s="30" t="s">
        <v>63</v>
      </c>
      <c r="D16" s="30" t="s">
        <v>64</v>
      </c>
      <c r="E16" s="30" t="s">
        <v>65</v>
      </c>
      <c r="F16" s="30" t="s">
        <v>66</v>
      </c>
    </row>
    <row r="17" customFormat="false" ht="15" hidden="false" customHeight="false" outlineLevel="0" collapsed="false">
      <c r="A17" s="3" t="s">
        <v>67</v>
      </c>
      <c r="B17" s="17" t="n">
        <v>0.12</v>
      </c>
      <c r="C17" s="17" t="n">
        <v>0.13</v>
      </c>
      <c r="D17" s="17" t="n">
        <v>0.12</v>
      </c>
      <c r="E17" s="17" t="n">
        <v>0.11</v>
      </c>
      <c r="F17" s="17" t="n">
        <v>0.1</v>
      </c>
    </row>
    <row r="18" customFormat="false" ht="15" hidden="false" customHeight="false" outlineLevel="0" collapsed="false">
      <c r="A18" s="3" t="s">
        <v>68</v>
      </c>
      <c r="B18" s="17" t="n">
        <v>0.115</v>
      </c>
      <c r="C18" s="17" t="n">
        <v>0.125</v>
      </c>
      <c r="D18" s="17" t="n">
        <v>0.135</v>
      </c>
      <c r="E18" s="17" t="n">
        <v>0.14</v>
      </c>
      <c r="F18" s="17" t="n">
        <v>0.145</v>
      </c>
    </row>
    <row r="19" customFormat="false" ht="15" hidden="false" customHeight="false" outlineLevel="0" collapsed="false">
      <c r="A19" s="3" t="s">
        <v>69</v>
      </c>
      <c r="B19" s="31" t="n">
        <v>265</v>
      </c>
      <c r="C19" s="31" t="n">
        <v>300</v>
      </c>
      <c r="D19" s="31" t="n">
        <v>340</v>
      </c>
      <c r="E19" s="31" t="n">
        <v>380</v>
      </c>
      <c r="F19" s="31" t="n">
        <v>420</v>
      </c>
    </row>
    <row r="20" customFormat="false" ht="15" hidden="false" customHeight="false" outlineLevel="0" collapsed="false">
      <c r="A20" s="3" t="s">
        <v>70</v>
      </c>
      <c r="B20" s="31" t="n">
        <v>650</v>
      </c>
      <c r="C20" s="31" t="n">
        <v>500</v>
      </c>
      <c r="D20" s="31" t="n">
        <v>480</v>
      </c>
      <c r="E20" s="31" t="n">
        <v>500</v>
      </c>
      <c r="F20" s="31" t="n">
        <v>520</v>
      </c>
    </row>
    <row r="21" customFormat="false" ht="15" hidden="false" customHeight="false" outlineLevel="0" collapsed="false">
      <c r="A21" s="3" t="s">
        <v>71</v>
      </c>
      <c r="B21" s="31" t="n">
        <v>250</v>
      </c>
      <c r="C21" s="31" t="n">
        <v>300</v>
      </c>
      <c r="D21" s="31" t="n">
        <v>310</v>
      </c>
      <c r="E21" s="31" t="n">
        <v>320</v>
      </c>
      <c r="F21" s="31" t="n">
        <v>320</v>
      </c>
    </row>
    <row r="23" customFormat="false" ht="15" hidden="false" customHeight="false" outlineLevel="0" collapsed="false">
      <c r="A23" s="24" t="s">
        <v>72</v>
      </c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A24" s="3" t="s">
        <v>73</v>
      </c>
      <c r="B24" s="17" t="n">
        <v>0.22</v>
      </c>
    </row>
    <row r="25" customFormat="false" ht="15" hidden="false" customHeight="false" outlineLevel="0" collapsed="false">
      <c r="A25" s="3" t="s">
        <v>74</v>
      </c>
      <c r="B25" s="17" t="n">
        <v>0.06</v>
      </c>
    </row>
    <row r="26" customFormat="false" ht="15" hidden="false" customHeight="false" outlineLevel="0" collapsed="false">
      <c r="A26" s="3" t="s">
        <v>75</v>
      </c>
      <c r="B26" s="32" t="n">
        <v>1</v>
      </c>
    </row>
    <row r="27" customFormat="false" ht="15" hidden="false" customHeight="false" outlineLevel="0" collapsed="false">
      <c r="A27" s="3" t="s">
        <v>76</v>
      </c>
      <c r="B27" s="33" t="n">
        <f aca="false">B24+B26*B25</f>
        <v>0.28</v>
      </c>
    </row>
    <row r="28" customFormat="false" ht="15" hidden="false" customHeight="false" outlineLevel="0" collapsed="false">
      <c r="A28" s="3" t="s">
        <v>77</v>
      </c>
      <c r="B28" s="17" t="n">
        <v>0.15</v>
      </c>
    </row>
    <row r="29" customFormat="false" ht="15" hidden="false" customHeight="false" outlineLevel="0" collapsed="false">
      <c r="A29" s="3" t="s">
        <v>78</v>
      </c>
      <c r="B29" s="33" t="n">
        <f aca="false">0.45*B27+0.55*B28</f>
        <v>0.2085</v>
      </c>
    </row>
    <row r="30" customFormat="false" ht="15" hidden="false" customHeight="false" outlineLevel="0" collapsed="false">
      <c r="A30" s="3" t="s">
        <v>79</v>
      </c>
      <c r="B30" s="17" t="n">
        <v>0.21</v>
      </c>
    </row>
    <row r="31" customFormat="false" ht="15" hidden="false" customHeight="false" outlineLevel="0" collapsed="false">
      <c r="A31" s="3" t="s">
        <v>80</v>
      </c>
      <c r="B31" s="17" t="n">
        <v>0.11</v>
      </c>
    </row>
    <row r="33" customFormat="false" ht="15" hidden="false" customHeight="false" outlineLevel="0" collapsed="false">
      <c r="A33" s="24" t="s">
        <v>81</v>
      </c>
      <c r="B33" s="24"/>
      <c r="C33" s="24"/>
      <c r="D33" s="24"/>
      <c r="E33" s="24"/>
      <c r="F33" s="24"/>
      <c r="G33" s="24"/>
    </row>
    <row r="34" customFormat="false" ht="15" hidden="false" customHeight="false" outlineLevel="0" collapsed="false">
      <c r="A34" s="3" t="s">
        <v>82</v>
      </c>
      <c r="B34" s="31" t="n">
        <v>1100</v>
      </c>
    </row>
    <row r="35" customFormat="false" ht="15" hidden="false" customHeight="false" outlineLevel="0" collapsed="false">
      <c r="A35" s="3" t="s">
        <v>83</v>
      </c>
      <c r="B35" s="31" t="n">
        <v>460</v>
      </c>
    </row>
    <row r="36" customFormat="false" ht="15" hidden="false" customHeight="false" outlineLevel="0" collapsed="false">
      <c r="A36" s="3" t="s">
        <v>84</v>
      </c>
      <c r="B36" s="34" t="n">
        <v>4</v>
      </c>
    </row>
    <row r="37" customFormat="false" ht="15" hidden="false" customHeight="false" outlineLevel="0" collapsed="false">
      <c r="A37" s="3" t="s">
        <v>85</v>
      </c>
      <c r="B37" s="34" t="n">
        <v>6.8</v>
      </c>
    </row>
    <row r="38" customFormat="false" ht="15" hidden="false" customHeight="false" outlineLevel="0" collapsed="false">
      <c r="A38" s="3" t="s">
        <v>86</v>
      </c>
      <c r="B38" s="32" t="n">
        <v>5.75</v>
      </c>
    </row>
    <row r="39" customFormat="false" ht="15" hidden="false" customHeight="false" outlineLevel="0" collapsed="false">
      <c r="A39" s="3" t="s">
        <v>87</v>
      </c>
      <c r="B39" s="32" t="n">
        <v>49.7</v>
      </c>
    </row>
  </sheetData>
  <mergeCells count="6">
    <mergeCell ref="A1:G1"/>
    <mergeCell ref="A3:G3"/>
    <mergeCell ref="A10:G10"/>
    <mergeCell ref="A15:G15"/>
    <mergeCell ref="A23:G23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4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4" t="s">
        <v>89</v>
      </c>
    </row>
    <row r="4" customFormat="false" ht="15" hidden="false" customHeight="false" outlineLevel="0" collapsed="false">
      <c r="A4" s="6" t="s">
        <v>90</v>
      </c>
      <c r="B4" s="16" t="s">
        <v>62</v>
      </c>
      <c r="C4" s="16" t="s">
        <v>63</v>
      </c>
      <c r="D4" s="16" t="s">
        <v>64</v>
      </c>
      <c r="E4" s="16" t="s">
        <v>65</v>
      </c>
      <c r="F4" s="16" t="s">
        <v>66</v>
      </c>
    </row>
    <row r="5" customFormat="false" ht="15" hidden="false" customHeight="false" outlineLevel="0" collapsed="false">
      <c r="A5" s="3" t="s">
        <v>91</v>
      </c>
      <c r="B5" s="35" t="n">
        <f aca="false">Assumptions!$B$11*(1+Assumptions!B17)</f>
        <v>8740.144</v>
      </c>
      <c r="C5" s="35" t="n">
        <f aca="false">B5*(1+Assumptions!C17)</f>
        <v>9876.36272</v>
      </c>
      <c r="D5" s="35" t="n">
        <f aca="false">C5*(1+Assumptions!D17)</f>
        <v>11061.5262464</v>
      </c>
      <c r="E5" s="35" t="n">
        <f aca="false">D5*(1+Assumptions!E17)</f>
        <v>12278.294133504</v>
      </c>
      <c r="F5" s="35" t="n">
        <f aca="false">E5*(1+Assumptions!F17)</f>
        <v>13506.1235468544</v>
      </c>
    </row>
    <row r="6" customFormat="false" ht="15" hidden="false" customHeight="false" outlineLevel="0" collapsed="false">
      <c r="A6" s="3" t="s">
        <v>68</v>
      </c>
      <c r="B6" s="36" t="n">
        <f aca="false">Assumptions!B18</f>
        <v>0.115</v>
      </c>
      <c r="C6" s="36" t="n">
        <f aca="false">Assumptions!C18</f>
        <v>0.125</v>
      </c>
      <c r="D6" s="36" t="n">
        <f aca="false">Assumptions!D18</f>
        <v>0.135</v>
      </c>
      <c r="E6" s="36" t="n">
        <f aca="false">Assumptions!E18</f>
        <v>0.14</v>
      </c>
      <c r="F6" s="36" t="n">
        <f aca="false">Assumptions!F18</f>
        <v>0.145</v>
      </c>
    </row>
    <row r="7" customFormat="false" ht="15" hidden="false" customHeight="false" outlineLevel="0" collapsed="false">
      <c r="A7" s="3" t="s">
        <v>92</v>
      </c>
      <c r="B7" s="37" t="n">
        <f aca="false">B5*B6</f>
        <v>1005.11656</v>
      </c>
      <c r="C7" s="37" t="n">
        <f aca="false">C5*C6</f>
        <v>1234.54534</v>
      </c>
      <c r="D7" s="37" t="n">
        <f aca="false">D5*D6</f>
        <v>1493.306043264</v>
      </c>
      <c r="E7" s="37" t="n">
        <f aca="false">E5*E6</f>
        <v>1718.96117869056</v>
      </c>
      <c r="F7" s="37" t="n">
        <f aca="false">F5*F6</f>
        <v>1958.38791429389</v>
      </c>
    </row>
    <row r="8" customFormat="false" ht="15" hidden="false" customHeight="false" outlineLevel="0" collapsed="false">
      <c r="A8" s="3" t="s">
        <v>93</v>
      </c>
      <c r="B8" s="35" t="n">
        <f aca="false">-Assumptions!B19</f>
        <v>-265</v>
      </c>
      <c r="C8" s="35" t="n">
        <f aca="false">-Assumptions!C19</f>
        <v>-300</v>
      </c>
      <c r="D8" s="35" t="n">
        <f aca="false">-Assumptions!D19</f>
        <v>-340</v>
      </c>
      <c r="E8" s="35" t="n">
        <f aca="false">-Assumptions!E19</f>
        <v>-380</v>
      </c>
      <c r="F8" s="35" t="n">
        <f aca="false">-Assumptions!F19</f>
        <v>-420</v>
      </c>
    </row>
    <row r="9" customFormat="false" ht="15" hidden="false" customHeight="false" outlineLevel="0" collapsed="false">
      <c r="A9" s="10" t="s">
        <v>94</v>
      </c>
      <c r="B9" s="38" t="n">
        <f aca="false">B7+B8</f>
        <v>740.11656</v>
      </c>
      <c r="C9" s="38" t="n">
        <f aca="false">C7+C8</f>
        <v>934.54534</v>
      </c>
      <c r="D9" s="38" t="n">
        <f aca="false">D7+D8</f>
        <v>1153.306043264</v>
      </c>
      <c r="E9" s="38" t="n">
        <f aca="false">E7+E8</f>
        <v>1338.96117869056</v>
      </c>
      <c r="F9" s="38" t="n">
        <f aca="false">F7+F8</f>
        <v>1538.38791429389</v>
      </c>
    </row>
    <row r="10" customFormat="false" ht="15" hidden="false" customHeight="false" outlineLevel="0" collapsed="false">
      <c r="A10" s="3" t="s">
        <v>95</v>
      </c>
      <c r="B10" s="35" t="n">
        <f aca="false">B9*(1-Assumptions!$B$8)</f>
        <v>573.590334</v>
      </c>
      <c r="C10" s="35" t="n">
        <f aca="false">C9*(1-Assumptions!$B$8)</f>
        <v>724.2726385</v>
      </c>
      <c r="D10" s="35" t="n">
        <f aca="false">D9*(1-Assumptions!$B$8)</f>
        <v>893.8121835296</v>
      </c>
      <c r="E10" s="35" t="n">
        <f aca="false">E9*(1-Assumptions!$B$8)</f>
        <v>1037.69491348518</v>
      </c>
      <c r="F10" s="35" t="n">
        <f aca="false">F9*(1-Assumptions!$B$8)</f>
        <v>1192.25063357776</v>
      </c>
    </row>
    <row r="11" customFormat="false" ht="15" hidden="false" customHeight="false" outlineLevel="0" collapsed="false">
      <c r="A11" s="3" t="s">
        <v>96</v>
      </c>
      <c r="B11" s="35" t="n">
        <f aca="false">Assumptions!B19</f>
        <v>265</v>
      </c>
      <c r="C11" s="35" t="n">
        <f aca="false">Assumptions!C19</f>
        <v>300</v>
      </c>
      <c r="D11" s="35" t="n">
        <f aca="false">Assumptions!D19</f>
        <v>340</v>
      </c>
      <c r="E11" s="35" t="n">
        <f aca="false">Assumptions!E19</f>
        <v>380</v>
      </c>
      <c r="F11" s="35" t="n">
        <f aca="false">Assumptions!F19</f>
        <v>420</v>
      </c>
    </row>
    <row r="12" customFormat="false" ht="15" hidden="false" customHeight="false" outlineLevel="0" collapsed="false">
      <c r="A12" s="3" t="s">
        <v>97</v>
      </c>
      <c r="B12" s="35" t="n">
        <f aca="false">-Assumptions!B20</f>
        <v>-650</v>
      </c>
      <c r="C12" s="35" t="n">
        <f aca="false">-Assumptions!C20</f>
        <v>-500</v>
      </c>
      <c r="D12" s="35" t="n">
        <f aca="false">-Assumptions!D20</f>
        <v>-480</v>
      </c>
      <c r="E12" s="35" t="n">
        <f aca="false">-Assumptions!E20</f>
        <v>-500</v>
      </c>
      <c r="F12" s="35" t="n">
        <f aca="false">-Assumptions!F20</f>
        <v>-520</v>
      </c>
    </row>
    <row r="13" customFormat="false" ht="15" hidden="false" customHeight="false" outlineLevel="0" collapsed="false">
      <c r="A13" s="3" t="s">
        <v>98</v>
      </c>
      <c r="B13" s="35" t="n">
        <f aca="false">-Assumptions!B21</f>
        <v>-250</v>
      </c>
      <c r="C13" s="35" t="n">
        <f aca="false">-Assumptions!C21</f>
        <v>-300</v>
      </c>
      <c r="D13" s="35" t="n">
        <f aca="false">-Assumptions!D21</f>
        <v>-310</v>
      </c>
      <c r="E13" s="35" t="n">
        <f aca="false">-Assumptions!E21</f>
        <v>-320</v>
      </c>
      <c r="F13" s="35" t="n">
        <f aca="false">-Assumptions!F21</f>
        <v>-320</v>
      </c>
    </row>
    <row r="14" customFormat="false" ht="15" hidden="false" customHeight="false" outlineLevel="0" collapsed="false">
      <c r="A14" s="7" t="s">
        <v>99</v>
      </c>
      <c r="B14" s="39" t="n">
        <f aca="false">B10+B11+B12+B13</f>
        <v>-61.4096659999999</v>
      </c>
      <c r="C14" s="39" t="n">
        <f aca="false">C10+C11+C12+C13</f>
        <v>224.2726385</v>
      </c>
      <c r="D14" s="39" t="n">
        <f aca="false">D10+D11+D12+D13</f>
        <v>443.8121835296</v>
      </c>
      <c r="E14" s="39" t="n">
        <f aca="false">E10+E11+E12+E13</f>
        <v>597.694913485184</v>
      </c>
      <c r="F14" s="39" t="n">
        <f aca="false">F10+F11+F12+F13</f>
        <v>772.250633577763</v>
      </c>
    </row>
    <row r="15" customFormat="false" ht="15" hidden="false" customHeight="false" outlineLevel="0" collapsed="false">
      <c r="A15" s="3" t="s">
        <v>100</v>
      </c>
      <c r="B15" s="40" t="n">
        <f aca="false">1/(1+Assumptions!$B$30)^1</f>
        <v>0.826446280991736</v>
      </c>
      <c r="C15" s="40" t="n">
        <f aca="false">1/(1+Assumptions!$B$30)^2</f>
        <v>0.683013455365071</v>
      </c>
      <c r="D15" s="40" t="n">
        <f aca="false">1/(1+Assumptions!$B$30)^3</f>
        <v>0.564473930053777</v>
      </c>
      <c r="E15" s="40" t="n">
        <f aca="false">1/(1+Assumptions!$B$30)^4</f>
        <v>0.466507380209734</v>
      </c>
      <c r="F15" s="40" t="n">
        <f aca="false">1/(1+Assumptions!$B$30)^5</f>
        <v>0.385543289429532</v>
      </c>
    </row>
    <row r="16" customFormat="false" ht="15" hidden="false" customHeight="false" outlineLevel="0" collapsed="false">
      <c r="A16" s="10" t="s">
        <v>101</v>
      </c>
      <c r="B16" s="38" t="n">
        <f aca="false">B14*B15</f>
        <v>-50.7517900826446</v>
      </c>
      <c r="C16" s="38" t="n">
        <f aca="false">C14*C15</f>
        <v>153.181229765726</v>
      </c>
      <c r="D16" s="38" t="n">
        <f aca="false">D14*D15</f>
        <v>250.520407442702</v>
      </c>
      <c r="E16" s="38" t="n">
        <f aca="false">E14*E15</f>
        <v>278.829088254657</v>
      </c>
      <c r="F16" s="38" t="n">
        <f aca="false">F14*F15</f>
        <v>297.736049533611</v>
      </c>
    </row>
    <row r="18" customFormat="false" ht="15" hidden="false" customHeight="false" outlineLevel="0" collapsed="false">
      <c r="A18" s="24" t="s">
        <v>102</v>
      </c>
      <c r="B18" s="24"/>
      <c r="C18" s="24"/>
      <c r="D18" s="24"/>
      <c r="E18" s="24"/>
      <c r="F18" s="24"/>
      <c r="G18" s="24"/>
      <c r="H18" s="24"/>
    </row>
    <row r="19" customFormat="false" ht="15" hidden="false" customHeight="false" outlineLevel="0" collapsed="false">
      <c r="A19" s="3" t="s">
        <v>103</v>
      </c>
      <c r="B19" s="37" t="n">
        <f aca="false">SUM(B16:F16)</f>
        <v>929.514984914051</v>
      </c>
    </row>
    <row r="20" customFormat="false" ht="15" hidden="false" customHeight="false" outlineLevel="0" collapsed="false">
      <c r="A20" s="3" t="s">
        <v>104</v>
      </c>
      <c r="B20" s="37" t="n">
        <f aca="false">F14*(1+Assumptions!$B$31)/(Assumptions!$B$30-Assumptions!$B$31)</f>
        <v>8571.98203271318</v>
      </c>
    </row>
    <row r="21" customFormat="false" ht="15" hidden="false" customHeight="false" outlineLevel="0" collapsed="false">
      <c r="A21" s="3" t="s">
        <v>105</v>
      </c>
      <c r="B21" s="37" t="n">
        <f aca="false">B20*F15</f>
        <v>3304.87014982308</v>
      </c>
    </row>
    <row r="22" customFormat="false" ht="15" hidden="false" customHeight="false" outlineLevel="0" collapsed="false">
      <c r="A22" s="10" t="s">
        <v>106</v>
      </c>
      <c r="B22" s="38" t="n">
        <f aca="false">B19+B21</f>
        <v>4234.38513473713</v>
      </c>
    </row>
    <row r="23" customFormat="false" ht="15" hidden="false" customHeight="false" outlineLevel="0" collapsed="false">
      <c r="A23" s="5" t="s">
        <v>107</v>
      </c>
      <c r="B23" s="41" t="n">
        <f aca="false">B21/B22</f>
        <v>0.78048407139712</v>
      </c>
    </row>
    <row r="24" customFormat="false" ht="15" hidden="false" customHeight="false" outlineLevel="0" collapsed="false">
      <c r="A24" s="3" t="s">
        <v>108</v>
      </c>
      <c r="B24" s="37" t="n">
        <f aca="false">-Assumptions!$B$6</f>
        <v>-1270</v>
      </c>
    </row>
    <row r="25" customFormat="false" ht="15" hidden="false" customHeight="false" outlineLevel="0" collapsed="false">
      <c r="A25" s="10" t="s">
        <v>109</v>
      </c>
      <c r="B25" s="38" t="n">
        <f aca="false">B22+B24</f>
        <v>2964.38513473713</v>
      </c>
    </row>
    <row r="26" customFormat="false" ht="15" hidden="false" customHeight="false" outlineLevel="0" collapsed="false">
      <c r="A26" s="20" t="s">
        <v>110</v>
      </c>
      <c r="B26" s="42" t="n">
        <f aca="false">B25/Assumptions!$B$5</f>
        <v>37.0548141842142</v>
      </c>
    </row>
    <row r="28" customFormat="false" ht="15" hidden="false" customHeight="false" outlineLevel="0" collapsed="false">
      <c r="A28" s="3" t="s">
        <v>111</v>
      </c>
      <c r="B28" s="33" t="n">
        <f aca="false">B26/Assumptions!$B$4-1</f>
        <v>0.258227985881636</v>
      </c>
    </row>
  </sheetData>
  <mergeCells count="2">
    <mergeCell ref="A1:H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" t="s">
        <v>112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5" t="s">
        <v>113</v>
      </c>
      <c r="B3" s="16" t="s">
        <v>91</v>
      </c>
      <c r="C3" s="16" t="s">
        <v>114</v>
      </c>
      <c r="D3" s="16" t="s">
        <v>115</v>
      </c>
      <c r="E3" s="16" t="s">
        <v>116</v>
      </c>
      <c r="F3" s="16" t="s">
        <v>117</v>
      </c>
    </row>
    <row r="4" customFormat="false" ht="15" hidden="false" customHeight="false" outlineLevel="0" collapsed="false">
      <c r="A4" s="3" t="s">
        <v>118</v>
      </c>
      <c r="B4" s="18" t="n">
        <v>5014.6</v>
      </c>
      <c r="C4" s="33" t="n">
        <f aca="false">B4/$B$7</f>
        <v>0.642584381967759</v>
      </c>
      <c r="D4" s="17" t="n">
        <v>0.814</v>
      </c>
      <c r="E4" s="17" t="n">
        <v>0.261</v>
      </c>
      <c r="F4" s="43" t="n">
        <f aca="false">B4*E4</f>
        <v>1308.8106</v>
      </c>
    </row>
    <row r="5" customFormat="false" ht="15" hidden="false" customHeight="false" outlineLevel="0" collapsed="false">
      <c r="A5" s="3" t="s">
        <v>119</v>
      </c>
      <c r="B5" s="18" t="n">
        <v>2488.8</v>
      </c>
      <c r="C5" s="33" t="n">
        <f aca="false">B5/$B$7</f>
        <v>0.318921551039237</v>
      </c>
      <c r="D5" s="17" t="n">
        <v>0.078</v>
      </c>
      <c r="E5" s="17" t="n">
        <v>0.138</v>
      </c>
      <c r="F5" s="43" t="n">
        <f aca="false">B5*E5</f>
        <v>343.4544</v>
      </c>
    </row>
    <row r="6" customFormat="false" ht="15" hidden="false" customHeight="false" outlineLevel="0" collapsed="false">
      <c r="A6" s="3" t="s">
        <v>120</v>
      </c>
      <c r="B6" s="18" t="n">
        <v>300.4</v>
      </c>
      <c r="C6" s="33" t="n">
        <f aca="false">B6/$B$7</f>
        <v>0.0384940669930034</v>
      </c>
      <c r="D6" s="17" t="n">
        <v>0</v>
      </c>
      <c r="E6" s="17" t="n">
        <v>0.441</v>
      </c>
      <c r="F6" s="43" t="n">
        <f aca="false">B6*E6</f>
        <v>132.4764</v>
      </c>
    </row>
    <row r="7" customFormat="false" ht="15" hidden="false" customHeight="false" outlineLevel="0" collapsed="false">
      <c r="A7" s="10" t="s">
        <v>121</v>
      </c>
      <c r="B7" s="44" t="n">
        <f aca="false">SUM(B4:B6)</f>
        <v>7803.8</v>
      </c>
      <c r="E7" s="12" t="n">
        <f aca="false">F7/B7</f>
        <v>0.228701581280914</v>
      </c>
      <c r="F7" s="44" t="n">
        <f aca="false">SUM(F4:F6)</f>
        <v>1784.7414</v>
      </c>
    </row>
    <row r="9" customFormat="false" ht="15" hidden="false" customHeight="false" outlineLevel="0" collapsed="false">
      <c r="A9" s="5" t="s">
        <v>122</v>
      </c>
      <c r="B9" s="23" t="n">
        <f aca="false">SUMPRODUCT(B4:B6,D4:D6)/B7</f>
        <v>0.547939567902817</v>
      </c>
    </row>
    <row r="11" customFormat="false" ht="15" hidden="false" customHeight="false" outlineLevel="0" collapsed="false">
      <c r="A11" s="14" t="s">
        <v>123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124</v>
      </c>
      <c r="B1" s="1"/>
      <c r="C1" s="1"/>
      <c r="D1" s="1"/>
      <c r="E1" s="1"/>
    </row>
    <row r="3" customFormat="false" ht="15" hidden="false" customHeight="false" outlineLevel="0" collapsed="false">
      <c r="A3" s="24" t="s">
        <v>125</v>
      </c>
      <c r="B3" s="24"/>
      <c r="C3" s="24"/>
      <c r="D3" s="24"/>
      <c r="E3" s="24"/>
    </row>
    <row r="4" customFormat="false" ht="15" hidden="false" customHeight="false" outlineLevel="0" collapsed="false">
      <c r="A4" s="3" t="s">
        <v>126</v>
      </c>
      <c r="B4" s="45" t="n">
        <f aca="false">Assumptions!$B$4*Assumptions!$B$5</f>
        <v>2356</v>
      </c>
    </row>
    <row r="5" customFormat="false" ht="15" hidden="false" customHeight="false" outlineLevel="0" collapsed="false">
      <c r="A5" s="3" t="s">
        <v>127</v>
      </c>
      <c r="B5" s="45" t="n">
        <f aca="false">Assumptions!$B$6</f>
        <v>1270</v>
      </c>
    </row>
    <row r="6" customFormat="false" ht="15" hidden="false" customHeight="false" outlineLevel="0" collapsed="false">
      <c r="A6" s="10" t="s">
        <v>106</v>
      </c>
      <c r="B6" s="46" t="n">
        <f aca="false">B4+B5</f>
        <v>3626</v>
      </c>
    </row>
    <row r="7" customFormat="false" ht="15" hidden="false" customHeight="false" outlineLevel="0" collapsed="false">
      <c r="A7" s="3" t="s">
        <v>128</v>
      </c>
      <c r="B7" s="47" t="n">
        <f aca="false">B6/980.8</f>
        <v>3.69698205546493</v>
      </c>
    </row>
    <row r="8" customFormat="false" ht="15" hidden="false" customHeight="false" outlineLevel="0" collapsed="false">
      <c r="A8" s="3" t="s">
        <v>129</v>
      </c>
      <c r="B8" s="47" t="n">
        <f aca="false">B6/Assumptions!$B$34</f>
        <v>3.29636363636364</v>
      </c>
    </row>
    <row r="9" customFormat="false" ht="15" hidden="false" customHeight="false" outlineLevel="0" collapsed="false">
      <c r="A9" s="3" t="s">
        <v>130</v>
      </c>
      <c r="B9" s="47" t="n">
        <f aca="false">Assumptions!$B$4/3.05</f>
        <v>9.65573770491803</v>
      </c>
    </row>
    <row r="10" customFormat="false" ht="15" hidden="false" customHeight="false" outlineLevel="0" collapsed="false">
      <c r="A10" s="3" t="s">
        <v>131</v>
      </c>
      <c r="B10" s="47" t="n">
        <f aca="false">Assumptions!$B$4/49.7</f>
        <v>0.592555331991952</v>
      </c>
    </row>
    <row r="12" customFormat="false" ht="15" hidden="false" customHeight="false" outlineLevel="0" collapsed="false">
      <c r="A12" s="24" t="s">
        <v>132</v>
      </c>
      <c r="B12" s="24"/>
      <c r="C12" s="24"/>
      <c r="D12" s="24"/>
      <c r="E12" s="24"/>
    </row>
    <row r="13" customFormat="false" ht="15" hidden="false" customHeight="false" outlineLevel="0" collapsed="false">
      <c r="A13" s="3" t="s">
        <v>133</v>
      </c>
      <c r="B13" s="45" t="n">
        <f aca="false">Assumptions!$B$36*Assumptions!$B$34</f>
        <v>4400</v>
      </c>
    </row>
    <row r="14" customFormat="false" ht="15" hidden="false" customHeight="false" outlineLevel="0" collapsed="false">
      <c r="A14" s="3" t="s">
        <v>134</v>
      </c>
      <c r="B14" s="45" t="n">
        <f aca="false">B13-Assumptions!$B$6</f>
        <v>3130</v>
      </c>
    </row>
    <row r="15" customFormat="false" ht="15" hidden="false" customHeight="false" outlineLevel="0" collapsed="false">
      <c r="A15" s="20" t="s">
        <v>135</v>
      </c>
      <c r="B15" s="48" t="n">
        <f aca="false">B14/Assumptions!$B$5</f>
        <v>39.125</v>
      </c>
    </row>
    <row r="17" customFormat="false" ht="15" hidden="false" customHeight="false" outlineLevel="0" collapsed="false">
      <c r="A17" s="24" t="s">
        <v>136</v>
      </c>
      <c r="B17" s="24"/>
      <c r="C17" s="24"/>
      <c r="D17" s="24"/>
      <c r="E17" s="24"/>
    </row>
    <row r="18" customFormat="false" ht="15" hidden="false" customHeight="false" outlineLevel="0" collapsed="false">
      <c r="A18" s="3" t="s">
        <v>83</v>
      </c>
      <c r="B18" s="45" t="n">
        <f aca="false">Assumptions!$B$35</f>
        <v>460</v>
      </c>
    </row>
    <row r="19" customFormat="false" ht="15" hidden="false" customHeight="false" outlineLevel="0" collapsed="false">
      <c r="A19" s="3" t="s">
        <v>86</v>
      </c>
      <c r="B19" s="49" t="n">
        <f aca="false">B18/Assumptions!$B$5</f>
        <v>5.75</v>
      </c>
    </row>
    <row r="20" customFormat="false" ht="15" hidden="false" customHeight="false" outlineLevel="0" collapsed="false">
      <c r="A20" s="3" t="s">
        <v>137</v>
      </c>
      <c r="B20" s="47" t="n">
        <f aca="false">Assumptions!$B$37</f>
        <v>6.8</v>
      </c>
    </row>
    <row r="21" customFormat="false" ht="15" hidden="false" customHeight="false" outlineLevel="0" collapsed="false">
      <c r="A21" s="20" t="s">
        <v>135</v>
      </c>
      <c r="B21" s="48" t="n">
        <f aca="false">B19*B20</f>
        <v>39.1</v>
      </c>
    </row>
    <row r="23" customFormat="false" ht="15" hidden="false" customHeight="false" outlineLevel="0" collapsed="false">
      <c r="A23" s="14" t="s">
        <v>138</v>
      </c>
    </row>
  </sheetData>
  <mergeCells count="4">
    <mergeCell ref="A1:E1"/>
    <mergeCell ref="A3:E3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1" t="s">
        <v>139</v>
      </c>
      <c r="B1" s="1"/>
      <c r="C1" s="1"/>
      <c r="D1" s="1"/>
    </row>
    <row r="3" customFormat="false" ht="15" hidden="false" customHeight="false" outlineLevel="0" collapsed="false">
      <c r="A3" s="24" t="s">
        <v>140</v>
      </c>
      <c r="B3" s="24"/>
      <c r="C3" s="24"/>
      <c r="D3" s="24"/>
    </row>
    <row r="4" customFormat="false" ht="15" hidden="false" customHeight="false" outlineLevel="0" collapsed="false">
      <c r="A4" s="3" t="s">
        <v>141</v>
      </c>
      <c r="B4" s="28" t="n">
        <v>430</v>
      </c>
    </row>
    <row r="5" customFormat="false" ht="15" hidden="false" customHeight="false" outlineLevel="0" collapsed="false">
      <c r="A5" s="3" t="s">
        <v>142</v>
      </c>
      <c r="B5" s="29" t="n">
        <v>0.135</v>
      </c>
    </row>
    <row r="6" customFormat="false" ht="15" hidden="false" customHeight="false" outlineLevel="0" collapsed="false">
      <c r="A6" s="3" t="s">
        <v>143</v>
      </c>
      <c r="B6" s="45" t="n">
        <f aca="false">B4/B5</f>
        <v>3185.18518518518</v>
      </c>
    </row>
    <row r="7" customFormat="false" ht="15" hidden="false" customHeight="false" outlineLevel="0" collapsed="false">
      <c r="A7" s="3" t="s">
        <v>144</v>
      </c>
      <c r="B7" s="29" t="n">
        <v>0.2</v>
      </c>
    </row>
    <row r="8" customFormat="false" ht="15" hidden="false" customHeight="false" outlineLevel="0" collapsed="false">
      <c r="A8" s="20" t="s">
        <v>135</v>
      </c>
      <c r="B8" s="48" t="n">
        <f aca="false">B6*(1-B7)/Assumptions!$B$5</f>
        <v>31.8518518518518</v>
      </c>
    </row>
    <row r="10" customFormat="false" ht="15" hidden="false" customHeight="false" outlineLevel="0" collapsed="false">
      <c r="A10" s="24" t="s">
        <v>145</v>
      </c>
      <c r="B10" s="24"/>
      <c r="C10" s="24"/>
      <c r="D10" s="24"/>
    </row>
    <row r="11" customFormat="false" ht="15" hidden="false" customHeight="false" outlineLevel="0" collapsed="false">
      <c r="A11" s="3" t="s">
        <v>146</v>
      </c>
      <c r="B11" s="28" t="n">
        <v>8537</v>
      </c>
    </row>
    <row r="12" customFormat="false" ht="15" hidden="false" customHeight="false" outlineLevel="0" collapsed="false">
      <c r="A12" s="3" t="s">
        <v>147</v>
      </c>
      <c r="B12" s="28" t="n">
        <v>-576</v>
      </c>
    </row>
    <row r="13" customFormat="false" ht="15" hidden="false" customHeight="false" outlineLevel="0" collapsed="false">
      <c r="A13" s="3" t="s">
        <v>148</v>
      </c>
      <c r="B13" s="28" t="n">
        <v>-249</v>
      </c>
    </row>
    <row r="14" customFormat="false" ht="15" hidden="false" customHeight="false" outlineLevel="0" collapsed="false">
      <c r="A14" s="3" t="s">
        <v>149</v>
      </c>
      <c r="B14" s="28" t="n">
        <v>-359</v>
      </c>
    </row>
    <row r="15" customFormat="false" ht="15" hidden="false" customHeight="false" outlineLevel="0" collapsed="false">
      <c r="A15" s="10" t="s">
        <v>150</v>
      </c>
      <c r="B15" s="46" t="n">
        <f aca="false">SUM(B11:B14)</f>
        <v>7353</v>
      </c>
    </row>
    <row r="16" customFormat="false" ht="15" hidden="false" customHeight="false" outlineLevel="0" collapsed="false">
      <c r="A16" s="3" t="s">
        <v>151</v>
      </c>
      <c r="B16" s="28" t="n">
        <v>-4431.2</v>
      </c>
    </row>
    <row r="17" customFormat="false" ht="15" hidden="false" customHeight="false" outlineLevel="0" collapsed="false">
      <c r="A17" s="3" t="s">
        <v>152</v>
      </c>
      <c r="B17" s="28" t="n">
        <v>-128</v>
      </c>
    </row>
    <row r="18" customFormat="false" ht="15" hidden="false" customHeight="false" outlineLevel="0" collapsed="false">
      <c r="A18" s="10" t="s">
        <v>153</v>
      </c>
      <c r="B18" s="46" t="n">
        <f aca="false">B15+B16+B17</f>
        <v>2793.8</v>
      </c>
    </row>
    <row r="19" customFormat="false" ht="15" hidden="false" customHeight="false" outlineLevel="0" collapsed="false">
      <c r="A19" s="20" t="s">
        <v>135</v>
      </c>
      <c r="B19" s="48" t="n">
        <f aca="false">B18/Assumptions!$B$5</f>
        <v>34.9225</v>
      </c>
    </row>
    <row r="21" customFormat="false" ht="15" hidden="false" customHeight="false" outlineLevel="0" collapsed="false">
      <c r="A21" s="14" t="s">
        <v>154</v>
      </c>
    </row>
  </sheetData>
  <mergeCells count="3">
    <mergeCell ref="A1:D1"/>
    <mergeCell ref="A3:D3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5" min="5" style="0" width="4"/>
    <col collapsed="false" customWidth="true" hidden="false" outlineLevel="0" max="10" min="6" style="0" width="12"/>
  </cols>
  <sheetData>
    <row r="1" customFormat="false" ht="16.15" hidden="false" customHeight="fals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16" t="s">
        <v>156</v>
      </c>
      <c r="C3" s="16" t="s">
        <v>157</v>
      </c>
      <c r="D3" s="16" t="s">
        <v>158</v>
      </c>
      <c r="E3" s="50"/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customFormat="false" ht="15" hidden="false" customHeight="false" outlineLevel="0" collapsed="false">
      <c r="A4" s="10" t="s">
        <v>91</v>
      </c>
      <c r="B4" s="43" t="n">
        <v>4844</v>
      </c>
      <c r="C4" s="43" t="n">
        <v>6644.7</v>
      </c>
      <c r="D4" s="43" t="n">
        <v>7803.7</v>
      </c>
      <c r="F4" s="51" t="n">
        <f aca="false">Assumptions!$B$11*(1+Assumptions!B17)</f>
        <v>8740.144</v>
      </c>
      <c r="G4" s="51" t="n">
        <f aca="false">F4*(1+Assumptions!C17)</f>
        <v>9876.36272</v>
      </c>
      <c r="H4" s="51" t="n">
        <f aca="false">G4*(1+Assumptions!D17)</f>
        <v>11061.5262464</v>
      </c>
      <c r="I4" s="51" t="n">
        <f aca="false">H4*(1+Assumptions!E17)</f>
        <v>12278.294133504</v>
      </c>
      <c r="J4" s="51" t="n">
        <f aca="false">I4*(1+Assumptions!F17)</f>
        <v>13506.1235468544</v>
      </c>
    </row>
    <row r="5" customFormat="false" ht="15" hidden="false" customHeight="false" outlineLevel="0" collapsed="false">
      <c r="A5" s="3" t="s">
        <v>92</v>
      </c>
      <c r="C5" s="43" t="n">
        <v>1330.1</v>
      </c>
      <c r="D5" s="43" t="n">
        <v>980.8</v>
      </c>
      <c r="F5" s="43" t="n">
        <f aca="false">F4*Assumptions!B18</f>
        <v>1005.11656</v>
      </c>
      <c r="G5" s="43" t="n">
        <f aca="false">G4*Assumptions!C18</f>
        <v>1234.54534</v>
      </c>
      <c r="H5" s="43" t="n">
        <f aca="false">H4*Assumptions!D18</f>
        <v>1493.306043264</v>
      </c>
      <c r="I5" s="43" t="n">
        <f aca="false">I4*Assumptions!E18</f>
        <v>1718.96117869056</v>
      </c>
      <c r="J5" s="43" t="n">
        <f aca="false">J4*Assumptions!F18</f>
        <v>1958.38791429389</v>
      </c>
    </row>
    <row r="6" customFormat="false" ht="15" hidden="false" customHeight="false" outlineLevel="0" collapsed="false">
      <c r="A6" s="3" t="s">
        <v>159</v>
      </c>
      <c r="C6" s="43" t="n">
        <v>179.1</v>
      </c>
      <c r="D6" s="43" t="n">
        <v>238.2</v>
      </c>
      <c r="F6" s="19" t="n">
        <f aca="false">Assumptions!B19</f>
        <v>265</v>
      </c>
      <c r="G6" s="19" t="n">
        <f aca="false">Assumptions!C19</f>
        <v>300</v>
      </c>
      <c r="H6" s="19" t="n">
        <f aca="false">Assumptions!D19</f>
        <v>340</v>
      </c>
      <c r="I6" s="19" t="n">
        <f aca="false">Assumptions!E19</f>
        <v>380</v>
      </c>
      <c r="J6" s="19" t="n">
        <f aca="false">Assumptions!F19</f>
        <v>420</v>
      </c>
    </row>
    <row r="7" customFormat="false" ht="15" hidden="false" customHeight="false" outlineLevel="0" collapsed="false">
      <c r="A7" s="10" t="s">
        <v>94</v>
      </c>
      <c r="B7" s="43" t="n">
        <v>941.1</v>
      </c>
      <c r="C7" s="43" t="n">
        <v>1151</v>
      </c>
      <c r="D7" s="43" t="n">
        <v>742.6</v>
      </c>
      <c r="F7" s="52" t="n">
        <f aca="false">F5-F6</f>
        <v>740.11656</v>
      </c>
      <c r="G7" s="52" t="n">
        <f aca="false">G5-G6</f>
        <v>934.54534</v>
      </c>
      <c r="H7" s="52" t="n">
        <f aca="false">H5-H6</f>
        <v>1153.306043264</v>
      </c>
      <c r="I7" s="52" t="n">
        <f aca="false">I5-I6</f>
        <v>1338.96117869056</v>
      </c>
      <c r="J7" s="52" t="n">
        <f aca="false">J5-J6</f>
        <v>1538.38791429389</v>
      </c>
    </row>
    <row r="8" customFormat="false" ht="15" hidden="false" customHeight="false" outlineLevel="0" collapsed="false">
      <c r="A8" s="3" t="s">
        <v>160</v>
      </c>
      <c r="C8" s="43" t="n">
        <v>78.9</v>
      </c>
      <c r="D8" s="43" t="n">
        <v>-280.9</v>
      </c>
      <c r="F8" s="18" t="n">
        <v>-260</v>
      </c>
      <c r="G8" s="18" t="n">
        <v>-252</v>
      </c>
      <c r="H8" s="18" t="n">
        <v>-244</v>
      </c>
      <c r="I8" s="18" t="n">
        <v>-236</v>
      </c>
      <c r="J8" s="18" t="n">
        <v>-228</v>
      </c>
    </row>
    <row r="9" customFormat="false" ht="15" hidden="false" customHeight="false" outlineLevel="0" collapsed="false">
      <c r="A9" s="3" t="s">
        <v>161</v>
      </c>
      <c r="C9" s="43" t="n">
        <v>1231.9</v>
      </c>
      <c r="D9" s="43" t="n">
        <v>461.7</v>
      </c>
      <c r="F9" s="43" t="n">
        <f aca="false">F7+F8</f>
        <v>480.11656</v>
      </c>
      <c r="G9" s="43" t="n">
        <f aca="false">G7+G8</f>
        <v>682.54534</v>
      </c>
      <c r="H9" s="43" t="n">
        <f aca="false">H7+H8</f>
        <v>909.306043264</v>
      </c>
      <c r="I9" s="43" t="n">
        <f aca="false">I7+I8</f>
        <v>1102.96117869056</v>
      </c>
      <c r="J9" s="43" t="n">
        <f aca="false">J7+J8</f>
        <v>1310.38791429389</v>
      </c>
    </row>
    <row r="10" customFormat="false" ht="15" hidden="false" customHeight="false" outlineLevel="0" collapsed="false">
      <c r="A10" s="3" t="s">
        <v>162</v>
      </c>
      <c r="C10" s="43" t="n">
        <v>-312.5</v>
      </c>
      <c r="D10" s="43" t="n">
        <v>-202.4</v>
      </c>
      <c r="F10" s="43" t="n">
        <f aca="false">-F9*Assumptions!$B$8</f>
        <v>-108.026226</v>
      </c>
      <c r="G10" s="43" t="n">
        <f aca="false">-G9*Assumptions!$B$8</f>
        <v>-153.5727015</v>
      </c>
      <c r="H10" s="43" t="n">
        <f aca="false">-H9*Assumptions!$B$8</f>
        <v>-204.5938597344</v>
      </c>
      <c r="I10" s="43" t="n">
        <f aca="false">-I9*Assumptions!$B$8</f>
        <v>-248.166265205376</v>
      </c>
      <c r="J10" s="43" t="n">
        <f aca="false">-J9*Assumptions!$B$8</f>
        <v>-294.837280716125</v>
      </c>
    </row>
    <row r="11" customFormat="false" ht="15" hidden="false" customHeight="false" outlineLevel="0" collapsed="false">
      <c r="A11" s="3" t="s">
        <v>163</v>
      </c>
      <c r="C11" s="43" t="n">
        <v>919.4</v>
      </c>
      <c r="D11" s="43" t="n">
        <v>259.3</v>
      </c>
      <c r="F11" s="43" t="n">
        <f aca="false">F9+F10</f>
        <v>372.090334</v>
      </c>
      <c r="G11" s="43" t="n">
        <f aca="false">G9+G10</f>
        <v>528.9726385</v>
      </c>
      <c r="H11" s="43" t="n">
        <f aca="false">H9+H10</f>
        <v>704.7121835296</v>
      </c>
      <c r="I11" s="43" t="n">
        <f aca="false">I9+I10</f>
        <v>854.794913485184</v>
      </c>
      <c r="J11" s="43" t="n">
        <f aca="false">J9+J10</f>
        <v>1015.55063357776</v>
      </c>
    </row>
    <row r="12" customFormat="false" ht="15" hidden="false" customHeight="false" outlineLevel="0" collapsed="false">
      <c r="A12" s="3" t="s">
        <v>164</v>
      </c>
      <c r="C12" s="43" t="n">
        <v>-29.1</v>
      </c>
      <c r="D12" s="43" t="n">
        <v>-15.2</v>
      </c>
      <c r="F12" s="43" t="n">
        <f aca="false">-F11*0.05</f>
        <v>-18.6045167</v>
      </c>
      <c r="G12" s="43" t="n">
        <f aca="false">-G11*0.05</f>
        <v>-26.448631925</v>
      </c>
      <c r="H12" s="43" t="n">
        <f aca="false">-H11*0.05</f>
        <v>-35.23560917648</v>
      </c>
      <c r="I12" s="43" t="n">
        <f aca="false">-I11*0.05</f>
        <v>-42.7397456742592</v>
      </c>
      <c r="J12" s="43" t="n">
        <f aca="false">-J11*0.05</f>
        <v>-50.7775316788882</v>
      </c>
    </row>
    <row r="13" customFormat="false" ht="15" hidden="false" customHeight="false" outlineLevel="0" collapsed="false">
      <c r="A13" s="10" t="s">
        <v>165</v>
      </c>
      <c r="B13" s="43" t="n">
        <v>446.3</v>
      </c>
      <c r="C13" s="43" t="n">
        <v>890.3</v>
      </c>
      <c r="D13" s="43" t="n">
        <v>244.1</v>
      </c>
      <c r="F13" s="52" t="n">
        <f aca="false">F11+F12</f>
        <v>353.4858173</v>
      </c>
      <c r="G13" s="52" t="n">
        <f aca="false">G11+G12</f>
        <v>502.524006575</v>
      </c>
      <c r="H13" s="52" t="n">
        <f aca="false">H11+H12</f>
        <v>669.47657435312</v>
      </c>
      <c r="I13" s="52" t="n">
        <f aca="false">I11+I12</f>
        <v>812.055167810925</v>
      </c>
      <c r="J13" s="52" t="n">
        <f aca="false">J11+J12</f>
        <v>964.773101898875</v>
      </c>
    </row>
    <row r="14" customFormat="false" ht="15" hidden="false" customHeight="false" outlineLevel="0" collapsed="false">
      <c r="A14" s="3" t="s">
        <v>166</v>
      </c>
      <c r="B14" s="53" t="n">
        <v>5.58</v>
      </c>
      <c r="C14" s="53" t="n">
        <v>11.13</v>
      </c>
      <c r="D14" s="53" t="n">
        <v>3.05</v>
      </c>
      <c r="F14" s="53" t="n">
        <f aca="false">F13/Assumptions!$B$5</f>
        <v>4.41857271625</v>
      </c>
      <c r="G14" s="53" t="n">
        <f aca="false">G13/Assumptions!$B$5</f>
        <v>6.2815500821875</v>
      </c>
      <c r="H14" s="53" t="n">
        <f aca="false">H13/Assumptions!$B$5</f>
        <v>8.368457179414</v>
      </c>
      <c r="I14" s="53" t="n">
        <f aca="false">I13/Assumptions!$B$5</f>
        <v>10.1506895976366</v>
      </c>
      <c r="J14" s="53" t="n">
        <f aca="false">J13/Assumptions!$B$5</f>
        <v>12.0596637737359</v>
      </c>
    </row>
    <row r="16" customFormat="false" ht="15" hidden="false" customHeight="false" outlineLevel="0" collapsed="false">
      <c r="A16" s="14" t="s">
        <v>167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5" min="5" style="0" width="4"/>
    <col collapsed="false" customWidth="true" hidden="false" outlineLevel="0" max="10" min="6" style="0" width="12"/>
  </cols>
  <sheetData>
    <row r="1" customFormat="false" ht="16.15" hidden="false" customHeight="false" outlineLevel="0" collapsed="false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16" t="s">
        <v>156</v>
      </c>
      <c r="C3" s="16" t="s">
        <v>157</v>
      </c>
      <c r="D3" s="16" t="s">
        <v>158</v>
      </c>
      <c r="E3" s="50"/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customFormat="false" ht="15" hidden="false" customHeight="false" outlineLevel="0" collapsed="false">
      <c r="A4" s="3" t="s">
        <v>169</v>
      </c>
      <c r="C4" s="43" t="n">
        <v>352.2</v>
      </c>
      <c r="D4" s="43" t="n">
        <v>314</v>
      </c>
      <c r="F4" s="18" t="n">
        <v>320</v>
      </c>
      <c r="G4" s="18" t="n">
        <v>360</v>
      </c>
      <c r="H4" s="18" t="n">
        <v>400</v>
      </c>
      <c r="I4" s="18" t="n">
        <v>440</v>
      </c>
      <c r="J4" s="18" t="n">
        <v>480</v>
      </c>
    </row>
    <row r="5" customFormat="false" ht="15" hidden="false" customHeight="false" outlineLevel="0" collapsed="false">
      <c r="A5" s="3" t="s">
        <v>170</v>
      </c>
      <c r="C5" s="43" t="n">
        <v>2543.4</v>
      </c>
      <c r="D5" s="43" t="n">
        <v>2880.3</v>
      </c>
      <c r="F5" s="43" t="n">
        <f aca="false">2880.3*(1+Assumptions!B17)</f>
        <v>3225.936</v>
      </c>
      <c r="G5" s="43" t="n">
        <f aca="false">F5*(1+Assumptions!C17)</f>
        <v>3645.30768</v>
      </c>
      <c r="H5" s="43" t="n">
        <f aca="false">G5*(1+Assumptions!D17)</f>
        <v>4082.7446016</v>
      </c>
      <c r="I5" s="43" t="n">
        <f aca="false">H5*(1+Assumptions!E17)</f>
        <v>4531.846507776</v>
      </c>
      <c r="J5" s="43" t="n">
        <f aca="false">I5*(1+Assumptions!F17)</f>
        <v>4985.0311585536</v>
      </c>
    </row>
    <row r="6" customFormat="false" ht="15" hidden="false" customHeight="false" outlineLevel="0" collapsed="false">
      <c r="A6" s="3" t="s">
        <v>171</v>
      </c>
      <c r="C6" s="43" t="n">
        <v>1443.9</v>
      </c>
      <c r="D6" s="43" t="n">
        <v>1659.3</v>
      </c>
      <c r="F6" s="43" t="n">
        <f aca="false">1659.3*(1+Assumptions!B17)</f>
        <v>1858.416</v>
      </c>
      <c r="G6" s="43" t="n">
        <f aca="false">F6*(1+Assumptions!C17)</f>
        <v>2100.01008</v>
      </c>
      <c r="H6" s="43" t="n">
        <f aca="false">G6*(1+Assumptions!D17)</f>
        <v>2352.0112896</v>
      </c>
      <c r="I6" s="43" t="n">
        <f aca="false">H6*(1+Assumptions!E17)</f>
        <v>2610.732531456</v>
      </c>
      <c r="J6" s="43" t="n">
        <f aca="false">I6*(1+Assumptions!F17)</f>
        <v>2871.8057846016</v>
      </c>
    </row>
    <row r="7" customFormat="false" ht="15" hidden="false" customHeight="false" outlineLevel="0" collapsed="false">
      <c r="A7" s="10" t="s">
        <v>172</v>
      </c>
      <c r="C7" s="43" t="n">
        <v>4339.5</v>
      </c>
      <c r="D7" s="43" t="n">
        <v>4853.6</v>
      </c>
      <c r="F7" s="52" t="n">
        <f aca="false">F4+F5+F6</f>
        <v>5404.352</v>
      </c>
      <c r="G7" s="52" t="n">
        <f aca="false">G4+G5+G6</f>
        <v>6105.31776</v>
      </c>
      <c r="H7" s="52" t="n">
        <f aca="false">H4+H5+H6</f>
        <v>6834.7558912</v>
      </c>
      <c r="I7" s="52" t="n">
        <f aca="false">I4+I5+I6</f>
        <v>7582.579039232</v>
      </c>
      <c r="J7" s="52" t="n">
        <f aca="false">J4+J5+J6</f>
        <v>8336.8369431552</v>
      </c>
    </row>
    <row r="8" customFormat="false" ht="15" hidden="false" customHeight="false" outlineLevel="0" collapsed="false">
      <c r="A8" s="3" t="s">
        <v>173</v>
      </c>
      <c r="C8" s="43" t="n">
        <v>3322.4</v>
      </c>
      <c r="D8" s="43" t="n">
        <v>3586</v>
      </c>
      <c r="F8" s="43" t="n">
        <f aca="false">3586+Assumptions!B20-Assumptions!B19</f>
        <v>3971</v>
      </c>
      <c r="G8" s="43" t="n">
        <f aca="false">F8+Assumptions!C20-Assumptions!C19</f>
        <v>4171</v>
      </c>
      <c r="H8" s="43" t="n">
        <f aca="false">G8+Assumptions!D20-Assumptions!D19</f>
        <v>4311</v>
      </c>
      <c r="I8" s="43" t="n">
        <f aca="false">H8+Assumptions!E20-Assumptions!E19</f>
        <v>4431</v>
      </c>
      <c r="J8" s="43" t="n">
        <f aca="false">I8+Assumptions!F20-Assumptions!F19</f>
        <v>4531</v>
      </c>
    </row>
    <row r="9" customFormat="false" ht="15" hidden="false" customHeight="false" outlineLevel="0" collapsed="false">
      <c r="A9" s="3" t="s">
        <v>174</v>
      </c>
      <c r="C9" s="43" t="n">
        <v>85.5</v>
      </c>
      <c r="D9" s="43" t="n">
        <v>97.5</v>
      </c>
      <c r="F9" s="18" t="n">
        <v>97.5</v>
      </c>
      <c r="G9" s="18" t="n">
        <v>97.5</v>
      </c>
      <c r="H9" s="18" t="n">
        <v>97.5</v>
      </c>
      <c r="I9" s="18" t="n">
        <v>97.5</v>
      </c>
      <c r="J9" s="18" t="n">
        <v>97.5</v>
      </c>
    </row>
    <row r="10" customFormat="false" ht="15" hidden="false" customHeight="false" outlineLevel="0" collapsed="false">
      <c r="A10" s="10" t="s">
        <v>175</v>
      </c>
      <c r="C10" s="43" t="n">
        <v>7747.4</v>
      </c>
      <c r="D10" s="43" t="n">
        <v>8537</v>
      </c>
      <c r="F10" s="52" t="n">
        <f aca="false">F7+F8+F9</f>
        <v>9472.852</v>
      </c>
      <c r="G10" s="52" t="n">
        <f aca="false">G7+G8+G9</f>
        <v>10373.81776</v>
      </c>
      <c r="H10" s="52" t="n">
        <f aca="false">H7+H8+H9</f>
        <v>11243.2558912</v>
      </c>
      <c r="I10" s="52" t="n">
        <f aca="false">I7+I8+I9</f>
        <v>12111.079039232</v>
      </c>
      <c r="J10" s="52" t="n">
        <f aca="false">J7+J8+J9</f>
        <v>12965.3369431552</v>
      </c>
    </row>
    <row r="11" customFormat="false" ht="15" hidden="false" customHeight="false" outlineLevel="0" collapsed="false">
      <c r="A11" s="3" t="s">
        <v>176</v>
      </c>
      <c r="C11" s="43" t="n">
        <v>954.3</v>
      </c>
      <c r="D11" s="43" t="n">
        <v>1627.7</v>
      </c>
      <c r="F11" s="18" t="n">
        <v>1627.7</v>
      </c>
      <c r="G11" s="18" t="n">
        <v>1627.7</v>
      </c>
      <c r="H11" s="18" t="n">
        <v>1627.7</v>
      </c>
      <c r="I11" s="18" t="n">
        <v>1627.7</v>
      </c>
      <c r="J11" s="18" t="n">
        <v>1627.7</v>
      </c>
    </row>
    <row r="12" customFormat="false" ht="15" hidden="false" customHeight="false" outlineLevel="0" collapsed="false">
      <c r="A12" s="3" t="s">
        <v>177</v>
      </c>
      <c r="C12" s="43" t="n">
        <v>1791.7</v>
      </c>
      <c r="D12" s="43" t="n">
        <v>1668.1</v>
      </c>
      <c r="F12" s="43" t="n">
        <f aca="false">1668.1*(1+Assumptions!B17*0.6)</f>
        <v>1788.2032</v>
      </c>
      <c r="G12" s="43" t="n">
        <f aca="false">F12*(1+Assumptions!C17*0.6)</f>
        <v>1927.6830496</v>
      </c>
      <c r="H12" s="43" t="n">
        <f aca="false">G12*(1+Assumptions!D17*0.6)</f>
        <v>2066.4762291712</v>
      </c>
      <c r="I12" s="43" t="n">
        <f aca="false">H12*(1+Assumptions!E17*0.6)</f>
        <v>2202.8636602965</v>
      </c>
      <c r="J12" s="43" t="n">
        <f aca="false">I12*(1+Assumptions!F17*0.6)</f>
        <v>2335.03547991429</v>
      </c>
    </row>
    <row r="13" customFormat="false" ht="15" hidden="false" customHeight="false" outlineLevel="0" collapsed="false">
      <c r="A13" s="3" t="s">
        <v>178</v>
      </c>
      <c r="C13" s="43" t="n">
        <v>160.9</v>
      </c>
      <c r="D13" s="43" t="n">
        <v>260.1</v>
      </c>
      <c r="F13" s="18" t="n">
        <v>260.1</v>
      </c>
      <c r="G13" s="18" t="n">
        <v>260.1</v>
      </c>
      <c r="H13" s="18" t="n">
        <v>260.1</v>
      </c>
      <c r="I13" s="18" t="n">
        <v>260.1</v>
      </c>
      <c r="J13" s="18" t="n">
        <v>260.1</v>
      </c>
    </row>
    <row r="14" customFormat="false" ht="15" hidden="false" customHeight="false" outlineLevel="0" collapsed="false">
      <c r="A14" s="10" t="s">
        <v>179</v>
      </c>
      <c r="C14" s="43" t="n">
        <v>984</v>
      </c>
      <c r="D14" s="43" t="n">
        <v>875.2</v>
      </c>
      <c r="F14" s="18" t="n">
        <v>875.2</v>
      </c>
      <c r="G14" s="18" t="n">
        <v>875.2</v>
      </c>
      <c r="H14" s="18" t="n">
        <v>875.2</v>
      </c>
      <c r="I14" s="18" t="n">
        <v>875.2</v>
      </c>
      <c r="J14" s="18" t="n">
        <v>875.2</v>
      </c>
    </row>
    <row r="15" customFormat="false" ht="15" hidden="false" customHeight="false" outlineLevel="0" collapsed="false">
      <c r="A15" s="10" t="s">
        <v>180</v>
      </c>
      <c r="C15" s="43" t="n">
        <v>3890.8</v>
      </c>
      <c r="D15" s="43" t="n">
        <v>4431.2</v>
      </c>
      <c r="F15" s="52" t="n">
        <f aca="false">F11+F12+F13+F14</f>
        <v>4551.2032</v>
      </c>
      <c r="G15" s="52" t="n">
        <f aca="false">G11+G12+G13+G14</f>
        <v>4690.6830496</v>
      </c>
      <c r="H15" s="52" t="n">
        <f aca="false">H11+H12+H13+H14</f>
        <v>4829.4762291712</v>
      </c>
      <c r="I15" s="52" t="n">
        <f aca="false">I11+I12+I13+I14</f>
        <v>4965.8636602965</v>
      </c>
      <c r="J15" s="52" t="n">
        <f aca="false">J11+J12+J13+J14</f>
        <v>5098.03547991429</v>
      </c>
    </row>
    <row r="16" customFormat="false" ht="15" hidden="false" customHeight="false" outlineLevel="0" collapsed="false">
      <c r="A16" s="3" t="s">
        <v>181</v>
      </c>
      <c r="C16" s="43" t="n">
        <v>122</v>
      </c>
      <c r="D16" s="43" t="n">
        <v>128</v>
      </c>
      <c r="F16" s="18" t="n">
        <v>128</v>
      </c>
      <c r="G16" s="18" t="n">
        <v>128</v>
      </c>
      <c r="H16" s="18" t="n">
        <v>128</v>
      </c>
      <c r="I16" s="18" t="n">
        <v>128</v>
      </c>
      <c r="J16" s="18" t="n">
        <v>128</v>
      </c>
    </row>
    <row r="17" customFormat="false" ht="15" hidden="false" customHeight="false" outlineLevel="0" collapsed="false">
      <c r="A17" s="10" t="s">
        <v>182</v>
      </c>
      <c r="B17" s="43" t="n">
        <v>3200</v>
      </c>
      <c r="C17" s="43" t="n">
        <v>3734.6</v>
      </c>
      <c r="D17" s="43" t="n">
        <v>3977.8</v>
      </c>
      <c r="F17" s="51" t="n">
        <f aca="false">3977.8+'Income Statement'!F13</f>
        <v>4331.2858173</v>
      </c>
      <c r="G17" s="51" t="n">
        <f aca="false">F17+'Income Statement'!G13</f>
        <v>4833.809823875</v>
      </c>
      <c r="H17" s="51" t="n">
        <f aca="false">G17+'Income Statement'!H13</f>
        <v>5503.28639822812</v>
      </c>
      <c r="I17" s="51" t="n">
        <f aca="false">H17+'Income Statement'!I13</f>
        <v>6315.34156603905</v>
      </c>
      <c r="J17" s="51" t="n">
        <f aca="false">I17+'Income Statement'!J13</f>
        <v>7280.11466793792</v>
      </c>
    </row>
    <row r="19" customFormat="false" ht="15" hidden="false" customHeight="false" outlineLevel="0" collapsed="false">
      <c r="A19" s="14" t="s">
        <v>183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5" min="5" style="0" width="4"/>
    <col collapsed="false" customWidth="true" hidden="false" outlineLevel="0" max="10" min="6" style="0" width="12"/>
  </cols>
  <sheetData>
    <row r="1" customFormat="false" ht="16.15" hidden="false" customHeight="fals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16" t="s">
        <v>156</v>
      </c>
      <c r="C3" s="16" t="s">
        <v>157</v>
      </c>
      <c r="D3" s="16" t="s">
        <v>158</v>
      </c>
      <c r="E3" s="50"/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customFormat="false" ht="15" hidden="false" customHeight="false" outlineLevel="0" collapsed="false">
      <c r="A4" s="3" t="s">
        <v>92</v>
      </c>
      <c r="C4" s="43" t="n">
        <v>1330.1</v>
      </c>
      <c r="D4" s="43" t="n">
        <v>980.8</v>
      </c>
      <c r="F4" s="19" t="n">
        <f aca="false">'DCF — Primary Lens'!F7</f>
        <v>1958.38791429389</v>
      </c>
      <c r="G4" s="19" t="n">
        <f aca="false">'DCF — Primary Lens'!G7</f>
        <v>0</v>
      </c>
      <c r="H4" s="19" t="n">
        <f aca="false">'DCF — Primary Lens'!H7</f>
        <v>0</v>
      </c>
      <c r="I4" s="19" t="n">
        <f aca="false">'DCF — Primary Lens'!I7</f>
        <v>0</v>
      </c>
      <c r="J4" s="19" t="n">
        <f aca="false">'DCF — Primary Lens'!J7</f>
        <v>0</v>
      </c>
    </row>
    <row r="5" customFormat="false" ht="15" hidden="false" customHeight="false" outlineLevel="0" collapsed="false">
      <c r="A5" s="3" t="s">
        <v>185</v>
      </c>
      <c r="C5" s="43" t="n">
        <v>-317.5</v>
      </c>
      <c r="D5" s="43" t="n">
        <v>-706</v>
      </c>
      <c r="F5" s="19" t="n">
        <f aca="false">-Assumptions!B21</f>
        <v>-250</v>
      </c>
      <c r="G5" s="19" t="n">
        <f aca="false">-Assumptions!C21</f>
        <v>-300</v>
      </c>
      <c r="H5" s="19" t="n">
        <f aca="false">-Assumptions!D21</f>
        <v>-310</v>
      </c>
      <c r="I5" s="19" t="n">
        <f aca="false">-Assumptions!E21</f>
        <v>-320</v>
      </c>
      <c r="J5" s="19" t="n">
        <f aca="false">-Assumptions!F21</f>
        <v>-320</v>
      </c>
    </row>
    <row r="6" customFormat="false" ht="15" hidden="false" customHeight="false" outlineLevel="0" collapsed="false">
      <c r="A6" s="3" t="s">
        <v>186</v>
      </c>
      <c r="C6" s="43" t="n">
        <v>-201.4</v>
      </c>
      <c r="D6" s="43" t="n">
        <v>-328.4</v>
      </c>
      <c r="F6" s="43" t="n">
        <f aca="false">-'DCF — Primary Lens'!F9*Assumptions!$B$8</f>
        <v>-346.137280716125</v>
      </c>
      <c r="G6" s="43" t="n">
        <f aca="false">-'DCF — Primary Lens'!G9*Assumptions!$B$8</f>
        <v>-0</v>
      </c>
      <c r="H6" s="43" t="n">
        <f aca="false">-'DCF — Primary Lens'!H9*Assumptions!$B$8</f>
        <v>-0</v>
      </c>
      <c r="I6" s="43" t="n">
        <f aca="false">-'DCF — Primary Lens'!I9*Assumptions!$B$8</f>
        <v>-0</v>
      </c>
      <c r="J6" s="43" t="n">
        <f aca="false">-'DCF — Primary Lens'!J9*Assumptions!$B$8</f>
        <v>-0</v>
      </c>
    </row>
    <row r="7" customFormat="false" ht="15" hidden="false" customHeight="false" outlineLevel="0" collapsed="false">
      <c r="A7" s="3" t="s">
        <v>187</v>
      </c>
      <c r="C7" s="43" t="n">
        <v>-281.9</v>
      </c>
      <c r="D7" s="43" t="n">
        <v>-298.6</v>
      </c>
      <c r="F7" s="18" t="n">
        <v>-260</v>
      </c>
      <c r="G7" s="18" t="n">
        <v>-252</v>
      </c>
      <c r="H7" s="18" t="n">
        <v>-244</v>
      </c>
      <c r="I7" s="18" t="n">
        <v>-236</v>
      </c>
      <c r="J7" s="18" t="n">
        <v>-228</v>
      </c>
    </row>
    <row r="8" customFormat="false" ht="15" hidden="false" customHeight="false" outlineLevel="0" collapsed="false">
      <c r="A8" s="10" t="s">
        <v>188</v>
      </c>
      <c r="C8" s="43" t="n">
        <v>537.1</v>
      </c>
      <c r="D8" s="43" t="n">
        <v>-196</v>
      </c>
      <c r="F8" s="52" t="n">
        <f aca="false">F4+F5+F6+F7</f>
        <v>1102.25063357776</v>
      </c>
      <c r="G8" s="52" t="n">
        <f aca="false">G4+G5+G6+G7</f>
        <v>-552</v>
      </c>
      <c r="H8" s="52" t="n">
        <f aca="false">H4+H5+H6+H7</f>
        <v>-554</v>
      </c>
      <c r="I8" s="52" t="n">
        <f aca="false">I4+I5+I6+I7</f>
        <v>-556</v>
      </c>
      <c r="J8" s="52" t="n">
        <f aca="false">J4+J5+J6+J7</f>
        <v>-548</v>
      </c>
    </row>
    <row r="9" customFormat="false" ht="15" hidden="false" customHeight="false" outlineLevel="0" collapsed="false">
      <c r="A9" s="3" t="s">
        <v>189</v>
      </c>
      <c r="C9" s="43" t="n">
        <v>-285</v>
      </c>
      <c r="D9" s="43" t="n">
        <v>-466.8</v>
      </c>
      <c r="F9" s="19" t="n">
        <f aca="false">-Assumptions!B20</f>
        <v>-650</v>
      </c>
      <c r="G9" s="19" t="n">
        <f aca="false">-Assumptions!C20</f>
        <v>-500</v>
      </c>
      <c r="H9" s="19" t="n">
        <f aca="false">-Assumptions!D20</f>
        <v>-480</v>
      </c>
      <c r="I9" s="19" t="n">
        <f aca="false">-Assumptions!E20</f>
        <v>-500</v>
      </c>
      <c r="J9" s="19" t="n">
        <f aca="false">-Assumptions!F20</f>
        <v>-520</v>
      </c>
    </row>
    <row r="10" customFormat="false" ht="15" hidden="false" customHeight="false" outlineLevel="0" collapsed="false">
      <c r="A10" s="10" t="s">
        <v>190</v>
      </c>
      <c r="C10" s="43" t="n">
        <v>252.1</v>
      </c>
      <c r="D10" s="43" t="n">
        <v>-662.8</v>
      </c>
      <c r="F10" s="51" t="n">
        <f aca="false">'DCF — Primary Lens'!F14</f>
        <v>772.250633577763</v>
      </c>
      <c r="G10" s="51" t="n">
        <f aca="false">'DCF — Primary Lens'!G14</f>
        <v>0</v>
      </c>
      <c r="H10" s="51" t="n">
        <f aca="false">'DCF — Primary Lens'!H14</f>
        <v>0</v>
      </c>
      <c r="I10" s="51" t="n">
        <f aca="false">'DCF — Primary Lens'!I14</f>
        <v>0</v>
      </c>
      <c r="J10" s="51" t="n">
        <f aca="false">'DCF — Primary Lens'!J14</f>
        <v>0</v>
      </c>
    </row>
    <row r="12" customFormat="false" ht="15" hidden="false" customHeight="false" outlineLevel="0" collapsed="false">
      <c r="A12" s="14" t="s">
        <v>191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4"/>
    <col collapsed="false" customWidth="true" hidden="false" outlineLevel="0" max="10" min="6" style="0" width="12"/>
  </cols>
  <sheetData>
    <row r="1" customFormat="false" ht="16.15" hidden="false" customHeight="false" outlineLevel="0" collapsed="false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16" t="s">
        <v>156</v>
      </c>
      <c r="C3" s="16" t="s">
        <v>157</v>
      </c>
      <c r="D3" s="16" t="s">
        <v>158</v>
      </c>
      <c r="E3" s="50"/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customFormat="false" ht="15" hidden="false" customHeight="false" outlineLevel="0" collapsed="false">
      <c r="A4" s="3" t="s">
        <v>91</v>
      </c>
      <c r="B4" s="19" t="n">
        <f aca="false">'Income Statement'!B4</f>
        <v>4844</v>
      </c>
      <c r="C4" s="19" t="n">
        <f aca="false">'Income Statement'!C4</f>
        <v>6644.7</v>
      </c>
      <c r="D4" s="19" t="n">
        <f aca="false">'Income Statement'!D4</f>
        <v>7803.7</v>
      </c>
      <c r="F4" s="19" t="n">
        <f aca="false">'Income Statement'!F4</f>
        <v>8740.144</v>
      </c>
      <c r="G4" s="19" t="n">
        <f aca="false">'Income Statement'!G4</f>
        <v>9876.36272</v>
      </c>
      <c r="H4" s="19" t="n">
        <f aca="false">'Income Statement'!H4</f>
        <v>11061.5262464</v>
      </c>
      <c r="I4" s="19" t="n">
        <f aca="false">'Income Statement'!I4</f>
        <v>12278.294133504</v>
      </c>
    </row>
    <row r="5" customFormat="false" ht="15" hidden="false" customHeight="false" outlineLevel="0" collapsed="false">
      <c r="A5" s="3" t="s">
        <v>92</v>
      </c>
      <c r="B5" s="19" t="n">
        <f aca="false">'Income Statement'!B5</f>
        <v>0</v>
      </c>
      <c r="C5" s="19" t="n">
        <f aca="false">'Income Statement'!C5</f>
        <v>1330.1</v>
      </c>
      <c r="D5" s="19" t="n">
        <f aca="false">'Income Statement'!D5</f>
        <v>980.8</v>
      </c>
      <c r="F5" s="19" t="n">
        <f aca="false">'Income Statement'!F5</f>
        <v>1005.11656</v>
      </c>
      <c r="G5" s="19" t="n">
        <f aca="false">'Income Statement'!G5</f>
        <v>1234.54534</v>
      </c>
      <c r="H5" s="19" t="n">
        <f aca="false">'Income Statement'!H5</f>
        <v>1493.306043264</v>
      </c>
      <c r="I5" s="19" t="n">
        <f aca="false">'Income Statement'!I5</f>
        <v>1718.96117869056</v>
      </c>
    </row>
    <row r="6" customFormat="false" ht="15" hidden="false" customHeight="false" outlineLevel="0" collapsed="false">
      <c r="A6" s="3" t="s">
        <v>94</v>
      </c>
      <c r="B6" s="19" t="n">
        <f aca="false">'Income Statement'!B7</f>
        <v>941.1</v>
      </c>
      <c r="C6" s="19" t="n">
        <f aca="false">'Income Statement'!C7</f>
        <v>1151</v>
      </c>
      <c r="D6" s="19" t="n">
        <f aca="false">'Income Statement'!D7</f>
        <v>742.6</v>
      </c>
      <c r="F6" s="19" t="n">
        <f aca="false">'Income Statement'!F7</f>
        <v>740.11656</v>
      </c>
      <c r="G6" s="19" t="n">
        <f aca="false">'Income Statement'!G7</f>
        <v>934.54534</v>
      </c>
      <c r="H6" s="19" t="n">
        <f aca="false">'Income Statement'!H7</f>
        <v>1153.306043264</v>
      </c>
      <c r="I6" s="19" t="n">
        <f aca="false">'Income Statement'!I7</f>
        <v>1338.96117869056</v>
      </c>
    </row>
    <row r="7" customFormat="false" ht="15" hidden="false" customHeight="false" outlineLevel="0" collapsed="false">
      <c r="A7" s="3" t="s">
        <v>165</v>
      </c>
      <c r="B7" s="19" t="n">
        <f aca="false">'Income Statement'!B13</f>
        <v>446.3</v>
      </c>
      <c r="C7" s="19" t="n">
        <f aca="false">'Income Statement'!C13</f>
        <v>890.3</v>
      </c>
      <c r="D7" s="19" t="n">
        <f aca="false">'Income Statement'!D13</f>
        <v>244.1</v>
      </c>
      <c r="F7" s="19" t="n">
        <f aca="false">'Income Statement'!F13</f>
        <v>353.4858173</v>
      </c>
      <c r="G7" s="19" t="n">
        <f aca="false">'Income Statement'!G13</f>
        <v>502.524006575</v>
      </c>
      <c r="H7" s="19" t="n">
        <f aca="false">'Income Statement'!H13</f>
        <v>669.47657435312</v>
      </c>
      <c r="I7" s="19" t="n">
        <f aca="false">'Income Statement'!I13</f>
        <v>812.055167810925</v>
      </c>
    </row>
    <row r="8" customFormat="false" ht="15" hidden="false" customHeight="false" outlineLevel="0" collapsed="false">
      <c r="A8" s="3" t="s">
        <v>166</v>
      </c>
      <c r="B8" s="40" t="n">
        <f aca="false">'Income Statement'!B14</f>
        <v>5.58</v>
      </c>
      <c r="C8" s="40" t="n">
        <f aca="false">'Income Statement'!C14</f>
        <v>11.13</v>
      </c>
      <c r="D8" s="40" t="n">
        <f aca="false">'Income Statement'!D14</f>
        <v>3.05</v>
      </c>
      <c r="F8" s="40" t="n">
        <f aca="false">'Income Statement'!F14</f>
        <v>4.41857271625</v>
      </c>
      <c r="G8" s="40" t="n">
        <f aca="false">'Income Statement'!G14</f>
        <v>6.2815500821875</v>
      </c>
      <c r="H8" s="40" t="n">
        <f aca="false">'Income Statement'!H14</f>
        <v>8.368457179414</v>
      </c>
      <c r="I8" s="40" t="n">
        <f aca="false">'Income Statement'!I14</f>
        <v>10.1506895976366</v>
      </c>
    </row>
    <row r="9" customFormat="false" ht="15" hidden="false" customHeight="false" outlineLevel="0" collapsed="false">
      <c r="A9" s="3" t="s">
        <v>175</v>
      </c>
      <c r="B9" s="19" t="n">
        <f aca="false">'Balance Sheet'!B7</f>
        <v>0</v>
      </c>
      <c r="C9" s="19" t="n">
        <f aca="false">'Balance Sheet'!C7</f>
        <v>4339.5</v>
      </c>
      <c r="D9" s="19" t="n">
        <f aca="false">'Balance Sheet'!D7</f>
        <v>4853.6</v>
      </c>
      <c r="F9" s="19" t="n">
        <f aca="false">'Balance Sheet'!F7</f>
        <v>5404.352</v>
      </c>
      <c r="G9" s="19" t="n">
        <f aca="false">'Balance Sheet'!G7</f>
        <v>6105.31776</v>
      </c>
      <c r="H9" s="19" t="n">
        <f aca="false">'Balance Sheet'!H7</f>
        <v>6834.7558912</v>
      </c>
      <c r="I9" s="19" t="n">
        <f aca="false">'Balance Sheet'!I7</f>
        <v>7582.579039232</v>
      </c>
    </row>
    <row r="10" customFormat="false" ht="15" hidden="false" customHeight="false" outlineLevel="0" collapsed="false">
      <c r="A10" s="3" t="s">
        <v>193</v>
      </c>
      <c r="B10" s="19" t="n">
        <f aca="false">'Balance Sheet'!B17</f>
        <v>3200</v>
      </c>
      <c r="C10" s="19" t="n">
        <f aca="false">'Balance Sheet'!C17</f>
        <v>3734.6</v>
      </c>
      <c r="D10" s="19" t="n">
        <f aca="false">'Balance Sheet'!D17</f>
        <v>3977.8</v>
      </c>
      <c r="F10" s="19" t="n">
        <f aca="false">'Balance Sheet'!F17</f>
        <v>4331.2858173</v>
      </c>
      <c r="G10" s="19" t="n">
        <f aca="false">'Balance Sheet'!G17</f>
        <v>4833.809823875</v>
      </c>
      <c r="H10" s="19" t="n">
        <f aca="false">'Balance Sheet'!H17</f>
        <v>5503.28639822812</v>
      </c>
      <c r="I10" s="19" t="n">
        <f aca="false">'Balance Sheet'!I17</f>
        <v>6315.34156603905</v>
      </c>
    </row>
    <row r="11" customFormat="false" ht="15" hidden="false" customHeight="false" outlineLevel="0" collapsed="false">
      <c r="A11" s="3" t="s">
        <v>188</v>
      </c>
      <c r="B11" s="19" t="n">
        <f aca="false">'Cash Flow'!B8</f>
        <v>0</v>
      </c>
      <c r="C11" s="19" t="n">
        <f aca="false">'Cash Flow'!C8</f>
        <v>537.1</v>
      </c>
      <c r="D11" s="19" t="n">
        <f aca="false">'Cash Flow'!D8</f>
        <v>-196</v>
      </c>
      <c r="F11" s="19" t="n">
        <f aca="false">'Cash Flow'!F8</f>
        <v>1102.25063357776</v>
      </c>
      <c r="G11" s="19" t="n">
        <f aca="false">'Cash Flow'!G8</f>
        <v>-552</v>
      </c>
      <c r="H11" s="19" t="n">
        <f aca="false">'Cash Flow'!H8</f>
        <v>-554</v>
      </c>
      <c r="I11" s="19" t="n">
        <f aca="false">'Cash Flow'!I8</f>
        <v>-556</v>
      </c>
    </row>
    <row r="12" customFormat="false" ht="15" hidden="false" customHeight="false" outlineLevel="0" collapsed="false">
      <c r="A12" s="3" t="s">
        <v>194</v>
      </c>
      <c r="B12" s="19" t="n">
        <f aca="false">'Cash Flow'!B10</f>
        <v>0</v>
      </c>
      <c r="C12" s="19" t="n">
        <f aca="false">'Cash Flow'!C10</f>
        <v>252.1</v>
      </c>
      <c r="D12" s="19" t="n">
        <f aca="false">'Cash Flow'!D10</f>
        <v>-662.8</v>
      </c>
      <c r="F12" s="19" t="n">
        <f aca="false">'Cash Flow'!F10</f>
        <v>772.250633577763</v>
      </c>
      <c r="G12" s="19" t="n">
        <f aca="false">'Cash Flow'!G10</f>
        <v>0</v>
      </c>
      <c r="H12" s="19" t="n">
        <f aca="false">'Cash Flow'!H10</f>
        <v>0</v>
      </c>
      <c r="I12" s="19" t="n">
        <f aca="false">'Cash Flow'!I10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195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4" t="s">
        <v>196</v>
      </c>
      <c r="B3" s="24"/>
      <c r="C3" s="24"/>
      <c r="D3" s="24"/>
      <c r="E3" s="24"/>
      <c r="F3" s="24"/>
    </row>
    <row r="4" customFormat="false" ht="15" hidden="false" customHeight="false" outlineLevel="0" collapsed="false">
      <c r="A4" s="3" t="s">
        <v>197</v>
      </c>
      <c r="B4" s="54" t="n">
        <v>0.604</v>
      </c>
    </row>
    <row r="5" customFormat="false" ht="15" hidden="false" customHeight="false" outlineLevel="0" collapsed="false">
      <c r="A5" s="3" t="s">
        <v>198</v>
      </c>
      <c r="B5" s="55" t="s">
        <v>199</v>
      </c>
    </row>
    <row r="6" customFormat="false" ht="15" hidden="false" customHeight="false" outlineLevel="0" collapsed="false">
      <c r="A6" s="3" t="s">
        <v>200</v>
      </c>
      <c r="B6" s="55" t="s">
        <v>201</v>
      </c>
    </row>
    <row r="7" customFormat="false" ht="15" hidden="false" customHeight="false" outlineLevel="0" collapsed="false">
      <c r="A7" s="3" t="s">
        <v>202</v>
      </c>
      <c r="B7" s="55" t="s">
        <v>203</v>
      </c>
    </row>
    <row r="8" customFormat="false" ht="15" hidden="false" customHeight="false" outlineLevel="0" collapsed="false">
      <c r="A8" s="3" t="s">
        <v>204</v>
      </c>
      <c r="B8" s="55" t="s">
        <v>205</v>
      </c>
    </row>
    <row r="9" customFormat="false" ht="15" hidden="false" customHeight="false" outlineLevel="0" collapsed="false">
      <c r="A9" s="3" t="s">
        <v>206</v>
      </c>
      <c r="B9" s="55" t="s">
        <v>207</v>
      </c>
    </row>
    <row r="11" customFormat="false" ht="15" hidden="false" customHeight="false" outlineLevel="0" collapsed="false">
      <c r="A11" s="24" t="s">
        <v>208</v>
      </c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15" t="s">
        <v>209</v>
      </c>
      <c r="B12" s="16" t="s">
        <v>210</v>
      </c>
      <c r="C12" s="16" t="s">
        <v>211</v>
      </c>
      <c r="D12" s="16" t="s">
        <v>212</v>
      </c>
      <c r="E12" s="16" t="s">
        <v>213</v>
      </c>
      <c r="F12" s="16" t="s">
        <v>214</v>
      </c>
    </row>
    <row r="13" customFormat="false" ht="15" hidden="false" customHeight="false" outlineLevel="0" collapsed="false">
      <c r="A13" s="3" t="s">
        <v>215</v>
      </c>
      <c r="B13" s="43" t="n">
        <v>24.285720898198</v>
      </c>
      <c r="C13" s="43" t="n">
        <v>27.7575371207772</v>
      </c>
      <c r="D13" s="43" t="n">
        <v>29.9925647044384</v>
      </c>
      <c r="E13" s="43" t="n">
        <v>32.3836205522115</v>
      </c>
      <c r="F13" s="43" t="n">
        <v>36.9816780719048</v>
      </c>
    </row>
    <row r="14" customFormat="false" ht="15" hidden="false" customHeight="false" outlineLevel="0" collapsed="false">
      <c r="A14" s="3" t="s">
        <v>216</v>
      </c>
      <c r="B14" s="43" t="n">
        <v>21.6917674794634</v>
      </c>
      <c r="C14" s="43" t="n">
        <v>27.0723190854623</v>
      </c>
      <c r="D14" s="43" t="n">
        <v>31.0119475322793</v>
      </c>
      <c r="E14" s="43" t="n">
        <v>35.5375064731847</v>
      </c>
      <c r="F14" s="43" t="n">
        <v>44.3704769697686</v>
      </c>
    </row>
    <row r="16" customFormat="false" ht="15" hidden="false" customHeight="false" outlineLevel="0" collapsed="false">
      <c r="A16" s="24" t="s">
        <v>217</v>
      </c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15" t="s">
        <v>218</v>
      </c>
      <c r="B17" s="16" t="s">
        <v>219</v>
      </c>
      <c r="C17" s="16" t="s">
        <v>220</v>
      </c>
    </row>
    <row r="18" customFormat="false" ht="15" hidden="false" customHeight="false" outlineLevel="0" collapsed="false">
      <c r="A18" s="49" t="n">
        <v>35.34</v>
      </c>
      <c r="B18" s="33" t="n">
        <v>0.13546</v>
      </c>
      <c r="C18" s="33" t="n">
        <v>0.413</v>
      </c>
    </row>
    <row r="19" customFormat="false" ht="15" hidden="false" customHeight="false" outlineLevel="0" collapsed="false">
      <c r="A19" s="49" t="n">
        <v>32.98</v>
      </c>
      <c r="B19" s="33" t="n">
        <v>0.31802</v>
      </c>
      <c r="C19" s="33" t="n">
        <v>0.6084</v>
      </c>
    </row>
    <row r="20" customFormat="false" ht="15" hidden="false" customHeight="false" outlineLevel="0" collapsed="false">
      <c r="A20" s="49" t="n">
        <v>30.92</v>
      </c>
      <c r="B20" s="33" t="n">
        <v>0.62022</v>
      </c>
      <c r="C20" s="33" t="n">
        <v>0.8043</v>
      </c>
    </row>
    <row r="21" customFormat="false" ht="15" hidden="false" customHeight="false" outlineLevel="0" collapsed="false">
      <c r="A21" s="49" t="n">
        <v>28.86</v>
      </c>
      <c r="B21" s="33" t="n">
        <v>0.70218</v>
      </c>
      <c r="C21" s="33" t="n">
        <v>0.80218</v>
      </c>
    </row>
    <row r="22" customFormat="false" ht="15" hidden="false" customHeight="false" outlineLevel="0" collapsed="false">
      <c r="A22" s="49" t="n">
        <v>26.5</v>
      </c>
      <c r="B22" s="33" t="n">
        <v>0.25788</v>
      </c>
      <c r="C22" s="33" t="n">
        <v>0.45626</v>
      </c>
    </row>
    <row r="23" customFormat="false" ht="15" hidden="false" customHeight="false" outlineLevel="0" collapsed="false">
      <c r="A23" s="49" t="n">
        <v>24.44</v>
      </c>
      <c r="B23" s="33" t="n">
        <v>0.0895</v>
      </c>
      <c r="C23" s="33" t="n">
        <v>0.2516</v>
      </c>
    </row>
    <row r="24" customFormat="false" ht="15" hidden="false" customHeight="false" outlineLevel="0" collapsed="false">
      <c r="A24" s="49" t="n">
        <v>22.09</v>
      </c>
      <c r="B24" s="33" t="n">
        <v>0.02324</v>
      </c>
      <c r="C24" s="33" t="n">
        <v>0.11262</v>
      </c>
    </row>
    <row r="26" customFormat="false" ht="15" hidden="false" customHeight="false" outlineLevel="0" collapsed="false">
      <c r="A26" s="14" t="s">
        <v>221</v>
      </c>
    </row>
  </sheetData>
  <mergeCells count="4">
    <mergeCell ref="A1:F1"/>
    <mergeCell ref="A3:F3"/>
    <mergeCell ref="A11:F1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222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6" t="s">
        <v>223</v>
      </c>
      <c r="B3" s="56" t="n">
        <v>0.09</v>
      </c>
      <c r="C3" s="56" t="n">
        <v>0.1</v>
      </c>
      <c r="D3" s="56" t="n">
        <v>0.11</v>
      </c>
      <c r="E3" s="56" t="n">
        <v>0.12</v>
      </c>
      <c r="F3" s="56" t="n">
        <v>0.13</v>
      </c>
    </row>
    <row r="4" customFormat="false" ht="15" hidden="false" customHeight="false" outlineLevel="0" collapsed="false">
      <c r="A4" s="54" t="n">
        <v>0.19</v>
      </c>
      <c r="B4" s="43" t="n">
        <v>40.62</v>
      </c>
      <c r="C4" s="43" t="n">
        <v>45.97</v>
      </c>
      <c r="D4" s="43" t="n">
        <v>52.65</v>
      </c>
      <c r="E4" s="43" t="n">
        <v>61.25</v>
      </c>
      <c r="F4" s="43" t="n">
        <v>72.71</v>
      </c>
    </row>
    <row r="5" customFormat="false" ht="15" hidden="false" customHeight="false" outlineLevel="0" collapsed="false">
      <c r="A5" s="54" t="n">
        <v>0.2</v>
      </c>
      <c r="B5" s="43" t="n">
        <v>34.57</v>
      </c>
      <c r="C5" s="43" t="n">
        <v>38.8</v>
      </c>
      <c r="D5" s="43" t="n">
        <v>43.97</v>
      </c>
      <c r="E5" s="43" t="n">
        <v>50.44</v>
      </c>
      <c r="F5" s="43" t="n">
        <v>58.75</v>
      </c>
    </row>
    <row r="6" customFormat="false" ht="15" hidden="false" customHeight="false" outlineLevel="0" collapsed="false">
      <c r="A6" s="54" t="n">
        <v>0.21</v>
      </c>
      <c r="B6" s="57" t="n">
        <v>29.55</v>
      </c>
      <c r="C6" s="43" t="n">
        <v>32.96</v>
      </c>
      <c r="D6" s="43" t="n">
        <v>37.06</v>
      </c>
      <c r="E6" s="43" t="n">
        <v>42.06</v>
      </c>
      <c r="F6" s="43" t="n">
        <v>48.32</v>
      </c>
    </row>
    <row r="7" customFormat="false" ht="15" hidden="false" customHeight="false" outlineLevel="0" collapsed="false">
      <c r="A7" s="54" t="n">
        <v>0.22</v>
      </c>
      <c r="B7" s="43" t="n">
        <v>25.33</v>
      </c>
      <c r="C7" s="57" t="n">
        <v>28.12</v>
      </c>
      <c r="D7" s="57" t="n">
        <v>31.42</v>
      </c>
      <c r="E7" s="43" t="n">
        <v>35.38</v>
      </c>
      <c r="F7" s="43" t="n">
        <v>40.23</v>
      </c>
    </row>
    <row r="8" customFormat="false" ht="15" hidden="false" customHeight="false" outlineLevel="0" collapsed="false">
      <c r="A8" s="54" t="n">
        <v>0.23</v>
      </c>
      <c r="B8" s="43" t="n">
        <v>21.72</v>
      </c>
      <c r="C8" s="43" t="n">
        <v>24.04</v>
      </c>
      <c r="D8" s="57" t="n">
        <v>26.75</v>
      </c>
      <c r="E8" s="57" t="n">
        <v>29.94</v>
      </c>
      <c r="F8" s="43" t="n">
        <v>33.78</v>
      </c>
    </row>
    <row r="10" customFormat="false" ht="15" hidden="false" customHeight="false" outlineLevel="0" collapsed="false">
      <c r="A10" s="14" t="s">
        <v>224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4"/>
    <col collapsed="false" customWidth="true" hidden="false" outlineLevel="0" max="10" min="6" style="0" width="12"/>
  </cols>
  <sheetData>
    <row r="1" customFormat="false" ht="16.15" hidden="false" customHeight="fals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16" t="s">
        <v>156</v>
      </c>
      <c r="C3" s="16" t="s">
        <v>157</v>
      </c>
      <c r="D3" s="16" t="s">
        <v>158</v>
      </c>
      <c r="E3" s="50"/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customFormat="false" ht="15" hidden="false" customHeight="false" outlineLevel="0" collapsed="false">
      <c r="A4" s="3" t="s">
        <v>166</v>
      </c>
      <c r="B4" s="53" t="n">
        <v>5.58</v>
      </c>
      <c r="C4" s="53" t="n">
        <v>11.13</v>
      </c>
      <c r="D4" s="53" t="n">
        <v>3.05</v>
      </c>
      <c r="F4" s="40" t="n">
        <f aca="false">'Income Statement'!F14</f>
        <v>4.41857271625</v>
      </c>
      <c r="G4" s="40" t="n">
        <f aca="false">'Income Statement'!G14</f>
        <v>6.2815500821875</v>
      </c>
      <c r="H4" s="40" t="n">
        <f aca="false">'Income Statement'!H14</f>
        <v>8.368457179414</v>
      </c>
      <c r="I4" s="40" t="n">
        <f aca="false">'Income Statement'!I14</f>
        <v>10.1506895976366</v>
      </c>
      <c r="J4" s="40" t="n">
        <f aca="false">'Income Statement'!J14</f>
        <v>12.0596637737359</v>
      </c>
    </row>
    <row r="5" customFormat="false" ht="15" hidden="false" customHeight="false" outlineLevel="0" collapsed="false">
      <c r="A5" s="3" t="s">
        <v>226</v>
      </c>
      <c r="B5" s="53" t="n">
        <v>40</v>
      </c>
      <c r="C5" s="53" t="n">
        <v>46.7</v>
      </c>
      <c r="D5" s="53" t="n">
        <v>49.7</v>
      </c>
      <c r="F5" s="40" t="n">
        <f aca="false">'Balance Sheet'!F17/Assumptions!$B$5</f>
        <v>54.14107271625</v>
      </c>
      <c r="G5" s="40" t="n">
        <f aca="false">'Balance Sheet'!G17/Assumptions!$B$5</f>
        <v>60.4226227984375</v>
      </c>
      <c r="H5" s="40" t="n">
        <f aca="false">'Balance Sheet'!H17/Assumptions!$B$5</f>
        <v>68.7910799778515</v>
      </c>
      <c r="I5" s="40" t="n">
        <f aca="false">'Balance Sheet'!I17/Assumptions!$B$5</f>
        <v>78.9417695754881</v>
      </c>
      <c r="J5" s="40" t="n">
        <f aca="false">'Balance Sheet'!J17/Assumptions!$B$5</f>
        <v>91.001433349224</v>
      </c>
    </row>
    <row r="6" customFormat="false" ht="15" hidden="false" customHeight="false" outlineLevel="0" collapsed="false">
      <c r="A6" s="3" t="s">
        <v>227</v>
      </c>
      <c r="B6" s="58" t="n">
        <f aca="false">Assumptions!$B$4/B4</f>
        <v>5.27777777777778</v>
      </c>
      <c r="C6" s="58" t="n">
        <f aca="false">Assumptions!$B$4/C4</f>
        <v>2.64600179694519</v>
      </c>
      <c r="D6" s="58" t="n">
        <f aca="false">Assumptions!$B$4/D4</f>
        <v>9.65573770491803</v>
      </c>
      <c r="F6" s="58" t="n">
        <f aca="false">Assumptions!$B$4/F4</f>
        <v>6.66504817080252</v>
      </c>
      <c r="G6" s="58" t="n">
        <f aca="false">Assumptions!$B$4/G4</f>
        <v>4.68833323219231</v>
      </c>
      <c r="H6" s="58" t="n">
        <f aca="false">Assumptions!$B$4/H4</f>
        <v>3.51916719756248</v>
      </c>
      <c r="I6" s="58" t="n">
        <f aca="false">Assumptions!$B$4/I4</f>
        <v>2.90128071760336</v>
      </c>
    </row>
    <row r="7" customFormat="false" ht="15" hidden="false" customHeight="false" outlineLevel="0" collapsed="false">
      <c r="A7" s="3" t="s">
        <v>228</v>
      </c>
      <c r="B7" s="58" t="n">
        <f aca="false">Assumptions!$B$4/B5</f>
        <v>0.73625</v>
      </c>
      <c r="C7" s="58" t="n">
        <f aca="false">Assumptions!$B$4/C5</f>
        <v>0.630620985010707</v>
      </c>
      <c r="D7" s="58" t="n">
        <f aca="false">Assumptions!$B$4/D5</f>
        <v>0.592555331991952</v>
      </c>
      <c r="F7" s="58" t="n">
        <f aca="false">Assumptions!$B$4/F5</f>
        <v>0.543949325761342</v>
      </c>
      <c r="G7" s="58" t="n">
        <f aca="false">Assumptions!$B$4/G5</f>
        <v>0.487400225876351</v>
      </c>
      <c r="H7" s="58" t="n">
        <f aca="false">Assumptions!$B$4/H5</f>
        <v>0.428107830397225</v>
      </c>
      <c r="I7" s="58" t="n">
        <f aca="false">Assumptions!$B$4/I5</f>
        <v>0.373059790252592</v>
      </c>
    </row>
    <row r="8" customFormat="false" ht="15" hidden="false" customHeight="false" outlineLevel="0" collapsed="false">
      <c r="A8" s="3" t="s">
        <v>68</v>
      </c>
      <c r="B8" s="33" t="n">
        <v>0.282</v>
      </c>
      <c r="C8" s="33" t="n">
        <v>0.2</v>
      </c>
      <c r="D8" s="33" t="n">
        <v>0.126</v>
      </c>
      <c r="F8" s="36" t="n">
        <f aca="false">Assumptions!B18</f>
        <v>0.115</v>
      </c>
      <c r="G8" s="36" t="n">
        <f aca="false">Assumptions!C18</f>
        <v>0.125</v>
      </c>
      <c r="H8" s="36" t="n">
        <f aca="false">Assumptions!D18</f>
        <v>0.135</v>
      </c>
      <c r="I8" s="36" t="n">
        <f aca="false">Assumptions!E18</f>
        <v>0.14</v>
      </c>
      <c r="J8" s="36" t="n">
        <f aca="false">Assumptions!F18</f>
        <v>0.145</v>
      </c>
    </row>
    <row r="9" customFormat="false" ht="15" hidden="false" customHeight="false" outlineLevel="0" collapsed="false">
      <c r="A9" s="3" t="s">
        <v>229</v>
      </c>
      <c r="D9" s="58" t="n">
        <f aca="false">Assumptions!$B$6/980.8</f>
        <v>1.29486133768352</v>
      </c>
    </row>
    <row r="10" customFormat="false" ht="15" hidden="false" customHeight="false" outlineLevel="0" collapsed="false">
      <c r="A10" s="3" t="s">
        <v>230</v>
      </c>
      <c r="D10" s="33" t="n">
        <v>0.11</v>
      </c>
      <c r="F10" s="17" t="n">
        <v>0.145</v>
      </c>
    </row>
    <row r="12" customFormat="false" ht="15" hidden="false" customHeight="false" outlineLevel="0" collapsed="false">
      <c r="A12" s="14" t="s">
        <v>231</v>
      </c>
    </row>
    <row r="13" customFormat="false" ht="15" hidden="false" customHeight="false" outlineLevel="0" collapsed="false">
      <c r="A13" s="14" t="s">
        <v>232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233</v>
      </c>
      <c r="B1" s="1"/>
      <c r="C1" s="1"/>
      <c r="D1" s="1"/>
      <c r="E1" s="1"/>
    </row>
    <row r="3" customFormat="false" ht="15" hidden="false" customHeight="false" outlineLevel="0" collapsed="false">
      <c r="A3" s="15" t="s">
        <v>234</v>
      </c>
      <c r="B3" s="15" t="s">
        <v>235</v>
      </c>
      <c r="C3" s="16" t="s">
        <v>236</v>
      </c>
      <c r="D3" s="16" t="s">
        <v>237</v>
      </c>
      <c r="E3" s="15" t="s">
        <v>238</v>
      </c>
    </row>
    <row r="4" customFormat="false" ht="15" hidden="false" customHeight="false" outlineLevel="0" collapsed="false">
      <c r="A4" s="59" t="s">
        <v>239</v>
      </c>
      <c r="B4" s="59" t="s">
        <v>240</v>
      </c>
      <c r="C4" s="55" t="s">
        <v>241</v>
      </c>
      <c r="D4" s="55" t="s">
        <v>242</v>
      </c>
      <c r="E4" s="59" t="s">
        <v>243</v>
      </c>
    </row>
    <row r="5" customFormat="false" ht="15" hidden="false" customHeight="false" outlineLevel="0" collapsed="false">
      <c r="A5" s="60" t="s">
        <v>244</v>
      </c>
      <c r="B5" s="60" t="s">
        <v>245</v>
      </c>
      <c r="C5" s="61" t="s">
        <v>246</v>
      </c>
      <c r="D5" s="61" t="s">
        <v>247</v>
      </c>
      <c r="E5" s="60" t="s">
        <v>248</v>
      </c>
    </row>
    <row r="6" customFormat="false" ht="15" hidden="false" customHeight="false" outlineLevel="0" collapsed="false">
      <c r="A6" s="60" t="s">
        <v>249</v>
      </c>
      <c r="B6" s="60" t="s">
        <v>250</v>
      </c>
      <c r="C6" s="61" t="s">
        <v>251</v>
      </c>
      <c r="D6" s="61" t="s">
        <v>252</v>
      </c>
      <c r="E6" s="60" t="s">
        <v>253</v>
      </c>
    </row>
    <row r="7" customFormat="false" ht="15" hidden="false" customHeight="false" outlineLevel="0" collapsed="false">
      <c r="A7" s="60" t="s">
        <v>254</v>
      </c>
      <c r="B7" s="60" t="s">
        <v>255</v>
      </c>
      <c r="C7" s="61" t="s">
        <v>256</v>
      </c>
      <c r="D7" s="61" t="s">
        <v>256</v>
      </c>
      <c r="E7" s="60" t="s">
        <v>257</v>
      </c>
    </row>
    <row r="8" customFormat="false" ht="15" hidden="false" customHeight="false" outlineLevel="0" collapsed="false">
      <c r="A8" s="60" t="s">
        <v>258</v>
      </c>
      <c r="B8" s="60" t="s">
        <v>259</v>
      </c>
      <c r="C8" s="61" t="s">
        <v>260</v>
      </c>
      <c r="D8" s="61" t="s">
        <v>261</v>
      </c>
      <c r="E8" s="60" t="s">
        <v>262</v>
      </c>
    </row>
    <row r="9" customFormat="false" ht="15" hidden="false" customHeight="false" outlineLevel="0" collapsed="false">
      <c r="A9" s="60" t="s">
        <v>263</v>
      </c>
      <c r="B9" s="60" t="s">
        <v>259</v>
      </c>
      <c r="C9" s="61" t="s">
        <v>264</v>
      </c>
      <c r="D9" s="61" t="s">
        <v>265</v>
      </c>
      <c r="E9" s="60" t="s">
        <v>266</v>
      </c>
    </row>
    <row r="10" customFormat="false" ht="15" hidden="false" customHeight="false" outlineLevel="0" collapsed="false">
      <c r="A10" s="60" t="s">
        <v>267</v>
      </c>
      <c r="B10" s="60" t="s">
        <v>268</v>
      </c>
      <c r="C10" s="61" t="s">
        <v>269</v>
      </c>
      <c r="D10" s="61" t="s">
        <v>270</v>
      </c>
      <c r="E10" s="60" t="s">
        <v>271</v>
      </c>
    </row>
    <row r="12" customFormat="false" ht="15" hidden="false" customHeight="false" outlineLevel="0" collapsed="false">
      <c r="A12" s="14" t="s">
        <v>272</v>
      </c>
    </row>
    <row r="13" customFormat="false" ht="15" hidden="false" customHeight="false" outlineLevel="0" collapsed="false">
      <c r="A13" s="14" t="s">
        <v>273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2026-07-06T11:56:04Z</dcterms:created>
  <dc:creator>openpyxl</dc:creator>
  <dc:description/>
  <dc:language>en-US</dc:language>
  <cp:lastModifiedBy/>
  <dcterms:modified xsi:type="dcterms:W3CDTF">2026-07-06T11:56:04Z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