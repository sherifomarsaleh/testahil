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"/>
    <numFmt numFmtId="167" formatCode="0.000000"/>
    <numFmt numFmtId="168" formatCode="0.000"/>
  </numFmts>
  <fonts count="8">
    <font>
      <name val="Calibri"/>
      <family val="2"/>
      <color theme="1"/>
      <sz val="11"/>
      <scheme val="minor"/>
    </font>
    <font>
      <b val="1"/>
      <color rgb="001B5E5E"/>
      <sz val="13"/>
    </font>
    <font>
      <i val="1"/>
      <color rgb="00555555"/>
      <sz val="9"/>
    </font>
    <font>
      <b val="1"/>
    </font>
    <font>
      <color rgb="001F4E79"/>
    </font>
    <font>
      <color rgb="00217346"/>
    </font>
    <font>
      <b val="1"/>
      <color rgb="00FFFFFF"/>
    </font>
    <font>
      <i val="1"/>
      <color rgb="009E2B25"/>
      <sz val="9"/>
    </font>
  </fonts>
  <fills count="4">
    <fill>
      <patternFill/>
    </fill>
    <fill>
      <patternFill patternType="gray125"/>
    </fill>
    <fill>
      <patternFill patternType="solid">
        <fgColor rgb="001B5E5E"/>
      </patternFill>
    </fill>
    <fill>
      <patternFill patternType="solid">
        <fgColor rgb="00F1E6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center"/>
    </xf>
    <xf numFmtId="2" fontId="0" fillId="0" borderId="0" pivotButton="0" quotePrefix="0" xfId="0"/>
    <xf numFmtId="9" fontId="0" fillId="0" borderId="0" pivotButton="0" quotePrefix="0" xfId="0"/>
    <xf numFmtId="2" fontId="3" fillId="0" borderId="0" pivotButton="0" quotePrefix="0" xfId="0"/>
    <xf numFmtId="165" fontId="0" fillId="0" borderId="0" pivotButton="0" quotePrefix="0" xfId="0"/>
    <xf numFmtId="2" fontId="3" fillId="3" borderId="0" pivotButton="0" quotePrefix="0" xfId="0"/>
    <xf numFmtId="2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165" fontId="5" fillId="0" borderId="0" pivotButton="0" quotePrefix="0" xfId="0"/>
    <xf numFmtId="166" fontId="4" fillId="0" borderId="0" pivotButton="0" quotePrefix="0" xfId="0"/>
    <xf numFmtId="9" fontId="4" fillId="0" borderId="0" pivotButton="0" quotePrefix="0" xfId="0"/>
    <xf numFmtId="167" fontId="4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3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Testahil — Pioneers Properties for Urban Development (EGX: PRDC)</t>
        </is>
      </c>
    </row>
    <row r="2">
      <c r="A2" s="2" t="inlineStr">
        <is>
          <t>Companion model · Independent Valuation Study · Educational analysis · Not investment advice</t>
        </is>
      </c>
    </row>
    <row r="3">
      <c r="A3" t="inlineStr"/>
    </row>
    <row r="4">
      <c r="A4" s="3" t="inlineStr">
        <is>
          <t>What this workbook is. A transparent companion to the PRDC valuation study. Every blue cell is an input;</t>
        </is>
      </c>
    </row>
    <row r="5">
      <c r="A5" t="inlineStr">
        <is>
          <t>every black cell is a formula; green cells link across sheets. All inputs live on the Assumptions sheet —</t>
        </is>
      </c>
    </row>
    <row r="6">
      <c r="A6" t="inlineStr">
        <is>
          <t>change one (the holdco discount, a development-NAV mark, a growth rate) and the whole model reprices.</t>
        </is>
      </c>
    </row>
    <row r="7">
      <c r="A7" t="inlineStr"/>
    </row>
    <row r="8">
      <c r="A8" s="3" t="inlineStr">
        <is>
          <t>What it is not. It is not investment advice, a recommendation, or a price target. Values are model outputs</t>
        </is>
      </c>
    </row>
    <row r="9">
      <c r="A9" t="inlineStr">
        <is>
          <t>shown as ranges. The preparer is not licensed by any securities regulator and may hold a position.</t>
        </is>
      </c>
    </row>
    <row r="10">
      <c r="A10" t="inlineStr"/>
    </row>
    <row r="11">
      <c r="A11" s="3" t="inlineStr">
        <is>
          <t>Entity note. PRDC (PRE Group) demerged from Pioneers Holding in Oct-2021; it houses the group's real-estate</t>
        </is>
      </c>
    </row>
    <row r="12">
      <c r="A12" t="inlineStr">
        <is>
          <t>development, contracting, leasing and El Kahera Housing (majority-owned) operations — a 360° developer-contractor.</t>
        </is>
      </c>
    </row>
    <row r="13">
      <c r="A13" t="inlineStr">
        <is>
          <t>Primary lens: split-leg sum-of-the-parts / RNAV (development legs carry NO terminal value; recurring legs</t>
        </is>
      </c>
    </row>
    <row r="14">
      <c r="A14" t="inlineStr">
        <is>
          <t>get cap-rate treatment); consolidated FCFF DCF and relative multiples cross-check.</t>
        </is>
      </c>
    </row>
    <row r="15">
      <c r="A15" t="inlineStr"/>
    </row>
    <row r="16">
      <c r="A16" s="3" t="inlineStr">
        <is>
          <t>Currency. EGP million unless stated. Spot EGP 8.28 (6 Jul 2026 close). Shares 1,047.2 mn.</t>
        </is>
      </c>
    </row>
    <row r="17">
      <c r="A17" t="inlineStr">
        <is>
          <t>Historical financials are company disclosure (FY2023–FY2025, EGX filings &amp; company press releases); several</t>
        </is>
      </c>
    </row>
    <row r="18">
      <c r="A18" t="inlineStr">
        <is>
          <t>balance-sheet and segment splits are house estimates to balance to disclosed totals — flagged as estimates.</t>
        </is>
      </c>
    </row>
    <row r="19">
      <c r="A19" t="inlineStr"/>
    </row>
    <row r="20">
      <c r="A20" s="3" t="inlineStr">
        <is>
          <t>Sheets: Summary · Fundamental Valuation · Assumptions · SOTP · Segments · Relative &amp; Normalized · DCF ·</t>
        </is>
      </c>
    </row>
    <row r="21">
      <c r="A21" t="inlineStr">
        <is>
          <t>Income Statement · Balance Sheet · Cash Flow · Summary Financials · Monte Carlo · 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Valuation summary — Pioneers Properties (EGX: PRDC)</t>
        </is>
      </c>
    </row>
    <row r="2">
      <c r="A2" s="2" t="inlineStr">
        <is>
          <t>Five-lens fair value vs spot. Base links live; bear/bull are scenario outputs (study §1.5).</t>
        </is>
      </c>
    </row>
    <row r="3">
      <c r="A3" s="4" t="inlineStr">
        <is>
          <t>Lens</t>
        </is>
      </c>
      <c r="B3" s="4" t="inlineStr">
        <is>
          <t>Bear</t>
        </is>
      </c>
      <c r="C3" s="4" t="inlineStr">
        <is>
          <t>Base</t>
        </is>
      </c>
      <c r="D3" s="4" t="inlineStr">
        <is>
          <t>Bull</t>
        </is>
      </c>
      <c r="E3" s="4" t="inlineStr">
        <is>
          <t>Weight</t>
        </is>
      </c>
    </row>
    <row r="4">
      <c r="A4" t="inlineStr">
        <is>
          <t>Sum-of-the-parts / RNAV</t>
        </is>
      </c>
      <c r="B4" s="5" t="n">
        <v>6.3</v>
      </c>
      <c r="C4" s="5">
        <f>SOTP!C15</f>
        <v/>
      </c>
      <c r="D4" s="5" t="n">
        <v>12</v>
      </c>
      <c r="E4" s="6">
        <f>Assumptions!B33</f>
        <v/>
      </c>
    </row>
    <row r="5">
      <c r="A5" t="inlineStr">
        <is>
          <t>Consolidated DCF</t>
        </is>
      </c>
      <c r="B5" s="5" t="n">
        <v>5.37</v>
      </c>
      <c r="C5" s="5">
        <f>DCF!B21</f>
        <v/>
      </c>
      <c r="D5" s="5" t="n">
        <v>11.56</v>
      </c>
      <c r="E5" s="6">
        <f>Assumptions!B34</f>
        <v/>
      </c>
    </row>
    <row r="6">
      <c r="A6" t="inlineStr">
        <is>
          <t>Relative multiples</t>
        </is>
      </c>
      <c r="B6" s="5" t="n">
        <v>4.5</v>
      </c>
      <c r="C6" s="5">
        <f>'Relative &amp; Normalized'!C7</f>
        <v/>
      </c>
      <c r="D6" s="5" t="n">
        <v>8.800000000000001</v>
      </c>
      <c r="E6" s="6">
        <f>Assumptions!B35</f>
        <v/>
      </c>
    </row>
    <row r="7">
      <c r="A7" t="inlineStr">
        <is>
          <t>Property-cycle earnings</t>
        </is>
      </c>
      <c r="B7" s="5" t="n">
        <v>6.6</v>
      </c>
      <c r="C7" s="5">
        <f>Assumptions!B30</f>
        <v/>
      </c>
      <c r="D7" s="5" t="n">
        <v>12.3</v>
      </c>
      <c r="E7" s="6">
        <f>Assumptions!B36</f>
        <v/>
      </c>
    </row>
    <row r="8">
      <c r="A8" s="3" t="inlineStr">
        <is>
          <t>Weighted central</t>
        </is>
      </c>
      <c r="B8" s="7">
        <f>SUMPRODUCT(B4:B7,$E$4:$E$7)</f>
        <v/>
      </c>
      <c r="C8" s="7">
        <f>SUMPRODUCT(C4:C7,$E$4:$E$7)</f>
        <v/>
      </c>
      <c r="D8" s="7">
        <f>SUMPRODUCT(D4:D7,$E$4:$E$7)</f>
        <v/>
      </c>
    </row>
    <row r="10">
      <c r="A10" t="inlineStr">
        <is>
          <t>Spot price (EGP)</t>
        </is>
      </c>
      <c r="C10" s="5">
        <f>Assumptions!B4</f>
        <v/>
      </c>
    </row>
    <row r="11">
      <c r="A11" t="inlineStr">
        <is>
          <t>Upside to central base</t>
        </is>
      </c>
      <c r="C11" s="8">
        <f>C8/C10-1</f>
        <v/>
      </c>
    </row>
    <row r="13">
      <c r="A13" s="2" t="inlineStr">
        <is>
          <t>Read: broadly fairly valued after the 2026 re-rating closed the deep NAV discount; the swing factor is</t>
        </is>
      </c>
    </row>
    <row r="14">
      <c r="A14" s="2" t="inlineStr">
        <is>
          <t>land monetisation and the holdco / minority discount, with the contracting-margin cycle behind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Fundamental valuation — five lenses</t>
        </is>
      </c>
    </row>
    <row r="3">
      <c r="A3" s="4" t="inlineStr">
        <is>
          <t>Lens</t>
        </is>
      </c>
      <c r="B3" s="4" t="inlineStr">
        <is>
          <t>Base (EGP)</t>
        </is>
      </c>
      <c r="C3" s="4" t="inlineStr">
        <is>
          <t>Weight</t>
        </is>
      </c>
      <c r="D3" s="4" t="inlineStr">
        <is>
          <t>Contribution</t>
        </is>
      </c>
    </row>
    <row r="4">
      <c r="A4" t="inlineStr">
        <is>
          <t>Sum-of-the-parts / RNAV</t>
        </is>
      </c>
      <c r="B4" s="5">
        <f>Summary!C4</f>
        <v/>
      </c>
      <c r="C4" s="6">
        <f>Summary!E4</f>
        <v/>
      </c>
      <c r="D4" s="5">
        <f>B4*C4</f>
        <v/>
      </c>
    </row>
    <row r="5">
      <c r="A5" t="inlineStr">
        <is>
          <t>Consolidated DCF</t>
        </is>
      </c>
      <c r="B5" s="5">
        <f>Summary!C5</f>
        <v/>
      </c>
      <c r="C5" s="6">
        <f>Summary!E5</f>
        <v/>
      </c>
      <c r="D5" s="5">
        <f>B5*C5</f>
        <v/>
      </c>
    </row>
    <row r="6">
      <c r="A6" t="inlineStr">
        <is>
          <t>Relative multiples</t>
        </is>
      </c>
      <c r="B6" s="5">
        <f>Summary!C6</f>
        <v/>
      </c>
      <c r="C6" s="6">
        <f>Summary!E6</f>
        <v/>
      </c>
      <c r="D6" s="5">
        <f>B6*C6</f>
        <v/>
      </c>
    </row>
    <row r="7">
      <c r="A7" t="inlineStr">
        <is>
          <t>Property-cycle earnings</t>
        </is>
      </c>
      <c r="B7" s="5">
        <f>Summary!C7</f>
        <v/>
      </c>
      <c r="C7" s="6">
        <f>Summary!E7</f>
        <v/>
      </c>
      <c r="D7" s="5">
        <f>B7*C7</f>
        <v/>
      </c>
    </row>
    <row r="8">
      <c r="A8" s="3" t="inlineStr">
        <is>
          <t>Weighted central fair value</t>
        </is>
      </c>
      <c r="D8" s="9">
        <f>SUM(D4:D7)</f>
        <v/>
      </c>
    </row>
    <row r="9">
      <c r="A9" t="inlineStr">
        <is>
          <t>Spot</t>
        </is>
      </c>
      <c r="D9" s="5">
        <f>Assumptions!B4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Assumptions — the single input layer</t>
        </is>
      </c>
    </row>
    <row r="2">
      <c r="A2" s="2" t="inlineStr">
        <is>
          <t>All blue cells are inputs. Every other sheet links here.</t>
        </is>
      </c>
    </row>
    <row r="3">
      <c r="A3" s="3" t="inlineStr">
        <is>
          <t>ANCHORS</t>
        </is>
      </c>
    </row>
    <row r="4">
      <c r="A4" t="inlineStr">
        <is>
          <t>Spot price (EGP/share)</t>
        </is>
      </c>
      <c r="B4" s="10" t="n">
        <v>8.279999999999999</v>
      </c>
    </row>
    <row r="5">
      <c r="A5" t="inlineStr">
        <is>
          <t>Shares outstanding (mn)</t>
        </is>
      </c>
      <c r="B5" s="11" t="n">
        <v>1047.2</v>
      </c>
    </row>
    <row r="6">
      <c r="A6" t="inlineStr">
        <is>
          <t>Consolidated net debt (EGP mn)</t>
        </is>
      </c>
      <c r="B6" s="12" t="n">
        <v>5000</v>
      </c>
      <c r="C6" s="2" t="inlineStr">
        <is>
          <t>house estimate</t>
        </is>
      </c>
    </row>
    <row r="7">
      <c r="A7" t="inlineStr">
        <is>
          <t>Minority interest (EGP mn)</t>
        </is>
      </c>
      <c r="B7" s="12" t="n">
        <v>3000</v>
      </c>
      <c r="C7" s="2" t="inlineStr">
        <is>
          <t>house estimate</t>
        </is>
      </c>
    </row>
    <row r="8">
      <c r="A8" t="inlineStr">
        <is>
          <t>Risk-free rate (rf)</t>
        </is>
      </c>
      <c r="B8" s="13" t="n">
        <v>0.15</v>
      </c>
    </row>
    <row r="9">
      <c r="A9" t="inlineStr">
        <is>
          <t>Equity risk premium (ERP)</t>
        </is>
      </c>
      <c r="B9" s="13" t="n">
        <v>0.065</v>
      </c>
    </row>
    <row r="10">
      <c r="A10" t="inlineStr">
        <is>
          <t>Beta</t>
        </is>
      </c>
      <c r="B10" s="10" t="n">
        <v>1</v>
      </c>
    </row>
    <row r="11">
      <c r="A11" t="inlineStr">
        <is>
          <t>Cost of equity (Ke = rf + beta*ERP)</t>
        </is>
      </c>
      <c r="B11" s="14">
        <f>B8+B10*B9</f>
        <v/>
      </c>
    </row>
    <row r="12">
      <c r="A12" t="inlineStr">
        <is>
          <t>WACC (debt-blended)</t>
        </is>
      </c>
      <c r="B12" s="13" t="n">
        <v>0.185</v>
      </c>
    </row>
    <row r="13">
      <c r="A13" t="inlineStr">
        <is>
          <t>Terminal growth</t>
        </is>
      </c>
      <c r="B13" s="13" t="n">
        <v>0.1</v>
      </c>
    </row>
    <row r="14">
      <c r="A14" t="inlineStr">
        <is>
          <t>Tax rate</t>
        </is>
      </c>
      <c r="B14" s="13" t="n">
        <v>0.225</v>
      </c>
    </row>
    <row r="16">
      <c r="A16" s="3" t="inlineStr">
        <is>
          <t>SOTP — base marks (EGP mn, 100% basis)</t>
        </is>
      </c>
    </row>
    <row r="17">
      <c r="A17" t="inlineStr">
        <is>
          <t>Development NAV (no terminal value)</t>
        </is>
      </c>
      <c r="B17" s="12" t="n">
        <v>15000</v>
      </c>
    </row>
    <row r="18">
      <c r="A18" t="inlineStr">
        <is>
          <t>Contracting arm</t>
        </is>
      </c>
      <c r="B18" s="12" t="n">
        <v>1500</v>
      </c>
    </row>
    <row r="19">
      <c r="A19" t="inlineStr">
        <is>
          <t>Rental / leasing portfolio</t>
        </is>
      </c>
      <c r="B19" s="12" t="n">
        <v>1500</v>
      </c>
    </row>
    <row r="20">
      <c r="A20" t="inlineStr">
        <is>
          <t>Retail &amp; other</t>
        </is>
      </c>
      <c r="B20" s="12" t="n">
        <v>300</v>
      </c>
    </row>
    <row r="21">
      <c r="A21" t="inlineStr">
        <is>
          <t>Holdco / complexity discount</t>
        </is>
      </c>
      <c r="B21" s="13" t="n">
        <v>0.1</v>
      </c>
      <c r="C21" s="2" t="inlineStr">
        <is>
          <t>fair; market-implied ~16%</t>
        </is>
      </c>
    </row>
    <row r="23">
      <c r="A23" s="3" t="inlineStr">
        <is>
          <t>RELATIVE &amp; NORMALIZED</t>
        </is>
      </c>
    </row>
    <row r="24">
      <c r="A24" t="inlineStr">
        <is>
          <t>Book value / share (EGP)</t>
        </is>
      </c>
      <c r="B24" s="10" t="n">
        <v>13.85</v>
      </c>
    </row>
    <row r="25">
      <c r="A25" t="inlineStr">
        <is>
          <t>Attributable EPS TTM (EGP)</t>
        </is>
      </c>
      <c r="B25" s="10" t="n">
        <v>0.35</v>
      </c>
    </row>
    <row r="26">
      <c r="A26" t="inlineStr">
        <is>
          <t>EBITDA TTM (EGP mn)</t>
        </is>
      </c>
      <c r="B26" s="12" t="n">
        <v>1400</v>
      </c>
    </row>
    <row r="27">
      <c r="A27" t="inlineStr">
        <is>
          <t>Target P/B (x)</t>
        </is>
      </c>
      <c r="B27" s="10" t="n">
        <v>0.55</v>
      </c>
    </row>
    <row r="28">
      <c r="A28" t="inlineStr">
        <is>
          <t>Target P/E (x)</t>
        </is>
      </c>
      <c r="B28" s="15" t="n">
        <v>8</v>
      </c>
    </row>
    <row r="29">
      <c r="A29" t="inlineStr">
        <is>
          <t>Target EV/EBITDA (x)</t>
        </is>
      </c>
      <c r="B29" s="15" t="n">
        <v>7</v>
      </c>
    </row>
    <row r="30">
      <c r="A30" t="inlineStr">
        <is>
          <t>Property-cycle fair value (EGP)</t>
        </is>
      </c>
      <c r="B30" s="10" t="n">
        <v>9.199999999999999</v>
      </c>
    </row>
    <row r="32">
      <c r="A32" s="3" t="inlineStr">
        <is>
          <t>SYNTHESIS WEIGHTS</t>
        </is>
      </c>
    </row>
    <row r="33">
      <c r="A33" t="inlineStr">
        <is>
          <t>RNAV / SOTP weight</t>
        </is>
      </c>
      <c r="B33" s="16" t="n">
        <v>0.4</v>
      </c>
    </row>
    <row r="34">
      <c r="A34" t="inlineStr">
        <is>
          <t>DCF weight</t>
        </is>
      </c>
      <c r="B34" s="16" t="n">
        <v>0.2</v>
      </c>
    </row>
    <row r="35">
      <c r="A35" t="inlineStr">
        <is>
          <t>Relative weight</t>
        </is>
      </c>
      <c r="B35" s="16" t="n">
        <v>0.15</v>
      </c>
    </row>
    <row r="36">
      <c r="A36" t="inlineStr">
        <is>
          <t>Property-cycle weight</t>
        </is>
      </c>
      <c r="B36" s="16" t="n">
        <v>0.25</v>
      </c>
    </row>
    <row r="38">
      <c r="A38" s="3" t="inlineStr">
        <is>
          <t>FORECAST DRIVERS (FY26E–FY30E)</t>
        </is>
      </c>
    </row>
    <row r="39">
      <c r="C39" s="3" t="inlineStr">
        <is>
          <t>FY26E</t>
        </is>
      </c>
      <c r="D39" s="3" t="inlineStr">
        <is>
          <t>FY27E</t>
        </is>
      </c>
      <c r="E39" s="3" t="inlineStr">
        <is>
          <t>FY28E</t>
        </is>
      </c>
      <c r="F39" s="3" t="inlineStr">
        <is>
          <t>FY29E</t>
        </is>
      </c>
      <c r="G39" s="3" t="inlineStr">
        <is>
          <t>FY30E</t>
        </is>
      </c>
    </row>
    <row r="40">
      <c r="A40" t="inlineStr">
        <is>
          <t>Revenue growth</t>
        </is>
      </c>
      <c r="C40" s="13" t="n">
        <v>0.1</v>
      </c>
      <c r="D40" s="13" t="n">
        <v>0.15</v>
      </c>
      <c r="E40" s="13" t="n">
        <v>0.15</v>
      </c>
      <c r="F40" s="13" t="n">
        <v>0.15</v>
      </c>
      <c r="G40" s="13" t="n">
        <v>0.15</v>
      </c>
    </row>
    <row r="41">
      <c r="A41" t="inlineStr">
        <is>
          <t>EBITDA margin</t>
        </is>
      </c>
      <c r="C41" s="13" t="n">
        <v>0.24</v>
      </c>
      <c r="D41" s="13" t="n">
        <v>0.24</v>
      </c>
      <c r="E41" s="13" t="n">
        <v>0.24</v>
      </c>
      <c r="F41" s="13" t="n">
        <v>0.24</v>
      </c>
      <c r="G41" s="13" t="n">
        <v>0.24</v>
      </c>
    </row>
    <row r="42">
      <c r="A42" t="inlineStr">
        <is>
          <t>D&amp;A (% of revenue)</t>
        </is>
      </c>
      <c r="C42" s="13" t="n">
        <v>0.02</v>
      </c>
      <c r="D42" s="13" t="n">
        <v>0.02</v>
      </c>
      <c r="E42" s="13" t="n">
        <v>0.02</v>
      </c>
      <c r="F42" s="13" t="n">
        <v>0.02</v>
      </c>
      <c r="G42" s="13" t="n">
        <v>0.02</v>
      </c>
    </row>
    <row r="43">
      <c r="A43" t="inlineStr">
        <is>
          <t>Capex (% of revenue)</t>
        </is>
      </c>
      <c r="C43" s="13" t="n">
        <v>0.03</v>
      </c>
      <c r="D43" s="13" t="n">
        <v>0.03</v>
      </c>
      <c r="E43" s="13" t="n">
        <v>0.03</v>
      </c>
      <c r="F43" s="13" t="n">
        <v>0.03</v>
      </c>
      <c r="G43" s="13" t="n">
        <v>0.03</v>
      </c>
    </row>
    <row r="44">
      <c r="A44" t="inlineStr">
        <is>
          <t>Δ working capital (% of Δrevenue)</t>
        </is>
      </c>
      <c r="C44" s="13" t="n">
        <v>-0.03</v>
      </c>
      <c r="D44" s="13" t="n">
        <v>-0.03</v>
      </c>
      <c r="E44" s="13" t="n">
        <v>-0.03</v>
      </c>
      <c r="F44" s="13" t="n">
        <v>-0.03</v>
      </c>
      <c r="G44" s="13" t="n">
        <v>-0.03</v>
      </c>
    </row>
    <row r="46">
      <c r="A46" s="3" t="inlineStr">
        <is>
          <t>MONTE CARLO</t>
        </is>
      </c>
    </row>
    <row r="47">
      <c r="A47" t="inlineStr">
        <is>
          <t>Diffusion vol (annualized, YZ-HAR)</t>
        </is>
      </c>
      <c r="B47" s="13" t="n">
        <v>0.4791</v>
      </c>
    </row>
    <row r="48">
      <c r="A48" t="inlineStr">
        <is>
          <t>Secular drift (daily, floored at 0)</t>
        </is>
      </c>
      <c r="B48" s="17" t="n">
        <v>0.000811</v>
      </c>
    </row>
    <row r="49">
      <c r="A49" t="inlineStr">
        <is>
          <t>Net 60-day drift</t>
        </is>
      </c>
      <c r="B49" s="13" t="n">
        <v>0.0498</v>
      </c>
    </row>
    <row r="50">
      <c r="A50" t="inlineStr">
        <is>
          <t>Paths / seed</t>
        </is>
      </c>
      <c r="B50" s="18" t="inlineStr">
        <is>
          <t>50,000 / 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14" customWidth="1" min="3" max="3"/>
  </cols>
  <sheetData>
    <row r="1">
      <c r="A1" s="1" t="inlineStr">
        <is>
          <t>Sum-of-the-parts / RNAV (primary lens)</t>
        </is>
      </c>
    </row>
    <row r="2">
      <c r="A2" s="2" t="inlineStr">
        <is>
          <t>Split-leg: development legs carry NO terminal value; recurring legs get cap-rate. Links to Assumptions.</t>
        </is>
      </c>
    </row>
    <row r="3">
      <c r="A3" s="4" t="inlineStr">
        <is>
          <t>Part</t>
        </is>
      </c>
      <c r="B3" s="4" t="inlineStr">
        <is>
          <t>Basis</t>
        </is>
      </c>
      <c r="C3" s="4" t="inlineStr">
        <is>
          <t>Value (EGP mn)</t>
        </is>
      </c>
    </row>
    <row r="4">
      <c r="A4" t="inlineStr">
        <is>
          <t>Real-estate development (IVOIRE, Second Home, land bank)</t>
        </is>
      </c>
      <c r="B4" t="inlineStr">
        <is>
          <t>RNAV — PV of net development profit; no TV</t>
        </is>
      </c>
      <c r="C4" s="19">
        <f>Assumptions!B17</f>
        <v/>
      </c>
    </row>
    <row r="5">
      <c r="A5" t="inlineStr">
        <is>
          <t>Contracting arm</t>
        </is>
      </c>
      <c r="B5" t="inlineStr">
        <is>
          <t>Normalised earnings × multiple</t>
        </is>
      </c>
      <c r="C5" s="19">
        <f>Assumptions!B18</f>
        <v/>
      </c>
    </row>
    <row r="6">
      <c r="A6" t="inlineStr">
        <is>
          <t>Rental / leasing portfolio</t>
        </is>
      </c>
      <c r="B6" t="inlineStr">
        <is>
          <t>NOI / cap-rate (recurring)</t>
        </is>
      </c>
      <c r="C6" s="19">
        <f>Assumptions!B19</f>
        <v/>
      </c>
    </row>
    <row r="7">
      <c r="A7" t="inlineStr">
        <is>
          <t>Retail &amp; other</t>
        </is>
      </c>
      <c r="B7" t="inlineStr">
        <is>
          <t>Book / residual</t>
        </is>
      </c>
      <c r="C7" s="19">
        <f>Assumptions!B20</f>
        <v/>
      </c>
    </row>
    <row r="8">
      <c r="A8" s="3" t="inlineStr">
        <is>
          <t>Σ Asset (enterprise) value</t>
        </is>
      </c>
      <c r="C8" s="20">
        <f>SUM(C4:C7)</f>
        <v/>
      </c>
    </row>
    <row r="9">
      <c r="A9" t="inlineStr">
        <is>
          <t>less: consolidated net debt</t>
        </is>
      </c>
      <c r="C9" s="19">
        <f>-Assumptions!B6</f>
        <v/>
      </c>
    </row>
    <row r="10">
      <c r="A10" t="inlineStr">
        <is>
          <t>less: minority interest</t>
        </is>
      </c>
      <c r="C10" s="19">
        <f>-Assumptions!B7</f>
        <v/>
      </c>
    </row>
    <row r="11">
      <c r="A11" s="3" t="inlineStr">
        <is>
          <t>Attributable NAV (pre-discount)</t>
        </is>
      </c>
      <c r="C11" s="20">
        <f>C8+C9+C10</f>
        <v/>
      </c>
    </row>
    <row r="12">
      <c r="A12" t="inlineStr">
        <is>
          <t xml:space="preserve">  per share (EGP)</t>
        </is>
      </c>
      <c r="C12" s="5">
        <f>C11/Assumptions!B5</f>
        <v/>
      </c>
    </row>
    <row r="13">
      <c r="A13" t="inlineStr">
        <is>
          <t>less: holdco / complexity discount</t>
        </is>
      </c>
      <c r="C13" s="19">
        <f>-C11*Assumptions!B21</f>
        <v/>
      </c>
    </row>
    <row r="14">
      <c r="A14" s="3" t="inlineStr">
        <is>
          <t>RNAV equity value</t>
        </is>
      </c>
      <c r="C14" s="20">
        <f>C11+C13</f>
        <v/>
      </c>
    </row>
    <row r="15">
      <c r="A15" s="3" t="inlineStr">
        <is>
          <t>RNAV fair value per share (EGP)</t>
        </is>
      </c>
      <c r="C15" s="9">
        <f>C14/Assumptions!B5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2" customWidth="1" min="4" max="4"/>
  </cols>
  <sheetData>
    <row r="1">
      <c r="A1" s="1" t="inlineStr">
        <is>
          <t>Segments — revenue mix (EGP mn)</t>
        </is>
      </c>
    </row>
    <row r="2">
      <c r="A2" s="2" t="inlineStr">
        <is>
          <t>Contracting is the largest revenue line (~57% H1-24); real-estate sales ~37%, rental ~5%, retail ~1%.</t>
        </is>
      </c>
    </row>
    <row r="3">
      <c r="A3" s="4" t="inlineStr">
        <is>
          <t>Segment</t>
        </is>
      </c>
      <c r="B3" s="4" t="inlineStr">
        <is>
          <t>FY24 rev</t>
        </is>
      </c>
      <c r="C3" s="4" t="inlineStr">
        <is>
          <t>% of rev</t>
        </is>
      </c>
      <c r="D3" s="4" t="inlineStr">
        <is>
          <t>Basis in SOTP</t>
        </is>
      </c>
    </row>
    <row r="4">
      <c r="A4" t="inlineStr">
        <is>
          <t>Contracting</t>
        </is>
      </c>
      <c r="B4" s="19" t="n">
        <v>2850</v>
      </c>
      <c r="C4" t="inlineStr">
        <is>
          <t>57%</t>
        </is>
      </c>
      <c r="D4" t="inlineStr">
        <is>
          <t>Going concern</t>
        </is>
      </c>
    </row>
    <row r="5">
      <c r="A5" t="inlineStr">
        <is>
          <t>Real-estate sales</t>
        </is>
      </c>
      <c r="B5" s="19" t="n">
        <v>1850</v>
      </c>
      <c r="C5" t="inlineStr">
        <is>
          <t>37%</t>
        </is>
      </c>
      <c r="D5" t="inlineStr">
        <is>
          <t>RNAV (dev leg)</t>
        </is>
      </c>
    </row>
    <row r="6">
      <c r="A6" t="inlineStr">
        <is>
          <t>Rental / leasing</t>
        </is>
      </c>
      <c r="B6" s="19" t="n">
        <v>250</v>
      </c>
      <c r="C6" t="inlineStr">
        <is>
          <t>5%</t>
        </is>
      </c>
      <c r="D6" t="inlineStr">
        <is>
          <t>Cap-rate</t>
        </is>
      </c>
    </row>
    <row r="7">
      <c r="A7" t="inlineStr">
        <is>
          <t>Retail &amp; other</t>
        </is>
      </c>
      <c r="B7" s="19" t="n">
        <v>50</v>
      </c>
      <c r="C7" t="inlineStr">
        <is>
          <t>1%</t>
        </is>
      </c>
      <c r="D7" t="inlineStr">
        <is>
          <t>Book/residual</t>
        </is>
      </c>
    </row>
    <row r="8">
      <c r="A8" s="3" t="inlineStr">
        <is>
          <t>Total</t>
        </is>
      </c>
      <c r="B8" s="20">
        <f>SUM(B4:B7)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</cols>
  <sheetData>
    <row r="1">
      <c r="A1" s="1" t="inlineStr">
        <is>
          <t>Relative multiples</t>
        </is>
      </c>
    </row>
    <row r="2">
      <c r="A2" s="2" t="inlineStr">
        <is>
          <t>P/B is the reliable anchor for an asset-heavy developer below book; P/E is depressed (mark the floor).</t>
        </is>
      </c>
    </row>
    <row r="3">
      <c r="A3" s="4" t="inlineStr">
        <is>
          <t>Basis</t>
        </is>
      </c>
      <c r="B3" s="4" t="inlineStr">
        <is>
          <t>Multiple</t>
        </is>
      </c>
      <c r="C3" s="4" t="inlineStr">
        <is>
          <t>Implied EGP/share</t>
        </is>
      </c>
    </row>
    <row r="4">
      <c r="A4" t="inlineStr">
        <is>
          <t>P/B on book value</t>
        </is>
      </c>
      <c r="B4" s="5">
        <f>Assumptions!B27</f>
        <v/>
      </c>
      <c r="C4" s="5">
        <f>Assumptions!B27*Assumptions!B24</f>
        <v/>
      </c>
    </row>
    <row r="5">
      <c r="A5" t="inlineStr">
        <is>
          <t>P/E on attributable EPS</t>
        </is>
      </c>
      <c r="B5" s="21">
        <f>Assumptions!B28</f>
        <v/>
      </c>
      <c r="C5" s="5">
        <f>Assumptions!B28*Assumptions!B25</f>
        <v/>
      </c>
    </row>
    <row r="6">
      <c r="A6" t="inlineStr">
        <is>
          <t>EV/EBITDA (net of debt &amp; minority)</t>
        </is>
      </c>
      <c r="B6" s="21">
        <f>Assumptions!B29</f>
        <v/>
      </c>
      <c r="C6" s="5">
        <f>(Assumptions!B29*Assumptions!B26-Assumptions!B6-Assumptions!B7)/Assumptions!B5</f>
        <v/>
      </c>
    </row>
    <row r="7">
      <c r="A7" s="3" t="inlineStr">
        <is>
          <t>Blended relative (P/B-weighted)</t>
        </is>
      </c>
      <c r="C7" s="7">
        <f>0.70*C4+0.15*C5+0.15*MAX(C6,0)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Discounted cash flow — explicit 5-year FCFF</t>
        </is>
      </c>
    </row>
    <row r="2">
      <c r="A2" s="2" t="inlineStr">
        <is>
          <t>NOPAT + D&amp;A − Capex − ΔWC, discounted at WACC. Ke shown as rf+ERP on Assumptions. Links to statements.</t>
        </is>
      </c>
    </row>
    <row r="3">
      <c r="B3" s="4" t="inlineStr">
        <is>
          <t>FY26E</t>
        </is>
      </c>
      <c r="C3" s="4" t="inlineStr">
        <is>
          <t>FY27E</t>
        </is>
      </c>
      <c r="D3" s="4" t="inlineStr">
        <is>
          <t>FY28E</t>
        </is>
      </c>
      <c r="E3" s="4" t="inlineStr">
        <is>
          <t>FY29E</t>
        </is>
      </c>
      <c r="F3" s="4" t="inlineStr">
        <is>
          <t>FY30E</t>
        </is>
      </c>
    </row>
    <row r="4">
      <c r="A4" t="inlineStr">
        <is>
          <t>EBIT</t>
        </is>
      </c>
      <c r="B4" s="19">
        <f>'Income Statement'!E10</f>
        <v/>
      </c>
      <c r="C4" s="19">
        <f>'Income Statement'!F10</f>
        <v/>
      </c>
      <c r="D4" s="19">
        <f>'Income Statement'!G10</f>
        <v/>
      </c>
      <c r="E4" s="19">
        <f>'Income Statement'!H10</f>
        <v/>
      </c>
      <c r="F4" s="19">
        <f>'Income Statement'!I10</f>
        <v/>
      </c>
    </row>
    <row r="5">
      <c r="A5" t="inlineStr">
        <is>
          <t>NOPAT = EBIT×(1−tax)</t>
        </is>
      </c>
      <c r="B5" s="19">
        <f>B4*(1-Assumptions!B14)</f>
        <v/>
      </c>
      <c r="C5" s="19">
        <f>C4*(1-Assumptions!B14)</f>
        <v/>
      </c>
      <c r="D5" s="19">
        <f>D4*(1-Assumptions!B14)</f>
        <v/>
      </c>
      <c r="E5" s="19">
        <f>E4*(1-Assumptions!B14)</f>
        <v/>
      </c>
      <c r="F5" s="19">
        <f>F4*(1-Assumptions!B14)</f>
        <v/>
      </c>
    </row>
    <row r="6">
      <c r="A6" t="inlineStr">
        <is>
          <t>+ D&amp;A</t>
        </is>
      </c>
      <c r="B6" s="19">
        <f>-'Income Statement'!E9</f>
        <v/>
      </c>
      <c r="C6" s="19">
        <f>-'Income Statement'!F9</f>
        <v/>
      </c>
      <c r="D6" s="19">
        <f>-'Income Statement'!G9</f>
        <v/>
      </c>
      <c r="E6" s="19">
        <f>-'Income Statement'!H9</f>
        <v/>
      </c>
      <c r="F6" s="19">
        <f>-'Income Statement'!I9</f>
        <v/>
      </c>
    </row>
    <row r="7">
      <c r="A7" t="inlineStr">
        <is>
          <t>− Capex</t>
        </is>
      </c>
      <c r="B7" s="19">
        <f>-'Income Statement'!E4*Assumptions!C43</f>
        <v/>
      </c>
      <c r="C7" s="19">
        <f>-'Income Statement'!F4*Assumptions!D43</f>
        <v/>
      </c>
      <c r="D7" s="19">
        <f>-'Income Statement'!G4*Assumptions!E43</f>
        <v/>
      </c>
      <c r="E7" s="19">
        <f>-'Income Statement'!H4*Assumptions!F43</f>
        <v/>
      </c>
      <c r="F7" s="19">
        <f>-'Income Statement'!I4*Assumptions!G43</f>
        <v/>
      </c>
    </row>
    <row r="8">
      <c r="A8" t="inlineStr">
        <is>
          <t>− Increase in net working capital</t>
        </is>
      </c>
      <c r="B8" s="19">
        <f>-('Income Statement'!E4-'Income Statement'!D4)*Assumptions!C44</f>
        <v/>
      </c>
      <c r="C8" s="19">
        <f>-('Income Statement'!F4-'Income Statement'!E4)*Assumptions!D44</f>
        <v/>
      </c>
      <c r="D8" s="19">
        <f>-('Income Statement'!G4-'Income Statement'!F4)*Assumptions!E44</f>
        <v/>
      </c>
      <c r="E8" s="19">
        <f>-('Income Statement'!H4-'Income Statement'!G4)*Assumptions!F44</f>
        <v/>
      </c>
      <c r="F8" s="19">
        <f>-('Income Statement'!I4-'Income Statement'!H4)*Assumptions!G44</f>
        <v/>
      </c>
    </row>
    <row r="9">
      <c r="A9" s="3" t="inlineStr">
        <is>
          <t>FCFF</t>
        </is>
      </c>
      <c r="B9" s="19">
        <f>B5+B6+B7+B8</f>
        <v/>
      </c>
      <c r="C9" s="19">
        <f>C5+C6+C7+C8</f>
        <v/>
      </c>
      <c r="D9" s="19">
        <f>D5+D6+D7+D8</f>
        <v/>
      </c>
      <c r="E9" s="19">
        <f>E5+E6+E7+E8</f>
        <v/>
      </c>
      <c r="F9" s="19">
        <f>F5+F6+F7+F8</f>
        <v/>
      </c>
    </row>
    <row r="10">
      <c r="A10" t="inlineStr">
        <is>
          <t>Discount factor</t>
        </is>
      </c>
      <c r="B10" s="22">
        <f>1/(1+Assumptions!B12)^1</f>
        <v/>
      </c>
      <c r="C10" s="22">
        <f>1/(1+Assumptions!B12)^2</f>
        <v/>
      </c>
      <c r="D10" s="22">
        <f>1/(1+Assumptions!B12)^3</f>
        <v/>
      </c>
      <c r="E10" s="22">
        <f>1/(1+Assumptions!B12)^4</f>
        <v/>
      </c>
      <c r="F10" s="22">
        <f>1/(1+Assumptions!B12)^5</f>
        <v/>
      </c>
    </row>
    <row r="11">
      <c r="A11" s="3" t="inlineStr">
        <is>
          <t>PV of FCFF</t>
        </is>
      </c>
      <c r="B11" s="19">
        <f>B9*B10</f>
        <v/>
      </c>
      <c r="C11" s="19">
        <f>C9*C10</f>
        <v/>
      </c>
      <c r="D11" s="19">
        <f>D9*D10</f>
        <v/>
      </c>
      <c r="E11" s="19">
        <f>E9*E10</f>
        <v/>
      </c>
      <c r="F11" s="19">
        <f>F9*F10</f>
        <v/>
      </c>
    </row>
    <row r="13">
      <c r="A13" s="3" t="inlineStr">
        <is>
          <t>Σ PV of explicit FCFF (FY26–30)</t>
        </is>
      </c>
      <c r="B13" s="19">
        <f>SUM(B11:F11)</f>
        <v/>
      </c>
    </row>
    <row r="14">
      <c r="A14" t="inlineStr">
        <is>
          <t>Terminal value (Gordon)</t>
        </is>
      </c>
      <c r="B14" s="19">
        <f>F9*(1+Assumptions!B13)/(Assumptions!B12-Assumptions!B13)</f>
        <v/>
      </c>
    </row>
    <row r="15">
      <c r="A15" t="inlineStr">
        <is>
          <t>PV of terminal value</t>
        </is>
      </c>
      <c r="B15" s="19">
        <f>B14/(1+Assumptions!B12)^5</f>
        <v/>
      </c>
    </row>
    <row r="16">
      <c r="A16" s="3" t="inlineStr">
        <is>
          <t>Enterprise value</t>
        </is>
      </c>
      <c r="B16" s="19">
        <f>B13+B15</f>
        <v/>
      </c>
    </row>
    <row r="17">
      <c r="A17" s="3" t="inlineStr">
        <is>
          <t>TV as % of EV</t>
        </is>
      </c>
      <c r="B17" s="8">
        <f>B15/B16</f>
        <v/>
      </c>
    </row>
    <row r="18">
      <c r="A18" t="inlineStr">
        <is>
          <t>less: consolidated net debt</t>
        </is>
      </c>
      <c r="B18" s="19">
        <f>-Assumptions!B6</f>
        <v/>
      </c>
    </row>
    <row r="19">
      <c r="A19" t="inlineStr">
        <is>
          <t>less: minority interest</t>
        </is>
      </c>
      <c r="B19" s="19">
        <f>-Assumptions!B7</f>
        <v/>
      </c>
    </row>
    <row r="20">
      <c r="A20" s="3" t="inlineStr">
        <is>
          <t>Equity value</t>
        </is>
      </c>
      <c r="B20" s="19">
        <f>B16+B18+B19</f>
        <v/>
      </c>
    </row>
    <row r="21">
      <c r="A21" s="3" t="inlineStr">
        <is>
          <t>DCF fair value per share (EGP)</t>
        </is>
      </c>
      <c r="B21" s="9">
        <f>B20/Assumptions!B5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Income statement (consolidated, EGP mn)</t>
        </is>
      </c>
    </row>
    <row r="2">
      <c r="A2" s="2" t="inlineStr">
        <is>
          <t>FY2023–FY2025 as reported (EGX filings, company releases); FY26E–FY30E link to Assumptions drivers.</t>
        </is>
      </c>
    </row>
    <row r="3">
      <c r="B3" s="4" t="inlineStr">
        <is>
          <t>FY23</t>
        </is>
      </c>
      <c r="C3" s="4" t="inlineStr">
        <is>
          <t>FY24</t>
        </is>
      </c>
      <c r="D3" s="4" t="inlineStr">
        <is>
          <t>FY25</t>
        </is>
      </c>
      <c r="E3" s="4" t="inlineStr">
        <is>
          <t>FY26E</t>
        </is>
      </c>
      <c r="F3" s="4" t="inlineStr">
        <is>
          <t>FY27E</t>
        </is>
      </c>
      <c r="G3" s="4" t="inlineStr">
        <is>
          <t>FY28E</t>
        </is>
      </c>
      <c r="H3" s="4" t="inlineStr">
        <is>
          <t>FY29E</t>
        </is>
      </c>
      <c r="I3" s="4" t="inlineStr">
        <is>
          <t>FY30E</t>
        </is>
      </c>
    </row>
    <row r="4">
      <c r="A4" t="inlineStr">
        <is>
          <t>Revenue</t>
        </is>
      </c>
      <c r="B4" s="19" t="n">
        <v>5780</v>
      </c>
      <c r="C4" s="19" t="n">
        <v>5000</v>
      </c>
      <c r="D4" s="19" t="n">
        <v>6400</v>
      </c>
      <c r="E4" s="19">
        <f>D4*(1+Assumptions!C40)</f>
        <v/>
      </c>
      <c r="F4" s="19">
        <f>E4*(1+Assumptions!D40)</f>
        <v/>
      </c>
      <c r="G4" s="19">
        <f>F4*(1+Assumptions!E40)</f>
        <v/>
      </c>
      <c r="H4" s="19">
        <f>G4*(1+Assumptions!F40)</f>
        <v/>
      </c>
      <c r="I4" s="19">
        <f>H4*(1+Assumptions!G40)</f>
        <v/>
      </c>
    </row>
    <row r="5">
      <c r="A5" t="inlineStr">
        <is>
          <t>COGS</t>
        </is>
      </c>
      <c r="B5" s="19">
        <f>-B4*0.70</f>
        <v/>
      </c>
      <c r="C5" s="19">
        <f>-C4*0.70</f>
        <v/>
      </c>
      <c r="D5" s="19">
        <f>-D4*0.70</f>
        <v/>
      </c>
      <c r="E5" s="19">
        <f>-E4*(1-0.30)</f>
        <v/>
      </c>
      <c r="F5" s="19">
        <f>-F4*(1-0.30)</f>
        <v/>
      </c>
      <c r="G5" s="19">
        <f>-G4*(1-0.30)</f>
        <v/>
      </c>
      <c r="H5" s="19">
        <f>-H4*(1-0.30)</f>
        <v/>
      </c>
      <c r="I5" s="19">
        <f>-I4*(1-0.30)</f>
        <v/>
      </c>
    </row>
    <row r="6">
      <c r="A6" s="3" t="inlineStr">
        <is>
          <t>Gross profit</t>
        </is>
      </c>
      <c r="B6" s="19">
        <f>B4+B5</f>
        <v/>
      </c>
      <c r="C6" s="19">
        <f>C4+C5</f>
        <v/>
      </c>
      <c r="D6" s="19">
        <f>D4+D5</f>
        <v/>
      </c>
      <c r="E6" s="19">
        <f>E4+E5</f>
        <v/>
      </c>
      <c r="F6" s="19">
        <f>F4+F5</f>
        <v/>
      </c>
      <c r="G6" s="19">
        <f>G4+G5</f>
        <v/>
      </c>
      <c r="H6" s="19">
        <f>H4+H5</f>
        <v/>
      </c>
      <c r="I6" s="19">
        <f>I4+I5</f>
        <v/>
      </c>
    </row>
    <row r="7">
      <c r="A7" t="inlineStr">
        <is>
          <t>SG&amp;A &amp; other opex</t>
        </is>
      </c>
      <c r="B7" s="19">
        <f>-B4*0.08</f>
        <v/>
      </c>
      <c r="C7" s="19">
        <f>-C4*0.08</f>
        <v/>
      </c>
      <c r="D7" s="19">
        <f>-D4*0.08</f>
        <v/>
      </c>
      <c r="E7" s="19">
        <f>-E4*0.08</f>
        <v/>
      </c>
      <c r="F7" s="19">
        <f>-F4*0.08</f>
        <v/>
      </c>
      <c r="G7" s="19">
        <f>-G4*0.08</f>
        <v/>
      </c>
      <c r="H7" s="19">
        <f>-H4*0.08</f>
        <v/>
      </c>
      <c r="I7" s="19">
        <f>-I4*0.08</f>
        <v/>
      </c>
    </row>
    <row r="8">
      <c r="A8" s="3" t="inlineStr">
        <is>
          <t>EBITDA</t>
        </is>
      </c>
      <c r="B8" s="19">
        <f>B6+B7</f>
        <v/>
      </c>
      <c r="C8" s="19">
        <f>C6+C7</f>
        <v/>
      </c>
      <c r="D8" s="19">
        <f>D6+D7</f>
        <v/>
      </c>
      <c r="E8" s="19">
        <f>E4*Assumptions!C41</f>
        <v/>
      </c>
      <c r="F8" s="19">
        <f>F4*Assumptions!D41</f>
        <v/>
      </c>
      <c r="G8" s="19">
        <f>G4*Assumptions!E41</f>
        <v/>
      </c>
      <c r="H8" s="19">
        <f>H4*Assumptions!F41</f>
        <v/>
      </c>
      <c r="I8" s="19">
        <f>I4*Assumptions!G41</f>
        <v/>
      </c>
    </row>
    <row r="9">
      <c r="A9" t="inlineStr">
        <is>
          <t>D&amp;A</t>
        </is>
      </c>
      <c r="B9" s="19">
        <f>-B4*0.02</f>
        <v/>
      </c>
      <c r="C9" s="19">
        <f>-C4*0.02</f>
        <v/>
      </c>
      <c r="D9" s="19">
        <f>-D4*0.02</f>
        <v/>
      </c>
      <c r="E9" s="19">
        <f>-E4*Assumptions!C42</f>
        <v/>
      </c>
      <c r="F9" s="19">
        <f>-F4*Assumptions!D42</f>
        <v/>
      </c>
      <c r="G9" s="19">
        <f>-G4*Assumptions!E42</f>
        <v/>
      </c>
      <c r="H9" s="19">
        <f>-H4*Assumptions!F42</f>
        <v/>
      </c>
      <c r="I9" s="19">
        <f>-I4*Assumptions!G42</f>
        <v/>
      </c>
    </row>
    <row r="10">
      <c r="A10" s="3" t="inlineStr">
        <is>
          <t>EBIT</t>
        </is>
      </c>
      <c r="B10" s="19">
        <f>B8+B9</f>
        <v/>
      </c>
      <c r="C10" s="19">
        <f>C8+C9</f>
        <v/>
      </c>
      <c r="D10" s="19">
        <f>D8+D9</f>
        <v/>
      </c>
      <c r="E10" s="19">
        <f>E8+E9</f>
        <v/>
      </c>
      <c r="F10" s="19">
        <f>F8+F9</f>
        <v/>
      </c>
      <c r="G10" s="19">
        <f>G8+G9</f>
        <v/>
      </c>
      <c r="H10" s="19">
        <f>H8+H9</f>
        <v/>
      </c>
      <c r="I10" s="19">
        <f>I8+I9</f>
        <v/>
      </c>
    </row>
    <row r="11">
      <c r="A11" t="inlineStr">
        <is>
          <t>Net finance cost</t>
        </is>
      </c>
      <c r="B11" s="19" t="n">
        <v>-900</v>
      </c>
      <c r="C11" s="19" t="n">
        <v>-1050</v>
      </c>
      <c r="D11" s="19" t="n">
        <v>-1200</v>
      </c>
      <c r="E11" s="19">
        <f>-E4*0.13</f>
        <v/>
      </c>
      <c r="F11" s="19">
        <f>-F4*0.13</f>
        <v/>
      </c>
      <c r="G11" s="19">
        <f>-G4*0.13</f>
        <v/>
      </c>
      <c r="H11" s="19">
        <f>-H4*0.13</f>
        <v/>
      </c>
      <c r="I11" s="19">
        <f>-I4*0.13</f>
        <v/>
      </c>
    </row>
    <row r="12">
      <c r="A12" t="inlineStr">
        <is>
          <t>Other income / associates</t>
        </is>
      </c>
      <c r="B12" s="19" t="n">
        <v>600</v>
      </c>
      <c r="C12" s="19" t="n">
        <v>1900</v>
      </c>
      <c r="D12" s="19" t="n">
        <v>650</v>
      </c>
      <c r="E12" s="19" t="n">
        <v>300</v>
      </c>
      <c r="F12" s="19" t="n">
        <v>300</v>
      </c>
      <c r="G12" s="19" t="n">
        <v>300</v>
      </c>
      <c r="H12" s="19" t="n">
        <v>300</v>
      </c>
      <c r="I12" s="19" t="n">
        <v>300</v>
      </c>
    </row>
    <row r="13">
      <c r="A13" s="3" t="inlineStr">
        <is>
          <t>Pre-tax profit</t>
        </is>
      </c>
      <c r="B13" s="19">
        <f>B10+B11+B12</f>
        <v/>
      </c>
      <c r="C13" s="19">
        <f>C10+C11+C12</f>
        <v/>
      </c>
      <c r="D13" s="19">
        <f>D10+D11+D12</f>
        <v/>
      </c>
      <c r="E13" s="19">
        <f>E10+E11+E12</f>
        <v/>
      </c>
      <c r="F13" s="19">
        <f>F10+F11+F12</f>
        <v/>
      </c>
      <c r="G13" s="19">
        <f>G10+G11+G12</f>
        <v/>
      </c>
      <c r="H13" s="19">
        <f>H10+H11+H12</f>
        <v/>
      </c>
      <c r="I13" s="19">
        <f>I10+I11+I12</f>
        <v/>
      </c>
    </row>
    <row r="14">
      <c r="A14" t="inlineStr">
        <is>
          <t>Tax</t>
        </is>
      </c>
      <c r="B14" s="19">
        <f>-B13*Assumptions!B14</f>
        <v/>
      </c>
      <c r="C14" s="19">
        <f>-C13*Assumptions!B14</f>
        <v/>
      </c>
      <c r="D14" s="19">
        <f>-D13*Assumptions!B14</f>
        <v/>
      </c>
      <c r="E14" s="19">
        <f>-E13*Assumptions!B14</f>
        <v/>
      </c>
      <c r="F14" s="19">
        <f>-F13*Assumptions!B14</f>
        <v/>
      </c>
      <c r="G14" s="19">
        <f>-G13*Assumptions!B14</f>
        <v/>
      </c>
      <c r="H14" s="19">
        <f>-H13*Assumptions!B14</f>
        <v/>
      </c>
      <c r="I14" s="19">
        <f>-I13*Assumptions!B14</f>
        <v/>
      </c>
    </row>
    <row r="15">
      <c r="A15" s="3" t="inlineStr">
        <is>
          <t>Net profit after tax (consolidated)</t>
        </is>
      </c>
      <c r="B15" s="19">
        <f>B13+B14</f>
        <v/>
      </c>
      <c r="C15" s="19">
        <f>C13+C14</f>
        <v/>
      </c>
      <c r="D15" s="19">
        <f>D13+D14</f>
        <v/>
      </c>
      <c r="E15" s="19">
        <f>E13+E14</f>
        <v/>
      </c>
      <c r="F15" s="19">
        <f>F13+F14</f>
        <v/>
      </c>
      <c r="G15" s="19">
        <f>G13+G14</f>
        <v/>
      </c>
      <c r="H15" s="19">
        <f>H13+H14</f>
        <v/>
      </c>
      <c r="I15" s="19">
        <f>I13+I14</f>
        <v/>
      </c>
    </row>
    <row r="16">
      <c r="A16" t="inlineStr">
        <is>
          <t>less: minority interest</t>
        </is>
      </c>
      <c r="B16" s="19" t="n">
        <v>-257</v>
      </c>
      <c r="C16" s="19" t="n">
        <v>10</v>
      </c>
      <c r="D16" s="19" t="n">
        <v>-312</v>
      </c>
      <c r="E16" s="19">
        <f>-E15*0.30</f>
        <v/>
      </c>
      <c r="F16" s="19">
        <f>-F15*0.30</f>
        <v/>
      </c>
      <c r="G16" s="19">
        <f>-G15*0.30</f>
        <v/>
      </c>
      <c r="H16" s="19">
        <f>-H15*0.30</f>
        <v/>
      </c>
      <c r="I16" s="19">
        <f>-I15*0.30</f>
        <v/>
      </c>
    </row>
    <row r="17">
      <c r="A17" s="3" t="inlineStr">
        <is>
          <t>Attributable to parent</t>
        </is>
      </c>
      <c r="B17" s="19">
        <f>B15+B16</f>
        <v/>
      </c>
      <c r="C17" s="19">
        <f>C15+C16</f>
        <v/>
      </c>
      <c r="D17" s="19">
        <f>D15+D16</f>
        <v/>
      </c>
      <c r="E17" s="19">
        <f>E15+E16</f>
        <v/>
      </c>
      <c r="F17" s="19">
        <f>F15+F16</f>
        <v/>
      </c>
      <c r="G17" s="19">
        <f>G15+G16</f>
        <v/>
      </c>
      <c r="H17" s="19">
        <f>H15+H16</f>
        <v/>
      </c>
      <c r="I17" s="19">
        <f>I15+I16</f>
        <v/>
      </c>
    </row>
    <row r="19">
      <c r="A19" s="2" t="inlineStr">
        <is>
          <t>Reported NPAT (consolidated), disclosed</t>
        </is>
      </c>
      <c r="B19" s="23" t="n">
        <v>557</v>
      </c>
      <c r="C19" s="23" t="n">
        <v>1260</v>
      </c>
      <c r="D19" s="23" t="n">
        <v>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Balance sheet (consolidated, EGP mn)</t>
        </is>
      </c>
    </row>
    <row r="2">
      <c r="A2" s="2" t="inlineStr">
        <is>
          <t>Selected lines; several splits are house estimates to balance to disclosed totals (assets ~54bn, equity attr. ~13.5bn H1-24).</t>
        </is>
      </c>
    </row>
    <row r="3">
      <c r="B3" s="4" t="inlineStr">
        <is>
          <t>FY23</t>
        </is>
      </c>
      <c r="C3" s="4" t="inlineStr">
        <is>
          <t>FY24</t>
        </is>
      </c>
      <c r="D3" s="4" t="inlineStr">
        <is>
          <t>FY25</t>
        </is>
      </c>
      <c r="E3" s="4" t="inlineStr">
        <is>
          <t>FY26E</t>
        </is>
      </c>
      <c r="F3" s="4" t="inlineStr">
        <is>
          <t>FY27E</t>
        </is>
      </c>
      <c r="G3" s="4" t="inlineStr">
        <is>
          <t>FY28E</t>
        </is>
      </c>
      <c r="H3" s="4" t="inlineStr">
        <is>
          <t>FY29E</t>
        </is>
      </c>
      <c r="I3" s="4" t="inlineStr">
        <is>
          <t>FY30E</t>
        </is>
      </c>
    </row>
    <row r="4">
      <c r="A4" t="inlineStr">
        <is>
          <t>Cash &amp; equivalents</t>
        </is>
      </c>
      <c r="B4" s="19" t="n">
        <v>4200</v>
      </c>
      <c r="C4" s="19" t="n">
        <v>5000</v>
      </c>
      <c r="D4" s="19" t="n">
        <v>5600</v>
      </c>
      <c r="E4" s="19" t="n">
        <v>6000</v>
      </c>
      <c r="F4" s="19" t="n">
        <v>6500</v>
      </c>
      <c r="G4" s="19" t="n">
        <v>7000</v>
      </c>
      <c r="H4" s="19" t="n">
        <v>7600</v>
      </c>
      <c r="I4" s="19" t="n">
        <v>8300</v>
      </c>
    </row>
    <row r="5">
      <c r="A5" t="inlineStr">
        <is>
          <t>Trade &amp; installment receivables</t>
        </is>
      </c>
      <c r="B5" s="19" t="n">
        <v>8000</v>
      </c>
      <c r="C5" s="19" t="n">
        <v>9500</v>
      </c>
      <c r="D5" s="19" t="n">
        <v>11000</v>
      </c>
      <c r="E5" s="19" t="n">
        <v>12200</v>
      </c>
      <c r="F5" s="19" t="n">
        <v>13900</v>
      </c>
      <c r="G5" s="19" t="n">
        <v>15900</v>
      </c>
      <c r="H5" s="19" t="n">
        <v>18100</v>
      </c>
      <c r="I5" s="19" t="n">
        <v>20700</v>
      </c>
    </row>
    <row r="6">
      <c r="A6" t="inlineStr">
        <is>
          <t>Development inventory / WIP &amp; land</t>
        </is>
      </c>
      <c r="B6" s="19" t="n">
        <v>26000</v>
      </c>
      <c r="C6" s="19" t="n">
        <v>30000</v>
      </c>
      <c r="D6" s="19" t="n">
        <v>33000</v>
      </c>
      <c r="E6" s="19" t="n">
        <v>35000</v>
      </c>
      <c r="F6" s="19" t="n">
        <v>37500</v>
      </c>
      <c r="G6" s="19" t="n">
        <v>40000</v>
      </c>
      <c r="H6" s="19" t="n">
        <v>42500</v>
      </c>
      <c r="I6" s="19" t="n">
        <v>45000</v>
      </c>
    </row>
    <row r="7">
      <c r="A7" t="inlineStr">
        <is>
          <t>Investment property &amp; PP&amp;E</t>
        </is>
      </c>
      <c r="B7" s="19" t="n">
        <v>4500</v>
      </c>
      <c r="C7" s="19" t="n">
        <v>5000</v>
      </c>
      <c r="D7" s="19" t="n">
        <v>5300</v>
      </c>
      <c r="E7" s="19" t="n">
        <v>5500</v>
      </c>
      <c r="F7" s="19" t="n">
        <v>5700</v>
      </c>
      <c r="G7" s="19" t="n">
        <v>5900</v>
      </c>
      <c r="H7" s="19" t="n">
        <v>6100</v>
      </c>
      <c r="I7" s="19" t="n">
        <v>6300</v>
      </c>
    </row>
    <row r="8">
      <c r="A8" t="inlineStr">
        <is>
          <t>Other assets</t>
        </is>
      </c>
      <c r="B8" s="19" t="n">
        <v>4300</v>
      </c>
      <c r="C8" s="19" t="n">
        <v>4500</v>
      </c>
      <c r="D8" s="19" t="n">
        <v>4600</v>
      </c>
      <c r="E8" s="19" t="n">
        <v>4700</v>
      </c>
      <c r="F8" s="19" t="n">
        <v>4800</v>
      </c>
      <c r="G8" s="19" t="n">
        <v>4900</v>
      </c>
      <c r="H8" s="19" t="n">
        <v>5000</v>
      </c>
      <c r="I8" s="19" t="n">
        <v>5100</v>
      </c>
    </row>
    <row r="9">
      <c r="A9" s="3" t="inlineStr">
        <is>
          <t>Total assets</t>
        </is>
      </c>
      <c r="B9" s="19">
        <f>B4+B5+B6+B7+B8</f>
        <v/>
      </c>
      <c r="C9" s="19">
        <f>C4+C5+C6+C7+C8</f>
        <v/>
      </c>
      <c r="D9" s="19">
        <f>D4+D5+D6+D7+D8</f>
        <v/>
      </c>
      <c r="E9" s="19">
        <f>E4+E5+E6+E7+E8</f>
        <v/>
      </c>
      <c r="F9" s="19">
        <f>F4+F5+F6+F7+F8</f>
        <v/>
      </c>
      <c r="G9" s="19">
        <f>G4+G5+G6+G7+G8</f>
        <v/>
      </c>
      <c r="H9" s="19">
        <f>H4+H5+H6+H7+H8</f>
        <v/>
      </c>
      <c r="I9" s="19">
        <f>I4+I5+I6+I7+I8</f>
        <v/>
      </c>
    </row>
    <row r="10">
      <c r="A10" t="inlineStr">
        <is>
          <t>Borrowings (financial debt)</t>
        </is>
      </c>
      <c r="B10" s="19" t="n">
        <v>9000</v>
      </c>
      <c r="C10" s="19" t="n">
        <v>10000</v>
      </c>
      <c r="D10" s="19" t="n">
        <v>10600</v>
      </c>
      <c r="E10" s="19" t="n">
        <v>11200</v>
      </c>
      <c r="F10" s="19" t="n">
        <v>11700</v>
      </c>
      <c r="G10" s="19" t="n">
        <v>12100</v>
      </c>
      <c r="H10" s="19" t="n">
        <v>12300</v>
      </c>
      <c r="I10" s="19" t="n">
        <v>12400</v>
      </c>
    </row>
    <row r="11">
      <c r="A11" t="inlineStr">
        <is>
          <t>Customer advances / deferred revenue</t>
        </is>
      </c>
      <c r="B11" s="19" t="n">
        <v>16000</v>
      </c>
      <c r="C11" s="19" t="n">
        <v>19000</v>
      </c>
      <c r="D11" s="19" t="n">
        <v>21000</v>
      </c>
      <c r="E11" s="19" t="n">
        <v>22800</v>
      </c>
      <c r="F11" s="19" t="n">
        <v>25000</v>
      </c>
      <c r="G11" s="19" t="n">
        <v>27400</v>
      </c>
      <c r="H11" s="19" t="n">
        <v>30000</v>
      </c>
      <c r="I11" s="19" t="n">
        <v>32800</v>
      </c>
    </row>
    <row r="12">
      <c r="A12" t="inlineStr">
        <is>
          <t>Trade payables &amp; provisions</t>
        </is>
      </c>
      <c r="B12" s="19" t="n">
        <v>9500</v>
      </c>
      <c r="C12" s="19" t="n">
        <v>11000</v>
      </c>
      <c r="D12" s="19" t="n">
        <v>11800</v>
      </c>
      <c r="E12" s="19" t="n">
        <v>12300</v>
      </c>
      <c r="F12" s="19" t="n">
        <v>12900</v>
      </c>
      <c r="G12" s="19" t="n">
        <v>13500</v>
      </c>
      <c r="H12" s="19" t="n">
        <v>14100</v>
      </c>
      <c r="I12" s="19" t="n">
        <v>14700</v>
      </c>
    </row>
    <row r="13">
      <c r="A13" s="3" t="inlineStr">
        <is>
          <t>Total liabilities</t>
        </is>
      </c>
      <c r="B13" s="19">
        <f>B10+B11+B12</f>
        <v/>
      </c>
      <c r="C13" s="19">
        <f>C10+C11+C12</f>
        <v/>
      </c>
      <c r="D13" s="19">
        <f>D10+D11+D12</f>
        <v/>
      </c>
      <c r="E13" s="19">
        <f>E10+E11+E12</f>
        <v/>
      </c>
      <c r="F13" s="19">
        <f>F10+F11+F12</f>
        <v/>
      </c>
      <c r="G13" s="19">
        <f>G10+G11+G12</f>
        <v/>
      </c>
      <c r="H13" s="19">
        <f>H10+H11+H12</f>
        <v/>
      </c>
      <c r="I13" s="19">
        <f>I10+I11+I12</f>
        <v/>
      </c>
    </row>
    <row r="14">
      <c r="A14" t="inlineStr">
        <is>
          <t>Minority interest</t>
        </is>
      </c>
      <c r="B14" s="19" t="n">
        <v>6000</v>
      </c>
      <c r="C14" s="19" t="n">
        <v>6800</v>
      </c>
      <c r="D14" s="19" t="n">
        <v>7000</v>
      </c>
      <c r="E14" s="19" t="n">
        <v>7100</v>
      </c>
      <c r="F14" s="19" t="n">
        <v>7200</v>
      </c>
      <c r="G14" s="19" t="n">
        <v>7300</v>
      </c>
      <c r="H14" s="19" t="n">
        <v>7400</v>
      </c>
      <c r="I14" s="19" t="n">
        <v>7500</v>
      </c>
    </row>
    <row r="15">
      <c r="A15" s="3" t="inlineStr">
        <is>
          <t>Equity attributable to parent</t>
        </is>
      </c>
      <c r="B15" s="19">
        <f>B9-B13-B14</f>
        <v/>
      </c>
      <c r="C15" s="19">
        <f>C9-C13-C14</f>
        <v/>
      </c>
      <c r="D15" s="19">
        <f>D9-D13-D14</f>
        <v/>
      </c>
      <c r="E15" s="19">
        <f>E9-E13-E14</f>
        <v/>
      </c>
      <c r="F15" s="19">
        <f>F9-F13-F14</f>
        <v/>
      </c>
      <c r="G15" s="19">
        <f>G9-G13-G14</f>
        <v/>
      </c>
      <c r="H15" s="19">
        <f>H9-H13-H14</f>
        <v/>
      </c>
      <c r="I15" s="19">
        <f>I9-I13-I14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Cash flow (consolidated, EGP mn)</t>
        </is>
      </c>
    </row>
    <row r="2">
      <c r="A2" s="2" t="inlineStr">
        <is>
          <t>Indirect method; forecast links to Income Statement, Balance Sheet and Assumptions.</t>
        </is>
      </c>
    </row>
    <row r="3">
      <c r="B3" s="4" t="inlineStr">
        <is>
          <t>FY26E</t>
        </is>
      </c>
      <c r="C3" s="4" t="inlineStr">
        <is>
          <t>FY27E</t>
        </is>
      </c>
      <c r="D3" s="4" t="inlineStr">
        <is>
          <t>FY28E</t>
        </is>
      </c>
      <c r="E3" s="4" t="inlineStr">
        <is>
          <t>FY29E</t>
        </is>
      </c>
      <c r="F3" s="4" t="inlineStr">
        <is>
          <t>FY30E</t>
        </is>
      </c>
    </row>
    <row r="4">
      <c r="A4" t="inlineStr">
        <is>
          <t>NOPAT (EBIT×(1−t))</t>
        </is>
      </c>
      <c r="B4" s="19">
        <f>'Income Statement'!E10*(1-Assumptions!B14)</f>
        <v/>
      </c>
      <c r="C4" s="19">
        <f>'Income Statement'!F10*(1-Assumptions!B14)</f>
        <v/>
      </c>
      <c r="D4" s="19">
        <f>'Income Statement'!G10*(1-Assumptions!B14)</f>
        <v/>
      </c>
      <c r="E4" s="19">
        <f>'Income Statement'!H10*(1-Assumptions!B14)</f>
        <v/>
      </c>
      <c r="F4" s="19">
        <f>'Income Statement'!I10*(1-Assumptions!B14)</f>
        <v/>
      </c>
    </row>
    <row r="5">
      <c r="A5" t="inlineStr">
        <is>
          <t>+ D&amp;A</t>
        </is>
      </c>
      <c r="B5" s="19">
        <f>-'Income Statement'!E9</f>
        <v/>
      </c>
      <c r="C5" s="19">
        <f>-'Income Statement'!F9</f>
        <v/>
      </c>
      <c r="D5" s="19">
        <f>-'Income Statement'!G9</f>
        <v/>
      </c>
      <c r="E5" s="19">
        <f>-'Income Statement'!H9</f>
        <v/>
      </c>
      <c r="F5" s="19">
        <f>-'Income Statement'!I9</f>
        <v/>
      </c>
    </row>
    <row r="6">
      <c r="A6" t="inlineStr">
        <is>
          <t>− Capex</t>
        </is>
      </c>
      <c r="B6" s="19">
        <f>-'Income Statement'!E4*Assumptions!C43</f>
        <v/>
      </c>
      <c r="C6" s="19">
        <f>-'Income Statement'!F4*Assumptions!D43</f>
        <v/>
      </c>
      <c r="D6" s="19">
        <f>-'Income Statement'!G4*Assumptions!E43</f>
        <v/>
      </c>
      <c r="E6" s="19">
        <f>-'Income Statement'!H4*Assumptions!F43</f>
        <v/>
      </c>
      <c r="F6" s="19">
        <f>-'Income Statement'!I4*Assumptions!G43</f>
        <v/>
      </c>
    </row>
    <row r="7">
      <c r="A7" t="inlineStr">
        <is>
          <t>− Δ working capital</t>
        </is>
      </c>
      <c r="B7" s="19">
        <f>-('Income Statement'!E4-'Income Statement'!D4)*Assumptions!C44</f>
        <v/>
      </c>
      <c r="C7" s="19">
        <f>-('Income Statement'!F4-'Income Statement'!E4)*Assumptions!D44</f>
        <v/>
      </c>
      <c r="D7" s="19">
        <f>-('Income Statement'!G4-'Income Statement'!F4)*Assumptions!E44</f>
        <v/>
      </c>
      <c r="E7" s="19">
        <f>-('Income Statement'!H4-'Income Statement'!G4)*Assumptions!F44</f>
        <v/>
      </c>
      <c r="F7" s="19">
        <f>-('Income Statement'!I4-'Income Statement'!H4)*Assumptions!G44</f>
        <v/>
      </c>
    </row>
    <row r="8">
      <c r="A8" s="3" t="inlineStr">
        <is>
          <t>Free cash flow to firm</t>
        </is>
      </c>
      <c r="B8" s="19">
        <f>B4+B5+B6+B7</f>
        <v/>
      </c>
      <c r="C8" s="19">
        <f>C4+C5+C6+C7</f>
        <v/>
      </c>
      <c r="D8" s="19">
        <f>D4+D5+D6+D7</f>
        <v/>
      </c>
      <c r="E8" s="19">
        <f>E4+E5+E6+E7</f>
        <v/>
      </c>
      <c r="F8" s="19">
        <f>F4+F5+F6+F7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Summary financials (links to statement sheets, EGP mn)</t>
        </is>
      </c>
    </row>
    <row r="3">
      <c r="B3" s="4" t="inlineStr">
        <is>
          <t>FY23</t>
        </is>
      </c>
      <c r="C3" s="4" t="inlineStr">
        <is>
          <t>FY24</t>
        </is>
      </c>
      <c r="D3" s="4" t="inlineStr">
        <is>
          <t>FY25</t>
        </is>
      </c>
      <c r="E3" s="4" t="inlineStr">
        <is>
          <t>FY26E</t>
        </is>
      </c>
      <c r="F3" s="4" t="inlineStr">
        <is>
          <t>FY27E</t>
        </is>
      </c>
      <c r="G3" s="4" t="inlineStr">
        <is>
          <t>FY28E</t>
        </is>
      </c>
      <c r="H3" s="4" t="inlineStr">
        <is>
          <t>FY29E</t>
        </is>
      </c>
      <c r="I3" s="4" t="inlineStr">
        <is>
          <t>FY30E</t>
        </is>
      </c>
    </row>
    <row r="4">
      <c r="A4" t="inlineStr">
        <is>
          <t>Revenue</t>
        </is>
      </c>
      <c r="B4" s="19">
        <f>'Income Statement'!B4</f>
        <v/>
      </c>
      <c r="C4" s="19">
        <f>'Income Statement'!C4</f>
        <v/>
      </c>
      <c r="D4" s="19">
        <f>'Income Statement'!D4</f>
        <v/>
      </c>
      <c r="E4" s="19">
        <f>'Income Statement'!E4</f>
        <v/>
      </c>
      <c r="F4" s="19">
        <f>'Income Statement'!F4</f>
        <v/>
      </c>
      <c r="G4" s="19">
        <f>'Income Statement'!G4</f>
        <v/>
      </c>
      <c r="H4" s="19">
        <f>'Income Statement'!H4</f>
        <v/>
      </c>
      <c r="I4" s="19">
        <f>'Income Statement'!I4</f>
        <v/>
      </c>
    </row>
    <row r="5">
      <c r="A5" t="inlineStr">
        <is>
          <t>EBITDA</t>
        </is>
      </c>
      <c r="B5" s="19">
        <f>'Income Statement'!B8</f>
        <v/>
      </c>
      <c r="C5" s="19">
        <f>'Income Statement'!C8</f>
        <v/>
      </c>
      <c r="D5" s="19">
        <f>'Income Statement'!D8</f>
        <v/>
      </c>
      <c r="E5" s="19">
        <f>'Income Statement'!E8</f>
        <v/>
      </c>
      <c r="F5" s="19">
        <f>'Income Statement'!F8</f>
        <v/>
      </c>
      <c r="G5" s="19">
        <f>'Income Statement'!G8</f>
        <v/>
      </c>
      <c r="H5" s="19">
        <f>'Income Statement'!H8</f>
        <v/>
      </c>
      <c r="I5" s="19">
        <f>'Income Statement'!I8</f>
        <v/>
      </c>
    </row>
    <row r="6">
      <c r="A6" t="inlineStr">
        <is>
          <t>EBIT</t>
        </is>
      </c>
      <c r="B6" s="19">
        <f>'Income Statement'!B10</f>
        <v/>
      </c>
      <c r="C6" s="19">
        <f>'Income Statement'!C10</f>
        <v/>
      </c>
      <c r="D6" s="19">
        <f>'Income Statement'!D10</f>
        <v/>
      </c>
      <c r="E6" s="19">
        <f>'Income Statement'!E10</f>
        <v/>
      </c>
      <c r="F6" s="19">
        <f>'Income Statement'!F10</f>
        <v/>
      </c>
      <c r="G6" s="19">
        <f>'Income Statement'!G10</f>
        <v/>
      </c>
      <c r="H6" s="19">
        <f>'Income Statement'!H10</f>
        <v/>
      </c>
      <c r="I6" s="19">
        <f>'Income Statement'!I10</f>
        <v/>
      </c>
    </row>
    <row r="7">
      <c r="A7" t="inlineStr">
        <is>
          <t>Net profit (consolidated)</t>
        </is>
      </c>
      <c r="B7" s="19">
        <f>'Income Statement'!B15</f>
        <v/>
      </c>
      <c r="C7" s="19">
        <f>'Income Statement'!C15</f>
        <v/>
      </c>
      <c r="D7" s="19">
        <f>'Income Statement'!D15</f>
        <v/>
      </c>
      <c r="E7" s="19">
        <f>'Income Statement'!E15</f>
        <v/>
      </c>
      <c r="F7" s="19">
        <f>'Income Statement'!F15</f>
        <v/>
      </c>
      <c r="G7" s="19">
        <f>'Income Statement'!G15</f>
        <v/>
      </c>
      <c r="H7" s="19">
        <f>'Income Statement'!H15</f>
        <v/>
      </c>
      <c r="I7" s="19">
        <f>'Income Statement'!I15</f>
        <v/>
      </c>
    </row>
    <row r="8">
      <c r="A8" t="inlineStr">
        <is>
          <t>Attributable to parent</t>
        </is>
      </c>
      <c r="B8" s="19">
        <f>'Income Statement'!B17</f>
        <v/>
      </c>
      <c r="C8" s="19">
        <f>'Income Statement'!C17</f>
        <v/>
      </c>
      <c r="D8" s="19">
        <f>'Income Statement'!D17</f>
        <v/>
      </c>
      <c r="E8" s="19">
        <f>'Income Statement'!E17</f>
        <v/>
      </c>
      <c r="F8" s="19">
        <f>'Income Statement'!F17</f>
        <v/>
      </c>
      <c r="G8" s="19">
        <f>'Income Statement'!G17</f>
        <v/>
      </c>
      <c r="H8" s="19">
        <f>'Income Statement'!H17</f>
        <v/>
      </c>
      <c r="I8" s="19">
        <f>'Income Statement'!I17</f>
        <v/>
      </c>
    </row>
    <row r="9">
      <c r="A9" t="inlineStr">
        <is>
          <t>Total assets</t>
        </is>
      </c>
      <c r="B9" s="19">
        <f>'Balance Sheet'!B9</f>
        <v/>
      </c>
      <c r="C9" s="19">
        <f>'Balance Sheet'!C9</f>
        <v/>
      </c>
      <c r="D9" s="19">
        <f>'Balance Sheet'!D9</f>
        <v/>
      </c>
      <c r="E9" s="19">
        <f>'Balance Sheet'!E9</f>
        <v/>
      </c>
      <c r="F9" s="19">
        <f>'Balance Sheet'!F9</f>
        <v/>
      </c>
      <c r="G9" s="19">
        <f>'Balance Sheet'!G9</f>
        <v/>
      </c>
      <c r="H9" s="19">
        <f>'Balance Sheet'!H9</f>
        <v/>
      </c>
      <c r="I9" s="19">
        <f>'Balance Sheet'!I9</f>
        <v/>
      </c>
    </row>
    <row r="10">
      <c r="A10" t="inlineStr">
        <is>
          <t>Equity attributable</t>
        </is>
      </c>
      <c r="B10" s="19">
        <f>'Balance Sheet'!B15</f>
        <v/>
      </c>
      <c r="C10" s="19">
        <f>'Balance Sheet'!C15</f>
        <v/>
      </c>
      <c r="D10" s="19">
        <f>'Balance Sheet'!D15</f>
        <v/>
      </c>
      <c r="E10" s="19">
        <f>'Balance Sheet'!E15</f>
        <v/>
      </c>
      <c r="F10" s="19">
        <f>'Balance Sheet'!F15</f>
        <v/>
      </c>
      <c r="G10" s="19">
        <f>'Balance Sheet'!G15</f>
        <v/>
      </c>
      <c r="H10" s="19">
        <f>'Balance Sheet'!H15</f>
        <v/>
      </c>
      <c r="I10" s="19">
        <f>'Balance Sheet'!I15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Monte Carlo — probabilistic price map (illustrative)</t>
        </is>
      </c>
    </row>
    <row r="2">
      <c r="A2" s="2" t="inlineStr">
        <is>
          <t>YZ-HAR width · unit-variance t(5) · EGX-developer secular drift (floored) · 16 factors · 50k paths · seed 42.</t>
        </is>
      </c>
    </row>
    <row r="3">
      <c r="A3" s="24" t="inlineStr">
        <is>
          <t>Step 0 is marginal (see study Appendix B); this section is presented as an illustrative map, not a calibrated forecast.</t>
        </is>
      </c>
    </row>
    <row r="5">
      <c r="A5" s="3" t="inlineStr">
        <is>
          <t>Probability read (T+60, same 50,000 paths)</t>
        </is>
      </c>
    </row>
    <row r="6">
      <c r="A6" t="inlineStr">
        <is>
          <t>P(price &gt; spot)</t>
        </is>
      </c>
      <c r="B6" s="8" t="n">
        <v>0.609</v>
      </c>
    </row>
    <row r="7">
      <c r="A7" t="inlineStr">
        <is>
          <t>P(+10%) vs P(−10%)</t>
        </is>
      </c>
      <c r="B7" t="inlineStr">
        <is>
          <t>44% vs 23%  (odds 1.89)</t>
        </is>
      </c>
    </row>
    <row r="8">
      <c r="A8" t="inlineStr">
        <is>
          <t>Median level / move</t>
        </is>
      </c>
      <c r="B8" t="inlineStr">
        <is>
          <t>EGP 8.81  (+6.4%)</t>
        </is>
      </c>
    </row>
    <row r="9">
      <c r="A9" t="inlineStr">
        <is>
          <t>50% band (25th–75th)</t>
        </is>
      </c>
      <c r="B9" t="inlineStr">
        <is>
          <t>EGP 7.55 – 10.25  (-9% / +24%)</t>
        </is>
      </c>
    </row>
    <row r="10">
      <c r="A10" t="inlineStr">
        <is>
          <t>Touch(+10%) / Touch(−10%)</t>
        </is>
      </c>
      <c r="B10" t="inlineStr">
        <is>
          <t>70% / 50%</t>
        </is>
      </c>
    </row>
    <row r="12">
      <c r="A12" s="3" t="inlineStr">
        <is>
          <t>Percentile map (EGP/share)</t>
        </is>
      </c>
    </row>
    <row r="13">
      <c r="A13" s="4" t="inlineStr">
        <is>
          <t>Horizon</t>
        </is>
      </c>
      <c r="B13" s="4" t="inlineStr">
        <is>
          <t>p5</t>
        </is>
      </c>
      <c r="C13" s="4" t="inlineStr">
        <is>
          <t>p25</t>
        </is>
      </c>
      <c r="D13" s="4" t="inlineStr">
        <is>
          <t>p50</t>
        </is>
      </c>
      <c r="E13" s="4" t="inlineStr">
        <is>
          <t>p75</t>
        </is>
      </c>
      <c r="F13" s="4" t="inlineStr">
        <is>
          <t>p95</t>
        </is>
      </c>
    </row>
    <row r="14">
      <c r="A14" t="inlineStr">
        <is>
          <t>T+20</t>
        </is>
      </c>
      <c r="B14" s="5" t="n">
        <v>6.63</v>
      </c>
      <c r="C14" s="5" t="n">
        <v>7.74</v>
      </c>
      <c r="D14" s="5" t="n">
        <v>8.449999999999999</v>
      </c>
      <c r="E14" s="5" t="n">
        <v>9.24</v>
      </c>
      <c r="F14" s="5" t="n">
        <v>10.68</v>
      </c>
    </row>
    <row r="15">
      <c r="A15" t="inlineStr">
        <is>
          <t>T+60</t>
        </is>
      </c>
      <c r="B15" s="5" t="n">
        <v>5.86</v>
      </c>
      <c r="C15" s="5" t="n">
        <v>7.55</v>
      </c>
      <c r="D15" s="5" t="n">
        <v>8.81</v>
      </c>
      <c r="E15" s="5" t="n">
        <v>10.25</v>
      </c>
      <c r="F15" s="5" t="n">
        <v>13.17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Sensitivity</t>
        </is>
      </c>
    </row>
    <row r="2">
      <c r="A2" s="2" t="inlineStr">
        <is>
          <t>RNAV to development-leg NAV × holdco discount; and DCF fair value to WACC × terminal growth.</t>
        </is>
      </c>
    </row>
    <row r="4">
      <c r="A4" s="3" t="inlineStr">
        <is>
          <t>RNAV (EGP/share) — development NAV (EGP bn, cols) × discount (rows)</t>
        </is>
      </c>
    </row>
    <row r="5">
      <c r="A5" s="4" t="inlineStr"/>
      <c r="B5" s="4" t="inlineStr">
        <is>
          <t>11</t>
        </is>
      </c>
      <c r="C5" s="4" t="inlineStr">
        <is>
          <t>13</t>
        </is>
      </c>
      <c r="D5" s="4" t="inlineStr">
        <is>
          <t>15</t>
        </is>
      </c>
      <c r="E5" s="4" t="inlineStr">
        <is>
          <t>17</t>
        </is>
      </c>
      <c r="F5" s="4" t="inlineStr">
        <is>
          <t>19</t>
        </is>
      </c>
    </row>
    <row r="6">
      <c r="A6" t="inlineStr">
        <is>
          <t>20%</t>
        </is>
      </c>
      <c r="B6" s="5" t="n">
        <v>4.81</v>
      </c>
      <c r="C6" s="5" t="n">
        <v>6.34</v>
      </c>
      <c r="D6" s="5" t="n">
        <v>7.87</v>
      </c>
      <c r="E6" s="5" t="n">
        <v>9.4</v>
      </c>
      <c r="F6" s="5" t="n">
        <v>10.92</v>
      </c>
    </row>
    <row r="7">
      <c r="A7" t="inlineStr">
        <is>
          <t>15%</t>
        </is>
      </c>
      <c r="B7" s="5" t="n">
        <v>5.11</v>
      </c>
      <c r="C7" s="5" t="n">
        <v>6.74</v>
      </c>
      <c r="D7" s="5" t="n">
        <v>8.359999999999999</v>
      </c>
      <c r="E7" s="5" t="n">
        <v>9.98</v>
      </c>
      <c r="F7" s="5" t="n">
        <v>11.61</v>
      </c>
    </row>
    <row r="8">
      <c r="A8" t="inlineStr">
        <is>
          <t>10%</t>
        </is>
      </c>
      <c r="B8" s="5" t="n">
        <v>5.41</v>
      </c>
      <c r="C8" s="5" t="n">
        <v>7.13</v>
      </c>
      <c r="D8" s="5" t="n">
        <v>8.85</v>
      </c>
      <c r="E8" s="5" t="n">
        <v>10.57</v>
      </c>
      <c r="F8" s="5" t="n">
        <v>12.29</v>
      </c>
    </row>
    <row r="9">
      <c r="A9" t="inlineStr">
        <is>
          <t>5%</t>
        </is>
      </c>
      <c r="B9" s="5" t="n">
        <v>5.72</v>
      </c>
      <c r="C9" s="5" t="n">
        <v>7.53</v>
      </c>
      <c r="D9" s="5" t="n">
        <v>9.34</v>
      </c>
      <c r="E9" s="5" t="n">
        <v>11.16</v>
      </c>
      <c r="F9" s="5" t="n">
        <v>12.97</v>
      </c>
    </row>
    <row r="10">
      <c r="A10" t="inlineStr">
        <is>
          <t>0%</t>
        </is>
      </c>
      <c r="B10" s="5" t="n">
        <v>6.02</v>
      </c>
      <c r="C10" s="5" t="n">
        <v>7.93</v>
      </c>
      <c r="D10" s="5" t="n">
        <v>9.84</v>
      </c>
      <c r="E10" s="5" t="n">
        <v>11.75</v>
      </c>
      <c r="F10" s="5" t="n">
        <v>13.66</v>
      </c>
    </row>
    <row r="12">
      <c r="A12" s="3" t="inlineStr">
        <is>
          <t>DCF (EGP/share) — WACC (rows) × terminal g (cols)</t>
        </is>
      </c>
    </row>
    <row r="13">
      <c r="A13" s="4" t="inlineStr"/>
      <c r="B13" s="4" t="inlineStr">
        <is>
          <t>8%</t>
        </is>
      </c>
      <c r="C13" s="4" t="inlineStr">
        <is>
          <t>9%</t>
        </is>
      </c>
      <c r="D13" s="4" t="inlineStr">
        <is>
          <t>10%</t>
        </is>
      </c>
      <c r="E13" s="4" t="inlineStr">
        <is>
          <t>11%</t>
        </is>
      </c>
      <c r="F13" s="4" t="inlineStr">
        <is>
          <t>12%</t>
        </is>
      </c>
    </row>
    <row r="14">
      <c r="A14" t="inlineStr">
        <is>
          <t>16.5%</t>
        </is>
      </c>
      <c r="B14" s="5" t="n">
        <v>8.42</v>
      </c>
      <c r="C14" s="5" t="n">
        <v>10.07</v>
      </c>
      <c r="D14" s="5" t="n">
        <v>12.22</v>
      </c>
      <c r="E14" s="5" t="n">
        <v>15.16</v>
      </c>
      <c r="F14" s="5" t="n">
        <v>19.4</v>
      </c>
    </row>
    <row r="15">
      <c r="A15" t="inlineStr">
        <is>
          <t>18.0%</t>
        </is>
      </c>
      <c r="B15" s="5" t="n">
        <v>5.93</v>
      </c>
      <c r="C15" s="5" t="n">
        <v>7.04</v>
      </c>
      <c r="D15" s="5" t="n">
        <v>8.42</v>
      </c>
      <c r="E15" s="5" t="n">
        <v>10.2</v>
      </c>
      <c r="F15" s="5" t="n">
        <v>12.58</v>
      </c>
    </row>
    <row r="16">
      <c r="A16" t="inlineStr">
        <is>
          <t>18.5%</t>
        </is>
      </c>
      <c r="B16" s="5" t="n">
        <v>5.26</v>
      </c>
      <c r="C16" s="5" t="n">
        <v>6.24</v>
      </c>
      <c r="D16" s="5" t="n">
        <v>7.46</v>
      </c>
      <c r="E16" s="5" t="n">
        <v>8.99</v>
      </c>
      <c r="F16" s="5" t="n">
        <v>11.01</v>
      </c>
    </row>
    <row r="17">
      <c r="A17" t="inlineStr">
        <is>
          <t>19.0%</t>
        </is>
      </c>
      <c r="B17" s="5" t="n">
        <v>4.65</v>
      </c>
      <c r="C17" s="5" t="n">
        <v>5.53</v>
      </c>
      <c r="D17" s="5" t="n">
        <v>6.6</v>
      </c>
      <c r="E17" s="5" t="n">
        <v>7.94</v>
      </c>
      <c r="F17" s="5" t="n">
        <v>9.66</v>
      </c>
    </row>
    <row r="18">
      <c r="A18" t="inlineStr">
        <is>
          <t>20.5%</t>
        </is>
      </c>
      <c r="B18" s="5" t="n">
        <v>3.11</v>
      </c>
      <c r="C18" s="5" t="n">
        <v>3.75</v>
      </c>
      <c r="D18" s="5" t="n">
        <v>4.51</v>
      </c>
      <c r="E18" s="5" t="n">
        <v>5.43</v>
      </c>
      <c r="F18" s="5" t="n">
        <v>6.57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Per-Share &amp; Ratios — the standardized dashboard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Spot (EGP)</t>
        </is>
      </c>
      <c r="B4" s="5">
        <f>Assumptions!B4</f>
        <v/>
      </c>
    </row>
    <row r="5">
      <c r="A5" t="inlineStr">
        <is>
          <t>Weighted central fair value (EGP)</t>
        </is>
      </c>
      <c r="B5" s="5">
        <f>'Fundamental Valuation'!D8</f>
        <v/>
      </c>
    </row>
    <row r="6">
      <c r="A6" t="inlineStr">
        <is>
          <t>Upside to central</t>
        </is>
      </c>
      <c r="B6" s="8">
        <f>B5/B4-1</f>
        <v/>
      </c>
    </row>
    <row r="7">
      <c r="A7" t="inlineStr">
        <is>
          <t>RNAV / share (EGP)</t>
        </is>
      </c>
      <c r="B7" s="5">
        <f>SOTP!C15</f>
        <v/>
      </c>
    </row>
    <row r="8">
      <c r="A8" t="inlineStr">
        <is>
          <t>BVPS (EGP)</t>
        </is>
      </c>
      <c r="B8" s="5">
        <f>Assumptions!B24</f>
        <v/>
      </c>
    </row>
    <row r="9">
      <c r="A9" t="inlineStr">
        <is>
          <t>P/B (x)</t>
        </is>
      </c>
      <c r="B9" s="5">
        <f>B4/B8</f>
        <v/>
      </c>
    </row>
    <row r="10">
      <c r="A10" t="inlineStr">
        <is>
          <t>Attributable EPS TTM (EGP)</t>
        </is>
      </c>
      <c r="B10" s="5">
        <f>Assumptions!B25</f>
        <v/>
      </c>
    </row>
    <row r="11">
      <c r="A11" t="inlineStr">
        <is>
          <t>P/E (x)</t>
        </is>
      </c>
      <c r="B11" s="21">
        <f>B4/B10</f>
        <v/>
      </c>
    </row>
    <row r="12">
      <c r="A12" t="inlineStr">
        <is>
          <t>EV/EBITDA (x)</t>
        </is>
      </c>
      <c r="B12" s="21">
        <f>(B4*Assumptions!B5+Assumptions!B6+Assumptions!B7)/Assumptions!B26</f>
        <v/>
      </c>
    </row>
    <row r="13">
      <c r="A13" t="inlineStr">
        <is>
          <t>Cost of equity Ke</t>
        </is>
      </c>
      <c r="B13" s="8">
        <f>Assumptions!B8+Assumptions!B10*Assumptions!B9</f>
        <v/>
      </c>
    </row>
    <row r="14">
      <c r="A14" t="inlineStr">
        <is>
          <t>WACC</t>
        </is>
      </c>
      <c r="B14" s="8">
        <f>Assumptions!B12</f>
        <v/>
      </c>
    </row>
    <row r="15">
      <c r="A15" t="inlineStr">
        <is>
          <t>Net debt / EBITDA (x)</t>
        </is>
      </c>
      <c r="B15" s="21">
        <f>Assumptions!B6/Assumptions!B26</f>
        <v/>
      </c>
    </row>
    <row r="16">
      <c r="A16" t="inlineStr">
        <is>
          <t>Dividend / share</t>
        </is>
      </c>
      <c r="B16" t="inlineStr">
        <is>
          <t>0.00 (no dividend)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</cols>
  <sheetData>
    <row r="1">
      <c r="A1" s="1" t="inlineStr">
        <is>
          <t>Peer set &amp; sector</t>
        </is>
      </c>
    </row>
    <row r="3">
      <c r="A3" s="4" t="inlineStr">
        <is>
          <t>Peer (EGX developer)</t>
        </is>
      </c>
      <c r="B3" s="4" t="inlineStr">
        <is>
          <t>Typical valuation basis</t>
        </is>
      </c>
      <c r="C3" s="4" t="inlineStr">
        <is>
          <t>Note</t>
        </is>
      </c>
    </row>
    <row r="4">
      <c r="A4" t="inlineStr">
        <is>
          <t>TMG Holding (TMGH)</t>
        </is>
      </c>
      <c r="B4" t="inlineStr">
        <is>
          <t>P/NAV, presales-driven</t>
        </is>
      </c>
      <c r="C4" t="inlineStr">
        <is>
          <t>Sector bellwether</t>
        </is>
      </c>
    </row>
    <row r="5">
      <c r="A5" t="inlineStr">
        <is>
          <t>Palm Hills (PHDC)</t>
        </is>
      </c>
      <c r="B5" t="inlineStr">
        <is>
          <t>RNAV / P/B</t>
        </is>
      </c>
      <c r="C5" t="inlineStr">
        <is>
          <t>Mid-cap developer</t>
        </is>
      </c>
    </row>
    <row r="6">
      <c r="A6" t="inlineStr">
        <is>
          <t>Emaar Misr (EMFD)</t>
        </is>
      </c>
      <c r="B6" t="inlineStr">
        <is>
          <t>RNAV / cap-rate mix</t>
        </is>
      </c>
      <c r="C6" t="inlineStr">
        <is>
          <t>Recurring + development</t>
        </is>
      </c>
    </row>
    <row r="7">
      <c r="A7" t="inlineStr">
        <is>
          <t>Heliopolis Housing (HELI)</t>
        </is>
      </c>
      <c r="B7" t="inlineStr">
        <is>
          <t>Land-monetisation NAV</t>
        </is>
      </c>
      <c r="C7" t="inlineStr">
        <is>
          <t>Land-rich</t>
        </is>
      </c>
    </row>
    <row r="8">
      <c r="A8" t="inlineStr">
        <is>
          <t>SODIC (OCDI)</t>
        </is>
      </c>
      <c r="B8" t="inlineStr">
        <is>
          <t>RNAV</t>
        </is>
      </c>
      <c r="C8" t="inlineStr">
        <is>
          <t>New-Cairo/coast developer</t>
        </is>
      </c>
    </row>
    <row r="10">
      <c r="A10" s="2" t="inlineStr">
        <is>
          <t>Sector: EGX developers are in an inflation-driven presales boom; PRDC blends development + a large</t>
        </is>
      </c>
    </row>
    <row r="11">
      <c r="A11" s="2" t="inlineStr">
        <is>
          <t>contracting arm + a majority-owned listed subsidiary; principal risks are rates, EGP, and the holdco/minority discount.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2026-07-06T10:48:04Z</dcterms:created>
  <dcterms:modified xmlns:dcterms="http://purl.org/dc/terms/" xmlns:xsi="http://www.w3.org/2001/XMLSchema-instance" xsi:type="dcterms:W3CDTF">2026-07-06T10:48:04Z</dcterms:modified>
</cp:coreProperties>
</file>