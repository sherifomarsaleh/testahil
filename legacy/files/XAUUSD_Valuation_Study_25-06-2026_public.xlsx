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Technical" sheetId="5" state="visible" r:id="rId7"/>
    <sheet name="Monte Carlo" sheetId="6" state="visible" r:id="rId8"/>
    <sheet name="Sensitivity" sheetId="7" state="visible" r:id="rId9"/>
    <sheet name="Step 0 Calibration" sheetId="8" state="visible" r:id="rId10"/>
    <sheet name="Sources" sheetId="9" state="visible" r:id="rId11"/>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Reuters poll of 30-31 analysts, 2026 median ~$4,746-$4,916</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Provided OHLC file, 2026-06-25 close</t>
        </r>
      </text>
    </comment>
    <comment ref="B6" authorId="0">
      <text>
        <r>
          <rPr>
            <sz val="10"/>
            <rFont val="Arial"/>
            <family val="2"/>
          </rPr>
          <t xml:space="preserve">Step 0: trailing-252d realized vol; validated by 5Y+ rolling backtest</t>
        </r>
      </text>
    </comment>
    <comment ref="B9" authorId="0">
      <text>
        <r>
          <rPr>
            <sz val="10"/>
            <rFont val="Arial"/>
            <family val="2"/>
          </rPr>
          <t xml:space="preserve">Reuters 30-analyst 2026 median</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30" authorId="0">
      <text>
        <r>
          <rPr>
            <sz val="10"/>
            <rFont val="Arial"/>
            <family val="2"/>
          </rPr>
          <t xml:space="preserve">50k-path sim; events add ~5pp over diffusion</t>
        </r>
      </text>
    </comment>
  </commentList>
</comments>
</file>

<file path=xl/sharedStrings.xml><?xml version="1.0" encoding="utf-8"?>
<sst xmlns="http://schemas.openxmlformats.org/spreadsheetml/2006/main" count="376" uniqueCount="320">
  <si>
    <t xml:space="preserve">READ FIRST — DISCLOSURE &amp; DISCLAIMER · GOLD (XAUUSD) VALUATION MODEL (EDUCATIONAL)</t>
  </si>
  <si>
    <t xml:space="preserve">NATURE OF THIS WORKBOOK</t>
  </si>
  <si>
    <t xml:space="preserve">This workbook is an educational valuation model and an expression of the preparer's personal analytical opinion, built exclusively from publicly available information and explicit, stated assumptions. It is published free of charge to demonstrate methodology and to invite scrutiny of that methodology. The instrument is a commodity (spot gold, XAUUSD), not a security.</t>
  </si>
  <si>
    <t xml:space="preserve">NO ADVICE, NO RECOMMENDATION, NO SOLICITATION</t>
  </si>
  <si>
    <t xml:space="preserve">Nothing here constitutes investment advice, financial consultancy, securities or commodities analysis services, a research recommendation, a rating, a price target, an offer, or a solicitation to buy, sell, hold or deal in any instrument. No statement is directed at the objectives, financial situation or needs of any person.</t>
  </si>
  <si>
    <t xml:space="preserve">NO LICENSED ACTIVITY</t>
  </si>
  <si>
    <t xml:space="preserve">The preparer is not licensed or registered with the Egyptian Financial Regulatory Authority (FRA), the U.S. CFTC, or any other securities or commodities regulator; does not carry on financial consultancy, evaluation/analysis, portfolio management, brokerage or promotion; does not manage money; and accepts no clients, fees, subscriptions or funds.</t>
  </si>
  <si>
    <t xml:space="preserve">COMMODITY-SPECIFIC RISK</t>
  </si>
  <si>
    <t xml:space="preserve">Gold is a volatile monetary/precious metal. Prices are driven by real interest rates, the US dollar, central-bank and investment demand, geopolitics and positioning — and can move sharply (gold corrected ~29% from an all-time high of $5,595 set on 29 January 2026). Leverage, where used to trade this instrument, can cause losses exceeding capital. Nothing here addresses the suitability of such risk for any person.</t>
  </si>
  <si>
    <t xml:space="preserve">ESTIMATES AND UNCERTAINTY</t>
  </si>
  <si>
    <t xml:space="preserve">All values are model outputs resting on explicit, subjective assumptions; they are illustrative, highly uncertain, and likely to prove wrong in material respects. They are presented as ranges and distributions because no single number should be relied on. Vendor-sourced data are flagged where used and are not guaranteed; the provided price series agrees with other vendor feeds within ~0.01% (see Sources).</t>
  </si>
  <si>
    <t xml:space="preserve">NO LIABILITY</t>
  </si>
  <si>
    <t xml:space="preserve">To the maximum extent permitted by applicable law, the preparer accepts no liability whatsoever for any decision made or action taken or not taken, or for any loss or damage incurred, by any person in reliance on or in connection with any part of this workbook.</t>
  </si>
  <si>
    <t xml:space="preserve">READER'S RESPONSIBILITY</t>
  </si>
  <si>
    <t xml:space="preserve">Any person considering a decision should conduct their own independent assessment and consult an advisor licensed in their jurisdiction. If publication of material of this kind is restricted where you are reading it, do not rely on it.</t>
  </si>
  <si>
    <t xml:space="preserve">HOW TO USE THIS MODEL</t>
  </si>
  <si>
    <t xml:space="preserve">Blue cells are hardcoded inputs you can overwrite (assumptions and market-calibrated estimates). Black cells are same-sheet formulas. Change a blue cell and the moments, valuation and Monte Carlo update. Anchor price and technical inputs are taken from the attached XAUUSD price history (01 Jan 2010 - 25 Jun 2026). Gold has no financial statements, so the lens is the analyst-consensus forward anchor + central-bank/structural demand + a (non-binding) cost floor + real-rate carry (a fair-value ZONE), not an intrinsic-value point.</t>
  </si>
  <si>
    <t xml:space="preserve">HOLDINGS DISCLOSURE</t>
  </si>
  <si>
    <t xml:space="preserve">The preparer may hold, and may in the future take or dispose of, a position in the instrument discussed in this report.</t>
  </si>
  <si>
    <t xml:space="preserve">GOLD (XAUUSD) — THREE-LENS VALUATION  ·  1-MONTH &amp; 3-MONTH</t>
  </si>
  <si>
    <t xml:space="preserve">Independent build: fundamental (analyst-consensus anchor + central-bank/structural demand), technical, and a 50,000-path Monte Carlo — synthesised. No external target embedded; every factor is a flagged judgment.</t>
  </si>
  <si>
    <t xml:space="preserve">HEADLINE — WHERE GOLD ARRIVES (USD / oz)</t>
  </si>
  <si>
    <t xml:space="preserve">Anchor — spot close (25-Jun-26)</t>
  </si>
  <si>
    <t xml:space="preserve">Monte Carlo median — T+20 (1 month)</t>
  </si>
  <si>
    <t xml:space="preserve">90% band $3,431 – $4,598</t>
  </si>
  <si>
    <t xml:space="preserve">Monte Carlo median — T+60 (3 months)</t>
  </si>
  <si>
    <t xml:space="preserve">90% band $3,064 – $5,074</t>
  </si>
  <si>
    <t xml:space="preserve">Fundamental fair-value zone (3M, consensus-anchored)</t>
  </si>
  <si>
    <t xml:space="preserve">$4,200 – $5,000</t>
  </si>
  <si>
    <t xml:space="preserve">center ≈ $4,600; analyst consensus + CB demand</t>
  </si>
  <si>
    <t xml:space="preserve">Technical read</t>
  </si>
  <si>
    <t xml:space="preserve">Bearish / oversold</t>
  </si>
  <si>
    <t xml:space="preserve">RSI 30; price −10.7%/−11.1% vs SMA50/200; fresh death-cross</t>
  </si>
  <si>
    <t xml:space="preserve">THE THREE LENSES DISAGREE — THAT IS THE FINDING</t>
  </si>
  <si>
    <t xml:space="preserve">Lens</t>
  </si>
  <si>
    <t xml:space="preserve">1-month</t>
  </si>
  <si>
    <t xml:space="preserve">3-month</t>
  </si>
  <si>
    <t xml:space="preserve">Character</t>
  </si>
  <si>
    <t xml:space="preserve">Fundamental (analyst-consensus anchor)</t>
  </si>
  <si>
    <t xml:space="preserve">~$4,300–4,600</t>
  </si>
  <si>
    <t xml:space="preserve">$4,200–5,000 (≈$4,600)</t>
  </si>
  <si>
    <t xml:space="preserve">cheap vs consensus; structural CB-demand floor</t>
  </si>
  <si>
    <t xml:space="preserve">Technical (momentum)</t>
  </si>
  <si>
    <t xml:space="preserve">soft / oversold bounce</t>
  </si>
  <si>
    <t xml:space="preserve">trend down, fresh death-cross</t>
  </si>
  <si>
    <t xml:space="preserve">oversold (RSI 30), below both SMAs</t>
  </si>
  <si>
    <t xml:space="preserve">Monte Carlo (factor balance)</t>
  </si>
  <si>
    <t xml:space="preserve">median $3,975</t>
  </si>
  <si>
    <t xml:space="preserve">median $3,944</t>
  </si>
  <si>
    <t xml:space="preserve">net drift 0.0%; wide cone, firm floor</t>
  </si>
  <si>
    <t xml:space="preserve">WHAT THE NUMBERS REST ON (edit on Assumptions / Monte Carlo)</t>
  </si>
  <si>
    <t xml:space="preserve">•  σ = 27% annualized (trailing-252d) — Step-0-validated; roughly half silver's 64%</t>
  </si>
  <si>
    <t xml:space="preserve">•  Net 3M factor drift = 0.0% (real-rate/USD/ETF headwind ≈ central-bank/debasement bid)</t>
  </si>
  <si>
    <t xml:space="preserve">•  Consensus anchor ~$4,800 (Reuters 30-analyst 2026 median); bank targets span $4,400–$6,300</t>
  </si>
  <si>
    <t xml:space="preserve">•  Record 2025 demand &gt;5,000t and central-bank buying (863t) = the structural floor; rising real rates = the cap</t>
  </si>
  <si>
    <t xml:space="preserve">•  Spot basis: provided OHLC ($3,989.85) agrees with other feeds within ~0.01% — no adjustment</t>
  </si>
  <si>
    <t xml:space="preserve">Method: a commodity has no cash flows, so gold is valued on the analyst-consensus forward anchor, central-bank/structural demand, a (non-binding) cost floor and real-rate carry — a fair-value zone — cross-read against technicals and a calibrated Monte Carlo. See each tab.</t>
  </si>
  <si>
    <t xml:space="preserve">FUNDAMENTAL VALUATION — CONSENSUS ANCHOR + STRUCTURAL DEMAND → FAIR-VALUE ZONE</t>
  </si>
  <si>
    <t xml:space="preserve">Gold has no financial statements; SOTP/RNAV/DCF do not apply. Gold is the monetary anchor metal, so sub-methods bound a fair-value ZONE, not a point. USD/oz unless noted.</t>
  </si>
  <si>
    <t xml:space="preserve">INPUTS</t>
  </si>
  <si>
    <t xml:space="preserve">Spot anchor (25-Jun-26)</t>
  </si>
  <si>
    <t xml:space="preserve">Analyst-consensus anchor (Reuters 30-analyst 2026 median)</t>
  </si>
  <si>
    <t xml:space="preserve">Consensus vs spot</t>
  </si>
  <si>
    <t xml:space="preserve">spot ~17% below the consensus median</t>
  </si>
  <si>
    <t xml:space="preserve">METHOD 1 — ANALYST-CONSENSUS FORWARD ANCHOR (PRIMARY, NEUTRAL)</t>
  </si>
  <si>
    <t xml:space="preserve">No cash flows ⇒ anchor on the published professional consensus as a market-implied fair value (not the preparer's forecast). Year-end-2026 targets:</t>
  </si>
  <si>
    <t xml:space="preserve">Source / scenario</t>
  </si>
  <si>
    <t xml:space="preserve">2026 target</t>
  </si>
  <si>
    <t xml:space="preserve">vs spot</t>
  </si>
  <si>
    <t xml:space="preserve">Note</t>
  </si>
  <si>
    <t xml:space="preserve">Morgan Stanley / Deutsche cluster</t>
  </si>
  <si>
    <t xml:space="preserve">conservative; Deutsche range $3,950–$4,950</t>
  </si>
  <si>
    <t xml:space="preserve">Reuters 30-analyst median</t>
  </si>
  <si>
    <t xml:space="preserve">the neutral consensus anchor</t>
  </si>
  <si>
    <t xml:space="preserve">Goldman Sachs (cut 20-Jun from $5,400)</t>
  </si>
  <si>
    <t xml:space="preserve">all 2026 cuts removed; easing to 2027</t>
  </si>
  <si>
    <t xml:space="preserve">Citi / Commerzbank / BofA</t>
  </si>
  <si>
    <t xml:space="preserve">mid-cluster</t>
  </si>
  <si>
    <t xml:space="preserve">UBS (Dec) / BNP avg</t>
  </si>
  <si>
    <t xml:space="preserve">structurally bullish</t>
  </si>
  <si>
    <t xml:space="preserve">J.P. Morgan (Q4) / Wells Fargo</t>
  </si>
  <si>
    <t xml:space="preserve">most bullish; $6,300 possible</t>
  </si>
  <si>
    <t xml:space="preserve">Read: conservative-to-mid cluster (~$4,400–$5,000) brackets the consensus median; wide dispersion = the rate/geopolitics scenario split.</t>
  </si>
  <si>
    <t xml:space="preserve">METHOD 2 — STRUCTURAL SUPPLY/DEMAND BALANCE (DIRECTIONAL FLOOR)</t>
  </si>
  <si>
    <t xml:space="preserve">Metric (tonnes unless noted)</t>
  </si>
  <si>
    <t xml:space="preserve">2025</t>
  </si>
  <si>
    <t xml:space="preserve">2026F</t>
  </si>
  <si>
    <t xml:space="preserve">Source</t>
  </si>
  <si>
    <t xml:space="preserve">Total demand (incl. OTC)</t>
  </si>
  <si>
    <t xml:space="preserve">&gt;5,000</t>
  </si>
  <si>
    <t xml:space="preserve">below 2025</t>
  </si>
  <si>
    <t xml:space="preserve">WGC GDT FY2025, 29-Jan-26</t>
  </si>
  <si>
    <t xml:space="preserve">Central-bank buying</t>
  </si>
  <si>
    <t xml:space="preserve">~2025 levels</t>
  </si>
  <si>
    <t xml:space="preserve">WGC — 4th-largest on record; &gt;2010-21 avg 473t</t>
  </si>
  <si>
    <t xml:space="preserve">Mine production</t>
  </si>
  <si>
    <t xml:space="preserve">up modestly</t>
  </si>
  <si>
    <t xml:space="preserve">WGC — record</t>
  </si>
  <si>
    <t xml:space="preserve">Recycling</t>
  </si>
  <si>
    <t xml:space="preserve">constrained</t>
  </si>
  <si>
    <t xml:space="preserve">WGC — muted vs +67% price</t>
  </si>
  <si>
    <t xml:space="preserve">Total supply</t>
  </si>
  <si>
    <t xml:space="preserve">WGC FY2025</t>
  </si>
  <si>
    <t xml:space="preserve">US ETF flow</t>
  </si>
  <si>
    <t xml:space="preserve">+437</t>
  </si>
  <si>
    <t xml:space="preserve">positive, &lt; 2025</t>
  </si>
  <si>
    <t xml:space="preserve">WGC — holdings 2,019t ($280bn)</t>
  </si>
  <si>
    <t xml:space="preserve">Demand value (US$bn)</t>
  </si>
  <si>
    <t xml:space="preserve">—</t>
  </si>
  <si>
    <t xml:space="preserve">WGC — +45% y/y; Q4 avg $4,135/oz</t>
  </si>
  <si>
    <t xml:space="preserve">Jewellery</t>
  </si>
  <si>
    <t xml:space="preserve">falling</t>
  </si>
  <si>
    <t xml:space="preserve">weak</t>
  </si>
  <si>
    <t xml:space="preserve">WGC — 6th straight quarterly decline</t>
  </si>
  <si>
    <t xml:space="preserve">Read: investment- and central-bank-led; gold overtook US Treasuries as the largest reserve asset by value (late-2025) → structural floor, biases fair value to hold above the correction lows.</t>
  </si>
  <si>
    <t xml:space="preserve">METHOD 3 — COST FLOOR (SOFT, NON-BINDING)  ·  METHOD 4 — REAL-RATE CARRY (NEAR-TERM TILT)</t>
  </si>
  <si>
    <t xml:space="preserve">Industry all-in sustaining cost (est.)</t>
  </si>
  <si>
    <t xml:space="preserve">$1,400–1,600</t>
  </si>
  <si>
    <t xml:space="preserve">far below spot — non-binding</t>
  </si>
  <si>
    <t xml:space="preserve">Real-rate / DXY carry (Method 4)</t>
  </si>
  <si>
    <t xml:space="preserve">headwind</t>
  </si>
  <si>
    <t xml:space="preserve">no 2026 cuts + DXY&gt;100 ⇒ 1M tilts to lower half</t>
  </si>
  <si>
    <t xml:space="preserve">WGC probability scenarios (Outlook 2026)</t>
  </si>
  <si>
    <t xml:space="preserve">−20% … +30%</t>
  </si>
  <si>
    <t xml:space="preserve">mild +5/+15%, recession/geo +15/+30%, strong-$ −5/−20%</t>
  </si>
  <si>
    <t xml:space="preserve">SYNTHESIS — FUNDAMENTAL FAIR-VALUE ZONE</t>
  </si>
  <si>
    <t xml:space="preserve">Lower bound (conservative cluster, rate pressure)</t>
  </si>
  <si>
    <t xml:space="preserve">Center (consensus median, near-term haircut)</t>
  </si>
  <si>
    <t xml:space="preserve">Upper bound (Goldman/Citi/BofA year-end)</t>
  </si>
  <si>
    <t xml:space="preserve">Spot $3,989.85 sits ~5% below the zone floor → mildly-to-moderately cheap vs consensus, having overshot in a ~29% correction. 1M tilt lower half (real-rate headwind); 3M tilt center/upper as CB demand reasserts.</t>
  </si>
  <si>
    <t xml:space="preserve">ASSUMPTIONS — ALL BLUE CELLS ARE INPUTS</t>
  </si>
  <si>
    <t xml:space="preserve">Clean-sheet build; no external target embedded. USD/oz. Macro figures sourced (see Sources tab); factor judgments are red-pennable.</t>
  </si>
  <si>
    <t xml:space="preserve">MARKET &amp; MODEL</t>
  </si>
  <si>
    <t xml:space="preserve">Anchor — spot close (USD/oz, 25-Jun-26)</t>
  </si>
  <si>
    <t xml:space="preserve">Annualized volatility σ (trailing-252d)</t>
  </si>
  <si>
    <t xml:space="preserve">Horizon T+20 (sessions)</t>
  </si>
  <si>
    <t xml:space="preserve">Horizon T+60 (sessions)</t>
  </si>
  <si>
    <t xml:space="preserve">Analyst-consensus anchor (USD/oz)</t>
  </si>
  <si>
    <t xml:space="preserve">Trading days / year</t>
  </si>
  <si>
    <t xml:space="preserve">KEY LEVELS (USD/oz)</t>
  </si>
  <si>
    <t xml:space="preserve">Downside — $3,800</t>
  </si>
  <si>
    <t xml:space="preserve">Downside — $3,700</t>
  </si>
  <si>
    <t xml:space="preserve">Downside — $3,600</t>
  </si>
  <si>
    <t xml:space="preserve">52-week low</t>
  </si>
  <si>
    <t xml:space="preserve">SMA 50 (dynamic resistance)</t>
  </si>
  <si>
    <t xml:space="preserve">SMA 200</t>
  </si>
  <si>
    <t xml:space="preserve">June pivot / 30-day high</t>
  </si>
  <si>
    <t xml:space="preserve">52-week high</t>
  </si>
  <si>
    <t xml:space="preserve">ANALYST-CONSENSUS REFERENCE (year-end 2026)</t>
  </si>
  <si>
    <t xml:space="preserve">Conservative cluster (MS/Deutsche)</t>
  </si>
  <si>
    <t xml:space="preserve">Goldman / mid-cluster</t>
  </si>
  <si>
    <t xml:space="preserve">Bullish cluster (UBS/BNP/JPM)</t>
  </si>
  <si>
    <t xml:space="preserve">TECHNICAL ANALYSIS — FROM PROVIDED OHLC (01 Jan 2010 – 25 Jun 2026)</t>
  </si>
  <si>
    <t xml:space="preserve">Indicator readings as of 2026-06-25 close. SMA 50 = orange, SMA 200 = red (chart in study). MACD convention: line / signal / histogram.</t>
  </si>
  <si>
    <t xml:space="preserve">INDICATORS</t>
  </si>
  <si>
    <t xml:space="preserve">Indicator</t>
  </si>
  <si>
    <t xml:space="preserve">Reading</t>
  </si>
  <si>
    <t xml:space="preserve">Signal</t>
  </si>
  <si>
    <t xml:space="preserve">Close</t>
  </si>
  <si>
    <t xml:space="preserve">$3,989.85</t>
  </si>
  <si>
    <t xml:space="preserve">SMA 50</t>
  </si>
  <si>
    <t xml:space="preserve">$4,469.81</t>
  </si>
  <si>
    <t xml:space="preserve">price −10.7% below</t>
  </si>
  <si>
    <t xml:space="preserve">$4,486.99</t>
  </si>
  <si>
    <t xml:space="preserve">price −11.1% below</t>
  </si>
  <si>
    <t xml:space="preserve">SMA50 vs SMA200</t>
  </si>
  <si>
    <t xml:space="preserve">−0.4%</t>
  </si>
  <si>
    <t xml:space="preserve">fresh bearish cross (death-cross forming)</t>
  </si>
  <si>
    <t xml:space="preserve">MACD line (12·26·9)</t>
  </si>
  <si>
    <t xml:space="preserve">−121.32</t>
  </si>
  <si>
    <t xml:space="preserve">below signal</t>
  </si>
  <si>
    <t xml:space="preserve">MACD signal</t>
  </si>
  <si>
    <t xml:space="preserve">−105.03</t>
  </si>
  <si>
    <t xml:space="preserve">MACD histogram</t>
  </si>
  <si>
    <t xml:space="preserve">−16.30</t>
  </si>
  <si>
    <t xml:space="preserve">bearish</t>
  </si>
  <si>
    <t xml:space="preserve">RSI-14</t>
  </si>
  <si>
    <t xml:space="preserve">30.2</t>
  </si>
  <si>
    <t xml:space="preserve">oversold (≈30)</t>
  </si>
  <si>
    <t xml:space="preserve">ATR-14</t>
  </si>
  <si>
    <t xml:space="preserve">$107.98 (2.7%)</t>
  </si>
  <si>
    <t xml:space="preserve">contained daily range</t>
  </si>
  <si>
    <t xml:space="preserve">52-week range</t>
  </si>
  <si>
    <t xml:space="preserve">$3,268 – $5,595</t>
  </si>
  <si>
    <t xml:space="preserve">30-day range</t>
  </si>
  <si>
    <t xml:space="preserve">$3,959 – $4,595</t>
  </si>
  <si>
    <t xml:space="preserve">today ≈ 30-day low</t>
  </si>
  <si>
    <t xml:space="preserve">LEVELS</t>
  </si>
  <si>
    <t xml:space="preserve">Resistance</t>
  </si>
  <si>
    <t xml:space="preserve">$4,200 → $4,470 → $4,487 → $4,600</t>
  </si>
  <si>
    <t xml:space="preserve">Support</t>
  </si>
  <si>
    <t xml:space="preserve">$3,800 → $3,700 → $3,600 → $3,268</t>
  </si>
  <si>
    <t xml:space="preserve">Read: momentum down and oversold; price below both SMAs, MACD negative, RSI 30, and SMA50 has just crossed beneath SMA200 (fresh death-cross). Oversold-bounce candidate against a firm structural-demand floor; no confirmed reversal.</t>
  </si>
  <si>
    <t xml:space="preserve">MONTE CARLO — ONE FACTOR MODEL (5 CONTINUOUS + 6 DISCRETE)</t>
  </si>
  <si>
    <t xml:space="preserve">Continuous factors compound as a forward drift; discrete events fire once on a random session as a level shift. 50,000 paths · seed 42 · anchor 25-Jun-26. σ from OHLC (Step-0-validated). Factors recalibrated to the Jun-2026 gold regime.</t>
  </si>
  <si>
    <t xml:space="preserve">CORE INPUTS</t>
  </si>
  <si>
    <t xml:space="preserve">Anchor price (USD/oz, 25-Jun-26)</t>
  </si>
  <si>
    <t xml:space="preserve">Annualized σ (diffusion, trailing-252d)</t>
  </si>
  <si>
    <t xml:space="preserve">Horizon T+20 / T+60 (sessions)</t>
  </si>
  <si>
    <t xml:space="preserve">EXTERNAL FACTOR SET — CALIBRATION (3-month)</t>
  </si>
  <si>
    <t xml:space="preserve">Factor</t>
  </si>
  <si>
    <t xml:space="preserve">Type</t>
  </si>
  <si>
    <t xml:space="preserve">3M drift</t>
  </si>
  <si>
    <t xml:space="preserve">3M vol</t>
  </si>
  <si>
    <t xml:space="preserve">Event prob</t>
  </si>
  <si>
    <t xml:space="preserve">Impact mean</t>
  </si>
  <si>
    <t xml:space="preserve">Impact sd</t>
  </si>
  <si>
    <t xml:space="preserve">Expected</t>
  </si>
  <si>
    <t xml:space="preserve">Channel</t>
  </si>
  <si>
    <t xml:space="preserve">Real US 10-year yield</t>
  </si>
  <si>
    <t xml:space="preserve">continuous</t>
  </si>
  <si>
    <t xml:space="preserve">–</t>
  </si>
  <si>
    <t xml:space="preserve">no 2026 cuts raise carry cost</t>
  </si>
  <si>
    <t xml:space="preserve">DXY (US dollar index)</t>
  </si>
  <si>
    <t xml:space="preserve">&gt;100, highest since May-25</t>
  </si>
  <si>
    <t xml:space="preserve">Fed-path / real-rate expectations</t>
  </si>
  <si>
    <t xml:space="preserve">hawkish Warsh; easing pushed to 2027</t>
  </si>
  <si>
    <t xml:space="preserve">Central-bank / official-sector demand</t>
  </si>
  <si>
    <t xml:space="preserve">863t 2025; OTC-implied strong; debasement floor</t>
  </si>
  <si>
    <t xml:space="preserve">Investment / ETF-flow momentum</t>
  </si>
  <si>
    <t xml:space="preserve">first Asian ETF outflow since Aug-25</t>
  </si>
  <si>
    <t xml:space="preserve">Geopolitical / safe-haven shock</t>
  </si>
  <si>
    <t xml:space="preserve">event</t>
  </si>
  <si>
    <t xml:space="preserve">haven bid; war premium can re-arm</t>
  </si>
  <si>
    <t xml:space="preserve">Central-bank buying surprise</t>
  </si>
  <si>
    <t xml:space="preserve">step-up / mobilization; China accumulation</t>
  </si>
  <si>
    <t xml:space="preserve">Monetary-policy surprise</t>
  </si>
  <si>
    <t xml:space="preserve">hawkish-tilted; energy-inflation hike risk</t>
  </si>
  <si>
    <t xml:space="preserve">Fiscal / debasement / sovereign stress</t>
  </si>
  <si>
    <t xml:space="preserve">US fiscal deterioration; debasement trade</t>
  </si>
  <si>
    <t xml:space="preserve">Large COT / ETF positioning unwind</t>
  </si>
  <si>
    <t xml:space="preserve">spec-long / ETF liquidation after the run</t>
  </si>
  <si>
    <t xml:space="preserve">ETF / investment-flow resurgence</t>
  </si>
  <si>
    <t xml:space="preserve">Fed-cut re-pricing reignites ETF (~60t/cut)</t>
  </si>
  <si>
    <t xml:space="preserve">FACTOR MOMENTS (live formulas)</t>
  </si>
  <si>
    <t xml:space="preserve">Net continuous 3M drift</t>
  </si>
  <si>
    <t xml:space="preserve">Net event expected (Σ prob×impact)</t>
  </si>
  <si>
    <t xml:space="preserve">Net expected 3M contribution</t>
  </si>
  <si>
    <t xml:space="preserve">σ over T+60 (=σ·√(60/252))</t>
  </si>
  <si>
    <t xml:space="preserve">σ over T+20 (=σ·√(20/252))</t>
  </si>
  <si>
    <t xml:space="preserve">Simulated annualized path vol (engine)</t>
  </si>
  <si>
    <t xml:space="preserve">PERCENTILES (USD/oz) — CLOSED-FORM (formula) vs ENGINE (simulated)</t>
  </si>
  <si>
    <t xml:space="preserve">Horizon</t>
  </si>
  <si>
    <t xml:space="preserve">P5</t>
  </si>
  <si>
    <t xml:space="preserve">P25</t>
  </si>
  <si>
    <t xml:space="preserve">P50</t>
  </si>
  <si>
    <t xml:space="preserve">P75</t>
  </si>
  <si>
    <t xml:space="preserve">P95</t>
  </si>
  <si>
    <t xml:space="preserve">T+20 — closed form</t>
  </si>
  <si>
    <t xml:space="preserve">lognormal</t>
  </si>
  <si>
    <t xml:space="preserve">T+20 — engine (simulated)</t>
  </si>
  <si>
    <t xml:space="preserve">50k paths · seed 42</t>
  </si>
  <si>
    <t xml:space="preserve">T+60 — closed form</t>
  </si>
  <si>
    <t xml:space="preserve">T+60 — engine (simulated)</t>
  </si>
  <si>
    <t xml:space="preserve">PROBABILITY ZONES at T+60 (engine)</t>
  </si>
  <si>
    <t xml:space="preserve">Zone (USD/oz)</t>
  </si>
  <si>
    <t xml:space="preserve">Probability</t>
  </si>
  <si>
    <t xml:space="preserve">&lt; $3,700</t>
  </si>
  <si>
    <t xml:space="preserve">$3,700 – $4,000</t>
  </si>
  <si>
    <t xml:space="preserve">$4,000 – $4,300</t>
  </si>
  <si>
    <t xml:space="preserve">$4,300 – $4,700</t>
  </si>
  <si>
    <t xml:space="preserve">≥ $4,700</t>
  </si>
  <si>
    <t xml:space="preserve">LEVEL-TOUCH PROBABILITIES — P(touch level within horizon, engine)</t>
  </si>
  <si>
    <t xml:space="preserve">Price level (USD/oz)</t>
  </si>
  <si>
    <t xml:space="preserve">by T+20</t>
  </si>
  <si>
    <t xml:space="preserve">by T+60</t>
  </si>
  <si>
    <t xml:space="preserve">— spot 3,990 —</t>
  </si>
  <si>
    <t xml:space="preserve">Touch probabilities are simulation outputs (running path extrema); they exceed terminal-zone probabilities because a path may touch a level intra-horizon and retrace.</t>
  </si>
  <si>
    <t xml:space="preserve">SENSITIVITY</t>
  </si>
  <si>
    <t xml:space="preserve">Closed-form lognormal across the dominant levers. Median depends on drift only; the bands widen with σ. Fundamental fair value scales with the consensus anchor.</t>
  </si>
  <si>
    <t xml:space="preserve">A · FUNDAMENTAL FAIR VALUE (USD/oz) = consensus anchor × (1 − near-term discount)</t>
  </si>
  <si>
    <t xml:space="preserve">anchor ↓  /  discount →</t>
  </si>
  <si>
    <t xml:space="preserve">B · MONTE CARLO T+60 DOWNSIDE  P5 (USD/oz)  =  anchor·EXP(LN(1+drift)+σ·√(60/252)·NORMSINV(0.05))</t>
  </si>
  <si>
    <t xml:space="preserve">σ ↓  /  net drift →</t>
  </si>
  <si>
    <t xml:space="preserve">C · MONTE CARLO T+60 UPSIDE  P95 (USD/oz)  =  anchor·EXP(LN(1+drift)+σ·√(60/252)·NORMSINV(0.95))</t>
  </si>
  <si>
    <t xml:space="preserve">STEP 0 — CALIBRATION BACKTEST (2010 – 2026, FULL PERIOD)</t>
  </si>
  <si>
    <t xml:space="preserve">Rolling 3-month-ahead forecasts scored against realized close. Diffusion: lognormal cone, trailing-252d σ re-estimated point-in-time (no lookahead). PASS — bands cover near stated rates; PIT mildly up-tilted by gold's secular uptrend (a direction effect the factor drift corrects), not a dispersion fault.</t>
  </si>
  <si>
    <t xml:space="preserve">INTERVAL COVERAGE — do the bands contain the realized price at their stated rates?</t>
  </si>
  <si>
    <t xml:space="preserve">Band</t>
  </si>
  <si>
    <t xml:space="preserve">Target</t>
  </si>
  <si>
    <t xml:space="preserve">Realized (non-overlap, n=64)</t>
  </si>
  <si>
    <t xml:space="preserve">Realized (overlap, n=190)</t>
  </si>
  <si>
    <t xml:space="preserve">Binomial SE</t>
  </si>
  <si>
    <t xml:space="preserve">Central 50% (P25–P75)</t>
  </si>
  <si>
    <t xml:space="preserve">Central 80% (P10–P90)</t>
  </si>
  <si>
    <t xml:space="preserve">Central 90% (P5–P95)</t>
  </si>
  <si>
    <t xml:space="preserve">PIT mean (0.50 = no drift bias)</t>
  </si>
  <si>
    <t xml:space="preserve">Tail-mass outside [0.1,0.9] (0.20 = uniform)</t>
  </si>
  <si>
    <t xml:space="preserve">Verdict</t>
  </si>
  <si>
    <t xml:space="preserve">PASS</t>
  </si>
  <si>
    <t xml:space="preserve">80%/90% bands within ~1 binomial SE of target; PIT mildly up-tilted (mean 0.56) — gold's secular uptrend, handled separately by the factor drift, not a band-width fault. σ re-estimated on a trailing basis tracks each vol regime. PIT histogram + coverage CSV ship alongside the study in files/.</t>
  </si>
  <si>
    <t xml:space="preserve">SOURCES — PRIMARY-PREFERRED, WITH AS-OF DATES</t>
  </si>
  <si>
    <t xml:space="preserve">Every figure used in the model, its source, and reporting/as-of date.</t>
  </si>
  <si>
    <t xml:space="preserve">Figure / series</t>
  </si>
  <si>
    <t xml:space="preserve">As-of</t>
  </si>
  <si>
    <t xml:space="preserve">Demand &gt;5,000t, CB 863t, supply 5,002t, mine 3,672t, ETF, value $555bn</t>
  </si>
  <si>
    <t xml:space="preserve">29-Jan-2026</t>
  </si>
  <si>
    <t xml:space="preserve">WGC Gold Demand Trends Full Year 2025 / Metals Focus (gold.org)</t>
  </si>
  <si>
    <t xml:space="preserve">2026 outlook (CB ~2025, supply up modestly, geopolitical premium, ETF &lt; 2025)</t>
  </si>
  <si>
    <t xml:space="preserve">~29-Apr-2026</t>
  </si>
  <si>
    <t xml:space="preserve">WGC Gold Demand Trends Q1 2026 / Outlook</t>
  </si>
  <si>
    <t xml:space="preserve">Q4 avg price $4,135; 53 ATHs; gold = largest reserve asset by value</t>
  </si>
  <si>
    <t xml:space="preserve">Year-end cut $5,400→$4,900; all 2026 cuts removed; ~60t ETF per 25bp</t>
  </si>
  <si>
    <t xml:space="preserve">20-Jun-2026</t>
  </si>
  <si>
    <t xml:space="preserve">Goldman Sachs Global Research</t>
  </si>
  <si>
    <t xml:space="preserve">Q4 ~$6,000 ($6,300 possible); avg trimmed $5,243; 200d ~$4,340 / 50d ~$4,730; China imports 317t Q1</t>
  </si>
  <si>
    <t xml:space="preserve">2026</t>
  </si>
  <si>
    <t xml:space="preserve">J.P. Morgan Global Research</t>
  </si>
  <si>
    <t xml:space="preserve">Reuters 30-31 analyst 2026 median ~$4,746–$4,916; bank targets $4,400–$6,300</t>
  </si>
  <si>
    <t xml:space="preserve">Reuters analyst poll; bank compilations (UBS/WF/BNP/MS/Deutsche/Citi/BofA)</t>
  </si>
  <si>
    <t xml:space="preserve">DXY &gt;100; Warsh hawkish; ~68% Sept-hike odds</t>
  </si>
  <si>
    <t xml:space="preserve">24-Jun-2026</t>
  </si>
  <si>
    <t xml:space="preserve">USAGOLD daily report</t>
  </si>
  <si>
    <t xml:space="preserve">Gold $5,595 ATH (29-Jan-2026); ~$4,728 mid-April</t>
  </si>
  <si>
    <t xml:space="preserve">Bloomberg / GBI Direct</t>
  </si>
  <si>
    <t xml:space="preserve">Anchor price series (study basis, $3,989.85)</t>
  </si>
  <si>
    <t xml:space="preserve">25-Jun-2026</t>
  </si>
  <si>
    <t xml:space="preserve">Provided OHLC file (XAUUSD, 01-Jan-2010 → 25-Jun-2026)</t>
  </si>
  <si>
    <t xml:space="preserve">Cross-check: gold feeds agree within ~0.01% (OANDA $3,989.55)</t>
  </si>
  <si>
    <t xml:space="preserve">TradingView/OANDA — no basis adjustment</t>
  </si>
</sst>
</file>

<file path=xl/styles.xml><?xml version="1.0" encoding="utf-8"?>
<styleSheet xmlns="http://schemas.openxmlformats.org/spreadsheetml/2006/main">
  <numFmts count="11">
    <numFmt numFmtId="164" formatCode="General"/>
    <numFmt numFmtId="165" formatCode="\$#,##0.00"/>
    <numFmt numFmtId="166" formatCode="\$#,##0"/>
    <numFmt numFmtId="167" formatCode="\+0%;\-0%"/>
    <numFmt numFmtId="168" formatCode="#,##0"/>
    <numFmt numFmtId="169" formatCode="0%"/>
    <numFmt numFmtId="170" formatCode="0"/>
    <numFmt numFmtId="171" formatCode="0.0%"/>
    <numFmt numFmtId="172" formatCode="0.00"/>
    <numFmt numFmtId="173" formatCode="\+0.0%;\-0.0%"/>
    <numFmt numFmtId="174" formatCode="\±0.0%"/>
  </numFmts>
  <fonts count="2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1B5E5E"/>
      <name val="Arial"/>
      <family val="0"/>
      <charset val="1"/>
    </font>
    <font>
      <sz val="9"/>
      <color rgb="FF000000"/>
      <name val="Arial"/>
      <family val="0"/>
      <charset val="1"/>
    </font>
    <font>
      <sz val="8"/>
      <color rgb="FF000000"/>
      <name val="Arial"/>
      <family val="0"/>
      <charset val="1"/>
    </font>
    <font>
      <b val="true"/>
      <sz val="11"/>
      <color rgb="FF1B5E5E"/>
      <name val="Arial"/>
      <family val="0"/>
      <charset val="1"/>
    </font>
    <font>
      <b val="true"/>
      <sz val="9"/>
      <color rgb="FF000000"/>
      <name val="Arial"/>
      <family val="0"/>
      <charset val="1"/>
    </font>
    <font>
      <b val="true"/>
      <sz val="9"/>
      <color rgb="FF1B5E5E"/>
      <name val="Arial"/>
      <family val="0"/>
      <charset val="1"/>
    </font>
    <font>
      <i val="true"/>
      <sz val="9"/>
      <color rgb="FF000000"/>
      <name val="Arial"/>
      <family val="0"/>
      <charset val="1"/>
    </font>
    <font>
      <b val="true"/>
      <sz val="9"/>
      <color rgb="FFB0894B"/>
      <name val="Arial"/>
      <family val="0"/>
      <charset val="1"/>
    </font>
    <font>
      <b val="true"/>
      <sz val="9"/>
      <name val="Arial"/>
      <family val="0"/>
      <charset val="1"/>
    </font>
    <font>
      <b val="true"/>
      <sz val="9"/>
      <color rgb="FFFFFFFF"/>
      <name val="Arial"/>
      <family val="0"/>
      <charset val="1"/>
    </font>
    <font>
      <sz val="9"/>
      <name val="Arial"/>
      <family val="0"/>
      <charset val="1"/>
    </font>
    <font>
      <i val="true"/>
      <sz val="9"/>
      <name val="Arial"/>
      <family val="0"/>
      <charset val="1"/>
    </font>
    <font>
      <i val="true"/>
      <sz val="8"/>
      <color rgb="FF000000"/>
      <name val="Arial"/>
      <family val="0"/>
      <charset val="1"/>
    </font>
    <font>
      <sz val="9"/>
      <color rgb="FF0000FF"/>
      <name val="Arial"/>
      <family val="0"/>
      <charset val="1"/>
    </font>
    <font>
      <sz val="9"/>
      <color rgb="FFB0894B"/>
      <name val="Arial"/>
      <family val="0"/>
      <charset val="1"/>
    </font>
    <font>
      <sz val="10"/>
      <name val="Arial"/>
      <family val="2"/>
    </font>
    <font>
      <sz val="9"/>
      <color rgb="FF999999"/>
      <name val="Arial"/>
      <family val="0"/>
      <charset val="1"/>
    </font>
  </fonts>
  <fills count="4">
    <fill>
      <patternFill patternType="none"/>
    </fill>
    <fill>
      <patternFill patternType="gray125"/>
    </fill>
    <fill>
      <patternFill patternType="solid">
        <fgColor rgb="FF1B5E5E"/>
        <bgColor rgb="FF008080"/>
      </patternFill>
    </fill>
    <fill>
      <patternFill patternType="solid">
        <fgColor rgb="FFB0894B"/>
        <bgColor rgb="FF9999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center"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73" fontId="18"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C0C0C0"/>
      <rgbColor rgb="FFB0894B"/>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9.5" hidden="false" customHeight="true" outlineLevel="0" collapsed="false">
      <c r="A1" s="1" t="s">
        <v>0</v>
      </c>
    </row>
    <row r="3" customFormat="false" ht="15" hidden="false" customHeight="false" outlineLevel="0" collapsed="false">
      <c r="A3" s="2" t="s">
        <v>1</v>
      </c>
    </row>
    <row r="4" customFormat="false" ht="55.5" hidden="false" customHeight="true" outlineLevel="0" collapsed="false">
      <c r="A4" s="3" t="s">
        <v>2</v>
      </c>
    </row>
    <row r="6" customFormat="false" ht="15" hidden="false" customHeight="false" outlineLevel="0" collapsed="false">
      <c r="A6" s="2" t="s">
        <v>3</v>
      </c>
    </row>
    <row r="7" customFormat="false" ht="55.5" hidden="false" customHeight="true" outlineLevel="0" collapsed="false">
      <c r="A7" s="3" t="s">
        <v>4</v>
      </c>
    </row>
    <row r="9" customFormat="false" ht="15" hidden="false" customHeight="false" outlineLevel="0" collapsed="false">
      <c r="A9" s="2" t="s">
        <v>5</v>
      </c>
    </row>
    <row r="10" customFormat="false" ht="55.5" hidden="false" customHeight="true" outlineLevel="0" collapsed="false">
      <c r="A10" s="3" t="s">
        <v>6</v>
      </c>
    </row>
    <row r="12" customFormat="false" ht="15" hidden="false" customHeight="false" outlineLevel="0" collapsed="false">
      <c r="A12" s="2" t="s">
        <v>7</v>
      </c>
    </row>
    <row r="13" customFormat="false" ht="69.75" hidden="false" customHeight="true" outlineLevel="0" collapsed="false">
      <c r="A13" s="3" t="s">
        <v>8</v>
      </c>
    </row>
    <row r="15" customFormat="false" ht="15" hidden="false" customHeight="false" outlineLevel="0" collapsed="false">
      <c r="A15" s="2" t="s">
        <v>9</v>
      </c>
    </row>
    <row r="16" customFormat="false" ht="69.75" hidden="false" customHeight="true" outlineLevel="0" collapsed="false">
      <c r="A16" s="3" t="s">
        <v>10</v>
      </c>
    </row>
    <row r="18" customFormat="false" ht="15" hidden="false" customHeight="false" outlineLevel="0" collapsed="false">
      <c r="A18" s="2" t="s">
        <v>11</v>
      </c>
    </row>
    <row r="19" customFormat="false" ht="42" hidden="false" customHeight="true" outlineLevel="0" collapsed="false">
      <c r="A19" s="3" t="s">
        <v>12</v>
      </c>
    </row>
    <row r="21" customFormat="false" ht="15" hidden="false" customHeight="false" outlineLevel="0" collapsed="false">
      <c r="A21" s="2" t="s">
        <v>13</v>
      </c>
    </row>
    <row r="22" customFormat="false" ht="42" hidden="false" customHeight="true" outlineLevel="0" collapsed="false">
      <c r="A22" s="3" t="s">
        <v>14</v>
      </c>
    </row>
    <row r="24" customFormat="false" ht="15" hidden="false" customHeight="false" outlineLevel="0" collapsed="false">
      <c r="A24" s="2" t="s">
        <v>15</v>
      </c>
    </row>
    <row r="25" customFormat="false" ht="84" hidden="false" customHeight="true" outlineLevel="0" collapsed="false">
      <c r="A25" s="3" t="s">
        <v>16</v>
      </c>
    </row>
    <row r="27" customFormat="false" ht="15" hidden="false" customHeight="false" outlineLevel="0" collapsed="false">
      <c r="A27" s="2" t="s">
        <v>17</v>
      </c>
    </row>
    <row r="28" customFormat="false" ht="27.75" hidden="false" customHeight="true" outlineLevel="0" collapsed="false">
      <c r="A28"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40"/>
  </cols>
  <sheetData>
    <row r="1" customFormat="false" ht="19.5" hidden="false" customHeight="true" outlineLevel="0" collapsed="false">
      <c r="A1" s="1" t="s">
        <v>19</v>
      </c>
      <c r="B1" s="4"/>
      <c r="C1" s="4"/>
      <c r="D1" s="4"/>
    </row>
    <row r="2" customFormat="false" ht="15" hidden="false" customHeight="false" outlineLevel="0" collapsed="false">
      <c r="A2" s="5" t="s">
        <v>20</v>
      </c>
    </row>
    <row r="4" customFormat="false" ht="15" hidden="false" customHeight="false" outlineLevel="0" collapsed="false">
      <c r="A4" s="6" t="s">
        <v>21</v>
      </c>
    </row>
    <row r="5" customFormat="false" ht="15" hidden="false" customHeight="false" outlineLevel="0" collapsed="false">
      <c r="A5" s="7" t="s">
        <v>22</v>
      </c>
      <c r="B5" s="8" t="n">
        <v>3989.85</v>
      </c>
    </row>
    <row r="6" customFormat="false" ht="15" hidden="false" customHeight="false" outlineLevel="0" collapsed="false">
      <c r="A6" s="7" t="s">
        <v>23</v>
      </c>
      <c r="B6" s="9" t="n">
        <v>3975</v>
      </c>
      <c r="D6" s="10" t="s">
        <v>24</v>
      </c>
    </row>
    <row r="7" customFormat="false" ht="15" hidden="false" customHeight="false" outlineLevel="0" collapsed="false">
      <c r="A7" s="7" t="s">
        <v>25</v>
      </c>
      <c r="B7" s="9" t="n">
        <v>3944</v>
      </c>
      <c r="D7" s="10" t="s">
        <v>26</v>
      </c>
    </row>
    <row r="8" customFormat="false" ht="15" hidden="false" customHeight="false" outlineLevel="0" collapsed="false">
      <c r="A8" s="7" t="s">
        <v>27</v>
      </c>
      <c r="B8" s="11" t="s">
        <v>28</v>
      </c>
      <c r="D8" s="10" t="s">
        <v>29</v>
      </c>
    </row>
    <row r="9" customFormat="false" ht="15" hidden="false" customHeight="false" outlineLevel="0" collapsed="false">
      <c r="A9" s="7" t="s">
        <v>30</v>
      </c>
      <c r="B9" s="12" t="s">
        <v>31</v>
      </c>
      <c r="D9" s="10" t="s">
        <v>32</v>
      </c>
    </row>
    <row r="11" customFormat="false" ht="15" hidden="false" customHeight="false" outlineLevel="0" collapsed="false">
      <c r="A11" s="6" t="s">
        <v>33</v>
      </c>
    </row>
    <row r="12" customFormat="false" ht="15" hidden="false" customHeight="false" outlineLevel="0" collapsed="false">
      <c r="A12" s="13" t="s">
        <v>34</v>
      </c>
      <c r="B12" s="13" t="s">
        <v>35</v>
      </c>
      <c r="C12" s="13" t="s">
        <v>36</v>
      </c>
      <c r="D12" s="13" t="s">
        <v>37</v>
      </c>
    </row>
    <row r="13" customFormat="false" ht="15" hidden="false" customHeight="false" outlineLevel="0" collapsed="false">
      <c r="A13" s="7" t="s">
        <v>38</v>
      </c>
      <c r="B13" s="14" t="s">
        <v>39</v>
      </c>
      <c r="C13" s="14" t="s">
        <v>40</v>
      </c>
      <c r="D13" s="15" t="s">
        <v>41</v>
      </c>
    </row>
    <row r="14" customFormat="false" ht="15" hidden="false" customHeight="false" outlineLevel="0" collapsed="false">
      <c r="A14" s="7" t="s">
        <v>42</v>
      </c>
      <c r="B14" s="14" t="s">
        <v>43</v>
      </c>
      <c r="C14" s="14" t="s">
        <v>44</v>
      </c>
      <c r="D14" s="15" t="s">
        <v>45</v>
      </c>
    </row>
    <row r="15" customFormat="false" ht="15" hidden="false" customHeight="false" outlineLevel="0" collapsed="false">
      <c r="A15" s="7" t="s">
        <v>46</v>
      </c>
      <c r="B15" s="14" t="s">
        <v>47</v>
      </c>
      <c r="C15" s="14" t="s">
        <v>48</v>
      </c>
      <c r="D15" s="15" t="s">
        <v>49</v>
      </c>
    </row>
    <row r="17" customFormat="false" ht="15" hidden="false" customHeight="false" outlineLevel="0" collapsed="false">
      <c r="A17" s="6" t="s">
        <v>50</v>
      </c>
    </row>
    <row r="18" customFormat="false" ht="15" hidden="false" customHeight="false" outlineLevel="0" collapsed="false">
      <c r="A18" s="7" t="s">
        <v>51</v>
      </c>
    </row>
    <row r="19" customFormat="false" ht="15" hidden="false" customHeight="false" outlineLevel="0" collapsed="false">
      <c r="A19" s="7" t="s">
        <v>52</v>
      </c>
    </row>
    <row r="20" customFormat="false" ht="15" hidden="false" customHeight="false" outlineLevel="0" collapsed="false">
      <c r="A20" s="7" t="s">
        <v>53</v>
      </c>
    </row>
    <row r="21" customFormat="false" ht="15" hidden="false" customHeight="false" outlineLevel="0" collapsed="false">
      <c r="A21" s="7" t="s">
        <v>54</v>
      </c>
    </row>
    <row r="22" customFormat="false" ht="15" hidden="false" customHeight="false" outlineLevel="0" collapsed="false">
      <c r="A22" s="7" t="s">
        <v>55</v>
      </c>
    </row>
    <row r="24" customFormat="false" ht="27.75" hidden="false" customHeight="true" outlineLevel="0" collapsed="false">
      <c r="A24" s="16" t="s">
        <v>56</v>
      </c>
      <c r="B24" s="16"/>
      <c r="C24" s="16"/>
      <c r="D24" s="16"/>
    </row>
  </sheetData>
  <mergeCells count="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3"/>
    <col collapsed="false" customWidth="true" hidden="false" outlineLevel="0" max="6" min="6" style="0" width="40"/>
  </cols>
  <sheetData>
    <row r="1" customFormat="false" ht="19.5" hidden="false" customHeight="true" outlineLevel="0" collapsed="false">
      <c r="A1" s="1" t="s">
        <v>57</v>
      </c>
      <c r="B1" s="4"/>
      <c r="C1" s="4"/>
      <c r="D1" s="4"/>
      <c r="E1" s="4"/>
      <c r="F1" s="4"/>
    </row>
    <row r="2" customFormat="false" ht="15" hidden="false" customHeight="false" outlineLevel="0" collapsed="false">
      <c r="A2" s="5" t="s">
        <v>58</v>
      </c>
    </row>
    <row r="4" customFormat="false" ht="15" hidden="false" customHeight="false" outlineLevel="0" collapsed="false">
      <c r="A4" s="6" t="s">
        <v>59</v>
      </c>
    </row>
    <row r="5" customFormat="false" ht="15" hidden="false" customHeight="false" outlineLevel="0" collapsed="false">
      <c r="A5" s="7" t="s">
        <v>60</v>
      </c>
      <c r="B5" s="17" t="n">
        <v>3989.85</v>
      </c>
    </row>
    <row r="6" customFormat="false" ht="15" hidden="false" customHeight="false" outlineLevel="0" collapsed="false">
      <c r="A6" s="7" t="s">
        <v>61</v>
      </c>
      <c r="B6" s="18" t="n">
        <v>4800</v>
      </c>
    </row>
    <row r="7" customFormat="false" ht="15" hidden="false" customHeight="false" outlineLevel="0" collapsed="false">
      <c r="A7" s="7" t="s">
        <v>62</v>
      </c>
      <c r="B7" s="19" t="n">
        <f aca="false">B6/B5-1</f>
        <v>0.203052746343848</v>
      </c>
      <c r="D7" s="10" t="s">
        <v>63</v>
      </c>
    </row>
    <row r="9" customFormat="false" ht="15" hidden="false" customHeight="false" outlineLevel="0" collapsed="false">
      <c r="A9" s="6" t="s">
        <v>64</v>
      </c>
    </row>
    <row r="10" customFormat="false" ht="15" hidden="false" customHeight="false" outlineLevel="0" collapsed="false">
      <c r="A10" s="5" t="s">
        <v>65</v>
      </c>
    </row>
    <row r="11" customFormat="false" ht="15" hidden="false" customHeight="false" outlineLevel="0" collapsed="false">
      <c r="A11" s="13" t="s">
        <v>66</v>
      </c>
      <c r="B11" s="13" t="s">
        <v>67</v>
      </c>
      <c r="C11" s="13" t="s">
        <v>68</v>
      </c>
      <c r="D11" s="13" t="s">
        <v>69</v>
      </c>
    </row>
    <row r="12" customFormat="false" ht="15" hidden="false" customHeight="false" outlineLevel="0" collapsed="false">
      <c r="A12" s="7" t="s">
        <v>70</v>
      </c>
      <c r="B12" s="18" t="n">
        <v>4425</v>
      </c>
      <c r="C12" s="20" t="n">
        <f aca="false">B12/$B$5-1</f>
        <v>0.109064250535734</v>
      </c>
      <c r="D12" s="10" t="s">
        <v>71</v>
      </c>
    </row>
    <row r="13" customFormat="false" ht="15" hidden="false" customHeight="false" outlineLevel="0" collapsed="false">
      <c r="A13" s="7" t="s">
        <v>72</v>
      </c>
      <c r="B13" s="18" t="n">
        <v>4800</v>
      </c>
      <c r="C13" s="20" t="n">
        <f aca="false">B13/$B$5-1</f>
        <v>0.203052746343848</v>
      </c>
      <c r="D13" s="10" t="s">
        <v>73</v>
      </c>
    </row>
    <row r="14" customFormat="false" ht="15" hidden="false" customHeight="false" outlineLevel="0" collapsed="false">
      <c r="A14" s="7" t="s">
        <v>74</v>
      </c>
      <c r="B14" s="18" t="n">
        <v>4900</v>
      </c>
      <c r="C14" s="20" t="n">
        <f aca="false">B14/$B$5-1</f>
        <v>0.228116345226011</v>
      </c>
      <c r="D14" s="10" t="s">
        <v>75</v>
      </c>
    </row>
    <row r="15" customFormat="false" ht="15" hidden="false" customHeight="false" outlineLevel="0" collapsed="false">
      <c r="A15" s="7" t="s">
        <v>76</v>
      </c>
      <c r="B15" s="18" t="n">
        <v>5000</v>
      </c>
      <c r="C15" s="20" t="n">
        <f aca="false">B15/$B$5-1</f>
        <v>0.253179944108175</v>
      </c>
      <c r="D15" s="10" t="s">
        <v>77</v>
      </c>
    </row>
    <row r="16" customFormat="false" ht="15" hidden="false" customHeight="false" outlineLevel="0" collapsed="false">
      <c r="A16" s="7" t="s">
        <v>78</v>
      </c>
      <c r="B16" s="18" t="n">
        <v>5700</v>
      </c>
      <c r="C16" s="20" t="n">
        <f aca="false">B16/$B$5-1</f>
        <v>0.428625136283319</v>
      </c>
      <c r="D16" s="10" t="s">
        <v>79</v>
      </c>
    </row>
    <row r="17" customFormat="false" ht="15" hidden="false" customHeight="false" outlineLevel="0" collapsed="false">
      <c r="A17" s="7" t="s">
        <v>80</v>
      </c>
      <c r="B17" s="18" t="n">
        <v>6100</v>
      </c>
      <c r="C17" s="20" t="n">
        <f aca="false">B17/$B$5-1</f>
        <v>0.528879531811973</v>
      </c>
      <c r="D17" s="10" t="s">
        <v>81</v>
      </c>
    </row>
    <row r="18" customFormat="false" ht="15" hidden="false" customHeight="false" outlineLevel="0" collapsed="false">
      <c r="A18" s="10" t="s">
        <v>82</v>
      </c>
    </row>
    <row r="20" customFormat="false" ht="15" hidden="false" customHeight="false" outlineLevel="0" collapsed="false">
      <c r="A20" s="6" t="s">
        <v>83</v>
      </c>
    </row>
    <row r="21" customFormat="false" ht="15" hidden="false" customHeight="false" outlineLevel="0" collapsed="false">
      <c r="A21" s="13" t="s">
        <v>84</v>
      </c>
      <c r="B21" s="13" t="s">
        <v>85</v>
      </c>
      <c r="C21" s="13" t="s">
        <v>86</v>
      </c>
      <c r="D21" s="13" t="s">
        <v>87</v>
      </c>
    </row>
    <row r="22" customFormat="false" ht="15" hidden="false" customHeight="false" outlineLevel="0" collapsed="false">
      <c r="A22" s="7" t="s">
        <v>88</v>
      </c>
      <c r="B22" s="14" t="s">
        <v>89</v>
      </c>
      <c r="C22" s="14" t="s">
        <v>90</v>
      </c>
      <c r="D22" s="10" t="s">
        <v>91</v>
      </c>
    </row>
    <row r="23" customFormat="false" ht="15" hidden="false" customHeight="false" outlineLevel="0" collapsed="false">
      <c r="A23" s="7" t="s">
        <v>92</v>
      </c>
      <c r="B23" s="21" t="n">
        <v>863</v>
      </c>
      <c r="C23" s="14" t="s">
        <v>93</v>
      </c>
      <c r="D23" s="10" t="s">
        <v>94</v>
      </c>
    </row>
    <row r="24" customFormat="false" ht="15" hidden="false" customHeight="false" outlineLevel="0" collapsed="false">
      <c r="A24" s="7" t="s">
        <v>95</v>
      </c>
      <c r="B24" s="21" t="n">
        <v>3672</v>
      </c>
      <c r="C24" s="14" t="s">
        <v>96</v>
      </c>
      <c r="D24" s="10" t="s">
        <v>97</v>
      </c>
    </row>
    <row r="25" customFormat="false" ht="15" hidden="false" customHeight="false" outlineLevel="0" collapsed="false">
      <c r="A25" s="7" t="s">
        <v>98</v>
      </c>
      <c r="B25" s="21" t="n">
        <v>1404</v>
      </c>
      <c r="C25" s="14" t="s">
        <v>99</v>
      </c>
      <c r="D25" s="10" t="s">
        <v>100</v>
      </c>
    </row>
    <row r="26" customFormat="false" ht="15" hidden="false" customHeight="false" outlineLevel="0" collapsed="false">
      <c r="A26" s="7" t="s">
        <v>101</v>
      </c>
      <c r="B26" s="21" t="n">
        <v>5002</v>
      </c>
      <c r="C26" s="14" t="s">
        <v>96</v>
      </c>
      <c r="D26" s="10" t="s">
        <v>102</v>
      </c>
    </row>
    <row r="27" customFormat="false" ht="15" hidden="false" customHeight="false" outlineLevel="0" collapsed="false">
      <c r="A27" s="7" t="s">
        <v>103</v>
      </c>
      <c r="B27" s="14" t="s">
        <v>104</v>
      </c>
      <c r="C27" s="14" t="s">
        <v>105</v>
      </c>
      <c r="D27" s="10" t="s">
        <v>106</v>
      </c>
    </row>
    <row r="28" customFormat="false" ht="15" hidden="false" customHeight="false" outlineLevel="0" collapsed="false">
      <c r="A28" s="7" t="s">
        <v>107</v>
      </c>
      <c r="B28" s="21" t="n">
        <v>555</v>
      </c>
      <c r="C28" s="14" t="s">
        <v>108</v>
      </c>
      <c r="D28" s="10" t="s">
        <v>109</v>
      </c>
    </row>
    <row r="29" customFormat="false" ht="15" hidden="false" customHeight="false" outlineLevel="0" collapsed="false">
      <c r="A29" s="7" t="s">
        <v>110</v>
      </c>
      <c r="B29" s="14" t="s">
        <v>111</v>
      </c>
      <c r="C29" s="14" t="s">
        <v>112</v>
      </c>
      <c r="D29" s="10" t="s">
        <v>113</v>
      </c>
    </row>
    <row r="30" customFormat="false" ht="15" hidden="false" customHeight="false" outlineLevel="0" collapsed="false">
      <c r="A30" s="10" t="s">
        <v>114</v>
      </c>
    </row>
    <row r="32" customFormat="false" ht="15" hidden="false" customHeight="false" outlineLevel="0" collapsed="false">
      <c r="A32" s="6" t="s">
        <v>115</v>
      </c>
    </row>
    <row r="33" customFormat="false" ht="15" hidden="false" customHeight="false" outlineLevel="0" collapsed="false">
      <c r="A33" s="7" t="s">
        <v>116</v>
      </c>
      <c r="B33" s="14" t="s">
        <v>117</v>
      </c>
      <c r="D33" s="10" t="s">
        <v>118</v>
      </c>
    </row>
    <row r="34" customFormat="false" ht="15" hidden="false" customHeight="false" outlineLevel="0" collapsed="false">
      <c r="A34" s="7" t="s">
        <v>119</v>
      </c>
      <c r="B34" s="22" t="s">
        <v>120</v>
      </c>
      <c r="D34" s="10" t="s">
        <v>121</v>
      </c>
    </row>
    <row r="35" customFormat="false" ht="15" hidden="false" customHeight="false" outlineLevel="0" collapsed="false">
      <c r="A35" s="7" t="s">
        <v>122</v>
      </c>
      <c r="B35" s="14" t="s">
        <v>123</v>
      </c>
      <c r="D35" s="10" t="s">
        <v>124</v>
      </c>
    </row>
    <row r="37" customFormat="false" ht="15" hidden="false" customHeight="false" outlineLevel="0" collapsed="false">
      <c r="A37" s="6" t="s">
        <v>125</v>
      </c>
    </row>
    <row r="38" customFormat="false" ht="15" hidden="false" customHeight="false" outlineLevel="0" collapsed="false">
      <c r="A38" s="23" t="s">
        <v>126</v>
      </c>
      <c r="B38" s="24" t="n">
        <v>4200</v>
      </c>
      <c r="C38" s="20" t="n">
        <f aca="false">B38/$B$5-1</f>
        <v>0.0526711530508666</v>
      </c>
    </row>
    <row r="39" customFormat="false" ht="15" hidden="false" customHeight="false" outlineLevel="0" collapsed="false">
      <c r="A39" s="23" t="s">
        <v>127</v>
      </c>
      <c r="B39" s="9" t="n">
        <f aca="false">ROUND(B6*0.958,-2)</f>
        <v>4600</v>
      </c>
      <c r="C39" s="20" t="n">
        <f aca="false">B39/$B$5-1</f>
        <v>0.15292554857952</v>
      </c>
    </row>
    <row r="40" customFormat="false" ht="15" hidden="false" customHeight="false" outlineLevel="0" collapsed="false">
      <c r="A40" s="23" t="s">
        <v>128</v>
      </c>
      <c r="B40" s="24" t="n">
        <v>5000</v>
      </c>
      <c r="C40" s="20" t="n">
        <f aca="false">B40/$B$5-1</f>
        <v>0.253179944108175</v>
      </c>
    </row>
    <row r="41" customFormat="false" ht="15" hidden="false" customHeight="false" outlineLevel="0" collapsed="false">
      <c r="A41" s="10"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40"/>
  </cols>
  <sheetData>
    <row r="1" customFormat="false" ht="19.5" hidden="false" customHeight="true" outlineLevel="0" collapsed="false">
      <c r="A1" s="1" t="s">
        <v>130</v>
      </c>
      <c r="B1" s="4"/>
      <c r="C1" s="4"/>
    </row>
    <row r="2" customFormat="false" ht="15" hidden="false" customHeight="false" outlineLevel="0" collapsed="false">
      <c r="A2" s="5" t="s">
        <v>131</v>
      </c>
    </row>
    <row r="4" customFormat="false" ht="15" hidden="false" customHeight="false" outlineLevel="0" collapsed="false">
      <c r="A4" s="6" t="s">
        <v>132</v>
      </c>
    </row>
    <row r="5" customFormat="false" ht="15" hidden="false" customHeight="false" outlineLevel="0" collapsed="false">
      <c r="A5" s="7" t="s">
        <v>133</v>
      </c>
      <c r="B5" s="17" t="n">
        <v>3989.85</v>
      </c>
    </row>
    <row r="6" customFormat="false" ht="15" hidden="false" customHeight="false" outlineLevel="0" collapsed="false">
      <c r="A6" s="7" t="s">
        <v>134</v>
      </c>
      <c r="B6" s="25" t="n">
        <v>0.27</v>
      </c>
    </row>
    <row r="7" customFormat="false" ht="15" hidden="false" customHeight="false" outlineLevel="0" collapsed="false">
      <c r="A7" s="7" t="s">
        <v>135</v>
      </c>
      <c r="B7" s="26" t="n">
        <v>20</v>
      </c>
    </row>
    <row r="8" customFormat="false" ht="15" hidden="false" customHeight="false" outlineLevel="0" collapsed="false">
      <c r="A8" s="7" t="s">
        <v>136</v>
      </c>
      <c r="B8" s="26" t="n">
        <v>60</v>
      </c>
    </row>
    <row r="9" customFormat="false" ht="15" hidden="false" customHeight="false" outlineLevel="0" collapsed="false">
      <c r="A9" s="7" t="s">
        <v>137</v>
      </c>
      <c r="B9" s="18" t="n">
        <v>4800</v>
      </c>
    </row>
    <row r="10" customFormat="false" ht="15" hidden="false" customHeight="false" outlineLevel="0" collapsed="false">
      <c r="A10" s="7" t="s">
        <v>138</v>
      </c>
      <c r="B10" s="26" t="n">
        <v>252</v>
      </c>
    </row>
    <row r="12" customFormat="false" ht="15" hidden="false" customHeight="false" outlineLevel="0" collapsed="false">
      <c r="A12" s="6" t="s">
        <v>139</v>
      </c>
    </row>
    <row r="13" customFormat="false" ht="15" hidden="false" customHeight="false" outlineLevel="0" collapsed="false">
      <c r="A13" s="7" t="s">
        <v>140</v>
      </c>
      <c r="B13" s="17" t="n">
        <v>3800</v>
      </c>
    </row>
    <row r="14" customFormat="false" ht="15" hidden="false" customHeight="false" outlineLevel="0" collapsed="false">
      <c r="A14" s="7" t="s">
        <v>141</v>
      </c>
      <c r="B14" s="17" t="n">
        <v>3700</v>
      </c>
    </row>
    <row r="15" customFormat="false" ht="15" hidden="false" customHeight="false" outlineLevel="0" collapsed="false">
      <c r="A15" s="7" t="s">
        <v>142</v>
      </c>
      <c r="B15" s="17" t="n">
        <v>3600</v>
      </c>
    </row>
    <row r="16" customFormat="false" ht="15" hidden="false" customHeight="false" outlineLevel="0" collapsed="false">
      <c r="A16" s="7" t="s">
        <v>143</v>
      </c>
      <c r="B16" s="17" t="n">
        <v>3268.15</v>
      </c>
    </row>
    <row r="17" customFormat="false" ht="15" hidden="false" customHeight="false" outlineLevel="0" collapsed="false">
      <c r="A17" s="7" t="s">
        <v>144</v>
      </c>
      <c r="B17" s="17" t="n">
        <v>4469.81</v>
      </c>
    </row>
    <row r="18" customFormat="false" ht="15" hidden="false" customHeight="false" outlineLevel="0" collapsed="false">
      <c r="A18" s="7" t="s">
        <v>145</v>
      </c>
      <c r="B18" s="17" t="n">
        <v>4486.99</v>
      </c>
    </row>
    <row r="19" customFormat="false" ht="15" hidden="false" customHeight="false" outlineLevel="0" collapsed="false">
      <c r="A19" s="7" t="s">
        <v>146</v>
      </c>
      <c r="B19" s="17" t="n">
        <v>4595.31</v>
      </c>
    </row>
    <row r="20" customFormat="false" ht="15" hidden="false" customHeight="false" outlineLevel="0" collapsed="false">
      <c r="A20" s="7" t="s">
        <v>147</v>
      </c>
      <c r="B20" s="17" t="n">
        <v>5595.46</v>
      </c>
    </row>
    <row r="22" customFormat="false" ht="15" hidden="false" customHeight="false" outlineLevel="0" collapsed="false">
      <c r="A22" s="6" t="s">
        <v>148</v>
      </c>
    </row>
    <row r="23" customFormat="false" ht="15" hidden="false" customHeight="false" outlineLevel="0" collapsed="false">
      <c r="A23" s="7" t="s">
        <v>72</v>
      </c>
      <c r="B23" s="18" t="n">
        <v>4800</v>
      </c>
    </row>
    <row r="24" customFormat="false" ht="15" hidden="false" customHeight="false" outlineLevel="0" collapsed="false">
      <c r="A24" s="7" t="s">
        <v>149</v>
      </c>
      <c r="B24" s="18" t="n">
        <v>4425</v>
      </c>
    </row>
    <row r="25" customFormat="false" ht="15" hidden="false" customHeight="false" outlineLevel="0" collapsed="false">
      <c r="A25" s="7" t="s">
        <v>150</v>
      </c>
      <c r="B25" s="18" t="n">
        <v>4950</v>
      </c>
    </row>
    <row r="26" customFormat="false" ht="15" hidden="false" customHeight="false" outlineLevel="0" collapsed="false">
      <c r="A26" s="7" t="s">
        <v>151</v>
      </c>
      <c r="B26" s="18" t="n">
        <v>6000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40"/>
  </cols>
  <sheetData>
    <row r="1" customFormat="false" ht="19.5" hidden="false" customHeight="true" outlineLevel="0" collapsed="false">
      <c r="A1" s="1" t="s">
        <v>152</v>
      </c>
      <c r="B1" s="4"/>
      <c r="C1" s="4"/>
    </row>
    <row r="2" customFormat="false" ht="15" hidden="false" customHeight="false" outlineLevel="0" collapsed="false">
      <c r="A2" s="5" t="s">
        <v>153</v>
      </c>
    </row>
    <row r="4" customFormat="false" ht="15" hidden="false" customHeight="false" outlineLevel="0" collapsed="false">
      <c r="A4" s="6" t="s">
        <v>154</v>
      </c>
    </row>
    <row r="5" customFormat="false" ht="15" hidden="false" customHeight="false" outlineLevel="0" collapsed="false">
      <c r="A5" s="13" t="s">
        <v>155</v>
      </c>
      <c r="B5" s="13" t="s">
        <v>156</v>
      </c>
      <c r="C5" s="13" t="s">
        <v>157</v>
      </c>
    </row>
    <row r="6" customFormat="false" ht="15" hidden="false" customHeight="false" outlineLevel="0" collapsed="false">
      <c r="A6" s="7" t="s">
        <v>158</v>
      </c>
      <c r="B6" s="12" t="s">
        <v>159</v>
      </c>
      <c r="C6" s="10" t="s">
        <v>108</v>
      </c>
    </row>
    <row r="7" customFormat="false" ht="15" hidden="false" customHeight="false" outlineLevel="0" collapsed="false">
      <c r="A7" s="7" t="s">
        <v>160</v>
      </c>
      <c r="B7" s="12" t="s">
        <v>161</v>
      </c>
      <c r="C7" s="10" t="s">
        <v>162</v>
      </c>
    </row>
    <row r="8" customFormat="false" ht="15" hidden="false" customHeight="false" outlineLevel="0" collapsed="false">
      <c r="A8" s="7" t="s">
        <v>145</v>
      </c>
      <c r="B8" s="12" t="s">
        <v>163</v>
      </c>
      <c r="C8" s="10" t="s">
        <v>164</v>
      </c>
    </row>
    <row r="9" customFormat="false" ht="15" hidden="false" customHeight="false" outlineLevel="0" collapsed="false">
      <c r="A9" s="7" t="s">
        <v>165</v>
      </c>
      <c r="B9" s="12" t="s">
        <v>166</v>
      </c>
      <c r="C9" s="10" t="s">
        <v>167</v>
      </c>
    </row>
    <row r="10" customFormat="false" ht="15" hidden="false" customHeight="false" outlineLevel="0" collapsed="false">
      <c r="A10" s="7" t="s">
        <v>168</v>
      </c>
      <c r="B10" s="12" t="s">
        <v>169</v>
      </c>
      <c r="C10" s="10" t="s">
        <v>170</v>
      </c>
    </row>
    <row r="11" customFormat="false" ht="15" hidden="false" customHeight="false" outlineLevel="0" collapsed="false">
      <c r="A11" s="7" t="s">
        <v>171</v>
      </c>
      <c r="B11" s="12" t="s">
        <v>172</v>
      </c>
      <c r="C11" s="10"/>
    </row>
    <row r="12" customFormat="false" ht="15" hidden="false" customHeight="false" outlineLevel="0" collapsed="false">
      <c r="A12" s="7" t="s">
        <v>173</v>
      </c>
      <c r="B12" s="12" t="s">
        <v>174</v>
      </c>
      <c r="C12" s="10" t="s">
        <v>175</v>
      </c>
    </row>
    <row r="13" customFormat="false" ht="15" hidden="false" customHeight="false" outlineLevel="0" collapsed="false">
      <c r="A13" s="7" t="s">
        <v>176</v>
      </c>
      <c r="B13" s="12" t="s">
        <v>177</v>
      </c>
      <c r="C13" s="10" t="s">
        <v>178</v>
      </c>
    </row>
    <row r="14" customFormat="false" ht="15" hidden="false" customHeight="false" outlineLevel="0" collapsed="false">
      <c r="A14" s="7" t="s">
        <v>179</v>
      </c>
      <c r="B14" s="12" t="s">
        <v>180</v>
      </c>
      <c r="C14" s="10" t="s">
        <v>181</v>
      </c>
    </row>
    <row r="15" customFormat="false" ht="15" hidden="false" customHeight="false" outlineLevel="0" collapsed="false">
      <c r="A15" s="7" t="s">
        <v>182</v>
      </c>
      <c r="B15" s="12" t="s">
        <v>183</v>
      </c>
      <c r="C15" s="10" t="s">
        <v>108</v>
      </c>
    </row>
    <row r="16" customFormat="false" ht="15" hidden="false" customHeight="false" outlineLevel="0" collapsed="false">
      <c r="A16" s="7" t="s">
        <v>184</v>
      </c>
      <c r="B16" s="12" t="s">
        <v>185</v>
      </c>
      <c r="C16" s="10" t="s">
        <v>186</v>
      </c>
    </row>
    <row r="18" customFormat="false" ht="15" hidden="false" customHeight="false" outlineLevel="0" collapsed="false">
      <c r="A18" s="6" t="s">
        <v>187</v>
      </c>
    </row>
    <row r="19" customFormat="false" ht="15" hidden="false" customHeight="false" outlineLevel="0" collapsed="false">
      <c r="A19" s="23" t="s">
        <v>188</v>
      </c>
      <c r="B19" s="14" t="s">
        <v>189</v>
      </c>
    </row>
    <row r="20" customFormat="false" ht="15" hidden="false" customHeight="false" outlineLevel="0" collapsed="false">
      <c r="A20" s="23" t="s">
        <v>190</v>
      </c>
      <c r="B20" s="14" t="s">
        <v>191</v>
      </c>
    </row>
    <row r="21" customFormat="false" ht="15" hidden="false" customHeight="false" outlineLevel="0" collapsed="false">
      <c r="A21" s="10"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5" min="3" style="0" width="11"/>
    <col collapsed="false" customWidth="true" hidden="false" outlineLevel="0" max="6" min="6" style="0" width="12"/>
    <col collapsed="false" customWidth="true" hidden="false" outlineLevel="0" max="7" min="7" style="0" width="11"/>
    <col collapsed="false" customWidth="true" hidden="false" outlineLevel="0" max="8" min="8" style="0" width="12"/>
    <col collapsed="false" customWidth="true" hidden="false" outlineLevel="0" max="9" min="9" style="0" width="34"/>
  </cols>
  <sheetData>
    <row r="1" customFormat="false" ht="19.5" hidden="false" customHeight="true" outlineLevel="0" collapsed="false">
      <c r="A1" s="1" t="s">
        <v>193</v>
      </c>
      <c r="B1" s="4"/>
      <c r="C1" s="4"/>
      <c r="D1" s="4"/>
      <c r="E1" s="4"/>
      <c r="F1" s="4"/>
      <c r="G1" s="4"/>
      <c r="H1" s="4"/>
      <c r="I1" s="4"/>
    </row>
    <row r="2" customFormat="false" ht="15" hidden="false" customHeight="false" outlineLevel="0" collapsed="false">
      <c r="A2" s="5" t="s">
        <v>194</v>
      </c>
    </row>
    <row r="4" customFormat="false" ht="15" hidden="false" customHeight="false" outlineLevel="0" collapsed="false">
      <c r="A4" s="6" t="s">
        <v>195</v>
      </c>
    </row>
    <row r="5" customFormat="false" ht="15" hidden="false" customHeight="false" outlineLevel="0" collapsed="false">
      <c r="A5" s="7" t="s">
        <v>196</v>
      </c>
      <c r="B5" s="17" t="n">
        <v>3989.85</v>
      </c>
    </row>
    <row r="6" customFormat="false" ht="15" hidden="false" customHeight="false" outlineLevel="0" collapsed="false">
      <c r="A6" s="7" t="s">
        <v>197</v>
      </c>
      <c r="B6" s="25" t="n">
        <v>0.27</v>
      </c>
    </row>
    <row r="7" customFormat="false" ht="15" hidden="false" customHeight="false" outlineLevel="0" collapsed="false">
      <c r="A7" s="7" t="s">
        <v>138</v>
      </c>
      <c r="B7" s="26" t="n">
        <v>252</v>
      </c>
    </row>
    <row r="8" customFormat="false" ht="15" hidden="false" customHeight="false" outlineLevel="0" collapsed="false">
      <c r="A8" s="7" t="s">
        <v>198</v>
      </c>
      <c r="B8" s="26" t="n">
        <v>20</v>
      </c>
      <c r="C8" s="26" t="n">
        <v>60</v>
      </c>
    </row>
    <row r="10" customFormat="false" ht="15" hidden="false" customHeight="false" outlineLevel="0" collapsed="false">
      <c r="A10" s="6" t="s">
        <v>199</v>
      </c>
    </row>
    <row r="11" customFormat="false" ht="15" hidden="false" customHeight="false" outlineLevel="0" collapsed="false">
      <c r="A11" s="13" t="s">
        <v>200</v>
      </c>
      <c r="B11" s="13" t="s">
        <v>201</v>
      </c>
      <c r="C11" s="13" t="s">
        <v>202</v>
      </c>
      <c r="D11" s="13" t="s">
        <v>203</v>
      </c>
      <c r="E11" s="13" t="s">
        <v>204</v>
      </c>
      <c r="F11" s="13" t="s">
        <v>205</v>
      </c>
      <c r="G11" s="13" t="s">
        <v>206</v>
      </c>
      <c r="H11" s="13" t="s">
        <v>207</v>
      </c>
      <c r="I11" s="13" t="s">
        <v>208</v>
      </c>
    </row>
    <row r="12" customFormat="false" ht="15" hidden="false" customHeight="false" outlineLevel="0" collapsed="false">
      <c r="A12" s="7" t="s">
        <v>209</v>
      </c>
      <c r="B12" s="14" t="s">
        <v>210</v>
      </c>
      <c r="C12" s="27" t="n">
        <v>-0.015</v>
      </c>
      <c r="D12" s="27" t="n">
        <v>0.05</v>
      </c>
      <c r="E12" s="28" t="s">
        <v>211</v>
      </c>
      <c r="F12" s="28" t="s">
        <v>211</v>
      </c>
      <c r="G12" s="28" t="s">
        <v>211</v>
      </c>
      <c r="H12" s="28" t="s">
        <v>211</v>
      </c>
      <c r="I12" s="10" t="s">
        <v>212</v>
      </c>
    </row>
    <row r="13" customFormat="false" ht="15" hidden="false" customHeight="false" outlineLevel="0" collapsed="false">
      <c r="A13" s="7" t="s">
        <v>213</v>
      </c>
      <c r="B13" s="14" t="s">
        <v>210</v>
      </c>
      <c r="C13" s="27" t="n">
        <v>-0.01</v>
      </c>
      <c r="D13" s="27" t="n">
        <v>0.045</v>
      </c>
      <c r="E13" s="28" t="s">
        <v>211</v>
      </c>
      <c r="F13" s="28" t="s">
        <v>211</v>
      </c>
      <c r="G13" s="28" t="s">
        <v>211</v>
      </c>
      <c r="H13" s="28" t="s">
        <v>211</v>
      </c>
      <c r="I13" s="10" t="s">
        <v>214</v>
      </c>
    </row>
    <row r="14" customFormat="false" ht="15" hidden="false" customHeight="false" outlineLevel="0" collapsed="false">
      <c r="A14" s="7" t="s">
        <v>215</v>
      </c>
      <c r="B14" s="14" t="s">
        <v>210</v>
      </c>
      <c r="C14" s="27" t="n">
        <v>-0.01</v>
      </c>
      <c r="D14" s="27" t="n">
        <v>0.05</v>
      </c>
      <c r="E14" s="28" t="s">
        <v>211</v>
      </c>
      <c r="F14" s="28" t="s">
        <v>211</v>
      </c>
      <c r="G14" s="28" t="s">
        <v>211</v>
      </c>
      <c r="H14" s="28" t="s">
        <v>211</v>
      </c>
      <c r="I14" s="10" t="s">
        <v>216</v>
      </c>
    </row>
    <row r="15" customFormat="false" ht="15" hidden="false" customHeight="false" outlineLevel="0" collapsed="false">
      <c r="A15" s="7" t="s">
        <v>217</v>
      </c>
      <c r="B15" s="14" t="s">
        <v>210</v>
      </c>
      <c r="C15" s="27" t="n">
        <v>0.02</v>
      </c>
      <c r="D15" s="27" t="n">
        <v>0.05</v>
      </c>
      <c r="E15" s="28" t="s">
        <v>211</v>
      </c>
      <c r="F15" s="28" t="s">
        <v>211</v>
      </c>
      <c r="G15" s="28" t="s">
        <v>211</v>
      </c>
      <c r="H15" s="28" t="s">
        <v>211</v>
      </c>
      <c r="I15" s="10" t="s">
        <v>218</v>
      </c>
    </row>
    <row r="16" customFormat="false" ht="15" hidden="false" customHeight="false" outlineLevel="0" collapsed="false">
      <c r="A16" s="7" t="s">
        <v>219</v>
      </c>
      <c r="B16" s="14" t="s">
        <v>210</v>
      </c>
      <c r="C16" s="27" t="n">
        <v>-0.005</v>
      </c>
      <c r="D16" s="27" t="n">
        <v>0.06</v>
      </c>
      <c r="E16" s="28" t="s">
        <v>211</v>
      </c>
      <c r="F16" s="28" t="s">
        <v>211</v>
      </c>
      <c r="G16" s="28" t="s">
        <v>211</v>
      </c>
      <c r="H16" s="28" t="s">
        <v>211</v>
      </c>
      <c r="I16" s="10" t="s">
        <v>220</v>
      </c>
    </row>
    <row r="17" customFormat="false" ht="15" hidden="false" customHeight="false" outlineLevel="0" collapsed="false">
      <c r="A17" s="7" t="s">
        <v>221</v>
      </c>
      <c r="B17" s="14" t="s">
        <v>222</v>
      </c>
      <c r="C17" s="28" t="s">
        <v>211</v>
      </c>
      <c r="D17" s="28" t="s">
        <v>211</v>
      </c>
      <c r="E17" s="29" t="n">
        <v>0.25</v>
      </c>
      <c r="F17" s="30" t="n">
        <v>0.04</v>
      </c>
      <c r="G17" s="27" t="n">
        <v>0.05</v>
      </c>
      <c r="H17" s="31" t="n">
        <f aca="false">E17*F17</f>
        <v>0.01</v>
      </c>
      <c r="I17" s="10" t="s">
        <v>223</v>
      </c>
    </row>
    <row r="18" customFormat="false" ht="15" hidden="false" customHeight="false" outlineLevel="0" collapsed="false">
      <c r="A18" s="7" t="s">
        <v>224</v>
      </c>
      <c r="B18" s="14" t="s">
        <v>222</v>
      </c>
      <c r="C18" s="28" t="s">
        <v>211</v>
      </c>
      <c r="D18" s="28" t="s">
        <v>211</v>
      </c>
      <c r="E18" s="29" t="n">
        <v>0.3</v>
      </c>
      <c r="F18" s="30" t="n">
        <v>0.04</v>
      </c>
      <c r="G18" s="27" t="n">
        <v>0.04</v>
      </c>
      <c r="H18" s="31" t="n">
        <f aca="false">E18*F18</f>
        <v>0.012</v>
      </c>
      <c r="I18" s="10" t="s">
        <v>225</v>
      </c>
    </row>
    <row r="19" customFormat="false" ht="15" hidden="false" customHeight="false" outlineLevel="0" collapsed="false">
      <c r="A19" s="7" t="s">
        <v>226</v>
      </c>
      <c r="B19" s="14" t="s">
        <v>222</v>
      </c>
      <c r="C19" s="28" t="s">
        <v>211</v>
      </c>
      <c r="D19" s="28" t="s">
        <v>211</v>
      </c>
      <c r="E19" s="29" t="n">
        <v>0.3</v>
      </c>
      <c r="F19" s="30" t="n">
        <v>-0.03</v>
      </c>
      <c r="G19" s="27" t="n">
        <v>0.05</v>
      </c>
      <c r="H19" s="31" t="n">
        <f aca="false">E19*F19</f>
        <v>-0.009</v>
      </c>
      <c r="I19" s="10" t="s">
        <v>227</v>
      </c>
    </row>
    <row r="20" customFormat="false" ht="15" hidden="false" customHeight="false" outlineLevel="0" collapsed="false">
      <c r="A20" s="7" t="s">
        <v>228</v>
      </c>
      <c r="B20" s="14" t="s">
        <v>222</v>
      </c>
      <c r="C20" s="28" t="s">
        <v>211</v>
      </c>
      <c r="D20" s="28" t="s">
        <v>211</v>
      </c>
      <c r="E20" s="29" t="n">
        <v>0.25</v>
      </c>
      <c r="F20" s="30" t="n">
        <v>0.04</v>
      </c>
      <c r="G20" s="27" t="n">
        <v>0.05</v>
      </c>
      <c r="H20" s="31" t="n">
        <f aca="false">E20*F20</f>
        <v>0.01</v>
      </c>
      <c r="I20" s="10" t="s">
        <v>229</v>
      </c>
    </row>
    <row r="21" customFormat="false" ht="15" hidden="false" customHeight="false" outlineLevel="0" collapsed="false">
      <c r="A21" s="7" t="s">
        <v>230</v>
      </c>
      <c r="B21" s="14" t="s">
        <v>222</v>
      </c>
      <c r="C21" s="28" t="s">
        <v>211</v>
      </c>
      <c r="D21" s="28" t="s">
        <v>211</v>
      </c>
      <c r="E21" s="29" t="n">
        <v>0.3</v>
      </c>
      <c r="F21" s="30" t="n">
        <v>-0.05</v>
      </c>
      <c r="G21" s="27" t="n">
        <v>0.06</v>
      </c>
      <c r="H21" s="31" t="n">
        <f aca="false">E21*F21</f>
        <v>-0.015</v>
      </c>
      <c r="I21" s="10" t="s">
        <v>231</v>
      </c>
    </row>
    <row r="22" customFormat="false" ht="15" hidden="false" customHeight="false" outlineLevel="0" collapsed="false">
      <c r="A22" s="7" t="s">
        <v>232</v>
      </c>
      <c r="B22" s="14" t="s">
        <v>222</v>
      </c>
      <c r="C22" s="28" t="s">
        <v>211</v>
      </c>
      <c r="D22" s="28" t="s">
        <v>211</v>
      </c>
      <c r="E22" s="29" t="n">
        <v>0.3</v>
      </c>
      <c r="F22" s="30" t="n">
        <v>0.04</v>
      </c>
      <c r="G22" s="27" t="n">
        <v>0.04</v>
      </c>
      <c r="H22" s="31" t="n">
        <f aca="false">E22*F22</f>
        <v>0.012</v>
      </c>
      <c r="I22" s="10" t="s">
        <v>233</v>
      </c>
    </row>
    <row r="24" customFormat="false" ht="15" hidden="false" customHeight="false" outlineLevel="0" collapsed="false">
      <c r="A24" s="6" t="s">
        <v>234</v>
      </c>
    </row>
    <row r="25" customFormat="false" ht="15" hidden="false" customHeight="false" outlineLevel="0" collapsed="false">
      <c r="A25" s="7" t="s">
        <v>235</v>
      </c>
      <c r="B25" s="32" t="n">
        <f aca="false">SUM(C12:C16)</f>
        <v>-0.02</v>
      </c>
    </row>
    <row r="26" customFormat="false" ht="15" hidden="false" customHeight="false" outlineLevel="0" collapsed="false">
      <c r="A26" s="7" t="s">
        <v>236</v>
      </c>
      <c r="B26" s="32" t="n">
        <f aca="false">SUMPRODUCT(E17:E22,F17:F22)</f>
        <v>0.02</v>
      </c>
    </row>
    <row r="27" customFormat="false" ht="15" hidden="false" customHeight="false" outlineLevel="0" collapsed="false">
      <c r="A27" s="7" t="s">
        <v>237</v>
      </c>
      <c r="B27" s="33" t="n">
        <f aca="false">B25+B26</f>
        <v>0</v>
      </c>
    </row>
    <row r="28" customFormat="false" ht="15" hidden="false" customHeight="false" outlineLevel="0" collapsed="false">
      <c r="A28" s="7" t="s">
        <v>238</v>
      </c>
      <c r="B28" s="34" t="n">
        <f aca="false">B6*SQRT(60/B7)</f>
        <v>0.131746509848052</v>
      </c>
    </row>
    <row r="29" customFormat="false" ht="15" hidden="false" customHeight="false" outlineLevel="0" collapsed="false">
      <c r="A29" s="7" t="s">
        <v>239</v>
      </c>
      <c r="B29" s="34" t="n">
        <f aca="false">B6*SQRT(20/B7)</f>
        <v>0.0760638829255665</v>
      </c>
    </row>
    <row r="30" customFormat="false" ht="15" hidden="false" customHeight="false" outlineLevel="0" collapsed="false">
      <c r="A30" s="7" t="s">
        <v>240</v>
      </c>
      <c r="B30" s="35" t="n">
        <v>0.32</v>
      </c>
    </row>
    <row r="32" customFormat="false" ht="15" hidden="false" customHeight="false" outlineLevel="0" collapsed="false">
      <c r="A32" s="6" t="s">
        <v>241</v>
      </c>
    </row>
    <row r="33" customFormat="false" ht="15" hidden="false" customHeight="false" outlineLevel="0" collapsed="false">
      <c r="A33" s="13" t="s">
        <v>242</v>
      </c>
      <c r="B33" s="13" t="s">
        <v>243</v>
      </c>
      <c r="C33" s="13" t="s">
        <v>244</v>
      </c>
      <c r="D33" s="13" t="s">
        <v>245</v>
      </c>
      <c r="E33" s="13" t="s">
        <v>246</v>
      </c>
      <c r="F33" s="13" t="s">
        <v>247</v>
      </c>
      <c r="G33" s="13"/>
      <c r="H33" s="13" t="s">
        <v>87</v>
      </c>
    </row>
    <row r="34" customFormat="false" ht="15" hidden="false" customHeight="false" outlineLevel="0" collapsed="false">
      <c r="A34" s="7" t="s">
        <v>248</v>
      </c>
      <c r="B34" s="36" t="n">
        <f aca="false">$B$5*EXP(LN(1+$B$27)*(20/60)+$B$29*NORMSINV(0.05))</f>
        <v>3520.62905517498</v>
      </c>
      <c r="C34" s="36" t="n">
        <f aca="false">$B$5*EXP(LN(1+$B$27)*(20/60)+$B$29*NORMSINV(0.25))</f>
        <v>3790.31574941987</v>
      </c>
      <c r="D34" s="36" t="n">
        <f aca="false">$B$5*EXP(LN(1+$B$27)*(20/60)+$B$29*NORMSINV(0.5))</f>
        <v>3989.85</v>
      </c>
      <c r="E34" s="36" t="n">
        <f aca="false">$B$5*EXP(LN(1+$B$27)*(20/60)+$B$29*NORMSINV(0.75))</f>
        <v>4199.88836680334</v>
      </c>
      <c r="F34" s="36" t="n">
        <f aca="false">$B$5*EXP(LN(1+$B$27)*(20/60)+$B$29*NORMSINV(0.95))</f>
        <v>4521.60758007174</v>
      </c>
      <c r="H34" s="10" t="s">
        <v>249</v>
      </c>
    </row>
    <row r="35" customFormat="false" ht="15" hidden="false" customHeight="false" outlineLevel="0" collapsed="false">
      <c r="A35" s="7" t="s">
        <v>250</v>
      </c>
      <c r="B35" s="37" t="n">
        <v>3431</v>
      </c>
      <c r="C35" s="37" t="n">
        <v>3754</v>
      </c>
      <c r="D35" s="37" t="n">
        <v>3975</v>
      </c>
      <c r="E35" s="37" t="n">
        <v>4214</v>
      </c>
      <c r="F35" s="37" t="n">
        <v>4598</v>
      </c>
      <c r="H35" s="10" t="s">
        <v>251</v>
      </c>
    </row>
    <row r="36" customFormat="false" ht="15" hidden="false" customHeight="false" outlineLevel="0" collapsed="false">
      <c r="A36" s="7" t="s">
        <v>252</v>
      </c>
      <c r="B36" s="36" t="n">
        <f aca="false">$B$5*EXP(LN(1+$B$27)+$B$28*NORMSINV(0.05))</f>
        <v>3212.50148233469</v>
      </c>
      <c r="C36" s="36" t="n">
        <f aca="false">$B$5*EXP(LN(1+$B$27)+$B$28*NORMSINV(0.25))</f>
        <v>3650.60156262861</v>
      </c>
      <c r="D36" s="36" t="n">
        <f aca="false">$B$5*EXP(LN(1+$B$27)+$B$28*NORMSINV(0.5))</f>
        <v>3989.85</v>
      </c>
      <c r="E36" s="36" t="n">
        <f aca="false">$B$5*EXP(LN(1+$B$27)+$B$28*NORMSINV(0.75))</f>
        <v>4360.62461197151</v>
      </c>
      <c r="F36" s="36" t="n">
        <f aca="false">$B$5*EXP(LN(1+$B$27)+$B$28*NORMSINV(0.95))</f>
        <v>4955.29826524187</v>
      </c>
      <c r="H36" s="10" t="s">
        <v>249</v>
      </c>
    </row>
    <row r="37" customFormat="false" ht="15" hidden="false" customHeight="false" outlineLevel="0" collapsed="false">
      <c r="A37" s="7" t="s">
        <v>253</v>
      </c>
      <c r="B37" s="24" t="n">
        <v>3064</v>
      </c>
      <c r="C37" s="24" t="n">
        <v>3560</v>
      </c>
      <c r="D37" s="24" t="n">
        <v>3944</v>
      </c>
      <c r="E37" s="24" t="n">
        <v>4369</v>
      </c>
      <c r="F37" s="24" t="n">
        <v>5074</v>
      </c>
      <c r="H37" s="10" t="s">
        <v>251</v>
      </c>
    </row>
    <row r="39" customFormat="false" ht="15" hidden="false" customHeight="false" outlineLevel="0" collapsed="false">
      <c r="A39" s="6" t="s">
        <v>254</v>
      </c>
    </row>
    <row r="40" customFormat="false" ht="15" hidden="false" customHeight="false" outlineLevel="0" collapsed="false">
      <c r="A40" s="13" t="s">
        <v>255</v>
      </c>
      <c r="B40" s="13" t="s">
        <v>256</v>
      </c>
    </row>
    <row r="41" customFormat="false" ht="15" hidden="false" customHeight="false" outlineLevel="0" collapsed="false">
      <c r="A41" s="7" t="s">
        <v>257</v>
      </c>
      <c r="B41" s="34" t="n">
        <v>0.336</v>
      </c>
    </row>
    <row r="42" customFormat="false" ht="15" hidden="false" customHeight="false" outlineLevel="0" collapsed="false">
      <c r="A42" s="7" t="s">
        <v>258</v>
      </c>
      <c r="B42" s="34" t="n">
        <v>0.201</v>
      </c>
    </row>
    <row r="43" customFormat="false" ht="15" hidden="false" customHeight="false" outlineLevel="0" collapsed="false">
      <c r="A43" s="7" t="s">
        <v>259</v>
      </c>
      <c r="B43" s="34" t="n">
        <v>0.179</v>
      </c>
    </row>
    <row r="44" customFormat="false" ht="15" hidden="false" customHeight="false" outlineLevel="0" collapsed="false">
      <c r="A44" s="7" t="s">
        <v>260</v>
      </c>
      <c r="B44" s="34" t="n">
        <v>0.159</v>
      </c>
    </row>
    <row r="45" customFormat="false" ht="15" hidden="false" customHeight="false" outlineLevel="0" collapsed="false">
      <c r="A45" s="7" t="s">
        <v>261</v>
      </c>
      <c r="B45" s="34" t="n">
        <v>0.125</v>
      </c>
    </row>
    <row r="47" customFormat="false" ht="15" hidden="false" customHeight="false" outlineLevel="0" collapsed="false">
      <c r="A47" s="6" t="s">
        <v>262</v>
      </c>
    </row>
    <row r="48" customFormat="false" ht="15" hidden="false" customHeight="false" outlineLevel="0" collapsed="false">
      <c r="A48" s="13" t="s">
        <v>263</v>
      </c>
      <c r="B48" s="13" t="s">
        <v>264</v>
      </c>
      <c r="C48" s="13" t="s">
        <v>265</v>
      </c>
    </row>
    <row r="49" customFormat="false" ht="15" hidden="false" customHeight="false" outlineLevel="0" collapsed="false">
      <c r="A49" s="37" t="n">
        <v>4800</v>
      </c>
      <c r="C49" s="34" t="n">
        <v>0.177</v>
      </c>
    </row>
    <row r="50" customFormat="false" ht="15" hidden="false" customHeight="false" outlineLevel="0" collapsed="false">
      <c r="A50" s="37" t="n">
        <v>4600</v>
      </c>
      <c r="C50" s="34" t="n">
        <v>0.284</v>
      </c>
    </row>
    <row r="51" customFormat="false" ht="15" hidden="false" customHeight="false" outlineLevel="0" collapsed="false">
      <c r="A51" s="37" t="n">
        <v>4500</v>
      </c>
      <c r="B51" s="34" t="n">
        <v>0.124</v>
      </c>
      <c r="C51" s="34" t="n">
        <v>0.354</v>
      </c>
    </row>
    <row r="52" customFormat="false" ht="15" hidden="false" customHeight="false" outlineLevel="0" collapsed="false">
      <c r="A52" s="37" t="n">
        <v>4300</v>
      </c>
      <c r="B52" s="34" t="n">
        <v>0.302</v>
      </c>
      <c r="C52" s="34" t="n">
        <v>0.537</v>
      </c>
    </row>
    <row r="53" customFormat="false" ht="15" hidden="false" customHeight="false" outlineLevel="0" collapsed="false">
      <c r="A53" s="37" t="n">
        <v>4200</v>
      </c>
      <c r="B53" s="34" t="n">
        <v>0.443</v>
      </c>
      <c r="C53" s="34" t="n">
        <v>0.649</v>
      </c>
    </row>
    <row r="54" customFormat="false" ht="15" hidden="false" customHeight="false" outlineLevel="0" collapsed="false">
      <c r="A54" s="10" t="s">
        <v>266</v>
      </c>
    </row>
    <row r="55" customFormat="false" ht="15" hidden="false" customHeight="false" outlineLevel="0" collapsed="false">
      <c r="A55" s="37" t="n">
        <v>3800</v>
      </c>
      <c r="B55" s="34" t="n">
        <v>0.49</v>
      </c>
      <c r="C55" s="34" t="n">
        <v>0.706</v>
      </c>
    </row>
    <row r="56" customFormat="false" ht="15" hidden="false" customHeight="false" outlineLevel="0" collapsed="false">
      <c r="A56" s="37" t="n">
        <v>3700</v>
      </c>
      <c r="B56" s="34" t="n">
        <v>0.322</v>
      </c>
      <c r="C56" s="34" t="n">
        <v>0.587</v>
      </c>
    </row>
    <row r="57" customFormat="false" ht="15" hidden="false" customHeight="false" outlineLevel="0" collapsed="false">
      <c r="A57" s="37" t="n">
        <v>3600</v>
      </c>
      <c r="C57" s="34" t="n">
        <v>0.473</v>
      </c>
    </row>
    <row r="58" customFormat="false" ht="15" hidden="false" customHeight="false" outlineLevel="0" collapsed="false">
      <c r="A58" s="37" t="n">
        <v>3500</v>
      </c>
      <c r="C58" s="34" t="n">
        <v>0.368</v>
      </c>
    </row>
    <row r="59" customFormat="false" ht="15" hidden="false" customHeight="false" outlineLevel="0" collapsed="false">
      <c r="A59" s="10"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2"/>
  </cols>
  <sheetData>
    <row r="1" customFormat="false" ht="19.5" hidden="false" customHeight="true" outlineLevel="0" collapsed="false">
      <c r="A1" s="1" t="s">
        <v>268</v>
      </c>
      <c r="B1" s="4"/>
      <c r="C1" s="4"/>
      <c r="D1" s="4"/>
      <c r="E1" s="4"/>
      <c r="F1" s="4"/>
    </row>
    <row r="2" customFormat="false" ht="15" hidden="false" customHeight="false" outlineLevel="0" collapsed="false">
      <c r="A2" s="5" t="s">
        <v>269</v>
      </c>
    </row>
    <row r="4" customFormat="false" ht="15" hidden="false" customHeight="false" outlineLevel="0" collapsed="false">
      <c r="A4" s="6" t="s">
        <v>270</v>
      </c>
    </row>
    <row r="5" customFormat="false" ht="15" hidden="false" customHeight="false" outlineLevel="0" collapsed="false">
      <c r="A5" s="23" t="s">
        <v>271</v>
      </c>
      <c r="B5" s="25" t="n">
        <v>0</v>
      </c>
      <c r="C5" s="25" t="n">
        <v>0.04</v>
      </c>
      <c r="D5" s="25" t="n">
        <v>0.08</v>
      </c>
      <c r="E5" s="25" t="n">
        <v>0.12</v>
      </c>
      <c r="F5" s="25" t="n">
        <v>0.16</v>
      </c>
    </row>
    <row r="6" customFormat="false" ht="15" hidden="false" customHeight="false" outlineLevel="0" collapsed="false">
      <c r="A6" s="18" t="n">
        <v>6000</v>
      </c>
      <c r="B6" s="37" t="n">
        <f aca="false">$A6*(1-0)</f>
        <v>6000</v>
      </c>
      <c r="C6" s="37" t="n">
        <f aca="false">$A6*(1-0.04)</f>
        <v>5760</v>
      </c>
      <c r="D6" s="37" t="n">
        <f aca="false">$A6*(1-0.08)</f>
        <v>5520</v>
      </c>
      <c r="E6" s="37" t="n">
        <f aca="false">$A6*(1-0.12)</f>
        <v>5280</v>
      </c>
      <c r="F6" s="37" t="n">
        <f aca="false">$A6*(1-0.16)</f>
        <v>5040</v>
      </c>
    </row>
    <row r="7" customFormat="false" ht="15" hidden="false" customHeight="false" outlineLevel="0" collapsed="false">
      <c r="A7" s="18" t="n">
        <v>5200</v>
      </c>
      <c r="B7" s="37" t="n">
        <f aca="false">$A7*(1-0)</f>
        <v>5200</v>
      </c>
      <c r="C7" s="37" t="n">
        <f aca="false">$A7*(1-0.04)</f>
        <v>4992</v>
      </c>
      <c r="D7" s="37" t="n">
        <f aca="false">$A7*(1-0.08)</f>
        <v>4784</v>
      </c>
      <c r="E7" s="37" t="n">
        <f aca="false">$A7*(1-0.12)</f>
        <v>4576</v>
      </c>
      <c r="F7" s="37" t="n">
        <f aca="false">$A7*(1-0.16)</f>
        <v>4368</v>
      </c>
    </row>
    <row r="8" customFormat="false" ht="15" hidden="false" customHeight="false" outlineLevel="0" collapsed="false">
      <c r="A8" s="18" t="n">
        <v>4800</v>
      </c>
      <c r="B8" s="37" t="n">
        <f aca="false">$A8*(1-0)</f>
        <v>4800</v>
      </c>
      <c r="C8" s="24" t="n">
        <f aca="false">$A8*(1-0.04)</f>
        <v>4608</v>
      </c>
      <c r="D8" s="37" t="n">
        <f aca="false">$A8*(1-0.08)</f>
        <v>4416</v>
      </c>
      <c r="E8" s="37" t="n">
        <f aca="false">$A8*(1-0.12)</f>
        <v>4224</v>
      </c>
      <c r="F8" s="37" t="n">
        <f aca="false">$A8*(1-0.16)</f>
        <v>4032</v>
      </c>
    </row>
    <row r="9" customFormat="false" ht="15" hidden="false" customHeight="false" outlineLevel="0" collapsed="false">
      <c r="A9" s="18" t="n">
        <v>4600</v>
      </c>
      <c r="B9" s="37" t="n">
        <f aca="false">$A9*(1-0)</f>
        <v>4600</v>
      </c>
      <c r="C9" s="37" t="n">
        <f aca="false">$A9*(1-0.04)</f>
        <v>4416</v>
      </c>
      <c r="D9" s="37" t="n">
        <f aca="false">$A9*(1-0.08)</f>
        <v>4232</v>
      </c>
      <c r="E9" s="37" t="n">
        <f aca="false">$A9*(1-0.12)</f>
        <v>4048</v>
      </c>
      <c r="F9" s="37" t="n">
        <f aca="false">$A9*(1-0.16)</f>
        <v>3864</v>
      </c>
    </row>
    <row r="10" customFormat="false" ht="15" hidden="false" customHeight="false" outlineLevel="0" collapsed="false">
      <c r="A10" s="18" t="n">
        <v>4400</v>
      </c>
      <c r="B10" s="37" t="n">
        <f aca="false">$A10*(1-0)</f>
        <v>4400</v>
      </c>
      <c r="C10" s="37" t="n">
        <f aca="false">$A10*(1-0.04)</f>
        <v>4224</v>
      </c>
      <c r="D10" s="37" t="n">
        <f aca="false">$A10*(1-0.08)</f>
        <v>4048</v>
      </c>
      <c r="E10" s="37" t="n">
        <f aca="false">$A10*(1-0.12)</f>
        <v>3872</v>
      </c>
      <c r="F10" s="37" t="n">
        <f aca="false">$A10*(1-0.16)</f>
        <v>3696</v>
      </c>
    </row>
    <row r="12" customFormat="false" ht="15" hidden="false" customHeight="false" outlineLevel="0" collapsed="false">
      <c r="A12" s="6" t="s">
        <v>272</v>
      </c>
    </row>
    <row r="13" customFormat="false" ht="15" hidden="false" customHeight="false" outlineLevel="0" collapsed="false">
      <c r="A13" s="23" t="s">
        <v>273</v>
      </c>
      <c r="B13" s="38" t="n">
        <v>-0.08</v>
      </c>
      <c r="C13" s="38" t="n">
        <v>-0.04</v>
      </c>
      <c r="D13" s="38" t="n">
        <v>0</v>
      </c>
      <c r="E13" s="38" t="n">
        <v>0.04</v>
      </c>
      <c r="F13" s="38" t="n">
        <v>0.08</v>
      </c>
    </row>
    <row r="14" customFormat="false" ht="15" hidden="false" customHeight="false" outlineLevel="0" collapsed="false">
      <c r="A14" s="25" t="n">
        <v>0.18</v>
      </c>
      <c r="B14" s="37" t="n">
        <f aca="false">3989.85*EXP(LN(1+-0.08)+$A14*SQRT(60/252)*NORMSINV(0.05))</f>
        <v>3176.89046615867</v>
      </c>
      <c r="C14" s="37" t="n">
        <f aca="false">3989.85*EXP(LN(1+-0.04)+$A14*SQRT(60/252)*NORMSINV(0.05))</f>
        <v>3315.01613860035</v>
      </c>
      <c r="D14" s="37" t="n">
        <f aca="false">3989.85*EXP(LN(1+0)+$A14*SQRT(60/252)*NORMSINV(0.05))</f>
        <v>3453.14181104203</v>
      </c>
      <c r="E14" s="37" t="n">
        <f aca="false">3989.85*EXP(LN(1+0.04)+$A14*SQRT(60/252)*NORMSINV(0.05))</f>
        <v>3591.26748348371</v>
      </c>
      <c r="F14" s="37" t="n">
        <f aca="false">3989.85*EXP(LN(1+0.08)+$A14*SQRT(60/252)*NORMSINV(0.05))</f>
        <v>3729.39315592539</v>
      </c>
    </row>
    <row r="15" customFormat="false" ht="15" hidden="false" customHeight="false" outlineLevel="0" collapsed="false">
      <c r="A15" s="25" t="n">
        <v>0.23</v>
      </c>
      <c r="B15" s="37" t="n">
        <f aca="false">3989.85*EXP(LN(1+-0.08)+$A15*SQRT(60/252)*NORMSINV(0.05))</f>
        <v>3051.92505838178</v>
      </c>
      <c r="C15" s="37" t="n">
        <f aca="false">3989.85*EXP(LN(1+-0.04)+$A15*SQRT(60/252)*NORMSINV(0.05))</f>
        <v>3184.61745222446</v>
      </c>
      <c r="D15" s="37" t="n">
        <f aca="false">3989.85*EXP(LN(1+0)+$A15*SQRT(60/252)*NORMSINV(0.05))</f>
        <v>3317.30984606715</v>
      </c>
      <c r="E15" s="37" t="n">
        <f aca="false">3989.85*EXP(LN(1+0.04)+$A15*SQRT(60/252)*NORMSINV(0.05))</f>
        <v>3450.00223990984</v>
      </c>
      <c r="F15" s="37" t="n">
        <f aca="false">3989.85*EXP(LN(1+0.08)+$A15*SQRT(60/252)*NORMSINV(0.05))</f>
        <v>3582.69463375252</v>
      </c>
    </row>
    <row r="16" customFormat="false" ht="15" hidden="false" customHeight="false" outlineLevel="0" collapsed="false">
      <c r="A16" s="25" t="n">
        <v>0.27</v>
      </c>
      <c r="B16" s="37" t="n">
        <f aca="false">3989.85*EXP(LN(1+-0.08)+$A16*SQRT(60/252)*NORMSINV(0.05))</f>
        <v>2955.50136374791</v>
      </c>
      <c r="C16" s="37" t="n">
        <f aca="false">3989.85*EXP(LN(1+-0.04)+$A16*SQRT(60/252)*NORMSINV(0.05))</f>
        <v>3084.0014230413</v>
      </c>
      <c r="D16" s="24" t="n">
        <f aca="false">3989.85*EXP(LN(1+0)+$A16*SQRT(60/252)*NORMSINV(0.05))</f>
        <v>3212.50148233469</v>
      </c>
      <c r="E16" s="37" t="n">
        <f aca="false">3989.85*EXP(LN(1+0.04)+$A16*SQRT(60/252)*NORMSINV(0.05))</f>
        <v>3341.00154162808</v>
      </c>
      <c r="F16" s="37" t="n">
        <f aca="false">3989.85*EXP(LN(1+0.08)+$A16*SQRT(60/252)*NORMSINV(0.05))</f>
        <v>3469.50160092146</v>
      </c>
    </row>
    <row r="17" customFormat="false" ht="15" hidden="false" customHeight="false" outlineLevel="0" collapsed="false">
      <c r="A17" s="25" t="n">
        <v>0.33</v>
      </c>
      <c r="B17" s="37" t="n">
        <f aca="false">3989.85*EXP(LN(1+-0.08)+$A17*SQRT(60/252)*NORMSINV(0.05))</f>
        <v>2816.54771225419</v>
      </c>
      <c r="C17" s="37" t="n">
        <f aca="false">3989.85*EXP(LN(1+-0.04)+$A17*SQRT(60/252)*NORMSINV(0.05))</f>
        <v>2939.00630843916</v>
      </c>
      <c r="D17" s="37" t="n">
        <f aca="false">3989.85*EXP(LN(1+0)+$A17*SQRT(60/252)*NORMSINV(0.05))</f>
        <v>3061.46490462412</v>
      </c>
      <c r="E17" s="37" t="n">
        <f aca="false">3989.85*EXP(LN(1+0.04)+$A17*SQRT(60/252)*NORMSINV(0.05))</f>
        <v>3183.92350080909</v>
      </c>
      <c r="F17" s="37" t="n">
        <f aca="false">3989.85*EXP(LN(1+0.08)+$A17*SQRT(60/252)*NORMSINV(0.05))</f>
        <v>3306.38209699405</v>
      </c>
    </row>
    <row r="18" customFormat="false" ht="15" hidden="false" customHeight="false" outlineLevel="0" collapsed="false">
      <c r="A18" s="25" t="n">
        <v>0.4</v>
      </c>
      <c r="B18" s="37" t="n">
        <f aca="false">3989.85*EXP(LN(1+-0.08)+$A18*SQRT(60/252)*NORMSINV(0.05))</f>
        <v>2662.67024923198</v>
      </c>
      <c r="C18" s="37" t="n">
        <f aca="false">3989.85*EXP(LN(1+-0.04)+$A18*SQRT(60/252)*NORMSINV(0.05))</f>
        <v>2778.43852093772</v>
      </c>
      <c r="D18" s="37" t="n">
        <f aca="false">3989.85*EXP(LN(1+0)+$A18*SQRT(60/252)*NORMSINV(0.05))</f>
        <v>2894.20679264346</v>
      </c>
      <c r="E18" s="37" t="n">
        <f aca="false">3989.85*EXP(LN(1+0.04)+$A18*SQRT(60/252)*NORMSINV(0.05))</f>
        <v>3009.9750643492</v>
      </c>
      <c r="F18" s="37" t="n">
        <f aca="false">3989.85*EXP(LN(1+0.08)+$A18*SQRT(60/252)*NORMSINV(0.05))</f>
        <v>3125.74333605493</v>
      </c>
    </row>
    <row r="20" customFormat="false" ht="15" hidden="false" customHeight="false" outlineLevel="0" collapsed="false">
      <c r="A20" s="6" t="s">
        <v>274</v>
      </c>
    </row>
    <row r="21" customFormat="false" ht="15" hidden="false" customHeight="false" outlineLevel="0" collapsed="false">
      <c r="A21" s="23" t="s">
        <v>273</v>
      </c>
      <c r="B21" s="38" t="n">
        <v>-0.08</v>
      </c>
      <c r="C21" s="38" t="n">
        <v>-0.04</v>
      </c>
      <c r="D21" s="38" t="n">
        <v>0</v>
      </c>
      <c r="E21" s="38" t="n">
        <v>0.04</v>
      </c>
      <c r="F21" s="38" t="n">
        <v>0.08</v>
      </c>
    </row>
    <row r="22" customFormat="false" ht="15" hidden="false" customHeight="false" outlineLevel="0" collapsed="false">
      <c r="A22" s="25" t="n">
        <v>0.18</v>
      </c>
      <c r="B22" s="37" t="n">
        <f aca="false">3989.85*EXP(LN(1+-0.08)+$A22*SQRT(60/252)*NORMSINV(0.95))</f>
        <v>4241.17849254519</v>
      </c>
      <c r="C22" s="37" t="n">
        <f aca="false">3989.85*EXP(LN(1+-0.04)+$A22*SQRT(60/252)*NORMSINV(0.95))</f>
        <v>4425.57755743846</v>
      </c>
      <c r="D22" s="37" t="n">
        <f aca="false">3989.85*EXP(LN(1+0)+$A22*SQRT(60/252)*NORMSINV(0.95))</f>
        <v>4609.97662233173</v>
      </c>
      <c r="E22" s="37" t="n">
        <f aca="false">3989.85*EXP(LN(1+0.04)+$A22*SQRT(60/252)*NORMSINV(0.95))</f>
        <v>4794.37568722499</v>
      </c>
      <c r="F22" s="37" t="n">
        <f aca="false">3989.85*EXP(LN(1+0.08)+$A22*SQRT(60/252)*NORMSINV(0.95))</f>
        <v>4978.77475211826</v>
      </c>
    </row>
    <row r="23" customFormat="false" ht="15" hidden="false" customHeight="false" outlineLevel="0" collapsed="false">
      <c r="A23" s="25" t="n">
        <v>0.23</v>
      </c>
      <c r="B23" s="37" t="n">
        <f aca="false">3989.85*EXP(LN(1+-0.08)+$A23*SQRT(60/252)*NORMSINV(0.95))</f>
        <v>4414.83957190882</v>
      </c>
      <c r="C23" s="37" t="n">
        <f aca="false">3989.85*EXP(LN(1+-0.04)+$A23*SQRT(60/252)*NORMSINV(0.95))</f>
        <v>4606.78911851355</v>
      </c>
      <c r="D23" s="37" t="n">
        <f aca="false">3989.85*EXP(LN(1+0)+$A23*SQRT(60/252)*NORMSINV(0.95))</f>
        <v>4798.73866511828</v>
      </c>
      <c r="E23" s="37" t="n">
        <f aca="false">3989.85*EXP(LN(1+0.04)+$A23*SQRT(60/252)*NORMSINV(0.95))</f>
        <v>4990.68821172301</v>
      </c>
      <c r="F23" s="37" t="n">
        <f aca="false">3989.85*EXP(LN(1+0.08)+$A23*SQRT(60/252)*NORMSINV(0.95))</f>
        <v>5182.63775832774</v>
      </c>
    </row>
    <row r="24" customFormat="false" ht="15" hidden="false" customHeight="false" outlineLevel="0" collapsed="false">
      <c r="A24" s="25" t="n">
        <v>0.27</v>
      </c>
      <c r="B24" s="37" t="n">
        <f aca="false">3989.85*EXP(LN(1+-0.08)+$A24*SQRT(60/252)*NORMSINV(0.95))</f>
        <v>4558.87440402252</v>
      </c>
      <c r="C24" s="37" t="n">
        <f aca="false">3989.85*EXP(LN(1+-0.04)+$A24*SQRT(60/252)*NORMSINV(0.95))</f>
        <v>4757.08633463219</v>
      </c>
      <c r="D24" s="24" t="n">
        <f aca="false">3989.85*EXP(LN(1+0)+$A24*SQRT(60/252)*NORMSINV(0.95))</f>
        <v>4955.29826524187</v>
      </c>
      <c r="E24" s="37" t="n">
        <f aca="false">3989.85*EXP(LN(1+0.04)+$A24*SQRT(60/252)*NORMSINV(0.95))</f>
        <v>5153.51019585154</v>
      </c>
      <c r="F24" s="37" t="n">
        <f aca="false">3989.85*EXP(LN(1+0.08)+$A24*SQRT(60/252)*NORMSINV(0.95))</f>
        <v>5351.72212646121</v>
      </c>
    </row>
    <row r="25" customFormat="false" ht="15" hidden="false" customHeight="false" outlineLevel="0" collapsed="false">
      <c r="A25" s="25" t="n">
        <v>0.33</v>
      </c>
      <c r="B25" s="37" t="n">
        <f aca="false">3989.85*EXP(LN(1+-0.08)+$A25*SQRT(60/252)*NORMSINV(0.95))</f>
        <v>4783.7852913418</v>
      </c>
      <c r="C25" s="37" t="n">
        <f aca="false">3989.85*EXP(LN(1+-0.04)+$A25*SQRT(60/252)*NORMSINV(0.95))</f>
        <v>4991.77595618275</v>
      </c>
      <c r="D25" s="37" t="n">
        <f aca="false">3989.85*EXP(LN(1+0)+$A25*SQRT(60/252)*NORMSINV(0.95))</f>
        <v>5199.7666210237</v>
      </c>
      <c r="E25" s="37" t="n">
        <f aca="false">3989.85*EXP(LN(1+0.04)+$A25*SQRT(60/252)*NORMSINV(0.95))</f>
        <v>5407.75728586464</v>
      </c>
      <c r="F25" s="37" t="n">
        <f aca="false">3989.85*EXP(LN(1+0.08)+$A25*SQRT(60/252)*NORMSINV(0.95))</f>
        <v>5615.74795070559</v>
      </c>
    </row>
    <row r="26" customFormat="false" ht="15" hidden="false" customHeight="false" outlineLevel="0" collapsed="false">
      <c r="A26" s="25" t="n">
        <v>0.4</v>
      </c>
      <c r="B26" s="37" t="n">
        <f aca="false">3989.85*EXP(LN(1+-0.08)+$A26*SQRT(60/252)*NORMSINV(0.95))</f>
        <v>5060.2433861761</v>
      </c>
      <c r="C26" s="37" t="n">
        <f aca="false">3989.85*EXP(LN(1+-0.04)+$A26*SQRT(60/252)*NORMSINV(0.95))</f>
        <v>5280.25396818376</v>
      </c>
      <c r="D26" s="37" t="n">
        <f aca="false">3989.85*EXP(LN(1+0)+$A26*SQRT(60/252)*NORMSINV(0.95))</f>
        <v>5500.26455019141</v>
      </c>
      <c r="E26" s="37" t="n">
        <f aca="false">3989.85*EXP(LN(1+0.04)+$A26*SQRT(60/252)*NORMSINV(0.95))</f>
        <v>5720.27513219907</v>
      </c>
      <c r="F26" s="37" t="n">
        <f aca="false">3989.85*EXP(LN(1+0.08)+$A26*SQRT(60/252)*NORMSINV(0.95))</f>
        <v>5940.28571420673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4" min="3" style="0" width="24"/>
    <col collapsed="false" customWidth="true" hidden="false" outlineLevel="0" max="5" min="5" style="0" width="16"/>
  </cols>
  <sheetData>
    <row r="1" customFormat="false" ht="19.5" hidden="false" customHeight="true" outlineLevel="0" collapsed="false">
      <c r="A1" s="1" t="s">
        <v>275</v>
      </c>
      <c r="B1" s="4"/>
      <c r="C1" s="4"/>
      <c r="D1" s="4"/>
      <c r="E1" s="4"/>
    </row>
    <row r="2" customFormat="false" ht="15" hidden="false" customHeight="false" outlineLevel="0" collapsed="false">
      <c r="A2" s="5" t="s">
        <v>276</v>
      </c>
    </row>
    <row r="4" customFormat="false" ht="15" hidden="false" customHeight="false" outlineLevel="0" collapsed="false">
      <c r="A4" s="6" t="s">
        <v>277</v>
      </c>
    </row>
    <row r="5" customFormat="false" ht="15" hidden="false" customHeight="false" outlineLevel="0" collapsed="false">
      <c r="A5" s="13" t="s">
        <v>278</v>
      </c>
      <c r="B5" s="13" t="s">
        <v>279</v>
      </c>
      <c r="C5" s="13" t="s">
        <v>280</v>
      </c>
      <c r="D5" s="13" t="s">
        <v>281</v>
      </c>
      <c r="E5" s="13" t="s">
        <v>282</v>
      </c>
    </row>
    <row r="6" customFormat="false" ht="15" hidden="false" customHeight="false" outlineLevel="0" collapsed="false">
      <c r="A6" s="7" t="s">
        <v>283</v>
      </c>
      <c r="B6" s="35" t="n">
        <v>0.5</v>
      </c>
      <c r="C6" s="35" t="n">
        <v>0.45</v>
      </c>
      <c r="D6" s="35" t="n">
        <v>0.52</v>
      </c>
      <c r="E6" s="39" t="n">
        <v>0.063</v>
      </c>
    </row>
    <row r="7" customFormat="false" ht="15" hidden="false" customHeight="false" outlineLevel="0" collapsed="false">
      <c r="A7" s="7" t="s">
        <v>284</v>
      </c>
      <c r="B7" s="35" t="n">
        <v>0.8</v>
      </c>
      <c r="C7" s="35" t="n">
        <v>0.75</v>
      </c>
      <c r="D7" s="35" t="n">
        <v>0.77</v>
      </c>
      <c r="E7" s="39" t="n">
        <v>0.05</v>
      </c>
    </row>
    <row r="8" customFormat="false" ht="15" hidden="false" customHeight="false" outlineLevel="0" collapsed="false">
      <c r="A8" s="7" t="s">
        <v>285</v>
      </c>
      <c r="B8" s="35" t="n">
        <v>0.9</v>
      </c>
      <c r="C8" s="35" t="n">
        <v>0.86</v>
      </c>
      <c r="D8" s="35" t="n">
        <v>0.86</v>
      </c>
      <c r="E8" s="39" t="n">
        <v>0.038</v>
      </c>
    </row>
    <row r="10" customFormat="false" ht="15" hidden="false" customHeight="false" outlineLevel="0" collapsed="false">
      <c r="A10" s="7" t="s">
        <v>286</v>
      </c>
      <c r="B10" s="40" t="n">
        <v>0.56</v>
      </c>
    </row>
    <row r="11" customFormat="false" ht="15" hidden="false" customHeight="false" outlineLevel="0" collapsed="false">
      <c r="A11" s="7" t="s">
        <v>287</v>
      </c>
      <c r="B11" s="35" t="n">
        <v>0.25</v>
      </c>
    </row>
    <row r="12" customFormat="false" ht="15" hidden="false" customHeight="false" outlineLevel="0" collapsed="false">
      <c r="A12" s="23" t="s">
        <v>288</v>
      </c>
      <c r="B12" s="6" t="s">
        <v>289</v>
      </c>
    </row>
    <row r="14" customFormat="false" ht="15" hidden="false" customHeight="false" outlineLevel="0" collapsed="false">
      <c r="A14" s="10" t="s">
        <v>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54"/>
  </cols>
  <sheetData>
    <row r="1" customFormat="false" ht="19.5" hidden="false" customHeight="true" outlineLevel="0" collapsed="false">
      <c r="A1" s="1" t="s">
        <v>291</v>
      </c>
      <c r="B1" s="4"/>
      <c r="C1" s="4"/>
    </row>
    <row r="2" customFormat="false" ht="15" hidden="false" customHeight="false" outlineLevel="0" collapsed="false">
      <c r="A2" s="5" t="s">
        <v>292</v>
      </c>
    </row>
    <row r="4" customFormat="false" ht="15" hidden="false" customHeight="false" outlineLevel="0" collapsed="false">
      <c r="A4" s="13" t="s">
        <v>293</v>
      </c>
      <c r="B4" s="13" t="s">
        <v>294</v>
      </c>
      <c r="C4" s="13" t="s">
        <v>87</v>
      </c>
    </row>
    <row r="5" customFormat="false" ht="15" hidden="false" customHeight="false" outlineLevel="0" collapsed="false">
      <c r="A5" s="7" t="s">
        <v>295</v>
      </c>
      <c r="B5" s="14" t="s">
        <v>296</v>
      </c>
      <c r="C5" s="10" t="s">
        <v>297</v>
      </c>
    </row>
    <row r="6" customFormat="false" ht="15" hidden="false" customHeight="false" outlineLevel="0" collapsed="false">
      <c r="A6" s="7" t="s">
        <v>298</v>
      </c>
      <c r="B6" s="14" t="s">
        <v>299</v>
      </c>
      <c r="C6" s="10" t="s">
        <v>300</v>
      </c>
    </row>
    <row r="7" customFormat="false" ht="15" hidden="false" customHeight="false" outlineLevel="0" collapsed="false">
      <c r="A7" s="7" t="s">
        <v>301</v>
      </c>
      <c r="B7" s="14" t="s">
        <v>296</v>
      </c>
      <c r="C7" s="10" t="s">
        <v>102</v>
      </c>
    </row>
    <row r="8" customFormat="false" ht="15" hidden="false" customHeight="false" outlineLevel="0" collapsed="false">
      <c r="A8" s="7" t="s">
        <v>302</v>
      </c>
      <c r="B8" s="14" t="s">
        <v>303</v>
      </c>
      <c r="C8" s="10" t="s">
        <v>304</v>
      </c>
    </row>
    <row r="9" customFormat="false" ht="15" hidden="false" customHeight="false" outlineLevel="0" collapsed="false">
      <c r="A9" s="7" t="s">
        <v>305</v>
      </c>
      <c r="B9" s="14" t="s">
        <v>306</v>
      </c>
      <c r="C9" s="10" t="s">
        <v>307</v>
      </c>
    </row>
    <row r="10" customFormat="false" ht="15" hidden="false" customHeight="false" outlineLevel="0" collapsed="false">
      <c r="A10" s="7" t="s">
        <v>308</v>
      </c>
      <c r="B10" s="14" t="s">
        <v>306</v>
      </c>
      <c r="C10" s="10" t="s">
        <v>309</v>
      </c>
    </row>
    <row r="11" customFormat="false" ht="15" hidden="false" customHeight="false" outlineLevel="0" collapsed="false">
      <c r="A11" s="7" t="s">
        <v>310</v>
      </c>
      <c r="B11" s="14" t="s">
        <v>311</v>
      </c>
      <c r="C11" s="10" t="s">
        <v>312</v>
      </c>
    </row>
    <row r="12" customFormat="false" ht="15" hidden="false" customHeight="false" outlineLevel="0" collapsed="false">
      <c r="A12" s="7" t="s">
        <v>313</v>
      </c>
      <c r="B12" s="14" t="s">
        <v>306</v>
      </c>
      <c r="C12" s="10" t="s">
        <v>314</v>
      </c>
    </row>
    <row r="13" customFormat="false" ht="15" hidden="false" customHeight="false" outlineLevel="0" collapsed="false">
      <c r="A13" s="7" t="s">
        <v>315</v>
      </c>
      <c r="B13" s="14" t="s">
        <v>316</v>
      </c>
      <c r="C13" s="10" t="s">
        <v>317</v>
      </c>
    </row>
    <row r="14" customFormat="false" ht="15" hidden="false" customHeight="false" outlineLevel="0" collapsed="false">
      <c r="A14" s="7" t="s">
        <v>318</v>
      </c>
      <c r="B14" s="14" t="s">
        <v>316</v>
      </c>
      <c r="C14" s="10"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2026-06-25T10:18:47Z</dcterms:created>
  <dc:creator>openpyxl</dc:creator>
  <dc:description/>
  <dc:language>en-US</dc:language>
  <cp:lastModifiedBy/>
  <dcterms:modified xsi:type="dcterms:W3CDTF">2026-06-25T10:18:47Z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