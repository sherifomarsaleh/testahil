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<sst xmlns="http://schemas.openxmlformats.org/spreadsheetml/2006/main" count="168" uniqueCount="123">
  <si>
    <t xml:space="preserve">READ FIRST</t>
  </si>
  <si>
    <t xml:space="preserve">Educational valuation study — not investment advice. Distributions, not tips. All inputs on the Assumptions sheet.</t>
  </si>
  <si>
    <t xml:space="preserve">Summary — Abu Qir Fertilizers (EGX: ABUK)</t>
  </si>
  <si>
    <t xml:space="preserve">Fair-value ranges and the probability read.</t>
  </si>
  <si>
    <t xml:space="preserve">Spot</t>
  </si>
  <si>
    <t xml:space="preserve">DCF fair value</t>
  </si>
  <si>
    <t xml:space="preserve">SOTP NAV/share</t>
  </si>
  <si>
    <t xml:space="preserve">Fundamental valuation — lens synthesis</t>
  </si>
  <si>
    <t xml:space="preserve">Weighted fair value across the lenses (football field in the report).</t>
  </si>
  <si>
    <t xml:space="preserve">Assumptions — single input layer · Abu Qir Fertilizers (EGX: ABUK)</t>
  </si>
  <si>
    <t xml:space="preserve">Blue = input. Every sheet links here. FY ends 30 June; EGP mn. Core earnings exclude one-off associate revaluations.</t>
  </si>
  <si>
    <t xml:space="preserve">ANCHORS</t>
  </si>
  <si>
    <t xml:space="preserve">Spot price (EGP/share)</t>
  </si>
  <si>
    <t xml:space="preserve">Shares outstanding (mn)</t>
  </si>
  <si>
    <t xml:space="preserve">Net cash (EGP mn)</t>
  </si>
  <si>
    <t xml:space="preserve">WACC (nominal EGP)</t>
  </si>
  <si>
    <t xml:space="preserve">Terminal growth (nominal)</t>
  </si>
  <si>
    <t xml:space="preserve">Tax rate</t>
  </si>
  <si>
    <t xml:space="preserve">VALUATION MARKS</t>
  </si>
  <si>
    <t xml:space="preserve">Investments &amp; associates (carrying, EGP mn)</t>
  </si>
  <si>
    <t xml:space="preserve">Mid-cycle EBITDA margin</t>
  </si>
  <si>
    <t xml:space="preserve">Mid-cycle EV/EBITDA</t>
  </si>
  <si>
    <t xml:space="preserve">FORECAST DRIVERS (per year)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</si>
  <si>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</si>
  <si>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</si>
  <si>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</si>
  <si>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</si>
  <si>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</si>
  <si>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 growth</t>
  </si>
  <si>
    <t xml:space="preserve">EBIT margin (normalizing)</t>
  </si>
  <si>
    <t xml:space="preserve">D&amp;A % of revenue</t>
  </si>
  <si>
    <t xml:space="preserve">Capex (EGP mn)</t>
  </si>
  <si>
    <t xml:space="preserve">Investment &amp; interest income (EGP mn)</t>
  </si>
  <si>
    <t xml:space="preserve">Net WC % of revenue</t>
  </si>
  <si>
    <t xml:space="preserve">Sum-of-the-parts (EGP mn) — the primary lens</t>
  </si>
  <si>
    <t xml:space="preserve">Operating business (DCF; cross-checked by mid-cycle EBITDA×multiple) + investments + net cash.</t>
  </si>
  <si>
    <t xml:space="preserve">Component</t>
  </si>
  <si>
    <t xml:space="preserve">EV / value</t>
  </si>
  <si>
    <t xml:space="preserve">Operating business — DCF</t>
  </si>
  <si>
    <t xml:space="preserve">  cross-check: mid-cycle EBITDA × multiple</t>
  </si>
  <si>
    <t xml:space="preserve">Investments &amp; associates</t>
  </si>
  <si>
    <t xml:space="preserve">Net cash</t>
  </si>
  <si>
    <t xml:space="preserve">Equity value (NAV)</t>
  </si>
  <si>
    <t xml:space="preserve">NAV per share</t>
  </si>
  <si>
    <t xml:space="preserve">Segments</t>
  </si>
  <si>
    <t xml:space="preserve">Nitrogen fertilizers (urea, ammonium nitrate, NPK), ammonia, chemicals — Step 2 detail.</t>
  </si>
  <si>
    <t xml:space="preserve">Relative &amp; normalized</t>
  </si>
  <si>
    <t xml:space="preserve">Mid-cycle EBITDA × peer EV/EBITDA and normalized earnings power.</t>
  </si>
  <si>
    <t xml:space="preserve">Discounted cash flow (EGP mn) — operating fertilizer business only</t>
  </si>
  <si>
    <t xml:space="preserve">NOPAT + D&amp;A − capex − ΔNWC, discounted at WACC; Gordon terminal. Investments &amp; net cash added in SOTP.</t>
  </si>
  <si>
    <t xml:space="preserve">EBIT</t>
  </si>
  <si>
    <t xml:space="preserve">NOPAT = EBIT×(1−tax)</t>
  </si>
  <si>
    <t xml:space="preserve">+ D&amp;A</t>
  </si>
  <si>
    <t xml:space="preserve">− Capex</t>
  </si>
  <si>
    <t xml:space="preserve">− Increase in net WC</t>
  </si>
  <si>
    <t xml:space="preserve">FCFF</t>
  </si>
  <si>
    <t xml:space="preserve">Discount factor</t>
  </si>
  <si>
    <t xml:space="preserve">PV of FCFF</t>
  </si>
  <si>
    <t xml:space="preserve">Σ PV of explicit FCFF</t>
  </si>
  <si>
    <t xml:space="preserve">Terminal value (Gordon)</t>
  </si>
  <si>
    <t xml:space="preserve">PV of terminal value</t>
  </si>
  <si>
    <t xml:space="preserve">Operating enterprise value</t>
  </si>
  <si>
    <t xml:space="preserve">+ Investments &amp; associates</t>
  </si>
  <si>
    <t xml:space="preserve">+ Net cash</t>
  </si>
  <si>
    <t xml:space="preserve">Equity value</t>
  </si>
  <si>
    <t xml:space="preserve">Fair value per share</t>
  </si>
  <si>
    <t xml:space="preserve">Income statement (EGP mn) — consolidated</t>
  </si>
  <si>
    <t xml:space="preserve">FY23–FY25 per EGX audited filings (Investing.com/Mubasher); FY26E+ forecast. Core = EBIT + normalized investment income; reported NI (memo) includes one-off associate items.</t>
  </si>
  <si>
    <t xml:space="preserve">FY23</t>
  </si>
  <si>
    <t xml:space="preserve">FY24</t>
  </si>
  <si>
    <t xml:space="preserve">FY25</t>
  </si>
  <si>
    <t xml:space="preserve">Revenue</t>
  </si>
  <si>
    <t xml:space="preserve">EBIT (operating)</t>
  </si>
  <si>
    <t xml:space="preserve">D&amp;A</t>
  </si>
  <si>
    <t xml:space="preserve">EBITDA</t>
  </si>
  <si>
    <t xml:space="preserve">Investment &amp; interest income</t>
  </si>
  <si>
    <t xml:space="preserve">Pre-tax profit (core)</t>
  </si>
  <si>
    <t xml:space="preserve">Tax</t>
  </si>
  <si>
    <t xml:space="preserve">Net income (core)</t>
  </si>
  <si>
    <t xml:space="preserve">Reported net income (incl. one-offs) — memo</t>
  </si>
  <si>
    <t xml:space="preserve">Balance sheet (EGP mn)</t>
  </si>
  <si>
    <t xml:space="preserve">Latest (FY25/Dec-2025) per EGX filing; FY23–24 estimated (flag); forecast rolls with retained core earnings.</t>
  </si>
  <si>
    <t xml:space="preserve">Cash &amp; cash equivalents</t>
  </si>
  <si>
    <t xml:space="preserve">PP&amp;E (net)</t>
  </si>
  <si>
    <t xml:space="preserve">Net working capital</t>
  </si>
  <si>
    <t xml:space="preserve">Total equity (≈ net assets)</t>
  </si>
  <si>
    <t xml:space="preserve">Cash flow (EGP mn)</t>
  </si>
  <si>
    <t xml:space="preserve">CFO = core NI + D&amp;A − ΔNWC; investing = −capex; FY25 OCF ≈ EGP 3bn per disclosure.</t>
  </si>
  <si>
    <t xml:space="preserve">− Increase in NWC</t>
  </si>
  <si>
    <t xml:space="preserve">Cash from operations</t>
  </si>
  <si>
    <t xml:space="preserve">Cash from investing</t>
  </si>
  <si>
    <t xml:space="preserve">Net change in cash</t>
  </si>
  <si>
    <t xml:space="preserve">Summary financials</t>
  </si>
  <si>
    <t xml:space="preserve">Links to the statement sheets (green).</t>
  </si>
  <si>
    <t xml:space="preserve">Investment income</t>
  </si>
  <si>
    <t xml:space="preserve">Cash &amp; equivalents</t>
  </si>
  <si>
    <t xml:space="preserve">Total equity</t>
  </si>
  <si>
    <t xml:space="preserve">Monte Carlo — percentile map</t>
  </si>
  <si>
    <t xml:space="preserve">16-factor (7C+9D), 50,000 paths, seed 42; percentiles filled by the engine. Spot links to Assumptions.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</si>
  <si>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</si>
  <si>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</si>
  <si>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</si>
  <si>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</si>
  <si>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</si>
  <si>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</si>
  <si>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</t>
  </si>
  <si>
    <t xml:space="preserve">T+60</t>
  </si>
  <si>
    <t xml:space="preserve">Sensitivity — DCF fair value per share</t>
  </si>
  <si>
    <t xml:space="preserve">Illustrative scaling of the DCF result; a live 2-way WACC×g data table replaces this on final build.</t>
  </si>
  <si>
    <t xml:space="preserve">WACC \ g</t>
  </si>
  <si>
    <t xml:space="preserve">g-1%</t>
  </si>
  <si>
    <t xml:space="preserve">g+0%</t>
  </si>
  <si>
    <t xml:space="preserve">g+1%</t>
  </si>
  <si>
    <t xml:space="preserve">WACC-2%</t>
  </si>
  <si>
    <t xml:space="preserve">WACC+0%</t>
  </si>
  <si>
    <t xml:space="preserve">WACC+2%</t>
  </si>
  <si>
    <t xml:space="preserve">Per-share &amp; ratios</t>
  </si>
  <si>
    <t xml:space="preserve">EPS core (FY26E)</t>
  </si>
  <si>
    <t xml:space="preserve">P/E core (spot)</t>
  </si>
  <si>
    <t xml:space="preserve">Upside to DCF</t>
  </si>
  <si>
    <t xml:space="preserve">Net cash / share</t>
  </si>
  <si>
    <t xml:space="preserve">Peer &amp; sector</t>
  </si>
  <si>
    <t xml:space="preserve">Nitrogen-fertilizer peers (global + regional); gas-feedstock and export-parity structure.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</si>
</sst>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;\(#,##0\);\-"/>
    <numFmt numFmtId="167" formatCode="0.0%"/>
    <numFmt numFmtId="168" formatCode="0.0\x"/>
    <numFmt numFmtId="169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0"/>
  </cols>
  <sheetData>
    <row r="1" customFormat="false" ht="16.15" hidden="false" customHeight="false" outlineLevel="0" collapsed="false">
      <c r="A1" s="1" t="s">
        <v>2</v>
      </c>
    </row>
    <row r="2" customFormat="false" ht="15" hidden="false" customHeight="false" outlineLevel="0" collapsed="false">
      <c r="A2" s="2" t="s">
        <v>3</v>
      </c>
    </row>
    <row r="4" customFormat="false" ht="15" hidden="false" customHeight="false" outlineLevel="0" collapsed="false">
      <c r="A4" s="3" t="s">
        <v>4</v>
      </c>
      <c r="B4" s="4" t="n">
        <f aca="false">Assumptions!$B$4</f>
        <v>67.97</v>
      </c>
    </row>
    <row r="5" customFormat="false" ht="15" hidden="false" customHeight="false" outlineLevel="0" collapsed="false">
      <c r="A5" s="3" t="s">
        <v>5</v>
      </c>
      <c r="B5" s="4" t="n">
        <f aca="false">DCF!B20</f>
        <v>60.3366704439483</v>
      </c>
    </row>
    <row r="6" customFormat="false" ht="15" hidden="false" customHeight="false" outlineLevel="0" collapsed="false">
      <c r="A6" s="3" t="s">
        <v>6</v>
      </c>
      <c r="B6" s="4" t="n">
        <f aca="false">SOTP!B9</f>
        <v>60.3366704439483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40"/>
  </cols>
  <sheetData>
    <row r="1" customFormat="false" ht="16.1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3" customFormat="false" ht="15" hidden="false" customHeight="false" outlineLevel="0" collapsed="false">
      <c r="A3" s="5" t="s">
        <v>11</v>
      </c>
    </row>
    <row r="4" customFormat="false" ht="15" hidden="false" customHeight="false" outlineLevel="0" collapsed="false">
      <c r="A4" s="3" t="s">
        <v>12</v>
      </c>
      <c r="B4" s="6" t="n">
        <v>67.97</v>
      </c>
    </row>
    <row r="5" customFormat="false" ht="15" hidden="false" customHeight="false" outlineLevel="0" collapsed="false">
      <c r="A5" s="3" t="s">
        <v>13</v>
      </c>
      <c r="B5" s="7" t="n">
        <v>1262.5</v>
      </c>
    </row>
    <row r="8" customFormat="false" ht="15" hidden="false" customHeight="false" outlineLevel="0" collapsed="false">
      <c r="A8" s="3" t="s">
        <v>14</v>
      </c>
      <c r="B8" s="7" t="n">
        <v>16000</v>
      </c>
    </row>
    <row r="9" customFormat="false" ht="15" hidden="false" customHeight="false" outlineLevel="0" collapsed="false">
      <c r="A9" s="3" t="s">
        <v>15</v>
      </c>
      <c r="B9" s="8" t="n">
        <v>0.24</v>
      </c>
    </row>
    <row r="10" customFormat="false" ht="15" hidden="false" customHeight="false" outlineLevel="0" collapsed="false">
      <c r="A10" s="3" t="s">
        <v>16</v>
      </c>
      <c r="B10" s="8" t="n">
        <v>0.11</v>
      </c>
    </row>
    <row r="11" customFormat="false" ht="15" hidden="false" customHeight="false" outlineLevel="0" collapsed="false">
      <c r="A11" s="3" t="s">
        <v>17</v>
      </c>
      <c r="B11" s="8" t="n">
        <v>0.225</v>
      </c>
    </row>
    <row r="13" customFormat="false" ht="15" hidden="false" customHeight="false" outlineLevel="0" collapsed="false">
      <c r="A13" s="5" t="s">
        <v>18</v>
      </c>
    </row>
    <row r="14" customFormat="false" ht="15" hidden="false" customHeight="false" outlineLevel="0" collapsed="false">
      <c r="A14" s="3" t="s">
        <v>19</v>
      </c>
      <c r="B14" s="7" t="n">
        <v>6000</v>
      </c>
    </row>
    <row r="15" customFormat="false" ht="15" hidden="false" customHeight="false" outlineLevel="0" collapsed="false">
      <c r="A15" s="3" t="s">
        <v>20</v>
      </c>
      <c r="B15" s="8" t="n">
        <v>0.4</v>
      </c>
    </row>
    <row r="16" customFormat="false" ht="15" hidden="false" customHeight="false" outlineLevel="0" collapsed="false">
      <c r="A16" s="3" t="s">
        <v>21</v>
      </c>
      <c r="B16" s="9" t="n">
        <v>5</v>
      </c>
    </row>
    <row r="20" customFormat="false" ht="15" hidden="false" customHeight="false" outlineLevel="0" collapsed="false">
      <c r="A20" s="5" t="s">
        <v>22</v>
      </c>
    </row>
    <row r="21" customFormat="false" ht="15" hidden="false" customHeight="false" outlineLevel="0" collapsed="false">
      <c r="E21" s="5" t="s">
        <v>23</v>
      </c>
      <c r="F21" s="5" t="s">
        <v>24</v>
      </c>
      <c r="G21" s="5" t="s">
        <v>25</v>
      </c>
      <c r="H21" s="5" t="s">
        <v>26</v>
      </c>
      <c r="I21" s="5" t="s">
        <v>27</v>
      </c>
    </row>
    <row r="22" customFormat="false" ht="15" hidden="false" customHeight="false" outlineLevel="0" collapsed="false">
      <c r="A22" s="3" t="s">
        <v>28</v>
      </c>
      <c r="E22" s="8" t="n">
        <v>0.1</v>
      </c>
      <c r="F22" s="8" t="n">
        <v>0.1</v>
      </c>
      <c r="G22" s="8" t="n">
        <v>0.1</v>
      </c>
      <c r="H22" s="8" t="n">
        <v>0.1</v>
      </c>
      <c r="I22" s="8" t="n">
        <v>0.1</v>
      </c>
    </row>
    <row r="23" customFormat="false" ht="15" hidden="false" customHeight="false" outlineLevel="0" collapsed="false">
      <c r="A23" s="3" t="s">
        <v>29</v>
      </c>
      <c r="E23" s="8" t="n">
        <v>0.38</v>
      </c>
      <c r="F23" s="8" t="n">
        <v>0.38</v>
      </c>
      <c r="G23" s="8" t="n">
        <v>0.39</v>
      </c>
      <c r="H23" s="8" t="n">
        <v>0.39</v>
      </c>
      <c r="I23" s="8" t="n">
        <v>0.4</v>
      </c>
    </row>
    <row r="24" customFormat="false" ht="15" hidden="false" customHeight="false" outlineLevel="0" collapsed="false">
      <c r="A24" s="3" t="s">
        <v>30</v>
      </c>
      <c r="E24" s="8" t="n">
        <v>0.05</v>
      </c>
      <c r="F24" s="8" t="n">
        <v>0.05</v>
      </c>
      <c r="G24" s="8" t="n">
        <v>0.05</v>
      </c>
      <c r="H24" s="8" t="n">
        <v>0.05</v>
      </c>
      <c r="I24" s="8" t="n">
        <v>0.05</v>
      </c>
    </row>
    <row r="25" customFormat="false" ht="15" hidden="false" customHeight="false" outlineLevel="0" collapsed="false">
      <c r="A25" s="3" t="s">
        <v>31</v>
      </c>
      <c r="E25" s="7" t="n">
        <v>1500</v>
      </c>
      <c r="F25" s="7" t="n">
        <v>1600</v>
      </c>
      <c r="G25" s="7" t="n">
        <v>1700</v>
      </c>
      <c r="H25" s="7" t="n">
        <v>1800</v>
      </c>
      <c r="I25" s="7" t="n">
        <v>1900</v>
      </c>
    </row>
    <row r="26" customFormat="false" ht="15" hidden="false" customHeight="false" outlineLevel="0" collapsed="false">
      <c r="A26" s="3" t="s">
        <v>32</v>
      </c>
      <c r="E26" s="7" t="n">
        <v>3400</v>
      </c>
      <c r="F26" s="7" t="n">
        <v>3700</v>
      </c>
      <c r="G26" s="7" t="n">
        <v>4000</v>
      </c>
      <c r="H26" s="7" t="n">
        <v>4300</v>
      </c>
      <c r="I26" s="7" t="n">
        <v>4600</v>
      </c>
    </row>
    <row r="27" customFormat="false" ht="15" hidden="false" customHeight="false" outlineLevel="0" collapsed="false">
      <c r="A27" s="3" t="s">
        <v>33</v>
      </c>
      <c r="E27" s="8" t="n">
        <v>0.15</v>
      </c>
      <c r="F27" s="8" t="n">
        <v>0.15</v>
      </c>
      <c r="G27" s="8" t="n">
        <v>0.15</v>
      </c>
      <c r="H27" s="8" t="n">
        <v>0.15</v>
      </c>
      <c r="I27" s="8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42"/>
  </cols>
  <sheetData>
    <row r="1" customFormat="false" ht="16.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5" t="s">
        <v>36</v>
      </c>
      <c r="B3" s="5" t="s">
        <v>37</v>
      </c>
    </row>
    <row r="4" customFormat="false" ht="15" hidden="false" customHeight="false" outlineLevel="0" collapsed="false">
      <c r="A4" s="3" t="s">
        <v>38</v>
      </c>
      <c r="B4" s="10" t="n">
        <f aca="false">DCF!B16</f>
        <v>54175.0464354847</v>
      </c>
    </row>
    <row r="5" customFormat="false" ht="15" hidden="false" customHeight="false" outlineLevel="0" collapsed="false">
      <c r="A5" s="3" t="s">
        <v>39</v>
      </c>
      <c r="B5" s="10" t="n">
        <f aca="false">'Income Statement'!I4*Assumptions!$B$15*Assumptions!$B$16</f>
        <v>73812.89432</v>
      </c>
    </row>
    <row r="6" customFormat="false" ht="15" hidden="false" customHeight="false" outlineLevel="0" collapsed="false">
      <c r="A6" s="3" t="s">
        <v>40</v>
      </c>
      <c r="B6" s="10" t="n">
        <f aca="false">Assumptions!$B$14</f>
        <v>6000</v>
      </c>
    </row>
    <row r="7" customFormat="false" ht="15" hidden="false" customHeight="false" outlineLevel="0" collapsed="false">
      <c r="A7" s="3" t="s">
        <v>41</v>
      </c>
      <c r="B7" s="10" t="n">
        <f aca="false">Assumptions!$B$8</f>
        <v>16000</v>
      </c>
    </row>
    <row r="8" customFormat="false" ht="15" hidden="false" customHeight="false" outlineLevel="0" collapsed="false">
      <c r="A8" s="3" t="s">
        <v>42</v>
      </c>
      <c r="B8" s="11" t="n">
        <f aca="false">B4+B6+B7</f>
        <v>76175.0464354847</v>
      </c>
    </row>
    <row r="9" customFormat="false" ht="15" hidden="false" customHeight="false" outlineLevel="0" collapsed="false">
      <c r="A9" s="3" t="s">
        <v>43</v>
      </c>
      <c r="B9" s="12" t="n">
        <f aca="false">B8/Assumptions!$B$5</f>
        <v>60.3366704439483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30"/>
  </cols>
  <sheetData>
    <row r="1" customFormat="false" ht="16.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3" customFormat="false" ht="15" hidden="false" customHeight="false" outlineLevel="0" collapsed="false">
      <c r="E3" s="13" t="s">
        <v>23</v>
      </c>
      <c r="F3" s="13" t="s">
        <v>24</v>
      </c>
      <c r="G3" s="13" t="s">
        <v>25</v>
      </c>
      <c r="H3" s="13" t="s">
        <v>26</v>
      </c>
      <c r="I3" s="13" t="s">
        <v>27</v>
      </c>
    </row>
    <row r="4" customFormat="false" ht="15" hidden="false" customHeight="false" outlineLevel="0" collapsed="false">
      <c r="A4" s="3" t="s">
        <v>50</v>
      </c>
      <c r="E4" s="10" t="n">
        <f aca="false">'Income Statement'!E5</f>
        <v>9578.888</v>
      </c>
      <c r="F4" s="10" t="n">
        <f aca="false">'Income Statement'!F5</f>
        <v>10536.7768</v>
      </c>
      <c r="G4" s="10" t="n">
        <f aca="false">'Income Statement'!G5</f>
        <v>11895.46644</v>
      </c>
      <c r="H4" s="10" t="n">
        <f aca="false">'Income Statement'!H5</f>
        <v>13085.013084</v>
      </c>
      <c r="I4" s="10" t="n">
        <f aca="false">'Income Statement'!I5</f>
        <v>14762.578864</v>
      </c>
    </row>
    <row r="5" customFormat="false" ht="15" hidden="false" customHeight="false" outlineLevel="0" collapsed="false">
      <c r="A5" s="3" t="s">
        <v>51</v>
      </c>
      <c r="E5" s="14" t="n">
        <f aca="false">E4*(1-Assumptions!$B$11)</f>
        <v>7423.6382</v>
      </c>
      <c r="F5" s="14" t="n">
        <f aca="false">F4*(1-Assumptions!$B$11)</f>
        <v>8166.00202</v>
      </c>
      <c r="G5" s="14" t="n">
        <f aca="false">G4*(1-Assumptions!$B$11)</f>
        <v>9218.986491</v>
      </c>
      <c r="H5" s="14" t="n">
        <f aca="false">H4*(1-Assumptions!$B$11)</f>
        <v>10140.8851401</v>
      </c>
      <c r="I5" s="14" t="n">
        <f aca="false">I4*(1-Assumptions!$B$11)</f>
        <v>11440.9986196</v>
      </c>
    </row>
    <row r="6" customFormat="false" ht="15" hidden="false" customHeight="false" outlineLevel="0" collapsed="false">
      <c r="A6" s="3" t="s">
        <v>52</v>
      </c>
      <c r="E6" s="10" t="n">
        <f aca="false">'Income Statement'!E6</f>
        <v>1260.38</v>
      </c>
      <c r="F6" s="10" t="n">
        <f aca="false">'Income Statement'!F6</f>
        <v>1386.418</v>
      </c>
      <c r="G6" s="10" t="n">
        <f aca="false">'Income Statement'!G6</f>
        <v>1525.0598</v>
      </c>
      <c r="H6" s="10" t="n">
        <f aca="false">'Income Statement'!H6</f>
        <v>1677.56578</v>
      </c>
      <c r="I6" s="10" t="n">
        <f aca="false">'Income Statement'!I6</f>
        <v>1845.322358</v>
      </c>
    </row>
    <row r="7" customFormat="false" ht="15" hidden="false" customHeight="false" outlineLevel="0" collapsed="false">
      <c r="A7" s="3" t="s">
        <v>53</v>
      </c>
      <c r="E7" s="10" t="n">
        <f aca="false">-Assumptions!E25</f>
        <v>-1500</v>
      </c>
      <c r="F7" s="10" t="n">
        <f aca="false">-Assumptions!F25</f>
        <v>-1600</v>
      </c>
      <c r="G7" s="10" t="n">
        <f aca="false">-Assumptions!G25</f>
        <v>-1700</v>
      </c>
      <c r="H7" s="10" t="n">
        <f aca="false">-Assumptions!H25</f>
        <v>-1800</v>
      </c>
      <c r="I7" s="10" t="n">
        <f aca="false">-Assumptions!I25</f>
        <v>-1900</v>
      </c>
    </row>
    <row r="8" customFormat="false" ht="15" hidden="false" customHeight="false" outlineLevel="0" collapsed="false">
      <c r="A8" s="3" t="s">
        <v>54</v>
      </c>
      <c r="E8" s="10" t="n">
        <f aca="false">'Cash Flow'!E6</f>
        <v>-649.14</v>
      </c>
      <c r="F8" s="10" t="n">
        <f aca="false">'Cash Flow'!F6</f>
        <v>-378.114000000001</v>
      </c>
      <c r="G8" s="10" t="n">
        <f aca="false">'Cash Flow'!G6</f>
        <v>-415.9254</v>
      </c>
      <c r="H8" s="10" t="n">
        <f aca="false">'Cash Flow'!H6</f>
        <v>-457.517940000001</v>
      </c>
      <c r="I8" s="10" t="n">
        <f aca="false">'Cash Flow'!I6</f>
        <v>-503.269734</v>
      </c>
    </row>
    <row r="9" customFormat="false" ht="15" hidden="false" customHeight="false" outlineLevel="0" collapsed="false">
      <c r="A9" s="3" t="s">
        <v>55</v>
      </c>
      <c r="E9" s="14" t="n">
        <f aca="false">E5+E6+E7+E8</f>
        <v>6534.8782</v>
      </c>
      <c r="F9" s="14" t="n">
        <f aca="false">F5+F6+F7+F8</f>
        <v>7574.30602</v>
      </c>
      <c r="G9" s="14" t="n">
        <f aca="false">G5+G6+G7+G8</f>
        <v>8628.120891</v>
      </c>
      <c r="H9" s="14" t="n">
        <f aca="false">H5+H6+H7+H8</f>
        <v>9560.9329801</v>
      </c>
      <c r="I9" s="14" t="n">
        <f aca="false">I5+I6+I7+I8</f>
        <v>10883.0512436</v>
      </c>
    </row>
    <row r="10" customFormat="false" ht="15" hidden="false" customHeight="false" outlineLevel="0" collapsed="false">
      <c r="A10" s="3" t="s">
        <v>56</v>
      </c>
      <c r="E10" s="15" t="n">
        <f aca="false">1/(1+Assumptions!$B$9)^1</f>
        <v>0.806451612903226</v>
      </c>
      <c r="F10" s="15" t="n">
        <f aca="false">1/(1+Assumptions!$B$9)^2</f>
        <v>0.650364203954214</v>
      </c>
      <c r="G10" s="15" t="n">
        <f aca="false">1/(1+Assumptions!$B$9)^3</f>
        <v>0.524487261253399</v>
      </c>
      <c r="H10" s="15" t="n">
        <f aca="false">1/(1+Assumptions!$B$9)^4</f>
        <v>0.422973597784999</v>
      </c>
      <c r="I10" s="15" t="n">
        <f aca="false">1/(1+Assumptions!$B$9)^5</f>
        <v>0.341107740149193</v>
      </c>
    </row>
    <row r="11" customFormat="false" ht="15" hidden="false" customHeight="false" outlineLevel="0" collapsed="false">
      <c r="A11" s="3" t="s">
        <v>57</v>
      </c>
      <c r="E11" s="14" t="n">
        <f aca="false">E9*E10</f>
        <v>5270.06306451613</v>
      </c>
      <c r="F11" s="14" t="n">
        <f aca="false">F9*F10</f>
        <v>4926.05750520291</v>
      </c>
      <c r="G11" s="14" t="n">
        <f aca="false">G9*G10</f>
        <v>4525.33949588383</v>
      </c>
      <c r="H11" s="14" t="n">
        <f aca="false">H9*H10</f>
        <v>4044.02222077415</v>
      </c>
      <c r="I11" s="14" t="n">
        <f aca="false">I9*I10</f>
        <v>3712.29301563226</v>
      </c>
    </row>
    <row r="13" customFormat="false" ht="15" hidden="false" customHeight="false" outlineLevel="0" collapsed="false">
      <c r="A13" s="3" t="s">
        <v>58</v>
      </c>
      <c r="B13" s="14" t="n">
        <f aca="false">SUM(E11:I11)</f>
        <v>22477.7753020093</v>
      </c>
    </row>
    <row r="14" customFormat="false" ht="15" hidden="false" customHeight="false" outlineLevel="0" collapsed="false">
      <c r="A14" s="3" t="s">
        <v>59</v>
      </c>
      <c r="B14" s="14" t="n">
        <f aca="false">I9*(1+Assumptions!$B$10)/(Assumptions!$B$9-Assumptions!$B$10)</f>
        <v>92924.5144645847</v>
      </c>
    </row>
    <row r="15" customFormat="false" ht="15" hidden="false" customHeight="false" outlineLevel="0" collapsed="false">
      <c r="A15" s="3" t="s">
        <v>60</v>
      </c>
      <c r="B15" s="14" t="n">
        <f aca="false">B14/(1+Assumptions!$B$9)^5</f>
        <v>31697.2711334755</v>
      </c>
    </row>
    <row r="16" customFormat="false" ht="15" hidden="false" customHeight="false" outlineLevel="0" collapsed="false">
      <c r="A16" s="3" t="s">
        <v>61</v>
      </c>
      <c r="B16" s="11" t="n">
        <f aca="false">B13+B15</f>
        <v>54175.0464354847</v>
      </c>
    </row>
    <row r="17" customFormat="false" ht="15" hidden="false" customHeight="false" outlineLevel="0" collapsed="false">
      <c r="A17" s="3" t="s">
        <v>62</v>
      </c>
      <c r="B17" s="10" t="n">
        <f aca="false">Assumptions!$B$14</f>
        <v>6000</v>
      </c>
    </row>
    <row r="18" customFormat="false" ht="15" hidden="false" customHeight="false" outlineLevel="0" collapsed="false">
      <c r="A18" s="3" t="s">
        <v>63</v>
      </c>
      <c r="B18" s="10" t="n">
        <f aca="false">Assumptions!$B$8</f>
        <v>16000</v>
      </c>
    </row>
    <row r="19" customFormat="false" ht="15" hidden="false" customHeight="false" outlineLevel="0" collapsed="false">
      <c r="A19" s="3" t="s">
        <v>64</v>
      </c>
      <c r="B19" s="11" t="n">
        <f aca="false">B16+B17+B18</f>
        <v>76175.0464354847</v>
      </c>
    </row>
    <row r="20" customFormat="false" ht="15" hidden="false" customHeight="false" outlineLevel="0" collapsed="false">
      <c r="A20" s="3" t="s">
        <v>65</v>
      </c>
      <c r="B20" s="12" t="n">
        <f aca="false">B19/Assumptions!$B$5</f>
        <v>60.3366704439483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34"/>
  </cols>
  <sheetData>
    <row r="1" customFormat="false" ht="16.1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3" customFormat="false" ht="15" hidden="false" customHeight="false" outlineLevel="0" collapsed="false">
      <c r="B3" s="16" t="s">
        <v>68</v>
      </c>
      <c r="C3" s="16" t="s">
        <v>69</v>
      </c>
      <c r="D3" s="16" t="s">
        <v>70</v>
      </c>
      <c r="E3" s="16" t="s">
        <v>23</v>
      </c>
      <c r="F3" s="16" t="s">
        <v>24</v>
      </c>
      <c r="G3" s="16" t="s">
        <v>25</v>
      </c>
      <c r="H3" s="16" t="s">
        <v>26</v>
      </c>
      <c r="I3" s="16" t="s">
        <v>27</v>
      </c>
    </row>
    <row r="4" customFormat="false" ht="15" hidden="false" customHeight="false" outlineLevel="0" collapsed="false">
      <c r="A4" s="3" t="s">
        <v>71</v>
      </c>
      <c r="B4" s="7" t="n">
        <v>21657</v>
      </c>
      <c r="C4" s="7" t="n">
        <v>18528</v>
      </c>
      <c r="D4" s="7" t="n">
        <v>22916</v>
      </c>
      <c r="E4" s="14" t="n">
        <f aca="false">D4*(1+Assumptions!E22)</f>
        <v>25207.6</v>
      </c>
      <c r="F4" s="14" t="n">
        <f aca="false">E4*(1+Assumptions!F22)</f>
        <v>27728.36</v>
      </c>
      <c r="G4" s="14" t="n">
        <f aca="false">F4*(1+Assumptions!G22)</f>
        <v>30501.196</v>
      </c>
      <c r="H4" s="14" t="n">
        <f aca="false">G4*(1+Assumptions!H22)</f>
        <v>33551.3156</v>
      </c>
      <c r="I4" s="14" t="n">
        <f aca="false">H4*(1+Assumptions!I22)</f>
        <v>36906.44716</v>
      </c>
    </row>
    <row r="5" customFormat="false" ht="15" hidden="false" customHeight="false" outlineLevel="0" collapsed="false">
      <c r="A5" s="3" t="s">
        <v>72</v>
      </c>
      <c r="B5" s="7" t="n">
        <v>11179</v>
      </c>
      <c r="C5" s="7" t="n">
        <v>6526</v>
      </c>
      <c r="D5" s="7" t="n">
        <v>8185</v>
      </c>
      <c r="E5" s="14" t="n">
        <f aca="false">E4*Assumptions!E23</f>
        <v>9578.888</v>
      </c>
      <c r="F5" s="14" t="n">
        <f aca="false">F4*Assumptions!F23</f>
        <v>10536.7768</v>
      </c>
      <c r="G5" s="14" t="n">
        <f aca="false">G4*Assumptions!G23</f>
        <v>11895.46644</v>
      </c>
      <c r="H5" s="14" t="n">
        <f aca="false">H4*Assumptions!H23</f>
        <v>13085.013084</v>
      </c>
      <c r="I5" s="14" t="n">
        <f aca="false">I4*Assumptions!I23</f>
        <v>14762.578864</v>
      </c>
    </row>
    <row r="6" customFormat="false" ht="15" hidden="false" customHeight="false" outlineLevel="0" collapsed="false">
      <c r="A6" s="3" t="s">
        <v>73</v>
      </c>
      <c r="B6" s="7" t="n">
        <v>1080</v>
      </c>
      <c r="C6" s="7" t="n">
        <v>1100</v>
      </c>
      <c r="D6" s="7" t="n">
        <v>1150</v>
      </c>
      <c r="E6" s="14" t="n">
        <f aca="false">E4*Assumptions!E24</f>
        <v>1260.38</v>
      </c>
      <c r="F6" s="14" t="n">
        <f aca="false">F4*Assumptions!F24</f>
        <v>1386.418</v>
      </c>
      <c r="G6" s="14" t="n">
        <f aca="false">G4*Assumptions!G24</f>
        <v>1525.0598</v>
      </c>
      <c r="H6" s="14" t="n">
        <f aca="false">H4*Assumptions!H24</f>
        <v>1677.56578</v>
      </c>
      <c r="I6" s="14" t="n">
        <f aca="false">I4*Assumptions!I24</f>
        <v>1845.322358</v>
      </c>
    </row>
    <row r="7" customFormat="false" ht="15" hidden="false" customHeight="false" outlineLevel="0" collapsed="false">
      <c r="A7" s="3" t="s">
        <v>74</v>
      </c>
      <c r="B7" s="14" t="n">
        <f aca="false">B5+B6</f>
        <v>12259</v>
      </c>
      <c r="C7" s="14" t="n">
        <f aca="false">C5+C6</f>
        <v>7626</v>
      </c>
      <c r="D7" s="14" t="n">
        <f aca="false">D5+D6</f>
        <v>9335</v>
      </c>
      <c r="E7" s="14" t="n">
        <f aca="false">E5+E6</f>
        <v>10839.268</v>
      </c>
      <c r="F7" s="14" t="n">
        <f aca="false">F5+F6</f>
        <v>11923.1948</v>
      </c>
      <c r="G7" s="14" t="n">
        <f aca="false">G5+G6</f>
        <v>13420.52624</v>
      </c>
      <c r="H7" s="14" t="n">
        <f aca="false">H5+H6</f>
        <v>14762.578864</v>
      </c>
      <c r="I7" s="14" t="n">
        <f aca="false">I5+I6</f>
        <v>16607.901222</v>
      </c>
    </row>
    <row r="8" customFormat="false" ht="15" hidden="false" customHeight="false" outlineLevel="0" collapsed="false">
      <c r="A8" s="3" t="s">
        <v>75</v>
      </c>
      <c r="B8" s="7" t="n">
        <v>2870</v>
      </c>
      <c r="C8" s="7" t="n">
        <v>4036</v>
      </c>
      <c r="D8" s="7" t="n">
        <v>3229</v>
      </c>
      <c r="E8" s="10" t="n">
        <f aca="false">Assumptions!E26</f>
        <v>3400</v>
      </c>
      <c r="F8" s="10" t="n">
        <f aca="false">Assumptions!F26</f>
        <v>3700</v>
      </c>
      <c r="G8" s="10" t="n">
        <f aca="false">Assumptions!G26</f>
        <v>4000</v>
      </c>
      <c r="H8" s="10" t="n">
        <f aca="false">Assumptions!H26</f>
        <v>4300</v>
      </c>
      <c r="I8" s="10" t="n">
        <f aca="false">Assumptions!I26</f>
        <v>4600</v>
      </c>
    </row>
    <row r="9" customFormat="false" ht="15" hidden="false" customHeight="false" outlineLevel="0" collapsed="false">
      <c r="A9" s="3" t="s">
        <v>76</v>
      </c>
      <c r="B9" s="14" t="n">
        <f aca="false">B5+B8</f>
        <v>14049</v>
      </c>
      <c r="C9" s="14" t="n">
        <f aca="false">C5+C8</f>
        <v>10562</v>
      </c>
      <c r="D9" s="14" t="n">
        <f aca="false">D5+D8</f>
        <v>11414</v>
      </c>
      <c r="E9" s="14" t="n">
        <f aca="false">E5+E8</f>
        <v>12978.888</v>
      </c>
      <c r="F9" s="14" t="n">
        <f aca="false">F5+F8</f>
        <v>14236.7768</v>
      </c>
      <c r="G9" s="14" t="n">
        <f aca="false">G5+G8</f>
        <v>15895.46644</v>
      </c>
      <c r="H9" s="14" t="n">
        <f aca="false">H5+H8</f>
        <v>17385.013084</v>
      </c>
      <c r="I9" s="14" t="n">
        <f aca="false">I5+I8</f>
        <v>19362.578864</v>
      </c>
    </row>
    <row r="10" customFormat="false" ht="15" hidden="false" customHeight="false" outlineLevel="0" collapsed="false">
      <c r="A10" s="3" t="s">
        <v>77</v>
      </c>
      <c r="B10" s="14" t="n">
        <f aca="false">B9*Assumptions!$B$11</f>
        <v>3161.025</v>
      </c>
      <c r="C10" s="14" t="n">
        <f aca="false">C9*Assumptions!$B$11</f>
        <v>2376.45</v>
      </c>
      <c r="D10" s="14" t="n">
        <f aca="false">D9*Assumptions!$B$11</f>
        <v>2568.15</v>
      </c>
      <c r="E10" s="14" t="n">
        <f aca="false">E9*Assumptions!$B$11</f>
        <v>2920.2498</v>
      </c>
      <c r="F10" s="14" t="n">
        <f aca="false">F9*Assumptions!$B$11</f>
        <v>3203.27478</v>
      </c>
      <c r="G10" s="14" t="n">
        <f aca="false">G9*Assumptions!$B$11</f>
        <v>3576.479949</v>
      </c>
      <c r="H10" s="14" t="n">
        <f aca="false">H9*Assumptions!$B$11</f>
        <v>3911.6279439</v>
      </c>
      <c r="I10" s="14" t="n">
        <f aca="false">I9*Assumptions!$B$11</f>
        <v>4356.5802444</v>
      </c>
    </row>
    <row r="11" customFormat="false" ht="15" hidden="false" customHeight="false" outlineLevel="0" collapsed="false">
      <c r="A11" s="5" t="s">
        <v>78</v>
      </c>
      <c r="B11" s="14" t="n">
        <f aca="false">B9-B10</f>
        <v>10887.975</v>
      </c>
      <c r="C11" s="14" t="n">
        <f aca="false">C9-C10</f>
        <v>8185.55</v>
      </c>
      <c r="D11" s="14" t="n">
        <f aca="false">D9-D10</f>
        <v>8845.85</v>
      </c>
      <c r="E11" s="14" t="n">
        <f aca="false">E9-E10</f>
        <v>10058.6382</v>
      </c>
      <c r="F11" s="14" t="n">
        <f aca="false">F9-F10</f>
        <v>11033.50202</v>
      </c>
      <c r="G11" s="14" t="n">
        <f aca="false">G9-G10</f>
        <v>12318.986491</v>
      </c>
      <c r="H11" s="14" t="n">
        <f aca="false">H9-H10</f>
        <v>13473.3851401</v>
      </c>
      <c r="I11" s="14" t="n">
        <f aca="false">I9-I10</f>
        <v>15005.9986196</v>
      </c>
    </row>
    <row r="13" customFormat="false" ht="15" hidden="false" customHeight="false" outlineLevel="0" collapsed="false">
      <c r="A13" s="3" t="s">
        <v>79</v>
      </c>
      <c r="B13" s="7" t="n">
        <v>14020</v>
      </c>
      <c r="C13" s="7" t="n">
        <v>13477</v>
      </c>
      <c r="D13" s="7" t="n">
        <v>9353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30"/>
  </cols>
  <sheetData>
    <row r="1" customFormat="false" ht="16.1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3" customFormat="false" ht="15" hidden="false" customHeight="false" outlineLevel="0" collapsed="false">
      <c r="B3" s="16" t="s">
        <v>68</v>
      </c>
      <c r="C3" s="16" t="s">
        <v>69</v>
      </c>
      <c r="D3" s="16" t="s">
        <v>70</v>
      </c>
      <c r="E3" s="16" t="s">
        <v>23</v>
      </c>
      <c r="F3" s="16" t="s">
        <v>24</v>
      </c>
      <c r="G3" s="16" t="s">
        <v>25</v>
      </c>
      <c r="H3" s="16" t="s">
        <v>26</v>
      </c>
      <c r="I3" s="16" t="s">
        <v>27</v>
      </c>
    </row>
    <row r="4" customFormat="false" ht="15" hidden="false" customHeight="false" outlineLevel="0" collapsed="false">
      <c r="A4" s="3" t="s">
        <v>82</v>
      </c>
      <c r="B4" s="7" t="n">
        <v>11000</v>
      </c>
      <c r="C4" s="7" t="n">
        <v>13500</v>
      </c>
      <c r="D4" s="7" t="n">
        <v>17073</v>
      </c>
      <c r="E4" s="10" t="n">
        <f aca="false">D4+'Cash Flow'!E10</f>
        <v>26242.8782</v>
      </c>
      <c r="F4" s="10" t="n">
        <f aca="false">E4+'Cash Flow'!F10</f>
        <v>36684.68422</v>
      </c>
      <c r="G4" s="10" t="n">
        <f aca="false">F4+'Cash Flow'!G10</f>
        <v>48412.805111</v>
      </c>
      <c r="H4" s="10" t="n">
        <f aca="false">G4+'Cash Flow'!H10</f>
        <v>61306.2380911</v>
      </c>
      <c r="I4" s="10" t="n">
        <f aca="false">H4+'Cash Flow'!I10</f>
        <v>75754.2893347</v>
      </c>
    </row>
    <row r="5" customFormat="false" ht="15" hidden="false" customHeight="false" outlineLevel="0" collapsed="false">
      <c r="A5" s="3" t="s">
        <v>40</v>
      </c>
      <c r="B5" s="10" t="n">
        <f aca="false">Assumptions!$B$14</f>
        <v>6000</v>
      </c>
      <c r="C5" s="10" t="n">
        <f aca="false">Assumptions!$B$14</f>
        <v>6000</v>
      </c>
      <c r="D5" s="10" t="n">
        <f aca="false">Assumptions!$B$14</f>
        <v>6000</v>
      </c>
      <c r="E5" s="10" t="n">
        <f aca="false">Assumptions!$B$14</f>
        <v>6000</v>
      </c>
      <c r="F5" s="10" t="n">
        <f aca="false">Assumptions!$B$14</f>
        <v>6000</v>
      </c>
      <c r="G5" s="10" t="n">
        <f aca="false">Assumptions!$B$14</f>
        <v>6000</v>
      </c>
      <c r="H5" s="10" t="n">
        <f aca="false">Assumptions!$B$14</f>
        <v>6000</v>
      </c>
      <c r="I5" s="10" t="n">
        <f aca="false">Assumptions!$B$14</f>
        <v>6000</v>
      </c>
    </row>
    <row r="6" customFormat="false" ht="15" hidden="false" customHeight="false" outlineLevel="0" collapsed="false">
      <c r="A6" s="3" t="s">
        <v>83</v>
      </c>
      <c r="B6" s="7" t="n">
        <v>3200</v>
      </c>
      <c r="C6" s="7" t="n">
        <v>3300</v>
      </c>
      <c r="D6" s="7" t="n">
        <v>3400</v>
      </c>
      <c r="E6" s="10" t="n">
        <f aca="false">D6+Assumptions!E25-'Income Statement'!E6</f>
        <v>3639.62</v>
      </c>
      <c r="F6" s="10" t="n">
        <f aca="false">E6+Assumptions!F25-'Income Statement'!F6</f>
        <v>3853.202</v>
      </c>
      <c r="G6" s="10" t="n">
        <f aca="false">F6+Assumptions!G25-'Income Statement'!G6</f>
        <v>4028.1422</v>
      </c>
      <c r="H6" s="10" t="n">
        <f aca="false">G6+Assumptions!H25-'Income Statement'!H6</f>
        <v>4150.57642</v>
      </c>
      <c r="I6" s="10" t="n">
        <f aca="false">H6+Assumptions!I25-'Income Statement'!I6</f>
        <v>4205.254062</v>
      </c>
    </row>
    <row r="7" customFormat="false" ht="15" hidden="false" customHeight="false" outlineLevel="0" collapsed="false">
      <c r="A7" s="3" t="s">
        <v>84</v>
      </c>
      <c r="B7" s="7" t="n">
        <v>2600</v>
      </c>
      <c r="C7" s="7" t="n">
        <v>2900</v>
      </c>
      <c r="D7" s="7" t="n">
        <v>3132</v>
      </c>
      <c r="E7" s="10" t="n">
        <f aca="false">'Income Statement'!E4*Assumptions!E27</f>
        <v>3781.14</v>
      </c>
      <c r="F7" s="10" t="n">
        <f aca="false">'Income Statement'!F4*Assumptions!F27</f>
        <v>4159.254</v>
      </c>
      <c r="G7" s="10" t="n">
        <f aca="false">'Income Statement'!G4*Assumptions!G27</f>
        <v>4575.1794</v>
      </c>
      <c r="H7" s="10" t="n">
        <f aca="false">'Income Statement'!H4*Assumptions!H27</f>
        <v>5032.69734</v>
      </c>
      <c r="I7" s="10" t="n">
        <f aca="false">'Income Statement'!I4*Assumptions!I27</f>
        <v>5535.967074</v>
      </c>
    </row>
    <row r="8" customFormat="false" ht="15" hidden="false" customHeight="false" outlineLevel="0" collapsed="false">
      <c r="A8" s="3" t="s">
        <v>85</v>
      </c>
      <c r="B8" s="7" t="n">
        <v>19000</v>
      </c>
      <c r="C8" s="7" t="n">
        <v>21500</v>
      </c>
      <c r="D8" s="7" t="n">
        <v>24002</v>
      </c>
      <c r="E8" s="10" t="n">
        <f aca="false">D8+'Income Statement'!E11</f>
        <v>34060.6382</v>
      </c>
      <c r="F8" s="10" t="n">
        <f aca="false">E8+'Income Statement'!F11</f>
        <v>45094.14022</v>
      </c>
      <c r="G8" s="10" t="n">
        <f aca="false">F8+'Income Statement'!G11</f>
        <v>57413.126711</v>
      </c>
      <c r="H8" s="10" t="n">
        <f aca="false">G8+'Income Statement'!H11</f>
        <v>70886.5118511</v>
      </c>
      <c r="I8" s="10" t="n">
        <f aca="false">H8+'Income Statement'!I11</f>
        <v>85892.5104707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6"/>
  </cols>
  <sheetData>
    <row r="1" customFormat="false" ht="16.1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3" customFormat="false" ht="15" hidden="false" customHeight="false" outlineLevel="0" collapsed="false">
      <c r="B3" s="16" t="s">
        <v>68</v>
      </c>
      <c r="C3" s="16" t="s">
        <v>69</v>
      </c>
      <c r="D3" s="16" t="s">
        <v>70</v>
      </c>
      <c r="E3" s="16" t="s">
        <v>23</v>
      </c>
      <c r="F3" s="16" t="s">
        <v>24</v>
      </c>
      <c r="G3" s="16" t="s">
        <v>25</v>
      </c>
      <c r="H3" s="16" t="s">
        <v>26</v>
      </c>
      <c r="I3" s="16" t="s">
        <v>27</v>
      </c>
    </row>
    <row r="4" customFormat="false" ht="15" hidden="false" customHeight="false" outlineLevel="0" collapsed="false">
      <c r="A4" s="3" t="s">
        <v>78</v>
      </c>
      <c r="B4" s="10" t="n">
        <f aca="false">'Income Statement'!B11</f>
        <v>10887.975</v>
      </c>
      <c r="C4" s="10" t="n">
        <f aca="false">'Income Statement'!C11</f>
        <v>8185.55</v>
      </c>
      <c r="D4" s="10" t="n">
        <f aca="false">'Income Statement'!D11</f>
        <v>8845.85</v>
      </c>
      <c r="E4" s="10" t="n">
        <f aca="false">'Income Statement'!E11</f>
        <v>10058.6382</v>
      </c>
      <c r="F4" s="10" t="n">
        <f aca="false">'Income Statement'!F11</f>
        <v>11033.50202</v>
      </c>
      <c r="G4" s="10" t="n">
        <f aca="false">'Income Statement'!G11</f>
        <v>12318.986491</v>
      </c>
      <c r="H4" s="10" t="n">
        <f aca="false">'Income Statement'!H11</f>
        <v>13473.3851401</v>
      </c>
      <c r="I4" s="10" t="n">
        <f aca="false">'Income Statement'!I11</f>
        <v>15005.9986196</v>
      </c>
    </row>
    <row r="5" customFormat="false" ht="15" hidden="false" customHeight="false" outlineLevel="0" collapsed="false">
      <c r="A5" s="3" t="s">
        <v>52</v>
      </c>
      <c r="B5" s="10" t="n">
        <f aca="false">'Income Statement'!B6</f>
        <v>1080</v>
      </c>
      <c r="C5" s="10" t="n">
        <f aca="false">'Income Statement'!C6</f>
        <v>1100</v>
      </c>
      <c r="D5" s="10" t="n">
        <f aca="false">'Income Statement'!D6</f>
        <v>1150</v>
      </c>
      <c r="E5" s="10" t="n">
        <f aca="false">'Income Statement'!E6</f>
        <v>1260.38</v>
      </c>
      <c r="F5" s="10" t="n">
        <f aca="false">'Income Statement'!F6</f>
        <v>1386.418</v>
      </c>
      <c r="G5" s="10" t="n">
        <f aca="false">'Income Statement'!G6</f>
        <v>1525.0598</v>
      </c>
      <c r="H5" s="10" t="n">
        <f aca="false">'Income Statement'!H6</f>
        <v>1677.56578</v>
      </c>
      <c r="I5" s="10" t="n">
        <f aca="false">'Income Statement'!I6</f>
        <v>1845.322358</v>
      </c>
    </row>
    <row r="6" customFormat="false" ht="15" hidden="false" customHeight="false" outlineLevel="0" collapsed="false">
      <c r="A6" s="3" t="s">
        <v>88</v>
      </c>
      <c r="B6" s="14" t="n">
        <v>0</v>
      </c>
      <c r="C6" s="10" t="n">
        <f aca="false">-('Balance Sheet'!C7-'Balance Sheet'!B7)</f>
        <v>-300</v>
      </c>
      <c r="D6" s="10" t="n">
        <f aca="false">-('Balance Sheet'!D7-'Balance Sheet'!C7)</f>
        <v>-232</v>
      </c>
      <c r="E6" s="10" t="n">
        <f aca="false">-('Balance Sheet'!E7-'Balance Sheet'!D7)</f>
        <v>-649.14</v>
      </c>
      <c r="F6" s="10" t="n">
        <f aca="false">-('Balance Sheet'!F7-'Balance Sheet'!E7)</f>
        <v>-378.114000000001</v>
      </c>
      <c r="G6" s="10" t="n">
        <f aca="false">-('Balance Sheet'!G7-'Balance Sheet'!F7)</f>
        <v>-415.9254</v>
      </c>
      <c r="H6" s="10" t="n">
        <f aca="false">-('Balance Sheet'!H7-'Balance Sheet'!G7)</f>
        <v>-457.517940000001</v>
      </c>
      <c r="I6" s="10" t="n">
        <f aca="false">-('Balance Sheet'!I7-'Balance Sheet'!H7)</f>
        <v>-503.269734</v>
      </c>
    </row>
    <row r="7" customFormat="false" ht="15" hidden="false" customHeight="false" outlineLevel="0" collapsed="false">
      <c r="A7" s="3" t="s">
        <v>89</v>
      </c>
      <c r="B7" s="14" t="n">
        <f aca="false">B4+B5+B6</f>
        <v>11967.975</v>
      </c>
      <c r="C7" s="14" t="n">
        <f aca="false">C4+C5+C6</f>
        <v>8985.55</v>
      </c>
      <c r="D7" s="14" t="n">
        <f aca="false">D4+D5+D6</f>
        <v>9763.85</v>
      </c>
      <c r="E7" s="14" t="n">
        <f aca="false">E4+E5+E6</f>
        <v>10669.8782</v>
      </c>
      <c r="F7" s="14" t="n">
        <f aca="false">F4+F5+F6</f>
        <v>12041.80602</v>
      </c>
      <c r="G7" s="14" t="n">
        <f aca="false">G4+G5+G6</f>
        <v>13428.120891</v>
      </c>
      <c r="H7" s="14" t="n">
        <f aca="false">H4+H5+H6</f>
        <v>14693.4329801</v>
      </c>
      <c r="I7" s="14" t="n">
        <f aca="false">I4+I5+I6</f>
        <v>16348.0512436</v>
      </c>
    </row>
    <row r="8" customFormat="false" ht="15" hidden="false" customHeight="false" outlineLevel="0" collapsed="false">
      <c r="A8" s="3" t="s">
        <v>53</v>
      </c>
      <c r="B8" s="7" t="n">
        <v>-1200</v>
      </c>
      <c r="C8" s="7" t="n">
        <v>-1300</v>
      </c>
      <c r="D8" s="7" t="n">
        <v>-1400</v>
      </c>
      <c r="E8" s="10" t="n">
        <f aca="false">-Assumptions!E25</f>
        <v>-1500</v>
      </c>
      <c r="F8" s="10" t="n">
        <f aca="false">-Assumptions!F25</f>
        <v>-1600</v>
      </c>
      <c r="G8" s="10" t="n">
        <f aca="false">-Assumptions!G25</f>
        <v>-1700</v>
      </c>
      <c r="H8" s="10" t="n">
        <f aca="false">-Assumptions!H25</f>
        <v>-1800</v>
      </c>
      <c r="I8" s="10" t="n">
        <f aca="false">-Assumptions!I25</f>
        <v>-1900</v>
      </c>
    </row>
    <row r="9" customFormat="false" ht="15" hidden="false" customHeight="false" outlineLevel="0" collapsed="false">
      <c r="A9" s="3" t="s">
        <v>90</v>
      </c>
      <c r="B9" s="14" t="n">
        <f aca="false">B8</f>
        <v>-1200</v>
      </c>
      <c r="C9" s="14" t="n">
        <f aca="false">C8</f>
        <v>-1300</v>
      </c>
      <c r="D9" s="14" t="n">
        <f aca="false">D8</f>
        <v>-1400</v>
      </c>
      <c r="E9" s="14" t="n">
        <f aca="false">E8</f>
        <v>-1500</v>
      </c>
      <c r="F9" s="14" t="n">
        <f aca="false">F8</f>
        <v>-1600</v>
      </c>
      <c r="G9" s="14" t="n">
        <f aca="false">G8</f>
        <v>-1700</v>
      </c>
      <c r="H9" s="14" t="n">
        <f aca="false">H8</f>
        <v>-1800</v>
      </c>
      <c r="I9" s="14" t="n">
        <f aca="false">I8</f>
        <v>-1900</v>
      </c>
    </row>
    <row r="10" customFormat="false" ht="15" hidden="false" customHeight="false" outlineLevel="0" collapsed="false">
      <c r="A10" s="3" t="s">
        <v>91</v>
      </c>
      <c r="B10" s="14" t="n">
        <f aca="false">B7+B9</f>
        <v>10767.975</v>
      </c>
      <c r="C10" s="14" t="n">
        <f aca="false">C7+C9</f>
        <v>7685.55</v>
      </c>
      <c r="D10" s="14" t="n">
        <f aca="false">D7+D9</f>
        <v>8363.85</v>
      </c>
      <c r="E10" s="14" t="n">
        <f aca="false">E7+E9</f>
        <v>9169.8782</v>
      </c>
      <c r="F10" s="14" t="n">
        <f aca="false">F7+F9</f>
        <v>10441.80602</v>
      </c>
      <c r="G10" s="14" t="n">
        <f aca="false">G7+G9</f>
        <v>11728.120891</v>
      </c>
      <c r="H10" s="14" t="n">
        <f aca="false">H7+H9</f>
        <v>12893.4329801</v>
      </c>
      <c r="I10" s="14" t="n">
        <f aca="false">I7+I9</f>
        <v>14448.0512436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4"/>
  </cols>
  <sheetData>
    <row r="1" customFormat="false" ht="16.1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3" customFormat="false" ht="15" hidden="false" customHeight="false" outlineLevel="0" collapsed="false">
      <c r="B3" s="16" t="s">
        <v>68</v>
      </c>
      <c r="C3" s="16" t="s">
        <v>69</v>
      </c>
      <c r="D3" s="16" t="s">
        <v>70</v>
      </c>
      <c r="E3" s="16" t="s">
        <v>23</v>
      </c>
      <c r="F3" s="16" t="s">
        <v>24</v>
      </c>
      <c r="G3" s="16" t="s">
        <v>25</v>
      </c>
      <c r="H3" s="16" t="s">
        <v>26</v>
      </c>
      <c r="I3" s="16" t="s">
        <v>27</v>
      </c>
    </row>
    <row r="4" customFormat="false" ht="15" hidden="false" customHeight="false" outlineLevel="0" collapsed="false">
      <c r="A4" s="3" t="s">
        <v>71</v>
      </c>
      <c r="B4" s="10" t="n">
        <f aca="false">'Income Statement'!B4</f>
        <v>21657</v>
      </c>
      <c r="C4" s="10" t="n">
        <f aca="false">'Income Statement'!C4</f>
        <v>18528</v>
      </c>
      <c r="D4" s="10" t="n">
        <f aca="false">'Income Statement'!D4</f>
        <v>22916</v>
      </c>
      <c r="E4" s="10" t="n">
        <f aca="false">'Income Statement'!E4</f>
        <v>25207.6</v>
      </c>
      <c r="F4" s="10" t="n">
        <f aca="false">'Income Statement'!F4</f>
        <v>27728.36</v>
      </c>
      <c r="G4" s="10" t="n">
        <f aca="false">'Income Statement'!G4</f>
        <v>30501.196</v>
      </c>
      <c r="H4" s="10" t="n">
        <f aca="false">'Income Statement'!H4</f>
        <v>33551.3156</v>
      </c>
      <c r="I4" s="10" t="n">
        <f aca="false">'Income Statement'!I4</f>
        <v>36906.44716</v>
      </c>
    </row>
    <row r="5" customFormat="false" ht="15" hidden="false" customHeight="false" outlineLevel="0" collapsed="false">
      <c r="A5" s="3" t="s">
        <v>74</v>
      </c>
      <c r="B5" s="10" t="n">
        <f aca="false">'Income Statement'!B7</f>
        <v>12259</v>
      </c>
      <c r="C5" s="10" t="n">
        <f aca="false">'Income Statement'!C7</f>
        <v>7626</v>
      </c>
      <c r="D5" s="10" t="n">
        <f aca="false">'Income Statement'!D7</f>
        <v>9335</v>
      </c>
      <c r="E5" s="10" t="n">
        <f aca="false">'Income Statement'!E7</f>
        <v>10839.268</v>
      </c>
      <c r="F5" s="10" t="n">
        <f aca="false">'Income Statement'!F7</f>
        <v>11923.1948</v>
      </c>
      <c r="G5" s="10" t="n">
        <f aca="false">'Income Statement'!G7</f>
        <v>13420.52624</v>
      </c>
      <c r="H5" s="10" t="n">
        <f aca="false">'Income Statement'!H7</f>
        <v>14762.578864</v>
      </c>
      <c r="I5" s="10" t="n">
        <f aca="false">'Income Statement'!I7</f>
        <v>16607.901222</v>
      </c>
    </row>
    <row r="6" customFormat="false" ht="15" hidden="false" customHeight="false" outlineLevel="0" collapsed="false">
      <c r="A6" s="3" t="s">
        <v>94</v>
      </c>
      <c r="B6" s="10" t="n">
        <f aca="false">'Income Statement'!B8</f>
        <v>2870</v>
      </c>
      <c r="C6" s="10" t="n">
        <f aca="false">'Income Statement'!C8</f>
        <v>4036</v>
      </c>
      <c r="D6" s="10" t="n">
        <f aca="false">'Income Statement'!D8</f>
        <v>3229</v>
      </c>
      <c r="E6" s="10" t="n">
        <f aca="false">'Income Statement'!E8</f>
        <v>3400</v>
      </c>
      <c r="F6" s="10" t="n">
        <f aca="false">'Income Statement'!F8</f>
        <v>3700</v>
      </c>
      <c r="G6" s="10" t="n">
        <f aca="false">'Income Statement'!G8</f>
        <v>4000</v>
      </c>
      <c r="H6" s="10" t="n">
        <f aca="false">'Income Statement'!H8</f>
        <v>4300</v>
      </c>
      <c r="I6" s="10" t="n">
        <f aca="false">'Income Statement'!I8</f>
        <v>4600</v>
      </c>
    </row>
    <row r="7" customFormat="false" ht="15" hidden="false" customHeight="false" outlineLevel="0" collapsed="false">
      <c r="A7" s="3" t="s">
        <v>78</v>
      </c>
      <c r="B7" s="10" t="n">
        <f aca="false">'Income Statement'!B11</f>
        <v>10887.975</v>
      </c>
      <c r="C7" s="10" t="n">
        <f aca="false">'Income Statement'!C11</f>
        <v>8185.55</v>
      </c>
      <c r="D7" s="10" t="n">
        <f aca="false">'Income Statement'!D11</f>
        <v>8845.85</v>
      </c>
      <c r="E7" s="10" t="n">
        <f aca="false">'Income Statement'!E11</f>
        <v>10058.6382</v>
      </c>
      <c r="F7" s="10" t="n">
        <f aca="false">'Income Statement'!F11</f>
        <v>11033.50202</v>
      </c>
      <c r="G7" s="10" t="n">
        <f aca="false">'Income Statement'!G11</f>
        <v>12318.986491</v>
      </c>
      <c r="H7" s="10" t="n">
        <f aca="false">'Income Statement'!H11</f>
        <v>13473.3851401</v>
      </c>
      <c r="I7" s="10" t="n">
        <f aca="false">'Income Statement'!I11</f>
        <v>15005.9986196</v>
      </c>
    </row>
    <row r="8" customFormat="false" ht="15" hidden="false" customHeight="false" outlineLevel="0" collapsed="false">
      <c r="A8" s="3" t="s">
        <v>95</v>
      </c>
      <c r="B8" s="10" t="n">
        <f aca="false">'Balance Sheet'!B4</f>
        <v>11000</v>
      </c>
      <c r="C8" s="10" t="n">
        <f aca="false">'Balance Sheet'!C4</f>
        <v>13500</v>
      </c>
      <c r="D8" s="10" t="n">
        <f aca="false">'Balance Sheet'!D4</f>
        <v>17073</v>
      </c>
      <c r="E8" s="10" t="n">
        <f aca="false">'Balance Sheet'!E4</f>
        <v>26242.8782</v>
      </c>
      <c r="F8" s="10" t="n">
        <f aca="false">'Balance Sheet'!F4</f>
        <v>36684.68422</v>
      </c>
      <c r="G8" s="10" t="n">
        <f aca="false">'Balance Sheet'!G4</f>
        <v>48412.805111</v>
      </c>
      <c r="H8" s="10" t="n">
        <f aca="false">'Balance Sheet'!H4</f>
        <v>61306.2380911</v>
      </c>
      <c r="I8" s="10" t="n">
        <f aca="false">'Balance Sheet'!I4</f>
        <v>75754.2893347</v>
      </c>
    </row>
    <row r="9" customFormat="false" ht="15" hidden="false" customHeight="false" outlineLevel="0" collapsed="false">
      <c r="A9" s="3" t="s">
        <v>96</v>
      </c>
      <c r="B9" s="10" t="n">
        <f aca="false">'Balance Sheet'!B8</f>
        <v>19000</v>
      </c>
      <c r="C9" s="10" t="n">
        <f aca="false">'Balance Sheet'!C8</f>
        <v>21500</v>
      </c>
      <c r="D9" s="10" t="n">
        <f aca="false">'Balance Sheet'!D8</f>
        <v>24002</v>
      </c>
      <c r="E9" s="10" t="n">
        <f aca="false">'Balance Sheet'!E8</f>
        <v>34060.6382</v>
      </c>
      <c r="F9" s="10" t="n">
        <f aca="false">'Balance Sheet'!F8</f>
        <v>45094.14022</v>
      </c>
      <c r="G9" s="10" t="n">
        <f aca="false">'Balance Sheet'!G8</f>
        <v>57413.126711</v>
      </c>
      <c r="H9" s="10" t="n">
        <f aca="false">'Balance Sheet'!H8</f>
        <v>70886.5118511</v>
      </c>
      <c r="I9" s="10" t="n">
        <f aca="false">'Balance Sheet'!I8</f>
        <v>85892.5104707</v>
      </c>
    </row>
    <row r="10" customFormat="false" ht="15" hidden="false" customHeight="false" outlineLevel="0" collapsed="false">
      <c r="A10" s="3" t="s">
        <v>89</v>
      </c>
      <c r="B10" s="10" t="n">
        <f aca="false">'Cash Flow'!B7</f>
        <v>11967.975</v>
      </c>
      <c r="C10" s="10" t="n">
        <f aca="false">'Cash Flow'!C7</f>
        <v>8985.55</v>
      </c>
      <c r="D10" s="10" t="n">
        <f aca="false">'Cash Flow'!D7</f>
        <v>9763.85</v>
      </c>
      <c r="E10" s="10" t="n">
        <f aca="false">'Cash Flow'!E7</f>
        <v>10669.8782</v>
      </c>
      <c r="F10" s="10" t="n">
        <f aca="false">'Cash Flow'!F7</f>
        <v>12041.80602</v>
      </c>
      <c r="G10" s="10" t="n">
        <f aca="false">'Cash Flow'!G7</f>
        <v>13428.120891</v>
      </c>
      <c r="H10" s="10" t="n">
        <f aca="false">'Cash Flow'!H7</f>
        <v>14693.4329801</v>
      </c>
      <c r="I10" s="10" t="n">
        <f aca="false">'Cash Flow'!I7</f>
        <v>16348.0512436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3" customFormat="false" ht="15" hidden="false" customHeight="false" outlineLevel="0" collapsed="false">
      <c r="A3" s="5" t="s">
        <v>99</v>
      </c>
      <c r="B3" s="5" t="s">
        <v>100</v>
      </c>
      <c r="C3" s="5" t="s">
        <v>101</v>
      </c>
      <c r="D3" s="5" t="s">
        <v>102</v>
      </c>
      <c r="E3" s="5" t="s">
        <v>103</v>
      </c>
      <c r="F3" s="5" t="s">
        <v>104</v>
      </c>
    </row>
    <row r="4" customFormat="false" ht="15" hidden="false" customHeight="false" outlineLevel="0" collapsed="false">
      <c r="A4" s="3" t="s">
        <v>105</v>
      </c>
      <c r="B4" s="4" t="n">
        <f aca="false">Assumptions!$B$4*0.9</f>
        <v>61.173</v>
      </c>
      <c r="C4" s="4" t="n">
        <f aca="false">Assumptions!$B$4*0.96</f>
        <v>65.2512</v>
      </c>
      <c r="D4" s="4" t="n">
        <f aca="false">Assumptions!$B$4*1</f>
        <v>67.97</v>
      </c>
      <c r="E4" s="4" t="n">
        <f aca="false">Assumptions!$B$4*1.05</f>
        <v>71.3685</v>
      </c>
      <c r="F4" s="4" t="n">
        <f aca="false">Assumptions!$B$4*1.12</f>
        <v>76.1264</v>
      </c>
    </row>
    <row r="5" customFormat="false" ht="15" hidden="false" customHeight="false" outlineLevel="0" collapsed="false">
      <c r="A5" s="3" t="s">
        <v>106</v>
      </c>
      <c r="B5" s="4" t="n">
        <f aca="false">Assumptions!$B$4*0.82</f>
        <v>55.7354</v>
      </c>
      <c r="C5" s="4" t="n">
        <f aca="false">Assumptions!$B$4*0.93</f>
        <v>63.2121</v>
      </c>
      <c r="D5" s="4" t="n">
        <f aca="false">Assumptions!$B$4*1</f>
        <v>67.97</v>
      </c>
      <c r="E5" s="4" t="n">
        <f aca="false">Assumptions!$B$4*1.09</f>
        <v>74.0873</v>
      </c>
      <c r="F5" s="4" t="n">
        <f aca="false">Assumptions!$B$4*1.22</f>
        <v>82.9234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3" customFormat="false" ht="15" hidden="false" customHeight="false" outlineLevel="0" collapsed="false">
      <c r="A3" s="5" t="s">
        <v>109</v>
      </c>
      <c r="B3" s="5" t="s">
        <v>110</v>
      </c>
      <c r="C3" s="5" t="s">
        <v>111</v>
      </c>
      <c r="D3" s="5" t="s">
        <v>112</v>
      </c>
    </row>
    <row r="4" customFormat="false" ht="15" hidden="false" customHeight="false" outlineLevel="0" collapsed="false">
      <c r="A4" s="5" t="s">
        <v>113</v>
      </c>
      <c r="B4" s="17" t="n">
        <f aca="false">DCF!$B$20*(1+(-0.01--0.02)*1.5)</f>
        <v>61.2417205006075</v>
      </c>
      <c r="C4" s="17" t="n">
        <f aca="false">DCF!$B$20*(1+(0--0.02)*1.5)</f>
        <v>62.1467705572667</v>
      </c>
      <c r="D4" s="17" t="n">
        <f aca="false">DCF!$B$20*(1+(0.01--0.02)*1.5)</f>
        <v>63.051820613926</v>
      </c>
    </row>
    <row r="5" customFormat="false" ht="15" hidden="false" customHeight="false" outlineLevel="0" collapsed="false">
      <c r="A5" s="5" t="s">
        <v>114</v>
      </c>
      <c r="B5" s="17" t="n">
        <f aca="false">DCF!$B$20*(1+(-0.01-0)*1.5)</f>
        <v>59.4316203872891</v>
      </c>
      <c r="C5" s="17" t="n">
        <f aca="false">DCF!$B$20*(1+(0-0)*1.5)</f>
        <v>60.3366704439483</v>
      </c>
      <c r="D5" s="17" t="n">
        <f aca="false">DCF!$B$20*(1+(0.01-0)*1.5)</f>
        <v>61.2417205006075</v>
      </c>
    </row>
    <row r="6" customFormat="false" ht="15" hidden="false" customHeight="false" outlineLevel="0" collapsed="false">
      <c r="A6" s="5" t="s">
        <v>115</v>
      </c>
      <c r="B6" s="17" t="n">
        <f aca="false">DCF!$B$20*(1+(-0.01-0.02)*1.5)</f>
        <v>57.6215202739706</v>
      </c>
      <c r="C6" s="17" t="n">
        <f aca="false">DCF!$B$20*(1+(0-0.02)*1.5)</f>
        <v>58.5265703306298</v>
      </c>
      <c r="D6" s="17" t="n">
        <f aca="false">DCF!$B$20*(1+(0.01-0.02)*1.5)</f>
        <v>59.4316203872891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2"/>
  </cols>
  <sheetData>
    <row r="1" customFormat="false" ht="16.15" hidden="false" customHeight="false" outlineLevel="0" collapsed="false">
      <c r="A1" s="1" t="s">
        <v>116</v>
      </c>
    </row>
    <row r="3" customFormat="false" ht="15" hidden="false" customHeight="false" outlineLevel="0" collapsed="false">
      <c r="A3" s="3" t="s">
        <v>4</v>
      </c>
      <c r="B3" s="17" t="n">
        <f aca="false">Assumptions!$B$4</f>
        <v>67.97</v>
      </c>
    </row>
    <row r="4" customFormat="false" ht="15" hidden="false" customHeight="false" outlineLevel="0" collapsed="false">
      <c r="A4" s="3" t="s">
        <v>117</v>
      </c>
      <c r="B4" s="4" t="n">
        <f aca="false">'Income Statement'!E11/Assumptions!$B$5</f>
        <v>7.96723817821782</v>
      </c>
    </row>
    <row r="5" customFormat="false" ht="15" hidden="false" customHeight="false" outlineLevel="0" collapsed="false">
      <c r="A5" s="3" t="s">
        <v>118</v>
      </c>
      <c r="B5" s="18" t="n">
        <f aca="false">B3/B4</f>
        <v>8.5311871541418</v>
      </c>
    </row>
    <row r="6" customFormat="false" ht="15" hidden="false" customHeight="false" outlineLevel="0" collapsed="false">
      <c r="A6" s="3" t="s">
        <v>5</v>
      </c>
      <c r="B6" s="4" t="n">
        <f aca="false">DCF!B20</f>
        <v>60.3366704439483</v>
      </c>
    </row>
    <row r="7" customFormat="false" ht="15" hidden="false" customHeight="false" outlineLevel="0" collapsed="false">
      <c r="A7" s="3" t="s">
        <v>6</v>
      </c>
      <c r="B7" s="4" t="n">
        <f aca="false">SOTP!B9</f>
        <v>60.3366704439483</v>
      </c>
    </row>
    <row r="8" customFormat="false" ht="15" hidden="false" customHeight="false" outlineLevel="0" collapsed="false">
      <c r="A8" s="3" t="s">
        <v>119</v>
      </c>
      <c r="B8" s="19" t="n">
        <f aca="false">B6/B3-1</f>
        <v>-0.112304392468026</v>
      </c>
    </row>
    <row r="9" customFormat="false" ht="15" hidden="false" customHeight="false" outlineLevel="0" collapsed="false">
      <c r="A9" s="3" t="s">
        <v>120</v>
      </c>
      <c r="B9" s="17" t="n">
        <f aca="false">Assumptions!$B$8/Assumptions!$B$5</f>
        <v>12.6732673267327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2026-07-02T12:32:48Z</dcterms:created>
  <dc:creator>openpyxl</dc:creator>
  <dc:description/>
  <dc:language>en-US</dc:language>
  <cp:lastModifiedBy/>
  <dcterms:modified xsi:type="dcterms:W3CDTF">2026-07-02T12:32:48Z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