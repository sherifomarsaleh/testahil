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<sst xmlns="http://schemas.openxmlformats.org/spreadsheetml/2006/main" count="336" uniqueCount="261">
  <si>
    <t xml:space="preserve">Testahil — Al Rajhi Bank (Tadawul: 1120)</t>
  </si>
  <si>
    <t xml:space="preserve">Companion model · Independent Valuation Study — Educational Analysis · Not investment advice</t>
  </si>
  <si>
    <t xml:space="preserve">What this workbook is. A transparent companion to the Al Rajhi Bank valuation study. Every blue cell is an input; every</t>
  </si>
  <si>
    <t xml:space="preserve">black cell is a formula; green cells link across sheets. Change one input on the Assumptions sheet (Ke, a NIM, the</t>
  </si>
  <si>
    <t xml:space="preserve">terminal growth, the payout path) and the whole model re-prices. The single input layer is the Assumptions sheet.</t>
  </si>
  <si>
    <t xml:space="preserve">What it is not. It is not investment advice, a recommendation, or a price target. It is a valuation exercise, published</t>
  </si>
  <si>
    <t xml:space="preserve">free for education. Outputs are ranges and distributions, not a single number. The preparer is not licensed by any</t>
  </si>
  <si>
    <t xml:space="preserve">securities regulator and may hold a position in the security. See the study's Disclosure &amp; Disclaimer.</t>
  </si>
  <si>
    <t xml:space="preserve">Bank lens. Al Rajhi is valued as a bank: the primary lens is a dividend discount model (DDM), cross-checked by a</t>
  </si>
  <si>
    <t xml:space="preserve">residual-income (excess-return) model, a free-cash-flow-to-equity (FCFE) discount model, relative P/B and P/E, and a</t>
  </si>
  <si>
    <t xml:space="preserve">normalized through-cycle-ROE read. The 'DCF' sheet is the bank-appropriate FCFE build required for the study.</t>
  </si>
  <si>
    <t xml:space="preserve">Currency. SAR millions unless stated; per-share figures in SAR. SAR is pegged to USD at 3.75. Anchor: SAR 66.00,</t>
  </si>
  <si>
    <t xml:space="preserve">02-Jul-2026 close; 6,000mn shares (capital SAR 60bn after the 1:2 bonus completed Q1-2026); market cap ~SAR 396bn.</t>
  </si>
  <si>
    <t xml:space="preserve">Historical financials are the bank's own disclosure (FY25 results 27-Jan-2026; Q1-2026 28-Apr-2026); some balance-</t>
  </si>
  <si>
    <t xml:space="preserve">sheet lines are estimated to tie to disclosed totals. Forward inputs are the preparer's judgments and are flagged.</t>
  </si>
  <si>
    <t xml:space="preserve">Valuation summary — Al Rajhi Bank (Tadawul: 1120)</t>
  </si>
  <si>
    <t xml:space="preserve">Five-lens fair value vs spot. Base links live; bear/bull are input scenarios.</t>
  </si>
  <si>
    <t xml:space="preserve">Bear</t>
  </si>
  <si>
    <t xml:space="preserve">Base</t>
  </si>
  <si>
    <t xml:space="preserve">Bull</t>
  </si>
  <si>
    <t xml:space="preserve">Weight</t>
  </si>
  <si>
    <t xml:space="preserve">Dividend discount (DDM)</t>
  </si>
  <si>
    <t xml:space="preserve">Residual income</t>
  </si>
  <si>
    <t xml:space="preserve">FCFE (DCF)</t>
  </si>
  <si>
    <t xml:space="preserve">Relative (justified P/B)</t>
  </si>
  <si>
    <t xml:space="preserve">Normalized earnings</t>
  </si>
  <si>
    <t xml:space="preserve">Weighted central</t>
  </si>
  <si>
    <t xml:space="preserve">Spot price (SAR)</t>
  </si>
  <si>
    <t xml:space="preserve">Upside to central base</t>
  </si>
  <si>
    <t xml:space="preserve">Read: roughly fairly valued; the dividend lens is cautious, the excess-return/P/B lens sees modest upside — the</t>
  </si>
  <si>
    <t xml:space="preserve">spread is the value the market puts on Al Rajhi’s high-ROE retained-earnings franchise and NIM resilience.</t>
  </si>
  <si>
    <t xml:space="preserve">Fundamental valuation — football field</t>
  </si>
  <si>
    <t xml:space="preserve">Bear/base/bull per lens (links to Summary).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</si>
  <si>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</si>
  <si>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</si>
  <si>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</si>
  <si>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</si>
  <si>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(SAR/share)</t>
  </si>
  <si>
    <t xml:space="preserve">Shares outstanding (mn)</t>
  </si>
  <si>
    <t xml:space="preserve">FY25 net income (SAR mn)</t>
  </si>
  <si>
    <t xml:space="preserve">FY25 common equity (SAR mn)</t>
  </si>
  <si>
    <t xml:space="preserve">FY25 net financing (SAR mn)</t>
  </si>
  <si>
    <t xml:space="preserve">FY25 total assets (SAR mn)</t>
  </si>
  <si>
    <t xml:space="preserve">FY25 investments (SAR mn)</t>
  </si>
  <si>
    <t xml:space="preserve">COST OF EQUITY  (Ke = rf + β × ERP)</t>
  </si>
  <si>
    <t xml:space="preserve">Risk-free rate (10y KSA govt)</t>
  </si>
  <si>
    <t xml:space="preserve">Equity risk premium (ERP)</t>
  </si>
  <si>
    <t xml:space="preserve">Beta</t>
  </si>
  <si>
    <t xml:space="preserve">Cost of equity (Ke)</t>
  </si>
  <si>
    <t xml:space="preserve">Terminal growth (g)</t>
  </si>
  <si>
    <t xml:space="preserve">Zakat &amp; income tax rate</t>
  </si>
  <si>
    <t xml:space="preserve">RELATIVE &amp; NORMALIZED</t>
  </si>
  <si>
    <t xml:space="preserve">Target P/B (own, ~3.5x)</t>
  </si>
  <si>
    <t xml:space="preserve">Peer median P/B</t>
  </si>
  <si>
    <t xml:space="preserve">Peer median P/E</t>
  </si>
  <si>
    <t xml:space="preserve">Through-cycle ROE</t>
  </si>
  <si>
    <t xml:space="preserve">Justified P/E (normalized)</t>
  </si>
  <si>
    <t xml:space="preserve">CAPITAL</t>
  </si>
  <si>
    <t xml:space="preserve">RWA density (RWA / total assets)</t>
  </si>
  <si>
    <t xml:space="preserve">CET1 target</t>
  </si>
  <si>
    <t xml:space="preserve">SYNTHESIS WEIGHTS (five lenses)</t>
  </si>
  <si>
    <t xml:space="preserve">DDM weight</t>
  </si>
  <si>
    <t xml:space="preserve">Residual income weight</t>
  </si>
  <si>
    <t xml:space="preserve">FCFE (DCF) weight</t>
  </si>
  <si>
    <t xml:space="preserve">Relative weight</t>
  </si>
  <si>
    <t xml:space="preserve">Normalized-earnings weight</t>
  </si>
  <si>
    <t xml:space="preserve">MONTE CARLO (YZ-HAR width; KVOL retired)</t>
  </si>
  <si>
    <t xml:space="preserve">Diffusion volatility (annualized, YZ-HAR)</t>
  </si>
  <si>
    <t xml:space="preserve">Net 3-month external drift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</si>
  <si>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</si>
  <si>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</si>
  <si>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</si>
  <si>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</si>
  <si>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</si>
  <si>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</si>
  <si>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Financing growth</t>
  </si>
  <si>
    <t xml:space="preserve">Net interest margin (NIM, %)</t>
  </si>
  <si>
    <t xml:space="preserve">Cost-to-income (%)</t>
  </si>
  <si>
    <t xml:space="preserve">Cost of risk (bps)</t>
  </si>
  <si>
    <t xml:space="preserve">Fee &amp; other income growth</t>
  </si>
  <si>
    <t xml:space="preserve">Investments growth</t>
  </si>
  <si>
    <t xml:space="preserve">Dividend payout (%)</t>
  </si>
  <si>
    <t xml:space="preserve">Deposit growth</t>
  </si>
  <si>
    <t xml:space="preserve">Dividend discount model &amp; residual income (primary lens)</t>
  </si>
  <si>
    <t xml:space="preserve">DPS discounted at Ke; residual income cross-checks on excess return over Ke. Terminal via Gordon.</t>
  </si>
  <si>
    <t xml:space="preserve">Net income (SAR mn)</t>
  </si>
  <si>
    <t xml:space="preserve">Payout ratio</t>
  </si>
  <si>
    <t xml:space="preserve">Dividends (SAR mn)</t>
  </si>
  <si>
    <t xml:space="preserve">DPS (SAR/share)</t>
  </si>
  <si>
    <t xml:space="preserve">Discount factor @ Ke</t>
  </si>
  <si>
    <t xml:space="preserve">PV of DPS</t>
  </si>
  <si>
    <t xml:space="preserve">Σ PV of explicit DPS (FY26–FY30)</t>
  </si>
  <si>
    <t xml:space="preserve">Terminal DPS (FY31) = DPS30×(1+g)</t>
  </si>
  <si>
    <t xml:space="preserve">Terminal value = TDPS/(Ke−g)</t>
  </si>
  <si>
    <t xml:space="preserve">PV of terminal value</t>
  </si>
  <si>
    <t xml:space="preserve">DDM fair value per share (SAR)</t>
  </si>
  <si>
    <t xml:space="preserve">TV % of value</t>
  </si>
  <si>
    <t xml:space="preserve">Residual income (excess-return) cross-check</t>
  </si>
  <si>
    <t xml:space="preserve">Opening common equity (SAR mn)</t>
  </si>
  <si>
    <t xml:space="preserve">Residual income = NI − Ke×opening equity</t>
  </si>
  <si>
    <t xml:space="preserve">PV of residual income</t>
  </si>
  <si>
    <t xml:space="preserve">Σ PV residual income</t>
  </si>
  <si>
    <t xml:space="preserve">Terminal RI = RI30×(1+g)/(Ke−g)</t>
  </si>
  <si>
    <t xml:space="preserve">PV of terminal RI</t>
  </si>
  <si>
    <t xml:space="preserve">RI equity value = BV0 + ΣPV + PV term</t>
  </si>
  <si>
    <t xml:space="preserve">RI fair value per share (SAR)</t>
  </si>
  <si>
    <t xml:space="preserve">Segment view — operating income by segment</t>
  </si>
  <si>
    <t xml:space="preserve">Al Rajhi reports Retail, Corporate, Treasury, and Investment Services &amp; Brokerage. FY25 split (blue) held on total op income.</t>
  </si>
  <si>
    <t xml:space="preserve">FY23</t>
  </si>
  <si>
    <t xml:space="preserve">FY24</t>
  </si>
  <si>
    <t xml:space="preserve">FY25</t>
  </si>
  <si>
    <t xml:space="preserve">Retail — operating income</t>
  </si>
  <si>
    <t xml:space="preserve">Corporate — operating income</t>
  </si>
  <si>
    <t xml:space="preserve">Treasury — operating income</t>
  </si>
  <si>
    <t xml:space="preserve">Investment &amp; brokerage — operating income</t>
  </si>
  <si>
    <t xml:space="preserve">Total operating income</t>
  </si>
  <si>
    <t xml:space="preserve">Retail % of op income</t>
  </si>
  <si>
    <t xml:space="preserve">Financing (loans, SAR mn)</t>
  </si>
  <si>
    <t xml:space="preserve">Relative &amp; normalized-earnings lenses</t>
  </si>
  <si>
    <t xml:space="preserve">Justified P/B (Gordon) is the relative anchor; peer multiples shown as context. Links to Assumptions.</t>
  </si>
  <si>
    <t xml:space="preserve">Workings</t>
  </si>
  <si>
    <t xml:space="preserve">SAR/share</t>
  </si>
  <si>
    <t xml:space="preserve">Justified P/B (Gordon)</t>
  </si>
  <si>
    <t xml:space="preserve">(ROEtc−g)/(Ke−g) × fwd BVPS</t>
  </si>
  <si>
    <t xml:space="preserve">  justified P/B multiple (x)</t>
  </si>
  <si>
    <t xml:space="preserve">for reference</t>
  </si>
  <si>
    <t xml:space="preserve">Own current P/B applied</t>
  </si>
  <si>
    <t xml:space="preserve">target P/B × fwd BVPS (no re-rating)</t>
  </si>
  <si>
    <t xml:space="preserve">Peer-median P/B applied</t>
  </si>
  <si>
    <t xml:space="preserve">sector 1.6x × fwd BVPS (ignores ROE gap)</t>
  </si>
  <si>
    <t xml:space="preserve">Peer-median P/E applied</t>
  </si>
  <si>
    <t xml:space="preserve">sector 10.5x × fwd EPS</t>
  </si>
  <si>
    <t xml:space="preserve">Normalized earnings power</t>
  </si>
  <si>
    <t xml:space="preserve">through-cycle ROE×BVPS × justified P/E</t>
  </si>
  <si>
    <t xml:space="preserve">  normalized EPS (SAR)</t>
  </si>
  <si>
    <t xml:space="preserve">ROEtc × current BVPS</t>
  </si>
  <si>
    <t xml:space="preserve">Relative lens → Summary uses the justified-P/B value (row 4); normalized → row 9.</t>
  </si>
  <si>
    <t xml:space="preserve">Discounted cash flow — equity DCF (FCFE)</t>
  </si>
  <si>
    <t xml:space="preserve">Bank equity is valued by discounting free cash flow to equity (FCFE) at the cost of equity Ke. A debt-inclusive WACC is not used for a bank — deposits/funding are operating, not financing — so the equity discount rate Ke is the DCF discount rate.</t>
  </si>
  <si>
    <t xml:space="preserve">Discount rate  (WACC for the equity claim = cost of equity Ke)</t>
  </si>
  <si>
    <t xml:space="preserve">Risk-free rate (Saudi 10-yr, SAR)</t>
  </si>
  <si>
    <t xml:space="preserve">Beta (levered, 0.8–1.3 band)</t>
  </si>
  <si>
    <t xml:space="preserve">Cost of equity  Ke = rf + β × ERP   (the WACC used)</t>
  </si>
  <si>
    <t xml:space="preserve">Terminal growth  g</t>
  </si>
  <si>
    <t xml:space="preserve">FCFE build  (SAR mn)</t>
  </si>
  <si>
    <t xml:space="preserve">Net income</t>
  </si>
  <si>
    <t xml:space="preserve">Risk-weighted assets (RWA)</t>
  </si>
  <si>
    <t xml:space="preserve">Required CET1 capital (target × RWA)</t>
  </si>
  <si>
    <t xml:space="preserve">− Increase in required capital</t>
  </si>
  <si>
    <t xml:space="preserve">FCFE = Net income − Δ required capital</t>
  </si>
  <si>
    <t xml:space="preserve">Discount period (years)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</si>
  <si>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</si>
  <si>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</si>
  <si>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</si>
  <si>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</si>
  <si>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</si>
  <si>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Discount factor = 1/(1+Ke)^t</t>
  </si>
  <si>
    <t xml:space="preserve">PV of FCFE @ Ke</t>
  </si>
  <si>
    <t xml:space="preserve">Σ PV of explicit FCFE (FY26–30E)</t>
  </si>
  <si>
    <t xml:space="preserve">Terminal FCFE (FY31) = FCFE₃₀ × (1+g)</t>
  </si>
  <si>
    <t xml:space="preserve">Terminal value = Terminal FCFE / (Ke − g)</t>
  </si>
  <si>
    <t xml:space="preserve">PV of terminal value = TV / (1+Ke)^5</t>
  </si>
  <si>
    <t xml:space="preserve">Equity value = Σ PV(FCFE) + PV(TV)</t>
  </si>
  <si>
    <t xml:space="preserve">DCF fair value per share (SAR)</t>
  </si>
  <si>
    <t xml:space="preserve">Terminal value as % of equity value</t>
  </si>
  <si>
    <t xml:space="preserve">Sensitivity — DCF value per share (WACC/Ke × terminal g)</t>
  </si>
  <si>
    <t xml:space="preserve">Ke ↓   g →</t>
  </si>
  <si>
    <t xml:space="preserve">Ke 8.5%</t>
  </si>
  <si>
    <t xml:space="preserve">Ke 9.0%</t>
  </si>
  <si>
    <t xml:space="preserve">Ke 9.5% (base)</t>
  </si>
  <si>
    <t xml:space="preserve">Ke 10.0%</t>
  </si>
  <si>
    <t xml:space="preserve">Ke 10.5%</t>
  </si>
  <si>
    <t xml:space="preserve">Income statement (SAR mn, consolidated — bank format)</t>
  </si>
  <si>
    <t xml:space="preserve">FY23–FY25 disclosed (blue); FY26E–FY30E forecast from Assumptions drivers.</t>
  </si>
  <si>
    <t xml:space="preserve">Net financing &amp; investment income</t>
  </si>
  <si>
    <t xml:space="preserve">Fee, FX &amp; other income</t>
  </si>
  <si>
    <t xml:space="preserve">Operating expenses</t>
  </si>
  <si>
    <t xml:space="preserve">Pre-provision operating profit</t>
  </si>
  <si>
    <t xml:space="preserve">Impairment charge (cost of risk)</t>
  </si>
  <si>
    <t xml:space="preserve">Net income before zakat &amp; tax</t>
  </si>
  <si>
    <t xml:space="preserve">Zakat &amp; income tax</t>
  </si>
  <si>
    <t xml:space="preserve">memo: NIM (%)</t>
  </si>
  <si>
    <t xml:space="preserve">memo: cost-to-income</t>
  </si>
  <si>
    <t xml:space="preserve">memo: net income YoY</t>
  </si>
  <si>
    <t xml:space="preserve">Source: Al Rajhi FY23–FY25 results (argaam, IR); Q1-2026 (28-Apr-2026). Forecast: house drivers on Assumptions.</t>
  </si>
  <si>
    <t xml:space="preserve">Balance sheet (SAR mn, consolidated — bank format)</t>
  </si>
  <si>
    <t xml:space="preserve">Historical anchored to disclosed equity/financing/deposits/assets; term-debt &amp; sukuk is the balancing plug.</t>
  </si>
  <si>
    <t xml:space="preserve">Cash &amp; balances with SAMA</t>
  </si>
  <si>
    <t xml:space="preserve">Net financing (loans)</t>
  </si>
  <si>
    <t xml:space="preserve">Investments (mostly sukuk)</t>
  </si>
  <si>
    <t xml:space="preserve">Other assets (PP&amp;E, intangibles, other)</t>
  </si>
  <si>
    <t xml:space="preserve">Total assets</t>
  </si>
  <si>
    <t xml:space="preserve">Customer deposits</t>
  </si>
  <si>
    <t xml:space="preserve">Due to banks &amp; other funding</t>
  </si>
  <si>
    <t xml:space="preserve">Other liabilities</t>
  </si>
  <si>
    <t xml:space="preserve">Common equity</t>
  </si>
  <si>
    <t xml:space="preserve">Term debt &amp; sukuk incl. AT1 (plug)</t>
  </si>
  <si>
    <t xml:space="preserve">Total liabilities &amp; equity</t>
  </si>
  <si>
    <t xml:space="preserve">Balance check (assets − L&amp;E)</t>
  </si>
  <si>
    <t xml:space="preserve">memo: RWA (density × assets)</t>
  </si>
  <si>
    <t xml:space="preserve">memo: CET1 ratio (equity / RWA)</t>
  </si>
  <si>
    <t xml:space="preserve">memo: loan-to-deposit ratio</t>
  </si>
  <si>
    <t xml:space="preserve">Cash flow (SAR mn, forecast — sources &amp; uses of equity)</t>
  </si>
  <si>
    <t xml:space="preserve">For a bank the relevant flow is distributable capital: net income less the capital retained to fund RWA growth.</t>
  </si>
  <si>
    <t xml:space="preserve">− Increase in required CET1 capital</t>
  </si>
  <si>
    <t xml:space="preserve">Free cash flow to equity (FCFE)</t>
  </si>
  <si>
    <t xml:space="preserve">− Dividends paid</t>
  </si>
  <si>
    <t xml:space="preserve">Retained surplus (capital build)</t>
  </si>
  <si>
    <t xml:space="preserve">memo: dividend payout</t>
  </si>
  <si>
    <t xml:space="preserve">memo: FCFE per share (SAR)</t>
  </si>
  <si>
    <t xml:space="preserve">Summary financials (SAR mn)</t>
  </si>
  <si>
    <t xml:space="preserve">Every cell links to the statement sheets.</t>
  </si>
  <si>
    <t xml:space="preserve">Pre-provision profit</t>
  </si>
  <si>
    <t xml:space="preserve">Net financing</t>
  </si>
  <si>
    <t xml:space="preserve">RWA</t>
  </si>
  <si>
    <t xml:space="preserve">Monte Carlo — engine outputs</t>
  </si>
  <si>
    <t xml:space="preserve">50,000 paths · 16 factors · seed 42 · YZ-HAR width, Student-t(5) shape, zero drift (international).</t>
  </si>
  <si>
    <t xml:space="preserve">Percentile map (SAR/share)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</si>
  <si>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</si>
  <si>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</si>
  <si>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</si>
  <si>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</si>
  <si>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</si>
  <si>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</si>
  <si>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</si>
  <si>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Diffusion vol (annualized)</t>
  </si>
  <si>
    <t xml:space="preserve">Net 3-month drift</t>
  </si>
  <si>
    <t xml:space="preserve">Realized path vol (with 16 factors)</t>
  </si>
  <si>
    <t xml:space="preserve">Level-touch ladder</t>
  </si>
  <si>
    <t xml:space="preserve">Level</t>
  </si>
  <si>
    <t xml:space="preserve">T+20</t>
  </si>
  <si>
    <t xml:space="preserve">T+60</t>
  </si>
  <si>
    <t xml:space="preserve">DDM sensitivity — Ke × terminal growth</t>
  </si>
  <si>
    <t xml:space="preserve">DDM fair value (SAR/share) across the cost of equity and terminal growth. The §3.5-G WACC×g grid.</t>
  </si>
  <si>
    <t xml:space="preserve">Ke \ g</t>
  </si>
  <si>
    <t xml:space="preserve">Base case Ke 9.5% × g 5.0% is the centre cell; the grid shows the dividend lens’ sensitivity.</t>
  </si>
  <si>
    <t xml:space="preserve">Per-share &amp; ratios (the Data Miner panel)</t>
  </si>
  <si>
    <t xml:space="preserve">Links to statements / Assumptions.</t>
  </si>
  <si>
    <t xml:space="preserve">EPS (SAR)</t>
  </si>
  <si>
    <t xml:space="preserve">DPS (SAR)</t>
  </si>
  <si>
    <t xml:space="preserve">Book value/share (SAR)</t>
  </si>
  <si>
    <t xml:space="preserve">P/E (x)</t>
  </si>
  <si>
    <t xml:space="preserve">P/B (x)</t>
  </si>
  <si>
    <t xml:space="preserve">ROAE (%)</t>
  </si>
  <si>
    <t xml:space="preserve">ROAA (%)</t>
  </si>
  <si>
    <t xml:space="preserve">Dividend yield (%)</t>
  </si>
  <si>
    <t xml:space="preserve">CET1 ratio (%)</t>
  </si>
  <si>
    <t xml:space="preserve">Loan-to-deposit (%)</t>
  </si>
  <si>
    <t xml:space="preserve">Peer set &amp; sector</t>
  </si>
  <si>
    <t xml:space="preserve">Saudi + GCC large-cap banks. Al Rajhi commands a P/B premium justified by its ROE.</t>
  </si>
  <si>
    <t xml:space="preserve">ROAE</t>
  </si>
  <si>
    <t xml:space="preserve">Al Rajhi (1120)</t>
  </si>
  <si>
    <t xml:space="preserve">Saudi National Bank (1180)</t>
  </si>
  <si>
    <t xml:space="preserve">Riyad Bank (1010)</t>
  </si>
  <si>
    <t xml:space="preserve">SAB / Saudi Awwal (1060)</t>
  </si>
  <si>
    <t xml:space="preserve">Alinma Bank (1150)</t>
  </si>
  <si>
    <t xml:space="preserve">Banque Saudi Fransi (1050)</t>
  </si>
  <si>
    <t xml:space="preserve">QNB (Qatar)</t>
  </si>
  <si>
    <t xml:space="preserve">FAB (UAE)</t>
  </si>
  <si>
    <t xml:space="preserve">Emirates NBD (UAE)</t>
  </si>
  <si>
    <t xml:space="preserve">Al Rajhi’s ~3.5x P/B (vs sector ~1.6x) is ~120% premium, tracking its ~23% ROAE vs sector ~15%. Sourced: sell-side notes, argaam.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</si>
</sst>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%"/>
    <numFmt numFmtId="167" formatCode="#,##0.0"/>
    <numFmt numFmtId="168" formatCode="#,##0;\(#,##0\)"/>
    <numFmt numFmtId="169" formatCode="0.0\x"/>
    <numFmt numFmtId="170" formatCode="#,##0"/>
    <numFmt numFmtId="171" formatCode="0.00%"/>
    <numFmt numFmtId="172" formatCode="0.00"/>
    <numFmt numFmtId="173" formatCode="0"/>
    <numFmt numFmtId="174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AF0EE"/>
      </patternFill>
    </fill>
    <fill>
      <patternFill patternType="solid">
        <fgColor rgb="FFEAF0EE"/>
        <bgColor rgb="FFF6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1E6"/>
      <rgbColor rgb="FFEAF0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2"/>
  </cols>
  <sheetData>
    <row r="1" customFormat="false" ht="15.75" hidden="false" customHeight="true" outlineLevel="0" collapsed="false">
      <c r="A1" s="2" t="s">
        <v>15</v>
      </c>
    </row>
    <row r="2" customFormat="false" ht="15" hidden="false" customHeight="true" outlineLevel="0" collapsed="false">
      <c r="A2" s="3" t="s">
        <v>16</v>
      </c>
    </row>
    <row r="3" customFormat="false" ht="15" hidden="false" customHeight="true" outlineLevel="0" collapsed="false"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true" outlineLevel="0" collapsed="false">
      <c r="A4" s="4" t="s">
        <v>21</v>
      </c>
      <c r="B4" s="6" t="n">
        <v>52</v>
      </c>
      <c r="C4" s="7" t="n">
        <f aca="false">DDM!B15</f>
        <v>58.2303058667542</v>
      </c>
      <c r="D4" s="6" t="n">
        <v>80</v>
      </c>
      <c r="E4" s="8" t="n">
        <f aca="false">Assumptions!$B$32</f>
        <v>0.25</v>
      </c>
    </row>
    <row r="5" customFormat="false" ht="15" hidden="false" customHeight="true" outlineLevel="0" collapsed="false">
      <c r="A5" s="4" t="s">
        <v>22</v>
      </c>
      <c r="B5" s="6" t="n">
        <v>60</v>
      </c>
      <c r="C5" s="7" t="n">
        <f aca="false">DDM!B26</f>
        <v>76.8449522030575</v>
      </c>
      <c r="D5" s="6" t="n">
        <v>94</v>
      </c>
      <c r="E5" s="8" t="n">
        <f aca="false">Assumptions!$B$33</f>
        <v>0.25</v>
      </c>
    </row>
    <row r="6" customFormat="false" ht="15" hidden="false" customHeight="true" outlineLevel="0" collapsed="false">
      <c r="A6" s="4" t="s">
        <v>23</v>
      </c>
      <c r="B6" s="6" t="n">
        <v>54</v>
      </c>
      <c r="C6" s="7" t="n">
        <f aca="false">DCF!B17</f>
        <v>0</v>
      </c>
      <c r="D6" s="6" t="n">
        <v>84</v>
      </c>
      <c r="E6" s="8" t="n">
        <f aca="false">Assumptions!$B$34</f>
        <v>0.15</v>
      </c>
    </row>
    <row r="7" customFormat="false" ht="15" hidden="false" customHeight="true" outlineLevel="0" collapsed="false">
      <c r="A7" s="4" t="s">
        <v>24</v>
      </c>
      <c r="B7" s="6" t="n">
        <v>56</v>
      </c>
      <c r="C7" s="7" t="n">
        <f aca="false">'Relative &amp; Normalized'!C4</f>
        <v>75.6567872133597</v>
      </c>
      <c r="D7" s="6" t="n">
        <v>92</v>
      </c>
      <c r="E7" s="8" t="n">
        <f aca="false">Assumptions!$B$35</f>
        <v>0.15</v>
      </c>
    </row>
    <row r="8" customFormat="false" ht="15" hidden="false" customHeight="true" outlineLevel="0" collapsed="false">
      <c r="A8" s="4" t="s">
        <v>25</v>
      </c>
      <c r="B8" s="6" t="n">
        <v>54</v>
      </c>
      <c r="C8" s="7" t="n">
        <f aca="false">'Relative &amp; Normalized'!C9</f>
        <v>65.2575</v>
      </c>
      <c r="D8" s="6" t="n">
        <v>82</v>
      </c>
      <c r="E8" s="8" t="n">
        <f aca="false">Assumptions!$B$36</f>
        <v>0.2</v>
      </c>
    </row>
    <row r="9" customFormat="false" ht="15" hidden="false" customHeight="true" outlineLevel="0" collapsed="false">
      <c r="A9" s="9" t="s">
        <v>26</v>
      </c>
      <c r="B9" s="10" t="n">
        <f aca="false">SUMPRODUCT(B4:B8,$E$4:$E$8)</f>
        <v>55.3</v>
      </c>
      <c r="C9" s="10" t="n">
        <f aca="false">SUMPRODUCT(C4:C8,$E$4:$E$8)</f>
        <v>58.1688325994569</v>
      </c>
      <c r="D9" s="10" t="n">
        <f aca="false">SUMPRODUCT(D4:D8,$E$4:$E$8)</f>
        <v>86.3</v>
      </c>
      <c r="E9" s="11" t="n">
        <f aca="false">SUM(E4:E8)</f>
        <v>1</v>
      </c>
    </row>
    <row r="11" customFormat="false" ht="15" hidden="false" customHeight="true" outlineLevel="0" collapsed="false">
      <c r="A11" s="4" t="s">
        <v>27</v>
      </c>
      <c r="C11" s="7" t="n">
        <f aca="false">Assumptions!$B$4</f>
        <v>66</v>
      </c>
    </row>
    <row r="12" customFormat="false" ht="15" hidden="false" customHeight="true" outlineLevel="0" collapsed="false">
      <c r="A12" s="4" t="s">
        <v>28</v>
      </c>
      <c r="C12" s="12" t="n">
        <f aca="false">C9/C11-1</f>
        <v>-0.118654051523381</v>
      </c>
    </row>
    <row r="14" customFormat="false" ht="15" hidden="false" customHeight="true" outlineLevel="0" collapsed="false">
      <c r="A14" s="13" t="s">
        <v>29</v>
      </c>
    </row>
    <row r="15" customFormat="false" ht="15" hidden="false" customHeight="true" outlineLevel="0" collapsed="false">
      <c r="A15" s="1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</cols>
  <sheetData>
    <row r="1" customFormat="false" ht="15.7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3" customFormat="false" ht="15" hidden="false" customHeight="true" outlineLevel="0" collapsed="false">
      <c r="B3" s="5" t="s">
        <v>17</v>
      </c>
      <c r="C3" s="5" t="s">
        <v>18</v>
      </c>
      <c r="D3" s="5" t="s">
        <v>19</v>
      </c>
    </row>
    <row r="4" customFormat="false" ht="15" hidden="false" customHeight="true" outlineLevel="0" collapsed="false">
      <c r="A4" s="4" t="s">
        <v>21</v>
      </c>
      <c r="B4" s="7" t="n">
        <f aca="false">Summary!B4</f>
        <v>52</v>
      </c>
      <c r="C4" s="7" t="n">
        <f aca="false">Summary!C4</f>
        <v>58.2303058667542</v>
      </c>
      <c r="D4" s="7" t="n">
        <f aca="false">Summary!D4</f>
        <v>80</v>
      </c>
    </row>
    <row r="5" customFormat="false" ht="15" hidden="false" customHeight="true" outlineLevel="0" collapsed="false">
      <c r="A5" s="4" t="s">
        <v>22</v>
      </c>
      <c r="B5" s="7" t="n">
        <f aca="false">Summary!B5</f>
        <v>60</v>
      </c>
      <c r="C5" s="7" t="n">
        <f aca="false">Summary!C5</f>
        <v>76.8449522030575</v>
      </c>
      <c r="D5" s="7" t="n">
        <f aca="false">Summary!D5</f>
        <v>94</v>
      </c>
    </row>
    <row r="6" customFormat="false" ht="15" hidden="false" customHeight="true" outlineLevel="0" collapsed="false">
      <c r="A6" s="4" t="s">
        <v>23</v>
      </c>
      <c r="B6" s="7" t="n">
        <f aca="false">Summary!B6</f>
        <v>54</v>
      </c>
      <c r="C6" s="7" t="n">
        <f aca="false">Summary!C6</f>
        <v>0</v>
      </c>
      <c r="D6" s="7" t="n">
        <f aca="false">Summary!D6</f>
        <v>84</v>
      </c>
    </row>
    <row r="7" customFormat="false" ht="15" hidden="false" customHeight="true" outlineLevel="0" collapsed="false">
      <c r="A7" s="4" t="s">
        <v>24</v>
      </c>
      <c r="B7" s="7" t="n">
        <f aca="false">Summary!B7</f>
        <v>56</v>
      </c>
      <c r="C7" s="7" t="n">
        <f aca="false">Summary!C7</f>
        <v>75.6567872133597</v>
      </c>
      <c r="D7" s="7" t="n">
        <f aca="false">Summary!D7</f>
        <v>92</v>
      </c>
    </row>
    <row r="8" customFormat="false" ht="15" hidden="false" customHeight="true" outlineLevel="0" collapsed="false">
      <c r="A8" s="4" t="s">
        <v>25</v>
      </c>
      <c r="B8" s="7" t="n">
        <f aca="false">Summary!B8</f>
        <v>54</v>
      </c>
      <c r="C8" s="7" t="n">
        <f aca="false">Summary!C8</f>
        <v>65.2575</v>
      </c>
      <c r="D8" s="7" t="n">
        <f aca="false">Summary!D8</f>
        <v>82</v>
      </c>
    </row>
    <row r="9" customFormat="false" ht="15" hidden="false" customHeight="true" outlineLevel="0" collapsed="false">
      <c r="A9" s="14" t="s">
        <v>26</v>
      </c>
      <c r="B9" s="15" t="n">
        <f aca="false">Summary!B9</f>
        <v>55.3</v>
      </c>
      <c r="C9" s="15" t="n">
        <f aca="false">Summary!C9</f>
        <v>58.1688325994569</v>
      </c>
      <c r="D9" s="15" t="n">
        <f aca="false">Summary!D9</f>
        <v>86.3</v>
      </c>
    </row>
    <row r="10" customFormat="false" ht="15" hidden="false" customHeight="true" outlineLevel="0" collapsed="false">
      <c r="A10" s="4" t="s">
        <v>33</v>
      </c>
      <c r="C10" s="7" t="n">
        <f aca="false">Assumptions!$B$4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3" customFormat="false" ht="15" hidden="false" customHeight="true" outlineLevel="0" collapsed="false">
      <c r="A3" s="16" t="s">
        <v>36</v>
      </c>
      <c r="B3" s="17"/>
      <c r="C3" s="17"/>
      <c r="D3" s="17"/>
      <c r="E3" s="17"/>
      <c r="F3" s="17"/>
      <c r="G3" s="17"/>
      <c r="H3" s="17"/>
      <c r="I3" s="17"/>
    </row>
    <row r="4" customFormat="false" ht="15" hidden="false" customHeight="true" outlineLevel="0" collapsed="false">
      <c r="A4" s="4" t="s">
        <v>37</v>
      </c>
      <c r="B4" s="6" t="n">
        <v>66</v>
      </c>
    </row>
    <row r="5" customFormat="false" ht="15" hidden="false" customHeight="true" outlineLevel="0" collapsed="false">
      <c r="A5" s="4" t="s">
        <v>38</v>
      </c>
      <c r="B5" s="18" t="n">
        <v>6000</v>
      </c>
    </row>
    <row r="6" customFormat="false" ht="15" hidden="false" customHeight="true" outlineLevel="0" collapsed="false">
      <c r="A6" s="4" t="s">
        <v>39</v>
      </c>
      <c r="B6" s="19" t="n">
        <v>24792</v>
      </c>
    </row>
    <row r="7" customFormat="false" ht="15" hidden="false" customHeight="true" outlineLevel="0" collapsed="false">
      <c r="A7" s="4" t="s">
        <v>40</v>
      </c>
      <c r="B7" s="19" t="n">
        <v>113000</v>
      </c>
    </row>
    <row r="8" customFormat="false" ht="15" hidden="false" customHeight="true" outlineLevel="0" collapsed="false">
      <c r="A8" s="4" t="s">
        <v>41</v>
      </c>
      <c r="B8" s="19" t="n">
        <v>752800</v>
      </c>
    </row>
    <row r="9" customFormat="false" ht="15" hidden="false" customHeight="true" outlineLevel="0" collapsed="false">
      <c r="A9" s="4" t="s">
        <v>42</v>
      </c>
      <c r="B9" s="19" t="n">
        <v>1043000</v>
      </c>
    </row>
    <row r="10" customFormat="false" ht="15" hidden="false" customHeight="true" outlineLevel="0" collapsed="false">
      <c r="A10" s="4" t="s">
        <v>43</v>
      </c>
      <c r="B10" s="19" t="n">
        <v>174000</v>
      </c>
    </row>
    <row r="12" customFormat="false" ht="15" hidden="false" customHeight="true" outlineLevel="0" collapsed="false">
      <c r="A12" s="16" t="s">
        <v>44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true" outlineLevel="0" collapsed="false">
      <c r="A13" s="4" t="s">
        <v>45</v>
      </c>
      <c r="B13" s="20" t="n">
        <v>0.0525</v>
      </c>
    </row>
    <row r="14" customFormat="false" ht="15" hidden="false" customHeight="true" outlineLevel="0" collapsed="false">
      <c r="A14" s="4" t="s">
        <v>46</v>
      </c>
      <c r="B14" s="20" t="n">
        <v>0.0475</v>
      </c>
    </row>
    <row r="15" customFormat="false" ht="15" hidden="false" customHeight="true" outlineLevel="0" collapsed="false">
      <c r="A15" s="4" t="s">
        <v>47</v>
      </c>
      <c r="B15" s="21" t="n">
        <v>0.9</v>
      </c>
    </row>
    <row r="16" customFormat="false" ht="15" hidden="false" customHeight="true" outlineLevel="0" collapsed="false">
      <c r="A16" s="4" t="s">
        <v>48</v>
      </c>
      <c r="B16" s="12" t="n">
        <f aca="false">B13+B15*B14</f>
        <v>0.09525</v>
      </c>
    </row>
    <row r="17" customFormat="false" ht="15" hidden="false" customHeight="true" outlineLevel="0" collapsed="false">
      <c r="A17" s="4" t="s">
        <v>49</v>
      </c>
      <c r="B17" s="20" t="n">
        <v>0.05</v>
      </c>
    </row>
    <row r="18" customFormat="false" ht="15" hidden="false" customHeight="true" outlineLevel="0" collapsed="false">
      <c r="A18" s="4" t="s">
        <v>50</v>
      </c>
      <c r="B18" s="20" t="n">
        <v>0.115</v>
      </c>
    </row>
    <row r="20" customFormat="false" ht="15" hidden="false" customHeight="true" outlineLevel="0" collapsed="false">
      <c r="A20" s="16" t="s">
        <v>51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true" outlineLevel="0" collapsed="false">
      <c r="A21" s="4" t="s">
        <v>52</v>
      </c>
      <c r="B21" s="21" t="n">
        <v>3.5</v>
      </c>
    </row>
    <row r="22" customFormat="false" ht="15" hidden="false" customHeight="true" outlineLevel="0" collapsed="false">
      <c r="A22" s="4" t="s">
        <v>53</v>
      </c>
      <c r="B22" s="21" t="n">
        <v>1.6</v>
      </c>
    </row>
    <row r="23" customFormat="false" ht="15" hidden="false" customHeight="true" outlineLevel="0" collapsed="false">
      <c r="A23" s="4" t="s">
        <v>54</v>
      </c>
      <c r="B23" s="21" t="n">
        <v>10.5</v>
      </c>
    </row>
    <row r="24" customFormat="false" ht="15" hidden="false" customHeight="true" outlineLevel="0" collapsed="false">
      <c r="A24" s="4" t="s">
        <v>55</v>
      </c>
      <c r="B24" s="20" t="n">
        <v>0.21</v>
      </c>
    </row>
    <row r="25" customFormat="false" ht="15" hidden="false" customHeight="true" outlineLevel="0" collapsed="false">
      <c r="A25" s="4" t="s">
        <v>56</v>
      </c>
      <c r="B25" s="21" t="n">
        <v>16.5</v>
      </c>
    </row>
    <row r="27" customFormat="false" ht="15" hidden="false" customHeight="true" outlineLevel="0" collapsed="false">
      <c r="A27" s="16" t="s">
        <v>57</v>
      </c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true" outlineLevel="0" collapsed="false">
      <c r="A28" s="4" t="s">
        <v>58</v>
      </c>
      <c r="B28" s="20" t="n">
        <v>0.585</v>
      </c>
    </row>
    <row r="29" customFormat="false" ht="15" hidden="false" customHeight="true" outlineLevel="0" collapsed="false">
      <c r="A29" s="4" t="s">
        <v>59</v>
      </c>
      <c r="B29" s="20" t="n">
        <v>0.185</v>
      </c>
    </row>
    <row r="31" customFormat="false" ht="15" hidden="false" customHeight="true" outlineLevel="0" collapsed="false">
      <c r="A31" s="16" t="s">
        <v>60</v>
      </c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true" outlineLevel="0" collapsed="false">
      <c r="A32" s="4" t="s">
        <v>61</v>
      </c>
      <c r="B32" s="20" t="n">
        <v>0.25</v>
      </c>
    </row>
    <row r="33" customFormat="false" ht="15" hidden="false" customHeight="true" outlineLevel="0" collapsed="false">
      <c r="A33" s="4" t="s">
        <v>62</v>
      </c>
      <c r="B33" s="20" t="n">
        <v>0.25</v>
      </c>
    </row>
    <row r="34" customFormat="false" ht="15" hidden="false" customHeight="true" outlineLevel="0" collapsed="false">
      <c r="A34" s="4" t="s">
        <v>63</v>
      </c>
      <c r="B34" s="20" t="n">
        <v>0.15</v>
      </c>
    </row>
    <row r="35" customFormat="false" ht="15" hidden="false" customHeight="true" outlineLevel="0" collapsed="false">
      <c r="A35" s="4" t="s">
        <v>64</v>
      </c>
      <c r="B35" s="20" t="n">
        <v>0.15</v>
      </c>
    </row>
    <row r="36" customFormat="false" ht="15" hidden="false" customHeight="true" outlineLevel="0" collapsed="false">
      <c r="A36" s="4" t="s">
        <v>65</v>
      </c>
      <c r="B36" s="20" t="n">
        <v>0.2</v>
      </c>
    </row>
    <row r="38" customFormat="false" ht="15" hidden="false" customHeight="true" outlineLevel="0" collapsed="false">
      <c r="A38" s="16" t="s">
        <v>66</v>
      </c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true" outlineLevel="0" collapsed="false">
      <c r="A39" s="4" t="s">
        <v>67</v>
      </c>
      <c r="B39" s="20" t="n">
        <v>0.1781</v>
      </c>
    </row>
    <row r="40" customFormat="false" ht="15" hidden="false" customHeight="true" outlineLevel="0" collapsed="false">
      <c r="A40" s="4" t="s">
        <v>68</v>
      </c>
      <c r="B40" s="20" t="n">
        <v>0.012</v>
      </c>
    </row>
    <row r="42" customFormat="false" ht="15" hidden="false" customHeight="true" outlineLevel="0" collapsed="false">
      <c r="A42" s="16" t="s">
        <v>69</v>
      </c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true" outlineLevel="0" collapsed="false">
      <c r="E43" s="5" t="s">
        <v>70</v>
      </c>
      <c r="F43" s="5" t="s">
        <v>71</v>
      </c>
      <c r="G43" s="5" t="s">
        <v>72</v>
      </c>
      <c r="H43" s="5" t="s">
        <v>73</v>
      </c>
      <c r="I43" s="5" t="s">
        <v>74</v>
      </c>
    </row>
    <row r="44" customFormat="false" ht="15" hidden="false" customHeight="true" outlineLevel="0" collapsed="false">
      <c r="A44" s="4" t="s">
        <v>75</v>
      </c>
      <c r="E44" s="20" t="n">
        <v>0.055</v>
      </c>
      <c r="F44" s="20" t="n">
        <v>0.07</v>
      </c>
      <c r="G44" s="20" t="n">
        <v>0.08</v>
      </c>
      <c r="H44" s="20" t="n">
        <v>0.075</v>
      </c>
      <c r="I44" s="20" t="n">
        <v>0.07</v>
      </c>
    </row>
    <row r="45" customFormat="false" ht="15" hidden="false" customHeight="true" outlineLevel="0" collapsed="false">
      <c r="A45" s="4" t="s">
        <v>76</v>
      </c>
      <c r="E45" s="18" t="n">
        <v>3.45</v>
      </c>
      <c r="F45" s="18" t="n">
        <v>3.5</v>
      </c>
      <c r="G45" s="18" t="n">
        <v>3.4</v>
      </c>
      <c r="H45" s="18" t="n">
        <v>3.3</v>
      </c>
      <c r="I45" s="18" t="n">
        <v>3.25</v>
      </c>
    </row>
    <row r="46" customFormat="false" ht="15" hidden="false" customHeight="true" outlineLevel="0" collapsed="false">
      <c r="A46" s="4" t="s">
        <v>77</v>
      </c>
      <c r="E46" s="18" t="n">
        <v>23.5</v>
      </c>
      <c r="F46" s="18" t="n">
        <v>23.5</v>
      </c>
      <c r="G46" s="18" t="n">
        <v>23</v>
      </c>
      <c r="H46" s="18" t="n">
        <v>22.8</v>
      </c>
      <c r="I46" s="18" t="n">
        <v>22.5</v>
      </c>
    </row>
    <row r="47" customFormat="false" ht="15" hidden="false" customHeight="true" outlineLevel="0" collapsed="false">
      <c r="A47" s="4" t="s">
        <v>78</v>
      </c>
      <c r="E47" s="22" t="n">
        <v>35</v>
      </c>
      <c r="F47" s="22" t="n">
        <v>38</v>
      </c>
      <c r="G47" s="22" t="n">
        <v>40</v>
      </c>
      <c r="H47" s="22" t="n">
        <v>40</v>
      </c>
      <c r="I47" s="22" t="n">
        <v>40</v>
      </c>
    </row>
    <row r="48" customFormat="false" ht="15" hidden="false" customHeight="true" outlineLevel="0" collapsed="false">
      <c r="A48" s="4" t="s">
        <v>79</v>
      </c>
      <c r="E48" s="20" t="n">
        <v>0.14</v>
      </c>
      <c r="F48" s="20" t="n">
        <v>0.12</v>
      </c>
      <c r="G48" s="20" t="n">
        <v>0.11</v>
      </c>
      <c r="H48" s="20" t="n">
        <v>0.1</v>
      </c>
      <c r="I48" s="20" t="n">
        <v>0.1</v>
      </c>
    </row>
    <row r="49" customFormat="false" ht="15" hidden="false" customHeight="true" outlineLevel="0" collapsed="false">
      <c r="A49" s="4" t="s">
        <v>80</v>
      </c>
      <c r="E49" s="20" t="n">
        <v>0.03</v>
      </c>
      <c r="F49" s="20" t="n">
        <v>0.03</v>
      </c>
      <c r="G49" s="20" t="n">
        <v>0.04</v>
      </c>
      <c r="H49" s="20" t="n">
        <v>0.04</v>
      </c>
      <c r="I49" s="20" t="n">
        <v>0.04</v>
      </c>
    </row>
    <row r="50" customFormat="false" ht="15" hidden="false" customHeight="true" outlineLevel="0" collapsed="false">
      <c r="A50" s="4" t="s">
        <v>81</v>
      </c>
      <c r="E50" s="20" t="n">
        <v>0.45</v>
      </c>
      <c r="F50" s="20" t="n">
        <v>0.48</v>
      </c>
      <c r="G50" s="20" t="n">
        <v>0.5</v>
      </c>
      <c r="H50" s="20" t="n">
        <v>0.52</v>
      </c>
      <c r="I50" s="20" t="n">
        <v>0.55</v>
      </c>
    </row>
    <row r="51" customFormat="false" ht="15" hidden="false" customHeight="true" outlineLevel="0" collapsed="false">
      <c r="A51" s="4" t="s">
        <v>82</v>
      </c>
      <c r="E51" s="20" t="n">
        <v>0.05</v>
      </c>
      <c r="F51" s="20" t="n">
        <v>0.065</v>
      </c>
      <c r="G51" s="20" t="n">
        <v>0.075</v>
      </c>
      <c r="H51" s="20" t="n">
        <v>0.07</v>
      </c>
      <c r="I51" s="20" t="n">
        <v>0.065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83</v>
      </c>
    </row>
    <row r="2" customFormat="false" ht="15" hidden="false" customHeight="true" outlineLevel="0" collapsed="false">
      <c r="A2" s="3" t="s">
        <v>84</v>
      </c>
    </row>
    <row r="3" customFormat="false" ht="15" hidden="false" customHeight="true" outlineLevel="0" collapsed="false"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85</v>
      </c>
      <c r="E4" s="23" t="n">
        <f aca="false">'Income Statement'!E13</f>
        <v>27963.8378230359</v>
      </c>
      <c r="F4" s="23" t="n">
        <f aca="false">'Income Statement'!F13</f>
        <v>30104.0111976764</v>
      </c>
      <c r="G4" s="23" t="n">
        <f aca="false">'Income Statement'!G13</f>
        <v>31744.0012552238</v>
      </c>
      <c r="H4" s="23" t="n">
        <f aca="false">'Income Statement'!H13</f>
        <v>33480.4840045455</v>
      </c>
      <c r="I4" s="23" t="n">
        <f aca="false">'Income Statement'!I13</f>
        <v>35713.8666990535</v>
      </c>
    </row>
    <row r="5" customFormat="false" ht="15" hidden="false" customHeight="true" outlineLevel="0" collapsed="false">
      <c r="A5" s="4" t="s">
        <v>86</v>
      </c>
      <c r="E5" s="8" t="n">
        <f aca="false">Assumptions!E50</f>
        <v>0.45</v>
      </c>
      <c r="F5" s="8" t="n">
        <f aca="false">Assumptions!F50</f>
        <v>0.48</v>
      </c>
      <c r="G5" s="8" t="n">
        <f aca="false">Assumptions!G50</f>
        <v>0.5</v>
      </c>
      <c r="H5" s="8" t="n">
        <f aca="false">Assumptions!H50</f>
        <v>0.52</v>
      </c>
      <c r="I5" s="8" t="n">
        <f aca="false">Assumptions!I50</f>
        <v>0.55</v>
      </c>
    </row>
    <row r="6" customFormat="false" ht="15" hidden="false" customHeight="true" outlineLevel="0" collapsed="false">
      <c r="A6" s="4" t="s">
        <v>87</v>
      </c>
      <c r="E6" s="24" t="n">
        <f aca="false">E4*E5</f>
        <v>12583.7270203662</v>
      </c>
      <c r="F6" s="24" t="n">
        <f aca="false">F4*F5</f>
        <v>14449.9253748847</v>
      </c>
      <c r="G6" s="24" t="n">
        <f aca="false">G4*G5</f>
        <v>15872.0006276119</v>
      </c>
      <c r="H6" s="24" t="n">
        <f aca="false">H4*H5</f>
        <v>17409.8516823636</v>
      </c>
      <c r="I6" s="24" t="n">
        <f aca="false">I4*I5</f>
        <v>19642.6266844794</v>
      </c>
    </row>
    <row r="7" customFormat="false" ht="15" hidden="false" customHeight="true" outlineLevel="0" collapsed="false">
      <c r="A7" s="4" t="s">
        <v>88</v>
      </c>
      <c r="E7" s="25" t="n">
        <f aca="false">E6/Assumptions!$B$5</f>
        <v>2.0972878367277</v>
      </c>
      <c r="F7" s="25" t="n">
        <f aca="false">F6/Assumptions!$B$5</f>
        <v>2.40832089581411</v>
      </c>
      <c r="G7" s="25" t="n">
        <f aca="false">G6/Assumptions!$B$5</f>
        <v>2.64533343793531</v>
      </c>
      <c r="H7" s="25" t="n">
        <f aca="false">H6/Assumptions!$B$5</f>
        <v>2.90164194706061</v>
      </c>
      <c r="I7" s="25" t="n">
        <f aca="false">I6/Assumptions!$B$5</f>
        <v>3.2737711140799</v>
      </c>
    </row>
    <row r="8" customFormat="false" ht="15" hidden="false" customHeight="true" outlineLevel="0" collapsed="false">
      <c r="A8" s="4" t="s">
        <v>89</v>
      </c>
      <c r="E8" s="25" t="n">
        <f aca="false">1/(1+Assumptions!$B$16)^1</f>
        <v>0.913033553983109</v>
      </c>
      <c r="F8" s="25" t="n">
        <f aca="false">1/(1+Assumptions!$B$16)^2</f>
        <v>0.833630270699026</v>
      </c>
      <c r="G8" s="25" t="n">
        <f aca="false">1/(1+Assumptions!$B$16)^3</f>
        <v>0.761132408764233</v>
      </c>
      <c r="H8" s="25" t="n">
        <f aca="false">1/(1+Assumptions!$B$16)^4</f>
        <v>0.694939428225732</v>
      </c>
      <c r="I8" s="25" t="n">
        <f aca="false">1/(1+Assumptions!$B$16)^5</f>
        <v>0.63450301595593</v>
      </c>
    </row>
    <row r="9" customFormat="false" ht="15" hidden="false" customHeight="true" outlineLevel="0" collapsed="false">
      <c r="A9" s="4" t="s">
        <v>90</v>
      </c>
      <c r="E9" s="25" t="n">
        <f aca="false">E7*E8</f>
        <v>1.91489416729303</v>
      </c>
      <c r="F9" s="25" t="n">
        <f aca="false">F7*F8</f>
        <v>2.00764920030764</v>
      </c>
      <c r="G9" s="25" t="n">
        <f aca="false">G7*G8</f>
        <v>2.01344901160028</v>
      </c>
      <c r="H9" s="25" t="n">
        <f aca="false">H7*H8</f>
        <v>2.0164653956061</v>
      </c>
      <c r="I9" s="25" t="n">
        <f aca="false">I7*I8</f>
        <v>2.0772176454331</v>
      </c>
    </row>
    <row r="11" customFormat="false" ht="15" hidden="false" customHeight="true" outlineLevel="0" collapsed="false">
      <c r="A11" s="4" t="s">
        <v>91</v>
      </c>
      <c r="B11" s="26" t="n">
        <f aca="false">SUM(E9:I9)</f>
        <v>10.0296754202402</v>
      </c>
    </row>
    <row r="12" customFormat="false" ht="15" hidden="false" customHeight="true" outlineLevel="0" collapsed="false">
      <c r="A12" s="4" t="s">
        <v>92</v>
      </c>
      <c r="B12" s="25" t="n">
        <f aca="false">I7*(1+Assumptions!$B$17)</f>
        <v>3.4374596697839</v>
      </c>
    </row>
    <row r="13" customFormat="false" ht="15" hidden="false" customHeight="true" outlineLevel="0" collapsed="false">
      <c r="A13" s="4" t="s">
        <v>93</v>
      </c>
      <c r="B13" s="25" t="n">
        <f aca="false">B12/(Assumptions!$B$16-Assumptions!$B$17)</f>
        <v>75.9659595532353</v>
      </c>
    </row>
    <row r="14" customFormat="false" ht="15" hidden="false" customHeight="true" outlineLevel="0" collapsed="false">
      <c r="A14" s="4" t="s">
        <v>94</v>
      </c>
      <c r="B14" s="25" t="n">
        <f aca="false">B13/(1+Assumptions!$B$16)^5</f>
        <v>48.200630446514</v>
      </c>
    </row>
    <row r="15" customFormat="false" ht="15" hidden="false" customHeight="true" outlineLevel="0" collapsed="false">
      <c r="A15" s="9" t="s">
        <v>95</v>
      </c>
      <c r="B15" s="10" t="n">
        <f aca="false">B11+B14</f>
        <v>58.2303058667542</v>
      </c>
    </row>
    <row r="16" customFormat="false" ht="15" hidden="false" customHeight="true" outlineLevel="0" collapsed="false">
      <c r="A16" s="4" t="s">
        <v>96</v>
      </c>
      <c r="B16" s="27" t="n">
        <f aca="false">B14/B15</f>
        <v>0.82775849669774</v>
      </c>
    </row>
    <row r="18" customFormat="false" ht="15" hidden="false" customHeight="true" outlineLevel="0" collapsed="false">
      <c r="A18" s="16" t="s">
        <v>97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true" outlineLevel="0" collapsed="false">
      <c r="A19" s="4" t="s">
        <v>98</v>
      </c>
      <c r="E19" s="24" t="n">
        <f aca="false">Assumptions!$B$7</f>
        <v>113000</v>
      </c>
      <c r="F19" s="24" t="n">
        <f aca="false">E19+E4-E6</f>
        <v>128380.11080267</v>
      </c>
      <c r="G19" s="24" t="n">
        <f aca="false">F19+F4-F6</f>
        <v>144034.196625462</v>
      </c>
      <c r="H19" s="24" t="n">
        <f aca="false">G19+G4-G6</f>
        <v>159906.197253073</v>
      </c>
      <c r="I19" s="24" t="n">
        <f aca="false">H19+H4-H6</f>
        <v>175976.829575255</v>
      </c>
    </row>
    <row r="20" customFormat="false" ht="15" hidden="false" customHeight="true" outlineLevel="0" collapsed="false">
      <c r="A20" s="4" t="s">
        <v>99</v>
      </c>
      <c r="E20" s="24" t="n">
        <f aca="false">E4-Assumptions!$B$16*E19</f>
        <v>17200.5878230359</v>
      </c>
      <c r="F20" s="24" t="n">
        <f aca="false">F4-Assumptions!$B$16*F19</f>
        <v>17875.8056437221</v>
      </c>
      <c r="G20" s="24" t="n">
        <f aca="false">G4-Assumptions!$B$16*G19</f>
        <v>18024.7440266486</v>
      </c>
      <c r="H20" s="24" t="n">
        <f aca="false">H4-Assumptions!$B$16*H19</f>
        <v>18249.4187161902</v>
      </c>
      <c r="I20" s="24" t="n">
        <f aca="false">I4-Assumptions!$B$16*I19</f>
        <v>18952.0736820104</v>
      </c>
    </row>
    <row r="21" customFormat="false" ht="15" hidden="false" customHeight="true" outlineLevel="0" collapsed="false">
      <c r="A21" s="4" t="s">
        <v>100</v>
      </c>
      <c r="E21" s="24" t="n">
        <f aca="false">E20/(1+Assumptions!$B$16)^1</f>
        <v>15704.7138306651</v>
      </c>
      <c r="F21" s="24" t="n">
        <f aca="false">F20/(1+Assumptions!$B$16)^2</f>
        <v>14901.8126977393</v>
      </c>
      <c r="G21" s="24" t="n">
        <f aca="false">G20/(1+Assumptions!$B$16)^3</f>
        <v>13719.2168383617</v>
      </c>
      <c r="H21" s="24" t="n">
        <f aca="false">H20/(1+Assumptions!$B$16)^4</f>
        <v>12682.2406080812</v>
      </c>
      <c r="I21" s="24" t="n">
        <f aca="false">I20/(1+Assumptions!$B$16)^5</f>
        <v>12025.1479098546</v>
      </c>
    </row>
    <row r="22" customFormat="false" ht="15" hidden="false" customHeight="true" outlineLevel="0" collapsed="false">
      <c r="A22" s="4" t="s">
        <v>101</v>
      </c>
      <c r="B22" s="24" t="n">
        <f aca="false">SUM(E21:I21)</f>
        <v>69033.1318847019</v>
      </c>
    </row>
    <row r="23" customFormat="false" ht="15" hidden="false" customHeight="true" outlineLevel="0" collapsed="false">
      <c r="A23" s="4" t="s">
        <v>102</v>
      </c>
      <c r="B23" s="24" t="n">
        <f aca="false">I20*(1+Assumptions!$B$17)/(Assumptions!$B$16-Assumptions!$B$17)</f>
        <v>439771.875494165</v>
      </c>
    </row>
    <row r="24" customFormat="false" ht="15" hidden="false" customHeight="true" outlineLevel="0" collapsed="false">
      <c r="A24" s="4" t="s">
        <v>103</v>
      </c>
      <c r="B24" s="24" t="n">
        <f aca="false">B23/(1+Assumptions!$B$16)^5</f>
        <v>279036.581333643</v>
      </c>
    </row>
    <row r="25" customFormat="false" ht="15" hidden="false" customHeight="true" outlineLevel="0" collapsed="false">
      <c r="A25" s="4" t="s">
        <v>104</v>
      </c>
      <c r="B25" s="24" t="n">
        <f aca="false">Assumptions!$B$7+B22+B24</f>
        <v>461069.713218345</v>
      </c>
    </row>
    <row r="26" customFormat="false" ht="15" hidden="false" customHeight="true" outlineLevel="0" collapsed="false">
      <c r="A26" s="9" t="s">
        <v>105</v>
      </c>
      <c r="B26" s="10" t="n">
        <f aca="false">B25/Assumptions!$B$5</f>
        <v>76.8449522030575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107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111</v>
      </c>
      <c r="B4" s="24" t="n">
        <f aca="false">'Income Statement'!B6*0.58</f>
        <v>16182</v>
      </c>
      <c r="C4" s="24" t="n">
        <f aca="false">'Income Statement'!C6*0.58</f>
        <v>18589</v>
      </c>
      <c r="D4" s="24" t="n">
        <f aca="false">'Income Statement'!D6*0.58</f>
        <v>22674.52</v>
      </c>
      <c r="E4" s="24" t="n">
        <f aca="false">'Income Statement'!E6*0.58</f>
        <v>26008.87848375</v>
      </c>
      <c r="F4" s="24" t="n">
        <f aca="false">'Income Statement'!F6*0.58</f>
        <v>28158.003911625</v>
      </c>
      <c r="G4" s="24" t="n">
        <f aca="false">'Income Statement'!G6*0.58</f>
        <v>29681.0019659045</v>
      </c>
      <c r="H4" s="24" t="n">
        <f aca="false">'Income Statement'!H6*0.58</f>
        <v>31283.8260786659</v>
      </c>
      <c r="I4" s="24" t="n">
        <f aca="false">'Income Statement'!I6*0.58</f>
        <v>33257.7546013134</v>
      </c>
    </row>
    <row r="5" customFormat="false" ht="15" hidden="false" customHeight="true" outlineLevel="0" collapsed="false">
      <c r="A5" s="4" t="s">
        <v>112</v>
      </c>
      <c r="B5" s="24" t="n">
        <f aca="false">'Income Statement'!B6*0.2</f>
        <v>5580</v>
      </c>
      <c r="C5" s="24" t="n">
        <f aca="false">'Income Statement'!C6*0.2</f>
        <v>6410</v>
      </c>
      <c r="D5" s="24" t="n">
        <f aca="false">'Income Statement'!D6*0.2</f>
        <v>7818.8</v>
      </c>
      <c r="E5" s="24" t="n">
        <f aca="false">'Income Statement'!E6*0.2</f>
        <v>8968.5787875</v>
      </c>
      <c r="F5" s="24" t="n">
        <f aca="false">'Income Statement'!F6*0.2</f>
        <v>9709.65652125</v>
      </c>
      <c r="G5" s="24" t="n">
        <f aca="false">'Income Statement'!G6*0.2</f>
        <v>10234.828264105</v>
      </c>
      <c r="H5" s="24" t="n">
        <f aca="false">'Income Statement'!H6*0.2</f>
        <v>10787.5262340227</v>
      </c>
      <c r="I5" s="24" t="n">
        <f aca="false">'Income Statement'!I6*0.2</f>
        <v>11468.1912418322</v>
      </c>
    </row>
    <row r="6" customFormat="false" ht="15" hidden="false" customHeight="true" outlineLevel="0" collapsed="false">
      <c r="A6" s="4" t="s">
        <v>113</v>
      </c>
      <c r="B6" s="24" t="n">
        <f aca="false">'Income Statement'!B6*0.15</f>
        <v>4185</v>
      </c>
      <c r="C6" s="24" t="n">
        <f aca="false">'Income Statement'!C6*0.15</f>
        <v>4807.5</v>
      </c>
      <c r="D6" s="24" t="n">
        <f aca="false">'Income Statement'!D6*0.15</f>
        <v>5864.1</v>
      </c>
      <c r="E6" s="24" t="n">
        <f aca="false">'Income Statement'!E6*0.15</f>
        <v>6726.434090625</v>
      </c>
      <c r="F6" s="24" t="n">
        <f aca="false">'Income Statement'!F6*0.15</f>
        <v>7282.2423909375</v>
      </c>
      <c r="G6" s="24" t="n">
        <f aca="false">'Income Statement'!G6*0.15</f>
        <v>7676.12119807875</v>
      </c>
      <c r="H6" s="24" t="n">
        <f aca="false">'Income Statement'!H6*0.15</f>
        <v>8090.64467551705</v>
      </c>
      <c r="I6" s="24" t="n">
        <f aca="false">'Income Statement'!I6*0.15</f>
        <v>8601.14343137415</v>
      </c>
    </row>
    <row r="7" customFormat="false" ht="15" hidden="false" customHeight="true" outlineLevel="0" collapsed="false">
      <c r="A7" s="4" t="s">
        <v>114</v>
      </c>
      <c r="B7" s="24" t="n">
        <f aca="false">'Income Statement'!B6*0.07</f>
        <v>1953</v>
      </c>
      <c r="C7" s="24" t="n">
        <f aca="false">'Income Statement'!C6*0.07</f>
        <v>2243.5</v>
      </c>
      <c r="D7" s="24" t="n">
        <f aca="false">'Income Statement'!D6*0.07</f>
        <v>2736.58</v>
      </c>
      <c r="E7" s="24" t="n">
        <f aca="false">'Income Statement'!E6*0.07</f>
        <v>3139.002575625</v>
      </c>
      <c r="F7" s="24" t="n">
        <f aca="false">'Income Statement'!F6*0.07</f>
        <v>3398.3797824375</v>
      </c>
      <c r="G7" s="24" t="n">
        <f aca="false">'Income Statement'!G6*0.07</f>
        <v>3582.18989243675</v>
      </c>
      <c r="H7" s="24" t="n">
        <f aca="false">'Income Statement'!H6*0.07</f>
        <v>3775.63418190796</v>
      </c>
      <c r="I7" s="24" t="n">
        <f aca="false">'Income Statement'!I6*0.07</f>
        <v>4013.86693464127</v>
      </c>
    </row>
    <row r="8" customFormat="false" ht="15" hidden="false" customHeight="true" outlineLevel="0" collapsed="false">
      <c r="A8" s="14" t="s">
        <v>115</v>
      </c>
      <c r="B8" s="28" t="n">
        <f aca="false">'Income Statement'!B6</f>
        <v>27900</v>
      </c>
      <c r="C8" s="28" t="n">
        <f aca="false">'Income Statement'!C6</f>
        <v>32050</v>
      </c>
      <c r="D8" s="28" t="n">
        <f aca="false">'Income Statement'!D6</f>
        <v>39094</v>
      </c>
      <c r="E8" s="28" t="n">
        <f aca="false">'Income Statement'!E6</f>
        <v>44842.8939375</v>
      </c>
      <c r="F8" s="28" t="n">
        <f aca="false">'Income Statement'!F6</f>
        <v>48548.28260625</v>
      </c>
      <c r="G8" s="28" t="n">
        <f aca="false">'Income Statement'!G6</f>
        <v>51174.141320525</v>
      </c>
      <c r="H8" s="28" t="n">
        <f aca="false">'Income Statement'!H6</f>
        <v>53937.6311701136</v>
      </c>
      <c r="I8" s="28" t="n">
        <f aca="false">'Income Statement'!I6</f>
        <v>57340.956209161</v>
      </c>
    </row>
    <row r="9" customFormat="false" ht="15" hidden="false" customHeight="true" outlineLevel="0" collapsed="false">
      <c r="A9" s="29" t="s">
        <v>116</v>
      </c>
      <c r="B9" s="30" t="n">
        <f aca="false">B4/B8</f>
        <v>0.58</v>
      </c>
      <c r="C9" s="30" t="n">
        <f aca="false">C4/C8</f>
        <v>0.58</v>
      </c>
      <c r="D9" s="30" t="n">
        <f aca="false">D4/D8</f>
        <v>0.58</v>
      </c>
      <c r="E9" s="30" t="n">
        <f aca="false">E4/E8</f>
        <v>0.58</v>
      </c>
      <c r="F9" s="30" t="n">
        <f aca="false">F4/F8</f>
        <v>0.58</v>
      </c>
      <c r="G9" s="30" t="n">
        <f aca="false">G4/G8</f>
        <v>0.58</v>
      </c>
      <c r="H9" s="30" t="n">
        <f aca="false">H4/H8</f>
        <v>0.58</v>
      </c>
      <c r="I9" s="30" t="n">
        <f aca="false">I4/I8</f>
        <v>0.58</v>
      </c>
    </row>
    <row r="10" customFormat="false" ht="15" hidden="false" customHeight="true" outlineLevel="0" collapsed="false">
      <c r="A10" s="29" t="s">
        <v>117</v>
      </c>
      <c r="B10" s="31" t="n">
        <f aca="false">'Balance Sheet'!B5</f>
        <v>602000</v>
      </c>
      <c r="C10" s="31" t="n">
        <f aca="false">'Balance Sheet'!C5</f>
        <v>693400</v>
      </c>
      <c r="D10" s="31" t="n">
        <f aca="false">'Balance Sheet'!D5</f>
        <v>752800</v>
      </c>
      <c r="E10" s="31" t="n">
        <f aca="false">'Balance Sheet'!E5</f>
        <v>794204</v>
      </c>
      <c r="F10" s="31" t="n">
        <f aca="false">'Balance Sheet'!F5</f>
        <v>849798.28</v>
      </c>
      <c r="G10" s="31" t="n">
        <f aca="false">'Balance Sheet'!G5</f>
        <v>917782.1424</v>
      </c>
      <c r="H10" s="31" t="n">
        <f aca="false">'Balance Sheet'!H5</f>
        <v>986615.80308</v>
      </c>
      <c r="I10" s="31" t="n">
        <f aca="false">'Balance Sheet'!I5</f>
        <v>1055678.9092956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42"/>
    <col collapsed="false" customWidth="true" hidden="false" outlineLevel="0" max="3" min="3" style="1" width="13"/>
  </cols>
  <sheetData>
    <row r="1" customFormat="false" ht="15.75" hidden="false" customHeight="true" outlineLevel="0" collapsed="false">
      <c r="A1" s="2" t="s">
        <v>118</v>
      </c>
    </row>
    <row r="2" customFormat="false" ht="15" hidden="false" customHeight="true" outlineLevel="0" collapsed="false">
      <c r="A2" s="3" t="s">
        <v>119</v>
      </c>
    </row>
    <row r="3" customFormat="false" ht="15" hidden="false" customHeight="true" outlineLevel="0" collapsed="false">
      <c r="B3" s="5" t="s">
        <v>120</v>
      </c>
      <c r="C3" s="5" t="s">
        <v>121</v>
      </c>
    </row>
    <row r="4" customFormat="false" ht="15" hidden="false" customHeight="true" outlineLevel="0" collapsed="false">
      <c r="A4" s="4" t="s">
        <v>122</v>
      </c>
      <c r="B4" s="4" t="s">
        <v>123</v>
      </c>
      <c r="C4" s="25" t="n">
        <f aca="false">(Assumptions!$B$24-Assumptions!$B$17)/(Assumptions!$B$16-Assumptions!$B$17)*('Balance Sheet'!E13/Assumptions!$B$5)</f>
        <v>75.6567872133597</v>
      </c>
    </row>
    <row r="5" customFormat="false" ht="15" hidden="false" customHeight="true" outlineLevel="0" collapsed="false">
      <c r="A5" s="4" t="s">
        <v>124</v>
      </c>
      <c r="B5" s="4" t="s">
        <v>125</v>
      </c>
      <c r="C5" s="32" t="n">
        <f aca="false">(Assumptions!$B$24-Assumptions!$B$17)/(Assumptions!$B$16-Assumptions!$B$17)</f>
        <v>3.53591160220994</v>
      </c>
    </row>
    <row r="6" customFormat="false" ht="15" hidden="false" customHeight="true" outlineLevel="0" collapsed="false">
      <c r="A6" s="4" t="s">
        <v>126</v>
      </c>
      <c r="B6" s="4" t="s">
        <v>127</v>
      </c>
      <c r="C6" s="25" t="n">
        <f aca="false">Assumptions!$B$21*('Balance Sheet'!E13/Assumptions!$B$5)</f>
        <v>74.888397968224</v>
      </c>
    </row>
    <row r="7" customFormat="false" ht="15" hidden="false" customHeight="true" outlineLevel="0" collapsed="false">
      <c r="A7" s="4" t="s">
        <v>128</v>
      </c>
      <c r="B7" s="4" t="s">
        <v>129</v>
      </c>
      <c r="C7" s="25" t="n">
        <f aca="false">Assumptions!$B$22*('Balance Sheet'!E13/Assumptions!$B$5)</f>
        <v>34.2346962140453</v>
      </c>
    </row>
    <row r="8" customFormat="false" ht="15" hidden="false" customHeight="true" outlineLevel="0" collapsed="false">
      <c r="A8" s="4" t="s">
        <v>130</v>
      </c>
      <c r="B8" s="4" t="s">
        <v>131</v>
      </c>
      <c r="C8" s="25" t="n">
        <f aca="false">Assumptions!$B$23*('Income Statement'!E13/Assumptions!$B$5)</f>
        <v>48.9367161903129</v>
      </c>
    </row>
    <row r="9" customFormat="false" ht="15" hidden="false" customHeight="true" outlineLevel="0" collapsed="false">
      <c r="A9" s="4" t="s">
        <v>132</v>
      </c>
      <c r="B9" s="4" t="s">
        <v>133</v>
      </c>
      <c r="C9" s="25" t="n">
        <f aca="false">Assumptions!$B$24*('Balance Sheet'!D13/Assumptions!$B$5)*Assumptions!$B$25</f>
        <v>65.2575</v>
      </c>
    </row>
    <row r="10" customFormat="false" ht="15" hidden="false" customHeight="true" outlineLevel="0" collapsed="false">
      <c r="A10" s="4" t="s">
        <v>134</v>
      </c>
      <c r="B10" s="4" t="s">
        <v>135</v>
      </c>
      <c r="C10" s="25" t="n">
        <f aca="false">Assumptions!$B$24*('Balance Sheet'!D13/Assumptions!$B$5)</f>
        <v>3.955</v>
      </c>
    </row>
    <row r="12" customFormat="false" ht="15" hidden="false" customHeight="true" outlineLevel="0" collapsed="false">
      <c r="A12" s="3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34" t="s">
        <v>137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35" t="s">
        <v>138</v>
      </c>
      <c r="B2" s="35"/>
      <c r="C2" s="35"/>
      <c r="D2" s="35"/>
      <c r="E2" s="35"/>
      <c r="F2" s="35"/>
      <c r="G2" s="35"/>
    </row>
    <row r="3" customFormat="false" ht="15" hidden="false" customHeight="true" outlineLevel="0" collapsed="false">
      <c r="E3" s="5"/>
      <c r="F3" s="5"/>
      <c r="G3" s="5"/>
      <c r="H3" s="5"/>
      <c r="I3" s="5"/>
    </row>
    <row r="4" customFormat="false" ht="15" hidden="false" customHeight="true" outlineLevel="0" collapsed="false">
      <c r="A4" s="36" t="s">
        <v>139</v>
      </c>
      <c r="B4" s="37"/>
      <c r="E4" s="23"/>
      <c r="F4" s="23"/>
      <c r="G4" s="23"/>
      <c r="H4" s="23"/>
      <c r="I4" s="23"/>
    </row>
    <row r="5" customFormat="false" ht="15" hidden="false" customHeight="true" outlineLevel="0" collapsed="false">
      <c r="A5" s="38" t="s">
        <v>140</v>
      </c>
      <c r="B5" s="39" t="n">
        <f aca="false">Assumptions!B13</f>
        <v>0.0525</v>
      </c>
      <c r="E5" s="23"/>
      <c r="F5" s="23"/>
      <c r="G5" s="23"/>
      <c r="H5" s="23"/>
      <c r="I5" s="23"/>
    </row>
    <row r="6" customFormat="false" ht="15" hidden="false" customHeight="true" outlineLevel="0" collapsed="false">
      <c r="A6" s="38" t="s">
        <v>46</v>
      </c>
      <c r="B6" s="39" t="n">
        <f aca="false">Assumptions!B14</f>
        <v>0.0475</v>
      </c>
      <c r="E6" s="24"/>
      <c r="F6" s="24"/>
      <c r="G6" s="24"/>
      <c r="H6" s="24"/>
      <c r="I6" s="24"/>
    </row>
    <row r="7" customFormat="false" ht="15" hidden="false" customHeight="true" outlineLevel="0" collapsed="false">
      <c r="A7" s="38" t="s">
        <v>141</v>
      </c>
      <c r="B7" s="40" t="n">
        <f aca="false">Assumptions!B15</f>
        <v>0.9</v>
      </c>
      <c r="E7" s="24"/>
      <c r="F7" s="24"/>
      <c r="G7" s="24"/>
      <c r="H7" s="24"/>
      <c r="I7" s="24"/>
    </row>
    <row r="8" customFormat="false" ht="15" hidden="false" customHeight="true" outlineLevel="0" collapsed="false">
      <c r="A8" s="41" t="s">
        <v>142</v>
      </c>
      <c r="B8" s="42" t="n">
        <f aca="false">Assumptions!B16</f>
        <v>0.09525</v>
      </c>
      <c r="E8" s="43"/>
      <c r="F8" s="43"/>
      <c r="G8" s="43"/>
      <c r="H8" s="43"/>
      <c r="I8" s="43"/>
    </row>
    <row r="9" customFormat="false" ht="15" hidden="false" customHeight="true" outlineLevel="0" collapsed="false">
      <c r="A9" s="38" t="s">
        <v>143</v>
      </c>
      <c r="B9" s="39" t="n">
        <f aca="false">Assumptions!B17</f>
        <v>0.05</v>
      </c>
      <c r="E9" s="25"/>
      <c r="F9" s="25"/>
      <c r="G9" s="25"/>
      <c r="H9" s="25"/>
      <c r="I9" s="25"/>
    </row>
    <row r="10" customFormat="false" ht="15" hidden="false" customHeight="true" outlineLevel="0" collapsed="false">
      <c r="A10" s="4"/>
      <c r="E10" s="24"/>
      <c r="F10" s="24"/>
      <c r="G10" s="24"/>
      <c r="H10" s="24"/>
      <c r="I10" s="24"/>
    </row>
    <row r="11" customFormat="false" ht="15" hidden="false" customHeight="true" outlineLevel="0" collapsed="false">
      <c r="A11" s="36" t="s">
        <v>144</v>
      </c>
      <c r="C11" s="44" t="s">
        <v>70</v>
      </c>
      <c r="D11" s="44" t="s">
        <v>71</v>
      </c>
      <c r="E11" s="44" t="s">
        <v>72</v>
      </c>
      <c r="F11" s="44" t="s">
        <v>73</v>
      </c>
      <c r="G11" s="44" t="s">
        <v>74</v>
      </c>
    </row>
    <row r="12" customFormat="false" ht="15" hidden="false" customHeight="true" outlineLevel="0" collapsed="false">
      <c r="A12" s="38" t="s">
        <v>145</v>
      </c>
      <c r="B12" s="43"/>
      <c r="C12" s="45" t="n">
        <f aca="false">'Income Statement'!E13</f>
        <v>27963.8378230359</v>
      </c>
      <c r="D12" s="45" t="n">
        <f aca="false">'Income Statement'!F13</f>
        <v>30104.0111976764</v>
      </c>
      <c r="E12" s="45" t="n">
        <f aca="false">'Income Statement'!G13</f>
        <v>31744.0012552238</v>
      </c>
      <c r="F12" s="45" t="n">
        <f aca="false">'Income Statement'!H13</f>
        <v>33480.4840045455</v>
      </c>
      <c r="G12" s="45" t="n">
        <f aca="false">'Income Statement'!I13</f>
        <v>35713.8666990535</v>
      </c>
    </row>
    <row r="13" customFormat="false" ht="15" hidden="false" customHeight="true" outlineLevel="0" collapsed="false">
      <c r="A13" s="38" t="s">
        <v>146</v>
      </c>
      <c r="B13" s="24"/>
      <c r="C13" s="45" t="n">
        <f aca="false">'Balance Sheet'!E18</f>
        <v>640905.525</v>
      </c>
      <c r="D13" s="45" t="n">
        <f aca="false">'Balance Sheet'!F18</f>
        <v>681298.75125</v>
      </c>
      <c r="E13" s="45" t="n">
        <f aca="false">'Balance Sheet'!G18</f>
        <v>731188.7115975</v>
      </c>
      <c r="F13" s="45" t="n">
        <f aca="false">'Balance Sheet'!H18</f>
        <v>781780.607205975</v>
      </c>
      <c r="G13" s="45" t="n">
        <f aca="false">'Balance Sheet'!I18</f>
        <v>832662.612477262</v>
      </c>
    </row>
    <row r="14" customFormat="false" ht="15" hidden="false" customHeight="true" outlineLevel="0" collapsed="false">
      <c r="A14" s="38" t="s">
        <v>147</v>
      </c>
      <c r="B14" s="24"/>
      <c r="C14" s="46" t="n">
        <f aca="false">Assumptions!$B$29*C13</f>
        <v>118567.522125</v>
      </c>
      <c r="D14" s="46" t="n">
        <f aca="false">Assumptions!$B$29*D13</f>
        <v>126040.26898125</v>
      </c>
      <c r="E14" s="46" t="n">
        <f aca="false">Assumptions!$B$29*E13</f>
        <v>135269.911645538</v>
      </c>
      <c r="F14" s="46" t="n">
        <f aca="false">Assumptions!$B$29*F13</f>
        <v>144629.412333105</v>
      </c>
      <c r="G14" s="46" t="n">
        <f aca="false">Assumptions!$B$29*G13</f>
        <v>154042.583308293</v>
      </c>
    </row>
    <row r="15" customFormat="false" ht="15" hidden="false" customHeight="true" outlineLevel="0" collapsed="false">
      <c r="A15" s="38" t="s">
        <v>148</v>
      </c>
      <c r="B15" s="24"/>
      <c r="C15" s="46" t="n">
        <f aca="false">-(C14-Assumptions!$B$29*'Balance Sheet'!D18)</f>
        <v>-5688.84712499999</v>
      </c>
      <c r="D15" s="46" t="n">
        <f aca="false">-(D14-C14)</f>
        <v>-7472.74685625003</v>
      </c>
      <c r="E15" s="46" t="n">
        <f aca="false">-(E14-D14)</f>
        <v>-9229.64266428749</v>
      </c>
      <c r="F15" s="46" t="n">
        <f aca="false">-(F14-E14)</f>
        <v>-9359.50068756787</v>
      </c>
      <c r="G15" s="46" t="n">
        <f aca="false">-(G14-F14)</f>
        <v>-9413.17097518811</v>
      </c>
    </row>
    <row r="16" customFormat="false" ht="15" hidden="false" customHeight="true" outlineLevel="0" collapsed="false">
      <c r="A16" s="47" t="s">
        <v>149</v>
      </c>
      <c r="B16" s="43"/>
      <c r="C16" s="48" t="n">
        <f aca="false">C12+C15</f>
        <v>22274.990698036</v>
      </c>
      <c r="D16" s="48" t="n">
        <f aca="false">D12+D15</f>
        <v>22631.2643414264</v>
      </c>
      <c r="E16" s="48" t="n">
        <f aca="false">E12+E15</f>
        <v>22514.3585909363</v>
      </c>
      <c r="F16" s="48" t="n">
        <f aca="false">F12+F15</f>
        <v>24120.9833169776</v>
      </c>
      <c r="G16" s="48" t="n">
        <f aca="false">G12+G15</f>
        <v>26300.6957238654</v>
      </c>
    </row>
    <row r="17" customFormat="false" ht="15" hidden="false" customHeight="true" outlineLevel="0" collapsed="false">
      <c r="A17" s="49" t="s">
        <v>150</v>
      </c>
      <c r="B17" s="10"/>
      <c r="C17" s="50" t="s">
        <v>151</v>
      </c>
      <c r="D17" s="50" t="s">
        <v>152</v>
      </c>
      <c r="E17" s="50" t="s">
        <v>153</v>
      </c>
      <c r="F17" s="50" t="s">
        <v>154</v>
      </c>
      <c r="G17" s="50" t="s">
        <v>155</v>
      </c>
    </row>
    <row r="18" customFormat="false" ht="15" hidden="false" customHeight="true" outlineLevel="0" collapsed="false">
      <c r="A18" s="38" t="s">
        <v>156</v>
      </c>
      <c r="B18" s="27"/>
      <c r="C18" s="51" t="n">
        <f aca="false">1/(1+$B$8)^C17</f>
        <v>0.913033553983109</v>
      </c>
      <c r="D18" s="51" t="n">
        <f aca="false">1/(1+$B$8)^D17</f>
        <v>0.833630270699026</v>
      </c>
      <c r="E18" s="51" t="n">
        <f aca="false">1/(1+$B$8)^E17</f>
        <v>0.761132408764233</v>
      </c>
      <c r="F18" s="51" t="n">
        <f aca="false">1/(1+$B$8)^F17</f>
        <v>0.694939428225732</v>
      </c>
      <c r="G18" s="51" t="n">
        <f aca="false">1/(1+$B$8)^G17</f>
        <v>0.63450301595593</v>
      </c>
    </row>
    <row r="19" customFormat="false" ht="15" hidden="false" customHeight="true" outlineLevel="0" collapsed="false">
      <c r="A19" s="52" t="s">
        <v>157</v>
      </c>
      <c r="C19" s="53" t="n">
        <f aca="false">C16*C18</f>
        <v>20337.8139219685</v>
      </c>
      <c r="D19" s="53" t="n">
        <f aca="false">D16*D18</f>
        <v>18866.1070192045</v>
      </c>
      <c r="E19" s="53" t="n">
        <f aca="false">E16*E18</f>
        <v>17136.407986101</v>
      </c>
      <c r="F19" s="53" t="n">
        <f aca="false">F16*F18</f>
        <v>16762.6223545428</v>
      </c>
      <c r="G19" s="53" t="n">
        <f aca="false">G16*G18</f>
        <v>16687.8707585318</v>
      </c>
    </row>
    <row r="21" customFormat="false" ht="15" hidden="false" customHeight="true" outlineLevel="0" collapsed="false">
      <c r="A21" s="38" t="s">
        <v>158</v>
      </c>
      <c r="B21" s="46" t="n">
        <f aca="false">SUM(C19:G19)</f>
        <v>89790.8220403486</v>
      </c>
    </row>
    <row r="22" customFormat="false" ht="15" hidden="false" customHeight="true" outlineLevel="0" collapsed="false">
      <c r="A22" s="38" t="s">
        <v>159</v>
      </c>
      <c r="B22" s="46" t="n">
        <f aca="false">G16*(1+$B$9)</f>
        <v>27615.7305100586</v>
      </c>
    </row>
    <row r="23" customFormat="false" ht="15" hidden="false" customHeight="true" outlineLevel="0" collapsed="false">
      <c r="A23" s="38" t="s">
        <v>160</v>
      </c>
      <c r="B23" s="46" t="n">
        <f aca="false">B22/($B$8-$B$9)</f>
        <v>610292.386962622</v>
      </c>
    </row>
    <row r="24" customFormat="false" ht="15" hidden="false" customHeight="true" outlineLevel="0" collapsed="false">
      <c r="A24" s="38" t="s">
        <v>161</v>
      </c>
      <c r="B24" s="46" t="n">
        <f aca="false">B23/(1+$B$8)^5</f>
        <v>387232.360142727</v>
      </c>
    </row>
    <row r="25" customFormat="false" ht="15" hidden="false" customHeight="true" outlineLevel="0" collapsed="false">
      <c r="A25" s="47" t="s">
        <v>162</v>
      </c>
      <c r="B25" s="48" t="n">
        <f aca="false">B21+B24</f>
        <v>477023.182183076</v>
      </c>
    </row>
    <row r="26" customFormat="false" ht="15" hidden="false" customHeight="true" outlineLevel="0" collapsed="false">
      <c r="A26" s="38" t="s">
        <v>38</v>
      </c>
      <c r="B26" s="46" t="n">
        <f aca="false">Assumptions!B5</f>
        <v>6000</v>
      </c>
    </row>
    <row r="27" customFormat="false" ht="15" hidden="false" customHeight="true" outlineLevel="0" collapsed="false">
      <c r="A27" s="41" t="s">
        <v>163</v>
      </c>
      <c r="B27" s="54" t="n">
        <f aca="false">B25/B26</f>
        <v>79.5038636971793</v>
      </c>
    </row>
    <row r="28" customFormat="false" ht="15" hidden="false" customHeight="true" outlineLevel="0" collapsed="false">
      <c r="A28" s="38" t="s">
        <v>164</v>
      </c>
      <c r="B28" s="55" t="n">
        <f aca="false">B24/B25</f>
        <v>0.811768430981855</v>
      </c>
    </row>
    <row r="30" customFormat="false" ht="15" hidden="false" customHeight="true" outlineLevel="0" collapsed="false">
      <c r="A30" s="36" t="s">
        <v>165</v>
      </c>
      <c r="B30" s="56"/>
      <c r="C30" s="56"/>
      <c r="D30" s="56"/>
      <c r="E30" s="56"/>
      <c r="F30" s="56"/>
    </row>
    <row r="31" customFormat="false" ht="15" hidden="false" customHeight="true" outlineLevel="0" collapsed="false">
      <c r="A31" s="47" t="s">
        <v>166</v>
      </c>
      <c r="B31" s="57" t="n">
        <v>0.04</v>
      </c>
      <c r="C31" s="57" t="n">
        <v>0.045</v>
      </c>
      <c r="D31" s="57" t="n">
        <v>0.05</v>
      </c>
      <c r="E31" s="57" t="n">
        <v>0.055</v>
      </c>
      <c r="F31" s="57" t="n">
        <v>0.06</v>
      </c>
    </row>
    <row r="32" customFormat="false" ht="15" hidden="false" customHeight="true" outlineLevel="0" collapsed="false">
      <c r="A32" s="38" t="s">
        <v>167</v>
      </c>
      <c r="B32" s="46" t="n">
        <f aca="false">(($C$16/(1+0.085)^1+$D$16/(1+0.085)^2+$E$16/(1+0.085)^3+$F$16/(1+0.085)^4+$G$16/(1+0.085)^5)+(($G$16*(1+0.04)/(0.085-0.04))/(1+0.085)^5))/$B$26</f>
        <v>82.7528641742745</v>
      </c>
      <c r="C32" s="46" t="n">
        <f aca="false">(($C$16/(1+0.085)^1+$D$16/(1+0.085)^2+$E$16/(1+0.085)^3+$F$16/(1+0.085)^4+$G$16/(1+0.085)^5)+(($G$16*(1+0.045)/(0.085-0.045))/(1+0.085)^5))/$B$26</f>
        <v>91.5389316245973</v>
      </c>
      <c r="D32" s="46" t="n">
        <f aca="false">(($C$16/(1+0.085)^1+$D$16/(1+0.085)^2+$E$16/(1+0.085)^3+$F$16/(1+0.085)^4+$G$16/(1+0.085)^5)+(($G$16*(1+0.05)/(0.085-0.05))/(1+0.085)^5))/$B$26</f>
        <v>102.835304060727</v>
      </c>
      <c r="E32" s="46" t="n">
        <f aca="false">(($C$16/(1+0.085)^1+$D$16/(1+0.085)^2+$E$16/(1+0.085)^3+$F$16/(1+0.085)^4+$G$16/(1+0.085)^5)+(($G$16*(1+0.055)/(0.085-0.055))/(1+0.085)^5))/$B$26</f>
        <v>117.897133975566</v>
      </c>
      <c r="F32" s="46" t="n">
        <f aca="false">(($C$16/(1+0.085)^1+$D$16/(1+0.085)^2+$E$16/(1+0.085)^3+$F$16/(1+0.085)^4+$G$16/(1+0.085)^5)+(($G$16*(1+0.06)/(0.085-0.06))/(1+0.085)^5))/$B$26</f>
        <v>138.983695856341</v>
      </c>
    </row>
    <row r="33" customFormat="false" ht="15" hidden="false" customHeight="true" outlineLevel="0" collapsed="false">
      <c r="A33" s="38" t="s">
        <v>168</v>
      </c>
      <c r="B33" s="46" t="n">
        <f aca="false">(($C$16/(1+0.09)^1+$D$16/(1+0.09)^2+$E$16/(1+0.09)^3+$F$16/(1+0.09)^4+$G$16/(1+0.09)^5)+(($G$16*(1+0.04)/(0.09-0.04))/(1+0.09)^5))/$B$26</f>
        <v>74.4331167589076</v>
      </c>
      <c r="C33" s="46" t="n">
        <f aca="false">(($C$16/(1+0.09)^1+$D$16/(1+0.09)^2+$E$16/(1+0.09)^3+$F$16/(1+0.09)^4+$G$16/(1+0.09)^5)+(($G$16*(1+0.045)/(0.09-0.045))/(1+0.09)^5))/$B$26</f>
        <v>81.3338856179228</v>
      </c>
      <c r="D33" s="46" t="n">
        <f aca="false">(($C$16/(1+0.09)^1+$D$16/(1+0.09)^2+$E$16/(1+0.09)^3+$F$16/(1+0.09)^4+$G$16/(1+0.09)^5)+(($G$16*(1+0.05)/(0.09-0.05))/(1+0.09)^5))/$B$26</f>
        <v>89.9598466916917</v>
      </c>
      <c r="E33" s="46" t="n">
        <f aca="false">(($C$16/(1+0.09)^1+$D$16/(1+0.09)^2+$E$16/(1+0.09)^3+$F$16/(1+0.09)^4+$G$16/(1+0.09)^5)+(($G$16*(1+0.055)/(0.09-0.055))/(1+0.09)^5))/$B$26</f>
        <v>101.050368072252</v>
      </c>
      <c r="F33" s="46" t="n">
        <f aca="false">(($C$16/(1+0.09)^1+$D$16/(1+0.09)^2+$E$16/(1+0.09)^3+$F$16/(1+0.09)^4+$G$16/(1+0.09)^5)+(($G$16*(1+0.06)/(0.09-0.06))/(1+0.09)^5))/$B$26</f>
        <v>115.837729912998</v>
      </c>
    </row>
    <row r="34" customFormat="false" ht="15" hidden="false" customHeight="true" outlineLevel="0" collapsed="false">
      <c r="A34" s="41" t="s">
        <v>169</v>
      </c>
      <c r="B34" s="58" t="n">
        <f aca="false">(($C$16/(1+0.095)^1+$D$16/(1+0.095)^2+$E$16/(1+0.095)^3+$F$16/(1+0.095)^4+$G$16/(1+0.095)^5)+(($G$16*(1+0.04)/(0.095-0.04))/(1+0.095)^5))/$B$26</f>
        <v>67.6271738008822</v>
      </c>
      <c r="C34" s="58" t="n">
        <f aca="false">(($C$16/(1+0.095)^1+$D$16/(1+0.095)^2+$E$16/(1+0.095)^3+$F$16/(1+0.095)^4+$G$16/(1+0.095)^5)+(($G$16*(1+0.045)/(0.095-0.045))/(1+0.095)^5))/$B$26</f>
        <v>73.170836784596</v>
      </c>
      <c r="D34" s="58" t="n">
        <f aca="false">(($C$16/(1+0.095)^1+$D$16/(1+0.095)^2+$E$16/(1+0.095)^3+$F$16/(1+0.095)^4+$G$16/(1+0.095)^5)+(($G$16*(1+0.05)/(0.095-0.05))/(1+0.095)^5))/$B$26</f>
        <v>79.9464248758019</v>
      </c>
      <c r="E34" s="58" t="n">
        <f aca="false">(($C$16/(1+0.095)^1+$D$16/(1+0.095)^2+$E$16/(1+0.095)^3+$F$16/(1+0.095)^4+$G$16/(1+0.095)^5)+(($G$16*(1+0.055)/(0.095-0.055))/(1+0.095)^5))/$B$26</f>
        <v>88.4159099898092</v>
      </c>
      <c r="F34" s="58" t="n">
        <f aca="false">(($C$16/(1+0.095)^1+$D$16/(1+0.095)^2+$E$16/(1+0.095)^3+$F$16/(1+0.095)^4+$G$16/(1+0.095)^5)+(($G$16*(1+0.06)/(0.095-0.06))/(1+0.095)^5))/$B$26</f>
        <v>99.3052479935329</v>
      </c>
    </row>
    <row r="35" customFormat="false" ht="15" hidden="false" customHeight="true" outlineLevel="0" collapsed="false">
      <c r="A35" s="38" t="s">
        <v>170</v>
      </c>
      <c r="B35" s="46" t="n">
        <f aca="false">(($C$16/(1+0.1)^1+$D$16/(1+0.1)^2+$E$16/(1+0.1)^3+$F$16/(1+0.1)^4+$G$16/(1+0.1)^5)+(($G$16*(1+0.04)/(0.1-0.04))/(1+0.1)^5))/$B$26</f>
        <v>61.9565545352445</v>
      </c>
      <c r="C35" s="46" t="n">
        <f aca="false">(($C$16/(1+0.1)^1+$D$16/(1+0.1)^2+$E$16/(1+0.1)^3+$F$16/(1+0.1)^4+$G$16/(1+0.1)^5)+(($G$16*(1+0.045)/(0.1-0.045))/(1+0.1)^5))/$B$26</f>
        <v>66.4928497536441</v>
      </c>
      <c r="D35" s="46" t="n">
        <f aca="false">(($C$16/(1+0.1)^1+$D$16/(1+0.1)^2+$E$16/(1+0.1)^3+$F$16/(1+0.1)^4+$G$16/(1+0.1)^5)+(($G$16*(1+0.05)/(0.1-0.05))/(1+0.1)^5))/$B$26</f>
        <v>71.9364040157237</v>
      </c>
      <c r="E35" s="46" t="n">
        <f aca="false">(($C$16/(1+0.1)^1+$D$16/(1+0.1)^2+$E$16/(1+0.1)^3+$F$16/(1+0.1)^4+$G$16/(1+0.1)^5)+(($G$16*(1+0.055)/(0.1-0.055))/(1+0.1)^5))/$B$26</f>
        <v>78.5896370027099</v>
      </c>
      <c r="F35" s="46" t="n">
        <f aca="false">(($C$16/(1+0.1)^1+$D$16/(1+0.1)^2+$E$16/(1+0.1)^3+$F$16/(1+0.1)^4+$G$16/(1+0.1)^5)+(($G$16*(1+0.06)/(0.1-0.06))/(1+0.1)^5))/$B$26</f>
        <v>86.9061782364425</v>
      </c>
    </row>
    <row r="36" customFormat="false" ht="15" hidden="false" customHeight="true" outlineLevel="0" collapsed="false">
      <c r="A36" s="38" t="s">
        <v>171</v>
      </c>
      <c r="B36" s="46" t="n">
        <f aca="false">(($C$16/(1+0.105)^1+$D$16/(1+0.105)^2+$E$16/(1+0.105)^3+$F$16/(1+0.105)^4+$G$16/(1+0.105)^5)+(($G$16*(1+0.04)/(0.105-0.04))/(1+0.105)^5))/$B$26</f>
        <v>57.1592346972016</v>
      </c>
      <c r="C36" s="46" t="n">
        <f aca="false">(($C$16/(1+0.105)^1+$D$16/(1+0.105)^2+$E$16/(1+0.105)^3+$F$16/(1+0.105)^4+$G$16/(1+0.105)^5)+(($G$16*(1+0.045)/(0.105-0.045))/(1+0.105)^5))/$B$26</f>
        <v>60.9286350922496</v>
      </c>
      <c r="D36" s="46" t="n">
        <f aca="false">(($C$16/(1+0.105)^1+$D$16/(1+0.105)^2+$E$16/(1+0.105)^3+$F$16/(1+0.105)^4+$G$16/(1+0.105)^5)+(($G$16*(1+0.05)/(0.105-0.05))/(1+0.105)^5))/$B$26</f>
        <v>65.3833810136699</v>
      </c>
      <c r="E36" s="46" t="n">
        <f aca="false">(($C$16/(1+0.105)^1+$D$16/(1+0.105)^2+$E$16/(1+0.105)^3+$F$16/(1+0.105)^4+$G$16/(1+0.105)^5)+(($G$16*(1+0.055)/(0.105-0.055))/(1+0.105)^5))/$B$26</f>
        <v>70.7290761193743</v>
      </c>
      <c r="F36" s="46" t="n">
        <f aca="false">(($C$16/(1+0.105)^1+$D$16/(1+0.105)^2+$E$16/(1+0.105)^3+$F$16/(1+0.105)^4+$G$16/(1+0.105)^5)+(($G$16*(1+0.06)/(0.105-0.06))/(1+0.105)^5))/$B$26</f>
        <v>77.2627034707908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172</v>
      </c>
    </row>
    <row r="2" customFormat="false" ht="15" hidden="false" customHeight="true" outlineLevel="0" collapsed="false">
      <c r="A2" s="3" t="s">
        <v>173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174</v>
      </c>
      <c r="B4" s="19" t="n">
        <v>22600</v>
      </c>
      <c r="C4" s="19" t="n">
        <v>25400</v>
      </c>
      <c r="D4" s="19" t="n">
        <v>30500</v>
      </c>
      <c r="E4" s="24" t="n">
        <f aca="false">Assumptions!E45/100*0.95*AVERAGE('Balance Sheet'!D8,'Balance Sheet'!E8)</f>
        <v>35045.7339375</v>
      </c>
      <c r="F4" s="24" t="n">
        <f aca="false">Assumptions!F45/100*0.95*AVERAGE('Balance Sheet'!E8,'Balance Sheet'!F8)</f>
        <v>37575.46340625</v>
      </c>
      <c r="G4" s="24" t="n">
        <f aca="false">Assumptions!G45/100*0.95*AVERAGE('Balance Sheet'!F8,'Balance Sheet'!G8)</f>
        <v>38994.312008525</v>
      </c>
      <c r="H4" s="24" t="n">
        <f aca="false">Assumptions!H45/100*0.95*AVERAGE('Balance Sheet'!G8,'Balance Sheet'!H8)</f>
        <v>40539.8189269136</v>
      </c>
      <c r="I4" s="24" t="n">
        <f aca="false">Assumptions!I45/100*0.95*AVERAGE('Balance Sheet'!H8,'Balance Sheet'!I8)</f>
        <v>42603.362741641</v>
      </c>
    </row>
    <row r="5" customFormat="false" ht="15" hidden="false" customHeight="true" outlineLevel="0" collapsed="false">
      <c r="A5" s="4" t="s">
        <v>175</v>
      </c>
      <c r="B5" s="19" t="n">
        <v>5300</v>
      </c>
      <c r="C5" s="19" t="n">
        <v>6650</v>
      </c>
      <c r="D5" s="19" t="n">
        <v>8594</v>
      </c>
      <c r="E5" s="24" t="n">
        <f aca="false">D5*(1+Assumptions!E48)</f>
        <v>9797.16</v>
      </c>
      <c r="F5" s="24" t="n">
        <f aca="false">E5*(1+Assumptions!F48)</f>
        <v>10972.8192</v>
      </c>
      <c r="G5" s="24" t="n">
        <f aca="false">F5*(1+Assumptions!G48)</f>
        <v>12179.829312</v>
      </c>
      <c r="H5" s="24" t="n">
        <f aca="false">G5*(1+Assumptions!H48)</f>
        <v>13397.8122432</v>
      </c>
      <c r="I5" s="24" t="n">
        <f aca="false">H5*(1+Assumptions!I48)</f>
        <v>14737.59346752</v>
      </c>
    </row>
    <row r="6" customFormat="false" ht="15" hidden="false" customHeight="true" outlineLevel="0" collapsed="false">
      <c r="A6" s="14" t="s">
        <v>115</v>
      </c>
      <c r="B6" s="43" t="n">
        <f aca="false">SUM(B4:B5)</f>
        <v>27900</v>
      </c>
      <c r="C6" s="43" t="n">
        <f aca="false">SUM(C4:C5)</f>
        <v>32050</v>
      </c>
      <c r="D6" s="43" t="n">
        <f aca="false">SUM(D4:D5)</f>
        <v>39094</v>
      </c>
      <c r="E6" s="43" t="n">
        <f aca="false">SUM(E4:E5)</f>
        <v>44842.8939375</v>
      </c>
      <c r="F6" s="43" t="n">
        <f aca="false">SUM(F4:F5)</f>
        <v>48548.28260625</v>
      </c>
      <c r="G6" s="43" t="n">
        <f aca="false">SUM(G4:G5)</f>
        <v>51174.141320525</v>
      </c>
      <c r="H6" s="43" t="n">
        <f aca="false">SUM(H4:H5)</f>
        <v>53937.6311701136</v>
      </c>
      <c r="I6" s="43" t="n">
        <f aca="false">SUM(I4:I5)</f>
        <v>57340.956209161</v>
      </c>
    </row>
    <row r="8" customFormat="false" ht="15" hidden="false" customHeight="true" outlineLevel="0" collapsed="false">
      <c r="A8" s="4" t="s">
        <v>176</v>
      </c>
      <c r="B8" s="19" t="n">
        <v>-7400</v>
      </c>
      <c r="C8" s="19" t="n">
        <v>-7980</v>
      </c>
      <c r="D8" s="19" t="n">
        <v>-9110</v>
      </c>
      <c r="E8" s="24" t="n">
        <f aca="false">-Assumptions!E46/100*E6</f>
        <v>-10538.0800753125</v>
      </c>
      <c r="F8" s="24" t="n">
        <f aca="false">-Assumptions!F46/100*F6</f>
        <v>-11408.8464124688</v>
      </c>
      <c r="G8" s="24" t="n">
        <f aca="false">-Assumptions!G46/100*G6</f>
        <v>-11770.0525037208</v>
      </c>
      <c r="H8" s="24" t="n">
        <f aca="false">-Assumptions!H46/100*H6</f>
        <v>-12297.7799067859</v>
      </c>
      <c r="I8" s="24" t="n">
        <f aca="false">-Assumptions!I46/100*I6</f>
        <v>-12901.7151470612</v>
      </c>
    </row>
    <row r="9" customFormat="false" ht="15" hidden="false" customHeight="true" outlineLevel="0" collapsed="false">
      <c r="A9" s="14" t="s">
        <v>177</v>
      </c>
      <c r="B9" s="43" t="n">
        <f aca="false">B6+B8</f>
        <v>20500</v>
      </c>
      <c r="C9" s="43" t="n">
        <f aca="false">C6+C8</f>
        <v>24070</v>
      </c>
      <c r="D9" s="43" t="n">
        <f aca="false">D6+D8</f>
        <v>29984</v>
      </c>
      <c r="E9" s="43" t="n">
        <f aca="false">E6+E8</f>
        <v>34304.8138621875</v>
      </c>
      <c r="F9" s="43" t="n">
        <f aca="false">F6+F8</f>
        <v>37139.4361937813</v>
      </c>
      <c r="G9" s="43" t="n">
        <f aca="false">G6+G8</f>
        <v>39404.0888168043</v>
      </c>
      <c r="H9" s="43" t="n">
        <f aca="false">H6+H8</f>
        <v>41639.8512633277</v>
      </c>
      <c r="I9" s="43" t="n">
        <f aca="false">I6+I8</f>
        <v>44439.2410620998</v>
      </c>
    </row>
    <row r="10" customFormat="false" ht="15" hidden="false" customHeight="true" outlineLevel="0" collapsed="false">
      <c r="A10" s="4" t="s">
        <v>178</v>
      </c>
      <c r="B10" s="19" t="n">
        <v>-2500</v>
      </c>
      <c r="C10" s="19" t="n">
        <v>-2120</v>
      </c>
      <c r="D10" s="19" t="n">
        <v>-2320</v>
      </c>
      <c r="E10" s="24" t="n">
        <f aca="false">-Assumptions!E47/10000*AVERAGE('Balance Sheet'!D5,'Balance Sheet'!E5)</f>
        <v>-2707.257</v>
      </c>
      <c r="F10" s="24" t="n">
        <f aca="false">-Assumptions!F47/10000*AVERAGE('Balance Sheet'!E5,'Balance Sheet'!F5)</f>
        <v>-3123.604332</v>
      </c>
      <c r="G10" s="24" t="n">
        <f aca="false">-Assumptions!G47/10000*AVERAGE('Balance Sheet'!F5,'Balance Sheet'!G5)</f>
        <v>-3535.1608448</v>
      </c>
      <c r="H10" s="24" t="n">
        <f aca="false">-Assumptions!H47/10000*AVERAGE('Balance Sheet'!G5,'Balance Sheet'!H5)</f>
        <v>-3808.79589096</v>
      </c>
      <c r="I10" s="24" t="n">
        <f aca="false">-Assumptions!I47/10000*AVERAGE('Balance Sheet'!H5,'Balance Sheet'!I5)</f>
        <v>-4084.5894247512</v>
      </c>
    </row>
    <row r="11" customFormat="false" ht="15" hidden="false" customHeight="true" outlineLevel="0" collapsed="false">
      <c r="A11" s="14" t="s">
        <v>179</v>
      </c>
      <c r="B11" s="43" t="n">
        <f aca="false">B9+B10</f>
        <v>18000</v>
      </c>
      <c r="C11" s="43" t="n">
        <f aca="false">C9+C10</f>
        <v>21950</v>
      </c>
      <c r="D11" s="43" t="n">
        <f aca="false">D9+D10</f>
        <v>27664</v>
      </c>
      <c r="E11" s="43" t="n">
        <f aca="false">E9+E10</f>
        <v>31597.5568621875</v>
      </c>
      <c r="F11" s="43" t="n">
        <f aca="false">F9+F10</f>
        <v>34015.8318617813</v>
      </c>
      <c r="G11" s="43" t="n">
        <f aca="false">G9+G10</f>
        <v>35868.9279720043</v>
      </c>
      <c r="H11" s="43" t="n">
        <f aca="false">H9+H10</f>
        <v>37831.0553723677</v>
      </c>
      <c r="I11" s="43" t="n">
        <f aca="false">I9+I10</f>
        <v>40354.6516373486</v>
      </c>
    </row>
    <row r="12" customFormat="false" ht="15" hidden="false" customHeight="true" outlineLevel="0" collapsed="false">
      <c r="A12" s="4" t="s">
        <v>180</v>
      </c>
      <c r="B12" s="19" t="n">
        <v>-1380</v>
      </c>
      <c r="C12" s="19" t="n">
        <v>-2230</v>
      </c>
      <c r="D12" s="19" t="n">
        <v>-2872</v>
      </c>
      <c r="E12" s="24" t="n">
        <f aca="false">-Assumptions!$B$18*E11</f>
        <v>-3633.71903915156</v>
      </c>
      <c r="F12" s="24" t="n">
        <f aca="false">-Assumptions!$B$18*F11</f>
        <v>-3911.82066410484</v>
      </c>
      <c r="G12" s="24" t="n">
        <f aca="false">-Assumptions!$B$18*G11</f>
        <v>-4124.92671678049</v>
      </c>
      <c r="H12" s="24" t="n">
        <f aca="false">-Assumptions!$B$18*H11</f>
        <v>-4350.57136782229</v>
      </c>
      <c r="I12" s="24" t="n">
        <f aca="false">-Assumptions!$B$18*I11</f>
        <v>-4640.78493829509</v>
      </c>
    </row>
    <row r="13" customFormat="false" ht="15" hidden="false" customHeight="true" outlineLevel="0" collapsed="false">
      <c r="A13" s="9" t="s">
        <v>145</v>
      </c>
      <c r="B13" s="59" t="n">
        <f aca="false">B11+B12</f>
        <v>16620</v>
      </c>
      <c r="C13" s="59" t="n">
        <f aca="false">C11+C12</f>
        <v>19720</v>
      </c>
      <c r="D13" s="59" t="n">
        <f aca="false">D11+D12</f>
        <v>24792</v>
      </c>
      <c r="E13" s="59" t="n">
        <f aca="false">E11+E12</f>
        <v>27963.8378230359</v>
      </c>
      <c r="F13" s="59" t="n">
        <f aca="false">F11+F12</f>
        <v>30104.0111976764</v>
      </c>
      <c r="G13" s="59" t="n">
        <f aca="false">G11+G12</f>
        <v>31744.0012552238</v>
      </c>
      <c r="H13" s="59" t="n">
        <f aca="false">H11+H12</f>
        <v>33480.4840045455</v>
      </c>
      <c r="I13" s="59" t="n">
        <f aca="false">I11+I12</f>
        <v>35713.8666990535</v>
      </c>
    </row>
    <row r="15" customFormat="false" ht="15" hidden="false" customHeight="true" outlineLevel="0" collapsed="false">
      <c r="A15" s="29" t="s">
        <v>181</v>
      </c>
      <c r="B15" s="60" t="n">
        <v>3.05</v>
      </c>
      <c r="C15" s="60" t="n">
        <v>3.13</v>
      </c>
      <c r="D15" s="60" t="n">
        <v>3.16</v>
      </c>
      <c r="E15" s="61" t="n">
        <f aca="false">Assumptions!E45</f>
        <v>3.45</v>
      </c>
      <c r="F15" s="61" t="n">
        <f aca="false">Assumptions!F45</f>
        <v>3.5</v>
      </c>
      <c r="G15" s="61" t="n">
        <f aca="false">Assumptions!G45</f>
        <v>3.4</v>
      </c>
      <c r="H15" s="61" t="n">
        <f aca="false">Assumptions!H45</f>
        <v>3.3</v>
      </c>
      <c r="I15" s="61" t="n">
        <f aca="false">Assumptions!I45</f>
        <v>3.25</v>
      </c>
    </row>
    <row r="16" customFormat="false" ht="15" hidden="false" customHeight="true" outlineLevel="0" collapsed="false">
      <c r="A16" s="29" t="s">
        <v>182</v>
      </c>
      <c r="B16" s="30" t="n">
        <f aca="false">-B8/B6</f>
        <v>0.265232974910394</v>
      </c>
      <c r="C16" s="30" t="n">
        <f aca="false">-C8/C6</f>
        <v>0.248985959438378</v>
      </c>
      <c r="D16" s="30" t="n">
        <f aca="false">-D8/D6</f>
        <v>0.233028086151328</v>
      </c>
      <c r="E16" s="30" t="n">
        <f aca="false">-E8/E6</f>
        <v>0.235</v>
      </c>
      <c r="F16" s="30" t="n">
        <f aca="false">-F8/F6</f>
        <v>0.235</v>
      </c>
      <c r="G16" s="30" t="n">
        <f aca="false">-G8/G6</f>
        <v>0.23</v>
      </c>
      <c r="H16" s="30" t="n">
        <f aca="false">-H8/H6</f>
        <v>0.228</v>
      </c>
      <c r="I16" s="30" t="n">
        <f aca="false">-I8/I6</f>
        <v>0.225</v>
      </c>
    </row>
    <row r="17" customFormat="false" ht="15" hidden="false" customHeight="true" outlineLevel="0" collapsed="false">
      <c r="A17" s="29" t="s">
        <v>183</v>
      </c>
      <c r="C17" s="30" t="n">
        <f aca="false">C13/B13-1</f>
        <v>0.186522262334537</v>
      </c>
      <c r="D17" s="30" t="n">
        <f aca="false">D13/C13-1</f>
        <v>0.257200811359026</v>
      </c>
      <c r="E17" s="30" t="n">
        <f aca="false">E13/D13-1</f>
        <v>0.127937956721359</v>
      </c>
      <c r="F17" s="30" t="n">
        <f aca="false">F13/E13-1</f>
        <v>0.0765336070171829</v>
      </c>
      <c r="G17" s="30" t="n">
        <f aca="false">G13/F13-1</f>
        <v>0.0544774597238373</v>
      </c>
      <c r="H17" s="30" t="n">
        <f aca="false">H13/G13-1</f>
        <v>0.0547027054138589</v>
      </c>
      <c r="I17" s="30" t="n">
        <f aca="false">I13/H13-1</f>
        <v>0.0667070014341735</v>
      </c>
    </row>
    <row r="19" customFormat="false" ht="15" hidden="false" customHeight="true" outlineLevel="0" collapsed="false">
      <c r="A19" s="3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185</v>
      </c>
    </row>
    <row r="2" customFormat="false" ht="15" hidden="false" customHeight="true" outlineLevel="0" collapsed="false">
      <c r="A2" s="3" t="s">
        <v>186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187</v>
      </c>
      <c r="B4" s="19" t="n">
        <v>78000</v>
      </c>
      <c r="C4" s="19" t="n">
        <v>86000</v>
      </c>
      <c r="D4" s="19" t="n">
        <v>90000</v>
      </c>
      <c r="E4" s="24" t="n">
        <f aca="false">D4*(1+Assumptions!E51)</f>
        <v>94500</v>
      </c>
      <c r="F4" s="24" t="n">
        <f aca="false">E4*(1+Assumptions!F51)</f>
        <v>100642.5</v>
      </c>
      <c r="G4" s="24" t="n">
        <f aca="false">F4*(1+Assumptions!G51)</f>
        <v>108190.6875</v>
      </c>
      <c r="H4" s="24" t="n">
        <f aca="false">G4*(1+Assumptions!H51)</f>
        <v>115764.035625</v>
      </c>
      <c r="I4" s="24" t="n">
        <f aca="false">H4*(1+Assumptions!I51)</f>
        <v>123288.697940625</v>
      </c>
    </row>
    <row r="5" customFormat="false" ht="15" hidden="false" customHeight="true" outlineLevel="0" collapsed="false">
      <c r="A5" s="4" t="s">
        <v>188</v>
      </c>
      <c r="B5" s="19" t="n">
        <v>602000</v>
      </c>
      <c r="C5" s="19" t="n">
        <v>693400</v>
      </c>
      <c r="D5" s="19" t="n">
        <v>752800</v>
      </c>
      <c r="E5" s="24" t="n">
        <f aca="false">D5*(1+Assumptions!E44)</f>
        <v>794204</v>
      </c>
      <c r="F5" s="24" t="n">
        <f aca="false">E5*(1+Assumptions!F44)</f>
        <v>849798.28</v>
      </c>
      <c r="G5" s="24" t="n">
        <f aca="false">F5*(1+Assumptions!G44)</f>
        <v>917782.1424</v>
      </c>
      <c r="H5" s="24" t="n">
        <f aca="false">G5*(1+Assumptions!H44)</f>
        <v>986615.80308</v>
      </c>
      <c r="I5" s="24" t="n">
        <f aca="false">H5*(1+Assumptions!I44)</f>
        <v>1055678.9092956</v>
      </c>
    </row>
    <row r="6" customFormat="false" ht="15" hidden="false" customHeight="true" outlineLevel="0" collapsed="false">
      <c r="A6" s="4" t="s">
        <v>189</v>
      </c>
      <c r="B6" s="19" t="n">
        <v>140000</v>
      </c>
      <c r="C6" s="19" t="n">
        <v>164000</v>
      </c>
      <c r="D6" s="19" t="n">
        <v>174000</v>
      </c>
      <c r="E6" s="24" t="n">
        <f aca="false">D6*(1+Assumptions!E49)</f>
        <v>179220</v>
      </c>
      <c r="F6" s="24" t="n">
        <f aca="false">E6*(1+Assumptions!F49)</f>
        <v>184596.6</v>
      </c>
      <c r="G6" s="24" t="n">
        <f aca="false">F6*(1+Assumptions!G49)</f>
        <v>191980.464</v>
      </c>
      <c r="H6" s="24" t="n">
        <f aca="false">G6*(1+Assumptions!H49)</f>
        <v>199659.68256</v>
      </c>
      <c r="I6" s="24" t="n">
        <f aca="false">H6*(1+Assumptions!I49)</f>
        <v>207646.0698624</v>
      </c>
    </row>
    <row r="7" customFormat="false" ht="15" hidden="false" customHeight="true" outlineLevel="0" collapsed="false">
      <c r="A7" s="4" t="s">
        <v>190</v>
      </c>
      <c r="B7" s="19" t="n">
        <v>26000</v>
      </c>
      <c r="C7" s="19" t="n">
        <v>30600</v>
      </c>
      <c r="D7" s="19" t="n">
        <v>26200</v>
      </c>
      <c r="E7" s="24" t="n">
        <f aca="false">D7*(1+Assumptions!E44)</f>
        <v>27641</v>
      </c>
      <c r="F7" s="24" t="n">
        <f aca="false">E7*(1+Assumptions!F44)</f>
        <v>29575.87</v>
      </c>
      <c r="G7" s="24" t="n">
        <f aca="false">F7*(1+Assumptions!G44)</f>
        <v>31941.9396</v>
      </c>
      <c r="H7" s="24" t="n">
        <f aca="false">G7*(1+Assumptions!H44)</f>
        <v>34337.58507</v>
      </c>
      <c r="I7" s="24" t="n">
        <f aca="false">H7*(1+Assumptions!I44)</f>
        <v>36741.2160249</v>
      </c>
    </row>
    <row r="8" customFormat="false" ht="15" hidden="false" customHeight="true" outlineLevel="0" collapsed="false">
      <c r="A8" s="14" t="s">
        <v>191</v>
      </c>
      <c r="B8" s="43" t="n">
        <f aca="false">SUM(B4:B7)</f>
        <v>846000</v>
      </c>
      <c r="C8" s="43" t="n">
        <f aca="false">SUM(C4:C7)</f>
        <v>974000</v>
      </c>
      <c r="D8" s="43" t="n">
        <f aca="false">SUM(D4:D7)</f>
        <v>1043000</v>
      </c>
      <c r="E8" s="43" t="n">
        <f aca="false">SUM(E4:E7)</f>
        <v>1095565</v>
      </c>
      <c r="F8" s="43" t="n">
        <f aca="false">SUM(F4:F7)</f>
        <v>1164613.25</v>
      </c>
      <c r="G8" s="43" t="n">
        <f aca="false">SUM(G4:G7)</f>
        <v>1249895.2335</v>
      </c>
      <c r="H8" s="43" t="n">
        <f aca="false">SUM(H4:H7)</f>
        <v>1336377.106335</v>
      </c>
      <c r="I8" s="43" t="n">
        <f aca="false">SUM(I4:I7)</f>
        <v>1423354.89312353</v>
      </c>
    </row>
    <row r="10" customFormat="false" ht="15" hidden="false" customHeight="true" outlineLevel="0" collapsed="false">
      <c r="A10" s="4" t="s">
        <v>192</v>
      </c>
      <c r="B10" s="19" t="n">
        <v>564000</v>
      </c>
      <c r="C10" s="19" t="n">
        <v>624000</v>
      </c>
      <c r="D10" s="19" t="n">
        <v>667000</v>
      </c>
      <c r="E10" s="24" t="n">
        <f aca="false">D10*(1+Assumptions!E51)</f>
        <v>700350</v>
      </c>
      <c r="F10" s="24" t="n">
        <f aca="false">E10*(1+Assumptions!F51)</f>
        <v>745872.75</v>
      </c>
      <c r="G10" s="24" t="n">
        <f aca="false">F10*(1+Assumptions!G51)</f>
        <v>801813.20625</v>
      </c>
      <c r="H10" s="24" t="n">
        <f aca="false">G10*(1+Assumptions!H51)</f>
        <v>857940.1306875</v>
      </c>
      <c r="I10" s="24" t="n">
        <f aca="false">H10*(1+Assumptions!I51)</f>
        <v>913706.239182188</v>
      </c>
    </row>
    <row r="11" customFormat="false" ht="15" hidden="false" customHeight="true" outlineLevel="0" collapsed="false">
      <c r="A11" s="4" t="s">
        <v>193</v>
      </c>
      <c r="B11" s="19" t="n">
        <v>45000</v>
      </c>
      <c r="C11" s="19" t="n">
        <v>55000</v>
      </c>
      <c r="D11" s="19" t="n">
        <v>65000</v>
      </c>
      <c r="E11" s="24" t="n">
        <f aca="false">D11*(1+Assumptions!E44)</f>
        <v>68575</v>
      </c>
      <c r="F11" s="24" t="n">
        <f aca="false">E11*(1+Assumptions!F44)</f>
        <v>73375.25</v>
      </c>
      <c r="G11" s="24" t="n">
        <f aca="false">F11*(1+Assumptions!G44)</f>
        <v>79245.27</v>
      </c>
      <c r="H11" s="24" t="n">
        <f aca="false">G11*(1+Assumptions!H44)</f>
        <v>85188.66525</v>
      </c>
      <c r="I11" s="24" t="n">
        <f aca="false">H11*(1+Assumptions!I44)</f>
        <v>91151.8718175</v>
      </c>
    </row>
    <row r="12" customFormat="false" ht="15" hidden="false" customHeight="true" outlineLevel="0" collapsed="false">
      <c r="A12" s="4" t="s">
        <v>194</v>
      </c>
      <c r="B12" s="19" t="n">
        <v>60000</v>
      </c>
      <c r="C12" s="19" t="n">
        <v>70000</v>
      </c>
      <c r="D12" s="19" t="n">
        <v>85000</v>
      </c>
      <c r="E12" s="24" t="n">
        <f aca="false">D12*(1+Assumptions!E44)</f>
        <v>89675</v>
      </c>
      <c r="F12" s="24" t="n">
        <f aca="false">E12*(1+Assumptions!F44)</f>
        <v>95952.25</v>
      </c>
      <c r="G12" s="24" t="n">
        <f aca="false">F12*(1+Assumptions!G44)</f>
        <v>103628.43</v>
      </c>
      <c r="H12" s="24" t="n">
        <f aca="false">G12*(1+Assumptions!H44)</f>
        <v>111400.56225</v>
      </c>
      <c r="I12" s="24" t="n">
        <f aca="false">H12*(1+Assumptions!I44)</f>
        <v>119198.6016075</v>
      </c>
    </row>
    <row r="13" customFormat="false" ht="15" hidden="false" customHeight="true" outlineLevel="0" collapsed="false">
      <c r="A13" s="4" t="s">
        <v>195</v>
      </c>
      <c r="B13" s="19" t="n">
        <v>88000</v>
      </c>
      <c r="C13" s="19" t="n">
        <v>99000</v>
      </c>
      <c r="D13" s="19" t="n">
        <v>113000</v>
      </c>
      <c r="E13" s="24" t="n">
        <f aca="false">D13+'Income Statement'!E13*(1-Assumptions!E50)</f>
        <v>128380.11080267</v>
      </c>
      <c r="F13" s="24" t="n">
        <f aca="false">E13+'Income Statement'!F13*(1-Assumptions!F50)</f>
        <v>144034.196625462</v>
      </c>
      <c r="G13" s="24" t="n">
        <f aca="false">F13+'Income Statement'!G13*(1-Assumptions!G50)</f>
        <v>159906.197253073</v>
      </c>
      <c r="H13" s="24" t="n">
        <f aca="false">G13+'Income Statement'!H13*(1-Assumptions!H50)</f>
        <v>175976.829575255</v>
      </c>
      <c r="I13" s="24" t="n">
        <f aca="false">H13+'Income Statement'!I13*(1-Assumptions!I50)</f>
        <v>192048.069589829</v>
      </c>
    </row>
    <row r="14" customFormat="false" ht="15" hidden="false" customHeight="true" outlineLevel="0" collapsed="false">
      <c r="A14" s="4" t="s">
        <v>196</v>
      </c>
      <c r="B14" s="24" t="n">
        <f aca="false">B8-(B10+B11+B12+B13)</f>
        <v>89000</v>
      </c>
      <c r="C14" s="24" t="n">
        <f aca="false">C8-(C10+C11+C12+C13)</f>
        <v>126000</v>
      </c>
      <c r="D14" s="24" t="n">
        <f aca="false">D8-(D10+D11+D12+D13)</f>
        <v>113000</v>
      </c>
      <c r="E14" s="24" t="n">
        <f aca="false">E8-(E10+E11+E12+E13)</f>
        <v>108584.88919733</v>
      </c>
      <c r="F14" s="24" t="n">
        <f aca="false">F8-(F10+F11+F12+F13)</f>
        <v>105378.803374539</v>
      </c>
      <c r="G14" s="24" t="n">
        <f aca="false">G8-(G10+G11+G12+G13)</f>
        <v>105302.129996927</v>
      </c>
      <c r="H14" s="24" t="n">
        <f aca="false">H8-(H10+H11+H12+H13)</f>
        <v>105870.918572245</v>
      </c>
      <c r="I14" s="24" t="n">
        <f aca="false">I8-(I10+I11+I12+I13)</f>
        <v>107250.110926508</v>
      </c>
    </row>
    <row r="15" customFormat="false" ht="15" hidden="false" customHeight="true" outlineLevel="0" collapsed="false">
      <c r="A15" s="14" t="s">
        <v>197</v>
      </c>
      <c r="B15" s="43" t="n">
        <f aca="false">SUM(B10:B14)</f>
        <v>846000</v>
      </c>
      <c r="C15" s="43" t="n">
        <f aca="false">SUM(C10:C14)</f>
        <v>974000</v>
      </c>
      <c r="D15" s="43" t="n">
        <f aca="false">SUM(D10:D14)</f>
        <v>1043000</v>
      </c>
      <c r="E15" s="43" t="n">
        <f aca="false">SUM(E10:E14)</f>
        <v>1095565</v>
      </c>
      <c r="F15" s="43" t="n">
        <f aca="false">SUM(F10:F14)</f>
        <v>1164613.25</v>
      </c>
      <c r="G15" s="43" t="n">
        <f aca="false">SUM(G10:G14)</f>
        <v>1249895.2335</v>
      </c>
      <c r="H15" s="43" t="n">
        <f aca="false">SUM(H10:H14)</f>
        <v>1336377.106335</v>
      </c>
      <c r="I15" s="43" t="n">
        <f aca="false">SUM(I10:I14)</f>
        <v>1423354.89312353</v>
      </c>
    </row>
    <row r="17" customFormat="false" ht="15" hidden="false" customHeight="true" outlineLevel="0" collapsed="false">
      <c r="A17" s="4" t="s">
        <v>198</v>
      </c>
      <c r="B17" s="24" t="n">
        <f aca="false">B8-B15</f>
        <v>0</v>
      </c>
      <c r="C17" s="24" t="n">
        <f aca="false">C8-C15</f>
        <v>0</v>
      </c>
      <c r="D17" s="24" t="n">
        <f aca="false">D8-D15</f>
        <v>0</v>
      </c>
      <c r="E17" s="24" t="n">
        <f aca="false">E8-E15</f>
        <v>0</v>
      </c>
      <c r="F17" s="24" t="n">
        <f aca="false">F8-F15</f>
        <v>0</v>
      </c>
      <c r="G17" s="24" t="n">
        <f aca="false">G8-G15</f>
        <v>0</v>
      </c>
      <c r="H17" s="24" t="n">
        <f aca="false">H8-H15</f>
        <v>0</v>
      </c>
      <c r="I17" s="24" t="n">
        <f aca="false">I8-I15</f>
        <v>0</v>
      </c>
    </row>
    <row r="18" customFormat="false" ht="15" hidden="false" customHeight="true" outlineLevel="0" collapsed="false">
      <c r="A18" s="29" t="s">
        <v>199</v>
      </c>
      <c r="B18" s="31" t="n">
        <f aca="false">Assumptions!$B$28*B8</f>
        <v>494910</v>
      </c>
      <c r="C18" s="31" t="n">
        <f aca="false">Assumptions!$B$28*C8</f>
        <v>569790</v>
      </c>
      <c r="D18" s="31" t="n">
        <f aca="false">Assumptions!$B$28*D8</f>
        <v>610155</v>
      </c>
      <c r="E18" s="31" t="n">
        <f aca="false">Assumptions!$B$28*E8</f>
        <v>640905.525</v>
      </c>
      <c r="F18" s="31" t="n">
        <f aca="false">Assumptions!$B$28*F8</f>
        <v>681298.75125</v>
      </c>
      <c r="G18" s="31" t="n">
        <f aca="false">Assumptions!$B$28*G8</f>
        <v>731188.7115975</v>
      </c>
      <c r="H18" s="31" t="n">
        <f aca="false">Assumptions!$B$28*H8</f>
        <v>781780.607205975</v>
      </c>
      <c r="I18" s="31" t="n">
        <f aca="false">Assumptions!$B$28*I8</f>
        <v>832662.612477262</v>
      </c>
    </row>
    <row r="19" customFormat="false" ht="15" hidden="false" customHeight="true" outlineLevel="0" collapsed="false">
      <c r="A19" s="29" t="s">
        <v>200</v>
      </c>
      <c r="B19" s="30" t="n">
        <f aca="false">B13/B18</f>
        <v>0.177810106888121</v>
      </c>
      <c r="C19" s="30" t="n">
        <f aca="false">C13/C18</f>
        <v>0.173748223029537</v>
      </c>
      <c r="D19" s="30" t="n">
        <f aca="false">D13/D18</f>
        <v>0.185198842916964</v>
      </c>
      <c r="E19" s="30" t="n">
        <f aca="false">E13/E18</f>
        <v>0.200310507235321</v>
      </c>
      <c r="F19" s="30" t="n">
        <f aca="false">F13/F18</f>
        <v>0.211411214773545</v>
      </c>
      <c r="G19" s="30" t="n">
        <f aca="false">G13/G18</f>
        <v>0.218693470942283</v>
      </c>
      <c r="H19" s="30" t="n">
        <f aca="false">H13/H18</f>
        <v>0.225097460787859</v>
      </c>
      <c r="I19" s="30" t="n">
        <f aca="false">I13/I18</f>
        <v>0.230643320250041</v>
      </c>
    </row>
    <row r="20" customFormat="false" ht="15" hidden="false" customHeight="true" outlineLevel="0" collapsed="false">
      <c r="A20" s="29" t="s">
        <v>201</v>
      </c>
      <c r="B20" s="30" t="n">
        <f aca="false">B5/B10</f>
        <v>1.06737588652482</v>
      </c>
      <c r="C20" s="30" t="n">
        <f aca="false">C5/C10</f>
        <v>1.11121794871795</v>
      </c>
      <c r="D20" s="30" t="n">
        <f aca="false">D5/D10</f>
        <v>1.12863568215892</v>
      </c>
      <c r="E20" s="30" t="n">
        <f aca="false">E5/E10</f>
        <v>1.13401013778825</v>
      </c>
      <c r="F20" s="30" t="n">
        <f aca="false">F5/F10</f>
        <v>1.13933412904547</v>
      </c>
      <c r="G20" s="30" t="n">
        <f aca="false">G5/G10</f>
        <v>1.14463335755266</v>
      </c>
      <c r="H20" s="30" t="n">
        <f aca="false">H5/H10</f>
        <v>1.14998211155991</v>
      </c>
      <c r="I20" s="30" t="n">
        <f aca="false">I5/I10</f>
        <v>1.15538108860949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5" style="1" width="12"/>
  </cols>
  <sheetData>
    <row r="1" customFormat="false" ht="15.75" hidden="false" customHeight="true" outlineLevel="0" collapsed="false">
      <c r="A1" s="2" t="s">
        <v>202</v>
      </c>
    </row>
    <row r="2" customFormat="false" ht="15" hidden="false" customHeight="true" outlineLevel="0" collapsed="false">
      <c r="A2" s="3" t="s">
        <v>203</v>
      </c>
    </row>
    <row r="3" customFormat="false" ht="15" hidden="false" customHeight="true" outlineLevel="0" collapsed="false"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145</v>
      </c>
      <c r="E4" s="23" t="n">
        <f aca="false">'Income Statement'!E13</f>
        <v>27963.8378230359</v>
      </c>
      <c r="F4" s="23" t="n">
        <f aca="false">'Income Statement'!F13</f>
        <v>30104.0111976764</v>
      </c>
      <c r="G4" s="23" t="n">
        <f aca="false">'Income Statement'!G13</f>
        <v>31744.0012552238</v>
      </c>
      <c r="H4" s="23" t="n">
        <f aca="false">'Income Statement'!H13</f>
        <v>33480.4840045455</v>
      </c>
      <c r="I4" s="23" t="n">
        <f aca="false">'Income Statement'!I13</f>
        <v>35713.8666990535</v>
      </c>
    </row>
    <row r="5" customFormat="false" ht="15" hidden="false" customHeight="true" outlineLevel="0" collapsed="false">
      <c r="A5" s="4" t="s">
        <v>204</v>
      </c>
      <c r="E5" s="23" t="n">
        <f aca="false">-(Assumptions!$B$29*'Balance Sheet'!E18-Assumptions!$B$29*'Balance Sheet'!D18)</f>
        <v>-5688.84712499999</v>
      </c>
      <c r="F5" s="23" t="n">
        <f aca="false">-(Assumptions!$B$29*'Balance Sheet'!F18-Assumptions!$B$29*'Balance Sheet'!E18)</f>
        <v>-7472.74685625003</v>
      </c>
      <c r="G5" s="23" t="n">
        <f aca="false">-(Assumptions!$B$29*'Balance Sheet'!G18-Assumptions!$B$29*'Balance Sheet'!F18)</f>
        <v>-9229.64266428749</v>
      </c>
      <c r="H5" s="23" t="n">
        <f aca="false">-(Assumptions!$B$29*'Balance Sheet'!H18-Assumptions!$B$29*'Balance Sheet'!G18)</f>
        <v>-9359.50068756787</v>
      </c>
      <c r="I5" s="23" t="n">
        <f aca="false">-(Assumptions!$B$29*'Balance Sheet'!I18-Assumptions!$B$29*'Balance Sheet'!H18)</f>
        <v>-9413.17097518811</v>
      </c>
    </row>
    <row r="6" customFormat="false" ht="15" hidden="false" customHeight="true" outlineLevel="0" collapsed="false">
      <c r="A6" s="14" t="s">
        <v>205</v>
      </c>
      <c r="E6" s="43" t="n">
        <f aca="false">E4+E5</f>
        <v>22274.990698036</v>
      </c>
      <c r="F6" s="43" t="n">
        <f aca="false">F4+F5</f>
        <v>22631.2643414264</v>
      </c>
      <c r="G6" s="43" t="n">
        <f aca="false">G4+G5</f>
        <v>22514.3585909363</v>
      </c>
      <c r="H6" s="43" t="n">
        <f aca="false">H4+H5</f>
        <v>24120.9833169776</v>
      </c>
      <c r="I6" s="43" t="n">
        <f aca="false">I4+I5</f>
        <v>26300.6957238654</v>
      </c>
    </row>
    <row r="7" customFormat="false" ht="15" hidden="false" customHeight="true" outlineLevel="0" collapsed="false">
      <c r="A7" s="4" t="s">
        <v>206</v>
      </c>
      <c r="E7" s="23" t="n">
        <f aca="false">-'Income Statement'!E13*Assumptions!E50</f>
        <v>-12583.7270203662</v>
      </c>
      <c r="F7" s="23" t="n">
        <f aca="false">-'Income Statement'!F13*Assumptions!F50</f>
        <v>-14449.9253748847</v>
      </c>
      <c r="G7" s="23" t="n">
        <f aca="false">-'Income Statement'!G13*Assumptions!G50</f>
        <v>-15872.0006276119</v>
      </c>
      <c r="H7" s="23" t="n">
        <f aca="false">-'Income Statement'!H13*Assumptions!H50</f>
        <v>-17409.8516823636</v>
      </c>
      <c r="I7" s="23" t="n">
        <f aca="false">-'Income Statement'!I13*Assumptions!I50</f>
        <v>-19642.6266844794</v>
      </c>
    </row>
    <row r="8" customFormat="false" ht="15" hidden="false" customHeight="true" outlineLevel="0" collapsed="false">
      <c r="A8" s="14" t="s">
        <v>207</v>
      </c>
      <c r="E8" s="43" t="n">
        <f aca="false">E6+E7</f>
        <v>9691.26367766978</v>
      </c>
      <c r="F8" s="43" t="n">
        <f aca="false">F6+F7</f>
        <v>8181.3389665417</v>
      </c>
      <c r="G8" s="43" t="n">
        <f aca="false">G6+G7</f>
        <v>6642.3579633244</v>
      </c>
      <c r="H8" s="43" t="n">
        <f aca="false">H6+H7</f>
        <v>6711.13163461395</v>
      </c>
      <c r="I8" s="43" t="n">
        <f aca="false">I6+I7</f>
        <v>6658.06903938595</v>
      </c>
    </row>
    <row r="10" customFormat="false" ht="15" hidden="false" customHeight="true" outlineLevel="0" collapsed="false">
      <c r="A10" s="29" t="s">
        <v>208</v>
      </c>
      <c r="E10" s="62" t="n">
        <f aca="false">Assumptions!E50</f>
        <v>0.45</v>
      </c>
      <c r="F10" s="62" t="n">
        <f aca="false">Assumptions!F50</f>
        <v>0.48</v>
      </c>
      <c r="G10" s="62" t="n">
        <f aca="false">Assumptions!G50</f>
        <v>0.5</v>
      </c>
      <c r="H10" s="62" t="n">
        <f aca="false">Assumptions!H50</f>
        <v>0.52</v>
      </c>
      <c r="I10" s="62" t="n">
        <f aca="false">Assumptions!I50</f>
        <v>0.55</v>
      </c>
    </row>
    <row r="11" customFormat="false" ht="15" hidden="false" customHeight="true" outlineLevel="0" collapsed="false">
      <c r="A11" s="29" t="s">
        <v>209</v>
      </c>
      <c r="E11" s="63" t="n">
        <f aca="false">E6/Assumptions!$B$5</f>
        <v>3.71249844967266</v>
      </c>
      <c r="F11" s="63" t="n">
        <f aca="false">F6/Assumptions!$B$5</f>
        <v>3.77187739023773</v>
      </c>
      <c r="G11" s="63" t="n">
        <f aca="false">G6/Assumptions!$B$5</f>
        <v>3.75239309848938</v>
      </c>
      <c r="H11" s="63" t="n">
        <f aca="false">H6/Assumptions!$B$5</f>
        <v>4.02016388616293</v>
      </c>
      <c r="I11" s="63" t="n">
        <f aca="false">I6/Assumptions!$B$5</f>
        <v>4.3834492873109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210</v>
      </c>
    </row>
    <row r="2" customFormat="false" ht="15" hidden="false" customHeight="true" outlineLevel="0" collapsed="false">
      <c r="A2" s="3" t="s">
        <v>211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115</v>
      </c>
      <c r="B4" s="23" t="n">
        <f aca="false">'Income Statement'!B6</f>
        <v>27900</v>
      </c>
      <c r="C4" s="23" t="n">
        <f aca="false">'Income Statement'!C6</f>
        <v>32050</v>
      </c>
      <c r="D4" s="23" t="n">
        <f aca="false">'Income Statement'!D6</f>
        <v>39094</v>
      </c>
      <c r="E4" s="23" t="n">
        <f aca="false">'Income Statement'!E6</f>
        <v>44842.8939375</v>
      </c>
      <c r="F4" s="23" t="n">
        <f aca="false">'Income Statement'!F6</f>
        <v>48548.28260625</v>
      </c>
      <c r="G4" s="23" t="n">
        <f aca="false">'Income Statement'!G6</f>
        <v>51174.141320525</v>
      </c>
      <c r="H4" s="23" t="n">
        <f aca="false">'Income Statement'!H6</f>
        <v>53937.6311701136</v>
      </c>
      <c r="I4" s="23" t="n">
        <f aca="false">'Income Statement'!I6</f>
        <v>57340.956209161</v>
      </c>
    </row>
    <row r="5" customFormat="false" ht="15" hidden="false" customHeight="true" outlineLevel="0" collapsed="false">
      <c r="A5" s="4" t="s">
        <v>212</v>
      </c>
      <c r="B5" s="23" t="n">
        <f aca="false">'Income Statement'!B9</f>
        <v>20500</v>
      </c>
      <c r="C5" s="23" t="n">
        <f aca="false">'Income Statement'!C9</f>
        <v>24070</v>
      </c>
      <c r="D5" s="23" t="n">
        <f aca="false">'Income Statement'!D9</f>
        <v>29984</v>
      </c>
      <c r="E5" s="23" t="n">
        <f aca="false">'Income Statement'!E9</f>
        <v>34304.8138621875</v>
      </c>
      <c r="F5" s="23" t="n">
        <f aca="false">'Income Statement'!F9</f>
        <v>37139.4361937813</v>
      </c>
      <c r="G5" s="23" t="n">
        <f aca="false">'Income Statement'!G9</f>
        <v>39404.0888168043</v>
      </c>
      <c r="H5" s="23" t="n">
        <f aca="false">'Income Statement'!H9</f>
        <v>41639.8512633277</v>
      </c>
      <c r="I5" s="23" t="n">
        <f aca="false">'Income Statement'!I9</f>
        <v>44439.2410620998</v>
      </c>
    </row>
    <row r="6" customFormat="false" ht="15" hidden="false" customHeight="true" outlineLevel="0" collapsed="false">
      <c r="A6" s="4" t="s">
        <v>145</v>
      </c>
      <c r="B6" s="23" t="n">
        <f aca="false">'Income Statement'!B13</f>
        <v>16620</v>
      </c>
      <c r="C6" s="23" t="n">
        <f aca="false">'Income Statement'!C13</f>
        <v>19720</v>
      </c>
      <c r="D6" s="23" t="n">
        <f aca="false">'Income Statement'!D13</f>
        <v>24792</v>
      </c>
      <c r="E6" s="23" t="n">
        <f aca="false">'Income Statement'!E13</f>
        <v>27963.8378230359</v>
      </c>
      <c r="F6" s="23" t="n">
        <f aca="false">'Income Statement'!F13</f>
        <v>30104.0111976764</v>
      </c>
      <c r="G6" s="23" t="n">
        <f aca="false">'Income Statement'!G13</f>
        <v>31744.0012552238</v>
      </c>
      <c r="H6" s="23" t="n">
        <f aca="false">'Income Statement'!H13</f>
        <v>33480.4840045455</v>
      </c>
      <c r="I6" s="23" t="n">
        <f aca="false">'Income Statement'!I13</f>
        <v>35713.8666990535</v>
      </c>
    </row>
    <row r="7" customFormat="false" ht="15" hidden="false" customHeight="true" outlineLevel="0" collapsed="false">
      <c r="A7" s="4" t="s">
        <v>191</v>
      </c>
      <c r="B7" s="23" t="n">
        <f aca="false">'Balance Sheet'!B8</f>
        <v>846000</v>
      </c>
      <c r="C7" s="23" t="n">
        <f aca="false">'Balance Sheet'!C8</f>
        <v>974000</v>
      </c>
      <c r="D7" s="23" t="n">
        <f aca="false">'Balance Sheet'!D8</f>
        <v>1043000</v>
      </c>
      <c r="E7" s="23" t="n">
        <f aca="false">'Balance Sheet'!E8</f>
        <v>1095565</v>
      </c>
      <c r="F7" s="23" t="n">
        <f aca="false">'Balance Sheet'!F8</f>
        <v>1164613.25</v>
      </c>
      <c r="G7" s="23" t="n">
        <f aca="false">'Balance Sheet'!G8</f>
        <v>1249895.2335</v>
      </c>
      <c r="H7" s="23" t="n">
        <f aca="false">'Balance Sheet'!H8</f>
        <v>1336377.106335</v>
      </c>
      <c r="I7" s="23" t="n">
        <f aca="false">'Balance Sheet'!I8</f>
        <v>1423354.89312353</v>
      </c>
    </row>
    <row r="8" customFormat="false" ht="15" hidden="false" customHeight="true" outlineLevel="0" collapsed="false">
      <c r="A8" s="4" t="s">
        <v>213</v>
      </c>
      <c r="B8" s="23" t="n">
        <f aca="false">'Balance Sheet'!B5</f>
        <v>602000</v>
      </c>
      <c r="C8" s="23" t="n">
        <f aca="false">'Balance Sheet'!C5</f>
        <v>693400</v>
      </c>
      <c r="D8" s="23" t="n">
        <f aca="false">'Balance Sheet'!D5</f>
        <v>752800</v>
      </c>
      <c r="E8" s="23" t="n">
        <f aca="false">'Balance Sheet'!E5</f>
        <v>794204</v>
      </c>
      <c r="F8" s="23" t="n">
        <f aca="false">'Balance Sheet'!F5</f>
        <v>849798.28</v>
      </c>
      <c r="G8" s="23" t="n">
        <f aca="false">'Balance Sheet'!G5</f>
        <v>917782.1424</v>
      </c>
      <c r="H8" s="23" t="n">
        <f aca="false">'Balance Sheet'!H5</f>
        <v>986615.80308</v>
      </c>
      <c r="I8" s="23" t="n">
        <f aca="false">'Balance Sheet'!I5</f>
        <v>1055678.9092956</v>
      </c>
    </row>
    <row r="9" customFormat="false" ht="15" hidden="false" customHeight="true" outlineLevel="0" collapsed="false">
      <c r="A9" s="4" t="s">
        <v>192</v>
      </c>
      <c r="B9" s="23" t="n">
        <f aca="false">'Balance Sheet'!B10</f>
        <v>564000</v>
      </c>
      <c r="C9" s="23" t="n">
        <f aca="false">'Balance Sheet'!C10</f>
        <v>624000</v>
      </c>
      <c r="D9" s="23" t="n">
        <f aca="false">'Balance Sheet'!D10</f>
        <v>667000</v>
      </c>
      <c r="E9" s="23" t="n">
        <f aca="false">'Balance Sheet'!E10</f>
        <v>700350</v>
      </c>
      <c r="F9" s="23" t="n">
        <f aca="false">'Balance Sheet'!F10</f>
        <v>745872.75</v>
      </c>
      <c r="G9" s="23" t="n">
        <f aca="false">'Balance Sheet'!G10</f>
        <v>801813.20625</v>
      </c>
      <c r="H9" s="23" t="n">
        <f aca="false">'Balance Sheet'!H10</f>
        <v>857940.1306875</v>
      </c>
      <c r="I9" s="23" t="n">
        <f aca="false">'Balance Sheet'!I10</f>
        <v>913706.239182188</v>
      </c>
    </row>
    <row r="10" customFormat="false" ht="15" hidden="false" customHeight="true" outlineLevel="0" collapsed="false">
      <c r="A10" s="4" t="s">
        <v>195</v>
      </c>
      <c r="B10" s="23" t="n">
        <f aca="false">'Balance Sheet'!B13</f>
        <v>88000</v>
      </c>
      <c r="C10" s="23" t="n">
        <f aca="false">'Balance Sheet'!C13</f>
        <v>99000</v>
      </c>
      <c r="D10" s="23" t="n">
        <f aca="false">'Balance Sheet'!D13</f>
        <v>113000</v>
      </c>
      <c r="E10" s="23" t="n">
        <f aca="false">'Balance Sheet'!E13</f>
        <v>128380.11080267</v>
      </c>
      <c r="F10" s="23" t="n">
        <f aca="false">'Balance Sheet'!F13</f>
        <v>144034.196625462</v>
      </c>
      <c r="G10" s="23" t="n">
        <f aca="false">'Balance Sheet'!G13</f>
        <v>159906.197253073</v>
      </c>
      <c r="H10" s="23" t="n">
        <f aca="false">'Balance Sheet'!H13</f>
        <v>175976.829575255</v>
      </c>
      <c r="I10" s="23" t="n">
        <f aca="false">'Balance Sheet'!I13</f>
        <v>192048.069589829</v>
      </c>
    </row>
    <row r="11" customFormat="false" ht="15" hidden="false" customHeight="true" outlineLevel="0" collapsed="false">
      <c r="A11" s="4" t="s">
        <v>214</v>
      </c>
      <c r="B11" s="23" t="n">
        <f aca="false">'Balance Sheet'!B18</f>
        <v>494910</v>
      </c>
      <c r="C11" s="23" t="n">
        <f aca="false">'Balance Sheet'!C18</f>
        <v>569790</v>
      </c>
      <c r="D11" s="23" t="n">
        <f aca="false">'Balance Sheet'!D18</f>
        <v>610155</v>
      </c>
      <c r="E11" s="23" t="n">
        <f aca="false">'Balance Sheet'!E18</f>
        <v>640905.525</v>
      </c>
      <c r="F11" s="23" t="n">
        <f aca="false">'Balance Sheet'!F18</f>
        <v>681298.75125</v>
      </c>
      <c r="G11" s="23" t="n">
        <f aca="false">'Balance Sheet'!G18</f>
        <v>731188.7115975</v>
      </c>
      <c r="H11" s="23" t="n">
        <f aca="false">'Balance Sheet'!H18</f>
        <v>781780.607205975</v>
      </c>
      <c r="I11" s="23" t="n">
        <f aca="false">'Balance Sheet'!I18</f>
        <v>832662.612477262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1"/>
  </cols>
  <sheetData>
    <row r="1" customFormat="false" ht="15.75" hidden="false" customHeight="true" outlineLevel="0" collapsed="false">
      <c r="A1" s="2" t="s">
        <v>215</v>
      </c>
    </row>
    <row r="2" customFormat="false" ht="15" hidden="false" customHeight="true" outlineLevel="0" collapsed="false">
      <c r="A2" s="3" t="s">
        <v>216</v>
      </c>
    </row>
    <row r="3" customFormat="false" ht="15" hidden="false" customHeight="true" outlineLevel="0" collapsed="false">
      <c r="A3" s="14" t="s">
        <v>217</v>
      </c>
    </row>
    <row r="4" customFormat="false" ht="15" hidden="false" customHeight="true" outlineLevel="0" collapsed="false">
      <c r="B4" s="5" t="s">
        <v>218</v>
      </c>
      <c r="C4" s="5" t="s">
        <v>219</v>
      </c>
      <c r="D4" s="5" t="s">
        <v>220</v>
      </c>
      <c r="E4" s="5" t="s">
        <v>221</v>
      </c>
      <c r="F4" s="5" t="s">
        <v>222</v>
      </c>
    </row>
    <row r="5" customFormat="false" ht="15" hidden="false" customHeight="true" outlineLevel="0" collapsed="false">
      <c r="A5" s="4" t="s">
        <v>223</v>
      </c>
      <c r="B5" s="6" t="n">
        <v>58.7</v>
      </c>
      <c r="C5" s="6" t="n">
        <v>63.53</v>
      </c>
      <c r="D5" s="6" t="n">
        <v>66.08</v>
      </c>
      <c r="E5" s="6" t="n">
        <v>68.62</v>
      </c>
      <c r="F5" s="6" t="n">
        <v>73.15</v>
      </c>
    </row>
    <row r="6" customFormat="false" ht="15" hidden="false" customHeight="true" outlineLevel="0" collapsed="false">
      <c r="A6" s="4" t="s">
        <v>224</v>
      </c>
      <c r="B6" s="6" t="n">
        <v>54.27</v>
      </c>
      <c r="C6" s="6" t="n">
        <v>61.32</v>
      </c>
      <c r="D6" s="6" t="n">
        <v>65.95</v>
      </c>
      <c r="E6" s="6" t="n">
        <v>70.75</v>
      </c>
      <c r="F6" s="6" t="n">
        <v>78.7</v>
      </c>
    </row>
    <row r="8" customFormat="false" ht="15" hidden="false" customHeight="true" outlineLevel="0" collapsed="false">
      <c r="A8" s="4" t="s">
        <v>225</v>
      </c>
      <c r="D8" s="8" t="n">
        <f aca="false">Assumptions!$B$39</f>
        <v>0.1781</v>
      </c>
    </row>
    <row r="9" customFormat="false" ht="15" hidden="false" customHeight="true" outlineLevel="0" collapsed="false">
      <c r="A9" s="4" t="s">
        <v>226</v>
      </c>
      <c r="D9" s="8" t="n">
        <f aca="false">Assumptions!$B$40</f>
        <v>0.012</v>
      </c>
    </row>
    <row r="10" customFormat="false" ht="15" hidden="false" customHeight="true" outlineLevel="0" collapsed="false">
      <c r="A10" s="56" t="s">
        <v>227</v>
      </c>
      <c r="D10" s="64" t="n">
        <v>0.243</v>
      </c>
    </row>
    <row r="11" customFormat="false" ht="15" hidden="false" customHeight="true" outlineLevel="0" collapsed="false">
      <c r="A11" s="14" t="s">
        <v>228</v>
      </c>
    </row>
    <row r="12" customFormat="false" ht="15" hidden="false" customHeight="true" outlineLevel="0" collapsed="false">
      <c r="A12" s="37" t="s">
        <v>229</v>
      </c>
      <c r="B12" s="5" t="s">
        <v>230</v>
      </c>
      <c r="C12" s="5" t="s">
        <v>231</v>
      </c>
    </row>
    <row r="13" customFormat="false" ht="15" hidden="false" customHeight="true" outlineLevel="0" collapsed="false">
      <c r="A13" s="6" t="n">
        <v>74</v>
      </c>
      <c r="B13" s="20" t="n">
        <v>0.06</v>
      </c>
      <c r="C13" s="20" t="n">
        <v>0.24</v>
      </c>
    </row>
    <row r="14" customFormat="false" ht="15" hidden="false" customHeight="true" outlineLevel="0" collapsed="false">
      <c r="A14" s="6" t="n">
        <v>72</v>
      </c>
      <c r="B14" s="20" t="n">
        <v>0.12</v>
      </c>
      <c r="C14" s="20" t="n">
        <v>0.35</v>
      </c>
    </row>
    <row r="15" customFormat="false" ht="15" hidden="false" customHeight="true" outlineLevel="0" collapsed="false">
      <c r="A15" s="6" t="n">
        <v>70</v>
      </c>
      <c r="B15" s="20" t="n">
        <v>0.24</v>
      </c>
      <c r="C15" s="20" t="n">
        <v>0.5</v>
      </c>
    </row>
    <row r="16" customFormat="false" ht="15" hidden="false" customHeight="true" outlineLevel="0" collapsed="false">
      <c r="A16" s="6" t="n">
        <v>68</v>
      </c>
      <c r="B16" s="20" t="n">
        <v>0.49</v>
      </c>
      <c r="C16" s="20" t="n">
        <v>0.7</v>
      </c>
    </row>
    <row r="17" customFormat="false" ht="15" hidden="false" customHeight="true" outlineLevel="0" collapsed="false">
      <c r="A17" s="6" t="n">
        <v>66</v>
      </c>
      <c r="B17" s="20" t="n">
        <v>1</v>
      </c>
      <c r="C17" s="20" t="n">
        <v>1</v>
      </c>
    </row>
    <row r="18" customFormat="false" ht="15" hidden="false" customHeight="true" outlineLevel="0" collapsed="false">
      <c r="A18" s="6" t="n">
        <v>64</v>
      </c>
      <c r="B18" s="20" t="n">
        <v>0.46</v>
      </c>
      <c r="C18" s="20" t="n">
        <v>0.67</v>
      </c>
    </row>
    <row r="19" customFormat="false" ht="15" hidden="false" customHeight="true" outlineLevel="0" collapsed="false">
      <c r="A19" s="6" t="n">
        <v>62</v>
      </c>
      <c r="B19" s="20" t="n">
        <v>0.23</v>
      </c>
      <c r="C19" s="20" t="n">
        <v>0.48</v>
      </c>
    </row>
    <row r="20" customFormat="false" ht="15" hidden="false" customHeight="true" outlineLevel="0" collapsed="false">
      <c r="A20" s="6" t="n">
        <v>60</v>
      </c>
      <c r="B20" s="20" t="n">
        <v>0.12</v>
      </c>
      <c r="C20" s="20" t="n">
        <v>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0"/>
  </cols>
  <sheetData>
    <row r="1" customFormat="false" ht="15.7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4" customFormat="false" ht="15" hidden="false" customHeight="true" outlineLevel="0" collapsed="false">
      <c r="A4" s="14" t="s">
        <v>234</v>
      </c>
      <c r="B4" s="20" t="n">
        <v>0.04</v>
      </c>
      <c r="C4" s="20" t="n">
        <v>0.045</v>
      </c>
      <c r="D4" s="20" t="n">
        <v>0.05</v>
      </c>
      <c r="E4" s="20" t="n">
        <v>0.055</v>
      </c>
      <c r="F4" s="20" t="n">
        <v>0.06</v>
      </c>
    </row>
    <row r="5" customFormat="false" ht="15" hidden="false" customHeight="true" outlineLevel="0" collapsed="false">
      <c r="A5" s="20" t="n">
        <v>0.085</v>
      </c>
      <c r="B5" s="25" t="n">
        <f aca="false">(DDM!$E$7/(1+$A5)^1+DDM!$F$7/(1+$A5)^2+DDM!$G$7/(1+$A5)^3+DDM!$H$7/(1+$A5)^4+DDM!$I$7/(1+$A5)^5)+(DDM!$I$7*(1+B$4)/($A5-B$4))/(1+$A5)^5</f>
        <v>60.63841602576</v>
      </c>
      <c r="C5" s="25" t="n">
        <f aca="false">(DDM!$E$7/(1+$A5)^1+DDM!$F$7/(1+$A5)^2+DDM!$G$7/(1+$A5)^3+DDM!$H$7/(1+$A5)^4+DDM!$I$7/(1+$A5)^5)+(DDM!$I$7*(1+C$4)/($A5-C$4))/(1+$A5)^5</f>
        <v>67.2002744938136</v>
      </c>
      <c r="D5" s="25" t="n">
        <f aca="false">(DDM!$E$7/(1+$A5)^1+DDM!$F$7/(1+$A5)^2+DDM!$G$7/(1+$A5)^3+DDM!$H$7/(1+$A5)^4+DDM!$I$7/(1+$A5)^5)+(DDM!$I$7*(1+D$4)/($A5-D$4))/(1+$A5)^5</f>
        <v>75.6369496670254</v>
      </c>
      <c r="E5" s="25" t="n">
        <f aca="false">(DDM!$E$7/(1+$A5)^1+DDM!$F$7/(1+$A5)^2+DDM!$G$7/(1+$A5)^3+DDM!$H$7/(1+$A5)^4+DDM!$I$7/(1+$A5)^5)+(DDM!$I$7*(1+E$4)/($A5-E$4))/(1+$A5)^5</f>
        <v>86.8858498979745</v>
      </c>
      <c r="F5" s="25" t="n">
        <f aca="false">(DDM!$E$7/(1+$A5)^1+DDM!$F$7/(1+$A5)^2+DDM!$G$7/(1+$A5)^3+DDM!$H$7/(1+$A5)^4+DDM!$I$7/(1+$A5)^5)+(DDM!$I$7*(1+F$4)/($A5-F$4))/(1+$A5)^5</f>
        <v>102.634310221303</v>
      </c>
    </row>
    <row r="6" customFormat="false" ht="15" hidden="false" customHeight="true" outlineLevel="0" collapsed="false">
      <c r="A6" s="20" t="n">
        <v>0.09</v>
      </c>
      <c r="B6" s="25" t="n">
        <f aca="false">(DDM!$E$7/(1+$A6)^1+DDM!$F$7/(1+$A6)^2+DDM!$G$7/(1+$A6)^3+DDM!$H$7/(1+$A6)^4+DDM!$I$7/(1+$A6)^5)+(DDM!$I$7*(1+B$4)/($A6-B$4))/(1+$A6)^5</f>
        <v>54.4338717350069</v>
      </c>
      <c r="C6" s="25" t="n">
        <f aca="false">(DDM!$E$7/(1+$A6)^1+DDM!$F$7/(1+$A6)^2+DDM!$G$7/(1+$A6)^3+DDM!$H$7/(1+$A6)^4+DDM!$I$7/(1+$A6)^5)+(DDM!$I$7*(1+C$4)/($A6-C$4))/(1+$A6)^5</f>
        <v>59.5876983849429</v>
      </c>
      <c r="D6" s="25" t="n">
        <f aca="false">(DDM!$E$7/(1+$A6)^1+DDM!$F$7/(1+$A6)^2+DDM!$G$7/(1+$A6)^3+DDM!$H$7/(1+$A6)^4+DDM!$I$7/(1+$A6)^5)+(DDM!$I$7*(1+D$4)/($A6-D$4))/(1+$A6)^5</f>
        <v>66.0299816973629</v>
      </c>
      <c r="E6" s="25" t="n">
        <f aca="false">(DDM!$E$7/(1+$A6)^1+DDM!$F$7/(1+$A6)^2+DDM!$G$7/(1+$A6)^3+DDM!$H$7/(1+$A6)^4+DDM!$I$7/(1+$A6)^5)+(DDM!$I$7*(1+E$4)/($A6-E$4))/(1+$A6)^5</f>
        <v>74.31291738476</v>
      </c>
      <c r="F6" s="25" t="n">
        <f aca="false">(DDM!$E$7/(1+$A6)^1+DDM!$F$7/(1+$A6)^2+DDM!$G$7/(1+$A6)^3+DDM!$H$7/(1+$A6)^4+DDM!$I$7/(1+$A6)^5)+(DDM!$I$7*(1+F$4)/($A6-F$4))/(1+$A6)^5</f>
        <v>85.3568316346229</v>
      </c>
    </row>
    <row r="7" customFormat="false" ht="15" hidden="false" customHeight="true" outlineLevel="0" collapsed="false">
      <c r="A7" s="20" t="n">
        <v>0.095</v>
      </c>
      <c r="B7" s="25" t="n">
        <f aca="false">(DDM!$E$7/(1+$A7)^1+DDM!$F$7/(1+$A7)^2+DDM!$G$7/(1+$A7)^3+DDM!$H$7/(1+$A7)^4+DDM!$I$7/(1+$A7)^5)+(DDM!$I$7*(1+B$4)/($A7-B$4))/(1+$A7)^5</f>
        <v>49.3597793405156</v>
      </c>
      <c r="C7" s="25" t="n">
        <f aca="false">(DDM!$E$7/(1+$A7)^1+DDM!$F$7/(1+$A7)^2+DDM!$G$7/(1+$A7)^3+DDM!$H$7/(1+$A7)^4+DDM!$I$7/(1+$A7)^5)+(DDM!$I$7*(1+C$4)/($A7-C$4))/(1+$A7)^5</f>
        <v>53.5000539399761</v>
      </c>
      <c r="D7" s="25" t="n">
        <f aca="false">(DDM!$E$7/(1+$A7)^1+DDM!$F$7/(1+$A7)^2+DDM!$G$7/(1+$A7)^3+DDM!$H$7/(1+$A7)^4+DDM!$I$7/(1+$A7)^5)+(DDM!$I$7*(1+D$4)/($A7-D$4))/(1+$A7)^5</f>
        <v>58.560389561539</v>
      </c>
      <c r="E7" s="25" t="n">
        <f aca="false">(DDM!$E$7/(1+$A7)^1+DDM!$F$7/(1+$A7)^2+DDM!$G$7/(1+$A7)^3+DDM!$H$7/(1+$A7)^4+DDM!$I$7/(1+$A7)^5)+(DDM!$I$7*(1+E$4)/($A7-E$4))/(1+$A7)^5</f>
        <v>64.8858090884925</v>
      </c>
      <c r="F7" s="25" t="n">
        <f aca="false">(DDM!$E$7/(1+$A7)^1+DDM!$F$7/(1+$A7)^2+DDM!$G$7/(1+$A7)^3+DDM!$H$7/(1+$A7)^4+DDM!$I$7/(1+$A7)^5)+(DDM!$I$7*(1+F$4)/($A7-F$4))/(1+$A7)^5</f>
        <v>73.0184913374328</v>
      </c>
    </row>
    <row r="8" customFormat="false" ht="15" hidden="false" customHeight="true" outlineLevel="0" collapsed="false">
      <c r="A8" s="20" t="n">
        <v>0.1</v>
      </c>
      <c r="B8" s="25" t="n">
        <f aca="false">(DDM!$E$7/(1+$A8)^1+DDM!$F$7/(1+$A8)^2+DDM!$G$7/(1+$A8)^3+DDM!$H$7/(1+$A8)^4+DDM!$I$7/(1+$A8)^5)+(DDM!$I$7*(1+B$4)/($A8-B$4))/(1+$A8)^5</f>
        <v>45.1334738233323</v>
      </c>
      <c r="C8" s="25" t="n">
        <f aca="false">(DDM!$E$7/(1+$A8)^1+DDM!$F$7/(1+$A8)^2+DDM!$G$7/(1+$A8)^3+DDM!$H$7/(1+$A8)^4+DDM!$I$7/(1+$A8)^5)+(DDM!$I$7*(1+C$4)/($A8-C$4))/(1+$A8)^5</f>
        <v>48.5213976425778</v>
      </c>
      <c r="D8" s="25" t="n">
        <f aca="false">(DDM!$E$7/(1+$A8)^1+DDM!$F$7/(1+$A8)^2+DDM!$G$7/(1+$A8)^3+DDM!$H$7/(1+$A8)^4+DDM!$I$7/(1+$A8)^5)+(DDM!$I$7*(1+D$4)/($A8-D$4))/(1+$A8)^5</f>
        <v>52.5869062256725</v>
      </c>
      <c r="E8" s="25" t="n">
        <f aca="false">(DDM!$E$7/(1+$A8)^1+DDM!$F$7/(1+$A8)^2+DDM!$G$7/(1+$A8)^3+DDM!$H$7/(1+$A8)^4+DDM!$I$7/(1+$A8)^5)+(DDM!$I$7*(1+E$4)/($A8-E$4))/(1+$A8)^5</f>
        <v>57.555861160566</v>
      </c>
      <c r="F8" s="25" t="n">
        <f aca="false">(DDM!$E$7/(1+$A8)^1+DDM!$F$7/(1+$A8)^2+DDM!$G$7/(1+$A8)^3+DDM!$H$7/(1+$A8)^4+DDM!$I$7/(1+$A8)^5)+(DDM!$I$7*(1+F$4)/($A8-F$4))/(1+$A8)^5</f>
        <v>63.7670548291829</v>
      </c>
    </row>
    <row r="9" customFormat="false" ht="15" hidden="false" customHeight="true" outlineLevel="0" collapsed="false">
      <c r="A9" s="20" t="n">
        <v>0.105</v>
      </c>
      <c r="B9" s="25" t="n">
        <f aca="false">(DDM!$E$7/(1+$A9)^1+DDM!$F$7/(1+$A9)^2+DDM!$G$7/(1+$A9)^3+DDM!$H$7/(1+$A9)^4+DDM!$I$7/(1+$A9)^5)+(DDM!$I$7*(1+B$4)/($A9-B$4))/(1+$A9)^5</f>
        <v>41.5592654209093</v>
      </c>
      <c r="C9" s="25" t="n">
        <f aca="false">(DDM!$E$7/(1+$A9)^1+DDM!$F$7/(1+$A9)^2+DDM!$G$7/(1+$A9)^3+DDM!$H$7/(1+$A9)^4+DDM!$I$7/(1+$A9)^5)+(DDM!$I$7*(1+C$4)/($A9-C$4))/(1+$A9)^5</f>
        <v>44.3744352385302</v>
      </c>
      <c r="D9" s="25" t="n">
        <f aca="false">(DDM!$E$7/(1+$A9)^1+DDM!$F$7/(1+$A9)^2+DDM!$G$7/(1+$A9)^3+DDM!$H$7/(1+$A9)^4+DDM!$I$7/(1+$A9)^5)+(DDM!$I$7*(1+D$4)/($A9-D$4))/(1+$A9)^5</f>
        <v>47.7014541139004</v>
      </c>
      <c r="E9" s="25" t="n">
        <f aca="false">(DDM!$E$7/(1+$A9)^1+DDM!$F$7/(1+$A9)^2+DDM!$G$7/(1+$A9)^3+DDM!$H$7/(1+$A9)^4+DDM!$I$7/(1+$A9)^5)+(DDM!$I$7*(1+E$4)/($A9-E$4))/(1+$A9)^5</f>
        <v>51.6938767643445</v>
      </c>
      <c r="F9" s="25" t="n">
        <f aca="false">(DDM!$E$7/(1+$A9)^1+DDM!$F$7/(1+$A9)^2+DDM!$G$7/(1+$A9)^3+DDM!$H$7/(1+$A9)^4+DDM!$I$7/(1+$A9)^5)+(DDM!$I$7*(1+F$4)/($A9-F$4))/(1+$A9)^5</f>
        <v>56.5735044482208</v>
      </c>
    </row>
    <row r="11" customFormat="false" ht="15" hidden="false" customHeight="true" outlineLevel="0" collapsed="false">
      <c r="A11" s="33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236</v>
      </c>
    </row>
    <row r="2" customFormat="false" ht="15" hidden="false" customHeight="true" outlineLevel="0" collapsed="false">
      <c r="A2" s="3" t="s">
        <v>237</v>
      </c>
    </row>
    <row r="3" customFormat="false" ht="15" hidden="false" customHeight="true" outlineLevel="0" collapsed="false">
      <c r="B3" s="5" t="s">
        <v>108</v>
      </c>
      <c r="C3" s="5" t="s">
        <v>109</v>
      </c>
      <c r="D3" s="5" t="s">
        <v>110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15" hidden="false" customHeight="true" outlineLevel="0" collapsed="false">
      <c r="A4" s="4" t="s">
        <v>238</v>
      </c>
      <c r="B4" s="25" t="n">
        <f aca="false">'Income Statement'!B13/Assumptions!$B$5</f>
        <v>2.77</v>
      </c>
      <c r="C4" s="25" t="n">
        <f aca="false">'Income Statement'!C13/Assumptions!$B$5</f>
        <v>3.28666666666667</v>
      </c>
      <c r="D4" s="25" t="n">
        <f aca="false">'Income Statement'!D13/Assumptions!$B$5</f>
        <v>4.132</v>
      </c>
      <c r="E4" s="25" t="n">
        <f aca="false">'Income Statement'!E13/Assumptions!$B$5</f>
        <v>4.66063963717266</v>
      </c>
      <c r="F4" s="25" t="n">
        <f aca="false">'Income Statement'!F13/Assumptions!$B$5</f>
        <v>5.01733519961273</v>
      </c>
      <c r="G4" s="25" t="n">
        <f aca="false">'Income Statement'!G13/Assumptions!$B$5</f>
        <v>5.29066687587063</v>
      </c>
      <c r="H4" s="25" t="n">
        <f aca="false">'Income Statement'!H13/Assumptions!$B$5</f>
        <v>5.58008066742424</v>
      </c>
      <c r="I4" s="25" t="n">
        <f aca="false">'Income Statement'!I13/Assumptions!$B$5</f>
        <v>5.95231111650891</v>
      </c>
    </row>
    <row r="5" customFormat="false" ht="15" hidden="false" customHeight="true" outlineLevel="0" collapsed="false">
      <c r="A5" s="4" t="s">
        <v>239</v>
      </c>
      <c r="B5" s="25" t="n">
        <f aca="false">'Income Statement'!B13/Assumptions!$B$5*IF(ISNUMBER(Assumptions!B50),Assumptions!B50,0)</f>
        <v>0</v>
      </c>
      <c r="C5" s="25" t="n">
        <f aca="false">'Income Statement'!C13/Assumptions!$B$5*IF(ISNUMBER(Assumptions!C50),Assumptions!C50,0)</f>
        <v>0</v>
      </c>
      <c r="D5" s="25" t="n">
        <f aca="false">'Income Statement'!D13/Assumptions!$B$5*IF(ISNUMBER(Assumptions!D50),Assumptions!D50,0)</f>
        <v>0</v>
      </c>
      <c r="E5" s="25" t="n">
        <f aca="false">'Income Statement'!E13/Assumptions!$B$5*IF(ISNUMBER(Assumptions!E50),Assumptions!E50,0)</f>
        <v>2.0972878367277</v>
      </c>
      <c r="F5" s="25" t="n">
        <f aca="false">'Income Statement'!F13/Assumptions!$B$5*IF(ISNUMBER(Assumptions!F50),Assumptions!F50,0)</f>
        <v>2.40832089581411</v>
      </c>
      <c r="G5" s="25" t="n">
        <f aca="false">'Income Statement'!G13/Assumptions!$B$5*IF(ISNUMBER(Assumptions!G50),Assumptions!G50,0)</f>
        <v>2.64533343793531</v>
      </c>
      <c r="H5" s="25" t="n">
        <f aca="false">'Income Statement'!H13/Assumptions!$B$5*IF(ISNUMBER(Assumptions!H50),Assumptions!H50,0)</f>
        <v>2.90164194706061</v>
      </c>
      <c r="I5" s="25" t="n">
        <f aca="false">'Income Statement'!I13/Assumptions!$B$5*IF(ISNUMBER(Assumptions!I50),Assumptions!I50,0)</f>
        <v>3.2737711140799</v>
      </c>
    </row>
    <row r="6" customFormat="false" ht="15" hidden="false" customHeight="true" outlineLevel="0" collapsed="false">
      <c r="A6" s="4" t="s">
        <v>240</v>
      </c>
      <c r="B6" s="25" t="n">
        <f aca="false">'Balance Sheet'!B13/Assumptions!$B$5</f>
        <v>14.6666666666667</v>
      </c>
      <c r="C6" s="25" t="n">
        <f aca="false">'Balance Sheet'!C13/Assumptions!$B$5</f>
        <v>16.5</v>
      </c>
      <c r="D6" s="25" t="n">
        <f aca="false">'Balance Sheet'!D13/Assumptions!$B$5</f>
        <v>18.8333333333333</v>
      </c>
      <c r="E6" s="25" t="n">
        <f aca="false">'Balance Sheet'!E13/Assumptions!$B$5</f>
        <v>21.3966851337783</v>
      </c>
      <c r="F6" s="25" t="n">
        <f aca="false">'Balance Sheet'!F13/Assumptions!$B$5</f>
        <v>24.0056994375769</v>
      </c>
      <c r="G6" s="25" t="n">
        <f aca="false">'Balance Sheet'!G13/Assumptions!$B$5</f>
        <v>26.6510328755122</v>
      </c>
      <c r="H6" s="25" t="n">
        <f aca="false">'Balance Sheet'!H13/Assumptions!$B$5</f>
        <v>29.3294715958759</v>
      </c>
      <c r="I6" s="25" t="n">
        <f aca="false">'Balance Sheet'!I13/Assumptions!$B$5</f>
        <v>32.0080115983049</v>
      </c>
    </row>
    <row r="7" customFormat="false" ht="15" hidden="false" customHeight="true" outlineLevel="0" collapsed="false">
      <c r="A7" s="4" t="s">
        <v>241</v>
      </c>
      <c r="B7" s="32" t="n">
        <f aca="false">Assumptions!$B$4/B4</f>
        <v>23.826714801444</v>
      </c>
      <c r="C7" s="32" t="n">
        <f aca="false">Assumptions!$B$4/C4</f>
        <v>20.0811359026369</v>
      </c>
      <c r="D7" s="32" t="n">
        <f aca="false">Assumptions!$B$4/D4</f>
        <v>15.972894482091</v>
      </c>
      <c r="E7" s="32" t="n">
        <f aca="false">Assumptions!$B$4/E4</f>
        <v>14.1611463528724</v>
      </c>
      <c r="F7" s="32" t="n">
        <f aca="false">Assumptions!$B$4/F4</f>
        <v>13.1543931936408</v>
      </c>
      <c r="G7" s="32" t="n">
        <f aca="false">Assumptions!$B$4/G4</f>
        <v>12.4747978938173</v>
      </c>
      <c r="H7" s="32" t="n">
        <f aca="false">Assumptions!$B$4/H4</f>
        <v>11.8277860005321</v>
      </c>
      <c r="I7" s="32" t="n">
        <f aca="false">Assumptions!$B$4/I4</f>
        <v>11.0881300906713</v>
      </c>
    </row>
    <row r="8" customFormat="false" ht="15" hidden="false" customHeight="true" outlineLevel="0" collapsed="false">
      <c r="A8" s="4" t="s">
        <v>242</v>
      </c>
      <c r="B8" s="32" t="n">
        <f aca="false">Assumptions!$B$4/B6</f>
        <v>4.5</v>
      </c>
      <c r="C8" s="32" t="n">
        <f aca="false">Assumptions!$B$4/C6</f>
        <v>4</v>
      </c>
      <c r="D8" s="32" t="n">
        <f aca="false">Assumptions!$B$4/D6</f>
        <v>3.50442477876106</v>
      </c>
      <c r="E8" s="32" t="n">
        <f aca="false">Assumptions!$B$4/E6</f>
        <v>3.08458995341329</v>
      </c>
      <c r="F8" s="32" t="n">
        <f aca="false">Assumptions!$B$4/F6</f>
        <v>2.74934709449407</v>
      </c>
      <c r="G8" s="32" t="n">
        <f aca="false">Assumptions!$B$4/G6</f>
        <v>2.47645186242079</v>
      </c>
      <c r="H8" s="32" t="n">
        <f aca="false">Assumptions!$B$4/H6</f>
        <v>2.25029625181793</v>
      </c>
      <c r="I8" s="32" t="n">
        <f aca="false">Assumptions!$B$4/I6</f>
        <v>2.06198375670094</v>
      </c>
    </row>
    <row r="9" customFormat="false" ht="15" hidden="false" customHeight="true" outlineLevel="0" collapsed="false">
      <c r="A9" s="4" t="s">
        <v>243</v>
      </c>
      <c r="C9" s="27" t="n">
        <f aca="false">'Income Statement'!C13/AVERAGE('Balance Sheet'!B13,'Balance Sheet'!C13)</f>
        <v>0.210909090909091</v>
      </c>
      <c r="D9" s="27" t="n">
        <f aca="false">'Income Statement'!D13/AVERAGE('Balance Sheet'!C13,'Balance Sheet'!D13)</f>
        <v>0.23388679245283</v>
      </c>
      <c r="E9" s="27" t="n">
        <f aca="false">'Income Statement'!E13/AVERAGE('Balance Sheet'!D13,'Balance Sheet'!E13)</f>
        <v>0.231699602175563</v>
      </c>
      <c r="F9" s="27" t="n">
        <f aca="false">'Income Statement'!F13/AVERAGE('Balance Sheet'!E13,'Balance Sheet'!F13)</f>
        <v>0.221016373786597</v>
      </c>
      <c r="G9" s="27" t="n">
        <f aca="false">'Income Statement'!G13/AVERAGE('Balance Sheet'!F13,'Balance Sheet'!G13)</f>
        <v>0.208883069802889</v>
      </c>
      <c r="H9" s="27" t="n">
        <f aca="false">'Income Statement'!H13/AVERAGE('Balance Sheet'!G13,'Balance Sheet'!H13)</f>
        <v>0.199357998650271</v>
      </c>
      <c r="I9" s="27" t="n">
        <f aca="false">'Income Statement'!I13/AVERAGE('Balance Sheet'!H13,'Balance Sheet'!I13)</f>
        <v>0.194083969753543</v>
      </c>
    </row>
    <row r="10" customFormat="false" ht="15" hidden="false" customHeight="true" outlineLevel="0" collapsed="false">
      <c r="A10" s="4" t="s">
        <v>244</v>
      </c>
      <c r="C10" s="27" t="n">
        <f aca="false">'Income Statement'!C13/AVERAGE('Balance Sheet'!B8,'Balance Sheet'!C8)</f>
        <v>0.0216703296703297</v>
      </c>
      <c r="D10" s="27" t="n">
        <f aca="false">'Income Statement'!D13/AVERAGE('Balance Sheet'!C8,'Balance Sheet'!D8)</f>
        <v>0.024583044124938</v>
      </c>
      <c r="E10" s="27" t="n">
        <f aca="false">'Income Statement'!E13/AVERAGE('Balance Sheet'!D8,'Balance Sheet'!E8)</f>
        <v>0.0261519643527655</v>
      </c>
      <c r="F10" s="27" t="n">
        <f aca="false">'Income Statement'!F13/AVERAGE('Balance Sheet'!E8,'Balance Sheet'!F8)</f>
        <v>0.026638616841549</v>
      </c>
      <c r="G10" s="27" t="n">
        <f aca="false">'Income Statement'!G13/AVERAGE('Balance Sheet'!F8,'Balance Sheet'!G8)</f>
        <v>0.0262943795577049</v>
      </c>
      <c r="H10" s="27" t="n">
        <f aca="false">'Income Statement'!H13/AVERAGE('Balance Sheet'!G8,'Balance Sheet'!H8)</f>
        <v>0.0258909191339698</v>
      </c>
      <c r="I10" s="27" t="n">
        <f aca="false">'Income Statement'!I13/AVERAGE('Balance Sheet'!H8,'Balance Sheet'!I8)</f>
        <v>0.025882126747134</v>
      </c>
    </row>
    <row r="11" customFormat="false" ht="15" hidden="false" customHeight="true" outlineLevel="0" collapsed="false">
      <c r="A11" s="4" t="s">
        <v>245</v>
      </c>
      <c r="B11" s="27" t="n">
        <f aca="false">B5/Assumptions!$B$4</f>
        <v>0</v>
      </c>
      <c r="C11" s="27" t="n">
        <f aca="false">C5/Assumptions!$B$4</f>
        <v>0</v>
      </c>
      <c r="D11" s="27" t="n">
        <f aca="false">D5/Assumptions!$B$4</f>
        <v>0</v>
      </c>
      <c r="E11" s="27" t="n">
        <f aca="false">E5/Assumptions!$B$4</f>
        <v>0.0317770884352681</v>
      </c>
      <c r="F11" s="27" t="n">
        <f aca="false">F5/Assumptions!$B$4</f>
        <v>0.0364897105426381</v>
      </c>
      <c r="G11" s="27" t="n">
        <f aca="false">G5/Assumptions!$B$4</f>
        <v>0.0400808096656866</v>
      </c>
      <c r="H11" s="27" t="n">
        <f aca="false">H5/Assumptions!$B$4</f>
        <v>0.0439642719251607</v>
      </c>
      <c r="I11" s="27" t="n">
        <f aca="false">I5/Assumptions!$B$4</f>
        <v>0.0496025926375743</v>
      </c>
    </row>
    <row r="12" customFormat="false" ht="15" hidden="false" customHeight="true" outlineLevel="0" collapsed="false">
      <c r="A12" s="4" t="s">
        <v>77</v>
      </c>
      <c r="B12" s="27" t="n">
        <f aca="false">'Income Statement'!B16</f>
        <v>0.265232974910394</v>
      </c>
      <c r="C12" s="27" t="n">
        <f aca="false">'Income Statement'!C16</f>
        <v>0.248985959438378</v>
      </c>
      <c r="D12" s="27" t="n">
        <f aca="false">'Income Statement'!D16</f>
        <v>0.233028086151328</v>
      </c>
      <c r="E12" s="27" t="n">
        <f aca="false">'Income Statement'!E16</f>
        <v>0.235</v>
      </c>
      <c r="F12" s="27" t="n">
        <f aca="false">'Income Statement'!F16</f>
        <v>0.235</v>
      </c>
      <c r="G12" s="27" t="n">
        <f aca="false">'Income Statement'!G16</f>
        <v>0.23</v>
      </c>
      <c r="H12" s="27" t="n">
        <f aca="false">'Income Statement'!H16</f>
        <v>0.228</v>
      </c>
      <c r="I12" s="27" t="n">
        <f aca="false">'Income Statement'!I16</f>
        <v>0.225</v>
      </c>
    </row>
    <row r="13" customFormat="false" ht="15" hidden="false" customHeight="true" outlineLevel="0" collapsed="false">
      <c r="A13" s="4" t="s">
        <v>78</v>
      </c>
      <c r="D13" s="65" t="n">
        <f aca="false">-'Income Statement'!D10/AVERAGE('Balance Sheet'!C5,'Balance Sheet'!D5)*10000</f>
        <v>32.0840824229014</v>
      </c>
      <c r="E13" s="65" t="n">
        <f aca="false">-'Income Statement'!E10/AVERAGE('Balance Sheet'!D5,'Balance Sheet'!E5)*10000</f>
        <v>35</v>
      </c>
      <c r="F13" s="65" t="n">
        <f aca="false">-'Income Statement'!F10/AVERAGE('Balance Sheet'!E5,'Balance Sheet'!F5)*10000</f>
        <v>38</v>
      </c>
      <c r="G13" s="65" t="n">
        <f aca="false">-'Income Statement'!G10/AVERAGE('Balance Sheet'!F5,'Balance Sheet'!G5)*10000</f>
        <v>40</v>
      </c>
      <c r="H13" s="65" t="n">
        <f aca="false">-'Income Statement'!H10/AVERAGE('Balance Sheet'!G5,'Balance Sheet'!H5)*10000</f>
        <v>40</v>
      </c>
      <c r="I13" s="65" t="n">
        <f aca="false">-'Income Statement'!I10/AVERAGE('Balance Sheet'!H5,'Balance Sheet'!I5)*10000</f>
        <v>40</v>
      </c>
    </row>
    <row r="14" customFormat="false" ht="15" hidden="false" customHeight="true" outlineLevel="0" collapsed="false">
      <c r="A14" s="4" t="s">
        <v>246</v>
      </c>
      <c r="B14" s="27" t="n">
        <f aca="false">'Balance Sheet'!B19</f>
        <v>0.177810106888121</v>
      </c>
      <c r="C14" s="27" t="n">
        <f aca="false">'Balance Sheet'!C19</f>
        <v>0.173748223029537</v>
      </c>
      <c r="D14" s="27" t="n">
        <f aca="false">'Balance Sheet'!D19</f>
        <v>0.185198842916964</v>
      </c>
      <c r="E14" s="27" t="n">
        <f aca="false">'Balance Sheet'!E19</f>
        <v>0.200310507235321</v>
      </c>
      <c r="F14" s="27" t="n">
        <f aca="false">'Balance Sheet'!F19</f>
        <v>0.211411214773545</v>
      </c>
      <c r="G14" s="27" t="n">
        <f aca="false">'Balance Sheet'!G19</f>
        <v>0.218693470942283</v>
      </c>
      <c r="H14" s="27" t="n">
        <f aca="false">'Balance Sheet'!H19</f>
        <v>0.225097460787859</v>
      </c>
      <c r="I14" s="27" t="n">
        <f aca="false">'Balance Sheet'!I19</f>
        <v>0.230643320250041</v>
      </c>
    </row>
    <row r="15" customFormat="false" ht="15" hidden="false" customHeight="true" outlineLevel="0" collapsed="false">
      <c r="A15" s="4" t="s">
        <v>247</v>
      </c>
      <c r="B15" s="27" t="n">
        <f aca="false">'Balance Sheet'!B20</f>
        <v>1.06737588652482</v>
      </c>
      <c r="C15" s="27" t="n">
        <f aca="false">'Balance Sheet'!C20</f>
        <v>1.11121794871795</v>
      </c>
      <c r="D15" s="27" t="n">
        <f aca="false">'Balance Sheet'!D20</f>
        <v>1.12863568215892</v>
      </c>
      <c r="E15" s="27" t="n">
        <f aca="false">'Balance Sheet'!E20</f>
        <v>1.13401013778825</v>
      </c>
      <c r="F15" s="27" t="n">
        <f aca="false">'Balance Sheet'!F20</f>
        <v>1.13933412904547</v>
      </c>
      <c r="G15" s="27" t="n">
        <f aca="false">'Balance Sheet'!G20</f>
        <v>1.14463335755266</v>
      </c>
      <c r="H15" s="27" t="n">
        <f aca="false">'Balance Sheet'!H20</f>
        <v>1.14998211155991</v>
      </c>
      <c r="I15" s="27" t="n">
        <f aca="false">'Balance Sheet'!I20</f>
        <v>1.15538108860949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0"/>
  </cols>
  <sheetData>
    <row r="1" customFormat="false" ht="15.75" hidden="false" customHeight="true" outlineLevel="0" collapsed="false">
      <c r="A1" s="2" t="s">
        <v>248</v>
      </c>
    </row>
    <row r="2" customFormat="false" ht="15" hidden="false" customHeight="true" outlineLevel="0" collapsed="false">
      <c r="A2" s="3" t="s">
        <v>249</v>
      </c>
    </row>
    <row r="3" customFormat="false" ht="15" hidden="false" customHeight="true" outlineLevel="0" collapsed="false">
      <c r="B3" s="5" t="s">
        <v>242</v>
      </c>
      <c r="C3" s="5" t="s">
        <v>241</v>
      </c>
      <c r="D3" s="5" t="s">
        <v>250</v>
      </c>
    </row>
    <row r="4" customFormat="false" ht="15" hidden="false" customHeight="true" outlineLevel="0" collapsed="false">
      <c r="A4" s="14" t="s">
        <v>251</v>
      </c>
      <c r="B4" s="21" t="n">
        <v>3.5</v>
      </c>
      <c r="C4" s="21" t="n">
        <v>16.9</v>
      </c>
      <c r="D4" s="20" t="n">
        <v>0.234</v>
      </c>
    </row>
    <row r="5" customFormat="false" ht="15" hidden="false" customHeight="true" outlineLevel="0" collapsed="false">
      <c r="A5" s="4" t="s">
        <v>252</v>
      </c>
      <c r="B5" s="21" t="n">
        <v>1.6</v>
      </c>
      <c r="C5" s="21" t="n">
        <v>11.5</v>
      </c>
      <c r="D5" s="20" t="n">
        <v>0.135</v>
      </c>
    </row>
    <row r="6" customFormat="false" ht="15" hidden="false" customHeight="true" outlineLevel="0" collapsed="false">
      <c r="A6" s="4" t="s">
        <v>253</v>
      </c>
      <c r="B6" s="21" t="n">
        <v>1.7</v>
      </c>
      <c r="C6" s="21" t="n">
        <v>10.5</v>
      </c>
      <c r="D6" s="20" t="n">
        <v>0.15</v>
      </c>
    </row>
    <row r="7" customFormat="false" ht="15" hidden="false" customHeight="true" outlineLevel="0" collapsed="false">
      <c r="A7" s="4" t="s">
        <v>254</v>
      </c>
      <c r="B7" s="21" t="n">
        <v>1.3</v>
      </c>
      <c r="C7" s="21" t="n">
        <v>10</v>
      </c>
      <c r="D7" s="20" t="n">
        <v>0.13</v>
      </c>
    </row>
    <row r="8" customFormat="false" ht="15" hidden="false" customHeight="true" outlineLevel="0" collapsed="false">
      <c r="A8" s="4" t="s">
        <v>255</v>
      </c>
      <c r="B8" s="21" t="n">
        <v>2</v>
      </c>
      <c r="C8" s="21" t="n">
        <v>12</v>
      </c>
      <c r="D8" s="20" t="n">
        <v>0.165</v>
      </c>
    </row>
    <row r="9" customFormat="false" ht="15" hidden="false" customHeight="true" outlineLevel="0" collapsed="false">
      <c r="A9" s="4" t="s">
        <v>256</v>
      </c>
      <c r="B9" s="21" t="n">
        <v>1.2</v>
      </c>
      <c r="C9" s="21" t="n">
        <v>9.5</v>
      </c>
      <c r="D9" s="20" t="n">
        <v>0.125</v>
      </c>
    </row>
    <row r="10" customFormat="false" ht="15" hidden="false" customHeight="true" outlineLevel="0" collapsed="false">
      <c r="A10" s="4" t="s">
        <v>257</v>
      </c>
      <c r="B10" s="21" t="n">
        <v>1.8</v>
      </c>
      <c r="C10" s="21" t="n">
        <v>11</v>
      </c>
      <c r="D10" s="20" t="n">
        <v>0.17</v>
      </c>
    </row>
    <row r="11" customFormat="false" ht="15" hidden="false" customHeight="true" outlineLevel="0" collapsed="false">
      <c r="A11" s="4" t="s">
        <v>258</v>
      </c>
      <c r="B11" s="21" t="n">
        <v>1.4</v>
      </c>
      <c r="C11" s="21" t="n">
        <v>10.5</v>
      </c>
      <c r="D11" s="20" t="n">
        <v>0.155</v>
      </c>
    </row>
    <row r="12" customFormat="false" ht="15" hidden="false" customHeight="true" outlineLevel="0" collapsed="false">
      <c r="A12" s="4" t="s">
        <v>259</v>
      </c>
      <c r="B12" s="21" t="n">
        <v>1.3</v>
      </c>
      <c r="C12" s="21" t="n">
        <v>7.5</v>
      </c>
      <c r="D12" s="20" t="n">
        <v>0.19</v>
      </c>
    </row>
    <row r="14" customFormat="false" ht="15" hidden="false" customHeight="true" outlineLevel="0" collapsed="false">
      <c r="A14" s="3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2026-07-04T16:35:48Z</dcterms:created>
  <dc:creator>openpyxl</dc:creator>
  <dc:description/>
  <dc:language>en-US</dc:language>
  <cp:lastModifiedBy/>
  <dcterms:modified xsi:type="dcterms:W3CDTF">2026-07-04T17:59:07Z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