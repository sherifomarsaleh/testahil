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SOTP" sheetId="5" state="visible" r:id="rId7"/>
    <sheet name="Segments" sheetId="6" state="visible" r:id="rId8"/>
    <sheet name="Relative &amp; Normalized" sheetId="7" state="visible" r:id="rId9"/>
    <sheet name="DCF" sheetId="8" state="visible" r:id="rId10"/>
    <sheet name="Income Statement" sheetId="9" state="visible" r:id="rId11"/>
    <sheet name="Balance Sheet" sheetId="10" state="visible" r:id="rId12"/>
    <sheet name="Cash Flow" sheetId="11" state="visible" r:id="rId13"/>
    <sheet name="Summary Financials" sheetId="12" state="visible" r:id="rId14"/>
    <sheet name="Monte Carlo" sheetId="13" state="visible" r:id="rId15"/>
    <sheet name="Sensitivity" sheetId="14" state="visible" r:id="rId16"/>
    <sheet name="Per-Share &amp; Ratios" sheetId="15" state="visible" r:id="rId17"/>
    <sheet name="Peer &amp; Sector" sheetId="16" state="visible" r:id="rId18"/>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Source: Investing.com OHLC, 26-Jun-2026 close</t>
        </r>
      </text>
    </comment>
    <comment ref="B6" authorId="0">
      <text>
        <r>
          <rPr>
            <sz val="10"/>
            <rFont val="Arial"/>
            <family val="2"/>
          </rPr>
          <t xml:space="preserve">Source: Kakao IR, ~440.7m shares</t>
        </r>
      </text>
    </comment>
    <comment ref="B7" authorId="0">
      <text>
        <r>
          <rPr>
            <sz val="10"/>
            <rFont val="Arial"/>
            <family val="2"/>
          </rPr>
          <t xml:space="preserve">Preparer estimate: parent-standalone net cash, excl. subsidiary balances</t>
        </r>
      </text>
    </comment>
    <comment ref="B12" authorId="0">
      <text>
        <r>
          <rPr>
            <sz val="10"/>
            <rFont val="Arial"/>
            <family val="2"/>
          </rPr>
          <t xml:space="preserve">Source: 27.16% — Kakao IR; KakaoBank mkt cap ~KRW 10.6tn</t>
        </r>
      </text>
    </comment>
    <comment ref="B13" authorId="0">
      <text>
        <r>
          <rPr>
            <sz val="10"/>
            <rFont val="Arial"/>
            <family val="2"/>
          </rPr>
          <t xml:space="preserve">Source: ~44.5% — Kakao IR; KakaoPay mkt cap ~KRW 5.75tn</t>
        </r>
      </text>
    </comment>
    <comment ref="B14" authorId="0">
      <text>
        <r>
          <rPr>
            <sz val="10"/>
            <rFont val="Arial"/>
            <family val="2"/>
          </rPr>
          <t xml:space="preserve">Source: 14.68% post-June-2026 LY Corp sell-down; mkt cap ~KRW 0.85tn</t>
        </r>
      </text>
    </comment>
    <comment ref="B15" authorId="0">
      <text>
        <r>
          <rPr>
            <sz val="10"/>
            <rFont val="Arial"/>
            <family val="2"/>
          </rPr>
          <t xml:space="preserve">Source: 20.76% direct — Kakao IR; SM mkt cap ~KRW 1.57tn</t>
        </r>
      </text>
    </comment>
    <comment ref="B27" authorId="0">
      <text>
        <r>
          <rPr>
            <sz val="10"/>
            <rFont val="Arial"/>
            <family val="2"/>
          </rPr>
          <t xml:space="preserve">Source/basis: Kakao FY2025 revenue (record)</t>
        </r>
      </text>
    </comment>
    <comment ref="B28" authorId="0">
      <text>
        <r>
          <rPr>
            <sz val="10"/>
            <rFont val="Arial"/>
            <family val="2"/>
          </rPr>
          <t xml:space="preserve">Source/basis: below Naver ~2.9x: lower margin/growth</t>
        </r>
      </text>
    </comment>
    <comment ref="B29" authorId="0">
      <text>
        <r>
          <rPr>
            <sz val="10"/>
            <rFont val="Arial"/>
            <family val="2"/>
          </rPr>
          <t xml:space="preserve">Source/basis: OP 0.73tn + D&amp;A ~0.57tn</t>
        </r>
      </text>
    </comment>
    <comment ref="B30" authorId="0">
      <text>
        <r>
          <rPr>
            <sz val="10"/>
            <rFont val="Arial"/>
            <family val="2"/>
          </rPr>
          <t xml:space="preserve">Source/basis: Naver ~9–14x</t>
        </r>
      </text>
    </comment>
    <comment ref="B31" authorId="0">
      <text>
        <r>
          <rPr>
            <sz val="10"/>
            <rFont val="Arial"/>
            <family val="2"/>
          </rPr>
          <t xml:space="preserve">Source/basis: normalized current run-rate</t>
        </r>
      </text>
    </comment>
    <comment ref="B33" authorId="0">
      <text>
        <r>
          <rPr>
            <sz val="10"/>
            <rFont val="Arial"/>
            <family val="2"/>
          </rPr>
          <t xml:space="preserve">Source/basis: add back Q4 impairment, normalize AI drag</t>
        </r>
      </text>
    </comment>
    <comment ref="C20" authorId="0">
      <text>
        <r>
          <rPr>
            <sz val="10"/>
            <rFont val="Arial"/>
            <family val="2"/>
          </rPr>
          <t xml:space="preserve">Source: 66.03%; haircut from 2023 PIF/GIC ~KRW 11tn mark</t>
        </r>
      </text>
    </comment>
    <comment ref="C21" authorId="0">
      <text>
        <r>
          <rPr>
            <sz val="10"/>
            <rFont val="Arial"/>
            <family val="2"/>
          </rPr>
          <t xml:space="preserve">Source: 57.3%; 2025 transaction range ~KRW 5–6tn EV</t>
        </r>
      </text>
    </comment>
    <comment ref="C22" authorId="0">
      <text>
        <r>
          <rPr>
            <sz val="10"/>
            <rFont val="Arial"/>
            <family val="2"/>
          </rPr>
          <t xml:space="preserve">Talk Biz ~KRW 2.5tn rev @30% OPM on ~10x EV/EBITDA, net of New-Initiatives losses</t>
        </r>
      </text>
    </comment>
    <comment ref="C24" authorId="0">
      <text>
        <r>
          <rPr>
            <sz val="10"/>
            <rFont val="Arial"/>
            <family val="2"/>
          </rPr>
          <t xml:space="preserve">Market prices ~36%; base 32%, bull 22%, bear 48%</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Source: Kakao IR FY2025 (Platform 4.32tn / Content 3.78tn); prior years derived from segment growth disclosures</t>
        </r>
      </text>
    </comment>
  </commentList>
</comments>
</file>

<file path=xl/sharedStrings.xml><?xml version="1.0" encoding="utf-8"?>
<sst xmlns="http://schemas.openxmlformats.org/spreadsheetml/2006/main" count="447" uniqueCount="378">
  <si>
    <t xml:space="preserve">READ FIRST — DISCLOSURE &amp; DISCLAIMER (educational valuation study — not investment advice)</t>
  </si>
  <si>
    <t xml:space="preserve">NATURE OF THIS WORKBOOK</t>
  </si>
  <si>
    <t xml:space="preserve">This workbook is an educational valuation exercise and an expression of the preparer's personal analytical opinion, based exclusively on publicly available information and on the assumptions stated in the text and this model. It is published free of charge to demonstrate methodology and to invite scrutiny of that methodology.</t>
  </si>
  <si>
    <t xml:space="preserve">NO ADVICE, NO RECOMMENDATION, NO SOLICITATION</t>
  </si>
  <si>
    <t xml:space="preserve">Nothing here constitutes investment advice, financial consultancy, securities analysis, a research recommendation, a rating, a price target, an offer, or a solicitation to buy, sell or hold any security. No statement is directed at the objectives, situation or needs of any person.</t>
  </si>
  <si>
    <t xml:space="preserve">NO LICENSED ACTIVITY</t>
  </si>
  <si>
    <t xml:space="preserve">The preparer is not licensed or registered with any securities regulator, carries on no regulated activity, manages no money, and accepts no clients, fees or funds.</t>
  </si>
  <si>
    <t xml:space="preserve">ESTIMATES AND UNCERTAINTY</t>
  </si>
  <si>
    <t xml:space="preserve">All values are model outputs resting on explicit, subjective assumptions; they are illustrative, highly uncertain and likely to prove wrong in material respects. Qalaa's reported financials are company disclosure; the FORWARD assumptions — the holding-company discount, the marks on unlisted subsidiaries (Qalaa Entertainment, Qalaa Mobility), the value of the core QalaaTalk platform, and the multiples applied — are the preparer's judgments. Presented as ranges and distributions because no single number should be relied on.</t>
  </si>
  <si>
    <t xml:space="preserve">NO LIABILITY / READER'S RESPONSIBILITY</t>
  </si>
  <si>
    <t xml:space="preserve">To the maximum extent permitted by law, the preparer accepts no liability for any decision, action or loss in reliance on this workbook. Any person considering an investment decision should conduct their own assessment and consult a licensed advisor.</t>
  </si>
  <si>
    <t xml:space="preserve">HOLDINGS DISCLOSURE</t>
  </si>
  <si>
    <t xml:space="preserve">The preparer may hold, and may in the future take or dispose of, a position in the security discussed in this report.</t>
  </si>
  <si>
    <t xml:space="preserve">HOW TO USE THIS MODEL</t>
  </si>
  <si>
    <t xml:space="preserve">Blue cells are hardcoded inputs (edit to your own view); black cells are formulas; green cells link across sheets. The valuation is a holding-company sum-of-the-parts: listed stakes at market value, unlisted subsidiaries at transaction-implied marks, the core QalaaTalk operating business on a multiple, plus parent net cash, less a holding-company discount — cross-checked against a consolidated DCF, relative multiples and normalized earnings. Currency is KRW unless stated; valuation in KRW trillion, per-share in KRW.</t>
  </si>
  <si>
    <t xml:space="preserve">QALAA HOLDINGS (EGX: CCAP) — VALUATION SUMMARY</t>
  </si>
  <si>
    <t xml:space="preserve">Holding-company SOTP (economic stakes) + DCF cross-check + relative + normalized + 16-factor Monte Carlo.</t>
  </si>
  <si>
    <t xml:space="preserve">HEADLINE — VALUE PER SHARE (EGP)</t>
  </si>
  <si>
    <t xml:space="preserve">Weighted central fundamental</t>
  </si>
  <si>
    <t xml:space="preserve">SOTP base (30% discount)</t>
  </si>
  <si>
    <t xml:space="preserve">SOTP bull (18% discount)</t>
  </si>
  <si>
    <t xml:space="preserve">SOTP bear (45% discount)</t>
  </si>
  <si>
    <t xml:space="preserve">Consolidated DCF (FCFF)</t>
  </si>
  <si>
    <t xml:space="preserve">Market price (30-Jun-26)</t>
  </si>
  <si>
    <t xml:space="preserve">Spot discount to central</t>
  </si>
  <si>
    <t xml:space="preserve">WHAT THE NUMBER RESTS ON (edit on Assumptions)</t>
  </si>
  <si>
    <t xml:space="preserve">Gross NAV per share (EGP)</t>
  </si>
  <si>
    <t xml:space="preserve">Base holdco discount</t>
  </si>
  <si>
    <t xml:space="preserve">Implied discount to NAV at spot</t>
  </si>
  <si>
    <t xml:space="preserve">DCF WACC</t>
  </si>
  <si>
    <t xml:space="preserve">METHODOLOGY</t>
  </si>
  <si>
    <t xml:space="preserve">-  Holding-company SOTP on ECONOMIC-INTEREST basis — ERC at Qalaa 13.14%, not consolidated (avoids the minority overstatement).</t>
  </si>
  <si>
    <t xml:space="preserve">-  The holding-company discount is the dominant swing factor; base 30%, bull 18%, bear 45%.</t>
  </si>
  <si>
    <t xml:space="preserve">-  Consolidated DCF (FCFF) is a deliberately narrow cross-check on attributable operating cash; it lands below SOTP/spot.</t>
  </si>
  <si>
    <t xml:space="preserve">-  Relative &amp; normalized on attributable (ex-minority) net, since consolidated EBITDA is ~87% ERC minority.</t>
  </si>
  <si>
    <t xml:space="preserve">-  Spot sits ~24% below the weighted central — the wide discount to NAV is the whole debate.</t>
  </si>
  <si>
    <t xml:space="preserve">-  Reported financials are company disclosure (qualified FY2024 audit, going-concern emphasis); marks &amp; discount are the preparer judgments.</t>
  </si>
  <si>
    <t xml:space="preserve">-  Monte Carlo (16 factors, 50k paths, seed 42) maps the 3-month price; median ~flat, very wide cone (~47% realized vol).</t>
  </si>
  <si>
    <t xml:space="preserve">FUNDAMENTAL VALUATION — FIVE METHODS</t>
  </si>
  <si>
    <t xml:space="preserve">Holding-company SOTP (primary, economic-interest) + DCF cross-check + relative + normalized.</t>
  </si>
  <si>
    <t xml:space="preserve">THE METHODS — value per share (EGP)</t>
  </si>
  <si>
    <t xml:space="preserve">Method</t>
  </si>
  <si>
    <t xml:space="preserve">EGP/sh</t>
  </si>
  <si>
    <t xml:space="preserve">vs spot</t>
  </si>
  <si>
    <t xml:space="preserve">Weight</t>
  </si>
  <si>
    <t xml:space="preserve">Note</t>
  </si>
  <si>
    <t xml:space="preserve">SOTP — base (30% discount)</t>
  </si>
  <si>
    <t xml:space="preserve">primary lens</t>
  </si>
  <si>
    <t xml:space="preserve">SOTP — bull (18% discount)</t>
  </si>
  <si>
    <t xml:space="preserve">ceiling if discount compresses</t>
  </si>
  <si>
    <t xml:space="preserve">narrow cash-flow cross-check</t>
  </si>
  <si>
    <t xml:space="preserve">Relative multiples</t>
  </si>
  <si>
    <t xml:space="preserve">attributable net × multiple</t>
  </si>
  <si>
    <t xml:space="preserve">Normalized earnings power</t>
  </si>
  <si>
    <t xml:space="preserve">through-cycle discipline</t>
  </si>
  <si>
    <t xml:space="preserve">WEIGHTED CENTRAL FUNDAMENTAL VALUE</t>
  </si>
  <si>
    <t xml:space="preserve">Memo: spot price (30-Jun-26)</t>
  </si>
  <si>
    <t xml:space="preserve">market prices a wide holdco discount to NAV</t>
  </si>
  <si>
    <t xml:space="preserve">RANGE: bear (wide discount) → bull (discount compression)</t>
  </si>
  <si>
    <t xml:space="preserve">Bear / wide-discount floor (SOTP bear)</t>
  </si>
  <si>
    <t xml:space="preserve">Bull / discount-compression ceiling (SOTP bull)</t>
  </si>
  <si>
    <t xml:space="preserve">QALAA HOLDINGS (EGX: CCAP) — ASSUMPTIONS</t>
  </si>
  <si>
    <t xml:space="preserve">All blue cells are inputs. EGP billion unless noted. SOTP on ECONOMIC-INTEREST basis (Qalaa share of each asset).</t>
  </si>
  <si>
    <t xml:space="preserve">GLOBAL &amp; CORPORATE</t>
  </si>
  <si>
    <t xml:space="preserve">Spot price (EGP, 30-Jun-26 close)</t>
  </si>
  <si>
    <t xml:space="preserve">Shares outstanding (bn, post Oct-25 increase)</t>
  </si>
  <si>
    <t xml:space="preserve">Tax rate (effective)</t>
  </si>
  <si>
    <t xml:space="preserve">USD/EGP</t>
  </si>
  <si>
    <t xml:space="preserve">SOTP — ENERGY PLATFORM (economic stakes, EGP bn)</t>
  </si>
  <si>
    <t xml:space="preserve">Item</t>
  </si>
  <si>
    <t xml:space="preserve">Stake %</t>
  </si>
  <si>
    <t xml:space="preserve">Base</t>
  </si>
  <si>
    <t xml:space="preserve">Bull</t>
  </si>
  <si>
    <t xml:space="preserve">Bear</t>
  </si>
  <si>
    <t xml:space="preserve">ERC EV (refinery)</t>
  </si>
  <si>
    <t xml:space="preserve">ERC net debt</t>
  </si>
  <si>
    <t xml:space="preserve">ERC economic stake %</t>
  </si>
  <si>
    <t xml:space="preserve">TAQA Arabia EBITDA</t>
  </si>
  <si>
    <t xml:space="preserve">TAQA EV/EBITDA (x)</t>
  </si>
  <si>
    <t xml:space="preserve">TAQA net debt</t>
  </si>
  <si>
    <t xml:space="preserve">TAQA stake %</t>
  </si>
  <si>
    <t xml:space="preserve">SOTP — OTHER PLATFORMS (attributable equity, EGP bn)</t>
  </si>
  <si>
    <t xml:space="preserve">Platform</t>
  </si>
  <si>
    <t xml:space="preserve">ASCOM / GlassRock (mining)</t>
  </si>
  <si>
    <t xml:space="preserve">ASEC / cement (Al-Takamol, Zahana)</t>
  </si>
  <si>
    <t xml:space="preserve">Dina Farms / agrifoods</t>
  </si>
  <si>
    <t xml:space="preserve">Transport &amp; Logistics (CCTO/NRPMC)</t>
  </si>
  <si>
    <t xml:space="preserve">Other / smaller platforms</t>
  </si>
  <si>
    <t xml:space="preserve">HOLDCO DISCOUNT &amp; RECOURSE DEBT (EGP bn)</t>
  </si>
  <si>
    <t xml:space="preserve">Holdco discount — base</t>
  </si>
  <si>
    <t xml:space="preserve">Holdco discount — bull</t>
  </si>
  <si>
    <t xml:space="preserve">Holdco discount — bear</t>
  </si>
  <si>
    <t xml:space="preserve">Holdco recourse net debt — base</t>
  </si>
  <si>
    <t xml:space="preserve">Holdco recourse net debt — bull</t>
  </si>
  <si>
    <t xml:space="preserve">Holdco recourse net debt — bear</t>
  </si>
  <si>
    <t xml:space="preserve">RELATIVE &amp; NORMALIZED (EGP bn)</t>
  </si>
  <si>
    <t xml:space="preserve">Normalized attributable net (relative)</t>
  </si>
  <si>
    <t xml:space="preserve">Relative P/E (x)</t>
  </si>
  <si>
    <t xml:space="preserve">Normalized through-cycle net</t>
  </si>
  <si>
    <t xml:space="preserve">Normalized justified P/E (x)</t>
  </si>
  <si>
    <t xml:space="preserve">FIVE-METHOD WEIGHTS</t>
  </si>
  <si>
    <t xml:space="preserve">SOTP — base</t>
  </si>
  <si>
    <t xml:space="preserve">SOTP — bull</t>
  </si>
  <si>
    <t xml:space="preserve">Normalized earnings</t>
  </si>
  <si>
    <t xml:space="preserve">DCF INPUTS (EGP)</t>
  </si>
  <si>
    <t xml:space="preserve">WACC (EGP nominal)</t>
  </si>
  <si>
    <t xml:space="preserve">Terminal growth g</t>
  </si>
  <si>
    <t xml:space="preserve">FCFF base year (EGP bn, attributable)</t>
  </si>
  <si>
    <t xml:space="preserve">Parent net cash for DCF (EGP bn)</t>
  </si>
  <si>
    <t xml:space="preserve">Tax rate (DCF)</t>
  </si>
  <si>
    <t xml:space="preserve">FCFF COMPONENTS (EGP bn)</t>
  </si>
  <si>
    <t xml:space="preserve">Year</t>
  </si>
  <si>
    <t xml:space="preserve">FCFF</t>
  </si>
  <si>
    <t xml:space="preserve">2026</t>
  </si>
  <si>
    <t xml:space="preserve">2027</t>
  </si>
  <si>
    <t xml:space="preserve">2028</t>
  </si>
  <si>
    <t xml:space="preserve">2029</t>
  </si>
  <si>
    <t xml:space="preserve">2030</t>
  </si>
  <si>
    <t xml:space="preserve">SUM-OF-THE-PARTS — holding-company NAV (economic-interest basis; base / bull / bear)</t>
  </si>
  <si>
    <t xml:space="preserve">ERC &amp; TAQA at Qalaa economic stake net of their own debt; platforms at attributable equity; less holdco recourse debt, less discount.</t>
  </si>
  <si>
    <t xml:space="preserve">Asset</t>
  </si>
  <si>
    <t xml:space="preserve">Base (bn)</t>
  </si>
  <si>
    <t xml:space="preserve">Bull (bn)</t>
  </si>
  <si>
    <t xml:space="preserve">Bear (bn)</t>
  </si>
  <si>
    <t xml:space="preserve">Basis</t>
  </si>
  <si>
    <t xml:space="preserve">ERC — 13.14% economic</t>
  </si>
  <si>
    <t xml:space="preserve">unlisted; refinery net of ERC debt</t>
  </si>
  <si>
    <t xml:space="preserve">TAQA Arabia — 55% (associate)</t>
  </si>
  <si>
    <t xml:space="preserve">equity-method; energy distribution</t>
  </si>
  <si>
    <t xml:space="preserve">attributable equity mark</t>
  </si>
  <si>
    <t xml:space="preserve">Gross asset value (EGP bn)</t>
  </si>
  <si>
    <t xml:space="preserve">(−) Holdco recourse net debt</t>
  </si>
  <si>
    <t xml:space="preserve">NAV (EGP bn)</t>
  </si>
  <si>
    <t xml:space="preserve">NAV / share (EGP)</t>
  </si>
  <si>
    <t xml:space="preserve">(−) Holdco discount</t>
  </si>
  <si>
    <t xml:space="preserve">VALUE / SHARE (EGP)</t>
  </si>
  <si>
    <t xml:space="preserve">Base = 30% holdco discount on economic-stake NAV; discount is the swing factor. ERC carried at 13.14% economic interest, not consolidated.</t>
  </si>
  <si>
    <t xml:space="preserve">SEGMENTS / PLATFORMS</t>
  </si>
  <si>
    <t xml:space="preserve">Energy (ERC consolidated + TAQA associate) dominates; smaller platforms in mining, cement, agrifoods, transport.</t>
  </si>
  <si>
    <t xml:space="preserve">Treatment</t>
  </si>
  <si>
    <t xml:space="preserve">Qalaa stake</t>
  </si>
  <si>
    <t xml:space="preserve">ERC (refining)</t>
  </si>
  <si>
    <t xml:space="preserve">fully consolidated (IFRS 10)</t>
  </si>
  <si>
    <t xml:space="preserve">13.14% economic</t>
  </si>
  <si>
    <t xml:space="preserve">~91% of consolidated revenue; minority ~87%</t>
  </si>
  <si>
    <t xml:space="preserve">TAQA Arabia</t>
  </si>
  <si>
    <t xml:space="preserve">equity-method associate</t>
  </si>
  <si>
    <t xml:space="preserve">~55%</t>
  </si>
  <si>
    <t xml:space="preserve">deconsolidated end-2023; energy distribution</t>
  </si>
  <si>
    <t xml:space="preserve">ASCOM / GlassRock</t>
  </si>
  <si>
    <t xml:space="preserve">consolidated</t>
  </si>
  <si>
    <t xml:space="preserve">majority</t>
  </si>
  <si>
    <t xml:space="preserve">mining, quarrying, glass</t>
  </si>
  <si>
    <t xml:space="preserve">ASEC / cement</t>
  </si>
  <si>
    <t xml:space="preserve">~99%</t>
  </si>
  <si>
    <t xml:space="preserve">Al-Takamol (Sudan), Zahana</t>
  </si>
  <si>
    <t xml:space="preserve">dairy, farms, ICDP</t>
  </si>
  <si>
    <t xml:space="preserve">Transport &amp; Logistics</t>
  </si>
  <si>
    <t xml:space="preserve">~92-93%</t>
  </si>
  <si>
    <t xml:space="preserve">CCTO, NRPMC, river barges</t>
  </si>
  <si>
    <t xml:space="preserve">Printing &amp; Packaging</t>
  </si>
  <si>
    <t xml:space="preserve">discontinued (2024)</t>
  </si>
  <si>
    <t xml:space="preserve">—</t>
  </si>
  <si>
    <t xml:space="preserve">deconsolidated; ~9.9bn one-off gain</t>
  </si>
  <si>
    <t xml:space="preserve">The split that matters for valuation: ERC is "gross" (consolidated, minority deducted below the line) while TAQA is "net" (only Qalaa share via associate income). The SOTP carries both at economic stake.</t>
  </si>
  <si>
    <t xml:space="preserve">RELATIVE MULTIPLES &amp; NORMALIZED EARNINGS POWER</t>
  </si>
  <si>
    <t xml:space="preserve">On attributable (ex-minority) metrics — consolidated EBITDA is ~87% ERC minority, so attributable basis is used.</t>
  </si>
  <si>
    <t xml:space="preserve">RELATIVE MULTIPLES (EGP bn unless noted)</t>
  </si>
  <si>
    <t xml:space="preserve">Normalized attributable net (EGP bn)</t>
  </si>
  <si>
    <t xml:space="preserve">RELATIVE VALUE / SHARE (EGP)</t>
  </si>
  <si>
    <t xml:space="preserve">NORMALIZED THROUGH-CYCLE EARNINGS POWER</t>
  </si>
  <si>
    <t xml:space="preserve">Normalized net profit (EGP bn)</t>
  </si>
  <si>
    <t xml:space="preserve">Justified P/E (x)</t>
  </si>
  <si>
    <t xml:space="preserve">NORMALIZED VALUE / SHARE (EGP)</t>
  </si>
  <si>
    <t xml:space="preserve">Relative blends a modest 6x P/E on normalized attributable net; normalized lens lifts the multiple to 6.5x. Both deliberately exclude the asset-mark uplift the SOTP captures.</t>
  </si>
  <si>
    <t xml:space="preserve">CONSOLIDATED DCF — bottom-up unlevered FCFF from the projected statements (cross-check)</t>
  </si>
  <si>
    <t xml:space="preserve">FCFF = EBIT×(1−tax) + D&amp;A − capex − ΔWC, built line-by-line from the Income Statement &amp; Cash Flow forecast columns (2026e-2030e), discounted at the EGP WACC. Deliberately excludes the SOTP asset-mark uplift, so it lands below SOTP/spot. Attributable basis.</t>
  </si>
  <si>
    <t xml:space="preserve">EGP bn</t>
  </si>
  <si>
    <t xml:space="preserve">Operating profit (EBIT, consolidated)</t>
  </si>
  <si>
    <t xml:space="preserve">  attributable factor (Qalaa economic share, blended)</t>
  </si>
  <si>
    <t xml:space="preserve">Attributable EBIT</t>
  </si>
  <si>
    <t xml:space="preserve">(−) Tax @ DCF rate</t>
  </si>
  <si>
    <t xml:space="preserve">NOPAT (attributable)</t>
  </si>
  <si>
    <t xml:space="preserve">(+) D&amp;A (attributable share)</t>
  </si>
  <si>
    <t xml:space="preserve">(−) Capex (attributable share)</t>
  </si>
  <si>
    <t xml:space="preserve">(−) Δ Working capital</t>
  </si>
  <si>
    <t xml:space="preserve">Unlevered FCFF (attributable)</t>
  </si>
  <si>
    <t xml:space="preserve">Discount factor @ WACC</t>
  </si>
  <si>
    <t xml:space="preserve">PV of FCFF</t>
  </si>
  <si>
    <t xml:space="preserve">PV of explicit FCFF (2026e-2030e)</t>
  </si>
  <si>
    <t xml:space="preserve">Terminal value (Gordon, normalized FCFF)</t>
  </si>
  <si>
    <t xml:space="preserve">PV of terminal value</t>
  </si>
  <si>
    <t xml:space="preserve">Enterprise value (operating)</t>
  </si>
  <si>
    <t xml:space="preserve">(+) Parent net cash</t>
  </si>
  <si>
    <t xml:space="preserve">Equity value (EGP bn)</t>
  </si>
  <si>
    <t xml:space="preserve">Shares (bn)</t>
  </si>
  <si>
    <t xml:space="preserve">QALAA HOLDINGS — CONSOLIDATED INCOME STATEMENT (EGP bn)</t>
  </si>
  <si>
    <t xml:space="preserve">2023a-2024a are Qalaa consolidated disclosure (FY2024 qualified). 2025e = 9M2025 limited-review ACTUALS + Q4 2025 estimate (NOT audited full-year). 2026e-2030e illustrative as ERC de-levers and refining margins normalise. Blue = input.</t>
  </si>
  <si>
    <t xml:space="preserve">Income statement</t>
  </si>
  <si>
    <t xml:space="preserve">2023a</t>
  </si>
  <si>
    <t xml:space="preserve">2024a</t>
  </si>
  <si>
    <t xml:space="preserve">2025e</t>
  </si>
  <si>
    <t xml:space="preserve">2026e</t>
  </si>
  <si>
    <t xml:space="preserve">2027e</t>
  </si>
  <si>
    <t xml:space="preserve">2028e</t>
  </si>
  <si>
    <t xml:space="preserve">2029e</t>
  </si>
  <si>
    <t xml:space="preserve">2030e</t>
  </si>
  <si>
    <t xml:space="preserve">Revenue (consolidated, incl. ERC)</t>
  </si>
  <si>
    <t xml:space="preserve">  of which ERC</t>
  </si>
  <si>
    <t xml:space="preserve">  of which other platforms</t>
  </si>
  <si>
    <t xml:space="preserve">Recurring EBITDA</t>
  </si>
  <si>
    <t xml:space="preserve">  EBITDA margin</t>
  </si>
  <si>
    <t xml:space="preserve">(−) Depreciation &amp; amortization</t>
  </si>
  <si>
    <t xml:space="preserve">Operating profit (EBIT)</t>
  </si>
  <si>
    <t xml:space="preserve">  operating margin</t>
  </si>
  <si>
    <t xml:space="preserve">(−) Net finance cost</t>
  </si>
  <si>
    <t xml:space="preserve">(+) Discontinued ops / one-offs</t>
  </si>
  <si>
    <t xml:space="preserve">(+) Share of associates (TAQA etc.)</t>
  </si>
  <si>
    <t xml:space="preserve">Pre-tax profit/(loss)</t>
  </si>
  <si>
    <t xml:space="preserve">(−) Income tax</t>
  </si>
  <si>
    <t xml:space="preserve">Net profit/(loss) incl. minority</t>
  </si>
  <si>
    <t xml:space="preserve">(−) Attributable to NCI</t>
  </si>
  <si>
    <t xml:space="preserve">Net profit/(loss) attributable to parent</t>
  </si>
  <si>
    <t xml:space="preserve">EPS attributable (EGP)</t>
  </si>
  <si>
    <t xml:space="preserve">QALAA HOLDINGS — CONSOLIDATED BALANCE SHEET (EGP bn)</t>
  </si>
  <si>
    <t xml:space="preserve">FY2024 audited (qualified). 2025e anchored on 9M2025 limited-review balance sheet (30-Sep-25) + Q4 roll. Parent equity REMAINS NEGATIVE end-2025 (~−4.5bn) — management cites +3.4bn standalone/pro-forma, NOT the consolidated figure. Blue = input.</t>
  </si>
  <si>
    <t xml:space="preserve">Balance sheet</t>
  </si>
  <si>
    <t xml:space="preserve">Cash &amp; equivalents</t>
  </si>
  <si>
    <t xml:space="preserve">Other current assets (balancing)</t>
  </si>
  <si>
    <t xml:space="preserve">Total current assets</t>
  </si>
  <si>
    <t xml:space="preserve">PP&amp;E &amp; refinery assets</t>
  </si>
  <si>
    <t xml:space="preserve">Investments in associates (TAQA etc.)</t>
  </si>
  <si>
    <t xml:space="preserve">Other non-current assets</t>
  </si>
  <si>
    <t xml:space="preserve">Total assets</t>
  </si>
  <si>
    <t xml:space="preserve">Total borrowings</t>
  </si>
  <si>
    <t xml:space="preserve">Other liabilities</t>
  </si>
  <si>
    <t xml:space="preserve">Total liabilities</t>
  </si>
  <si>
    <t xml:space="preserve">Non-controlling interest</t>
  </si>
  <si>
    <t xml:space="preserve">Equity attributable to parent</t>
  </si>
  <si>
    <t xml:space="preserve">Total equity</t>
  </si>
  <si>
    <t xml:space="preserve">Check: assets − liab − equity (≈0)</t>
  </si>
  <si>
    <t xml:space="preserve">BVPS — attributable (EGP)</t>
  </si>
  <si>
    <t xml:space="preserve">QALAA HOLDINGS — CONSOLIDATED CASH FLOW (EGP bn)</t>
  </si>
  <si>
    <t xml:space="preserve">2025e = 9M2025 limited-review ACTUALS + Q4 roll. ERC repaid USD 574.4m of senior debt in 2025; total consolidated debt cut ~EGP 39bn. Blue = input; FCF &amp; net change are formulas.</t>
  </si>
  <si>
    <t xml:space="preserve">Cash flow</t>
  </si>
  <si>
    <t xml:space="preserve">Operating cash flow</t>
  </si>
  <si>
    <t xml:space="preserve">(−) Capex</t>
  </si>
  <si>
    <t xml:space="preserve">Free cash flow</t>
  </si>
  <si>
    <t xml:space="preserve">(−) Debt repayment (incl. ERC senior)</t>
  </si>
  <si>
    <t xml:space="preserve">Net cash flow after financing</t>
  </si>
  <si>
    <t xml:space="preserve">SUMMARY FINANCIALS — every cell links to the statement sheets</t>
  </si>
  <si>
    <t xml:space="preserve">No hard-codes; pulls from Income Statement / Balance Sheet / Cash Flow. 2025e blends 9M2025 actuals + Q4 estimate.</t>
  </si>
  <si>
    <t xml:space="preserve">Revenue</t>
  </si>
  <si>
    <t xml:space="preserve">Net profit attributable</t>
  </si>
  <si>
    <t xml:space="preserve">Parent equity</t>
  </si>
  <si>
    <t xml:space="preserve">MONTE CARLO — ONE 16-FACTOR MODEL (50,000 paths, seed 42)</t>
  </si>
  <si>
    <t xml:space="preserve">Seven continuous factors compound daily; nine discrete events fire with probability. Paths diffuse from spot; the §1 NAV gap is kept OUT of the drift.</t>
  </si>
  <si>
    <t xml:space="preserve">CORE INPUTS</t>
  </si>
  <si>
    <t xml:space="preserve">Anchor price (EGP, 30-Jun-26)</t>
  </si>
  <si>
    <t xml:space="preserve">Horizon T+20 (sessions)</t>
  </si>
  <si>
    <t xml:space="preserve">Horizon T+60 (sessions)</t>
  </si>
  <si>
    <t xml:space="preserve">Realized 3M volatility (idiosyncratic)</t>
  </si>
  <si>
    <t xml:space="preserve">52-week low reference (EGP)</t>
  </si>
  <si>
    <t xml:space="preserve">Round / support level (EGP)</t>
  </si>
  <si>
    <t xml:space="preserve">SMA50 / structure (EGP)</t>
  </si>
  <si>
    <t xml:space="preserve">52-week high reference (EGP)</t>
  </si>
  <si>
    <t xml:space="preserve">SEVEN CONTINUOUS FACTORS</t>
  </si>
  <si>
    <t xml:space="preserve">Factor</t>
  </si>
  <si>
    <t xml:space="preserve">3M drift</t>
  </si>
  <si>
    <t xml:space="preserve">3M vol</t>
  </si>
  <si>
    <t xml:space="preserve">Channel</t>
  </si>
  <si>
    <t xml:space="preserve">ERC refining margin &amp; utilization</t>
  </si>
  <si>
    <t xml:space="preserve">master energy driver</t>
  </si>
  <si>
    <t xml:space="preserve">ERC senior-debt retirement / de-levering (1Q26)</t>
  </si>
  <si>
    <t xml:space="preserve">de-levering tailwind</t>
  </si>
  <si>
    <t xml:space="preserve">TAQA Arabia &amp; energy-distribution earnings</t>
  </si>
  <si>
    <t xml:space="preserve">distribution earnings</t>
  </si>
  <si>
    <t xml:space="preserve">EGX flows / EGP carry &amp; rate path</t>
  </si>
  <si>
    <t xml:space="preserve">market liquidity</t>
  </si>
  <si>
    <t xml:space="preserve">EGP devaluation translation (ERC USD-functional)</t>
  </si>
  <si>
    <t xml:space="preserve">FX translation lift</t>
  </si>
  <si>
    <t xml:space="preserve">Holdco-debt write-off progress (2030/2033)</t>
  </si>
  <si>
    <t xml:space="preserve">parent de-gearing</t>
  </si>
  <si>
    <t xml:space="preserve">Realized price momentum (carried, not extrapolated)</t>
  </si>
  <si>
    <t xml:space="preserve">momentum, de-weighted</t>
  </si>
  <si>
    <t xml:space="preserve">NINE DISCRETE EVENTS</t>
  </si>
  <si>
    <t xml:space="preserve">Event</t>
  </si>
  <si>
    <t xml:space="preserve">Prob</t>
  </si>
  <si>
    <t xml:space="preserve">Impact mu</t>
  </si>
  <si>
    <t xml:space="preserve">Impact sigma</t>
  </si>
  <si>
    <t xml:space="preserve">ERC dividend resumption (post senior debt)</t>
  </si>
  <si>
    <t xml:space="preserve">pivotal upside catalyst</t>
  </si>
  <si>
    <t xml:space="preserve">Holdco-discount compression / re-rating</t>
  </si>
  <si>
    <t xml:space="preserve">discount narrows</t>
  </si>
  <si>
    <t xml:space="preserve">Platform crystallization (TAQA stake-up / sale)</t>
  </si>
  <si>
    <t xml:space="preserve">portfolio crystallization</t>
  </si>
  <si>
    <t xml:space="preserve">EGP step devaluation (nominal lift, USD assets)</t>
  </si>
  <si>
    <t xml:space="preserve">FX step, two-edged</t>
  </si>
  <si>
    <t xml:space="preserve">Quarterly results surprise (two-sided)</t>
  </si>
  <si>
    <t xml:space="preserve">two-sided</t>
  </si>
  <si>
    <t xml:space="preserve">Refining-margin / oil-price disappointment</t>
  </si>
  <si>
    <t xml:space="preserve">demand left-tail</t>
  </si>
  <si>
    <t xml:space="preserve">Going-concern / qualified-audit overhang flare</t>
  </si>
  <si>
    <t xml:space="preserve">balance-sheet risk</t>
  </si>
  <si>
    <t xml:space="preserve">EGX / EM risk-off, EGP pressure</t>
  </si>
  <si>
    <t xml:space="preserve">market risk-off</t>
  </si>
  <si>
    <t xml:space="preserve">Regulatory / energy-subsidy / FX-access shock</t>
  </si>
  <si>
    <t xml:space="preserve">policy shock</t>
  </si>
  <si>
    <t xml:space="preserve">FACTOR MOMENTS (live)</t>
  </si>
  <si>
    <t xml:space="preserve">Expected 3M log-return mu</t>
  </si>
  <si>
    <t xml:space="preserve">3M variance</t>
  </si>
  <si>
    <t xml:space="preserve">3M volatility sigma</t>
  </si>
  <si>
    <t xml:space="preserve">Annualized vol (x2)</t>
  </si>
  <si>
    <t xml:space="preserve">engine total 3M vol ~27%; ann ~54%</t>
  </si>
  <si>
    <t xml:space="preserve">PERCENTILES (EGP/share)</t>
  </si>
  <si>
    <t xml:space="preserve">Horizon</t>
  </si>
  <si>
    <t xml:space="preserve">5%</t>
  </si>
  <si>
    <t xml:space="preserve">25%</t>
  </si>
  <si>
    <t xml:space="preserve">Median</t>
  </si>
  <si>
    <t xml:space="preserve">75%</t>
  </si>
  <si>
    <t xml:space="preserve">95%</t>
  </si>
  <si>
    <t xml:space="preserve">Source</t>
  </si>
  <si>
    <t xml:space="preserve">T+20 — engine (simulated)</t>
  </si>
  <si>
    <t xml:space="preserve">50k paths · seed 42</t>
  </si>
  <si>
    <t xml:space="preserve">T+20 — closed-form (live)</t>
  </si>
  <si>
    <t xml:space="preserve">T+60 — engine (simulated)</t>
  </si>
  <si>
    <t xml:space="preserve">T+60 — closed-form (live)</t>
  </si>
  <si>
    <t xml:space="preserve">LEVEL-TOUCH PROBABILITIES (engine)</t>
  </si>
  <si>
    <t xml:space="preserve">Level</t>
  </si>
  <si>
    <t xml:space="preserve">within T+20</t>
  </si>
  <si>
    <t xml:space="preserve">within T+60</t>
  </si>
  <si>
    <t xml:space="preserve">^ 5.20</t>
  </si>
  <si>
    <t xml:space="preserve">^ 5.70</t>
  </si>
  <si>
    <t xml:space="preserve">^ 6.30</t>
  </si>
  <si>
    <t xml:space="preserve">v 4.50</t>
  </si>
  <si>
    <t xml:space="preserve">v 4.00</t>
  </si>
  <si>
    <t xml:space="preserve">v 3.50</t>
  </si>
  <si>
    <t xml:space="preserve">Engine values are the simulated 50k-path outputs (seed 42); closed-form rows are the live lognormal check. Drift is built from forward factors, not the +84% trailing move.</t>
  </si>
  <si>
    <t xml:space="preserve">SENSITIVITY — value/share (EGP)</t>
  </si>
  <si>
    <t xml:space="preserve">Top: SOTP holdco discount × ERC EV (the two biggest swing factors). Bottom: DCF WACC × terminal growth.</t>
  </si>
  <si>
    <t xml:space="preserve">SOTP: Holdco discount (down) / ERC EV in EGP bn (right)</t>
  </si>
  <si>
    <t xml:space="preserve">disc / ERC EV</t>
  </si>
  <si>
    <t xml:space="preserve">DCF: WACC (down) / terminal growth g (right)</t>
  </si>
  <si>
    <t xml:space="preserve">WACC / g</t>
  </si>
  <si>
    <t xml:space="preserve">SOTP grid flexes the holdco discount and ERC EV — the two factors that move the answer most. The DCF grid stays well below the SOTP across the space, by construction.</t>
  </si>
  <si>
    <t xml:space="preserve">PER-SHARE &amp; RATIOS (at spot)</t>
  </si>
  <si>
    <t xml:space="preserve">Drivers link to Income Statement / Balance Sheet / SOTP.</t>
  </si>
  <si>
    <t xml:space="preserve">Share price (EGP, 30-Jun-26)</t>
  </si>
  <si>
    <t xml:space="preserve">Shares outstanding (bn)</t>
  </si>
  <si>
    <t xml:space="preserve">Market cap (EGP bn)</t>
  </si>
  <si>
    <t xml:space="preserve">2025e EPS attributable (EGP)</t>
  </si>
  <si>
    <t xml:space="preserve">Normalized EPS (EGP)</t>
  </si>
  <si>
    <t xml:space="preserve">BVPS attributable (EGP)</t>
  </si>
  <si>
    <t xml:space="preserve">P/E on 2025e (x)</t>
  </si>
  <si>
    <t xml:space="preserve">P/E normalized (x)</t>
  </si>
  <si>
    <t xml:space="preserve">P/B attributable (x)</t>
  </si>
  <si>
    <t xml:space="preserve">Discount to gross NAV at spot</t>
  </si>
  <si>
    <t xml:space="preserve">Qalaa parent equity remains NEGATIVE through end-2025 (management cites +3.4bn standalone, not consolidated); 2025e shows a net loss to parent. P/E and P/B are not meaningful — discount-to-NAV is the gauge.</t>
  </si>
  <si>
    <t xml:space="preserve">PEER &amp; SECTOR</t>
  </si>
  <si>
    <t xml:space="preserve">Egyptian investment holding companies and the energy/diversified comparable set.</t>
  </si>
  <si>
    <t xml:space="preserve">Peer / arena</t>
  </si>
  <si>
    <t xml:space="preserve">Relevance</t>
  </si>
  <si>
    <t xml:space="preserve">EGX holdco discount norms</t>
  </si>
  <si>
    <t xml:space="preserve">Egyptian holdcos trade at wide NAV discounts</t>
  </si>
  <si>
    <t xml:space="preserve">sets the base discount</t>
  </si>
  <si>
    <t xml:space="preserve">single-asset refinery; margin &amp; utilization cyclical</t>
  </si>
  <si>
    <t xml:space="preserve">dominant value driver</t>
  </si>
  <si>
    <t xml:space="preserve">energy distribution; steadier earnings</t>
  </si>
  <si>
    <t xml:space="preserve">associate cross-check</t>
  </si>
  <si>
    <t xml:space="preserve">Going-concern / audit</t>
  </si>
  <si>
    <t xml:space="preserve">qualified FY2024 opinion, going-concern emphasis</t>
  </si>
  <si>
    <t xml:space="preserve">widens the discount</t>
  </si>
  <si>
    <t xml:space="preserve">EGP / macro</t>
  </si>
  <si>
    <t xml:space="preserve">devaluation lifts USD-functional ERC nominally</t>
  </si>
  <si>
    <t xml:space="preserve">two-edged translation</t>
  </si>
  <si>
    <t xml:space="preserve">Value-up / disclosure</t>
  </si>
  <si>
    <t xml:space="preserve">crystallization (TAQA stake-up, asset sale) narrows discount</t>
  </si>
  <si>
    <t xml:space="preserve">upside catalyst</t>
  </si>
</sst>
</file>

<file path=xl/styles.xml><?xml version="1.0" encoding="utf-8"?>
<styleSheet xmlns="http://schemas.openxmlformats.org/spreadsheetml/2006/main">
  <numFmts count="11">
    <numFmt numFmtId="164" formatCode="General"/>
    <numFmt numFmtId="165" formatCode="#,##0.00"/>
    <numFmt numFmtId="166" formatCode="\+0%;\-0%"/>
    <numFmt numFmtId="167" formatCode="0%"/>
    <numFmt numFmtId="168" formatCode="0.0%"/>
    <numFmt numFmtId="169" formatCode="#,##0"/>
    <numFmt numFmtId="170" formatCode="#,##0.0"/>
    <numFmt numFmtId="171" formatCode="0.0\x"/>
    <numFmt numFmtId="172" formatCode="0.00%"/>
    <numFmt numFmtId="173" formatCode="0"/>
    <numFmt numFmtId="174" formatCode="0.0000"/>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1C3A36"/>
      <name val="Arial"/>
      <family val="0"/>
      <charset val="1"/>
    </font>
    <font>
      <sz val="10"/>
      <color rgb="FF000000"/>
      <name val="Arial"/>
      <family val="0"/>
      <charset val="1"/>
    </font>
    <font>
      <b val="true"/>
      <sz val="11"/>
      <name val="Arial"/>
      <family val="0"/>
      <charset val="1"/>
    </font>
    <font>
      <sz val="8"/>
      <color rgb="FF666666"/>
      <name val="Arial"/>
      <family val="0"/>
      <charset val="1"/>
    </font>
    <font>
      <sz val="11"/>
      <color rgb="FF008000"/>
      <name val="Arial"/>
      <family val="0"/>
      <charset val="1"/>
    </font>
    <font>
      <sz val="10"/>
      <color rgb="FF008000"/>
      <name val="Arial"/>
      <family val="0"/>
      <charset val="1"/>
    </font>
    <font>
      <b val="true"/>
      <sz val="10"/>
      <color rgb="FF1C3A36"/>
      <name val="Arial"/>
      <family val="0"/>
      <charset val="1"/>
    </font>
    <font>
      <sz val="11"/>
      <color rgb="FF0000FF"/>
      <name val="Arial"/>
      <family val="0"/>
      <charset val="1"/>
    </font>
    <font>
      <b val="true"/>
      <sz val="10"/>
      <color rgb="FFFFFFFF"/>
      <name val="Arial"/>
      <family val="0"/>
      <charset val="1"/>
    </font>
    <font>
      <sz val="10"/>
      <color rgb="FF0000FF"/>
      <name val="Arial"/>
      <family val="0"/>
      <charset val="1"/>
    </font>
    <font>
      <sz val="10"/>
      <name val="Arial"/>
      <family val="2"/>
    </font>
    <font>
      <b val="true"/>
      <sz val="9"/>
      <color rgb="FF1C3A36"/>
      <name val="Arial"/>
      <family val="0"/>
      <charset val="1"/>
    </font>
    <font>
      <sz val="9"/>
      <color rgb="FF000000"/>
      <name val="Arial"/>
      <family val="0"/>
      <charset val="1"/>
    </font>
    <font>
      <sz val="11"/>
      <color rgb="FF000000"/>
      <name val="Arial"/>
      <family val="0"/>
      <charset val="1"/>
    </font>
  </fonts>
  <fills count="3">
    <fill>
      <patternFill patternType="none"/>
    </fill>
    <fill>
      <patternFill patternType="gray125"/>
    </fill>
    <fill>
      <patternFill patternType="solid">
        <fgColor rgb="FF1C3A36"/>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12"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left" vertical="center"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73" fontId="12" fillId="0" borderId="0" xfId="0" applyFont="true" applyBorder="false" applyAlignment="true" applyProtection="false">
      <alignment horizontal="general" vertical="bottom" textRotation="0" wrapText="false" indent="0" shrinkToFit="false"/>
      <protection locked="true" hidden="false"/>
    </xf>
    <xf numFmtId="174" fontId="6" fillId="0"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8" fontId="12" fillId="2" borderId="0" xfId="0" applyFont="true" applyBorder="false" applyAlignment="true" applyProtection="false">
      <alignment horizontal="left" vertical="center"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C3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21.75" hidden="false" customHeight="true" outlineLevel="0" collapsed="false">
      <c r="A1" s="2" t="s">
        <v>0</v>
      </c>
    </row>
    <row r="2" customFormat="false" ht="15" hidden="false" customHeight="true" outlineLevel="0" collapsed="false">
      <c r="A2" s="3" t="s">
        <v>1</v>
      </c>
    </row>
    <row r="3" customFormat="false" ht="55.5" hidden="false" customHeight="true" outlineLevel="0" collapsed="false">
      <c r="A3" s="4" t="s">
        <v>2</v>
      </c>
    </row>
    <row r="5" customFormat="false" ht="15" hidden="false" customHeight="true" outlineLevel="0" collapsed="false">
      <c r="A5" s="3" t="s">
        <v>3</v>
      </c>
    </row>
    <row r="6" customFormat="false" ht="42" hidden="false" customHeight="true" outlineLevel="0" collapsed="false">
      <c r="A6" s="4" t="s">
        <v>4</v>
      </c>
    </row>
    <row r="8" customFormat="false" ht="15" hidden="false" customHeight="true" outlineLevel="0" collapsed="false">
      <c r="A8" s="3" t="s">
        <v>5</v>
      </c>
    </row>
    <row r="9" customFormat="false" ht="27.75" hidden="false" customHeight="true" outlineLevel="0" collapsed="false">
      <c r="A9" s="4" t="s">
        <v>6</v>
      </c>
    </row>
    <row r="11" customFormat="false" ht="15" hidden="false" customHeight="true" outlineLevel="0" collapsed="false">
      <c r="A11" s="3" t="s">
        <v>7</v>
      </c>
    </row>
    <row r="12" customFormat="false" ht="84" hidden="false" customHeight="true" outlineLevel="0" collapsed="false">
      <c r="A12" s="4" t="s">
        <v>8</v>
      </c>
    </row>
    <row r="14" customFormat="false" ht="15" hidden="false" customHeight="true" outlineLevel="0" collapsed="false">
      <c r="A14" s="3" t="s">
        <v>9</v>
      </c>
    </row>
    <row r="15" customFormat="false" ht="42" hidden="false" customHeight="true" outlineLevel="0" collapsed="false">
      <c r="A15" s="4" t="s">
        <v>10</v>
      </c>
    </row>
    <row r="17" customFormat="false" ht="15" hidden="false" customHeight="true" outlineLevel="0" collapsed="false">
      <c r="A17" s="3" t="s">
        <v>11</v>
      </c>
    </row>
    <row r="18" customFormat="false" ht="27.75" hidden="false" customHeight="true" outlineLevel="0" collapsed="false">
      <c r="A18" s="4" t="s">
        <v>12</v>
      </c>
    </row>
    <row r="20" customFormat="false" ht="15" hidden="false" customHeight="true" outlineLevel="0" collapsed="false">
      <c r="A20" s="3" t="s">
        <v>13</v>
      </c>
    </row>
    <row r="21" customFormat="false" ht="84" hidden="false" customHeight="true" outlineLevel="0" collapsed="false">
      <c r="A21"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2"/>
  </cols>
  <sheetData>
    <row r="1" customFormat="false" ht="21.75" hidden="false" customHeight="true" outlineLevel="0" collapsed="false">
      <c r="A1" s="5" t="s">
        <v>15</v>
      </c>
      <c r="B1" s="5"/>
      <c r="C1" s="5"/>
    </row>
    <row r="2" customFormat="false" ht="15" hidden="false" customHeight="true" outlineLevel="0" collapsed="false">
      <c r="A2" s="6" t="s">
        <v>16</v>
      </c>
      <c r="B2" s="6"/>
      <c r="C2" s="6"/>
    </row>
    <row r="4" customFormat="false" ht="15" hidden="false" customHeight="true" outlineLevel="0" collapsed="false">
      <c r="A4" s="7" t="s">
        <v>17</v>
      </c>
    </row>
    <row r="5" customFormat="false" ht="15" hidden="false" customHeight="true" outlineLevel="0" collapsed="false">
      <c r="A5" s="8" t="s">
        <v>18</v>
      </c>
      <c r="B5" s="9" t="n">
        <f aca="false">'Fundamental Valuation'!B11</f>
        <v>5.88868773859206</v>
      </c>
    </row>
    <row r="6" customFormat="false" ht="15" hidden="false" customHeight="true" outlineLevel="0" collapsed="false">
      <c r="A6" s="8" t="s">
        <v>19</v>
      </c>
      <c r="B6" s="9" t="n">
        <f aca="false">SOTP!B17</f>
        <v>5.93792</v>
      </c>
    </row>
    <row r="7" customFormat="false" ht="15" hidden="false" customHeight="true" outlineLevel="0" collapsed="false">
      <c r="A7" s="8" t="s">
        <v>20</v>
      </c>
      <c r="B7" s="9" t="n">
        <f aca="false">SOTP!C17</f>
        <v>8.59898857142857</v>
      </c>
    </row>
    <row r="8" customFormat="false" ht="15" hidden="false" customHeight="true" outlineLevel="0" collapsed="false">
      <c r="A8" s="8" t="s">
        <v>21</v>
      </c>
      <c r="B8" s="9" t="n">
        <f aca="false">SOTP!D17</f>
        <v>3.29467547619048</v>
      </c>
    </row>
    <row r="9" customFormat="false" ht="15" hidden="false" customHeight="true" outlineLevel="0" collapsed="false">
      <c r="A9" s="8" t="s">
        <v>22</v>
      </c>
      <c r="B9" s="9" t="n">
        <f aca="false">DCF!B24</f>
        <v>4.06010817231986</v>
      </c>
    </row>
    <row r="10" customFormat="false" ht="15" hidden="false" customHeight="true" outlineLevel="0" collapsed="false">
      <c r="A10" s="8" t="s">
        <v>23</v>
      </c>
      <c r="B10" s="9" t="n">
        <f aca="false">Assumptions!B5</f>
        <v>4.77</v>
      </c>
    </row>
    <row r="11" customFormat="false" ht="15" hidden="false" customHeight="true" outlineLevel="0" collapsed="false">
      <c r="A11" s="8" t="s">
        <v>24</v>
      </c>
      <c r="B11" s="10" t="n">
        <f aca="false">B10/B5-1</f>
        <v>-0.189972331400871</v>
      </c>
    </row>
    <row r="13" customFormat="false" ht="15" hidden="false" customHeight="true" outlineLevel="0" collapsed="false">
      <c r="A13" s="7" t="s">
        <v>25</v>
      </c>
    </row>
    <row r="14" customFormat="false" ht="15" hidden="false" customHeight="true" outlineLevel="0" collapsed="false">
      <c r="A14" s="8" t="s">
        <v>26</v>
      </c>
      <c r="B14" s="9" t="n">
        <f aca="false">SOTP!B15</f>
        <v>8.48274285714286</v>
      </c>
    </row>
    <row r="15" customFormat="false" ht="15" hidden="false" customHeight="true" outlineLevel="0" collapsed="false">
      <c r="A15" s="8" t="s">
        <v>27</v>
      </c>
      <c r="B15" s="11" t="n">
        <f aca="false">Assumptions!B29</f>
        <v>0.3</v>
      </c>
    </row>
    <row r="16" customFormat="false" ht="15" hidden="false" customHeight="true" outlineLevel="0" collapsed="false">
      <c r="A16" s="8" t="s">
        <v>28</v>
      </c>
      <c r="B16" s="12" t="n">
        <f aca="false">Assumptions!B5/B14-1</f>
        <v>-0.437681881871093</v>
      </c>
    </row>
    <row r="17" customFormat="false" ht="15" hidden="false" customHeight="true" outlineLevel="0" collapsed="false">
      <c r="A17" s="8" t="s">
        <v>29</v>
      </c>
      <c r="B17" s="13" t="n">
        <f aca="false">Assumptions!B50</f>
        <v>0.2</v>
      </c>
    </row>
    <row r="19" customFormat="false" ht="15" hidden="false" customHeight="true" outlineLevel="0" collapsed="false">
      <c r="A19" s="7" t="s">
        <v>30</v>
      </c>
    </row>
    <row r="20" customFormat="false" ht="27.75" hidden="false" customHeight="true" outlineLevel="0" collapsed="false">
      <c r="A20" s="14" t="s">
        <v>31</v>
      </c>
      <c r="B20" s="14"/>
      <c r="C20" s="14"/>
    </row>
    <row r="21" customFormat="false" ht="27.75" hidden="false" customHeight="true" outlineLevel="0" collapsed="false">
      <c r="A21" s="14" t="s">
        <v>32</v>
      </c>
      <c r="B21" s="14"/>
      <c r="C21" s="14"/>
    </row>
    <row r="22" customFormat="false" ht="27.75" hidden="false" customHeight="true" outlineLevel="0" collapsed="false">
      <c r="A22" s="14" t="s">
        <v>33</v>
      </c>
      <c r="B22" s="14"/>
      <c r="C22" s="14"/>
    </row>
    <row r="23" customFormat="false" ht="27.75" hidden="false" customHeight="true" outlineLevel="0" collapsed="false">
      <c r="A23" s="14" t="s">
        <v>34</v>
      </c>
      <c r="B23" s="14"/>
      <c r="C23" s="14"/>
    </row>
    <row r="24" customFormat="false" ht="27.75" hidden="false" customHeight="true" outlineLevel="0" collapsed="false">
      <c r="A24" s="14" t="s">
        <v>35</v>
      </c>
      <c r="B24" s="14"/>
      <c r="C24" s="14"/>
    </row>
    <row r="25" customFormat="false" ht="27.75" hidden="false" customHeight="true" outlineLevel="0" collapsed="false">
      <c r="A25" s="14" t="s">
        <v>36</v>
      </c>
      <c r="B25" s="14"/>
      <c r="C25" s="14"/>
    </row>
    <row r="26" customFormat="false" ht="27.75" hidden="false" customHeight="true" outlineLevel="0" collapsed="false">
      <c r="A26" s="14" t="s">
        <v>37</v>
      </c>
      <c r="B26" s="14"/>
      <c r="C26" s="14"/>
    </row>
  </sheetData>
  <mergeCells count="9">
    <mergeCell ref="A1:C1"/>
    <mergeCell ref="A2:C2"/>
    <mergeCell ref="A20:C20"/>
    <mergeCell ref="A21:C21"/>
    <mergeCell ref="A22:C22"/>
    <mergeCell ref="A23:C23"/>
    <mergeCell ref="A24:C24"/>
    <mergeCell ref="A25:C25"/>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12"/>
    <col collapsed="false" customWidth="true" hidden="false" outlineLevel="0" max="4" min="4" style="1" width="10"/>
    <col collapsed="false" customWidth="true" hidden="false" outlineLevel="0" max="5" min="5" style="1" width="30"/>
  </cols>
  <sheetData>
    <row r="1" customFormat="false" ht="21.75" hidden="false" customHeight="true" outlineLevel="0" collapsed="false">
      <c r="A1" s="5" t="s">
        <v>38</v>
      </c>
      <c r="B1" s="5"/>
      <c r="C1" s="5"/>
      <c r="D1" s="5"/>
      <c r="E1" s="5"/>
    </row>
    <row r="2" customFormat="false" ht="15" hidden="false" customHeight="true" outlineLevel="0" collapsed="false">
      <c r="A2" s="6" t="s">
        <v>39</v>
      </c>
      <c r="B2" s="6"/>
      <c r="C2" s="6"/>
      <c r="D2" s="6"/>
      <c r="E2" s="6"/>
    </row>
    <row r="4" customFormat="false" ht="15" hidden="false" customHeight="true" outlineLevel="0" collapsed="false">
      <c r="A4" s="7" t="s">
        <v>40</v>
      </c>
    </row>
    <row r="5" customFormat="false" ht="15" hidden="false" customHeight="true" outlineLevel="0" collapsed="false">
      <c r="A5" s="15" t="s">
        <v>41</v>
      </c>
      <c r="B5" s="15" t="s">
        <v>42</v>
      </c>
      <c r="C5" s="15" t="s">
        <v>43</v>
      </c>
      <c r="D5" s="15" t="s">
        <v>44</v>
      </c>
      <c r="E5" s="15" t="s">
        <v>45</v>
      </c>
    </row>
    <row r="6" customFormat="false" ht="15" hidden="false" customHeight="true" outlineLevel="0" collapsed="false">
      <c r="A6" s="8" t="s">
        <v>46</v>
      </c>
      <c r="B6" s="9" t="n">
        <f aca="false">SOTP!B17</f>
        <v>5.93792</v>
      </c>
      <c r="C6" s="10" t="n">
        <f aca="false">B6/Assumptions!$B$5-1</f>
        <v>0.244846960167715</v>
      </c>
      <c r="D6" s="11" t="n">
        <f aca="false">Assumptions!B43</f>
        <v>0.3</v>
      </c>
      <c r="E6" s="8" t="s">
        <v>47</v>
      </c>
    </row>
    <row r="7" customFormat="false" ht="15" hidden="false" customHeight="true" outlineLevel="0" collapsed="false">
      <c r="A7" s="8" t="s">
        <v>48</v>
      </c>
      <c r="B7" s="9" t="n">
        <f aca="false">SOTP!C17</f>
        <v>8.59898857142857</v>
      </c>
      <c r="C7" s="10" t="n">
        <f aca="false">B7/Assumptions!$B$5-1</f>
        <v>0.802722970949386</v>
      </c>
      <c r="D7" s="11" t="n">
        <f aca="false">Assumptions!B44</f>
        <v>0.12</v>
      </c>
      <c r="E7" s="8" t="s">
        <v>49</v>
      </c>
    </row>
    <row r="8" customFormat="false" ht="15" hidden="false" customHeight="true" outlineLevel="0" collapsed="false">
      <c r="A8" s="8" t="s">
        <v>22</v>
      </c>
      <c r="B8" s="9" t="n">
        <f aca="false">DCF!B24</f>
        <v>4.06010817231986</v>
      </c>
      <c r="C8" s="10" t="n">
        <f aca="false">B8/Assumptions!$B$5-1</f>
        <v>-0.148824282532525</v>
      </c>
      <c r="D8" s="11" t="n">
        <f aca="false">Assumptions!B45</f>
        <v>0.13</v>
      </c>
      <c r="E8" s="8" t="s">
        <v>50</v>
      </c>
    </row>
    <row r="9" customFormat="false" ht="15" hidden="false" customHeight="true" outlineLevel="0" collapsed="false">
      <c r="A9" s="8" t="s">
        <v>51</v>
      </c>
      <c r="B9" s="9" t="n">
        <f aca="false">'Relative &amp; Normalized'!B7</f>
        <v>5</v>
      </c>
      <c r="C9" s="10" t="n">
        <f aca="false">B9/Assumptions!$B$5-1</f>
        <v>0.0482180293501049</v>
      </c>
      <c r="D9" s="11" t="n">
        <f aca="false">Assumptions!B46</f>
        <v>0.2</v>
      </c>
      <c r="E9" s="8" t="s">
        <v>52</v>
      </c>
    </row>
    <row r="10" customFormat="false" ht="15" hidden="false" customHeight="true" outlineLevel="0" collapsed="false">
      <c r="A10" s="8" t="s">
        <v>53</v>
      </c>
      <c r="B10" s="9" t="n">
        <f aca="false">'Relative &amp; Normalized'!B12</f>
        <v>6.19047619047619</v>
      </c>
      <c r="C10" s="10" t="n">
        <f aca="false">B10/Assumptions!$B$5-1</f>
        <v>0.297793750623939</v>
      </c>
      <c r="D10" s="11" t="n">
        <f aca="false">Assumptions!B47</f>
        <v>0.25</v>
      </c>
      <c r="E10" s="8" t="s">
        <v>54</v>
      </c>
    </row>
    <row r="11" customFormat="false" ht="15" hidden="false" customHeight="true" outlineLevel="0" collapsed="false">
      <c r="A11" s="7" t="s">
        <v>55</v>
      </c>
      <c r="B11" s="16" t="n">
        <f aca="false">SUMPRODUCT(B6:B10,D6:D10)</f>
        <v>5.88868773859206</v>
      </c>
      <c r="C11" s="10" t="n">
        <f aca="false">B11/Assumptions!$B$5-1</f>
        <v>0.234525731361018</v>
      </c>
      <c r="D11" s="17" t="n">
        <f aca="false">SUM(D6:D10)</f>
        <v>1</v>
      </c>
    </row>
    <row r="12" customFormat="false" ht="15" hidden="false" customHeight="true" outlineLevel="0" collapsed="false">
      <c r="A12" s="8" t="s">
        <v>56</v>
      </c>
      <c r="B12" s="9" t="n">
        <f aca="false">Assumptions!B5</f>
        <v>4.77</v>
      </c>
      <c r="C12" s="18"/>
      <c r="D12" s="19"/>
    </row>
    <row r="13" customFormat="false" ht="15" hidden="false" customHeight="true" outlineLevel="0" collapsed="false">
      <c r="A13" s="8" t="s">
        <v>24</v>
      </c>
      <c r="B13" s="20" t="n">
        <f aca="false">B12/B11-1</f>
        <v>-0.189972331400871</v>
      </c>
      <c r="C13" s="18"/>
      <c r="D13" s="19"/>
      <c r="E13" s="8" t="s">
        <v>57</v>
      </c>
    </row>
    <row r="14" customFormat="false" ht="15" hidden="false" customHeight="true" outlineLevel="0" collapsed="false">
      <c r="B14" s="21"/>
      <c r="C14" s="18"/>
      <c r="D14" s="19"/>
    </row>
    <row r="15" customFormat="false" ht="15" hidden="false" customHeight="true" outlineLevel="0" collapsed="false">
      <c r="A15" s="7" t="s">
        <v>58</v>
      </c>
      <c r="B15" s="21"/>
      <c r="C15" s="18"/>
      <c r="D15" s="19"/>
    </row>
    <row r="16" customFormat="false" ht="15" hidden="false" customHeight="true" outlineLevel="0" collapsed="false">
      <c r="A16" s="8" t="s">
        <v>59</v>
      </c>
      <c r="B16" s="9" t="n">
        <f aca="false">SOTP!D17</f>
        <v>3.29467547619048</v>
      </c>
      <c r="C16" s="18"/>
      <c r="D16" s="19"/>
    </row>
    <row r="17" customFormat="false" ht="15" hidden="false" customHeight="true" outlineLevel="0" collapsed="false">
      <c r="A17" s="8" t="s">
        <v>60</v>
      </c>
      <c r="B17" s="9" t="n">
        <f aca="false">SOTP!C17</f>
        <v>8.59898857142857</v>
      </c>
      <c r="C17" s="18"/>
      <c r="D17" s="19"/>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5" min="3" style="1" width="12"/>
  </cols>
  <sheetData>
    <row r="1" customFormat="false" ht="21.75" hidden="false" customHeight="true" outlineLevel="0" collapsed="false">
      <c r="A1" s="5" t="s">
        <v>61</v>
      </c>
      <c r="B1" s="5"/>
      <c r="C1" s="5"/>
      <c r="D1" s="5"/>
      <c r="E1" s="5"/>
    </row>
    <row r="2" customFormat="false" ht="15" hidden="false" customHeight="true" outlineLevel="0" collapsed="false">
      <c r="A2" s="6" t="s">
        <v>62</v>
      </c>
      <c r="B2" s="6"/>
      <c r="C2" s="6"/>
      <c r="D2" s="6"/>
      <c r="E2" s="6"/>
    </row>
    <row r="4" customFormat="false" ht="15" hidden="false" customHeight="true" outlineLevel="0" collapsed="false">
      <c r="A4" s="7" t="s">
        <v>63</v>
      </c>
    </row>
    <row r="5" customFormat="false" ht="15" hidden="false" customHeight="true" outlineLevel="0" collapsed="false">
      <c r="A5" s="8" t="s">
        <v>64</v>
      </c>
      <c r="B5" s="22" t="n">
        <v>4.77</v>
      </c>
    </row>
    <row r="6" customFormat="false" ht="15" hidden="false" customHeight="true" outlineLevel="0" collapsed="false">
      <c r="A6" s="8" t="s">
        <v>65</v>
      </c>
      <c r="B6" s="23" t="n">
        <v>4.2</v>
      </c>
    </row>
    <row r="7" customFormat="false" ht="15" hidden="false" customHeight="true" outlineLevel="0" collapsed="false">
      <c r="A7" s="8" t="s">
        <v>66</v>
      </c>
      <c r="B7" s="24" t="n">
        <v>0.225</v>
      </c>
    </row>
    <row r="8" customFormat="false" ht="15" hidden="false" customHeight="true" outlineLevel="0" collapsed="false">
      <c r="A8" s="8" t="s">
        <v>67</v>
      </c>
      <c r="B8" s="25" t="n">
        <v>49</v>
      </c>
    </row>
    <row r="10" customFormat="false" ht="15" hidden="false" customHeight="true" outlineLevel="0" collapsed="false">
      <c r="A10" s="7" t="s">
        <v>68</v>
      </c>
    </row>
    <row r="11" customFormat="false" ht="15" hidden="false" customHeight="true" outlineLevel="0" collapsed="false">
      <c r="A11" s="26" t="s">
        <v>69</v>
      </c>
      <c r="B11" s="26" t="s">
        <v>70</v>
      </c>
      <c r="C11" s="26" t="s">
        <v>71</v>
      </c>
      <c r="D11" s="26" t="s">
        <v>72</v>
      </c>
      <c r="E11" s="1" t="s">
        <v>73</v>
      </c>
    </row>
    <row r="12" customFormat="false" ht="15" hidden="false" customHeight="true" outlineLevel="0" collapsed="false">
      <c r="A12" s="8" t="s">
        <v>74</v>
      </c>
      <c r="B12" s="27"/>
      <c r="C12" s="24" t="n">
        <v>107.8</v>
      </c>
      <c r="D12" s="24" t="n">
        <v>125</v>
      </c>
      <c r="E12" s="28" t="n">
        <v>86.6</v>
      </c>
    </row>
    <row r="13" customFormat="false" ht="15" hidden="false" customHeight="true" outlineLevel="0" collapsed="false">
      <c r="A13" s="8" t="s">
        <v>75</v>
      </c>
      <c r="B13" s="27"/>
      <c r="C13" s="24" t="n">
        <v>41</v>
      </c>
      <c r="D13" s="24" t="n">
        <v>41</v>
      </c>
      <c r="E13" s="28" t="n">
        <v>41</v>
      </c>
    </row>
    <row r="14" customFormat="false" ht="15" hidden="false" customHeight="true" outlineLevel="0" collapsed="false">
      <c r="A14" s="8" t="s">
        <v>76</v>
      </c>
      <c r="B14" s="25" t="n">
        <v>0.1314</v>
      </c>
      <c r="C14" s="29"/>
      <c r="D14" s="30"/>
    </row>
    <row r="15" customFormat="false" ht="15" hidden="false" customHeight="true" outlineLevel="0" collapsed="false">
      <c r="A15" s="8" t="s">
        <v>77</v>
      </c>
      <c r="B15" s="27"/>
      <c r="C15" s="24" t="n">
        <v>5</v>
      </c>
      <c r="D15" s="24" t="n">
        <v>5.4</v>
      </c>
      <c r="E15" s="28" t="n">
        <v>4.5</v>
      </c>
    </row>
    <row r="16" customFormat="false" ht="15" hidden="false" customHeight="true" outlineLevel="0" collapsed="false">
      <c r="A16" s="31" t="s">
        <v>78</v>
      </c>
      <c r="C16" s="28" t="n">
        <v>5</v>
      </c>
      <c r="D16" s="24" t="n">
        <v>5.3</v>
      </c>
      <c r="E16" s="28" t="n">
        <v>4.7</v>
      </c>
    </row>
    <row r="17" customFormat="false" ht="15" hidden="false" customHeight="true" outlineLevel="0" collapsed="false">
      <c r="A17" s="1" t="s">
        <v>79</v>
      </c>
      <c r="C17" s="28" t="n">
        <v>8</v>
      </c>
      <c r="D17" s="28" t="n">
        <v>7.7</v>
      </c>
      <c r="E17" s="28" t="n">
        <v>8.3</v>
      </c>
    </row>
    <row r="18" customFormat="false" ht="15" hidden="false" customHeight="true" outlineLevel="0" collapsed="false">
      <c r="A18" s="32" t="s">
        <v>80</v>
      </c>
      <c r="B18" s="28" t="n">
        <v>0.55</v>
      </c>
    </row>
    <row r="19" customFormat="false" ht="15" hidden="false" customHeight="true" outlineLevel="0" collapsed="false">
      <c r="A19" s="26"/>
      <c r="B19" s="26"/>
      <c r="C19" s="26"/>
      <c r="D19" s="26"/>
      <c r="E19" s="26"/>
    </row>
    <row r="20" customFormat="false" ht="15" hidden="false" customHeight="true" outlineLevel="0" collapsed="false">
      <c r="A20" s="33" t="s">
        <v>81</v>
      </c>
      <c r="B20" s="27"/>
      <c r="C20" s="29"/>
      <c r="D20" s="29"/>
      <c r="E20" s="29"/>
    </row>
    <row r="21" customFormat="false" ht="15" hidden="false" customHeight="true" outlineLevel="0" collapsed="false">
      <c r="A21" s="8" t="s">
        <v>82</v>
      </c>
      <c r="B21" s="27"/>
      <c r="C21" s="29" t="s">
        <v>71</v>
      </c>
      <c r="D21" s="29" t="s">
        <v>72</v>
      </c>
      <c r="E21" s="29" t="s">
        <v>73</v>
      </c>
    </row>
    <row r="22" customFormat="false" ht="15" hidden="false" customHeight="true" outlineLevel="0" collapsed="false">
      <c r="A22" s="8" t="s">
        <v>83</v>
      </c>
      <c r="C22" s="24" t="n">
        <v>6</v>
      </c>
      <c r="D22" s="24" t="n">
        <v>6.8</v>
      </c>
      <c r="E22" s="24" t="n">
        <v>5</v>
      </c>
    </row>
    <row r="23" customFormat="false" ht="15" hidden="false" customHeight="true" outlineLevel="0" collapsed="false">
      <c r="A23" s="8" t="s">
        <v>84</v>
      </c>
      <c r="C23" s="24" t="n">
        <v>5</v>
      </c>
      <c r="D23" s="24" t="n">
        <v>5.7</v>
      </c>
      <c r="E23" s="24" t="n">
        <v>4</v>
      </c>
    </row>
    <row r="24" customFormat="false" ht="15" hidden="false" customHeight="true" outlineLevel="0" collapsed="false">
      <c r="A24" s="8" t="s">
        <v>85</v>
      </c>
      <c r="C24" s="25" t="n">
        <v>7</v>
      </c>
      <c r="D24" s="25" t="n">
        <v>8</v>
      </c>
      <c r="E24" s="25" t="n">
        <v>5.8</v>
      </c>
    </row>
    <row r="25" customFormat="false" ht="15" hidden="false" customHeight="true" outlineLevel="0" collapsed="false">
      <c r="A25" s="1" t="s">
        <v>86</v>
      </c>
      <c r="C25" s="28" t="n">
        <v>3.5</v>
      </c>
      <c r="D25" s="28" t="n">
        <v>4</v>
      </c>
      <c r="E25" s="28" t="n">
        <v>2.8</v>
      </c>
    </row>
    <row r="26" customFormat="false" ht="15" hidden="false" customHeight="true" outlineLevel="0" collapsed="false">
      <c r="A26" s="32" t="s">
        <v>87</v>
      </c>
      <c r="C26" s="28" t="n">
        <v>2</v>
      </c>
      <c r="D26" s="28" t="n">
        <v>2.5</v>
      </c>
      <c r="E26" s="28" t="n">
        <v>1.5</v>
      </c>
    </row>
    <row r="27" customFormat="false" ht="15" hidden="false" customHeight="true" outlineLevel="0" collapsed="false">
      <c r="A27" s="8"/>
      <c r="B27" s="29"/>
    </row>
    <row r="28" customFormat="false" ht="15" hidden="false" customHeight="true" outlineLevel="0" collapsed="false">
      <c r="A28" s="33" t="s">
        <v>88</v>
      </c>
      <c r="B28" s="29"/>
    </row>
    <row r="29" customFormat="false" ht="15" hidden="false" customHeight="true" outlineLevel="0" collapsed="false">
      <c r="A29" s="8" t="s">
        <v>89</v>
      </c>
      <c r="B29" s="24" t="n">
        <v>0.3</v>
      </c>
    </row>
    <row r="30" customFormat="false" ht="15" hidden="false" customHeight="true" outlineLevel="0" collapsed="false">
      <c r="A30" s="8" t="s">
        <v>90</v>
      </c>
      <c r="B30" s="24" t="n">
        <v>0.18</v>
      </c>
    </row>
    <row r="31" customFormat="false" ht="15" hidden="false" customHeight="true" outlineLevel="0" collapsed="false">
      <c r="A31" s="8" t="s">
        <v>91</v>
      </c>
      <c r="B31" s="24" t="n">
        <v>0.45</v>
      </c>
    </row>
    <row r="32" customFormat="false" ht="15" hidden="false" customHeight="true" outlineLevel="0" collapsed="false">
      <c r="A32" s="8" t="s">
        <v>92</v>
      </c>
      <c r="B32" s="24" t="n">
        <v>6</v>
      </c>
    </row>
    <row r="33" customFormat="false" ht="15" hidden="false" customHeight="true" outlineLevel="0" collapsed="false">
      <c r="A33" s="8" t="s">
        <v>93</v>
      </c>
      <c r="B33" s="24" t="n">
        <v>5.5</v>
      </c>
    </row>
    <row r="34" customFormat="false" ht="15" hidden="false" customHeight="true" outlineLevel="0" collapsed="false">
      <c r="A34" s="8" t="s">
        <v>94</v>
      </c>
      <c r="B34" s="24" t="n">
        <v>7</v>
      </c>
    </row>
    <row r="36" customFormat="false" ht="15" hidden="false" customHeight="true" outlineLevel="0" collapsed="false">
      <c r="A36" s="7" t="s">
        <v>95</v>
      </c>
    </row>
    <row r="37" customFormat="false" ht="15" hidden="false" customHeight="true" outlineLevel="0" collapsed="false">
      <c r="A37" s="8" t="s">
        <v>96</v>
      </c>
      <c r="B37" s="34" t="n">
        <v>3.5</v>
      </c>
    </row>
    <row r="38" customFormat="false" ht="15" hidden="false" customHeight="true" outlineLevel="0" collapsed="false">
      <c r="A38" s="8" t="s">
        <v>97</v>
      </c>
      <c r="B38" s="34" t="n">
        <v>6</v>
      </c>
    </row>
    <row r="39" customFormat="false" ht="15" hidden="false" customHeight="true" outlineLevel="0" collapsed="false">
      <c r="A39" s="8" t="s">
        <v>98</v>
      </c>
      <c r="B39" s="34" t="n">
        <v>4</v>
      </c>
    </row>
    <row r="40" customFormat="false" ht="15" hidden="false" customHeight="true" outlineLevel="0" collapsed="false">
      <c r="A40" s="8" t="s">
        <v>99</v>
      </c>
      <c r="B40" s="34" t="n">
        <v>6.5</v>
      </c>
    </row>
    <row r="41" customFormat="false" ht="15" hidden="false" customHeight="true" outlineLevel="0" collapsed="false">
      <c r="A41" s="8"/>
      <c r="B41" s="35"/>
    </row>
    <row r="42" customFormat="false" ht="15" hidden="false" customHeight="true" outlineLevel="0" collapsed="false">
      <c r="A42" s="7" t="s">
        <v>100</v>
      </c>
    </row>
    <row r="43" customFormat="false" ht="15" hidden="false" customHeight="true" outlineLevel="0" collapsed="false">
      <c r="A43" s="32" t="s">
        <v>101</v>
      </c>
      <c r="B43" s="28" t="n">
        <v>0.3</v>
      </c>
    </row>
    <row r="44" customFormat="false" ht="15" hidden="false" customHeight="true" outlineLevel="0" collapsed="false">
      <c r="A44" s="8" t="s">
        <v>102</v>
      </c>
      <c r="B44" s="25" t="n">
        <v>0.12</v>
      </c>
    </row>
    <row r="45" customFormat="false" ht="15" hidden="false" customHeight="true" outlineLevel="0" collapsed="false">
      <c r="A45" s="8" t="s">
        <v>22</v>
      </c>
      <c r="B45" s="25" t="n">
        <v>0.13</v>
      </c>
    </row>
    <row r="46" customFormat="false" ht="15" hidden="false" customHeight="true" outlineLevel="0" collapsed="false">
      <c r="A46" s="8" t="s">
        <v>51</v>
      </c>
      <c r="B46" s="25" t="n">
        <v>0.2</v>
      </c>
    </row>
    <row r="47" customFormat="false" ht="15" hidden="false" customHeight="true" outlineLevel="0" collapsed="false">
      <c r="A47" s="8" t="s">
        <v>103</v>
      </c>
      <c r="B47" s="23" t="n">
        <v>0.25</v>
      </c>
    </row>
    <row r="48" customFormat="false" ht="15" hidden="false" customHeight="true" outlineLevel="0" collapsed="false">
      <c r="A48" s="8"/>
      <c r="B48" s="27"/>
    </row>
    <row r="49" customFormat="false" ht="15" hidden="false" customHeight="true" outlineLevel="0" collapsed="false">
      <c r="A49" s="7" t="s">
        <v>104</v>
      </c>
    </row>
    <row r="50" customFormat="false" ht="15" hidden="false" customHeight="true" outlineLevel="0" collapsed="false">
      <c r="A50" s="32" t="s">
        <v>105</v>
      </c>
      <c r="B50" s="28" t="n">
        <v>0.2</v>
      </c>
    </row>
    <row r="51" customFormat="false" ht="15" hidden="false" customHeight="true" outlineLevel="0" collapsed="false">
      <c r="A51" s="26" t="s">
        <v>106</v>
      </c>
      <c r="B51" s="36" t="n">
        <v>0.06</v>
      </c>
      <c r="C51" s="26"/>
      <c r="D51" s="26"/>
    </row>
    <row r="52" customFormat="false" ht="15" hidden="false" customHeight="true" outlineLevel="0" collapsed="false">
      <c r="A52" s="8" t="s">
        <v>107</v>
      </c>
      <c r="B52" s="24" t="n">
        <v>2.2</v>
      </c>
      <c r="C52" s="37"/>
      <c r="D52" s="37"/>
    </row>
    <row r="53" customFormat="false" ht="15" hidden="false" customHeight="true" outlineLevel="0" collapsed="false">
      <c r="A53" s="8" t="s">
        <v>108</v>
      </c>
      <c r="B53" s="24" t="n">
        <v>2</v>
      </c>
      <c r="C53" s="37"/>
      <c r="D53" s="37"/>
    </row>
    <row r="54" customFormat="false" ht="15" hidden="false" customHeight="true" outlineLevel="0" collapsed="false">
      <c r="A54" s="8" t="s">
        <v>109</v>
      </c>
      <c r="B54" s="24" t="n">
        <v>0.225</v>
      </c>
      <c r="C54" s="37"/>
      <c r="D54" s="37"/>
    </row>
    <row r="55" customFormat="false" ht="15" hidden="false" customHeight="true" outlineLevel="0" collapsed="false">
      <c r="A55" s="8"/>
      <c r="B55" s="29"/>
      <c r="C55" s="37"/>
      <c r="D55" s="37"/>
    </row>
    <row r="56" customFormat="false" ht="15" hidden="false" customHeight="true" outlineLevel="0" collapsed="false">
      <c r="A56" s="33" t="s">
        <v>110</v>
      </c>
      <c r="B56" s="29"/>
      <c r="C56" s="37"/>
      <c r="D56" s="37"/>
    </row>
    <row r="57" customFormat="false" ht="15" hidden="false" customHeight="true" outlineLevel="0" collapsed="false">
      <c r="A57" s="1" t="s">
        <v>111</v>
      </c>
      <c r="B57" s="1" t="s">
        <v>112</v>
      </c>
    </row>
    <row r="58" customFormat="false" ht="15" hidden="false" customHeight="true" outlineLevel="0" collapsed="false">
      <c r="A58" s="32" t="s">
        <v>113</v>
      </c>
      <c r="B58" s="28" t="n">
        <v>2.2</v>
      </c>
    </row>
    <row r="59" customFormat="false" ht="15" hidden="false" customHeight="true" outlineLevel="0" collapsed="false">
      <c r="A59" s="26" t="s">
        <v>114</v>
      </c>
      <c r="B59" s="36" t="n">
        <v>2.38</v>
      </c>
      <c r="C59" s="26"/>
      <c r="D59" s="26"/>
    </row>
    <row r="60" customFormat="false" ht="15" hidden="false" customHeight="true" outlineLevel="0" collapsed="false">
      <c r="A60" s="8" t="s">
        <v>115</v>
      </c>
      <c r="B60" s="23" t="n">
        <v>2.57</v>
      </c>
      <c r="C60" s="37"/>
      <c r="D60" s="37"/>
    </row>
    <row r="61" customFormat="false" ht="15" hidden="false" customHeight="true" outlineLevel="0" collapsed="false">
      <c r="A61" s="8" t="s">
        <v>116</v>
      </c>
      <c r="B61" s="23" t="n">
        <v>2.77</v>
      </c>
      <c r="C61" s="37"/>
      <c r="D61" s="37"/>
    </row>
    <row r="62" customFormat="false" ht="15" hidden="false" customHeight="true" outlineLevel="0" collapsed="false">
      <c r="A62" s="8" t="s">
        <v>117</v>
      </c>
      <c r="B62" s="23" t="n">
        <v>2.99</v>
      </c>
      <c r="C62" s="37"/>
      <c r="D62" s="37"/>
    </row>
    <row r="63" customFormat="false" ht="15" hidden="false" customHeight="true" outlineLevel="0" collapsed="false">
      <c r="A63" s="8"/>
      <c r="B63" s="37"/>
      <c r="C63" s="37"/>
      <c r="D63" s="37"/>
    </row>
    <row r="64" customFormat="false" ht="15" hidden="false" customHeight="true" outlineLevel="0" collapsed="false">
      <c r="A64" s="8"/>
      <c r="B64" s="37"/>
      <c r="C64" s="37"/>
      <c r="D64" s="37"/>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4" min="3" style="1" width="12"/>
    <col collapsed="false" customWidth="true" hidden="false" outlineLevel="0" max="5" min="5" style="1" width="30"/>
  </cols>
  <sheetData>
    <row r="1" customFormat="false" ht="21.75" hidden="false" customHeight="true" outlineLevel="0" collapsed="false">
      <c r="A1" s="5" t="s">
        <v>118</v>
      </c>
      <c r="B1" s="5"/>
      <c r="C1" s="5"/>
      <c r="D1" s="5"/>
      <c r="E1" s="5"/>
    </row>
    <row r="2" customFormat="false" ht="15" hidden="false" customHeight="true" outlineLevel="0" collapsed="false">
      <c r="A2" s="6" t="s">
        <v>119</v>
      </c>
      <c r="B2" s="6"/>
      <c r="C2" s="6"/>
      <c r="D2" s="6"/>
      <c r="E2" s="6"/>
    </row>
    <row r="4" customFormat="false" ht="15" hidden="false" customHeight="true" outlineLevel="0" collapsed="false">
      <c r="A4" s="15" t="s">
        <v>120</v>
      </c>
      <c r="B4" s="15" t="s">
        <v>121</v>
      </c>
      <c r="C4" s="15" t="s">
        <v>122</v>
      </c>
      <c r="D4" s="15" t="s">
        <v>123</v>
      </c>
      <c r="E4" s="15" t="s">
        <v>124</v>
      </c>
    </row>
    <row r="5" customFormat="false" ht="15" hidden="false" customHeight="true" outlineLevel="0" collapsed="false">
      <c r="A5" s="8" t="s">
        <v>125</v>
      </c>
      <c r="B5" s="38" t="n">
        <f aca="false">(Assumptions!C12-Assumptions!C13)*Assumptions!$B$14</f>
        <v>8.77752</v>
      </c>
      <c r="C5" s="38" t="n">
        <f aca="false">(Assumptions!D12-Assumptions!C13)*Assumptions!$B$14</f>
        <v>11.0376</v>
      </c>
      <c r="D5" s="38" t="n">
        <f aca="false">(Assumptions!E12-Assumptions!C13)*Assumptions!$B$14</f>
        <v>5.99184</v>
      </c>
      <c r="E5" s="8" t="s">
        <v>126</v>
      </c>
    </row>
    <row r="6" customFormat="false" ht="15" hidden="false" customHeight="true" outlineLevel="0" collapsed="false">
      <c r="A6" s="8" t="s">
        <v>127</v>
      </c>
      <c r="B6" s="38" t="n">
        <f aca="false">(Assumptions!C15*Assumptions!C16-Assumptions!C17)*Assumptions!$B$18</f>
        <v>9.35</v>
      </c>
      <c r="C6" s="38" t="n">
        <f aca="false">(Assumptions!D15*Assumptions!D16-Assumptions!D17)*Assumptions!$B$18</f>
        <v>11.506</v>
      </c>
      <c r="D6" s="38" t="n">
        <f aca="false">(Assumptions!E15*Assumptions!E16-Assumptions!E17)*Assumptions!$B$18</f>
        <v>7.0675</v>
      </c>
      <c r="E6" s="8" t="s">
        <v>128</v>
      </c>
    </row>
    <row r="7" customFormat="false" ht="15" hidden="false" customHeight="true" outlineLevel="0" collapsed="false">
      <c r="A7" s="8" t="s">
        <v>83</v>
      </c>
      <c r="B7" s="38" t="n">
        <f aca="false">Assumptions!C22</f>
        <v>6</v>
      </c>
      <c r="C7" s="38" t="n">
        <f aca="false">Assumptions!D22</f>
        <v>6.8</v>
      </c>
      <c r="D7" s="38" t="n">
        <f aca="false">Assumptions!E22</f>
        <v>5</v>
      </c>
      <c r="E7" s="8" t="s">
        <v>129</v>
      </c>
    </row>
    <row r="8" customFormat="false" ht="15" hidden="false" customHeight="true" outlineLevel="0" collapsed="false">
      <c r="A8" s="8" t="s">
        <v>84</v>
      </c>
      <c r="B8" s="38" t="n">
        <f aca="false">Assumptions!C23</f>
        <v>5</v>
      </c>
      <c r="C8" s="38" t="n">
        <f aca="false">Assumptions!D23</f>
        <v>5.7</v>
      </c>
      <c r="D8" s="38" t="n">
        <f aca="false">Assumptions!E23</f>
        <v>4</v>
      </c>
      <c r="E8" s="8" t="s">
        <v>129</v>
      </c>
    </row>
    <row r="9" customFormat="false" ht="15" hidden="false" customHeight="true" outlineLevel="0" collapsed="false">
      <c r="A9" s="8" t="s">
        <v>85</v>
      </c>
      <c r="B9" s="38" t="n">
        <f aca="false">Assumptions!C24</f>
        <v>7</v>
      </c>
      <c r="C9" s="38" t="n">
        <f aca="false">Assumptions!D24</f>
        <v>8</v>
      </c>
      <c r="D9" s="38" t="n">
        <f aca="false">Assumptions!E24</f>
        <v>5.8</v>
      </c>
      <c r="E9" s="8" t="s">
        <v>129</v>
      </c>
    </row>
    <row r="10" customFormat="false" ht="15" hidden="false" customHeight="true" outlineLevel="0" collapsed="false">
      <c r="A10" s="8" t="s">
        <v>86</v>
      </c>
      <c r="B10" s="38" t="n">
        <f aca="false">Assumptions!C25</f>
        <v>3.5</v>
      </c>
      <c r="C10" s="38" t="n">
        <f aca="false">Assumptions!D25</f>
        <v>4</v>
      </c>
      <c r="D10" s="38" t="n">
        <f aca="false">Assumptions!E25</f>
        <v>2.8</v>
      </c>
      <c r="E10" s="8" t="s">
        <v>129</v>
      </c>
    </row>
    <row r="11" customFormat="false" ht="15" hidden="false" customHeight="true" outlineLevel="0" collapsed="false">
      <c r="A11" s="8" t="s">
        <v>87</v>
      </c>
      <c r="B11" s="38" t="n">
        <f aca="false">Assumptions!C26</f>
        <v>2</v>
      </c>
      <c r="C11" s="38" t="n">
        <f aca="false">Assumptions!D26</f>
        <v>2.5</v>
      </c>
      <c r="D11" s="38" t="n">
        <f aca="false">Assumptions!E26</f>
        <v>1.5</v>
      </c>
      <c r="E11" s="8" t="s">
        <v>129</v>
      </c>
    </row>
    <row r="12" customFormat="false" ht="15" hidden="false" customHeight="true" outlineLevel="0" collapsed="false">
      <c r="A12" s="33" t="s">
        <v>130</v>
      </c>
      <c r="B12" s="39" t="n">
        <f aca="false">SUM(B5:B11)</f>
        <v>41.62752</v>
      </c>
      <c r="C12" s="39" t="n">
        <f aca="false">SUM(C5:C11)</f>
        <v>49.5436</v>
      </c>
      <c r="D12" s="39" t="n">
        <f aca="false">SUM(D5:D11)</f>
        <v>32.15934</v>
      </c>
      <c r="E12" s="8"/>
    </row>
    <row r="13" customFormat="false" ht="15" hidden="false" customHeight="true" outlineLevel="0" collapsed="false">
      <c r="A13" s="31" t="s">
        <v>131</v>
      </c>
      <c r="B13" s="38" t="n">
        <f aca="false">-Assumptions!B32</f>
        <v>-6</v>
      </c>
      <c r="C13" s="38" t="n">
        <f aca="false">-Assumptions!B33</f>
        <v>-5.5</v>
      </c>
      <c r="D13" s="38" t="n">
        <f aca="false">-Assumptions!B34</f>
        <v>-7</v>
      </c>
    </row>
    <row r="14" customFormat="false" ht="15" hidden="false" customHeight="true" outlineLevel="0" collapsed="false">
      <c r="A14" s="7" t="s">
        <v>132</v>
      </c>
      <c r="B14" s="30" t="n">
        <f aca="false">B12+B13</f>
        <v>35.62752</v>
      </c>
      <c r="C14" s="30" t="n">
        <f aca="false">C12+C13</f>
        <v>44.0436</v>
      </c>
      <c r="D14" s="30" t="n">
        <f aca="false">D12+D13</f>
        <v>25.15934</v>
      </c>
    </row>
    <row r="15" customFormat="false" ht="15" hidden="false" customHeight="true" outlineLevel="0" collapsed="false">
      <c r="A15" s="33" t="s">
        <v>133</v>
      </c>
      <c r="B15" s="40" t="n">
        <f aca="false">B14/Assumptions!$B$6</f>
        <v>8.48274285714286</v>
      </c>
      <c r="C15" s="40" t="n">
        <f aca="false">C14/Assumptions!$B$6</f>
        <v>10.4865714285714</v>
      </c>
      <c r="D15" s="40" t="n">
        <f aca="false">D14/Assumptions!$B$6</f>
        <v>5.99031904761905</v>
      </c>
    </row>
    <row r="16" customFormat="false" ht="15" hidden="false" customHeight="true" outlineLevel="0" collapsed="false">
      <c r="A16" s="31" t="s">
        <v>134</v>
      </c>
      <c r="B16" s="11" t="n">
        <f aca="false">Assumptions!B29</f>
        <v>0.3</v>
      </c>
      <c r="C16" s="11" t="n">
        <f aca="false">Assumptions!B30</f>
        <v>0.18</v>
      </c>
      <c r="D16" s="11" t="n">
        <f aca="false">Assumptions!B31</f>
        <v>0.45</v>
      </c>
    </row>
    <row r="17" customFormat="false" ht="15" hidden="false" customHeight="true" outlineLevel="0" collapsed="false">
      <c r="A17" s="33" t="s">
        <v>135</v>
      </c>
      <c r="B17" s="20" t="n">
        <f aca="false">B15*(1-B16)</f>
        <v>5.93792</v>
      </c>
      <c r="C17" s="20" t="n">
        <f aca="false">C15*(1-C16)</f>
        <v>8.59898857142857</v>
      </c>
      <c r="D17" s="20" t="n">
        <f aca="false">D15*(1-D16)</f>
        <v>3.29467547619048</v>
      </c>
    </row>
    <row r="18" customFormat="false" ht="15" hidden="false" customHeight="true" outlineLevel="0" collapsed="false">
      <c r="A18" s="1" t="s">
        <v>43</v>
      </c>
      <c r="B18" s="18" t="n">
        <f aca="false">B17/Assumptions!$B$5-1</f>
        <v>0.244846960167715</v>
      </c>
      <c r="C18" s="18" t="n">
        <f aca="false">C17/Assumptions!$B$5-1</f>
        <v>0.802722970949386</v>
      </c>
      <c r="D18" s="18" t="n">
        <f aca="false">D17/Assumptions!$B$5-1</f>
        <v>-0.3092923529999</v>
      </c>
    </row>
    <row r="19" customFormat="false" ht="27.75" hidden="false" customHeight="true" outlineLevel="0" collapsed="false">
      <c r="A19" s="14" t="s">
        <v>136</v>
      </c>
      <c r="B19" s="14"/>
      <c r="C19" s="14"/>
      <c r="D19" s="14"/>
      <c r="E19" s="14"/>
    </row>
  </sheetData>
  <mergeCells count="3">
    <mergeCell ref="A1:E1"/>
    <mergeCell ref="A2:E2"/>
    <mergeCell ref="A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22"/>
    <col collapsed="false" customWidth="true" hidden="false" outlineLevel="0" max="4" min="4" style="1" width="24"/>
  </cols>
  <sheetData>
    <row r="1" customFormat="false" ht="21.75" hidden="false" customHeight="true" outlineLevel="0" collapsed="false">
      <c r="A1" s="5" t="s">
        <v>137</v>
      </c>
      <c r="B1" s="5"/>
      <c r="C1" s="5"/>
      <c r="D1" s="5"/>
    </row>
    <row r="2" customFormat="false" ht="15" hidden="false" customHeight="true" outlineLevel="0" collapsed="false">
      <c r="A2" s="6" t="s">
        <v>138</v>
      </c>
      <c r="B2" s="6"/>
      <c r="C2" s="6"/>
      <c r="D2" s="6"/>
    </row>
    <row r="4" customFormat="false" ht="30" hidden="false" customHeight="true" outlineLevel="0" collapsed="false">
      <c r="A4" s="15" t="s">
        <v>82</v>
      </c>
      <c r="B4" s="15" t="s">
        <v>139</v>
      </c>
      <c r="C4" s="15" t="s">
        <v>140</v>
      </c>
      <c r="D4" s="15" t="s">
        <v>45</v>
      </c>
    </row>
    <row r="5" customFormat="false" ht="30" hidden="false" customHeight="true" outlineLevel="0" collapsed="false">
      <c r="A5" s="41" t="s">
        <v>141</v>
      </c>
      <c r="B5" s="42" t="s">
        <v>142</v>
      </c>
      <c r="C5" s="42" t="s">
        <v>143</v>
      </c>
      <c r="D5" s="42" t="s">
        <v>144</v>
      </c>
    </row>
    <row r="6" customFormat="false" ht="30" hidden="false" customHeight="true" outlineLevel="0" collapsed="false">
      <c r="A6" s="41" t="s">
        <v>145</v>
      </c>
      <c r="B6" s="42" t="s">
        <v>146</v>
      </c>
      <c r="C6" s="42" t="s">
        <v>147</v>
      </c>
      <c r="D6" s="42" t="s">
        <v>148</v>
      </c>
    </row>
    <row r="7" customFormat="false" ht="30" hidden="false" customHeight="true" outlineLevel="0" collapsed="false">
      <c r="A7" s="41" t="s">
        <v>149</v>
      </c>
      <c r="B7" s="42" t="s">
        <v>150</v>
      </c>
      <c r="C7" s="42" t="s">
        <v>151</v>
      </c>
      <c r="D7" s="42" t="s">
        <v>152</v>
      </c>
    </row>
    <row r="8" customFormat="false" ht="30" hidden="false" customHeight="true" outlineLevel="0" collapsed="false">
      <c r="A8" s="41" t="s">
        <v>153</v>
      </c>
      <c r="B8" s="42" t="s">
        <v>150</v>
      </c>
      <c r="C8" s="42" t="s">
        <v>154</v>
      </c>
      <c r="D8" s="42" t="s">
        <v>155</v>
      </c>
    </row>
    <row r="9" customFormat="false" ht="30" hidden="false" customHeight="true" outlineLevel="0" collapsed="false">
      <c r="A9" s="41" t="s">
        <v>85</v>
      </c>
      <c r="B9" s="42" t="s">
        <v>150</v>
      </c>
      <c r="C9" s="42" t="s">
        <v>151</v>
      </c>
      <c r="D9" s="42" t="s">
        <v>156</v>
      </c>
    </row>
    <row r="10" customFormat="false" ht="30" hidden="false" customHeight="true" outlineLevel="0" collapsed="false">
      <c r="A10" s="41" t="s">
        <v>157</v>
      </c>
      <c r="B10" s="42" t="s">
        <v>150</v>
      </c>
      <c r="C10" s="42" t="s">
        <v>158</v>
      </c>
      <c r="D10" s="42" t="s">
        <v>159</v>
      </c>
    </row>
    <row r="11" customFormat="false" ht="15" hidden="false" customHeight="true" outlineLevel="0" collapsed="false">
      <c r="A11" s="1" t="s">
        <v>160</v>
      </c>
      <c r="B11" s="1" t="s">
        <v>161</v>
      </c>
      <c r="C11" s="1" t="s">
        <v>162</v>
      </c>
      <c r="D11" s="1" t="s">
        <v>163</v>
      </c>
    </row>
    <row r="12" customFormat="false" ht="69.75" hidden="false" customHeight="true" outlineLevel="0" collapsed="false">
      <c r="A12" s="14" t="s">
        <v>164</v>
      </c>
      <c r="B12" s="14"/>
      <c r="C12" s="14"/>
      <c r="D12" s="14"/>
    </row>
  </sheetData>
  <mergeCells count="3">
    <mergeCell ref="A1:D1"/>
    <mergeCell ref="A2:D2"/>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4" min="3" style="1" width="12"/>
    <col collapsed="false" customWidth="true" hidden="false" outlineLevel="0" max="5" min="5" style="1" width="28"/>
  </cols>
  <sheetData>
    <row r="1" customFormat="false" ht="21.75" hidden="false" customHeight="true" outlineLevel="0" collapsed="false">
      <c r="A1" s="5" t="s">
        <v>165</v>
      </c>
      <c r="B1" s="5"/>
      <c r="C1" s="5"/>
      <c r="D1" s="5"/>
      <c r="E1" s="5"/>
    </row>
    <row r="2" customFormat="false" ht="15" hidden="false" customHeight="true" outlineLevel="0" collapsed="false">
      <c r="A2" s="6" t="s">
        <v>166</v>
      </c>
      <c r="B2" s="6"/>
      <c r="C2" s="6"/>
      <c r="D2" s="6"/>
      <c r="E2" s="6"/>
    </row>
    <row r="4" customFormat="false" ht="15" hidden="false" customHeight="true" outlineLevel="0" collapsed="false">
      <c r="A4" s="7" t="s">
        <v>167</v>
      </c>
    </row>
    <row r="5" customFormat="false" ht="15" hidden="false" customHeight="true" outlineLevel="0" collapsed="false">
      <c r="A5" s="8" t="s">
        <v>168</v>
      </c>
      <c r="B5" s="9" t="n">
        <f aca="false">Assumptions!B37</f>
        <v>3.5</v>
      </c>
      <c r="E5" s="8"/>
    </row>
    <row r="6" customFormat="false" ht="15" hidden="false" customHeight="true" outlineLevel="0" collapsed="false">
      <c r="A6" s="8" t="s">
        <v>97</v>
      </c>
      <c r="B6" s="43" t="n">
        <f aca="false">Assumptions!B38</f>
        <v>6</v>
      </c>
    </row>
    <row r="7" customFormat="false" ht="15" hidden="false" customHeight="true" outlineLevel="0" collapsed="false">
      <c r="A7" s="33" t="s">
        <v>169</v>
      </c>
      <c r="B7" s="20" t="n">
        <f aca="false">B5*B6/Assumptions!$B$6</f>
        <v>5</v>
      </c>
    </row>
    <row r="8" customFormat="false" ht="15" hidden="false" customHeight="true" outlineLevel="0" collapsed="false">
      <c r="A8" s="8"/>
      <c r="B8" s="39"/>
      <c r="E8" s="8"/>
    </row>
    <row r="9" customFormat="false" ht="15" hidden="false" customHeight="true" outlineLevel="0" collapsed="false">
      <c r="A9" s="33" t="s">
        <v>170</v>
      </c>
      <c r="B9" s="44"/>
    </row>
    <row r="10" customFormat="false" ht="15" hidden="false" customHeight="true" outlineLevel="0" collapsed="false">
      <c r="A10" s="8" t="s">
        <v>171</v>
      </c>
      <c r="B10" s="9" t="n">
        <f aca="false">Assumptions!B39</f>
        <v>4</v>
      </c>
    </row>
    <row r="11" customFormat="false" ht="15" hidden="false" customHeight="true" outlineLevel="0" collapsed="false">
      <c r="A11" s="8" t="s">
        <v>172</v>
      </c>
      <c r="B11" s="43" t="n">
        <f aca="false">Assumptions!B40</f>
        <v>6.5</v>
      </c>
    </row>
    <row r="12" customFormat="false" ht="15" hidden="false" customHeight="true" outlineLevel="0" collapsed="false">
      <c r="A12" s="7" t="s">
        <v>173</v>
      </c>
      <c r="B12" s="16" t="n">
        <f aca="false">B10*B11/Assumptions!$B$6</f>
        <v>6.19047619047619</v>
      </c>
    </row>
    <row r="14" customFormat="false" ht="15" hidden="false" customHeight="true" outlineLevel="0" collapsed="false">
      <c r="A14" s="32" t="s">
        <v>174</v>
      </c>
    </row>
    <row r="15" customFormat="false" ht="15" hidden="false" customHeight="true" outlineLevel="0" collapsed="false">
      <c r="A15" s="8"/>
      <c r="B15" s="40"/>
    </row>
    <row r="16" customFormat="false" ht="15" hidden="false" customHeight="true" outlineLevel="0" collapsed="false">
      <c r="A16" s="8"/>
      <c r="B16" s="39"/>
    </row>
    <row r="17" customFormat="false" ht="15" hidden="false" customHeight="true" outlineLevel="0" collapsed="false">
      <c r="A17" s="31"/>
      <c r="B17" s="45"/>
    </row>
    <row r="18" customFormat="false" ht="15" hidden="false" customHeight="true" outlineLevel="0" collapsed="false">
      <c r="A18" s="8"/>
      <c r="B18" s="30"/>
      <c r="E18" s="8"/>
    </row>
    <row r="20" customFormat="false" ht="55.5" hidden="false" customHeight="true" outlineLevel="0" collapsed="false">
      <c r="A20" s="14"/>
      <c r="B20" s="14"/>
      <c r="C20" s="14"/>
      <c r="D20" s="14"/>
      <c r="E20" s="14"/>
    </row>
  </sheetData>
  <mergeCells count="3">
    <mergeCell ref="A1:E1"/>
    <mergeCell ref="A2:E2"/>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7" min="2" style="1" width="11"/>
  </cols>
  <sheetData>
    <row r="1" customFormat="false" ht="21.75" hidden="false" customHeight="true" outlineLevel="0" collapsed="false">
      <c r="A1" s="5" t="s">
        <v>175</v>
      </c>
      <c r="B1" s="5"/>
      <c r="C1" s="5"/>
      <c r="D1" s="5"/>
      <c r="E1" s="5"/>
      <c r="F1" s="5"/>
      <c r="G1" s="5"/>
    </row>
    <row r="2" customFormat="false" ht="15" hidden="false" customHeight="true" outlineLevel="0" collapsed="false">
      <c r="A2" s="6" t="s">
        <v>176</v>
      </c>
      <c r="B2" s="6"/>
      <c r="C2" s="6"/>
      <c r="D2" s="6"/>
      <c r="E2" s="6"/>
      <c r="F2" s="6"/>
      <c r="G2" s="6"/>
    </row>
    <row r="4" customFormat="false" ht="15" hidden="false" customHeight="true" outlineLevel="0" collapsed="false">
      <c r="A4" s="33" t="s">
        <v>177</v>
      </c>
      <c r="B4" s="15" t="s">
        <v>113</v>
      </c>
      <c r="C4" s="15" t="s">
        <v>114</v>
      </c>
      <c r="D4" s="15" t="s">
        <v>115</v>
      </c>
      <c r="E4" s="15" t="s">
        <v>116</v>
      </c>
      <c r="F4" s="15" t="s">
        <v>117</v>
      </c>
    </row>
    <row r="5" customFormat="false" ht="15" hidden="false" customHeight="true" outlineLevel="0" collapsed="false">
      <c r="A5" s="8" t="s">
        <v>178</v>
      </c>
      <c r="B5" s="9" t="n">
        <f aca="false">'Income Statement'!E11</f>
        <v>11</v>
      </c>
      <c r="C5" s="9" t="n">
        <f aca="false">'Income Statement'!F11</f>
        <v>14</v>
      </c>
      <c r="D5" s="9" t="n">
        <f aca="false">'Income Statement'!G11</f>
        <v>17</v>
      </c>
      <c r="E5" s="9" t="n">
        <f aca="false">'Income Statement'!H11</f>
        <v>19.5</v>
      </c>
      <c r="F5" s="9" t="n">
        <f aca="false">'Income Statement'!I11</f>
        <v>22</v>
      </c>
    </row>
    <row r="6" customFormat="false" ht="15" hidden="false" customHeight="true" outlineLevel="0" collapsed="false">
      <c r="A6" s="8" t="s">
        <v>179</v>
      </c>
      <c r="B6" s="23" t="n">
        <v>0.15</v>
      </c>
      <c r="C6" s="23" t="n">
        <v>0.15</v>
      </c>
      <c r="D6" s="23" t="n">
        <v>0.15</v>
      </c>
      <c r="E6" s="23" t="n">
        <v>0.15</v>
      </c>
      <c r="F6" s="23" t="n">
        <v>0.15</v>
      </c>
    </row>
    <row r="7" customFormat="false" ht="15" hidden="false" customHeight="true" outlineLevel="0" collapsed="false">
      <c r="A7" s="8" t="s">
        <v>180</v>
      </c>
      <c r="B7" s="40" t="n">
        <f aca="false">B5*B6</f>
        <v>1.65</v>
      </c>
      <c r="C7" s="40" t="n">
        <f aca="false">C5*C6</f>
        <v>2.1</v>
      </c>
      <c r="D7" s="40" t="n">
        <f aca="false">D5*D6</f>
        <v>2.55</v>
      </c>
      <c r="E7" s="40" t="n">
        <f aca="false">E5*E6</f>
        <v>2.925</v>
      </c>
      <c r="F7" s="40" t="n">
        <f aca="false">F5*F6</f>
        <v>3.3</v>
      </c>
    </row>
    <row r="8" customFormat="false" ht="15" hidden="false" customHeight="true" outlineLevel="0" collapsed="false">
      <c r="A8" s="8" t="s">
        <v>181</v>
      </c>
      <c r="B8" s="20" t="n">
        <f aca="false">-B7*Assumptions!$B$54</f>
        <v>-0.37125</v>
      </c>
      <c r="C8" s="20" t="n">
        <f aca="false">-C7*Assumptions!$B$54</f>
        <v>-0.4725</v>
      </c>
      <c r="D8" s="20" t="n">
        <f aca="false">-D7*Assumptions!$B$54</f>
        <v>-0.57375</v>
      </c>
      <c r="E8" s="20" t="n">
        <f aca="false">-E7*Assumptions!$B$54</f>
        <v>-0.658125</v>
      </c>
      <c r="F8" s="20" t="n">
        <f aca="false">-F7*Assumptions!$B$54</f>
        <v>-0.7425</v>
      </c>
    </row>
    <row r="9" customFormat="false" ht="15" hidden="false" customHeight="true" outlineLevel="0" collapsed="false">
      <c r="A9" s="8" t="s">
        <v>182</v>
      </c>
      <c r="B9" s="20" t="n">
        <f aca="false">B7+B8</f>
        <v>1.27875</v>
      </c>
      <c r="C9" s="20" t="n">
        <f aca="false">C7+C8</f>
        <v>1.6275</v>
      </c>
      <c r="D9" s="20" t="n">
        <f aca="false">D7+D8</f>
        <v>1.97625</v>
      </c>
      <c r="E9" s="20" t="n">
        <f aca="false">E7+E8</f>
        <v>2.266875</v>
      </c>
      <c r="F9" s="20" t="n">
        <f aca="false">F7+F8</f>
        <v>2.5575</v>
      </c>
    </row>
    <row r="10" customFormat="false" ht="15" hidden="false" customHeight="true" outlineLevel="0" collapsed="false">
      <c r="A10" s="8" t="s">
        <v>183</v>
      </c>
      <c r="B10" s="9" t="n">
        <f aca="false">-'Income Statement'!E10*B6</f>
        <v>1.95</v>
      </c>
      <c r="C10" s="9" t="n">
        <f aca="false">-'Income Statement'!F10*C6</f>
        <v>2.025</v>
      </c>
      <c r="D10" s="9" t="n">
        <f aca="false">-'Income Statement'!G10*D6</f>
        <v>2.1</v>
      </c>
      <c r="E10" s="9" t="n">
        <f aca="false">-'Income Statement'!H10*E6</f>
        <v>2.175</v>
      </c>
      <c r="F10" s="9" t="n">
        <f aca="false">-'Income Statement'!I10*F6</f>
        <v>2.25</v>
      </c>
    </row>
    <row r="11" customFormat="false" ht="15" hidden="false" customHeight="true" outlineLevel="0" collapsed="false">
      <c r="A11" s="8" t="s">
        <v>184</v>
      </c>
      <c r="B11" s="9" t="n">
        <f aca="false">'Cash Flow'!E6*B6</f>
        <v>-1.35</v>
      </c>
      <c r="C11" s="9" t="n">
        <f aca="false">'Cash Flow'!F6*C6</f>
        <v>-1.425</v>
      </c>
      <c r="D11" s="9" t="n">
        <f aca="false">'Cash Flow'!G6*D6</f>
        <v>-1.5</v>
      </c>
      <c r="E11" s="9" t="n">
        <f aca="false">'Cash Flow'!H6*E6</f>
        <v>-1.575</v>
      </c>
      <c r="F11" s="9" t="n">
        <f aca="false">'Cash Flow'!I6*F6</f>
        <v>-1.65</v>
      </c>
    </row>
    <row r="12" customFormat="false" ht="15" hidden="false" customHeight="true" outlineLevel="0" collapsed="false">
      <c r="A12" s="8" t="s">
        <v>185</v>
      </c>
      <c r="B12" s="23" t="n">
        <v>-0.3</v>
      </c>
      <c r="C12" s="23" t="n">
        <v>-0.3</v>
      </c>
      <c r="D12" s="23" t="n">
        <v>-0.3</v>
      </c>
      <c r="E12" s="23" t="n">
        <v>-0.3</v>
      </c>
      <c r="F12" s="23" t="n">
        <v>-0.3</v>
      </c>
    </row>
    <row r="13" customFormat="false" ht="15" hidden="false" customHeight="true" outlineLevel="0" collapsed="false">
      <c r="A13" s="7" t="s">
        <v>186</v>
      </c>
      <c r="B13" s="9" t="n">
        <f aca="false">B9+B10+B11+B12</f>
        <v>1.57875</v>
      </c>
      <c r="C13" s="21" t="n">
        <f aca="false">C9+C10+C11+C12</f>
        <v>1.9275</v>
      </c>
      <c r="D13" s="21" t="n">
        <f aca="false">D9+D10+D11+D12</f>
        <v>2.27625</v>
      </c>
      <c r="E13" s="21" t="n">
        <f aca="false">E9+E10+E11+E12</f>
        <v>2.566875</v>
      </c>
      <c r="F13" s="21" t="n">
        <f aca="false">F9+F10+F11+F12</f>
        <v>2.8575</v>
      </c>
    </row>
    <row r="14" customFormat="false" ht="15" hidden="false" customHeight="true" outlineLevel="0" collapsed="false">
      <c r="A14" s="8" t="s">
        <v>187</v>
      </c>
      <c r="B14" s="20" t="n">
        <f aca="false">1/(1+Assumptions!$B$50)^1</f>
        <v>0.833333333333333</v>
      </c>
      <c r="C14" s="21" t="n">
        <f aca="false">1/(1+Assumptions!$B$50)^2</f>
        <v>0.694444444444444</v>
      </c>
      <c r="D14" s="21" t="n">
        <f aca="false">1/(1+Assumptions!$B$50)^3</f>
        <v>0.578703703703704</v>
      </c>
      <c r="E14" s="21" t="n">
        <f aca="false">1/(1+Assumptions!$B$50)^4</f>
        <v>0.482253086419753</v>
      </c>
      <c r="F14" s="21" t="n">
        <f aca="false">1/(1+Assumptions!$B$50)^5</f>
        <v>0.401877572016461</v>
      </c>
    </row>
    <row r="15" customFormat="false" ht="15" hidden="false" customHeight="true" outlineLevel="0" collapsed="false">
      <c r="A15" s="8" t="s">
        <v>188</v>
      </c>
      <c r="B15" s="30" t="n">
        <f aca="false">B13*B14</f>
        <v>1.315625</v>
      </c>
      <c r="C15" s="1" t="n">
        <f aca="false">C13*C14</f>
        <v>1.33854166666667</v>
      </c>
      <c r="D15" s="1" t="n">
        <f aca="false">D13*D14</f>
        <v>1.31727430555556</v>
      </c>
      <c r="E15" s="1" t="n">
        <f aca="false">E13*E14</f>
        <v>1.2378833912037</v>
      </c>
      <c r="F15" s="1" t="n">
        <f aca="false">F13*F14</f>
        <v>1.14836516203704</v>
      </c>
    </row>
    <row r="16" customFormat="false" ht="15" hidden="false" customHeight="true" outlineLevel="0" collapsed="false">
      <c r="A16" s="8"/>
      <c r="B16" s="9"/>
    </row>
    <row r="17" customFormat="false" ht="15" hidden="false" customHeight="true" outlineLevel="0" collapsed="false">
      <c r="A17" s="33" t="s">
        <v>189</v>
      </c>
      <c r="B17" s="20" t="n">
        <f aca="false">SUM(B15:F15)</f>
        <v>6.35768952546296</v>
      </c>
    </row>
    <row r="18" customFormat="false" ht="15" hidden="false" customHeight="true" outlineLevel="0" collapsed="false">
      <c r="A18" s="8" t="s">
        <v>190</v>
      </c>
      <c r="B18" s="12" t="n">
        <f aca="false">F13*(1+Assumptions!B51)/(Assumptions!B50-Assumptions!B51)</f>
        <v>21.6353571428571</v>
      </c>
    </row>
    <row r="19" customFormat="false" ht="15" hidden="false" customHeight="true" outlineLevel="0" collapsed="false">
      <c r="A19" s="31" t="s">
        <v>191</v>
      </c>
      <c r="B19" s="46" t="n">
        <f aca="false">B18/(1+Assumptions!B50)^5</f>
        <v>8.69476479828043</v>
      </c>
    </row>
    <row r="20" customFormat="false" ht="15" hidden="false" customHeight="true" outlineLevel="0" collapsed="false">
      <c r="A20" s="1" t="s">
        <v>192</v>
      </c>
      <c r="B20" s="1" t="n">
        <f aca="false">B17+B19</f>
        <v>15.0524543237434</v>
      </c>
    </row>
    <row r="21" customFormat="false" ht="15" hidden="false" customHeight="true" outlineLevel="0" collapsed="false">
      <c r="A21" s="8" t="s">
        <v>193</v>
      </c>
      <c r="B21" s="9" t="n">
        <f aca="false">Assumptions!B53</f>
        <v>2</v>
      </c>
    </row>
    <row r="22" customFormat="false" ht="15" hidden="false" customHeight="true" outlineLevel="0" collapsed="false">
      <c r="A22" s="31" t="s">
        <v>194</v>
      </c>
      <c r="B22" s="45" t="n">
        <f aca="false">B20+B21</f>
        <v>17.0524543237434</v>
      </c>
    </row>
    <row r="23" customFormat="false" ht="15" hidden="false" customHeight="true" outlineLevel="0" collapsed="false">
      <c r="A23" s="8" t="s">
        <v>195</v>
      </c>
      <c r="B23" s="13" t="n">
        <f aca="false">Assumptions!B6</f>
        <v>4.2</v>
      </c>
    </row>
    <row r="24" customFormat="false" ht="15" hidden="false" customHeight="true" outlineLevel="0" collapsed="false">
      <c r="A24" s="7" t="s">
        <v>135</v>
      </c>
      <c r="B24" s="1" t="n">
        <f aca="false">B22/B23</f>
        <v>4.06010817231986</v>
      </c>
    </row>
    <row r="25" customFormat="false" ht="69.75" hidden="false" customHeight="true" outlineLevel="0" collapsed="false">
      <c r="A25" s="47" t="s">
        <v>43</v>
      </c>
      <c r="B25" s="1" t="n">
        <f aca="false">B24/Assumptions!B5-1</f>
        <v>-0.148824282532525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9.52"/>
  </cols>
  <sheetData>
    <row r="1" customFormat="false" ht="21.75" hidden="false" customHeight="true" outlineLevel="0" collapsed="false">
      <c r="A1" s="5" t="s">
        <v>196</v>
      </c>
      <c r="B1" s="5"/>
      <c r="C1" s="5"/>
      <c r="D1" s="5"/>
      <c r="E1" s="5"/>
      <c r="F1" s="5"/>
      <c r="G1" s="5"/>
      <c r="H1" s="5"/>
      <c r="I1" s="5"/>
    </row>
    <row r="2" customFormat="false" ht="15" hidden="false" customHeight="true" outlineLevel="0" collapsed="false">
      <c r="A2" s="6" t="s">
        <v>197</v>
      </c>
      <c r="B2" s="6"/>
      <c r="C2" s="6"/>
      <c r="D2" s="6"/>
      <c r="E2" s="6"/>
      <c r="F2" s="6"/>
      <c r="G2" s="6"/>
      <c r="H2" s="6"/>
      <c r="I2" s="6"/>
    </row>
    <row r="4" customFormat="false" ht="15" hidden="false" customHeight="true" outlineLevel="0" collapsed="false">
      <c r="A4" s="48" t="s">
        <v>198</v>
      </c>
      <c r="B4" s="49" t="s">
        <v>199</v>
      </c>
      <c r="C4" s="49" t="s">
        <v>200</v>
      </c>
      <c r="D4" s="49" t="s">
        <v>201</v>
      </c>
      <c r="E4" s="49" t="s">
        <v>202</v>
      </c>
      <c r="F4" s="49" t="s">
        <v>203</v>
      </c>
      <c r="G4" s="49" t="s">
        <v>204</v>
      </c>
      <c r="H4" s="49" t="s">
        <v>205</v>
      </c>
      <c r="I4" s="49" t="s">
        <v>206</v>
      </c>
    </row>
    <row r="5" customFormat="false" ht="15" hidden="false" customHeight="true" outlineLevel="0" collapsed="false">
      <c r="A5" s="8" t="s">
        <v>207</v>
      </c>
      <c r="B5" s="23" t="n">
        <v>97.1</v>
      </c>
      <c r="C5" s="23" t="n">
        <v>148.9</v>
      </c>
      <c r="D5" s="23" t="n">
        <v>140.6</v>
      </c>
      <c r="E5" s="23" t="n">
        <v>150</v>
      </c>
      <c r="F5" s="23" t="n">
        <v>162</v>
      </c>
      <c r="G5" s="23" t="n">
        <v>174</v>
      </c>
      <c r="H5" s="23" t="n">
        <v>186</v>
      </c>
      <c r="I5" s="23" t="n">
        <v>198</v>
      </c>
    </row>
    <row r="6" customFormat="false" ht="15" hidden="false" customHeight="true" outlineLevel="0" collapsed="false">
      <c r="A6" s="8" t="s">
        <v>208</v>
      </c>
      <c r="B6" s="23" t="n">
        <v>87</v>
      </c>
      <c r="C6" s="23" t="n">
        <v>134.9</v>
      </c>
      <c r="D6" s="23" t="n">
        <v>127</v>
      </c>
      <c r="E6" s="23" t="n">
        <v>134</v>
      </c>
      <c r="F6" s="23" t="n">
        <v>143</v>
      </c>
      <c r="G6" s="23" t="n">
        <v>152</v>
      </c>
      <c r="H6" s="23" t="n">
        <v>161</v>
      </c>
      <c r="I6" s="23" t="n">
        <v>170</v>
      </c>
    </row>
    <row r="7" customFormat="false" ht="15" hidden="false" customHeight="true" outlineLevel="0" collapsed="false">
      <c r="A7" s="31" t="s">
        <v>209</v>
      </c>
      <c r="B7" s="23" t="n">
        <f aca="false">B5-B6</f>
        <v>10.1</v>
      </c>
      <c r="C7" s="23" t="n">
        <f aca="false">C5-C6</f>
        <v>14</v>
      </c>
      <c r="D7" s="23" t="n">
        <f aca="false">D5-D6</f>
        <v>13.6</v>
      </c>
      <c r="E7" s="23" t="n">
        <f aca="false">E5-E6</f>
        <v>16</v>
      </c>
      <c r="F7" s="23" t="n">
        <f aca="false">F5-F6</f>
        <v>19</v>
      </c>
      <c r="G7" s="23" t="n">
        <f aca="false">G5-G6</f>
        <v>22</v>
      </c>
      <c r="H7" s="23" t="n">
        <f aca="false">H5-H6</f>
        <v>25</v>
      </c>
      <c r="I7" s="23" t="n">
        <f aca="false">I5-I6</f>
        <v>28</v>
      </c>
    </row>
    <row r="8" customFormat="false" ht="15" hidden="false" customHeight="true" outlineLevel="0" collapsed="false">
      <c r="A8" s="8" t="s">
        <v>210</v>
      </c>
      <c r="B8" s="28" t="n">
        <v>22.7</v>
      </c>
      <c r="C8" s="25" t="n">
        <v>21.4</v>
      </c>
      <c r="D8" s="25" t="n">
        <v>19.4</v>
      </c>
      <c r="E8" s="25" t="n">
        <v>24</v>
      </c>
      <c r="F8" s="25" t="n">
        <v>27.5</v>
      </c>
      <c r="G8" s="25" t="n">
        <v>31</v>
      </c>
      <c r="H8" s="25" t="n">
        <v>34</v>
      </c>
      <c r="I8" s="25" t="n">
        <v>37</v>
      </c>
    </row>
    <row r="9" customFormat="false" ht="15" hidden="false" customHeight="true" outlineLevel="0" collapsed="false">
      <c r="A9" s="8" t="s">
        <v>211</v>
      </c>
      <c r="B9" s="23" t="n">
        <f aca="false">B8/B5</f>
        <v>0.233779608650875</v>
      </c>
      <c r="C9" s="23" t="n">
        <f aca="false">C8/C5</f>
        <v>0.143720617864338</v>
      </c>
      <c r="D9" s="23" t="n">
        <f aca="false">D8/D5</f>
        <v>0.137980085348506</v>
      </c>
      <c r="E9" s="23" t="n">
        <f aca="false">E8/E5</f>
        <v>0.16</v>
      </c>
      <c r="F9" s="23" t="n">
        <f aca="false">F8/F5</f>
        <v>0.169753086419753</v>
      </c>
      <c r="G9" s="23" t="n">
        <f aca="false">G8/G5</f>
        <v>0.17816091954023</v>
      </c>
      <c r="H9" s="23" t="n">
        <f aca="false">H8/H5</f>
        <v>0.182795698924731</v>
      </c>
      <c r="I9" s="23" t="n">
        <f aca="false">I8/I5</f>
        <v>0.186868686868687</v>
      </c>
    </row>
    <row r="10" customFormat="false" ht="15" hidden="false" customHeight="true" outlineLevel="0" collapsed="false">
      <c r="A10" s="8" t="s">
        <v>212</v>
      </c>
      <c r="B10" s="23" t="n">
        <v>-9</v>
      </c>
      <c r="C10" s="23" t="n">
        <v>-10.5</v>
      </c>
      <c r="D10" s="23" t="n">
        <v>-13.8</v>
      </c>
      <c r="E10" s="23" t="n">
        <v>-13</v>
      </c>
      <c r="F10" s="23" t="n">
        <v>-13.5</v>
      </c>
      <c r="G10" s="23" t="n">
        <v>-14</v>
      </c>
      <c r="H10" s="23" t="n">
        <v>-14.5</v>
      </c>
      <c r="I10" s="23" t="n">
        <v>-15</v>
      </c>
    </row>
    <row r="11" customFormat="false" ht="15" hidden="false" customHeight="true" outlineLevel="0" collapsed="false">
      <c r="A11" s="8" t="s">
        <v>213</v>
      </c>
      <c r="B11" s="25" t="n">
        <f aca="false">B8+B10</f>
        <v>13.7</v>
      </c>
      <c r="C11" s="25" t="n">
        <f aca="false">C8+C10</f>
        <v>10.9</v>
      </c>
      <c r="D11" s="25" t="n">
        <f aca="false">D8+D10</f>
        <v>5.6</v>
      </c>
      <c r="E11" s="25" t="n">
        <f aca="false">E8+E10</f>
        <v>11</v>
      </c>
      <c r="F11" s="25" t="n">
        <f aca="false">F8+F10</f>
        <v>14</v>
      </c>
      <c r="G11" s="25" t="n">
        <f aca="false">G8+G10</f>
        <v>17</v>
      </c>
      <c r="H11" s="25" t="n">
        <f aca="false">H8+H10</f>
        <v>19.5</v>
      </c>
      <c r="I11" s="25" t="n">
        <f aca="false">I8+I10</f>
        <v>22</v>
      </c>
    </row>
    <row r="12" customFormat="false" ht="15" hidden="false" customHeight="true" outlineLevel="0" collapsed="false">
      <c r="A12" s="8" t="s">
        <v>214</v>
      </c>
      <c r="B12" s="23" t="n">
        <f aca="false">B11/B5</f>
        <v>0.141091658084449</v>
      </c>
      <c r="C12" s="23" t="n">
        <f aca="false">C11/C5</f>
        <v>0.0732034922766958</v>
      </c>
      <c r="D12" s="23" t="n">
        <f aca="false">D11/D5</f>
        <v>0.0398293029871977</v>
      </c>
      <c r="E12" s="23" t="n">
        <f aca="false">E11/E5</f>
        <v>0.0733333333333333</v>
      </c>
      <c r="F12" s="23" t="n">
        <f aca="false">F11/F5</f>
        <v>0.0864197530864198</v>
      </c>
      <c r="G12" s="23" t="n">
        <f aca="false">G11/G5</f>
        <v>0.0977011494252874</v>
      </c>
      <c r="H12" s="23" t="n">
        <f aca="false">H11/H5</f>
        <v>0.104838709677419</v>
      </c>
      <c r="I12" s="23" t="n">
        <f aca="false">I11/I5</f>
        <v>0.111111111111111</v>
      </c>
    </row>
    <row r="13" customFormat="false" ht="15" hidden="false" customHeight="true" outlineLevel="0" collapsed="false">
      <c r="A13" s="8" t="s">
        <v>215</v>
      </c>
      <c r="B13" s="23" t="n">
        <v>-12</v>
      </c>
      <c r="C13" s="23" t="n">
        <v>-14</v>
      </c>
      <c r="D13" s="23" t="n">
        <v>-8.4</v>
      </c>
      <c r="E13" s="23" t="n">
        <v>-11</v>
      </c>
      <c r="F13" s="23" t="n">
        <v>-9.5</v>
      </c>
      <c r="G13" s="23" t="n">
        <v>-8.5</v>
      </c>
      <c r="H13" s="23" t="n">
        <v>-8</v>
      </c>
      <c r="I13" s="23" t="n">
        <v>-7.5</v>
      </c>
    </row>
    <row r="14" customFormat="false" ht="15" hidden="false" customHeight="true" outlineLevel="0" collapsed="false">
      <c r="A14" s="8" t="s">
        <v>216</v>
      </c>
      <c r="B14" s="23" t="n">
        <v>0</v>
      </c>
      <c r="C14" s="23" t="n">
        <v>9.9</v>
      </c>
      <c r="D14" s="23" t="n">
        <v>0</v>
      </c>
      <c r="E14" s="23" t="n">
        <v>0</v>
      </c>
      <c r="F14" s="23" t="n">
        <v>0</v>
      </c>
      <c r="G14" s="23" t="n">
        <v>0</v>
      </c>
      <c r="H14" s="23" t="n">
        <v>0</v>
      </c>
      <c r="I14" s="23" t="n">
        <v>0</v>
      </c>
    </row>
    <row r="15" customFormat="false" ht="15" hidden="false" customHeight="true" outlineLevel="0" collapsed="false">
      <c r="A15" s="31" t="s">
        <v>217</v>
      </c>
      <c r="B15" s="23" t="n">
        <v>0.3</v>
      </c>
      <c r="C15" s="23" t="n">
        <v>0.4</v>
      </c>
      <c r="D15" s="23" t="n">
        <v>0.2</v>
      </c>
      <c r="E15" s="23" t="n">
        <v>0.5</v>
      </c>
      <c r="F15" s="23" t="n">
        <v>0.7</v>
      </c>
      <c r="G15" s="23" t="n">
        <v>0.9</v>
      </c>
      <c r="H15" s="23" t="n">
        <v>1.1</v>
      </c>
      <c r="I15" s="23" t="n">
        <v>1.3</v>
      </c>
    </row>
    <row r="16" customFormat="false" ht="15" hidden="false" customHeight="true" outlineLevel="0" collapsed="false">
      <c r="A16" s="33" t="s">
        <v>218</v>
      </c>
      <c r="B16" s="50" t="n">
        <f aca="false">B11+B13+B14+B15</f>
        <v>2</v>
      </c>
      <c r="C16" s="50" t="n">
        <f aca="false">C11+C13+C14+C15</f>
        <v>7.2</v>
      </c>
      <c r="D16" s="50" t="n">
        <f aca="false">D11+D13+D14+D15</f>
        <v>-2.6</v>
      </c>
      <c r="E16" s="50" t="n">
        <f aca="false">E11+E13+E14+E15</f>
        <v>0.5</v>
      </c>
      <c r="F16" s="50" t="n">
        <f aca="false">F11+F13+F14+F15</f>
        <v>5.2</v>
      </c>
      <c r="G16" s="50" t="n">
        <f aca="false">G11+G13+G14+G15</f>
        <v>9.4</v>
      </c>
      <c r="H16" s="50" t="n">
        <f aca="false">H11+H13+H14+H15</f>
        <v>12.6</v>
      </c>
      <c r="I16" s="50" t="n">
        <f aca="false">I11+I13+I14+I15</f>
        <v>15.8</v>
      </c>
    </row>
    <row r="17" customFormat="false" ht="15" hidden="false" customHeight="true" outlineLevel="0" collapsed="false">
      <c r="A17" s="8" t="s">
        <v>219</v>
      </c>
      <c r="B17" s="22" t="n">
        <v>-0.5</v>
      </c>
      <c r="C17" s="22" t="n">
        <v>-1.5</v>
      </c>
      <c r="D17" s="22" t="n">
        <v>-1.6</v>
      </c>
      <c r="E17" s="22" t="n">
        <v>-1.2</v>
      </c>
      <c r="F17" s="22" t="n">
        <v>-2</v>
      </c>
      <c r="G17" s="22" t="n">
        <v>-2.7</v>
      </c>
      <c r="H17" s="22" t="n">
        <v>-3.4</v>
      </c>
      <c r="I17" s="22" t="n">
        <v>-4</v>
      </c>
    </row>
    <row r="18" customFormat="false" ht="15" hidden="false" customHeight="true" outlineLevel="0" collapsed="false">
      <c r="A18" s="1" t="s">
        <v>220</v>
      </c>
      <c r="B18" s="51" t="n">
        <f aca="false">B16+B17</f>
        <v>1.5</v>
      </c>
      <c r="C18" s="51" t="n">
        <f aca="false">C16+C17</f>
        <v>5.7</v>
      </c>
      <c r="D18" s="51" t="n">
        <f aca="false">D16+D17</f>
        <v>-4.2</v>
      </c>
      <c r="E18" s="51" t="n">
        <f aca="false">E16+E17</f>
        <v>-0.7</v>
      </c>
      <c r="F18" s="51" t="n">
        <f aca="false">F16+F17</f>
        <v>3.2</v>
      </c>
      <c r="G18" s="51" t="n">
        <f aca="false">G16+G17</f>
        <v>6.7</v>
      </c>
      <c r="H18" s="51" t="n">
        <f aca="false">H16+H17</f>
        <v>9.2</v>
      </c>
      <c r="I18" s="51" t="n">
        <f aca="false">I16+I17</f>
        <v>11.8</v>
      </c>
    </row>
    <row r="19" customFormat="false" ht="55.5" hidden="false" customHeight="true" outlineLevel="0" collapsed="false">
      <c r="A19" s="47" t="s">
        <v>221</v>
      </c>
      <c r="B19" s="28" t="n">
        <v>5.3</v>
      </c>
      <c r="C19" s="28" t="n">
        <v>1.8</v>
      </c>
      <c r="D19" s="28" t="n">
        <v>-3.1</v>
      </c>
      <c r="E19" s="28" t="n">
        <v>2.5</v>
      </c>
      <c r="F19" s="28" t="n">
        <v>4</v>
      </c>
      <c r="G19" s="28" t="n">
        <v>5.5</v>
      </c>
      <c r="H19" s="28" t="n">
        <v>7</v>
      </c>
      <c r="I19" s="28" t="n">
        <v>8.5</v>
      </c>
    </row>
    <row r="20" customFormat="false" ht="15" hidden="false" customHeight="true" outlineLevel="0" collapsed="false">
      <c r="A20" s="7" t="s">
        <v>222</v>
      </c>
      <c r="B20" s="51" t="n">
        <f aca="false">B18-B19</f>
        <v>-3.8</v>
      </c>
      <c r="C20" s="51" t="n">
        <f aca="false">C18-C19</f>
        <v>3.9</v>
      </c>
      <c r="D20" s="51" t="n">
        <f aca="false">D18-D19</f>
        <v>-1.1</v>
      </c>
      <c r="E20" s="51" t="n">
        <f aca="false">E18-E19</f>
        <v>-3.2</v>
      </c>
      <c r="F20" s="51" t="n">
        <f aca="false">F18-F19</f>
        <v>-0.8</v>
      </c>
      <c r="G20" s="51" t="n">
        <f aca="false">G18-G19</f>
        <v>1.2</v>
      </c>
      <c r="H20" s="51" t="n">
        <f aca="false">H18-H19</f>
        <v>2.2</v>
      </c>
      <c r="I20" s="51" t="n">
        <f aca="false">I18-I19</f>
        <v>3.3</v>
      </c>
    </row>
    <row r="21" customFormat="false" ht="15" hidden="false" customHeight="true" outlineLevel="0" collapsed="false">
      <c r="A21" s="7" t="s">
        <v>223</v>
      </c>
      <c r="B21" s="1" t="n">
        <f aca="false">B20/Assumptions!$B$6</f>
        <v>-0.904761904761905</v>
      </c>
      <c r="C21" s="1" t="n">
        <f aca="false">C20/Assumptions!$B$6</f>
        <v>0.928571428571428</v>
      </c>
      <c r="D21" s="1" t="n">
        <f aca="false">D20/Assumptions!$B$6</f>
        <v>-0.261904761904763</v>
      </c>
      <c r="E21" s="1" t="n">
        <f aca="false">E20/Assumptions!$B$6</f>
        <v>-0.761904761904762</v>
      </c>
      <c r="F21" s="1" t="n">
        <f aca="false">F20/Assumptions!$B$6</f>
        <v>-0.19047619047619</v>
      </c>
      <c r="G21" s="1" t="n">
        <f aca="false">G20/Assumptions!$B$6</f>
        <v>0.285714285714286</v>
      </c>
      <c r="H21" s="1" t="n">
        <f aca="false">H20/Assumptions!$B$6</f>
        <v>0.523809523809524</v>
      </c>
      <c r="I21" s="1" t="n">
        <f aca="false">I20/Assumptions!$B$6</f>
        <v>0.785714285714286</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9.52"/>
  </cols>
  <sheetData>
    <row r="1" customFormat="false" ht="21.75" hidden="false" customHeight="true" outlineLevel="0" collapsed="false">
      <c r="A1" s="5" t="s">
        <v>224</v>
      </c>
      <c r="B1" s="5"/>
      <c r="C1" s="5"/>
      <c r="D1" s="5"/>
      <c r="E1" s="5"/>
      <c r="F1" s="5"/>
      <c r="G1" s="5"/>
      <c r="H1" s="5"/>
      <c r="I1" s="5"/>
    </row>
    <row r="2" customFormat="false" ht="15" hidden="false" customHeight="true" outlineLevel="0" collapsed="false">
      <c r="A2" s="6" t="s">
        <v>225</v>
      </c>
      <c r="B2" s="6"/>
      <c r="C2" s="6"/>
      <c r="D2" s="6"/>
      <c r="E2" s="6"/>
      <c r="F2" s="6"/>
      <c r="G2" s="6"/>
      <c r="H2" s="6"/>
      <c r="I2" s="6"/>
    </row>
    <row r="4" customFormat="false" ht="15" hidden="false" customHeight="true" outlineLevel="0" collapsed="false">
      <c r="A4" s="48" t="s">
        <v>226</v>
      </c>
      <c r="B4" s="49" t="s">
        <v>199</v>
      </c>
      <c r="C4" s="49" t="s">
        <v>200</v>
      </c>
      <c r="D4" s="49" t="s">
        <v>201</v>
      </c>
      <c r="E4" s="49" t="s">
        <v>202</v>
      </c>
      <c r="F4" s="49" t="s">
        <v>203</v>
      </c>
      <c r="G4" s="49" t="s">
        <v>204</v>
      </c>
      <c r="H4" s="49" t="s">
        <v>205</v>
      </c>
      <c r="I4" s="49" t="s">
        <v>206</v>
      </c>
    </row>
    <row r="5" customFormat="false" ht="15" hidden="false" customHeight="true" outlineLevel="0" collapsed="false">
      <c r="A5" s="8" t="s">
        <v>227</v>
      </c>
      <c r="B5" s="24" t="n">
        <v>12</v>
      </c>
      <c r="C5" s="24" t="n">
        <v>2.7</v>
      </c>
      <c r="D5" s="24" t="n">
        <v>4.5</v>
      </c>
      <c r="E5" s="24" t="n">
        <v>6</v>
      </c>
      <c r="F5" s="24" t="n">
        <v>8</v>
      </c>
      <c r="G5" s="24" t="n">
        <v>10</v>
      </c>
      <c r="H5" s="24" t="n">
        <v>12</v>
      </c>
      <c r="I5" s="24" t="n">
        <v>14</v>
      </c>
    </row>
    <row r="6" customFormat="false" ht="15" hidden="false" customHeight="true" outlineLevel="0" collapsed="false">
      <c r="A6" s="8" t="s">
        <v>228</v>
      </c>
      <c r="B6" s="52" t="n">
        <f aca="false">B14+B17-B5-B8-B9-B10</f>
        <v>80.1</v>
      </c>
      <c r="C6" s="52" t="n">
        <f aca="false">C14+C17-C5-C8-C9-C10</f>
        <v>44.6</v>
      </c>
      <c r="D6" s="52" t="n">
        <f aca="false">D14+D17-D5-D8-D9-D10</f>
        <v>25.4</v>
      </c>
      <c r="E6" s="52" t="n">
        <f aca="false">E14+E17-E5-E8-E9-E10</f>
        <v>21</v>
      </c>
      <c r="F6" s="52" t="n">
        <f aca="false">F14+F17-F5-F8-F9-F10</f>
        <v>24.5</v>
      </c>
      <c r="G6" s="52" t="n">
        <f aca="false">G14+G17-G5-G8-G9-G10</f>
        <v>28</v>
      </c>
      <c r="H6" s="52" t="n">
        <f aca="false">H14+H17-H5-H8-H9-H10</f>
        <v>33</v>
      </c>
      <c r="I6" s="52" t="n">
        <f aca="false">I14+I17-I5-I8-I9-I10</f>
        <v>39</v>
      </c>
    </row>
    <row r="7" customFormat="false" ht="15" hidden="false" customHeight="true" outlineLevel="0" collapsed="false">
      <c r="A7" s="8" t="s">
        <v>229</v>
      </c>
      <c r="B7" s="24" t="n">
        <f aca="false">B5+B6</f>
        <v>92.1</v>
      </c>
      <c r="C7" s="24" t="n">
        <f aca="false">C5+C6</f>
        <v>47.3</v>
      </c>
      <c r="D7" s="24" t="n">
        <f aca="false">D5+D6</f>
        <v>29.9</v>
      </c>
      <c r="E7" s="24" t="n">
        <f aca="false">E5+E6</f>
        <v>27</v>
      </c>
      <c r="F7" s="24" t="n">
        <f aca="false">F5+F6</f>
        <v>32.5</v>
      </c>
      <c r="G7" s="24" t="n">
        <f aca="false">G5+G6</f>
        <v>38</v>
      </c>
      <c r="H7" s="24" t="n">
        <f aca="false">H5+H6</f>
        <v>45</v>
      </c>
      <c r="I7" s="24" t="n">
        <f aca="false">I5+I6</f>
        <v>53</v>
      </c>
    </row>
    <row r="8" customFormat="false" ht="15" hidden="false" customHeight="true" outlineLevel="0" collapsed="false">
      <c r="A8" s="31" t="s">
        <v>230</v>
      </c>
      <c r="B8" s="24" t="n">
        <v>95</v>
      </c>
      <c r="C8" s="24" t="n">
        <v>163.1</v>
      </c>
      <c r="D8" s="24" t="n">
        <v>142</v>
      </c>
      <c r="E8" s="24" t="n">
        <v>140</v>
      </c>
      <c r="F8" s="24" t="n">
        <v>138</v>
      </c>
      <c r="G8" s="24" t="n">
        <v>136</v>
      </c>
      <c r="H8" s="24" t="n">
        <v>134</v>
      </c>
      <c r="I8" s="24" t="n">
        <v>132</v>
      </c>
    </row>
    <row r="9" customFormat="false" ht="15" hidden="false" customHeight="true" outlineLevel="0" collapsed="false">
      <c r="A9" s="8" t="s">
        <v>231</v>
      </c>
      <c r="B9" s="24" t="n">
        <v>8</v>
      </c>
      <c r="C9" s="24" t="n">
        <v>6.8</v>
      </c>
      <c r="D9" s="24" t="n">
        <v>7</v>
      </c>
      <c r="E9" s="24" t="n">
        <v>8</v>
      </c>
      <c r="F9" s="24" t="n">
        <v>9</v>
      </c>
      <c r="G9" s="24" t="n">
        <v>10</v>
      </c>
      <c r="H9" s="24" t="n">
        <v>11</v>
      </c>
      <c r="I9" s="24" t="n">
        <v>12</v>
      </c>
    </row>
    <row r="10" customFormat="false" ht="15" hidden="false" customHeight="true" outlineLevel="0" collapsed="false">
      <c r="A10" s="8" t="s">
        <v>232</v>
      </c>
      <c r="B10" s="24" t="n">
        <v>5.6</v>
      </c>
      <c r="C10" s="24" t="n">
        <v>11.3</v>
      </c>
      <c r="D10" s="24" t="n">
        <v>12</v>
      </c>
      <c r="E10" s="24" t="n">
        <v>11</v>
      </c>
      <c r="F10" s="24" t="n">
        <v>10</v>
      </c>
      <c r="G10" s="24" t="n">
        <v>10</v>
      </c>
      <c r="H10" s="24" t="n">
        <v>10</v>
      </c>
      <c r="I10" s="24" t="n">
        <v>10</v>
      </c>
    </row>
    <row r="11" customFormat="false" ht="15" hidden="false" customHeight="true" outlineLevel="0" collapsed="false">
      <c r="A11" s="33" t="s">
        <v>233</v>
      </c>
      <c r="B11" s="24" t="n">
        <f aca="false">B7+B8+B9+B10</f>
        <v>200.7</v>
      </c>
      <c r="C11" s="24" t="n">
        <f aca="false">C7+C8+C9+C10</f>
        <v>228.5</v>
      </c>
      <c r="D11" s="24" t="n">
        <f aca="false">D7+D8+D9+D10</f>
        <v>190.9</v>
      </c>
      <c r="E11" s="24" t="n">
        <f aca="false">E7+E8+E9+E10</f>
        <v>186</v>
      </c>
      <c r="F11" s="24" t="n">
        <f aca="false">F7+F8+F9+F10</f>
        <v>189.5</v>
      </c>
      <c r="G11" s="24" t="n">
        <f aca="false">G7+G8+G9+G10</f>
        <v>194</v>
      </c>
      <c r="H11" s="24" t="n">
        <f aca="false">H7+H8+H9+H10</f>
        <v>200</v>
      </c>
      <c r="I11" s="24" t="n">
        <f aca="false">I7+I8+I9+I10</f>
        <v>207</v>
      </c>
    </row>
    <row r="12" customFormat="false" ht="15" hidden="false" customHeight="true" outlineLevel="0" collapsed="false">
      <c r="A12" s="8" t="s">
        <v>234</v>
      </c>
      <c r="B12" s="24" t="n">
        <v>100</v>
      </c>
      <c r="C12" s="24" t="n">
        <v>111.4</v>
      </c>
      <c r="D12" s="24" t="n">
        <v>72.4</v>
      </c>
      <c r="E12" s="24" t="n">
        <v>62</v>
      </c>
      <c r="F12" s="24" t="n">
        <v>56</v>
      </c>
      <c r="G12" s="24" t="n">
        <v>51</v>
      </c>
      <c r="H12" s="24" t="n">
        <v>47</v>
      </c>
      <c r="I12" s="24" t="n">
        <v>43</v>
      </c>
    </row>
    <row r="13" customFormat="false" ht="15" hidden="false" customHeight="true" outlineLevel="0" collapsed="false">
      <c r="A13" s="31" t="s">
        <v>235</v>
      </c>
      <c r="B13" s="24" t="n">
        <v>60.7</v>
      </c>
      <c r="C13" s="24" t="n">
        <v>50.1</v>
      </c>
      <c r="D13" s="24" t="n">
        <v>51</v>
      </c>
      <c r="E13" s="24" t="n">
        <v>52</v>
      </c>
      <c r="F13" s="24" t="n">
        <v>53</v>
      </c>
      <c r="G13" s="24" t="n">
        <v>54</v>
      </c>
      <c r="H13" s="24" t="n">
        <v>55</v>
      </c>
      <c r="I13" s="24" t="n">
        <v>56</v>
      </c>
    </row>
    <row r="14" customFormat="false" ht="15" hidden="false" customHeight="true" outlineLevel="0" collapsed="false">
      <c r="A14" s="31" t="s">
        <v>236</v>
      </c>
      <c r="B14" s="24" t="n">
        <f aca="false">B12+B13</f>
        <v>160.7</v>
      </c>
      <c r="C14" s="24" t="n">
        <f aca="false">C12+C13</f>
        <v>161.5</v>
      </c>
      <c r="D14" s="24" t="n">
        <f aca="false">D12+D13</f>
        <v>123.4</v>
      </c>
      <c r="E14" s="24" t="n">
        <f aca="false">E12+E13</f>
        <v>114</v>
      </c>
      <c r="F14" s="24" t="n">
        <f aca="false">F12+F13</f>
        <v>109</v>
      </c>
      <c r="G14" s="24" t="n">
        <f aca="false">G12+G13</f>
        <v>105</v>
      </c>
      <c r="H14" s="24" t="n">
        <f aca="false">H12+H13</f>
        <v>102</v>
      </c>
      <c r="I14" s="24" t="n">
        <f aca="false">I12+I13</f>
        <v>99</v>
      </c>
    </row>
    <row r="15" customFormat="false" ht="15" hidden="false" customHeight="true" outlineLevel="0" collapsed="false">
      <c r="A15" s="8" t="s">
        <v>237</v>
      </c>
      <c r="B15" s="24" t="n">
        <v>47.1</v>
      </c>
      <c r="C15" s="24" t="n">
        <v>80.7</v>
      </c>
      <c r="D15" s="24" t="n">
        <v>72</v>
      </c>
      <c r="E15" s="24" t="n">
        <v>74</v>
      </c>
      <c r="F15" s="24" t="n">
        <v>77</v>
      </c>
      <c r="G15" s="24" t="n">
        <v>80</v>
      </c>
      <c r="H15" s="24" t="n">
        <v>83</v>
      </c>
      <c r="I15" s="24" t="n">
        <v>86</v>
      </c>
    </row>
    <row r="16" customFormat="false" ht="15" hidden="false" customHeight="true" outlineLevel="0" collapsed="false">
      <c r="A16" s="33" t="s">
        <v>238</v>
      </c>
      <c r="B16" s="24" t="n">
        <v>-7.1</v>
      </c>
      <c r="C16" s="24" t="n">
        <v>-13.7</v>
      </c>
      <c r="D16" s="24" t="n">
        <v>-4.5</v>
      </c>
      <c r="E16" s="24" t="n">
        <v>-2</v>
      </c>
      <c r="F16" s="24" t="n">
        <v>3.5</v>
      </c>
      <c r="G16" s="24" t="n">
        <v>9</v>
      </c>
      <c r="H16" s="24" t="n">
        <v>15</v>
      </c>
      <c r="I16" s="24" t="n">
        <v>22</v>
      </c>
    </row>
    <row r="17" customFormat="false" ht="15" hidden="false" customHeight="true" outlineLevel="0" collapsed="false">
      <c r="A17" s="31" t="s">
        <v>239</v>
      </c>
      <c r="B17" s="24" t="n">
        <f aca="false">B15+B16</f>
        <v>40</v>
      </c>
      <c r="C17" s="24" t="n">
        <f aca="false">C15+C16</f>
        <v>67</v>
      </c>
      <c r="D17" s="24" t="n">
        <f aca="false">D15+D16</f>
        <v>67.5</v>
      </c>
      <c r="E17" s="24" t="n">
        <f aca="false">E15+E16</f>
        <v>72</v>
      </c>
      <c r="F17" s="24" t="n">
        <f aca="false">F15+F16</f>
        <v>80.5</v>
      </c>
      <c r="G17" s="24" t="n">
        <f aca="false">G15+G16</f>
        <v>89</v>
      </c>
      <c r="H17" s="24" t="n">
        <f aca="false">H15+H16</f>
        <v>98</v>
      </c>
      <c r="I17" s="24" t="n">
        <f aca="false">I15+I16</f>
        <v>108</v>
      </c>
    </row>
    <row r="18" customFormat="false" ht="15" hidden="false" customHeight="true" outlineLevel="0" collapsed="false">
      <c r="A18" s="33" t="s">
        <v>240</v>
      </c>
      <c r="B18" s="29" t="n">
        <f aca="false">B11-B14-B17</f>
        <v>0</v>
      </c>
      <c r="C18" s="29" t="n">
        <f aca="false">C11-C14-C17</f>
        <v>0</v>
      </c>
      <c r="D18" s="29" t="n">
        <f aca="false">D11-D14-D17</f>
        <v>0</v>
      </c>
      <c r="E18" s="29" t="n">
        <f aca="false">E11-E14-E17</f>
        <v>0</v>
      </c>
      <c r="F18" s="29" t="n">
        <f aca="false">F11-F14-F17</f>
        <v>0</v>
      </c>
      <c r="G18" s="29" t="n">
        <f aca="false">G11-G14-G17</f>
        <v>0</v>
      </c>
      <c r="H18" s="29" t="n">
        <f aca="false">H11-H14-H17</f>
        <v>0</v>
      </c>
      <c r="I18" s="29" t="n">
        <f aca="false">I11-I14-I17</f>
        <v>0</v>
      </c>
    </row>
    <row r="19" customFormat="false" ht="15" hidden="false" customHeight="true" outlineLevel="0" collapsed="false">
      <c r="A19" s="33" t="s">
        <v>241</v>
      </c>
      <c r="B19" s="29" t="n">
        <f aca="false">B16/Assumptions!$B$6</f>
        <v>-1.69047619047619</v>
      </c>
      <c r="C19" s="29" t="n">
        <f aca="false">C16/Assumptions!$B$6</f>
        <v>-3.26190476190476</v>
      </c>
      <c r="D19" s="29" t="n">
        <f aca="false">D16/Assumptions!$B$6</f>
        <v>-1.07142857142857</v>
      </c>
      <c r="E19" s="29" t="n">
        <f aca="false">E16/Assumptions!$B$6</f>
        <v>-0.476190476190476</v>
      </c>
      <c r="F19" s="29" t="n">
        <f aca="false">F16/Assumptions!$B$6</f>
        <v>0.833333333333333</v>
      </c>
      <c r="G19" s="29" t="n">
        <f aca="false">G16/Assumptions!$B$6</f>
        <v>2.14285714285714</v>
      </c>
      <c r="H19" s="29" t="n">
        <f aca="false">H16/Assumptions!$B$6</f>
        <v>3.57142857142857</v>
      </c>
      <c r="I19" s="29" t="n">
        <f aca="false">I16/Assumptions!$B$6</f>
        <v>5.23809523809524</v>
      </c>
    </row>
    <row r="20" customFormat="false" ht="15" hidden="false" customHeight="true" outlineLevel="0" collapsed="false">
      <c r="A20" s="31"/>
      <c r="B20" s="46"/>
      <c r="C20" s="46"/>
      <c r="D20" s="46"/>
      <c r="E20" s="46"/>
      <c r="F20" s="46"/>
      <c r="G20" s="46"/>
      <c r="H20" s="46"/>
      <c r="I20" s="46"/>
    </row>
    <row r="21" customFormat="false" ht="15" hidden="false" customHeight="true" outlineLevel="0" collapsed="false">
      <c r="A21" s="8"/>
      <c r="B21" s="29"/>
      <c r="C21" s="29"/>
      <c r="D21" s="29"/>
      <c r="E21" s="29"/>
      <c r="F21" s="29"/>
      <c r="G21" s="29"/>
      <c r="H21" s="29"/>
      <c r="I21" s="29"/>
    </row>
    <row r="22" customFormat="false" ht="15" hidden="false" customHeight="true" outlineLevel="0" collapsed="false">
      <c r="A22" s="8"/>
      <c r="B22" s="29"/>
      <c r="C22" s="29"/>
      <c r="D22" s="29"/>
      <c r="E22" s="29"/>
      <c r="F22" s="29"/>
      <c r="G22" s="29"/>
      <c r="H22" s="29"/>
      <c r="I22" s="29"/>
    </row>
    <row r="23" customFormat="false" ht="15" hidden="false" customHeight="true" outlineLevel="0" collapsed="false">
      <c r="A23" s="31"/>
      <c r="B23" s="46"/>
      <c r="C23" s="46"/>
      <c r="D23" s="46"/>
      <c r="E23" s="46"/>
      <c r="F23" s="46"/>
      <c r="G23" s="46"/>
      <c r="H23" s="46"/>
      <c r="I23" s="46"/>
    </row>
    <row r="24" customFormat="false" ht="15" hidden="false" customHeight="true" outlineLevel="0" collapsed="false">
      <c r="A24" s="31"/>
      <c r="B24" s="46"/>
      <c r="C24" s="46"/>
      <c r="D24" s="46"/>
      <c r="E24" s="46"/>
      <c r="F24" s="46"/>
      <c r="G24" s="46"/>
      <c r="H24" s="46"/>
      <c r="I24" s="46"/>
    </row>
    <row r="25" customFormat="false" ht="15" hidden="false" customHeight="true" outlineLevel="0" collapsed="false">
      <c r="A25" s="8"/>
      <c r="B25" s="44"/>
      <c r="C25" s="44"/>
      <c r="D25" s="44"/>
      <c r="E25" s="44"/>
      <c r="F25" s="44"/>
      <c r="G25" s="44"/>
      <c r="H25" s="44"/>
      <c r="I25" s="44"/>
    </row>
    <row r="26" customFormat="false" ht="15" hidden="false" customHeight="true" outlineLevel="0" collapsed="false">
      <c r="A26" s="8"/>
      <c r="B26" s="30"/>
      <c r="C26" s="30"/>
      <c r="D26" s="30"/>
      <c r="E26" s="30"/>
      <c r="F26" s="30"/>
      <c r="G26" s="30"/>
      <c r="H26" s="30"/>
      <c r="I26" s="30"/>
    </row>
    <row r="28" customFormat="false" ht="55.5" hidden="false" customHeight="true" outlineLevel="0" collapsed="false">
      <c r="A28" s="47"/>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0"/>
  </cols>
  <sheetData>
    <row r="1" customFormat="false" ht="21.75" hidden="false" customHeight="true" outlineLevel="0" collapsed="false">
      <c r="A1" s="5" t="s">
        <v>242</v>
      </c>
      <c r="B1" s="5"/>
      <c r="C1" s="5"/>
      <c r="D1" s="5"/>
      <c r="E1" s="5"/>
      <c r="F1" s="5"/>
      <c r="G1" s="5"/>
      <c r="H1" s="5"/>
      <c r="I1" s="5"/>
    </row>
    <row r="2" customFormat="false" ht="15" hidden="false" customHeight="true" outlineLevel="0" collapsed="false">
      <c r="A2" s="6" t="s">
        <v>243</v>
      </c>
      <c r="B2" s="6"/>
      <c r="C2" s="6"/>
      <c r="D2" s="6"/>
      <c r="E2" s="6"/>
      <c r="F2" s="6"/>
      <c r="G2" s="6"/>
      <c r="H2" s="6"/>
      <c r="I2" s="6"/>
    </row>
    <row r="4" customFormat="false" ht="15" hidden="false" customHeight="true" outlineLevel="0" collapsed="false">
      <c r="A4" s="48" t="s">
        <v>244</v>
      </c>
      <c r="B4" s="15" t="s">
        <v>199</v>
      </c>
      <c r="C4" s="15" t="s">
        <v>200</v>
      </c>
      <c r="D4" s="15" t="s">
        <v>201</v>
      </c>
      <c r="E4" s="15" t="s">
        <v>202</v>
      </c>
      <c r="F4" s="15" t="s">
        <v>203</v>
      </c>
      <c r="G4" s="15" t="s">
        <v>204</v>
      </c>
      <c r="H4" s="15" t="s">
        <v>205</v>
      </c>
      <c r="I4" s="15" t="s">
        <v>206</v>
      </c>
    </row>
    <row r="5" customFormat="false" ht="15" hidden="false" customHeight="true" outlineLevel="0" collapsed="false">
      <c r="A5" s="8" t="s">
        <v>245</v>
      </c>
      <c r="B5" s="23" t="n">
        <v>18</v>
      </c>
      <c r="C5" s="23" t="n">
        <v>20</v>
      </c>
      <c r="D5" s="23" t="n">
        <v>20.1</v>
      </c>
      <c r="E5" s="23" t="n">
        <v>22</v>
      </c>
      <c r="F5" s="23" t="n">
        <v>24</v>
      </c>
      <c r="G5" s="23" t="n">
        <v>26</v>
      </c>
      <c r="H5" s="23" t="n">
        <v>28</v>
      </c>
      <c r="I5" s="23" t="n">
        <v>30</v>
      </c>
    </row>
    <row r="6" customFormat="false" ht="15" hidden="false" customHeight="true" outlineLevel="0" collapsed="false">
      <c r="A6" s="8" t="s">
        <v>246</v>
      </c>
      <c r="B6" s="23" t="n">
        <v>-8</v>
      </c>
      <c r="C6" s="23" t="n">
        <v>-9</v>
      </c>
      <c r="D6" s="23" t="n">
        <v>-9</v>
      </c>
      <c r="E6" s="23" t="n">
        <v>-9</v>
      </c>
      <c r="F6" s="23" t="n">
        <v>-9.5</v>
      </c>
      <c r="G6" s="23" t="n">
        <v>-10</v>
      </c>
      <c r="H6" s="23" t="n">
        <v>-10.5</v>
      </c>
      <c r="I6" s="23" t="n">
        <v>-11</v>
      </c>
    </row>
    <row r="7" customFormat="false" ht="15" hidden="false" customHeight="true" outlineLevel="0" collapsed="false">
      <c r="A7" s="33" t="s">
        <v>247</v>
      </c>
      <c r="B7" s="23" t="n">
        <f aca="false">B5+B6</f>
        <v>10</v>
      </c>
      <c r="C7" s="23" t="n">
        <f aca="false">C5+C6</f>
        <v>11</v>
      </c>
      <c r="D7" s="23" t="n">
        <f aca="false">D5+D6</f>
        <v>11.1</v>
      </c>
      <c r="E7" s="23" t="n">
        <f aca="false">E5+E6</f>
        <v>13</v>
      </c>
      <c r="F7" s="23" t="n">
        <f aca="false">F5+F6</f>
        <v>14.5</v>
      </c>
      <c r="G7" s="23" t="n">
        <f aca="false">G5+G6</f>
        <v>16</v>
      </c>
      <c r="H7" s="23" t="n">
        <f aca="false">H5+H6</f>
        <v>17.5</v>
      </c>
      <c r="I7" s="23" t="n">
        <f aca="false">I5+I6</f>
        <v>19</v>
      </c>
    </row>
    <row r="8" customFormat="false" ht="15" hidden="false" customHeight="true" outlineLevel="0" collapsed="false">
      <c r="A8" s="8" t="s">
        <v>248</v>
      </c>
      <c r="B8" s="23" t="n">
        <v>-6</v>
      </c>
      <c r="C8" s="23" t="n">
        <v>-28</v>
      </c>
      <c r="D8" s="23" t="n">
        <v>-39</v>
      </c>
      <c r="E8" s="23" t="n">
        <v>-10</v>
      </c>
      <c r="F8" s="23" t="n">
        <v>-7</v>
      </c>
      <c r="G8" s="23" t="n">
        <v>-6</v>
      </c>
      <c r="H8" s="23" t="n">
        <v>-5</v>
      </c>
      <c r="I8" s="23" t="n">
        <v>-5</v>
      </c>
    </row>
    <row r="9" customFormat="false" ht="15" hidden="false" customHeight="true" outlineLevel="0" collapsed="false">
      <c r="A9" s="8" t="s">
        <v>249</v>
      </c>
      <c r="B9" s="20" t="n">
        <f aca="false">B7+B8</f>
        <v>4</v>
      </c>
      <c r="C9" s="20" t="n">
        <f aca="false">C7+C8</f>
        <v>-17</v>
      </c>
      <c r="D9" s="20" t="n">
        <f aca="false">D7+D8</f>
        <v>-27.9</v>
      </c>
      <c r="E9" s="20" t="n">
        <f aca="false">E7+E8</f>
        <v>3</v>
      </c>
      <c r="F9" s="20" t="n">
        <f aca="false">F7+F8</f>
        <v>7.5</v>
      </c>
      <c r="G9" s="20" t="n">
        <f aca="false">G7+G8</f>
        <v>10</v>
      </c>
      <c r="H9" s="20" t="n">
        <f aca="false">H7+H8</f>
        <v>12.5</v>
      </c>
      <c r="I9" s="20" t="n">
        <f aca="false">I7+I8</f>
        <v>14</v>
      </c>
    </row>
    <row r="11" customFormat="false" ht="55.5" hidden="false" customHeight="true" outlineLevel="0" collapsed="false">
      <c r="A11" s="47"/>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9" min="2" style="1" width="10"/>
  </cols>
  <sheetData>
    <row r="1" customFormat="false" ht="21.75" hidden="false" customHeight="true" outlineLevel="0" collapsed="false">
      <c r="A1" s="5" t="s">
        <v>250</v>
      </c>
      <c r="B1" s="5"/>
      <c r="C1" s="5"/>
      <c r="D1" s="5"/>
      <c r="E1" s="5"/>
      <c r="F1" s="5"/>
      <c r="G1" s="5"/>
      <c r="H1" s="5"/>
      <c r="I1" s="5"/>
    </row>
    <row r="2" customFormat="false" ht="15" hidden="false" customHeight="true" outlineLevel="0" collapsed="false">
      <c r="A2" s="6" t="s">
        <v>251</v>
      </c>
      <c r="B2" s="6"/>
      <c r="C2" s="6"/>
      <c r="D2" s="6"/>
      <c r="E2" s="6"/>
      <c r="F2" s="6"/>
      <c r="G2" s="6"/>
      <c r="H2" s="6"/>
      <c r="I2" s="6"/>
    </row>
    <row r="4" customFormat="false" ht="15" hidden="false" customHeight="true" outlineLevel="0" collapsed="false">
      <c r="A4" s="48" t="s">
        <v>177</v>
      </c>
      <c r="B4" s="15" t="s">
        <v>199</v>
      </c>
      <c r="C4" s="15" t="s">
        <v>200</v>
      </c>
      <c r="D4" s="15" t="s">
        <v>201</v>
      </c>
      <c r="E4" s="15" t="s">
        <v>202</v>
      </c>
      <c r="F4" s="15" t="s">
        <v>203</v>
      </c>
      <c r="G4" s="15" t="s">
        <v>204</v>
      </c>
      <c r="H4" s="15" t="s">
        <v>205</v>
      </c>
      <c r="I4" s="15" t="s">
        <v>206</v>
      </c>
    </row>
    <row r="5" customFormat="false" ht="15" hidden="false" customHeight="true" outlineLevel="0" collapsed="false">
      <c r="A5" s="8" t="s">
        <v>252</v>
      </c>
      <c r="B5" s="9" t="n">
        <f aca="false">'Income Statement'!B5</f>
        <v>97.1</v>
      </c>
      <c r="C5" s="9" t="n">
        <f aca="false">'Income Statement'!C5</f>
        <v>148.9</v>
      </c>
      <c r="D5" s="9" t="n">
        <f aca="false">'Income Statement'!D5</f>
        <v>140.6</v>
      </c>
      <c r="E5" s="9" t="n">
        <f aca="false">'Income Statement'!E5</f>
        <v>150</v>
      </c>
      <c r="F5" s="9" t="n">
        <f aca="false">'Income Statement'!F5</f>
        <v>162</v>
      </c>
      <c r="G5" s="9" t="n">
        <f aca="false">'Income Statement'!G5</f>
        <v>174</v>
      </c>
      <c r="H5" s="9" t="n">
        <f aca="false">'Income Statement'!H5</f>
        <v>186</v>
      </c>
      <c r="I5" s="9" t="n">
        <f aca="false">'Income Statement'!I5</f>
        <v>198</v>
      </c>
    </row>
    <row r="6" customFormat="false" ht="15" hidden="false" customHeight="true" outlineLevel="0" collapsed="false">
      <c r="A6" s="8" t="s">
        <v>210</v>
      </c>
      <c r="B6" s="9" t="n">
        <f aca="false">'Income Statement'!B8</f>
        <v>22.7</v>
      </c>
      <c r="C6" s="9" t="n">
        <f aca="false">'Income Statement'!C8</f>
        <v>21.4</v>
      </c>
      <c r="D6" s="9" t="n">
        <f aca="false">'Income Statement'!D8</f>
        <v>19.4</v>
      </c>
      <c r="E6" s="9" t="n">
        <f aca="false">'Income Statement'!E8</f>
        <v>24</v>
      </c>
      <c r="F6" s="9" t="n">
        <f aca="false">'Income Statement'!F8</f>
        <v>27.5</v>
      </c>
      <c r="G6" s="9" t="n">
        <f aca="false">'Income Statement'!G8</f>
        <v>31</v>
      </c>
      <c r="H6" s="9" t="n">
        <f aca="false">'Income Statement'!H8</f>
        <v>34</v>
      </c>
      <c r="I6" s="9" t="n">
        <f aca="false">'Income Statement'!I8</f>
        <v>37</v>
      </c>
    </row>
    <row r="7" customFormat="false" ht="15" hidden="false" customHeight="true" outlineLevel="0" collapsed="false">
      <c r="A7" s="8" t="s">
        <v>213</v>
      </c>
      <c r="B7" s="9" t="n">
        <f aca="false">'Income Statement'!B11</f>
        <v>13.7</v>
      </c>
      <c r="C7" s="9" t="n">
        <f aca="false">'Income Statement'!C11</f>
        <v>10.9</v>
      </c>
      <c r="D7" s="9" t="n">
        <f aca="false">'Income Statement'!D11</f>
        <v>5.6</v>
      </c>
      <c r="E7" s="9" t="n">
        <f aca="false">'Income Statement'!E11</f>
        <v>11</v>
      </c>
      <c r="F7" s="9" t="n">
        <f aca="false">'Income Statement'!F11</f>
        <v>14</v>
      </c>
      <c r="G7" s="9" t="n">
        <f aca="false">'Income Statement'!G11</f>
        <v>17</v>
      </c>
      <c r="H7" s="9" t="n">
        <f aca="false">'Income Statement'!H11</f>
        <v>19.5</v>
      </c>
      <c r="I7" s="9" t="n">
        <f aca="false">'Income Statement'!I11</f>
        <v>22</v>
      </c>
    </row>
    <row r="8" customFormat="false" ht="15" hidden="false" customHeight="true" outlineLevel="0" collapsed="false">
      <c r="A8" s="8" t="s">
        <v>253</v>
      </c>
      <c r="B8" s="53" t="n">
        <f aca="false">'Income Statement'!B20</f>
        <v>-3.8</v>
      </c>
      <c r="C8" s="53" t="n">
        <f aca="false">'Income Statement'!C20</f>
        <v>3.9</v>
      </c>
      <c r="D8" s="53" t="n">
        <f aca="false">'Income Statement'!D20</f>
        <v>-1.1</v>
      </c>
      <c r="E8" s="53" t="n">
        <f aca="false">'Income Statement'!E20</f>
        <v>-3.2</v>
      </c>
      <c r="F8" s="53" t="n">
        <f aca="false">'Income Statement'!F20</f>
        <v>-0.8</v>
      </c>
      <c r="G8" s="53" t="n">
        <f aca="false">'Income Statement'!G20</f>
        <v>1.2</v>
      </c>
      <c r="H8" s="53" t="n">
        <f aca="false">'Income Statement'!H20</f>
        <v>2.2</v>
      </c>
      <c r="I8" s="53" t="n">
        <f aca="false">'Income Statement'!I20</f>
        <v>3.3</v>
      </c>
    </row>
    <row r="9" customFormat="false" ht="15" hidden="false" customHeight="true" outlineLevel="0" collapsed="false">
      <c r="A9" s="8" t="s">
        <v>223</v>
      </c>
      <c r="B9" s="9" t="n">
        <f aca="false">'Income Statement'!B21</f>
        <v>-0.904761904761905</v>
      </c>
      <c r="C9" s="9" t="n">
        <f aca="false">'Income Statement'!C21</f>
        <v>0.928571428571428</v>
      </c>
      <c r="D9" s="9" t="n">
        <f aca="false">'Income Statement'!D21</f>
        <v>-0.261904761904763</v>
      </c>
      <c r="E9" s="9" t="n">
        <f aca="false">'Income Statement'!E21</f>
        <v>-0.761904761904762</v>
      </c>
      <c r="F9" s="9" t="n">
        <f aca="false">'Income Statement'!F21</f>
        <v>-0.19047619047619</v>
      </c>
      <c r="G9" s="9" t="n">
        <f aca="false">'Income Statement'!G21</f>
        <v>0.285714285714286</v>
      </c>
      <c r="H9" s="9" t="n">
        <f aca="false">'Income Statement'!H21</f>
        <v>0.523809523809524</v>
      </c>
      <c r="I9" s="9" t="n">
        <f aca="false">'Income Statement'!I21</f>
        <v>0.785714285714286</v>
      </c>
    </row>
    <row r="10" customFormat="false" ht="15" hidden="false" customHeight="true" outlineLevel="0" collapsed="false">
      <c r="A10" s="8" t="s">
        <v>233</v>
      </c>
      <c r="B10" s="9" t="n">
        <f aca="false">'Balance Sheet'!B11</f>
        <v>200.7</v>
      </c>
      <c r="C10" s="9" t="n">
        <f aca="false">'Balance Sheet'!C11</f>
        <v>228.5</v>
      </c>
      <c r="D10" s="9" t="n">
        <f aca="false">'Balance Sheet'!D11</f>
        <v>190.9</v>
      </c>
      <c r="E10" s="9" t="n">
        <f aca="false">'Balance Sheet'!E11</f>
        <v>186</v>
      </c>
      <c r="F10" s="9" t="n">
        <f aca="false">'Balance Sheet'!F11</f>
        <v>189.5</v>
      </c>
      <c r="G10" s="9" t="n">
        <f aca="false">'Balance Sheet'!G11</f>
        <v>194</v>
      </c>
      <c r="H10" s="9" t="n">
        <f aca="false">'Balance Sheet'!H11</f>
        <v>200</v>
      </c>
      <c r="I10" s="9" t="n">
        <f aca="false">'Balance Sheet'!I11</f>
        <v>207</v>
      </c>
    </row>
    <row r="11" customFormat="false" ht="15" hidden="false" customHeight="true" outlineLevel="0" collapsed="false">
      <c r="A11" s="8" t="s">
        <v>234</v>
      </c>
      <c r="B11" s="9" t="n">
        <f aca="false">'Balance Sheet'!B12</f>
        <v>100</v>
      </c>
      <c r="C11" s="9" t="n">
        <f aca="false">'Balance Sheet'!C12</f>
        <v>111.4</v>
      </c>
      <c r="D11" s="9" t="n">
        <f aca="false">'Balance Sheet'!D12</f>
        <v>72.4</v>
      </c>
      <c r="E11" s="9" t="n">
        <f aca="false">'Balance Sheet'!E12</f>
        <v>62</v>
      </c>
      <c r="F11" s="9" t="n">
        <f aca="false">'Balance Sheet'!F12</f>
        <v>56</v>
      </c>
      <c r="G11" s="9" t="n">
        <f aca="false">'Balance Sheet'!G12</f>
        <v>51</v>
      </c>
      <c r="H11" s="9" t="n">
        <f aca="false">'Balance Sheet'!H12</f>
        <v>47</v>
      </c>
      <c r="I11" s="9" t="n">
        <f aca="false">'Balance Sheet'!I12</f>
        <v>43</v>
      </c>
    </row>
    <row r="12" customFormat="false" ht="15" hidden="false" customHeight="true" outlineLevel="0" collapsed="false">
      <c r="A12" s="8" t="s">
        <v>254</v>
      </c>
      <c r="B12" s="53" t="n">
        <f aca="false">'Balance Sheet'!B16</f>
        <v>-7.1</v>
      </c>
      <c r="C12" s="53" t="n">
        <f aca="false">'Balance Sheet'!C16</f>
        <v>-13.7</v>
      </c>
      <c r="D12" s="53" t="n">
        <f aca="false">'Balance Sheet'!D16</f>
        <v>-4.5</v>
      </c>
      <c r="E12" s="53" t="n">
        <f aca="false">'Balance Sheet'!E16</f>
        <v>-2</v>
      </c>
      <c r="F12" s="53" t="n">
        <f aca="false">'Balance Sheet'!F16</f>
        <v>3.5</v>
      </c>
      <c r="G12" s="53" t="n">
        <f aca="false">'Balance Sheet'!G16</f>
        <v>9</v>
      </c>
      <c r="H12" s="53" t="n">
        <f aca="false">'Balance Sheet'!H16</f>
        <v>15</v>
      </c>
      <c r="I12" s="53" t="n">
        <f aca="false">'Balance Sheet'!I16</f>
        <v>22</v>
      </c>
    </row>
    <row r="13" customFormat="false" ht="15" hidden="false" customHeight="true" outlineLevel="0" collapsed="false">
      <c r="A13" s="8" t="s">
        <v>247</v>
      </c>
      <c r="B13" s="9" t="n">
        <f aca="false">'Cash Flow'!B7</f>
        <v>10</v>
      </c>
      <c r="C13" s="9" t="n">
        <f aca="false">'Cash Flow'!C7</f>
        <v>11</v>
      </c>
      <c r="D13" s="9" t="n">
        <f aca="false">'Cash Flow'!D7</f>
        <v>11.1</v>
      </c>
      <c r="E13" s="9" t="n">
        <f aca="false">'Cash Flow'!E7</f>
        <v>13</v>
      </c>
      <c r="F13" s="9" t="n">
        <f aca="false">'Cash Flow'!F7</f>
        <v>14.5</v>
      </c>
      <c r="G13" s="9" t="n">
        <f aca="false">'Cash Flow'!G7</f>
        <v>16</v>
      </c>
      <c r="H13" s="9" t="n">
        <f aca="false">'Cash Flow'!H7</f>
        <v>17.5</v>
      </c>
      <c r="I13" s="9" t="n">
        <f aca="false">'Cash Flow'!I7</f>
        <v>19</v>
      </c>
    </row>
    <row r="14" customFormat="false" ht="15" hidden="false" customHeight="true" outlineLevel="0" collapsed="false">
      <c r="A14" s="8"/>
      <c r="B14" s="40"/>
      <c r="C14" s="40"/>
      <c r="D14" s="40"/>
      <c r="E14" s="40"/>
      <c r="F14" s="40"/>
      <c r="G14" s="40"/>
      <c r="H14" s="40"/>
      <c r="I14" s="40"/>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6" min="2" style="1" width="12"/>
    <col collapsed="false" customWidth="true" hidden="false" outlineLevel="0" max="7" min="7" style="1" width="10"/>
    <col collapsed="false" customWidth="true" hidden="false" outlineLevel="0" max="8" min="8" style="1" width="38"/>
  </cols>
  <sheetData>
    <row r="1" customFormat="false" ht="21.75" hidden="false" customHeight="true" outlineLevel="0" collapsed="false">
      <c r="A1" s="5" t="s">
        <v>255</v>
      </c>
      <c r="B1" s="5"/>
      <c r="C1" s="5"/>
      <c r="D1" s="5"/>
      <c r="E1" s="5"/>
      <c r="F1" s="5"/>
      <c r="G1" s="5"/>
      <c r="H1" s="5"/>
    </row>
    <row r="2" customFormat="false" ht="15" hidden="false" customHeight="true" outlineLevel="0" collapsed="false">
      <c r="A2" s="6" t="s">
        <v>256</v>
      </c>
      <c r="B2" s="6"/>
      <c r="C2" s="6"/>
      <c r="D2" s="6"/>
      <c r="E2" s="6"/>
      <c r="F2" s="6"/>
      <c r="G2" s="6"/>
      <c r="H2" s="6"/>
    </row>
    <row r="4" customFormat="false" ht="15" hidden="false" customHeight="true" outlineLevel="0" collapsed="false">
      <c r="A4" s="7" t="s">
        <v>257</v>
      </c>
    </row>
    <row r="5" customFormat="false" ht="15" hidden="false" customHeight="true" outlineLevel="0" collapsed="false">
      <c r="A5" s="8" t="s">
        <v>258</v>
      </c>
      <c r="B5" s="22" t="n">
        <v>4.77</v>
      </c>
    </row>
    <row r="6" customFormat="false" ht="15" hidden="false" customHeight="true" outlineLevel="0" collapsed="false">
      <c r="A6" s="8" t="s">
        <v>259</v>
      </c>
      <c r="B6" s="54" t="n">
        <v>20</v>
      </c>
    </row>
    <row r="7" customFormat="false" ht="15" hidden="false" customHeight="true" outlineLevel="0" collapsed="false">
      <c r="A7" s="8" t="s">
        <v>260</v>
      </c>
      <c r="B7" s="54" t="n">
        <v>60</v>
      </c>
    </row>
    <row r="8" customFormat="false" ht="15" hidden="false" customHeight="true" outlineLevel="0" collapsed="false">
      <c r="A8" s="8" t="s">
        <v>261</v>
      </c>
      <c r="B8" s="23" t="n">
        <v>0.23</v>
      </c>
    </row>
    <row r="9" customFormat="false" ht="15" hidden="false" customHeight="true" outlineLevel="0" collapsed="false">
      <c r="A9" s="8" t="s">
        <v>262</v>
      </c>
      <c r="B9" s="22" t="n">
        <v>2.39</v>
      </c>
    </row>
    <row r="10" customFormat="false" ht="15" hidden="false" customHeight="true" outlineLevel="0" collapsed="false">
      <c r="A10" s="8" t="s">
        <v>263</v>
      </c>
      <c r="B10" s="22" t="n">
        <v>4.5</v>
      </c>
    </row>
    <row r="11" customFormat="false" ht="15" hidden="false" customHeight="true" outlineLevel="0" collapsed="false">
      <c r="A11" s="8" t="s">
        <v>264</v>
      </c>
      <c r="B11" s="22" t="n">
        <v>4.87</v>
      </c>
    </row>
    <row r="12" customFormat="false" ht="15" hidden="false" customHeight="true" outlineLevel="0" collapsed="false">
      <c r="A12" s="8" t="s">
        <v>265</v>
      </c>
      <c r="B12" s="22" t="n">
        <v>5.7</v>
      </c>
    </row>
    <row r="14" customFormat="false" ht="15" hidden="false" customHeight="true" outlineLevel="0" collapsed="false">
      <c r="A14" s="7" t="s">
        <v>266</v>
      </c>
    </row>
    <row r="15" customFormat="false" ht="15" hidden="false" customHeight="true" outlineLevel="0" collapsed="false">
      <c r="A15" s="48" t="s">
        <v>267</v>
      </c>
      <c r="B15" s="48" t="s">
        <v>268</v>
      </c>
      <c r="C15" s="48" t="s">
        <v>269</v>
      </c>
      <c r="H15" s="48" t="s">
        <v>270</v>
      </c>
    </row>
    <row r="16" customFormat="false" ht="15" hidden="false" customHeight="true" outlineLevel="0" collapsed="false">
      <c r="A16" s="8" t="s">
        <v>271</v>
      </c>
      <c r="B16" s="23" t="n">
        <v>0.015</v>
      </c>
      <c r="C16" s="23" t="n">
        <v>0.07</v>
      </c>
      <c r="H16" s="8" t="s">
        <v>272</v>
      </c>
    </row>
    <row r="17" customFormat="false" ht="15" hidden="false" customHeight="true" outlineLevel="0" collapsed="false">
      <c r="A17" s="8" t="s">
        <v>273</v>
      </c>
      <c r="B17" s="23" t="n">
        <v>0.012</v>
      </c>
      <c r="C17" s="23" t="n">
        <v>0.04</v>
      </c>
      <c r="H17" s="8" t="s">
        <v>274</v>
      </c>
    </row>
    <row r="18" customFormat="false" ht="15" hidden="false" customHeight="true" outlineLevel="0" collapsed="false">
      <c r="A18" s="8" t="s">
        <v>275</v>
      </c>
      <c r="B18" s="23" t="n">
        <v>0.006</v>
      </c>
      <c r="C18" s="23" t="n">
        <v>0.04</v>
      </c>
      <c r="H18" s="8" t="s">
        <v>276</v>
      </c>
    </row>
    <row r="19" customFormat="false" ht="15" hidden="false" customHeight="true" outlineLevel="0" collapsed="false">
      <c r="A19" s="8" t="s">
        <v>277</v>
      </c>
      <c r="B19" s="23" t="n">
        <v>0.004</v>
      </c>
      <c r="C19" s="23" t="n">
        <v>0.06</v>
      </c>
      <c r="H19" s="8" t="s">
        <v>278</v>
      </c>
    </row>
    <row r="20" customFormat="false" ht="15" hidden="false" customHeight="true" outlineLevel="0" collapsed="false">
      <c r="A20" s="8" t="s">
        <v>279</v>
      </c>
      <c r="B20" s="23" t="n">
        <v>0.005</v>
      </c>
      <c r="C20" s="23" t="n">
        <v>0.05</v>
      </c>
      <c r="H20" s="8" t="s">
        <v>280</v>
      </c>
    </row>
    <row r="21" customFormat="false" ht="15" hidden="false" customHeight="true" outlineLevel="0" collapsed="false">
      <c r="A21" s="8" t="s">
        <v>281</v>
      </c>
      <c r="B21" s="23" t="n">
        <v>0.003</v>
      </c>
      <c r="C21" s="23" t="n">
        <v>0.03</v>
      </c>
      <c r="H21" s="8" t="s">
        <v>282</v>
      </c>
    </row>
    <row r="22" customFormat="false" ht="15" hidden="false" customHeight="true" outlineLevel="0" collapsed="false">
      <c r="A22" s="8" t="s">
        <v>283</v>
      </c>
      <c r="B22" s="23" t="n">
        <v>-0.004</v>
      </c>
      <c r="C22" s="23" t="n">
        <v>0.05</v>
      </c>
      <c r="H22" s="8" t="s">
        <v>284</v>
      </c>
    </row>
    <row r="24" customFormat="false" ht="15" hidden="false" customHeight="true" outlineLevel="0" collapsed="false">
      <c r="A24" s="7" t="s">
        <v>285</v>
      </c>
    </row>
    <row r="25" customFormat="false" ht="15" hidden="false" customHeight="true" outlineLevel="0" collapsed="false">
      <c r="A25" s="48" t="s">
        <v>286</v>
      </c>
      <c r="B25" s="48" t="s">
        <v>287</v>
      </c>
      <c r="C25" s="48" t="s">
        <v>288</v>
      </c>
      <c r="D25" s="48" t="s">
        <v>289</v>
      </c>
      <c r="H25" s="48" t="s">
        <v>270</v>
      </c>
    </row>
    <row r="26" customFormat="false" ht="15" hidden="false" customHeight="true" outlineLevel="0" collapsed="false">
      <c r="A26" s="8" t="s">
        <v>290</v>
      </c>
      <c r="B26" s="34" t="n">
        <v>0.35</v>
      </c>
      <c r="C26" s="23" t="n">
        <v>0.08</v>
      </c>
      <c r="D26" s="23" t="n">
        <v>0.04</v>
      </c>
      <c r="H26" s="8" t="s">
        <v>291</v>
      </c>
    </row>
    <row r="27" customFormat="false" ht="15" hidden="false" customHeight="true" outlineLevel="0" collapsed="false">
      <c r="A27" s="8" t="s">
        <v>292</v>
      </c>
      <c r="B27" s="34" t="n">
        <v>0.3</v>
      </c>
      <c r="C27" s="23" t="n">
        <v>0.06</v>
      </c>
      <c r="D27" s="23" t="n">
        <v>0.04</v>
      </c>
      <c r="H27" s="8" t="s">
        <v>293</v>
      </c>
    </row>
    <row r="28" customFormat="false" ht="15" hidden="false" customHeight="true" outlineLevel="0" collapsed="false">
      <c r="A28" s="8" t="s">
        <v>294</v>
      </c>
      <c r="B28" s="34" t="n">
        <v>0.25</v>
      </c>
      <c r="C28" s="23" t="n">
        <v>0.06</v>
      </c>
      <c r="D28" s="23" t="n">
        <v>0.04</v>
      </c>
      <c r="H28" s="8" t="s">
        <v>295</v>
      </c>
    </row>
    <row r="29" customFormat="false" ht="15" hidden="false" customHeight="true" outlineLevel="0" collapsed="false">
      <c r="A29" s="8" t="s">
        <v>296</v>
      </c>
      <c r="B29" s="34" t="n">
        <v>0.25</v>
      </c>
      <c r="C29" s="23" t="n">
        <v>0.05</v>
      </c>
      <c r="D29" s="23" t="n">
        <v>0.05</v>
      </c>
      <c r="H29" s="8" t="s">
        <v>297</v>
      </c>
    </row>
    <row r="30" customFormat="false" ht="15" hidden="false" customHeight="true" outlineLevel="0" collapsed="false">
      <c r="A30" s="8" t="s">
        <v>298</v>
      </c>
      <c r="B30" s="34" t="n">
        <v>0.4</v>
      </c>
      <c r="C30" s="23" t="n">
        <v>0</v>
      </c>
      <c r="D30" s="23" t="n">
        <v>0.06</v>
      </c>
      <c r="H30" s="8" t="s">
        <v>299</v>
      </c>
    </row>
    <row r="31" customFormat="false" ht="15" hidden="false" customHeight="true" outlineLevel="0" collapsed="false">
      <c r="A31" s="8" t="s">
        <v>300</v>
      </c>
      <c r="B31" s="34" t="n">
        <v>0.3</v>
      </c>
      <c r="C31" s="23" t="n">
        <v>-0.06</v>
      </c>
      <c r="D31" s="23" t="n">
        <v>0.04</v>
      </c>
      <c r="H31" s="8" t="s">
        <v>301</v>
      </c>
    </row>
    <row r="32" customFormat="false" ht="15" hidden="false" customHeight="true" outlineLevel="0" collapsed="false">
      <c r="A32" s="8" t="s">
        <v>302</v>
      </c>
      <c r="B32" s="34" t="n">
        <v>0.2</v>
      </c>
      <c r="C32" s="23" t="n">
        <v>-0.07</v>
      </c>
      <c r="D32" s="23" t="n">
        <v>0.05</v>
      </c>
      <c r="H32" s="8" t="s">
        <v>303</v>
      </c>
    </row>
    <row r="33" customFormat="false" ht="15" hidden="false" customHeight="true" outlineLevel="0" collapsed="false">
      <c r="A33" s="8" t="s">
        <v>304</v>
      </c>
      <c r="B33" s="34" t="n">
        <v>0.25</v>
      </c>
      <c r="C33" s="23" t="n">
        <v>-0.06</v>
      </c>
      <c r="D33" s="23" t="n">
        <v>0.04</v>
      </c>
      <c r="H33" s="8" t="s">
        <v>305</v>
      </c>
    </row>
    <row r="34" customFormat="false" ht="15" hidden="false" customHeight="true" outlineLevel="0" collapsed="false">
      <c r="A34" s="8" t="s">
        <v>306</v>
      </c>
      <c r="B34" s="34" t="n">
        <v>0.2</v>
      </c>
      <c r="C34" s="23" t="n">
        <v>-0.05</v>
      </c>
      <c r="D34" s="23" t="n">
        <v>0.04</v>
      </c>
      <c r="H34" s="8" t="s">
        <v>307</v>
      </c>
    </row>
    <row r="36" customFormat="false" ht="15" hidden="false" customHeight="true" outlineLevel="0" collapsed="false">
      <c r="A36" s="7" t="s">
        <v>308</v>
      </c>
    </row>
    <row r="37" customFormat="false" ht="15" hidden="false" customHeight="true" outlineLevel="0" collapsed="false">
      <c r="A37" s="8" t="s">
        <v>309</v>
      </c>
      <c r="B37" s="55" t="n">
        <f aca="false">SUM(B16:B22)+SUMPRODUCT(B26:B34,C26:C34)</f>
        <v>0.0575</v>
      </c>
    </row>
    <row r="38" customFormat="false" ht="15" hidden="false" customHeight="true" outlineLevel="0" collapsed="false">
      <c r="A38" s="8" t="s">
        <v>310</v>
      </c>
      <c r="B38" s="55" t="n">
        <f aca="false">SUMPRODUCT(C16:C22,C16:C22)+SUMPRODUCT(B26:B34,D26:D34,D26:D34)</f>
        <v>0.022805</v>
      </c>
    </row>
    <row r="39" customFormat="false" ht="15" hidden="false" customHeight="true" outlineLevel="0" collapsed="false">
      <c r="A39" s="8" t="s">
        <v>311</v>
      </c>
      <c r="B39" s="55" t="n">
        <f aca="false">SQRT(B38)</f>
        <v>0.151013244452267</v>
      </c>
    </row>
    <row r="40" customFormat="false" ht="15" hidden="false" customHeight="true" outlineLevel="0" collapsed="false">
      <c r="A40" s="8" t="s">
        <v>312</v>
      </c>
      <c r="B40" s="50" t="n">
        <f aca="false">B39*2</f>
        <v>0.302026488904533</v>
      </c>
      <c r="H40" s="8" t="s">
        <v>313</v>
      </c>
    </row>
    <row r="42" customFormat="false" ht="15" hidden="false" customHeight="true" outlineLevel="0" collapsed="false">
      <c r="A42" s="7" t="s">
        <v>314</v>
      </c>
    </row>
    <row r="43" customFormat="false" ht="15" hidden="false" customHeight="true" outlineLevel="0" collapsed="false">
      <c r="A43" s="48" t="s">
        <v>315</v>
      </c>
      <c r="B43" s="48" t="s">
        <v>316</v>
      </c>
      <c r="C43" s="48" t="s">
        <v>317</v>
      </c>
      <c r="D43" s="48" t="s">
        <v>318</v>
      </c>
      <c r="E43" s="48" t="s">
        <v>319</v>
      </c>
      <c r="F43" s="48" t="s">
        <v>320</v>
      </c>
      <c r="G43" s="48" t="s">
        <v>321</v>
      </c>
    </row>
    <row r="44" customFormat="false" ht="15" hidden="false" customHeight="true" outlineLevel="0" collapsed="false">
      <c r="A44" s="8" t="s">
        <v>322</v>
      </c>
      <c r="B44" s="20" t="n">
        <v>3.771</v>
      </c>
      <c r="C44" s="20" t="n">
        <v>4.36</v>
      </c>
      <c r="D44" s="20" t="n">
        <v>4.809</v>
      </c>
      <c r="E44" s="20" t="n">
        <v>5.312</v>
      </c>
      <c r="F44" s="20" t="n">
        <v>6.126</v>
      </c>
      <c r="G44" s="8" t="s">
        <v>323</v>
      </c>
    </row>
    <row r="45" customFormat="false" ht="15" hidden="false" customHeight="true" outlineLevel="0" collapsed="false">
      <c r="A45" s="8" t="s">
        <v>324</v>
      </c>
      <c r="B45" s="20" t="n">
        <f aca="false">$B$5*EXP($B$37*20/60+(-1.6449)*$B$39*SQRT(20/60))</f>
        <v>4.21267648943827</v>
      </c>
      <c r="C45" s="20" t="n">
        <f aca="false">$B$5*EXP($B$37*20/60+(-0.6745)*$B$39*SQRT(20/60))</f>
        <v>4.58460970439143</v>
      </c>
      <c r="D45" s="20" t="n">
        <f aca="false">$B$5*EXP($B$37*20/60+(0)*$B$39*SQRT(20/60))</f>
        <v>4.86230678084022</v>
      </c>
      <c r="E45" s="20" t="n">
        <f aca="false">$B$5*EXP($B$37*20/60+(0.6745)*$B$39*SQRT(20/60))</f>
        <v>5.15682440936225</v>
      </c>
      <c r="F45" s="20" t="n">
        <f aca="false">$B$5*EXP($B$37*20/60+(1.6449)*$B$39*SQRT(20/60))</f>
        <v>5.61211554940866</v>
      </c>
    </row>
    <row r="46" customFormat="false" ht="15" hidden="false" customHeight="true" outlineLevel="0" collapsed="false">
      <c r="A46" s="8" t="s">
        <v>325</v>
      </c>
      <c r="B46" s="20" t="n">
        <v>3.224</v>
      </c>
      <c r="C46" s="20" t="n">
        <v>4.126</v>
      </c>
      <c r="D46" s="20" t="n">
        <v>4.889</v>
      </c>
      <c r="E46" s="20" t="n">
        <v>5.789</v>
      </c>
      <c r="F46" s="20" t="n">
        <v>7.391</v>
      </c>
      <c r="G46" s="8" t="s">
        <v>323</v>
      </c>
    </row>
    <row r="47" customFormat="false" ht="15" hidden="false" customHeight="true" outlineLevel="0" collapsed="false">
      <c r="A47" s="8" t="s">
        <v>326</v>
      </c>
      <c r="B47" s="20" t="n">
        <f aca="false">$B$5*EXP($B$37+(-1.6449)*$B$39)</f>
        <v>3.94103988662086</v>
      </c>
      <c r="C47" s="20" t="n">
        <f aca="false">$B$5*EXP($B$37+(-0.6745)*$B$39)</f>
        <v>4.56303454008745</v>
      </c>
      <c r="D47" s="20" t="n">
        <f aca="false">$B$5*EXP($B$37+(0)*$B$39)</f>
        <v>5.05231374102307</v>
      </c>
      <c r="E47" s="20" t="n">
        <f aca="false">$B$5*EXP($B$37+(0.6745)*$B$39)</f>
        <v>5.59405674304656</v>
      </c>
      <c r="F47" s="20" t="n">
        <f aca="false">$B$5*EXP($B$37+(1.6449)*$B$39)</f>
        <v>6.47693879587122</v>
      </c>
    </row>
    <row r="49" customFormat="false" ht="15" hidden="false" customHeight="true" outlineLevel="0" collapsed="false">
      <c r="A49" s="7" t="s">
        <v>327</v>
      </c>
    </row>
    <row r="50" customFormat="false" ht="15" hidden="false" customHeight="true" outlineLevel="0" collapsed="false">
      <c r="A50" s="48" t="s">
        <v>328</v>
      </c>
      <c r="B50" s="48" t="s">
        <v>329</v>
      </c>
      <c r="C50" s="48" t="s">
        <v>330</v>
      </c>
    </row>
    <row r="51" customFormat="false" ht="15" hidden="false" customHeight="true" outlineLevel="0" collapsed="false">
      <c r="A51" s="8" t="s">
        <v>331</v>
      </c>
      <c r="B51" s="17" t="n">
        <v>0.488</v>
      </c>
      <c r="C51" s="17" t="n">
        <v>0.702</v>
      </c>
    </row>
    <row r="52" customFormat="false" ht="15" hidden="false" customHeight="true" outlineLevel="0" collapsed="false">
      <c r="A52" s="8" t="s">
        <v>332</v>
      </c>
      <c r="B52" s="17" t="n">
        <v>0.196</v>
      </c>
      <c r="C52" s="17" t="n">
        <v>0.471</v>
      </c>
    </row>
    <row r="53" customFormat="false" ht="15" hidden="false" customHeight="true" outlineLevel="0" collapsed="false">
      <c r="A53" s="8" t="s">
        <v>333</v>
      </c>
      <c r="B53" s="17" t="n">
        <v>0.051</v>
      </c>
      <c r="C53" s="17" t="n">
        <v>0.268</v>
      </c>
    </row>
    <row r="54" customFormat="false" ht="15" hidden="false" customHeight="true" outlineLevel="0" collapsed="false">
      <c r="A54" s="8" t="s">
        <v>334</v>
      </c>
      <c r="B54" s="17" t="n">
        <v>0.575</v>
      </c>
      <c r="C54" s="17" t="n">
        <v>0.737</v>
      </c>
    </row>
    <row r="55" customFormat="false" ht="15" hidden="false" customHeight="true" outlineLevel="0" collapsed="false">
      <c r="A55" s="8" t="s">
        <v>335</v>
      </c>
      <c r="B55" s="17" t="n">
        <v>0.171</v>
      </c>
      <c r="C55" s="17" t="n">
        <v>0.41</v>
      </c>
    </row>
    <row r="56" customFormat="false" ht="15" hidden="false" customHeight="true" outlineLevel="0" collapsed="false">
      <c r="A56" s="8" t="s">
        <v>336</v>
      </c>
      <c r="B56" s="17" t="n">
        <v>0.024</v>
      </c>
      <c r="C56" s="17" t="n">
        <v>0.17</v>
      </c>
    </row>
    <row r="58" customFormat="false" ht="84" hidden="false" customHeight="true" outlineLevel="0" collapsed="false">
      <c r="A58" s="14" t="s">
        <v>337</v>
      </c>
      <c r="B58" s="14"/>
      <c r="C58" s="14"/>
      <c r="D58" s="14"/>
      <c r="E58" s="14"/>
      <c r="F58" s="14"/>
      <c r="G58" s="14"/>
      <c r="H58" s="14"/>
    </row>
  </sheetData>
  <mergeCells count="3">
    <mergeCell ref="A1:H1"/>
    <mergeCell ref="A2:H2"/>
    <mergeCell ref="A58:H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6" min="2" style="1" width="12"/>
  </cols>
  <sheetData>
    <row r="1" customFormat="false" ht="21.75" hidden="false" customHeight="true" outlineLevel="0" collapsed="false">
      <c r="A1" s="5" t="s">
        <v>338</v>
      </c>
      <c r="B1" s="5"/>
      <c r="C1" s="5"/>
      <c r="D1" s="5"/>
      <c r="E1" s="5"/>
      <c r="F1" s="5"/>
    </row>
    <row r="2" customFormat="false" ht="15" hidden="false" customHeight="true" outlineLevel="0" collapsed="false">
      <c r="A2" s="6" t="s">
        <v>339</v>
      </c>
      <c r="B2" s="6"/>
      <c r="C2" s="6"/>
      <c r="D2" s="6"/>
      <c r="E2" s="6"/>
      <c r="F2" s="6"/>
    </row>
    <row r="4" customFormat="false" ht="15" hidden="false" customHeight="true" outlineLevel="0" collapsed="false">
      <c r="A4" s="7" t="s">
        <v>340</v>
      </c>
    </row>
    <row r="5" customFormat="false" ht="15" hidden="false" customHeight="true" outlineLevel="0" collapsed="false">
      <c r="A5" s="56" t="s">
        <v>341</v>
      </c>
      <c r="B5" s="36" t="n">
        <v>88</v>
      </c>
      <c r="C5" s="36" t="n">
        <v>98</v>
      </c>
      <c r="D5" s="36" t="n">
        <v>108</v>
      </c>
      <c r="E5" s="36" t="n">
        <v>118</v>
      </c>
      <c r="F5" s="36" t="n">
        <v>128</v>
      </c>
    </row>
    <row r="6" customFormat="false" ht="15" hidden="false" customHeight="true" outlineLevel="0" collapsed="false">
      <c r="A6" s="34" t="n">
        <v>0.45</v>
      </c>
      <c r="B6" s="20" t="n">
        <f aca="false">((32.85+(88-41)*0.1314)-6)/Assumptions!$B$6*(1-0.45)</f>
        <v>4.32480714285714</v>
      </c>
      <c r="C6" s="20" t="n">
        <f aca="false">((32.85+(98-41)*0.1314)-6)/Assumptions!$B$6*(1-0.45)</f>
        <v>4.49687857142857</v>
      </c>
      <c r="D6" s="20" t="n">
        <f aca="false">((32.85+(108-41)*0.1314)-6)/Assumptions!$B$6*(1-0.45)</f>
        <v>4.66895</v>
      </c>
      <c r="E6" s="20" t="n">
        <f aca="false">((32.85+(118-41)*0.1314)-6)/Assumptions!$B$6*(1-0.45)</f>
        <v>4.84102142857143</v>
      </c>
      <c r="F6" s="20" t="n">
        <f aca="false">((32.85+(128-41)*0.1314)-6)/Assumptions!$B$6*(1-0.45)</f>
        <v>5.01309285714286</v>
      </c>
    </row>
    <row r="7" customFormat="false" ht="15" hidden="false" customHeight="true" outlineLevel="0" collapsed="false">
      <c r="A7" s="34" t="n">
        <v>0.38</v>
      </c>
      <c r="B7" s="20" t="n">
        <f aca="false">((32.85+(88-41)*0.1314)-6)/Assumptions!$B$6*(1-0.38)</f>
        <v>4.87523714285714</v>
      </c>
      <c r="C7" s="20" t="n">
        <f aca="false">((32.85+(98-41)*0.1314)-6)/Assumptions!$B$6*(1-0.38)</f>
        <v>5.06920857142857</v>
      </c>
      <c r="D7" s="20" t="n">
        <f aca="false">((32.85+(108-41)*0.1314)-6)/Assumptions!$B$6*(1-0.38)</f>
        <v>5.26318</v>
      </c>
      <c r="E7" s="20" t="n">
        <f aca="false">((32.85+(118-41)*0.1314)-6)/Assumptions!$B$6*(1-0.38)</f>
        <v>5.45715142857143</v>
      </c>
      <c r="F7" s="20" t="n">
        <f aca="false">((32.85+(128-41)*0.1314)-6)/Assumptions!$B$6*(1-0.38)</f>
        <v>5.65112285714286</v>
      </c>
    </row>
    <row r="8" customFormat="false" ht="15" hidden="false" customHeight="true" outlineLevel="0" collapsed="false">
      <c r="A8" s="34" t="n">
        <v>0.3</v>
      </c>
      <c r="B8" s="20" t="n">
        <f aca="false">((32.85+(88-41)*0.1314)-6)/Assumptions!$B$6*(1-0.3)</f>
        <v>5.5043</v>
      </c>
      <c r="C8" s="20" t="n">
        <f aca="false">((32.85+(98-41)*0.1314)-6)/Assumptions!$B$6*(1-0.3)</f>
        <v>5.7233</v>
      </c>
      <c r="D8" s="20" t="n">
        <f aca="false">((32.85+(108-41)*0.1314)-6)/Assumptions!$B$6*(1-0.3)</f>
        <v>5.9423</v>
      </c>
      <c r="E8" s="20" t="n">
        <f aca="false">((32.85+(118-41)*0.1314)-6)/Assumptions!$B$6*(1-0.3)</f>
        <v>6.1613</v>
      </c>
      <c r="F8" s="20" t="n">
        <f aca="false">((32.85+(128-41)*0.1314)-6)/Assumptions!$B$6*(1-0.3)</f>
        <v>6.3803</v>
      </c>
    </row>
    <row r="9" customFormat="false" ht="15" hidden="false" customHeight="true" outlineLevel="0" collapsed="false">
      <c r="A9" s="34" t="n">
        <v>0.24</v>
      </c>
      <c r="B9" s="20" t="n">
        <f aca="false">((32.85+(88-41)*0.1314)-6)/Assumptions!$B$6*(1-0.24)</f>
        <v>5.97609714285714</v>
      </c>
      <c r="C9" s="20" t="n">
        <f aca="false">((32.85+(98-41)*0.1314)-6)/Assumptions!$B$6*(1-0.24)</f>
        <v>6.21386857142857</v>
      </c>
      <c r="D9" s="20" t="n">
        <f aca="false">((32.85+(108-41)*0.1314)-6)/Assumptions!$B$6*(1-0.24)</f>
        <v>6.45164</v>
      </c>
      <c r="E9" s="20" t="n">
        <f aca="false">((32.85+(118-41)*0.1314)-6)/Assumptions!$B$6*(1-0.24)</f>
        <v>6.68941142857143</v>
      </c>
      <c r="F9" s="20" t="n">
        <f aca="false">((32.85+(128-41)*0.1314)-6)/Assumptions!$B$6*(1-0.24)</f>
        <v>6.92718285714286</v>
      </c>
    </row>
    <row r="10" customFormat="false" ht="15" hidden="false" customHeight="true" outlineLevel="0" collapsed="false">
      <c r="A10" s="34" t="n">
        <v>0.18</v>
      </c>
      <c r="B10" s="20" t="n">
        <f aca="false">((32.85+(88-41)*0.1314)-6)/Assumptions!$B$6*(1-0.18)</f>
        <v>6.44789428571429</v>
      </c>
      <c r="C10" s="20" t="n">
        <f aca="false">((32.85+(98-41)*0.1314)-6)/Assumptions!$B$6*(1-0.18)</f>
        <v>6.70443714285714</v>
      </c>
      <c r="D10" s="20" t="n">
        <f aca="false">((32.85+(108-41)*0.1314)-6)/Assumptions!$B$6*(1-0.18)</f>
        <v>6.96098</v>
      </c>
      <c r="E10" s="20" t="n">
        <f aca="false">((32.85+(118-41)*0.1314)-6)/Assumptions!$B$6*(1-0.18)</f>
        <v>7.21752285714286</v>
      </c>
      <c r="F10" s="20" t="n">
        <f aca="false">((32.85+(128-41)*0.1314)-6)/Assumptions!$B$6*(1-0.18)</f>
        <v>7.47406571428572</v>
      </c>
    </row>
    <row r="12" customFormat="false" ht="15" hidden="false" customHeight="true" outlineLevel="0" collapsed="false">
      <c r="A12" s="7" t="s">
        <v>342</v>
      </c>
    </row>
    <row r="13" customFormat="false" ht="15" hidden="false" customHeight="true" outlineLevel="0" collapsed="false">
      <c r="A13" s="56" t="s">
        <v>343</v>
      </c>
      <c r="B13" s="57" t="n">
        <v>0.04</v>
      </c>
      <c r="C13" s="57" t="n">
        <v>0.05</v>
      </c>
      <c r="D13" s="57" t="n">
        <v>0.06</v>
      </c>
      <c r="E13" s="57" t="n">
        <v>0.07</v>
      </c>
      <c r="F13" s="57" t="n">
        <v>0.08</v>
      </c>
    </row>
    <row r="14" customFormat="false" ht="15" hidden="false" customHeight="true" outlineLevel="0" collapsed="false">
      <c r="A14" s="25" t="n">
        <v>0.16</v>
      </c>
      <c r="B14" s="20" t="n">
        <f aca="false">(SUMPRODUCT(DCF!$B$13:$F$13,(1+0.16)^-{1,2,3,4,5})+DCF!$F$13*(1+0.04)/(0.16-0.04)/(1+0.16)^5+Assumptions!$B$53)/Assumptions!$B$6</f>
        <v>4.95734020979303</v>
      </c>
      <c r="C14" s="20" t="n">
        <f aca="false">(SUMPRODUCT(DCF!$B$13:$F$13,(1+0.16)^-{1,2,3,4,5})+DCF!$F$13*(1+0.05)/(0.16-0.05)/(1+0.16)^5+Assumptions!$B$53)/Assumptions!$B$6</f>
        <v>5.24200323508044</v>
      </c>
      <c r="D14" s="20" t="n">
        <f aca="false">(SUMPRODUCT(DCF!$B$13:$F$13,(1+0.16)^-{1,2,3,4,5})+DCF!$F$13*(1+0.06)/(0.16-0.06)/(1+0.16)^5+Assumptions!$B$53)/Assumptions!$B$6</f>
        <v>5.58359886542535</v>
      </c>
      <c r="E14" s="20" t="n">
        <f aca="false">(SUMPRODUCT(DCF!$B$13:$F$13,(1+0.16)^-{1,2,3,4,5})+DCF!$F$13*(1+0.07)/(0.16-0.07)/(1+0.16)^5+Assumptions!$B$53)/Assumptions!$B$6</f>
        <v>6.0011046358469</v>
      </c>
      <c r="F14" s="20" t="n">
        <f aca="false">(SUMPRODUCT(DCF!$B$13:$F$13,(1+0.16)^-{1,2,3,4,5})+DCF!$F$13*(1+0.08)/(0.16-0.08)/(1+0.16)^5+Assumptions!$B$53)/Assumptions!$B$6</f>
        <v>6.52298684887384</v>
      </c>
    </row>
    <row r="15" customFormat="false" ht="15" hidden="false" customHeight="true" outlineLevel="0" collapsed="false">
      <c r="A15" s="25" t="n">
        <v>0.18</v>
      </c>
      <c r="B15" s="20" t="n">
        <f aca="false">(SUMPRODUCT(DCF!$B$13:$F$13,(1+0.18)^-{1,2,3,4,5})+DCF!$F$13*(1+0.04)/(0.18-0.04)/(1+0.18)^5+Assumptions!$B$53)/Assumptions!$B$6</f>
        <v>4.27600123154692</v>
      </c>
      <c r="C15" s="20" t="n">
        <f aca="false">(SUMPRODUCT(DCF!$B$13:$F$13,(1+0.18)^-{1,2,3,4,5})+DCF!$F$13*(1+0.05)/(0.18-0.05)/(1+0.18)^5+Assumptions!$B$53)/Assumptions!$B$6</f>
        <v>4.46881477298422</v>
      </c>
      <c r="D15" s="20" t="n">
        <f aca="false">(SUMPRODUCT(DCF!$B$13:$F$13,(1+0.18)^-{1,2,3,4,5})+DCF!$F$13*(1+0.06)/(0.18-0.06)/(1+0.18)^5+Assumptions!$B$53)/Assumptions!$B$6</f>
        <v>4.69376390466106</v>
      </c>
      <c r="E15" s="20" t="n">
        <f aca="false">(SUMPRODUCT(DCF!$B$13:$F$13,(1+0.18)^-{1,2,3,4,5})+DCF!$F$13*(1+0.07)/(0.18-0.07)/(1+0.18)^5+Assumptions!$B$53)/Assumptions!$B$6</f>
        <v>4.95961287846096</v>
      </c>
      <c r="F15" s="20" t="n">
        <f aca="false">(SUMPRODUCT(DCF!$B$13:$F$13,(1+0.18)^-{1,2,3,4,5})+DCF!$F$13*(1+0.08)/(0.18-0.08)/(1+0.18)^5+Assumptions!$B$53)/Assumptions!$B$6</f>
        <v>5.27863164702085</v>
      </c>
    </row>
    <row r="16" customFormat="false" ht="15" hidden="false" customHeight="true" outlineLevel="0" collapsed="false">
      <c r="A16" s="25" t="n">
        <v>0.2</v>
      </c>
      <c r="B16" s="20" t="n">
        <f aca="false">(SUMPRODUCT(DCF!$B$13:$F$13,(1+0.2)^-{1,2,3,4,5})+DCF!$F$13*(1+0.04)/(0.2-0.04)/(1+0.2)^5+Assumptions!$B$53)/Assumptions!$B$6</f>
        <v>3.76715787588183</v>
      </c>
      <c r="C16" s="20" t="n">
        <f aca="false">(SUMPRODUCT(DCF!$B$13:$F$13,(1+0.2)^-{1,2,3,4,5})+DCF!$F$13*(1+0.05)/(0.2-0.05)/(1+0.2)^5+Assumptions!$B$53)/Assumptions!$B$6</f>
        <v>3.90386801421958</v>
      </c>
      <c r="D16" s="20" t="n">
        <f aca="false">(SUMPRODUCT(DCF!$B$13:$F$13,(1+0.2)^-{1,2,3,4,5})+DCF!$F$13*(1+0.06)/(0.2-0.06)/(1+0.2)^5+Assumptions!$B$53)/Assumptions!$B$6</f>
        <v>4.06010817231986</v>
      </c>
      <c r="E16" s="20" t="n">
        <f aca="false">(SUMPRODUCT(DCF!$B$13:$F$13,(1+0.2)^-{1,2,3,4,5})+DCF!$F$13*(1+0.07)/(0.2-0.07)/(1+0.2)^5+Assumptions!$B$53)/Assumptions!$B$6</f>
        <v>4.24038527782017</v>
      </c>
      <c r="F16" s="20" t="n">
        <f aca="false">(SUMPRODUCT(DCF!$B$13:$F$13,(1+0.2)^-{1,2,3,4,5})+DCF!$F$13*(1+0.08)/(0.2-0.08)/(1+0.2)^5+Assumptions!$B$53)/Assumptions!$B$6</f>
        <v>4.45070856757055</v>
      </c>
    </row>
    <row r="17" customFormat="false" ht="15" hidden="false" customHeight="true" outlineLevel="0" collapsed="false">
      <c r="A17" s="25" t="n">
        <v>0.22</v>
      </c>
      <c r="B17" s="20" t="n">
        <f aca="false">(SUMPRODUCT(DCF!$B$13:$F$13,(1+0.22)^-{1,2,3,4,5})+DCF!$F$13*(1+0.04)/(0.22-0.04)/(1+0.22)^5+Assumptions!$B$53)/Assumptions!$B$6</f>
        <v>3.3731581586657</v>
      </c>
      <c r="C17" s="20" t="n">
        <f aca="false">(SUMPRODUCT(DCF!$B$13:$F$13,(1+0.22)^-{1,2,3,4,5})+DCF!$F$13*(1+0.05)/(0.22-0.05)/(1+0.22)^5+Assumptions!$B$53)/Assumptions!$B$6</f>
        <v>3.47352175141091</v>
      </c>
      <c r="D17" s="20" t="n">
        <f aca="false">(SUMPRODUCT(DCF!$B$13:$F$13,(1+0.22)^-{1,2,3,4,5})+DCF!$F$13*(1+0.06)/(0.22-0.06)/(1+0.22)^5+Assumptions!$B$53)/Assumptions!$B$6</f>
        <v>3.58643079324928</v>
      </c>
      <c r="E17" s="20" t="n">
        <f aca="false">(SUMPRODUCT(DCF!$B$13:$F$13,(1+0.22)^-{1,2,3,4,5})+DCF!$F$13*(1+0.07)/(0.22-0.07)/(1+0.22)^5+Assumptions!$B$53)/Assumptions!$B$6</f>
        <v>3.71439437399942</v>
      </c>
      <c r="F17" s="20" t="n">
        <f aca="false">(SUMPRODUCT(DCF!$B$13:$F$13,(1+0.22)^-{1,2,3,4,5})+DCF!$F$13*(1+0.08)/(0.22-0.08)/(1+0.22)^5+Assumptions!$B$53)/Assumptions!$B$6</f>
        <v>3.8606384662853</v>
      </c>
    </row>
    <row r="18" customFormat="false" ht="15" hidden="false" customHeight="true" outlineLevel="0" collapsed="false">
      <c r="A18" s="25" t="n">
        <v>0.24</v>
      </c>
      <c r="B18" s="20" t="n">
        <f aca="false">(SUMPRODUCT(DCF!$B$13:$F$13,(1+0.24)^-{1,2,3,4,5})+DCF!$F$13*(1+0.04)/(0.24-0.04)/(1+0.24)^5+Assumptions!$B$53)/Assumptions!$B$6</f>
        <v>3.05942434466388</v>
      </c>
      <c r="C18" s="20" t="n">
        <f aca="false">(SUMPRODUCT(DCF!$B$13:$F$13,(1+0.24)^-{1,2,3,4,5})+DCF!$F$13*(1+0.05)/(0.24-0.05)/(1+0.24)^5+Assumptions!$B$53)/Assumptions!$B$6</f>
        <v>3.13515411005678</v>
      </c>
      <c r="D18" s="20" t="n">
        <f aca="false">(SUMPRODUCT(DCF!$B$13:$F$13,(1+0.24)^-{1,2,3,4,5})+DCF!$F$13*(1+0.06)/(0.24-0.06)/(1+0.24)^5+Assumptions!$B$53)/Assumptions!$B$6</f>
        <v>3.21929829382667</v>
      </c>
      <c r="E18" s="20" t="n">
        <f aca="false">(SUMPRODUCT(DCF!$B$13:$F$13,(1+0.24)^-{1,2,3,4,5})+DCF!$F$13*(1+0.07)/(0.24-0.07)/(1+0.24)^5+Assumptions!$B$53)/Assumptions!$B$6</f>
        <v>3.31334179333418</v>
      </c>
      <c r="F18" s="20" t="n">
        <f aca="false">(SUMPRODUCT(DCF!$B$13:$F$13,(1+0.24)^-{1,2,3,4,5})+DCF!$F$13*(1+0.08)/(0.24-0.08)/(1+0.24)^5+Assumptions!$B$53)/Assumptions!$B$6</f>
        <v>3.41914073028014</v>
      </c>
    </row>
    <row r="20" customFormat="false" ht="55.5" hidden="false" customHeight="true" outlineLevel="0" collapsed="false">
      <c r="A20" s="14" t="s">
        <v>344</v>
      </c>
      <c r="B20" s="14"/>
      <c r="C20" s="14"/>
      <c r="D20" s="14"/>
      <c r="E20" s="14"/>
      <c r="F20" s="14"/>
    </row>
  </sheetData>
  <mergeCells count="3">
    <mergeCell ref="A1:F1"/>
    <mergeCell ref="A2:F2"/>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4" min="3" style="1" width="12"/>
    <col collapsed="false" customWidth="true" hidden="false" outlineLevel="0" max="5" min="5" style="1" width="28"/>
  </cols>
  <sheetData>
    <row r="1" customFormat="false" ht="21.75" hidden="false" customHeight="true" outlineLevel="0" collapsed="false">
      <c r="A1" s="5" t="s">
        <v>345</v>
      </c>
      <c r="B1" s="5"/>
      <c r="C1" s="5"/>
      <c r="D1" s="5"/>
      <c r="E1" s="5"/>
    </row>
    <row r="2" customFormat="false" ht="15" hidden="false" customHeight="true" outlineLevel="0" collapsed="false">
      <c r="A2" s="6" t="s">
        <v>346</v>
      </c>
      <c r="B2" s="6"/>
      <c r="C2" s="6"/>
      <c r="D2" s="6"/>
      <c r="E2" s="6"/>
    </row>
    <row r="5" customFormat="false" ht="15" hidden="false" customHeight="true" outlineLevel="0" collapsed="false">
      <c r="A5" s="8" t="s">
        <v>347</v>
      </c>
      <c r="B5" s="9" t="n">
        <f aca="false">Assumptions!B5</f>
        <v>4.77</v>
      </c>
    </row>
    <row r="6" customFormat="false" ht="15" hidden="false" customHeight="true" outlineLevel="0" collapsed="false">
      <c r="A6" s="8" t="s">
        <v>348</v>
      </c>
      <c r="B6" s="9" t="n">
        <f aca="false">Assumptions!B6</f>
        <v>4.2</v>
      </c>
    </row>
    <row r="7" customFormat="false" ht="15" hidden="false" customHeight="true" outlineLevel="0" collapsed="false">
      <c r="A7" s="8" t="s">
        <v>349</v>
      </c>
      <c r="B7" s="30" t="n">
        <f aca="false">Assumptions!B5*Assumptions!B6</f>
        <v>20.034</v>
      </c>
    </row>
    <row r="8" customFormat="false" ht="15" hidden="false" customHeight="true" outlineLevel="0" collapsed="false">
      <c r="A8" s="8" t="s">
        <v>350</v>
      </c>
      <c r="B8" s="9" t="n">
        <f aca="false">'Income Statement'!D21</f>
        <v>-0.261904761904763</v>
      </c>
    </row>
    <row r="9" customFormat="false" ht="15" hidden="false" customHeight="true" outlineLevel="0" collapsed="false">
      <c r="A9" s="8" t="s">
        <v>351</v>
      </c>
      <c r="B9" s="20" t="n">
        <f aca="false">Assumptions!B39/Assumptions!B6</f>
        <v>0.952380952380952</v>
      </c>
    </row>
    <row r="10" customFormat="false" ht="15" hidden="false" customHeight="true" outlineLevel="0" collapsed="false">
      <c r="A10" s="8" t="s">
        <v>352</v>
      </c>
      <c r="B10" s="9" t="n">
        <f aca="false">'Balance Sheet'!D19</f>
        <v>-1.07142857142857</v>
      </c>
    </row>
    <row r="11" customFormat="false" ht="15" hidden="false" customHeight="true" outlineLevel="0" collapsed="false">
      <c r="A11" s="8"/>
      <c r="B11" s="44"/>
    </row>
    <row r="12" customFormat="false" ht="15" hidden="false" customHeight="true" outlineLevel="0" collapsed="false">
      <c r="A12" s="8" t="s">
        <v>353</v>
      </c>
      <c r="B12" s="58" t="str">
        <f aca="false">IF(B8&gt;0,B5/B8,"n.m. (loss)")</f>
        <v>n.m. (loss)</v>
      </c>
    </row>
    <row r="13" customFormat="false" ht="15" hidden="false" customHeight="true" outlineLevel="0" collapsed="false">
      <c r="A13" s="8" t="s">
        <v>354</v>
      </c>
      <c r="B13" s="58" t="n">
        <f aca="false">B5/B9</f>
        <v>5.0085</v>
      </c>
    </row>
    <row r="14" customFormat="false" ht="15" hidden="false" customHeight="true" outlineLevel="0" collapsed="false">
      <c r="A14" s="8" t="s">
        <v>355</v>
      </c>
      <c r="B14" s="30" t="str">
        <f aca="false">IF(B10&gt;0,B5/B10,"n.m. (neg. equity)")</f>
        <v>n.m. (neg. equity)</v>
      </c>
    </row>
    <row r="15" customFormat="false" ht="15" hidden="false" customHeight="true" outlineLevel="0" collapsed="false">
      <c r="A15" s="8" t="s">
        <v>26</v>
      </c>
      <c r="B15" s="9" t="n">
        <f aca="false">SOTP!B15</f>
        <v>8.48274285714286</v>
      </c>
    </row>
    <row r="16" customFormat="false" ht="15" hidden="false" customHeight="true" outlineLevel="0" collapsed="false">
      <c r="A16" s="8" t="s">
        <v>356</v>
      </c>
      <c r="B16" s="10" t="n">
        <f aca="false">B5/B15-1</f>
        <v>-0.437681881871093</v>
      </c>
    </row>
    <row r="18" customFormat="false" ht="55.5" hidden="false" customHeight="true" outlineLevel="0" collapsed="false">
      <c r="A18" s="14" t="s">
        <v>357</v>
      </c>
      <c r="B18" s="14"/>
      <c r="C18" s="14"/>
      <c r="D18" s="14"/>
      <c r="E18" s="14"/>
    </row>
  </sheetData>
  <mergeCells count="3">
    <mergeCell ref="A1:E1"/>
    <mergeCell ref="A2:E2"/>
    <mergeCell ref="A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3" min="3" style="1" width="18"/>
    <col collapsed="false" customWidth="true" hidden="false" outlineLevel="0" max="4" min="4" style="1" width="22"/>
  </cols>
  <sheetData>
    <row r="1" customFormat="false" ht="21.75" hidden="false" customHeight="true" outlineLevel="0" collapsed="false">
      <c r="A1" s="5" t="s">
        <v>358</v>
      </c>
      <c r="B1" s="5"/>
      <c r="C1" s="5"/>
      <c r="D1" s="5"/>
    </row>
    <row r="2" customFormat="false" ht="15" hidden="false" customHeight="true" outlineLevel="0" collapsed="false">
      <c r="A2" s="6" t="s">
        <v>359</v>
      </c>
      <c r="B2" s="6"/>
      <c r="C2" s="6"/>
      <c r="D2" s="6"/>
    </row>
    <row r="4" customFormat="false" ht="24" hidden="false" customHeight="true" outlineLevel="0" collapsed="false">
      <c r="A4" s="15" t="s">
        <v>360</v>
      </c>
      <c r="B4" s="15" t="s">
        <v>45</v>
      </c>
      <c r="C4" s="15" t="s">
        <v>361</v>
      </c>
      <c r="D4" s="15"/>
    </row>
    <row r="5" customFormat="false" ht="24" hidden="false" customHeight="true" outlineLevel="0" collapsed="false">
      <c r="A5" s="41" t="s">
        <v>362</v>
      </c>
      <c r="B5" s="42" t="s">
        <v>363</v>
      </c>
      <c r="C5" s="42" t="s">
        <v>364</v>
      </c>
      <c r="D5" s="42"/>
    </row>
    <row r="6" customFormat="false" ht="24" hidden="false" customHeight="true" outlineLevel="0" collapsed="false">
      <c r="A6" s="41" t="s">
        <v>141</v>
      </c>
      <c r="B6" s="42" t="s">
        <v>365</v>
      </c>
      <c r="C6" s="42" t="s">
        <v>366</v>
      </c>
      <c r="D6" s="42"/>
    </row>
    <row r="7" customFormat="false" ht="24" hidden="false" customHeight="true" outlineLevel="0" collapsed="false">
      <c r="A7" s="41" t="s">
        <v>145</v>
      </c>
      <c r="B7" s="42" t="s">
        <v>367</v>
      </c>
      <c r="C7" s="42" t="s">
        <v>368</v>
      </c>
      <c r="D7" s="42"/>
    </row>
    <row r="8" customFormat="false" ht="24" hidden="false" customHeight="true" outlineLevel="0" collapsed="false">
      <c r="A8" s="41" t="s">
        <v>369</v>
      </c>
      <c r="B8" s="42" t="s">
        <v>370</v>
      </c>
      <c r="C8" s="42" t="s">
        <v>371</v>
      </c>
      <c r="D8" s="42"/>
    </row>
    <row r="9" customFormat="false" ht="24" hidden="false" customHeight="true" outlineLevel="0" collapsed="false">
      <c r="A9" s="41" t="s">
        <v>372</v>
      </c>
      <c r="B9" s="42" t="s">
        <v>373</v>
      </c>
      <c r="C9" s="42" t="s">
        <v>374</v>
      </c>
      <c r="D9" s="42"/>
    </row>
    <row r="10" customFormat="false" ht="24" hidden="false" customHeight="true" outlineLevel="0" collapsed="false">
      <c r="A10" s="41" t="s">
        <v>375</v>
      </c>
      <c r="B10" s="42" t="s">
        <v>376</v>
      </c>
      <c r="C10" s="42" t="s">
        <v>377</v>
      </c>
      <c r="D10" s="42"/>
    </row>
    <row r="11" customFormat="false" ht="24" hidden="false" customHeight="true" outlineLevel="0" collapsed="false">
      <c r="A11" s="41"/>
      <c r="B11" s="42"/>
      <c r="C11" s="42"/>
      <c r="D11" s="42"/>
    </row>
    <row r="13" customFormat="false" ht="69.75" hidden="false" customHeight="true" outlineLevel="0" collapsed="false">
      <c r="A13" s="14"/>
      <c r="B13" s="14"/>
      <c r="C13" s="14"/>
      <c r="D13" s="14"/>
    </row>
  </sheetData>
  <mergeCells count="3">
    <mergeCell ref="A1:D1"/>
    <mergeCell ref="A2:D2"/>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2026-06-28T12:58:45Z</dcterms:created>
  <dc:creator>openpyxl</dc:creator>
  <dc:description/>
  <dc:language>en-US</dc:language>
  <cp:lastModifiedBy/>
  <dcterms:modified xsi:type="dcterms:W3CDTF">2026-06-30T13:30:51Z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