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FIRS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undamental Valuation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DCF" sheetId="5" state="visible" r:id="rId5"/>
    <sheet xmlns:r="http://schemas.openxmlformats.org/officeDocument/2006/relationships" name="Relative &amp; Capacity" sheetId="6" state="visible" r:id="rId6"/>
    <sheet xmlns:r="http://schemas.openxmlformats.org/officeDocument/2006/relationships" name="Monte Carlo" sheetId="7" state="visible" r:id="rId7"/>
    <sheet xmlns:r="http://schemas.openxmlformats.org/officeDocument/2006/relationships" name="Income Statement" sheetId="8" state="visible" r:id="rId8"/>
    <sheet xmlns:r="http://schemas.openxmlformats.org/officeDocument/2006/relationships" name="Balance Sheet" sheetId="9" state="visible" r:id="rId9"/>
    <sheet xmlns:r="http://schemas.openxmlformats.org/officeDocument/2006/relationships" name="Cash Flow" sheetId="10" state="visible" r:id="rId10"/>
    <sheet xmlns:r="http://schemas.openxmlformats.org/officeDocument/2006/relationships" name="Per-Share &amp; Ratio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#,##0.0&quot;x&quot;"/>
    <numFmt numFmtId="166" formatCode="0.0%"/>
  </numFmts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C3A36"/>
      <sz val="10"/>
    </font>
    <font>
      <name val="Arial"/>
      <color rgb="00000000"/>
      <sz val="9"/>
    </font>
    <font>
      <name val="Arial"/>
      <color rgb="00666666"/>
      <sz val="8"/>
    </font>
    <font>
      <name val="Arial"/>
      <b val="1"/>
      <color rgb="001C3A36"/>
      <sz val="11"/>
    </font>
    <font>
      <name val="Arial"/>
      <color rgb="00000000"/>
      <sz val="10"/>
    </font>
    <font>
      <name val="Arial"/>
      <color rgb="000000FF"/>
      <sz val="10"/>
    </font>
    <font>
      <name val="Arial"/>
      <b val="1"/>
      <color rgb="00FFFFFF"/>
      <sz val="10"/>
    </font>
    <font>
      <name val="Arial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1C3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1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left" vertical="center"/>
    </xf>
    <xf numFmtId="3" fontId="9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right" vertical="center"/>
    </xf>
    <xf numFmtId="166" fontId="9" fillId="0" borderId="0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8" fillId="2" borderId="0" applyAlignment="1" pivotButton="0" quotePrefix="0" xfId="0">
      <alignment horizontal="right" vertical="center"/>
    </xf>
    <xf numFmtId="9" fontId="9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3" fontId="2" fillId="0" borderId="0" applyAlignment="1" pivotButton="0" quotePrefix="0" xfId="0">
      <alignment horizontal="right" vertical="center"/>
    </xf>
    <xf numFmtId="9" fontId="2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top" wrapText="1"/>
    </xf>
    <xf numFmtId="166" fontId="6" fillId="0" borderId="0" applyAlignment="1" pivotButton="0" quotePrefix="0" xfId="0">
      <alignment horizontal="right" vertical="center"/>
    </xf>
    <xf numFmtId="166" fontId="2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4" fontId="7" fillId="0" borderId="0" applyAlignment="1" pivotButton="0" quotePrefix="0" xfId="0">
      <alignment horizontal="right" vertical="center"/>
    </xf>
    <xf numFmtId="9" fontId="7" fillId="0" borderId="0" applyAlignment="1" pivotButton="0" quotePrefix="0" xfId="0">
      <alignment horizontal="right" vertical="center"/>
    </xf>
    <xf numFmtId="9" fontId="6" fillId="0" borderId="0" applyAlignment="1" pivotButton="0" quotePrefix="0" xfId="0">
      <alignment horizontal="right" vertical="center"/>
    </xf>
    <xf numFmtId="4" fontId="6" fillId="0" borderId="0" applyAlignment="1" pivotButton="0" quotePrefix="0" xfId="0">
      <alignment horizontal="right" vertical="center"/>
    </xf>
    <xf numFmtId="4" fontId="2" fillId="0" borderId="0" applyAlignment="1" pivotButton="0" quotePrefix="0" xfId="0">
      <alignment horizontal="right" vertical="center"/>
    </xf>
    <xf numFmtId="164" fontId="2" fillId="0" borderId="0" applyAlignment="1" pivotButton="0" quotePrefix="0" xfId="0">
      <alignment horizontal="right" vertical="center"/>
    </xf>
    <xf numFmtId="164" fontId="9" fillId="0" borderId="0" applyAlignment="1" pivotButton="0" quotePrefix="0" xfId="0">
      <alignment horizontal="right" vertical="center"/>
    </xf>
    <xf numFmtId="165" fontId="9" fillId="0" borderId="0" applyAlignment="1" pivotButton="0" quotePrefix="0" xfId="0">
      <alignment horizontal="right" vertical="center"/>
    </xf>
    <xf numFmtId="4" fontId="9" fillId="0" borderId="0" applyAlignment="1" pivotButton="0" quotePrefix="0" xfId="0">
      <alignment horizontal="right" vertical="center"/>
    </xf>
    <xf numFmtId="3" fontId="6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Testahil</author>
  </authors>
  <commentList>
    <comment ref="B5" authorId="0" shapeId="0">
      <text>
        <t>Close 26-Jun-2026 (attached price history)</t>
      </text>
    </comment>
    <comment ref="B6" authorId="0" shapeId="0">
      <text>
        <t>Share capital KRW 117,000m / par KRW 500 = 234.0m (audited FS)</t>
      </text>
    </comment>
    <comment ref="B7" authorId="0" shapeId="0">
      <text>
        <t>Borrowings 22,512,096m less cash 3,779,307m (audited FS end-2025)</t>
      </text>
    </comment>
    <comment ref="B8" authorId="0" shapeId="0">
      <text>
        <t>Non-controlling interest, book (audited FS end-2025)</t>
      </text>
    </comment>
    <comment ref="B11" authorId="0" shapeId="0">
      <text>
        <t>Equity to owners 20,215,549m / 234.0m (audited FS)</t>
      </text>
    </comment>
    <comment ref="B15" authorId="0" shapeId="0">
      <text>
        <t>High-beta CoE (~0.55 vol) blended with after-tax debt at ~22% weight</t>
      </text>
    </comment>
    <comment ref="B16" authorId="0" shapeId="0">
      <text>
        <t>Long-run battery-demand growth</t>
      </text>
    </comment>
    <comment ref="B17" authorId="0" shapeId="0">
      <text>
        <t>Korea corporate, blended effective</t>
      </text>
    </comment>
    <comment ref="B20" authorId="0" shapeId="0">
      <text>
        <t>Normalised ~2028-29e; OP + D&amp;A</t>
      </text>
    </comment>
    <comment ref="B21" authorId="0" shapeId="0">
      <text>
        <t>Premium to CATL ~10.4x for ex-China / IRA position</t>
      </text>
    </comment>
    <comment ref="B22" authorId="0" shapeId="0">
      <text>
        <t>Through-cycle parent earnings once utilisation recovers</t>
      </text>
    </comment>
    <comment ref="B23" authorId="0" shapeId="0">
      <text>
        <t>Through-cycle premium for a leading battery maker</t>
      </text>
    </comment>
    <comment ref="B24" authorId="0" shapeId="0">
      <text>
        <t>~300-350 GWh nameplate incl. cylindrical backlog</t>
      </text>
    </comment>
    <comment ref="B25" authorId="0" shapeId="0">
      <text>
        <t>Premium to ~USD 60-100m/GWh replacement for qualified capacity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2" customHeight="1">
      <c r="A1" s="1" t="inlineStr">
        <is>
          <t>READ FIRST — DISCLOSURE &amp; DISCLAIMER (educational valuation study; not investment advice)</t>
        </is>
      </c>
    </row>
    <row r="3">
      <c r="A3" s="2" t="inlineStr">
        <is>
          <t>WHAT THIS IS</t>
        </is>
      </c>
    </row>
    <row r="4" ht="46" customHeight="1">
      <c r="A4" s="3" t="inlineStr">
        <is>
          <t>An independent, educational valuation model for LG Energy Solution, Ltd. (KRX: 373220) — an expression of personal analytical opinion, published free of charge. It is NOT investment advice, NOT a recommendation or solicitation to buy, sell or hold any security, and NOT directed at any reader's circumstances.</t>
        </is>
      </c>
    </row>
    <row r="6">
      <c r="A6" s="2" t="inlineStr">
        <is>
          <t>NO LICENCE</t>
        </is>
      </c>
    </row>
    <row r="7" ht="46" customHeight="1">
      <c r="A7" s="3" t="inlineStr">
        <is>
          <t>The preparer is not licensed or registered by any securities regulator in any jurisdiction, holds no brokerage authorisation, manages no money, solicits no clients, and accepts no fees. Consult a licensed financial advisor before any investment decision.</t>
        </is>
      </c>
    </row>
    <row r="9">
      <c r="A9" s="2" t="inlineStr">
        <is>
          <t>HOW TO USE</t>
        </is>
      </c>
    </row>
    <row r="10" ht="46" customHeight="1">
      <c r="A10" s="3" t="inlineStr">
        <is>
          <t>Blue cells are hardcoded inputs (edit to your own view); black cells are formulas; green cells link across sheets. The primary lens is a going-concern FCFF DCF, bridged from consolidated enterprise value to the PARENT's equity by subtracting net debt AND the large minority interest, then cross-checked with relative EV/EBITDA, normalised earnings and EV-per-GWh capacity. Currency KRW; valuation in KRW trillion, per share in KRW.</t>
        </is>
      </c>
    </row>
    <row r="12">
      <c r="A12" s="2" t="inlineStr">
        <is>
          <t>THE CRUX</t>
        </is>
      </c>
    </row>
    <row r="13" ht="46" customHeight="1">
      <c r="A13" s="3" t="inlineStr">
        <is>
          <t>Reported profit is carried by the US IRA production credit (AMPC), which accrues largely to joint-venture minorities — so the parent's owners were attributed a NET LOSS in 2024 (EPS -4,354) and 2025 (EPS -4,585). Trailing P/E is meaningless; the model values the inflection back to positive parent earnings as capex normalises and utilisation recovers.</t>
        </is>
      </c>
    </row>
    <row r="15">
      <c r="A15" s="2" t="inlineStr">
        <is>
          <t>HOLDINGS</t>
        </is>
      </c>
    </row>
    <row r="16" ht="46" customHeight="1">
      <c r="A16" s="3" t="inlineStr">
        <is>
          <t>The preparer may hold, and may in future take or dispose of, a position in the security discussed, and may transact at any time without notice.</t>
        </is>
      </c>
    </row>
    <row r="18">
      <c r="A18" s="2" t="inlineStr">
        <is>
          <t>SOURCES</t>
        </is>
      </c>
    </row>
    <row r="19" ht="46" customHeight="1">
      <c r="A19" s="3" t="inlineStr">
        <is>
          <t>Reported figures are from LG Energy Solution's audited consolidated financial statements (Deloitte Anjin, 5 Mar 2026) and IR disclosure; forward inputs are the preparer's judgments and are uncertain.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4" customWidth="1" min="3" max="3"/>
    <col width="38" customWidth="1" min="4" max="4"/>
  </cols>
  <sheetData>
    <row r="1" ht="22" customHeight="1">
      <c r="A1" s="4" t="inlineStr">
        <is>
          <t>LG Energy Solution (KRX: 373220) — Valuation Summary</t>
        </is>
      </c>
    </row>
    <row r="2">
      <c r="A2" s="5" t="inlineStr">
        <is>
          <t>FCFF DCF (primary) + relative + normalised + capacity. Educational; not advice.</t>
        </is>
      </c>
    </row>
    <row r="4">
      <c r="A4" s="6" t="inlineStr">
        <is>
          <t>Headline</t>
        </is>
      </c>
    </row>
    <row r="5">
      <c r="A5" s="7" t="inlineStr">
        <is>
          <t>Weighted central fundamental value</t>
        </is>
      </c>
      <c r="B5" s="8">
        <f>'Fundamental Valuation'!B11</f>
        <v/>
      </c>
      <c r="D5" s="9" t="inlineStr">
        <is>
          <t>the four lenses, weighted</t>
        </is>
      </c>
    </row>
    <row r="6">
      <c r="A6" s="7" t="inlineStr">
        <is>
          <t>Market price (26-Jun-2026)</t>
        </is>
      </c>
      <c r="B6" s="8">
        <f>Assumptions!B5</f>
        <v/>
      </c>
      <c r="D6" s="9" t="inlineStr">
        <is>
          <t>close</t>
        </is>
      </c>
    </row>
    <row r="7">
      <c r="A7" s="7" t="inlineStr">
        <is>
          <t>Central vs spot</t>
        </is>
      </c>
      <c r="B7" s="10">
        <f>B5/B6-1</f>
        <v/>
      </c>
      <c r="D7" s="9" t="inlineStr">
        <is>
          <t>negative = looks expensive</t>
        </is>
      </c>
    </row>
    <row r="8">
      <c r="A8" s="7" t="inlineStr">
        <is>
          <t>Bear case (AMPC cut + EV weak)</t>
        </is>
      </c>
      <c r="B8" s="8">
        <f>Assumptions!B35</f>
        <v/>
      </c>
      <c r="D8" s="9" t="inlineStr">
        <is>
          <t>low end</t>
        </is>
      </c>
    </row>
    <row r="9">
      <c r="A9" s="7" t="inlineStr">
        <is>
          <t>Bull case (recovery + ESS/AI)</t>
        </is>
      </c>
      <c r="B9" s="8">
        <f>Assumptions!B36</f>
        <v/>
      </c>
      <c r="D9" s="9" t="inlineStr">
        <is>
          <t>high end</t>
        </is>
      </c>
    </row>
    <row r="10">
      <c r="A10" s="7" t="inlineStr">
        <is>
          <t>Monte-Carlo median, T+60</t>
        </is>
      </c>
      <c r="B10" s="8">
        <f>Assumptions!B39</f>
        <v/>
      </c>
      <c r="D10" s="9" t="inlineStr">
        <is>
          <t>near-term price, not value</t>
        </is>
      </c>
    </row>
    <row r="12">
      <c r="A12" s="6" t="inlineStr">
        <is>
          <t>The four lenses</t>
        </is>
      </c>
    </row>
    <row r="13">
      <c r="A13" s="11" t="inlineStr">
        <is>
          <t>Lens</t>
        </is>
      </c>
      <c r="B13" s="12" t="inlineStr">
        <is>
          <t>Value (KRW)</t>
        </is>
      </c>
      <c r="C13" s="12" t="inlineStr">
        <is>
          <t>Weight</t>
        </is>
      </c>
      <c r="D13" s="12" t="inlineStr">
        <is>
          <t>Note</t>
        </is>
      </c>
    </row>
    <row r="14">
      <c r="A14" s="7" t="inlineStr">
        <is>
          <t>Going-concern DCF (FCFF, parent)</t>
        </is>
      </c>
      <c r="B14" s="8">
        <f>DCF!B25</f>
        <v/>
      </c>
      <c r="C14" s="13">
        <f>Assumptions!B28</f>
        <v/>
      </c>
      <c r="D14" s="9" t="inlineStr">
        <is>
          <t>net of debt &amp; minorities</t>
        </is>
      </c>
    </row>
    <row r="15">
      <c r="A15" s="7" t="inlineStr">
        <is>
          <t>Relative multiples (EV/EBITDA)</t>
        </is>
      </c>
      <c r="B15" s="8">
        <f>'Relative &amp; Capacity'!B8</f>
        <v/>
      </c>
      <c r="C15" s="13">
        <f>Assumptions!B29</f>
        <v/>
      </c>
      <c r="D15" s="9" t="inlineStr">
        <is>
          <t>mid-cycle EBITDA x multiple</t>
        </is>
      </c>
    </row>
    <row r="16">
      <c r="A16" s="7" t="inlineStr">
        <is>
          <t>Normalised through-cycle earnings</t>
        </is>
      </c>
      <c r="B16" s="8">
        <f>'Relative &amp; Capacity'!B16</f>
        <v/>
      </c>
      <c r="C16" s="13">
        <f>Assumptions!B30</f>
        <v/>
      </c>
      <c r="D16" s="9" t="inlineStr">
        <is>
          <t>parent earnings, recovered</t>
        </is>
      </c>
    </row>
    <row r="17">
      <c r="A17" s="7" t="inlineStr">
        <is>
          <t>EV / capacity (per GWh)</t>
        </is>
      </c>
      <c r="B17" s="8">
        <f>'Relative &amp; Capacity'!B23</f>
        <v/>
      </c>
      <c r="C17" s="13">
        <f>Assumptions!B31</f>
        <v/>
      </c>
      <c r="D17" s="9" t="inlineStr">
        <is>
          <t>asset / replacement value</t>
        </is>
      </c>
    </row>
    <row r="18">
      <c r="A18" s="14" t="inlineStr">
        <is>
          <t>Weighted central</t>
        </is>
      </c>
      <c r="B18" s="15">
        <f>'Fundamental Valuation'!B11</f>
        <v/>
      </c>
      <c r="C18" s="16">
        <f>SUM(C14:C17)</f>
        <v/>
      </c>
    </row>
    <row r="20" ht="34" customHeight="1">
      <c r="A20" s="17" t="inlineStr">
        <is>
          <t>Verdict — modestly expensive; the case is an EV-cycle and AMPC-policy bet. A buyer underwrites EV-demand stabilising, energy storage scaling, the credit retained, and parent earnings inflecting positive. Educational analysis, not investment advice.</t>
        </is>
      </c>
    </row>
  </sheetData>
  <mergeCells count="3">
    <mergeCell ref="A1:D1"/>
    <mergeCell ref="A20:D20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2" customWidth="1" min="3" max="3"/>
    <col width="12" customWidth="1" min="4" max="4"/>
    <col width="34" customWidth="1" min="5" max="5"/>
  </cols>
  <sheetData>
    <row r="1" ht="22" customHeight="1">
      <c r="A1" s="4" t="inlineStr">
        <is>
          <t>Fundamental Valuation — weighted lenses</t>
        </is>
      </c>
    </row>
    <row r="2">
      <c r="A2" s="5" t="inlineStr">
        <is>
          <t>Spot sits ~25% above the weighted central. DCF and capacity below spot; relative and normalised straddle it.</t>
        </is>
      </c>
    </row>
    <row r="4">
      <c r="A4" s="11" t="inlineStr">
        <is>
          <t>Method</t>
        </is>
      </c>
      <c r="B4" s="12" t="inlineStr">
        <is>
          <t>Value (KRW)</t>
        </is>
      </c>
      <c r="C4" s="12" t="inlineStr">
        <is>
          <t>vs spot</t>
        </is>
      </c>
      <c r="D4" s="12" t="inlineStr">
        <is>
          <t>Weight</t>
        </is>
      </c>
      <c r="E4" s="12" t="inlineStr">
        <is>
          <t>Note</t>
        </is>
      </c>
    </row>
    <row r="5">
      <c r="A5" s="7" t="inlineStr">
        <is>
          <t>Going-concern DCF (FCFF, parent)</t>
        </is>
      </c>
      <c r="B5" s="8">
        <f>DCF!B25</f>
        <v/>
      </c>
      <c r="C5" s="18">
        <f>B5/Assumptions!$B$5-1</f>
        <v/>
      </c>
      <c r="D5" s="13">
        <f>Assumptions!B28</f>
        <v/>
      </c>
      <c r="E5" s="9" t="inlineStr">
        <is>
          <t>primary lens; full debt + minority bridge</t>
        </is>
      </c>
    </row>
    <row r="6">
      <c r="A6" s="7" t="inlineStr">
        <is>
          <t>Relative multiples (EV/EBITDA)</t>
        </is>
      </c>
      <c r="B6" s="8">
        <f>'Relative &amp; Capacity'!B8</f>
        <v/>
      </c>
      <c r="C6" s="18">
        <f>B6/Assumptions!$B$5-1</f>
        <v/>
      </c>
      <c r="D6" s="13">
        <f>Assumptions!B29</f>
        <v/>
      </c>
      <c r="E6" s="9" t="inlineStr">
        <is>
          <t>mid-cycle EBITDA vs CATL ~10.4x</t>
        </is>
      </c>
    </row>
    <row r="7">
      <c r="A7" s="7" t="inlineStr">
        <is>
          <t>Normalised through-cycle earnings</t>
        </is>
      </c>
      <c r="B7" s="8">
        <f>'Relative &amp; Capacity'!B16</f>
        <v/>
      </c>
      <c r="C7" s="18">
        <f>B7/Assumptions!$B$5-1</f>
        <v/>
      </c>
      <c r="D7" s="13">
        <f>Assumptions!B30</f>
        <v/>
      </c>
      <c r="E7" s="9" t="inlineStr">
        <is>
          <t>parent earnings once utilisation recovers</t>
        </is>
      </c>
    </row>
    <row r="8">
      <c r="A8" s="7" t="inlineStr">
        <is>
          <t>EV / capacity (per GWh)</t>
        </is>
      </c>
      <c r="B8" s="8">
        <f>'Relative &amp; Capacity'!B23</f>
        <v/>
      </c>
      <c r="C8" s="18">
        <f>B8/Assumptions!$B$5-1</f>
        <v/>
      </c>
      <c r="D8" s="13">
        <f>Assumptions!B31</f>
        <v/>
      </c>
      <c r="E8" s="9" t="inlineStr">
        <is>
          <t>asset / replacement cross-check</t>
        </is>
      </c>
    </row>
    <row r="11">
      <c r="A11" s="14" t="inlineStr">
        <is>
          <t>WEIGHTED CENTRAL FUNDAMENTAL VALUE</t>
        </is>
      </c>
      <c r="B11" s="15">
        <f>SUMPRODUCT(B5:B8,D5:D8)</f>
        <v/>
      </c>
      <c r="C11" s="19">
        <f>B11/Assumptions!$B$5-1</f>
        <v/>
      </c>
      <c r="D11" s="16">
        <f>SUM(D5:D8)</f>
        <v/>
      </c>
    </row>
    <row r="12">
      <c r="A12" s="7" t="inlineStr">
        <is>
          <t>Memo: spot price (26-Jun-2026)</t>
        </is>
      </c>
      <c r="B12" s="8">
        <f>Assumptions!B5</f>
        <v/>
      </c>
    </row>
    <row r="13">
      <c r="A13" s="7" t="inlineStr">
        <is>
          <t>Central vs spot</t>
        </is>
      </c>
      <c r="B13" s="18">
        <f>B11/B12-1</f>
        <v/>
      </c>
      <c r="E13" s="9" t="inlineStr">
        <is>
          <t>negative = market prices a growth premium</t>
        </is>
      </c>
    </row>
    <row r="15">
      <c r="A15" s="7" t="inlineStr">
        <is>
          <t>Bear / AMPC-cut floor</t>
        </is>
      </c>
      <c r="B15" s="8">
        <f>Assumptions!B35</f>
        <v/>
      </c>
    </row>
    <row r="16">
      <c r="A16" s="7" t="inlineStr">
        <is>
          <t>Bull / recovery ceiling</t>
        </is>
      </c>
      <c r="B16" s="8">
        <f>Assumptions!B36</f>
        <v/>
      </c>
    </row>
    <row r="18" ht="34" customHeight="1">
      <c r="A18" s="17" t="inlineStr">
        <is>
          <t>The lenses do not cluster: anchor on near-term cash flow (DCF) or replacement cost (capacity) and the stock looks ~30-40% rich; grant mid-cycle EBITDA and a growth multiple (relative, normalised) and it looks roughly fair. The dispersion is the finding.</t>
        </is>
      </c>
    </row>
  </sheetData>
  <mergeCells count="3">
    <mergeCell ref="A2:E2"/>
    <mergeCell ref="A1:E1"/>
    <mergeCell ref="A18:E1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  <col width="2" customWidth="1" min="3" max="3"/>
  </cols>
  <sheetData>
    <row r="1" ht="22" customHeight="1">
      <c r="A1" s="4" t="inlineStr">
        <is>
          <t>Assumptions &amp; inputs (blue = editable)</t>
        </is>
      </c>
    </row>
    <row r="2">
      <c r="A2" s="5" t="inlineStr">
        <is>
          <t>Scalars used across the model; audited actuals sourced in cell comments.</t>
        </is>
      </c>
    </row>
    <row r="4">
      <c r="A4" s="6" t="inlineStr">
        <is>
          <t>Market &amp; capital structure</t>
        </is>
      </c>
    </row>
    <row r="5">
      <c r="A5" s="7" t="inlineStr">
        <is>
          <t>Spot price (KRW, 26-Jun-26)</t>
        </is>
      </c>
      <c r="B5" s="20" t="n">
        <v>331500</v>
      </c>
    </row>
    <row r="6">
      <c r="A6" s="7" t="inlineStr">
        <is>
          <t>Shares outstanding</t>
        </is>
      </c>
      <c r="B6" s="20" t="n">
        <v>234000000</v>
      </c>
    </row>
    <row r="7">
      <c r="A7" s="7" t="inlineStr">
        <is>
          <t>Net debt (KRW tn)</t>
        </is>
      </c>
      <c r="B7" s="21" t="n">
        <v>18.73</v>
      </c>
    </row>
    <row r="8">
      <c r="A8" s="7" t="inlineStr">
        <is>
          <t>Minority interest / NCI (KRW tn)</t>
        </is>
      </c>
      <c r="B8" s="21" t="n">
        <v>9.109999999999999</v>
      </c>
    </row>
    <row r="9">
      <c r="A9" s="7" t="inlineStr">
        <is>
          <t>Market capitalisation (KRW tn)</t>
        </is>
      </c>
      <c r="B9" s="22">
        <f>B5*B6/10^12</f>
        <v/>
      </c>
    </row>
    <row r="10">
      <c r="A10" s="7" t="inlineStr">
        <is>
          <t>Enterprise value (KRW tn)</t>
        </is>
      </c>
      <c r="B10" s="22">
        <f>B9+B7</f>
        <v/>
      </c>
    </row>
    <row r="11">
      <c r="A11" s="7" t="inlineStr">
        <is>
          <t>Owner book value / BVPS (KRW)</t>
        </is>
      </c>
      <c r="B11" s="20" t="n">
        <v>86391.02564102564</v>
      </c>
    </row>
    <row r="12">
      <c r="A12" s="7" t="inlineStr">
        <is>
          <t>P/B (x)</t>
        </is>
      </c>
      <c r="B12" s="23">
        <f>B5/B11</f>
        <v/>
      </c>
    </row>
    <row r="14">
      <c r="A14" s="6" t="inlineStr">
        <is>
          <t>DCF parameters</t>
        </is>
      </c>
    </row>
    <row r="15">
      <c r="A15" s="7" t="inlineStr">
        <is>
          <t>WACC</t>
        </is>
      </c>
      <c r="B15" s="24" t="n">
        <v>0.09</v>
      </c>
    </row>
    <row r="16">
      <c r="A16" s="7" t="inlineStr">
        <is>
          <t>Terminal growth g</t>
        </is>
      </c>
      <c r="B16" s="24" t="n">
        <v>0.035</v>
      </c>
    </row>
    <row r="17">
      <c r="A17" s="7" t="inlineStr">
        <is>
          <t>Tax rate</t>
        </is>
      </c>
      <c r="B17" s="24" t="n">
        <v>0.22</v>
      </c>
    </row>
    <row r="19">
      <c r="A19" s="6" t="inlineStr">
        <is>
          <t>Cross-check inputs</t>
        </is>
      </c>
    </row>
    <row r="20">
      <c r="A20" s="7" t="inlineStr">
        <is>
          <t>Mid-cycle EBITDA (KRW tn)</t>
        </is>
      </c>
      <c r="B20" s="21" t="n">
        <v>9.4</v>
      </c>
    </row>
    <row r="21">
      <c r="A21" s="7" t="inlineStr">
        <is>
          <t>EV/EBITDA multiple (x)</t>
        </is>
      </c>
      <c r="B21" s="25" t="n">
        <v>11</v>
      </c>
    </row>
    <row r="22">
      <c r="A22" s="7" t="inlineStr">
        <is>
          <t>Normalised parent net income (KRW tn)</t>
        </is>
      </c>
      <c r="B22" s="26" t="n">
        <v>2.93</v>
      </c>
    </row>
    <row r="23">
      <c r="A23" s="7" t="inlineStr">
        <is>
          <t>Normalised P/E multiple (x)</t>
        </is>
      </c>
      <c r="B23" s="25" t="n">
        <v>24</v>
      </c>
    </row>
    <row r="24">
      <c r="A24" s="7" t="inlineStr">
        <is>
          <t>Capacity (GWh, effective)</t>
        </is>
      </c>
      <c r="B24" s="20" t="n">
        <v>350</v>
      </c>
    </row>
    <row r="25">
      <c r="A25" s="7" t="inlineStr">
        <is>
          <t>Value per GWh (KRW bn)</t>
        </is>
      </c>
      <c r="B25" s="20" t="n">
        <v>205</v>
      </c>
    </row>
    <row r="27">
      <c r="A27" s="6" t="inlineStr">
        <is>
          <t>Lens weights</t>
        </is>
      </c>
    </row>
    <row r="28">
      <c r="A28" s="7" t="inlineStr">
        <is>
          <t>DCF weight</t>
        </is>
      </c>
      <c r="B28" s="27" t="n">
        <v>0.25</v>
      </c>
    </row>
    <row r="29">
      <c r="A29" s="7" t="inlineStr">
        <is>
          <t>Relative weight</t>
        </is>
      </c>
      <c r="B29" s="27" t="n">
        <v>0.3</v>
      </c>
    </row>
    <row r="30">
      <c r="A30" s="7" t="inlineStr">
        <is>
          <t>Normalised weight</t>
        </is>
      </c>
      <c r="B30" s="27" t="n">
        <v>0.27</v>
      </c>
    </row>
    <row r="31">
      <c r="A31" s="7" t="inlineStr">
        <is>
          <t>Capacity weight</t>
        </is>
      </c>
      <c r="B31" s="27" t="n">
        <v>0.18</v>
      </c>
    </row>
    <row r="32">
      <c r="A32" s="7" t="inlineStr">
        <is>
          <t xml:space="preserve">  sum of weights</t>
        </is>
      </c>
      <c r="B32" s="28">
        <f>SUM(B28:B31)</f>
        <v/>
      </c>
    </row>
    <row r="34">
      <c r="A34" s="6" t="inlineStr">
        <is>
          <t>Scenario anchors (per share, KRW)</t>
        </is>
      </c>
    </row>
    <row r="35">
      <c r="A35" s="7" t="inlineStr">
        <is>
          <t>Bear case (AMPC cut + EV weak)</t>
        </is>
      </c>
      <c r="B35" s="20" t="n">
        <v>150000</v>
      </c>
    </row>
    <row r="36">
      <c r="A36" s="7" t="inlineStr">
        <is>
          <t>Bull case (recovery + ESS/AI super-cycle)</t>
        </is>
      </c>
      <c r="B36" s="20" t="n">
        <v>415000</v>
      </c>
    </row>
    <row r="38">
      <c r="A38" s="6" t="inlineStr">
        <is>
          <t>Monte-Carlo memo (see Monte Carlo sheet)</t>
        </is>
      </c>
    </row>
    <row r="39">
      <c r="A39" s="7" t="inlineStr">
        <is>
          <t>T+60 median (KRW)</t>
        </is>
      </c>
      <c r="B39" s="20" t="n">
        <v>334200</v>
      </c>
    </row>
    <row r="40">
      <c r="A40" s="7" t="inlineStr">
        <is>
          <t>3-month volatility</t>
        </is>
      </c>
      <c r="B40" s="24" t="n">
        <v>0.2259095693909401</v>
      </c>
    </row>
    <row r="41">
      <c r="A41" s="7" t="inlineStr">
        <is>
          <t>Vol scale (Step-0 calibrated)</t>
        </is>
      </c>
      <c r="B41" s="25" t="n">
        <v>0.84</v>
      </c>
    </row>
  </sheetData>
  <mergeCells count="2">
    <mergeCell ref="A2:B2"/>
    <mergeCell ref="A1:B1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4" t="inlineStr">
        <is>
          <t>Discounted cash flow (FCFF) — consolidated, bridged to parent</t>
        </is>
      </c>
    </row>
    <row r="2">
      <c r="A2" s="5" t="inlineStr">
        <is>
          <t>Unlevered FCFF 2026e-2030e (KRW tn). EV less net debt AND minority interest = parent equity. Blue = editable.</t>
        </is>
      </c>
    </row>
    <row r="4">
      <c r="A4" s="11" t="inlineStr">
        <is>
          <t>(KRW tn)</t>
        </is>
      </c>
      <c r="B4" s="12" t="inlineStr">
        <is>
          <t>2026e</t>
        </is>
      </c>
      <c r="C4" s="12" t="inlineStr">
        <is>
          <t>2027e</t>
        </is>
      </c>
      <c r="D4" s="12" t="inlineStr">
        <is>
          <t>2028e</t>
        </is>
      </c>
      <c r="E4" s="12" t="inlineStr">
        <is>
          <t>2029e</t>
        </is>
      </c>
      <c r="F4" s="12" t="inlineStr">
        <is>
          <t>2030e</t>
        </is>
      </c>
    </row>
    <row r="5">
      <c r="A5" s="7" t="inlineStr">
        <is>
          <t>Revenue</t>
        </is>
      </c>
      <c r="B5" s="21" t="n">
        <v>27.7</v>
      </c>
      <c r="C5" s="21" t="n">
        <v>31.4</v>
      </c>
      <c r="D5" s="21" t="n">
        <v>35.2</v>
      </c>
      <c r="E5" s="21" t="n">
        <v>38.7</v>
      </c>
      <c r="F5" s="21" t="n">
        <v>42.2</v>
      </c>
    </row>
    <row r="6">
      <c r="A6" s="7" t="inlineStr">
        <is>
          <t xml:space="preserve">  growth YoY</t>
        </is>
      </c>
      <c r="B6" s="18">
        <f>B5/23.67-1</f>
        <v/>
      </c>
      <c r="C6" s="18">
        <f>C5/B5-1</f>
        <v/>
      </c>
      <c r="D6" s="18">
        <f>D5/C5-1</f>
        <v/>
      </c>
      <c r="E6" s="18">
        <f>E5/D5-1</f>
        <v/>
      </c>
      <c r="F6" s="18">
        <f>F5/E5-1</f>
        <v/>
      </c>
    </row>
    <row r="7">
      <c r="A7" s="7" t="inlineStr">
        <is>
          <t>Operating margin (incl. AMPC)</t>
        </is>
      </c>
      <c r="B7" s="24" t="n">
        <v>0.06</v>
      </c>
      <c r="C7" s="24" t="n">
        <v>0.07000000000000001</v>
      </c>
      <c r="D7" s="24" t="n">
        <v>0.08500000000000001</v>
      </c>
      <c r="E7" s="24" t="n">
        <v>0.105</v>
      </c>
      <c r="F7" s="24" t="n">
        <v>0.125</v>
      </c>
    </row>
    <row r="8">
      <c r="A8" s="7" t="inlineStr">
        <is>
          <t>EBIT</t>
        </is>
      </c>
      <c r="B8" s="29">
        <f>B5*B7</f>
        <v/>
      </c>
      <c r="C8" s="29">
        <f>C5*C7</f>
        <v/>
      </c>
      <c r="D8" s="29">
        <f>D5*D7</f>
        <v/>
      </c>
      <c r="E8" s="29">
        <f>E5*E7</f>
        <v/>
      </c>
      <c r="F8" s="29">
        <f>F5*F7</f>
        <v/>
      </c>
    </row>
    <row r="9">
      <c r="A9" s="7" t="inlineStr">
        <is>
          <t>NOPAT (EBIT x (1-tax))</t>
        </is>
      </c>
      <c r="B9" s="29">
        <f>B8*(1-Assumptions!$B$17)</f>
        <v/>
      </c>
      <c r="C9" s="29">
        <f>C8*(1-Assumptions!$B$17)</f>
        <v/>
      </c>
      <c r="D9" s="29">
        <f>D8*(1-Assumptions!$B$17)</f>
        <v/>
      </c>
      <c r="E9" s="29">
        <f>E8*(1-Assumptions!$B$17)</f>
        <v/>
      </c>
      <c r="F9" s="29">
        <f>F8*(1-Assumptions!$B$17)</f>
        <v/>
      </c>
    </row>
    <row r="10">
      <c r="A10" s="7" t="inlineStr">
        <is>
          <t>Depreciation &amp; amortisation</t>
        </is>
      </c>
      <c r="B10" s="21" t="n">
        <v>5</v>
      </c>
      <c r="C10" s="21" t="n">
        <v>5.3</v>
      </c>
      <c r="D10" s="21" t="n">
        <v>5.6</v>
      </c>
      <c r="E10" s="21" t="n">
        <v>5.9</v>
      </c>
      <c r="F10" s="21" t="n">
        <v>6.2</v>
      </c>
    </row>
    <row r="11">
      <c r="A11" s="7" t="inlineStr">
        <is>
          <t>Capital expenditure</t>
        </is>
      </c>
      <c r="B11" s="21" t="n">
        <v>-6.5</v>
      </c>
      <c r="C11" s="21" t="n">
        <v>-5.8</v>
      </c>
      <c r="D11" s="21" t="n">
        <v>-5.5</v>
      </c>
      <c r="E11" s="21" t="n">
        <v>-5.5</v>
      </c>
      <c r="F11" s="21" t="n">
        <v>-5.5</v>
      </c>
    </row>
    <row r="12">
      <c r="A12" s="7" t="inlineStr">
        <is>
          <t>Change in net working capital</t>
        </is>
      </c>
      <c r="B12" s="26" t="n">
        <v>-0.5</v>
      </c>
      <c r="C12" s="26" t="n">
        <v>-0.45</v>
      </c>
      <c r="D12" s="26" t="n">
        <v>-0.4</v>
      </c>
      <c r="E12" s="26" t="n">
        <v>-0.35</v>
      </c>
      <c r="F12" s="26" t="n">
        <v>-0.3</v>
      </c>
    </row>
    <row r="13">
      <c r="A13" s="14" t="inlineStr">
        <is>
          <t>Free cash flow to firm (FCFF)</t>
        </is>
      </c>
      <c r="B13" s="30">
        <f>B9+B10+B11+B12</f>
        <v/>
      </c>
      <c r="C13" s="30">
        <f>C9+C10+C11+C12</f>
        <v/>
      </c>
      <c r="D13" s="30">
        <f>D9+D10+D11+D12</f>
        <v/>
      </c>
      <c r="E13" s="30">
        <f>E9+E10+E11+E12</f>
        <v/>
      </c>
      <c r="F13" s="30">
        <f>F9+F10+F11+F12</f>
        <v/>
      </c>
    </row>
    <row r="14">
      <c r="A14" s="7" t="inlineStr">
        <is>
          <t>Discount factor</t>
        </is>
      </c>
      <c r="B14" s="29">
        <f>1/(1+Assumptions!$B$15)^1</f>
        <v/>
      </c>
      <c r="C14" s="29">
        <f>1/(1+Assumptions!$B$15)^2</f>
        <v/>
      </c>
      <c r="D14" s="29">
        <f>1/(1+Assumptions!$B$15)^3</f>
        <v/>
      </c>
      <c r="E14" s="29">
        <f>1/(1+Assumptions!$B$15)^4</f>
        <v/>
      </c>
      <c r="F14" s="29">
        <f>1/(1+Assumptions!$B$15)^5</f>
        <v/>
      </c>
    </row>
    <row r="15">
      <c r="A15" s="7" t="inlineStr">
        <is>
          <t>PV of FCFF</t>
        </is>
      </c>
      <c r="B15" s="29">
        <f>B13*B14</f>
        <v/>
      </c>
      <c r="C15" s="29">
        <f>C13*C14</f>
        <v/>
      </c>
      <c r="D15" s="29">
        <f>D13*D14</f>
        <v/>
      </c>
      <c r="E15" s="29">
        <f>E13*E14</f>
        <v/>
      </c>
      <c r="F15" s="29">
        <f>F13*F14</f>
        <v/>
      </c>
    </row>
    <row r="17">
      <c r="A17" s="7" t="inlineStr">
        <is>
          <t>Sum PV of explicit FCFF (2026-30)</t>
        </is>
      </c>
      <c r="B17" s="29">
        <f>SUM(B15:F15)</f>
        <v/>
      </c>
    </row>
    <row r="18">
      <c r="A18" s="7" t="inlineStr">
        <is>
          <t>Terminal value (Gordon)</t>
        </is>
      </c>
      <c r="B18" s="22">
        <f>F13*(1+Assumptions!$B$16)/(Assumptions!$B$15-Assumptions!$B$16)</f>
        <v/>
      </c>
    </row>
    <row r="19">
      <c r="A19" s="7" t="inlineStr">
        <is>
          <t>PV of terminal value</t>
        </is>
      </c>
      <c r="B19" s="29">
        <f>B18/(1+Assumptions!$B$15)^5</f>
        <v/>
      </c>
    </row>
    <row r="20">
      <c r="A20" s="14" t="inlineStr">
        <is>
          <t>Enterprise value</t>
        </is>
      </c>
      <c r="B20" s="31">
        <f>B17+B19</f>
        <v/>
      </c>
    </row>
    <row r="21">
      <c r="A21" s="7" t="inlineStr">
        <is>
          <t>(-) Net debt</t>
        </is>
      </c>
      <c r="B21" s="32">
        <f>-Assumptions!B7</f>
        <v/>
      </c>
    </row>
    <row r="22">
      <c r="A22" s="7" t="inlineStr">
        <is>
          <t>(-) Minority interest (NCI)</t>
        </is>
      </c>
      <c r="B22" s="32">
        <f>-Assumptions!B8</f>
        <v/>
      </c>
    </row>
    <row r="23">
      <c r="A23" s="14" t="inlineStr">
        <is>
          <t>Parent equity value</t>
        </is>
      </c>
      <c r="B23" s="31">
        <f>B20+B21+B22</f>
        <v/>
      </c>
    </row>
    <row r="24">
      <c r="A24" s="7" t="inlineStr">
        <is>
          <t>Shares outstanding</t>
        </is>
      </c>
      <c r="B24" s="8">
        <f>Assumptions!B6</f>
        <v/>
      </c>
    </row>
    <row r="25">
      <c r="A25" s="14" t="inlineStr">
        <is>
          <t>DCF value per share (KRW)</t>
        </is>
      </c>
      <c r="B25" s="15">
        <f>B23*10^12/B24</f>
        <v/>
      </c>
    </row>
    <row r="26">
      <c r="A26" s="7" t="inlineStr">
        <is>
          <t>vs spot</t>
        </is>
      </c>
      <c r="B26" s="18">
        <f>B25/Assumptions!B5-1</f>
        <v/>
      </c>
    </row>
    <row r="28" ht="34" customHeight="1">
      <c r="A28" s="17" t="inlineStr">
        <is>
          <t>The value is overwhelmingly terminal: explicit FCFF is only modestly positive (negative in 2026e), so the answer is highly sensitive to WACC, terminal growth and the margin recovery. Even crediting a recovery to a ~12.5% mid-cycle operating margin, parent equity nets to ~KRW 146,000/share after the net-debt and minority bridge — well below spot.</t>
        </is>
      </c>
    </row>
  </sheetData>
  <mergeCells count="3">
    <mergeCell ref="A2:F2"/>
    <mergeCell ref="A1:F1"/>
    <mergeCell ref="A28:F2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16" customWidth="1" min="2" max="2"/>
  </cols>
  <sheetData>
    <row r="1" ht="22" customHeight="1">
      <c r="A1" s="4" t="inlineStr">
        <is>
          <t>Relative, normalised &amp; capacity cross-checks</t>
        </is>
      </c>
    </row>
    <row r="2">
      <c r="A2" s="5" t="inlineStr">
        <is>
          <t>Three lenses that better capture a growth recovery; each bridges to the parent's equity per share.</t>
        </is>
      </c>
    </row>
    <row r="4">
      <c r="A4" s="6" t="inlineStr">
        <is>
          <t>Relative — EV/EBITDA</t>
        </is>
      </c>
    </row>
    <row r="5">
      <c r="A5" s="7" t="inlineStr">
        <is>
          <t>Mid-cycle EBITDA (KRW tn)</t>
        </is>
      </c>
      <c r="B5" s="32">
        <f>Assumptions!B20</f>
        <v/>
      </c>
    </row>
    <row r="6">
      <c r="A6" s="7" t="inlineStr">
        <is>
          <t>EV/EBITDA multiple (x)</t>
        </is>
      </c>
      <c r="B6" s="33">
        <f>Assumptions!B21</f>
        <v/>
      </c>
    </row>
    <row r="7">
      <c r="A7" s="7" t="inlineStr">
        <is>
          <t>Implied EV less net debt &amp; NCI (tn)</t>
        </is>
      </c>
      <c r="B7" s="22">
        <f>B5*B6-Assumptions!B7-Assumptions!B8</f>
        <v/>
      </c>
    </row>
    <row r="8">
      <c r="A8" s="14" t="inlineStr">
        <is>
          <t>Value per share (KRW)</t>
        </is>
      </c>
      <c r="B8" s="15">
        <f>B7*10^12/Assumptions!B6</f>
        <v/>
      </c>
    </row>
    <row r="9">
      <c r="A9" s="7" t="inlineStr">
        <is>
          <t>vs spot</t>
        </is>
      </c>
      <c r="B9" s="18">
        <f>B8/Assumptions!B5-1</f>
        <v/>
      </c>
    </row>
    <row r="12">
      <c r="A12" s="6" t="inlineStr">
        <is>
          <t>Normalised through-cycle earnings</t>
        </is>
      </c>
    </row>
    <row r="13">
      <c r="A13" s="7" t="inlineStr">
        <is>
          <t>Normalised parent net income (KRW tn)</t>
        </is>
      </c>
      <c r="B13" s="34">
        <f>Assumptions!B22</f>
        <v/>
      </c>
    </row>
    <row r="14">
      <c r="A14" s="7" t="inlineStr">
        <is>
          <t>Normalised EPS (KRW)</t>
        </is>
      </c>
      <c r="B14" s="35">
        <f>B13*10^12/Assumptions!B6</f>
        <v/>
      </c>
    </row>
    <row r="15">
      <c r="A15" s="7" t="inlineStr">
        <is>
          <t>Normalised P/E (x)</t>
        </is>
      </c>
      <c r="B15" s="33">
        <f>Assumptions!B23</f>
        <v/>
      </c>
    </row>
    <row r="16">
      <c r="A16" s="14" t="inlineStr">
        <is>
          <t>Value per share (KRW)</t>
        </is>
      </c>
      <c r="B16" s="15">
        <f>B14*B15</f>
        <v/>
      </c>
    </row>
    <row r="17">
      <c r="A17" s="7" t="inlineStr">
        <is>
          <t>vs spot</t>
        </is>
      </c>
      <c r="B17" s="18">
        <f>B16/Assumptions!B5-1</f>
        <v/>
      </c>
    </row>
    <row r="20">
      <c r="A20" s="6" t="inlineStr">
        <is>
          <t>EV per GWh — capacity / replacement</t>
        </is>
      </c>
    </row>
    <row r="21">
      <c r="A21" s="7" t="inlineStr">
        <is>
          <t>Capacity (GWh)</t>
        </is>
      </c>
      <c r="B21" s="8">
        <f>Assumptions!B24</f>
        <v/>
      </c>
    </row>
    <row r="22">
      <c r="A22" s="7" t="inlineStr">
        <is>
          <t>Value per GWh (KRW bn)</t>
        </is>
      </c>
      <c r="B22" s="8">
        <f>Assumptions!B25</f>
        <v/>
      </c>
    </row>
    <row r="23">
      <c r="A23" s="14" t="inlineStr">
        <is>
          <t>Value per share (KRW)</t>
        </is>
      </c>
      <c r="B23" s="15">
        <f>(B21*B22/1000-Assumptions!B7-Assumptions!B8)*10^12/Assumptions!B6</f>
        <v/>
      </c>
    </row>
    <row r="24">
      <c r="A24" s="7" t="inlineStr">
        <is>
          <t>vs spot</t>
        </is>
      </c>
      <c r="B24" s="18">
        <f>B23/Assumptions!B5-1</f>
        <v/>
      </c>
    </row>
    <row r="26" ht="34" customHeight="1">
      <c r="A26" s="17" t="inlineStr">
        <is>
          <t>All multiples and marks are editable on Assumptions. The capacity lens (EV less net debt and NCI, over shares) values the asset base on a replacement-plus-premium basis.</t>
        </is>
      </c>
    </row>
  </sheetData>
  <mergeCells count="3">
    <mergeCell ref="A26:B26"/>
    <mergeCell ref="A2:B2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2" customHeight="1">
      <c r="A1" s="4" t="inlineStr">
        <is>
          <t>Monte Carlo — 3-month price map (16 factors, 50k paths, seed 42)</t>
        </is>
      </c>
    </row>
    <row r="2">
      <c r="A2" s="5" t="inlineStr">
        <is>
          <t>Near-term PRICE process, not value. Vol scale 0.84x passed the Step-0 backtest. Drift built from factors, not trailing momentum.</t>
        </is>
      </c>
    </row>
    <row r="4">
      <c r="A4" s="6" t="inlineStr">
        <is>
          <t>Engine parameters</t>
        </is>
      </c>
    </row>
    <row r="5">
      <c r="A5" s="7" t="inlineStr">
        <is>
          <t>Spot (KRW)</t>
        </is>
      </c>
      <c r="B5" s="20" t="n">
        <v>331500</v>
      </c>
    </row>
    <row r="6">
      <c r="A6" s="7" t="inlineStr">
        <is>
          <t>3-month drift (mu60)</t>
        </is>
      </c>
      <c r="B6" s="24" t="n">
        <v>0.008</v>
      </c>
    </row>
    <row r="7">
      <c r="A7" s="7" t="inlineStr">
        <is>
          <t>3-month volatility (sig60)</t>
        </is>
      </c>
      <c r="B7" s="24" t="n">
        <v>0.2259095693909401</v>
      </c>
    </row>
    <row r="8">
      <c r="A8" s="7" t="inlineStr">
        <is>
          <t>1-month drift (mu20)</t>
        </is>
      </c>
      <c r="B8" s="24" t="n">
        <v>0.002666666666666667</v>
      </c>
    </row>
    <row r="9">
      <c r="A9" s="7" t="inlineStr">
        <is>
          <t>1-month volatility (sig20)</t>
        </is>
      </c>
      <c r="B9" s="24" t="n">
        <v>0.1304289507003717</v>
      </c>
    </row>
    <row r="10">
      <c r="A10" s="7" t="inlineStr">
        <is>
          <t>Vol scale (KVOL, calibrated)</t>
        </is>
      </c>
      <c r="B10" s="25" t="n">
        <v>0.84</v>
      </c>
    </row>
    <row r="12">
      <c r="A12" s="6" t="inlineStr">
        <is>
          <t>Percentiles of simulated price (KRW)</t>
        </is>
      </c>
    </row>
    <row r="13">
      <c r="A13" s="11" t="inlineStr">
        <is>
          <t>Horizon</t>
        </is>
      </c>
      <c r="B13" s="12" t="inlineStr">
        <is>
          <t>5th</t>
        </is>
      </c>
      <c r="C13" s="12" t="inlineStr">
        <is>
          <t>25th</t>
        </is>
      </c>
      <c r="D13" s="12" t="inlineStr">
        <is>
          <t>Median</t>
        </is>
      </c>
      <c r="E13" s="12" t="inlineStr">
        <is>
          <t>75th</t>
        </is>
      </c>
      <c r="F13" s="12" t="inlineStr">
        <is>
          <t>95th</t>
        </is>
      </c>
    </row>
    <row r="14">
      <c r="A14" s="7" t="inlineStr">
        <is>
          <t>T+20 (~1 month)</t>
        </is>
      </c>
      <c r="B14" s="20" t="n">
        <v>268200</v>
      </c>
      <c r="C14" s="20" t="n">
        <v>304400</v>
      </c>
      <c r="D14" s="20" t="n">
        <v>332400</v>
      </c>
      <c r="E14" s="20" t="n">
        <v>363000</v>
      </c>
      <c r="F14" s="20" t="n">
        <v>411900</v>
      </c>
    </row>
    <row r="15">
      <c r="A15" s="7" t="inlineStr">
        <is>
          <t>T+60 (~3 months)</t>
        </is>
      </c>
      <c r="B15" s="20" t="n">
        <v>230500</v>
      </c>
      <c r="C15" s="20" t="n">
        <v>286900</v>
      </c>
      <c r="D15" s="20" t="n">
        <v>334200</v>
      </c>
      <c r="E15" s="20" t="n">
        <v>389200</v>
      </c>
      <c r="F15" s="20" t="n">
        <v>484500</v>
      </c>
    </row>
    <row r="17">
      <c r="A17" s="6" t="inlineStr">
        <is>
          <t>Level-touch probabilities</t>
        </is>
      </c>
    </row>
    <row r="18">
      <c r="A18" s="11" t="inlineStr">
        <is>
          <t>Level (KRW)</t>
        </is>
      </c>
      <c r="B18" s="12" t="inlineStr">
        <is>
          <t>Within T+20</t>
        </is>
      </c>
      <c r="C18" s="12" t="inlineStr">
        <is>
          <t>Within T+60</t>
        </is>
      </c>
    </row>
    <row r="19">
      <c r="A19" s="7" t="inlineStr">
        <is>
          <t>370,000 ▲</t>
        </is>
      </c>
      <c r="B19" s="27" t="n">
        <v>0.33</v>
      </c>
      <c r="C19" s="27" t="n">
        <v>0.59</v>
      </c>
    </row>
    <row r="20">
      <c r="A20" s="7" t="inlineStr">
        <is>
          <t>410,000 ▲</t>
        </is>
      </c>
      <c r="B20" s="27" t="n">
        <v>0.08</v>
      </c>
      <c r="C20" s="27" t="n">
        <v>0.32</v>
      </c>
    </row>
    <row r="21">
      <c r="A21" s="7" t="inlineStr">
        <is>
          <t>450,000 ▲</t>
        </is>
      </c>
      <c r="B21" s="27" t="n">
        <v>0.02</v>
      </c>
      <c r="C21" s="27" t="n">
        <v>0.16</v>
      </c>
    </row>
    <row r="22">
      <c r="A22" s="7" t="inlineStr">
        <is>
          <t>300,000 ▼</t>
        </is>
      </c>
      <c r="B22" s="27" t="n">
        <v>0.35</v>
      </c>
      <c r="C22" s="27" t="n">
        <v>0.59</v>
      </c>
    </row>
    <row r="23">
      <c r="A23" s="7" t="inlineStr">
        <is>
          <t>270,000 ▼</t>
        </is>
      </c>
      <c r="B23" s="27" t="n">
        <v>0.09</v>
      </c>
      <c r="C23" s="27" t="n">
        <v>0.31</v>
      </c>
    </row>
    <row r="24">
      <c r="A24" s="7" t="inlineStr">
        <is>
          <t>240,000 ▼</t>
        </is>
      </c>
      <c r="B24" s="27" t="n">
        <v>0.01</v>
      </c>
      <c r="C24" s="27" t="n">
        <v>0.13</v>
      </c>
    </row>
    <row r="26" ht="34" customHeight="1">
      <c r="A26" s="17" t="inlineStr">
        <is>
          <t>The paths diffuse from spot as a near-term price process and deliberately do not embed the fundamental valuation — the ~25% gap of the lenses is kept out of the drift, so the fundamental and probabilistic lenses stay independent.</t>
        </is>
      </c>
    </row>
  </sheetData>
  <mergeCells count="3">
    <mergeCell ref="A26:F26"/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4" t="inlineStr">
        <is>
          <t>Consolidated income statement (KRW tn)</t>
        </is>
      </c>
    </row>
    <row r="2">
      <c r="A2" s="5" t="inlineStr">
        <is>
          <t>FY2024-25 audited (Deloitte Anjin); FY2023 revenue &amp; OP disclosed, other lines estimated; 2026e-30e illustrative, tie to DCF.</t>
        </is>
      </c>
    </row>
    <row r="4">
      <c r="A4" s="11" t="inlineStr">
        <is>
          <t>Income statement</t>
        </is>
      </c>
      <c r="B4" s="12" t="inlineStr">
        <is>
          <t>2023a</t>
        </is>
      </c>
      <c r="C4" s="12" t="inlineStr">
        <is>
          <t>2024a</t>
        </is>
      </c>
      <c r="D4" s="12" t="inlineStr">
        <is>
          <t>2025a</t>
        </is>
      </c>
      <c r="E4" s="12" t="inlineStr">
        <is>
          <t>2026e</t>
        </is>
      </c>
      <c r="F4" s="12" t="inlineStr">
        <is>
          <t>2027e</t>
        </is>
      </c>
      <c r="G4" s="12" t="inlineStr">
        <is>
          <t>2028e</t>
        </is>
      </c>
      <c r="H4" s="12" t="inlineStr">
        <is>
          <t>2029e</t>
        </is>
      </c>
      <c r="I4" s="12" t="inlineStr">
        <is>
          <t>2030e</t>
        </is>
      </c>
    </row>
    <row r="5">
      <c r="A5" s="7" t="inlineStr">
        <is>
          <t>Total revenue</t>
        </is>
      </c>
      <c r="B5" s="9" t="inlineStr">
        <is>
          <t>33.75</t>
        </is>
      </c>
      <c r="C5" s="9" t="inlineStr">
        <is>
          <t>25.62</t>
        </is>
      </c>
      <c r="D5" s="9" t="inlineStr">
        <is>
          <t>23.67</t>
        </is>
      </c>
      <c r="E5" s="9" t="inlineStr">
        <is>
          <t>27.70</t>
        </is>
      </c>
      <c r="F5" s="9" t="inlineStr">
        <is>
          <t>31.40</t>
        </is>
      </c>
      <c r="G5" s="9" t="inlineStr">
        <is>
          <t>35.20</t>
        </is>
      </c>
      <c r="H5" s="9" t="inlineStr">
        <is>
          <t>38.70</t>
        </is>
      </c>
      <c r="I5" s="9" t="inlineStr">
        <is>
          <t>42.20</t>
        </is>
      </c>
    </row>
    <row r="6">
      <c r="A6" s="7" t="inlineStr">
        <is>
          <t xml:space="preserve">  growth YoY</t>
        </is>
      </c>
      <c r="B6" s="9" t="inlineStr">
        <is>
          <t>—</t>
        </is>
      </c>
      <c r="C6" s="9" t="inlineStr">
        <is>
          <t>(24%)</t>
        </is>
      </c>
      <c r="D6" s="9" t="inlineStr">
        <is>
          <t>(8%)</t>
        </is>
      </c>
      <c r="E6" s="9" t="inlineStr">
        <is>
          <t>+17%</t>
        </is>
      </c>
      <c r="F6" s="9" t="inlineStr">
        <is>
          <t>+13%</t>
        </is>
      </c>
      <c r="G6" s="9" t="inlineStr">
        <is>
          <t>+12%</t>
        </is>
      </c>
      <c r="H6" s="9" t="inlineStr">
        <is>
          <t>+10%</t>
        </is>
      </c>
      <c r="I6" s="9" t="inlineStr">
        <is>
          <t>+9%</t>
        </is>
      </c>
    </row>
    <row r="7">
      <c r="A7" s="7" t="inlineStr">
        <is>
          <t>AMPC / other op. income</t>
        </is>
      </c>
      <c r="B7" s="9" t="inlineStr">
        <is>
          <t>0.66</t>
        </is>
      </c>
      <c r="C7" s="9" t="inlineStr">
        <is>
          <t>1.48</t>
        </is>
      </c>
      <c r="D7" s="9" t="inlineStr">
        <is>
          <t>1.65</t>
        </is>
      </c>
      <c r="E7" s="9" t="inlineStr">
        <is>
          <t>1.55</t>
        </is>
      </c>
      <c r="F7" s="9" t="inlineStr">
        <is>
          <t>1.65</t>
        </is>
      </c>
      <c r="G7" s="9" t="inlineStr">
        <is>
          <t>1.75</t>
        </is>
      </c>
      <c r="H7" s="9" t="inlineStr">
        <is>
          <t>1.80</t>
        </is>
      </c>
      <c r="I7" s="9" t="inlineStr">
        <is>
          <t>1.90</t>
        </is>
      </c>
    </row>
    <row r="8">
      <c r="A8" s="7" t="inlineStr">
        <is>
          <t>Operating profit (incl. AMPC)</t>
        </is>
      </c>
      <c r="B8" s="9" t="inlineStr">
        <is>
          <t>2.16</t>
        </is>
      </c>
      <c r="C8" s="9" t="inlineStr">
        <is>
          <t>0.58</t>
        </is>
      </c>
      <c r="D8" s="9" t="inlineStr">
        <is>
          <t>1.35</t>
        </is>
      </c>
      <c r="E8" s="9" t="inlineStr">
        <is>
          <t>1.66</t>
        </is>
      </c>
      <c r="F8" s="9" t="inlineStr">
        <is>
          <t>2.20</t>
        </is>
      </c>
      <c r="G8" s="9" t="inlineStr">
        <is>
          <t>2.99</t>
        </is>
      </c>
      <c r="H8" s="9" t="inlineStr">
        <is>
          <t>4.06</t>
        </is>
      </c>
      <c r="I8" s="9" t="inlineStr">
        <is>
          <t>5.28</t>
        </is>
      </c>
    </row>
    <row r="9">
      <c r="A9" s="7" t="inlineStr">
        <is>
          <t xml:space="preserve">  OP margin</t>
        </is>
      </c>
      <c r="B9" s="9" t="inlineStr">
        <is>
          <t>6.4%</t>
        </is>
      </c>
      <c r="C9" s="9" t="inlineStr">
        <is>
          <t>2.2%</t>
        </is>
      </c>
      <c r="D9" s="9" t="inlineStr">
        <is>
          <t>5.7%</t>
        </is>
      </c>
      <c r="E9" s="9" t="inlineStr">
        <is>
          <t>6.0%</t>
        </is>
      </c>
      <c r="F9" s="9" t="inlineStr">
        <is>
          <t>7.0%</t>
        </is>
      </c>
      <c r="G9" s="9" t="inlineStr">
        <is>
          <t>8.5%</t>
        </is>
      </c>
      <c r="H9" s="9" t="inlineStr">
        <is>
          <t>10.5%</t>
        </is>
      </c>
      <c r="I9" s="9" t="inlineStr">
        <is>
          <t>12.5%</t>
        </is>
      </c>
    </row>
    <row r="10">
      <c r="A10" s="7" t="inlineStr">
        <is>
          <t>Operating profit ex-AMPC</t>
        </is>
      </c>
      <c r="B10" s="9" t="inlineStr">
        <is>
          <t>1.50</t>
        </is>
      </c>
      <c r="C10" s="9" t="inlineStr">
        <is>
          <t>(0.91)</t>
        </is>
      </c>
      <c r="D10" s="9" t="inlineStr">
        <is>
          <t>(0.30)</t>
        </is>
      </c>
      <c r="E10" s="9" t="inlineStr">
        <is>
          <t>0.11</t>
        </is>
      </c>
      <c r="F10" s="9" t="inlineStr">
        <is>
          <t>0.55</t>
        </is>
      </c>
      <c r="G10" s="9" t="inlineStr">
        <is>
          <t>1.24</t>
        </is>
      </c>
      <c r="H10" s="9" t="inlineStr">
        <is>
          <t>2.26</t>
        </is>
      </c>
      <c r="I10" s="9" t="inlineStr">
        <is>
          <t>3.38</t>
        </is>
      </c>
    </row>
    <row r="11">
      <c r="A11" s="7" t="inlineStr">
        <is>
          <t>Pre-tax profit</t>
        </is>
      </c>
      <c r="B11" s="9" t="inlineStr">
        <is>
          <t>1.80</t>
        </is>
      </c>
      <c r="C11" s="9" t="inlineStr">
        <is>
          <t>0.35</t>
        </is>
      </c>
      <c r="D11" s="9" t="inlineStr">
        <is>
          <t>0.41</t>
        </is>
      </c>
      <c r="E11" s="9" t="inlineStr">
        <is>
          <t>0.60</t>
        </is>
      </c>
      <c r="F11" s="9" t="inlineStr">
        <is>
          <t>1.30</t>
        </is>
      </c>
      <c r="G11" s="9" t="inlineStr">
        <is>
          <t>2.40</t>
        </is>
      </c>
      <c r="H11" s="9" t="inlineStr">
        <is>
          <t>3.40</t>
        </is>
      </c>
      <c r="I11" s="9" t="inlineStr">
        <is>
          <t>4.50</t>
        </is>
      </c>
    </row>
    <row r="12">
      <c r="A12" s="7" t="inlineStr">
        <is>
          <t>Net profit — group total</t>
        </is>
      </c>
      <c r="B12" s="9" t="inlineStr">
        <is>
          <t>1.40</t>
        </is>
      </c>
      <c r="C12" s="9" t="inlineStr">
        <is>
          <t>0.34</t>
        </is>
      </c>
      <c r="D12" s="9" t="inlineStr">
        <is>
          <t>0.08</t>
        </is>
      </c>
      <c r="E12" s="9" t="inlineStr">
        <is>
          <t>0.50</t>
        </is>
      </c>
      <c r="F12" s="9" t="inlineStr">
        <is>
          <t>1.10</t>
        </is>
      </c>
      <c r="G12" s="9" t="inlineStr">
        <is>
          <t>1.90</t>
        </is>
      </c>
      <c r="H12" s="9" t="inlineStr">
        <is>
          <t>2.70</t>
        </is>
      </c>
      <c r="I12" s="9" t="inlineStr">
        <is>
          <t>3.60</t>
        </is>
      </c>
    </row>
    <row r="13">
      <c r="A13" s="7" t="inlineStr">
        <is>
          <t xml:space="preserve">  of which non-controlling int.</t>
        </is>
      </c>
      <c r="B13" s="9" t="inlineStr">
        <is>
          <t>0.60</t>
        </is>
      </c>
      <c r="C13" s="9" t="inlineStr">
        <is>
          <t>1.36</t>
        </is>
      </c>
      <c r="D13" s="9" t="inlineStr">
        <is>
          <t>1.15</t>
        </is>
      </c>
      <c r="E13" s="9" t="inlineStr">
        <is>
          <t>0.80</t>
        </is>
      </c>
      <c r="F13" s="9" t="inlineStr">
        <is>
          <t>0.70</t>
        </is>
      </c>
      <c r="G13" s="9" t="inlineStr">
        <is>
          <t>0.70</t>
        </is>
      </c>
      <c r="H13" s="9" t="inlineStr">
        <is>
          <t>0.70</t>
        </is>
      </c>
      <c r="I13" s="9" t="inlineStr">
        <is>
          <t>0.70</t>
        </is>
      </c>
    </row>
    <row r="14">
      <c r="A14" s="7" t="inlineStr">
        <is>
          <t>Net profit — to owners</t>
        </is>
      </c>
      <c r="B14" s="9" t="inlineStr">
        <is>
          <t>0.80</t>
        </is>
      </c>
      <c r="C14" s="9" t="inlineStr">
        <is>
          <t>(1.02)</t>
        </is>
      </c>
      <c r="D14" s="9" t="inlineStr">
        <is>
          <t>(1.07)</t>
        </is>
      </c>
      <c r="E14" s="9" t="inlineStr">
        <is>
          <t>(0.30)</t>
        </is>
      </c>
      <c r="F14" s="9" t="inlineStr">
        <is>
          <t>0.40</t>
        </is>
      </c>
      <c r="G14" s="9" t="inlineStr">
        <is>
          <t>1.20</t>
        </is>
      </c>
      <c r="H14" s="9" t="inlineStr">
        <is>
          <t>2.00</t>
        </is>
      </c>
      <c r="I14" s="9" t="inlineStr">
        <is>
          <t>2.90</t>
        </is>
      </c>
    </row>
    <row r="15">
      <c r="A15" s="7" t="inlineStr">
        <is>
          <t>EPS — to owners (KRW)</t>
        </is>
      </c>
      <c r="B15" s="9" t="inlineStr">
        <is>
          <t>3,400</t>
        </is>
      </c>
      <c r="C15" s="9" t="inlineStr">
        <is>
          <t>(4,354)</t>
        </is>
      </c>
      <c r="D15" s="9" t="inlineStr">
        <is>
          <t>(4,585)</t>
        </is>
      </c>
      <c r="E15" s="9" t="inlineStr">
        <is>
          <t>(1,280)</t>
        </is>
      </c>
      <c r="F15" s="9" t="inlineStr">
        <is>
          <t>1,710</t>
        </is>
      </c>
      <c r="G15" s="9" t="inlineStr">
        <is>
          <t>5,130</t>
        </is>
      </c>
      <c r="H15" s="9" t="inlineStr">
        <is>
          <t>8,550</t>
        </is>
      </c>
      <c r="I15" s="9" t="inlineStr">
        <is>
          <t>12,390</t>
        </is>
      </c>
    </row>
    <row r="17" ht="34" customHeight="1">
      <c r="A17" s="17" t="inlineStr">
        <is>
          <t>The decisive feature is the owner / non-controlling split: in 2024-25 the production-credit profit accrued to JV minorities and the parent's owners were attributed a net loss; the projection shows parent earnings inflecting positive from 2027e. Margins align with the DCF sheet.</t>
        </is>
      </c>
    </row>
  </sheetData>
  <mergeCells count="3">
    <mergeCell ref="A1:I1"/>
    <mergeCell ref="A17:I17"/>
    <mergeCell ref="A2:I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4" t="inlineStr">
        <is>
          <t>Consolidated balance sheet (KRW tn)</t>
        </is>
      </c>
    </row>
    <row r="2">
      <c r="A2" s="5" t="inlineStr">
        <is>
          <t>FY2024-25 audited; FY2023 partly estimated; 2026e-30e illustrative.</t>
        </is>
      </c>
    </row>
    <row r="4">
      <c r="A4" s="11" t="inlineStr">
        <is>
          <t>Balance sheet</t>
        </is>
      </c>
      <c r="B4" s="12" t="inlineStr">
        <is>
          <t>2023a</t>
        </is>
      </c>
      <c r="C4" s="12" t="inlineStr">
        <is>
          <t>2024a</t>
        </is>
      </c>
      <c r="D4" s="12" t="inlineStr">
        <is>
          <t>2025a</t>
        </is>
      </c>
      <c r="E4" s="12" t="inlineStr">
        <is>
          <t>2026e</t>
        </is>
      </c>
      <c r="F4" s="12" t="inlineStr">
        <is>
          <t>2027e</t>
        </is>
      </c>
      <c r="G4" s="12" t="inlineStr">
        <is>
          <t>2028e</t>
        </is>
      </c>
      <c r="H4" s="12" t="inlineStr">
        <is>
          <t>2029e</t>
        </is>
      </c>
      <c r="I4" s="12" t="inlineStr">
        <is>
          <t>2030e</t>
        </is>
      </c>
    </row>
    <row r="5">
      <c r="A5" s="7" t="inlineStr">
        <is>
          <t>Cash &amp; cash equivalents</t>
        </is>
      </c>
      <c r="B5" s="9" t="inlineStr">
        <is>
          <t>4.5</t>
        </is>
      </c>
      <c r="C5" s="9" t="inlineStr">
        <is>
          <t>3.90</t>
        </is>
      </c>
      <c r="D5" s="9" t="inlineStr">
        <is>
          <t>3.78</t>
        </is>
      </c>
      <c r="E5" s="9" t="inlineStr">
        <is>
          <t>4.5</t>
        </is>
      </c>
      <c r="F5" s="9" t="inlineStr">
        <is>
          <t>5.5</t>
        </is>
      </c>
      <c r="G5" s="9" t="inlineStr">
        <is>
          <t>6.5</t>
        </is>
      </c>
      <c r="H5" s="9" t="inlineStr">
        <is>
          <t>7.5</t>
        </is>
      </c>
      <c r="I5" s="9" t="inlineStr">
        <is>
          <t>9.0</t>
        </is>
      </c>
    </row>
    <row r="6">
      <c r="A6" s="7" t="inlineStr">
        <is>
          <t>Property, plant &amp; equipment</t>
        </is>
      </c>
      <c r="B6" s="9" t="inlineStr">
        <is>
          <t>30.0</t>
        </is>
      </c>
      <c r="C6" s="9" t="inlineStr">
        <is>
          <t>38.35</t>
        </is>
      </c>
      <c r="D6" s="9" t="inlineStr">
        <is>
          <t>40.79</t>
        </is>
      </c>
      <c r="E6" s="9" t="inlineStr">
        <is>
          <t>42.0</t>
        </is>
      </c>
      <c r="F6" s="9" t="inlineStr">
        <is>
          <t>43.0</t>
        </is>
      </c>
      <c r="G6" s="9" t="inlineStr">
        <is>
          <t>44.0</t>
        </is>
      </c>
      <c r="H6" s="9" t="inlineStr">
        <is>
          <t>45.0</t>
        </is>
      </c>
      <c r="I6" s="9" t="inlineStr">
        <is>
          <t>46.0</t>
        </is>
      </c>
    </row>
    <row r="7">
      <c r="A7" s="7" t="inlineStr">
        <is>
          <t>Total assets</t>
        </is>
      </c>
      <c r="B7" s="9" t="inlineStr">
        <is>
          <t>47.5</t>
        </is>
      </c>
      <c r="C7" s="9" t="inlineStr">
        <is>
          <t>60.31</t>
        </is>
      </c>
      <c r="D7" s="9" t="inlineStr">
        <is>
          <t>67.15</t>
        </is>
      </c>
      <c r="E7" s="9" t="inlineStr">
        <is>
          <t>69.0</t>
        </is>
      </c>
      <c r="F7" s="9" t="inlineStr">
        <is>
          <t>71.0</t>
        </is>
      </c>
      <c r="G7" s="9" t="inlineStr">
        <is>
          <t>73.0</t>
        </is>
      </c>
      <c r="H7" s="9" t="inlineStr">
        <is>
          <t>76.0</t>
        </is>
      </c>
      <c r="I7" s="9" t="inlineStr">
        <is>
          <t>79.0</t>
        </is>
      </c>
    </row>
    <row r="8">
      <c r="A8" s="7" t="inlineStr">
        <is>
          <t>Borrowings, bonds &amp; leases</t>
        </is>
      </c>
      <c r="B8" s="9" t="inlineStr">
        <is>
          <t>12.5</t>
        </is>
      </c>
      <c r="C8" s="9" t="inlineStr">
        <is>
          <t>15.39</t>
        </is>
      </c>
      <c r="D8" s="9" t="inlineStr">
        <is>
          <t>22.51</t>
        </is>
      </c>
      <c r="E8" s="9" t="inlineStr">
        <is>
          <t>22.0</t>
        </is>
      </c>
      <c r="F8" s="9" t="inlineStr">
        <is>
          <t>21.0</t>
        </is>
      </c>
      <c r="G8" s="9" t="inlineStr">
        <is>
          <t>20.0</t>
        </is>
      </c>
      <c r="H8" s="9" t="inlineStr">
        <is>
          <t>19.0</t>
        </is>
      </c>
      <c r="I8" s="9" t="inlineStr">
        <is>
          <t>18.0</t>
        </is>
      </c>
    </row>
    <row r="9">
      <c r="A9" s="7" t="inlineStr">
        <is>
          <t>Total liabilities</t>
        </is>
      </c>
      <c r="B9" s="9" t="inlineStr">
        <is>
          <t>23.1</t>
        </is>
      </c>
      <c r="C9" s="9" t="inlineStr">
        <is>
          <t>29.34</t>
        </is>
      </c>
      <c r="D9" s="9" t="inlineStr">
        <is>
          <t>37.83</t>
        </is>
      </c>
      <c r="E9" s="9" t="inlineStr">
        <is>
          <t>38.0</t>
        </is>
      </c>
      <c r="F9" s="9" t="inlineStr">
        <is>
          <t>38.0</t>
        </is>
      </c>
      <c r="G9" s="9" t="inlineStr">
        <is>
          <t>38.0</t>
        </is>
      </c>
      <c r="H9" s="9" t="inlineStr">
        <is>
          <t>38.5</t>
        </is>
      </c>
      <c r="I9" s="9" t="inlineStr">
        <is>
          <t>39.0</t>
        </is>
      </c>
    </row>
    <row r="10">
      <c r="A10" s="7" t="inlineStr">
        <is>
          <t>Equity attributable to owners</t>
        </is>
      </c>
      <c r="B10" s="9" t="inlineStr">
        <is>
          <t>20.20</t>
        </is>
      </c>
      <c r="C10" s="9" t="inlineStr">
        <is>
          <t>21.12</t>
        </is>
      </c>
      <c r="D10" s="9" t="inlineStr">
        <is>
          <t>20.22</t>
        </is>
      </c>
      <c r="E10" s="9" t="inlineStr">
        <is>
          <t>20.5</t>
        </is>
      </c>
      <c r="F10" s="9" t="inlineStr">
        <is>
          <t>21.0</t>
        </is>
      </c>
      <c r="G10" s="9" t="inlineStr">
        <is>
          <t>22.0</t>
        </is>
      </c>
      <c r="H10" s="9" t="inlineStr">
        <is>
          <t>23.5</t>
        </is>
      </c>
      <c r="I10" s="9" t="inlineStr">
        <is>
          <t>25.5</t>
        </is>
      </c>
    </row>
    <row r="11">
      <c r="A11" s="7" t="inlineStr">
        <is>
          <t>Non-controlling interests</t>
        </is>
      </c>
      <c r="B11" s="9" t="inlineStr">
        <is>
          <t>4.17</t>
        </is>
      </c>
      <c r="C11" s="9" t="inlineStr">
        <is>
          <t>9.85</t>
        </is>
      </c>
      <c r="D11" s="9" t="inlineStr">
        <is>
          <t>9.11</t>
        </is>
      </c>
      <c r="E11" s="9" t="inlineStr">
        <is>
          <t>9.5</t>
        </is>
      </c>
      <c r="F11" s="9" t="inlineStr">
        <is>
          <t>10.0</t>
        </is>
      </c>
      <c r="G11" s="9" t="inlineStr">
        <is>
          <t>10.5</t>
        </is>
      </c>
      <c r="H11" s="9" t="inlineStr">
        <is>
          <t>11.0</t>
        </is>
      </c>
      <c r="I11" s="9" t="inlineStr">
        <is>
          <t>11.5</t>
        </is>
      </c>
    </row>
    <row r="12">
      <c r="A12" s="7" t="inlineStr">
        <is>
          <t>Total equity</t>
        </is>
      </c>
      <c r="B12" s="9" t="inlineStr">
        <is>
          <t>24.37</t>
        </is>
      </c>
      <c r="C12" s="9" t="inlineStr">
        <is>
          <t>30.97</t>
        </is>
      </c>
      <c r="D12" s="9" t="inlineStr">
        <is>
          <t>29.32</t>
        </is>
      </c>
      <c r="E12" s="9" t="inlineStr">
        <is>
          <t>30.0</t>
        </is>
      </c>
      <c r="F12" s="9" t="inlineStr">
        <is>
          <t>31.0</t>
        </is>
      </c>
      <c r="G12" s="9" t="inlineStr">
        <is>
          <t>32.5</t>
        </is>
      </c>
      <c r="H12" s="9" t="inlineStr">
        <is>
          <t>34.5</t>
        </is>
      </c>
      <c r="I12" s="9" t="inlineStr">
        <is>
          <t>37.0</t>
        </is>
      </c>
    </row>
    <row r="13">
      <c r="A13" s="7" t="inlineStr">
        <is>
          <t>BVPS — owners (KRW)</t>
        </is>
      </c>
      <c r="B13" s="9" t="inlineStr">
        <is>
          <t>86,300</t>
        </is>
      </c>
      <c r="C13" s="9" t="inlineStr">
        <is>
          <t>90,250</t>
        </is>
      </c>
      <c r="D13" s="9" t="inlineStr">
        <is>
          <t>86,390</t>
        </is>
      </c>
      <c r="E13" s="9" t="inlineStr">
        <is>
          <t>87,600</t>
        </is>
      </c>
      <c r="F13" s="9" t="inlineStr">
        <is>
          <t>89,700</t>
        </is>
      </c>
      <c r="G13" s="9" t="inlineStr">
        <is>
          <t>94,000</t>
        </is>
      </c>
      <c r="H13" s="9" t="inlineStr">
        <is>
          <t>100,400</t>
        </is>
      </c>
      <c r="I13" s="9" t="inlineStr">
        <is>
          <t>109,000</t>
        </is>
      </c>
    </row>
    <row r="14">
      <c r="A14" s="7" t="inlineStr">
        <is>
          <t>Net debt (debt - cash)</t>
        </is>
      </c>
      <c r="B14" s="9" t="inlineStr">
        <is>
          <t>8.0</t>
        </is>
      </c>
      <c r="C14" s="9" t="inlineStr">
        <is>
          <t>11.49</t>
        </is>
      </c>
      <c r="D14" s="9" t="inlineStr">
        <is>
          <t>18.73</t>
        </is>
      </c>
      <c r="E14" s="9" t="inlineStr">
        <is>
          <t>17.5</t>
        </is>
      </c>
      <c r="F14" s="9" t="inlineStr">
        <is>
          <t>15.5</t>
        </is>
      </c>
      <c r="G14" s="9" t="inlineStr">
        <is>
          <t>13.5</t>
        </is>
      </c>
      <c r="H14" s="9" t="inlineStr">
        <is>
          <t>11.5</t>
        </is>
      </c>
      <c r="I14" s="9" t="inlineStr">
        <is>
          <t>9.0</t>
        </is>
      </c>
    </row>
    <row r="16" ht="34" customHeight="1">
      <c r="A16" s="17" t="inlineStr">
        <is>
          <t>FY2024-25 totals are audited (total assets KRW 67.1tn, equity to owners KRW 20.2tn, NCI KRW 9.1tn, borrowings KRW 22.5tn end-2025). NCI jumped from KRW 4.2tn (end-2023) to KRW 9.9tn (end-2024) as the US JV build-out and credit accrual landed — the balance-sheet signature of the owner-loss attribution.</t>
        </is>
      </c>
    </row>
  </sheetData>
  <mergeCells count="3">
    <mergeCell ref="A1:I1"/>
    <mergeCell ref="A2:I2"/>
    <mergeCell ref="A16:I1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</cols>
  <sheetData>
    <row r="1" ht="22" customHeight="1">
      <c r="A1" s="4" t="inlineStr">
        <is>
          <t>Consolidated cash flow (simplified, KRW tn)</t>
        </is>
      </c>
    </row>
    <row r="2">
      <c r="A2" s="5" t="inlineStr">
        <is>
          <t>FY2024-25 audited; FY2023 estimated; 2026e-30e illustrative. Free cash flow inflects positive from 2027e on the capex cut.</t>
        </is>
      </c>
    </row>
    <row r="4">
      <c r="A4" s="11" t="inlineStr">
        <is>
          <t>Cash flow</t>
        </is>
      </c>
      <c r="B4" s="12" t="inlineStr">
        <is>
          <t>2023a</t>
        </is>
      </c>
      <c r="C4" s="12" t="inlineStr">
        <is>
          <t>2024a</t>
        </is>
      </c>
      <c r="D4" s="12" t="inlineStr">
        <is>
          <t>2025a</t>
        </is>
      </c>
      <c r="E4" s="12" t="inlineStr">
        <is>
          <t>2026e</t>
        </is>
      </c>
      <c r="F4" s="12" t="inlineStr">
        <is>
          <t>2027e</t>
        </is>
      </c>
      <c r="G4" s="12" t="inlineStr">
        <is>
          <t>2028e</t>
        </is>
      </c>
      <c r="H4" s="12" t="inlineStr">
        <is>
          <t>2029e</t>
        </is>
      </c>
      <c r="I4" s="12" t="inlineStr">
        <is>
          <t>2030e</t>
        </is>
      </c>
    </row>
    <row r="5">
      <c r="A5" s="7" t="inlineStr">
        <is>
          <t>Operating cash flow</t>
        </is>
      </c>
      <c r="B5" s="9" t="inlineStr">
        <is>
          <t>4.0</t>
        </is>
      </c>
      <c r="C5" s="9" t="inlineStr">
        <is>
          <t>5.11</t>
        </is>
      </c>
      <c r="D5" s="9" t="inlineStr">
        <is>
          <t>4.43</t>
        </is>
      </c>
      <c r="E5" s="9" t="inlineStr">
        <is>
          <t>5.0</t>
        </is>
      </c>
      <c r="F5" s="9" t="inlineStr">
        <is>
          <t>6.0</t>
        </is>
      </c>
      <c r="G5" s="9" t="inlineStr">
        <is>
          <t>7.0</t>
        </is>
      </c>
      <c r="H5" s="9" t="inlineStr">
        <is>
          <t>7.8</t>
        </is>
      </c>
      <c r="I5" s="9" t="inlineStr">
        <is>
          <t>8.5</t>
        </is>
      </c>
    </row>
    <row r="6">
      <c r="A6" s="7" t="inlineStr">
        <is>
          <t>Capital expenditure</t>
        </is>
      </c>
      <c r="B6" s="9" t="inlineStr">
        <is>
          <t>(10.0)</t>
        </is>
      </c>
      <c r="C6" s="9" t="inlineStr">
        <is>
          <t>(12.40)</t>
        </is>
      </c>
      <c r="D6" s="9" t="inlineStr">
        <is>
          <t>(10.83)</t>
        </is>
      </c>
      <c r="E6" s="9" t="inlineStr">
        <is>
          <t>(6.5)</t>
        </is>
      </c>
      <c r="F6" s="9" t="inlineStr">
        <is>
          <t>(5.8)</t>
        </is>
      </c>
      <c r="G6" s="9" t="inlineStr">
        <is>
          <t>(5.5)</t>
        </is>
      </c>
      <c r="H6" s="9" t="inlineStr">
        <is>
          <t>(5.5)</t>
        </is>
      </c>
      <c r="I6" s="9" t="inlineStr">
        <is>
          <t>(5.5)</t>
        </is>
      </c>
    </row>
    <row r="7">
      <c r="A7" s="7" t="inlineStr">
        <is>
          <t>Free cash flow</t>
        </is>
      </c>
      <c r="B7" s="9" t="inlineStr">
        <is>
          <t>(6.0)</t>
        </is>
      </c>
      <c r="C7" s="9" t="inlineStr">
        <is>
          <t>(7.29)</t>
        </is>
      </c>
      <c r="D7" s="9" t="inlineStr">
        <is>
          <t>(6.40)</t>
        </is>
      </c>
      <c r="E7" s="9" t="inlineStr">
        <is>
          <t>(1.5)</t>
        </is>
      </c>
      <c r="F7" s="9" t="inlineStr">
        <is>
          <t>0.2</t>
        </is>
      </c>
      <c r="G7" s="9" t="inlineStr">
        <is>
          <t>1.5</t>
        </is>
      </c>
      <c r="H7" s="9" t="inlineStr">
        <is>
          <t>2.3</t>
        </is>
      </c>
      <c r="I7" s="9" t="inlineStr">
        <is>
          <t>3.0</t>
        </is>
      </c>
    </row>
    <row r="9" ht="34" customHeight="1">
      <c r="A9" s="17" t="inlineStr">
        <is>
          <t>The capex peak (KRW 12.4tn 2024, 10.8tn 2025) drove free cash flow deeply negative; the guided &gt;40% cut for 2026 and the taper turn it positive from 2027e — the inflection the DCF discounts.</t>
        </is>
      </c>
    </row>
  </sheetData>
  <mergeCells count="3">
    <mergeCell ref="A1:I1"/>
    <mergeCell ref="A9:I9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34" customWidth="1" min="3" max="3"/>
  </cols>
  <sheetData>
    <row r="1" ht="22" customHeight="1">
      <c r="A1" s="4" t="inlineStr">
        <is>
          <t>Per-share &amp; ratios</t>
        </is>
      </c>
    </row>
    <row r="2">
      <c r="A2" s="5" t="inlineStr">
        <is>
          <t>Market and valuation ratios at the 26-Jun-2026 close.</t>
        </is>
      </c>
    </row>
    <row r="4">
      <c r="A4" s="6" t="inlineStr">
        <is>
          <t>Market</t>
        </is>
      </c>
    </row>
    <row r="5">
      <c r="A5" s="7" t="inlineStr">
        <is>
          <t>Spot (KRW)</t>
        </is>
      </c>
      <c r="B5" s="8">
        <f>Assumptions!B5</f>
        <v/>
      </c>
    </row>
    <row r="6">
      <c r="A6" s="7" t="inlineStr">
        <is>
          <t>Shares (m)</t>
        </is>
      </c>
      <c r="B6" s="32">
        <f>Assumptions!B6/10^6</f>
        <v/>
      </c>
    </row>
    <row r="7">
      <c r="A7" s="7" t="inlineStr">
        <is>
          <t>Market cap (KRW tn)</t>
        </is>
      </c>
      <c r="B7" s="32">
        <f>Assumptions!B9</f>
        <v/>
      </c>
    </row>
    <row r="8">
      <c r="A8" s="7" t="inlineStr">
        <is>
          <t>Net debt (KRW tn)</t>
        </is>
      </c>
      <c r="B8" s="32">
        <f>Assumptions!B7</f>
        <v/>
      </c>
    </row>
    <row r="9">
      <c r="A9" s="7" t="inlineStr">
        <is>
          <t>Enterprise value (KRW tn)</t>
        </is>
      </c>
      <c r="B9" s="32">
        <f>Assumptions!B10</f>
        <v/>
      </c>
    </row>
    <row r="11">
      <c r="A11" s="6" t="inlineStr">
        <is>
          <t>Valuation ratios</t>
        </is>
      </c>
    </row>
    <row r="12">
      <c r="A12" s="7" t="inlineStr">
        <is>
          <t>P/B (x)</t>
        </is>
      </c>
      <c r="B12" s="33">
        <f>Assumptions!B5/Assumptions!B11</f>
        <v/>
      </c>
    </row>
    <row r="13">
      <c r="A13" s="7" t="inlineStr">
        <is>
          <t>EV/EBITDA — trailing (x, depressed)</t>
        </is>
      </c>
      <c r="B13" s="33">
        <f>Assumptions!B10/5.9</f>
        <v/>
      </c>
    </row>
    <row r="14">
      <c r="A14" s="7" t="inlineStr">
        <is>
          <t>EV/EBITDA — mid-cycle (x)</t>
        </is>
      </c>
      <c r="B14" s="33">
        <f>Assumptions!B10/Assumptions!B20</f>
        <v/>
      </c>
    </row>
    <row r="15">
      <c r="A15" s="7" t="inlineStr">
        <is>
          <t>Net debt / mid-cycle EBITDA (x)</t>
        </is>
      </c>
      <c r="B15" s="33">
        <f>Assumptions!B7/Assumptions!B20</f>
        <v/>
      </c>
    </row>
    <row r="16">
      <c r="A16" s="7" t="inlineStr">
        <is>
          <t>Trailing P/E (owners)</t>
        </is>
      </c>
      <c r="B16" s="36" t="inlineStr">
        <is>
          <t>N/M — owner EPS negative</t>
        </is>
      </c>
    </row>
    <row r="17">
      <c r="A17" s="7" t="inlineStr">
        <is>
          <t>BVPS — owners (KRW)</t>
        </is>
      </c>
      <c r="B17" s="8">
        <f>Assumptions!B11</f>
        <v/>
      </c>
    </row>
    <row r="19">
      <c r="A19" s="6" t="inlineStr">
        <is>
          <t>Valuation conclusion</t>
        </is>
      </c>
    </row>
    <row r="20">
      <c r="A20" s="7" t="inlineStr">
        <is>
          <t>Weighted central (KRW)</t>
        </is>
      </c>
      <c r="B20" s="8">
        <f>'Fundamental Valuation'!B11</f>
        <v/>
      </c>
    </row>
    <row r="21">
      <c r="A21" s="7" t="inlineStr">
        <is>
          <t>Central vs spot</t>
        </is>
      </c>
      <c r="B21" s="10">
        <f>B20/Assumptions!B5-1</f>
        <v/>
      </c>
    </row>
    <row r="23" ht="34" customHeight="1">
      <c r="A23" s="17" t="inlineStr">
        <is>
          <t>Trailing EV/EBITDA screens high (~21x) because EBITDA is depressed; trailing P/E is not meaningful because owner-level EPS is negative. The mid-cycle EV/EBITDA (~11x at the central EBITDA) is the more useful gauge.</t>
        </is>
      </c>
    </row>
  </sheetData>
  <mergeCells count="3">
    <mergeCell ref="A2:B2"/>
    <mergeCell ref="A1:B1"/>
    <mergeCell ref="A23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2026-06-28T16:03:11Z</dcterms:created>
  <dcterms:modified xmlns:dcterms="http://purl.org/dc/terms/" xmlns:xsi="http://www.w3.org/2001/XMLSchema-instance" xsi:type="dcterms:W3CDTF">2026-06-28T16:03:11Z</dcterms:modified>
</cp:coreProperties>
</file>