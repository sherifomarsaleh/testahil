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Assumptions" sheetId="2" state="visible" r:id="rId4"/>
    <sheet name="Hist IS" sheetId="3" state="visible" r:id="rId5"/>
    <sheet name="Hist BS" sheetId="4" state="visible" r:id="rId6"/>
    <sheet name="Hist CF &amp; Segments" sheetId="5" state="visible" r:id="rId7"/>
    <sheet name="Segment drivers" sheetId="6" state="visible" r:id="rId8"/>
    <sheet name="Fcst IS" sheetId="7" state="visible" r:id="rId9"/>
    <sheet name="Fcst BS" sheetId="8" state="visible" r:id="rId10"/>
    <sheet name="Fcst CF" sheetId="9" state="visible" r:id="rId11"/>
    <sheet name="FCFF &amp; DCF" sheetId="10" state="visible" r:id="rId12"/>
    <sheet name="WACC" sheetId="11" state="visible" r:id="rId13"/>
    <sheet name="Sensitivity" sheetId="12" state="visible" r:id="rId14"/>
    <sheet name="Lenses &amp; Central" sheetId="13" state="visible" r:id="rId15"/>
    <sheet name="Monte Carlo" sheetId="14" state="visible" r:id="rId16"/>
    <sheet name="Technicals" sheetId="15" state="visible" r:id="rId17"/>
    <sheet name="Per-Share &amp; Ratios" sheetId="16" state="visible" r:id="rId18"/>
    <sheet name="Sweep &amp; QC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<sst xmlns="http://schemas.openxmlformats.org/spreadsheetml/2006/main" count="617" uniqueCount="447">
  <si>
    <t xml:space="preserve">Testahil · DSCW — Dice For Ready-Made Garments SAE · Valuation model companion (19-Jul-2026)</t>
  </si>
  <si>
    <t xml:space="preserve">Educational analysis. NOT investment advice, NOT a recommendation, NOT a rating or a price target. Outputs are fair-value ranges and probability distributions only.</t>
  </si>
  <si>
    <t xml:space="preserve">The preparer is not licensed by the FRA or any securities regulator, manages no money and accepts no clients. Consult a licensed financial advisor before any investment decision.</t>
  </si>
  <si>
    <t xml:space="preserve">Reported FY2023-FY2025 figures are the company's own disclosure (FY2025 earnings release, dice.eg). Q1-2026 figures are the EGX filing as carried by Arab Finance/Zawya — colour, not the model base.</t>
  </si>
  <si>
    <t xml:space="preserve">Colour code: BLUE = hardcoded input / scenario lever (change these) · BLACK = formula · GREEN = cross-sheet link · grey fill = solved/engine value brought in from compute.py with its check shown.</t>
  </si>
  <si>
    <t xml:space="preserve">Single assumptions layer: every forecast formula chains from the Assumptions sheet. Scenario grids and the Monte Carlo are model re-runs computed in compute.py (values, labelled as such).</t>
  </si>
  <si>
    <t xml:space="preserve">Companion to: DSCW_Valuation_Study_19-07-2026_public.docx. Engine: carry-anchored YZ-HAR-t (live EG profile), 50,000 paths, seed 42.</t>
  </si>
  <si>
    <t xml:space="preserve">Driver (blue = edit me)</t>
  </si>
  <si>
    <t xml:space="preserve">Unit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</si>
  <si>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</si>
  <si>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</si>
  <si>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</si>
  <si>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</si>
  <si>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</si>
  <si>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Source / note</t>
  </si>
  <si>
    <t xml:space="preserve">Export pieces growth</t>
  </si>
  <si>
    <t xml:space="preserve">%</t>
  </si>
  <si>
    <t xml:space="preserve">Q4-25 +21.4%; Helwan ramp; sector Jan-Apr-26 +15% (AEC via DailyNewsEgypt 8-Jun-26)</t>
  </si>
  <si>
    <t xml:space="preserve">Export USD ASP growth</t>
  </si>
  <si>
    <t xml:space="preserve">FY25 ASP $4.41 (+12.3% mix); normalised +2%/yr</t>
  </si>
  <si>
    <t xml:space="preserve">EGP/USD (annual avg)</t>
  </si>
  <si>
    <t xml:space="preserve">EGP</t>
  </si>
  <si>
    <t xml:space="preserve">H1-26 actual ~48-52.9 (TE Mar-26 52.8; Wise Jul-26 ~52.7); +3%/yr thereafter</t>
  </si>
  <si>
    <t xml:space="preserve">Retail revenue growth</t>
  </si>
  <si>
    <t xml:space="preserve">+46.6% FY25; 402 stores; decelerating rollout</t>
  </si>
  <si>
    <t xml:space="preserve">Dyeing 3rd-party growth</t>
  </si>
  <si>
    <t xml:space="preserve">vol +5% (util 84.6%) x price +8%</t>
  </si>
  <si>
    <t xml:space="preserve">Printing 3rd-party growth</t>
  </si>
  <si>
    <t xml:space="preserve">small base</t>
  </si>
  <si>
    <t xml:space="preserve">Other-local net growth</t>
  </si>
  <si>
    <t xml:space="preserve">~flat real</t>
  </si>
  <si>
    <t xml:space="preserve">Gross margin</t>
  </si>
  <si>
    <t xml:space="preserve">FY24 34.0% = deval-windfall peak, never re-adopted (EFG rule); FY25 25.2% mid-cycle; Q1-26 loss print starts FY26E low</t>
  </si>
  <si>
    <t xml:space="preserve">S&amp;D % revenue</t>
  </si>
  <si>
    <t xml:space="preserve">5.6% FY25</t>
  </si>
  <si>
    <t xml:space="preserve">G&amp;A % revenue</t>
  </si>
  <si>
    <t xml:space="preserve">5.3% FY25</t>
  </si>
  <si>
    <t xml:space="preserve">Export rebate % export rev</t>
  </si>
  <si>
    <t xml:space="preserve">FY25 1.5%, FY24 2.0% — conservative 1.2%</t>
  </si>
  <si>
    <t xml:space="preserve">Capex</t>
  </si>
  <si>
    <t xml:space="preserve">EGP mn</t>
  </si>
  <si>
    <t xml:space="preserve">FY25 580.8; Helwan buildout + land-MoU balance front-loaded</t>
  </si>
  <si>
    <t xml:space="preserve">Owned depreciation rate (% avg NFA)</t>
  </si>
  <si>
    <t xml:space="preserve">FY25 7.9% rising with new plant</t>
  </si>
  <si>
    <t xml:space="preserve">ROU depreciation growth</t>
  </si>
  <si>
    <t xml:space="preserve">FY25 ROU dep 35.6, store rollout</t>
  </si>
  <si>
    <t xml:space="preserve">Inventory days (COGS)</t>
  </si>
  <si>
    <t xml:space="preserve">days</t>
  </si>
  <si>
    <t xml:space="preserve">FY25 201.9; FY23 161.6 — normalisation</t>
  </si>
  <si>
    <t xml:space="preserve">AR days (revenue)</t>
  </si>
  <si>
    <t xml:space="preserve">FY25 73.1</t>
  </si>
  <si>
    <t xml:space="preserve">Debtors days (revenue)</t>
  </si>
  <si>
    <t xml:space="preserve">FY25 level held</t>
  </si>
  <si>
    <t xml:space="preserve">AP days (COGS)</t>
  </si>
  <si>
    <t xml:space="preserve">FY25 27.3</t>
  </si>
  <si>
    <t xml:space="preserve">Creditors days (revenue)</t>
  </si>
  <si>
    <t xml:space="preserve">Provisions % revenue</t>
  </si>
  <si>
    <t xml:space="preserve">Cost of debt (blended fwd)</t>
  </si>
  <si>
    <t xml:space="preserve">FY26 blended 16.5% (H1 ~19-21% policy less ~5pp facility discount; H2 cuts); CBE easing path</t>
  </si>
  <si>
    <t xml:space="preserve">Interest income on cash</t>
  </si>
  <si>
    <t xml:space="preserve">deposit rates under easing</t>
  </si>
  <si>
    <t xml:space="preserve">Lease interest rate</t>
  </si>
  <si>
    <t xml:space="preserve">IFRS16 book</t>
  </si>
  <si>
    <t xml:space="preserve">Lease liabilities growth</t>
  </si>
  <si>
    <t xml:space="preserve">store rollout</t>
  </si>
  <si>
    <t xml:space="preserve">Other income/(expense)</t>
  </si>
  <si>
    <t xml:space="preserve">FY25 -44.2 incl one-offs</t>
  </si>
  <si>
    <t xml:space="preserve">Minimum operating cash</t>
  </si>
  <si>
    <t xml:space="preserve">overdraft is the revolver plug</t>
  </si>
  <si>
    <t xml:space="preserve">— Valuation layer —</t>
  </si>
  <si>
    <t xml:space="preserve">Tax rate</t>
  </si>
  <si>
    <t xml:space="preserve">Egypt corporate 22.5% (FY25 eff. 21.4%)</t>
  </si>
  <si>
    <t xml:space="preserve">Risk-free (Egypt 10Y)</t>
  </si>
  <si>
    <t xml:space="preserve">investing.com 3-Jul-2026</t>
  </si>
  <si>
    <t xml:space="preserve">ERP — CDS basis (primary)</t>
  </si>
  <si>
    <t xml:space="preserve">Damodaran original 5-Jan-2026</t>
  </si>
  <si>
    <t xml:space="preserve">ERP — rating basis</t>
  </si>
  <si>
    <t xml:space="preserve">Beta</t>
  </si>
  <si>
    <t xml:space="preserve">x</t>
  </si>
  <si>
    <t xml:space="preserve">floor 0.8 respected; n=19 regression 1.034 fails n&gt;=24 gate — grid published</t>
  </si>
  <si>
    <t xml:space="preserve">Kd pre-tax (company-implied)</t>
  </si>
  <si>
    <t xml:space="preserve">516.0 / avg IBD 3,290.95; CBE benchmark 20.7% dual-framed</t>
  </si>
  <si>
    <t xml:space="preserve">Terminal growth g</t>
  </si>
  <si>
    <t xml:space="preserve">nominal EGP; reconciliation table in study</t>
  </si>
  <si>
    <t xml:space="preserve">Terminal ROIC</t>
  </si>
  <si>
    <t xml:space="preserve">between FY25 15.9% and FY24 39.6%</t>
  </si>
  <si>
    <t xml:space="preserve">Spot / shares</t>
  </si>
  <si>
    <t xml:space="preserve">EGP / mn</t>
  </si>
  <si>
    <t xml:space="preserve">19-Jul-2026 close; 2,680mn sh (536/0.20 par)</t>
  </si>
  <si>
    <t xml:space="preserve">Normalized net margin</t>
  </si>
  <si>
    <t xml:space="preserve">through-cycle 7.5% — Driver-Ledger logged</t>
  </si>
  <si>
    <t xml:space="preserve">P/E band (bear/base/bull)</t>
  </si>
  <si>
    <t xml:space="preserve">EGX consumer band; DSCW trailing ran 5.8-14.2x — logged</t>
  </si>
  <si>
    <t xml:space="preserve">EV/EBITDA band (bear/base/bull)</t>
  </si>
  <si>
    <t xml:space="preserve">EGX industrial band on FY27E — logged</t>
  </si>
  <si>
    <t xml:space="preserve">Lens weights DCF/Norm/Rel</t>
  </si>
  <si>
    <t xml:space="preserve">sum = 100% (checked)</t>
  </si>
  <si>
    <t xml:space="preserve">FY2023</t>
  </si>
  <si>
    <t xml:space="preserve">FY2024</t>
  </si>
  <si>
    <t xml:space="preserve">FY2025</t>
  </si>
  <si>
    <t xml:space="preserve">note</t>
  </si>
  <si>
    <t xml:space="preserve">Revenue</t>
  </si>
  <si>
    <t xml:space="preserve">FY23 = FY24/1.681 (stated +68.1%) — derived, disclosed</t>
  </si>
  <si>
    <t xml:space="preserve">COGS</t>
  </si>
  <si>
    <t xml:space="preserve">n/d</t>
  </si>
  <si>
    <t xml:space="preserve">Gross profit</t>
  </si>
  <si>
    <t xml:space="preserve">FY23 = FY24/1.92 (stated +92%)</t>
  </si>
  <si>
    <t xml:space="preserve">S&amp;D</t>
  </si>
  <si>
    <t xml:space="preserve">G&amp;A</t>
  </si>
  <si>
    <t xml:space="preserve">Export rebate</t>
  </si>
  <si>
    <t xml:space="preserve">state export-support programme</t>
  </si>
  <si>
    <t xml:space="preserve">EBITDA</t>
  </si>
  <si>
    <t xml:space="preserve">FY23 = FY24/1.91 (stated ~+91-92%)</t>
  </si>
  <si>
    <t xml:space="preserve">D&amp;A</t>
  </si>
  <si>
    <t xml:space="preserve">FY25: owned 84.8 + ROU 35.6</t>
  </si>
  <si>
    <t xml:space="preserve">EBIT</t>
  </si>
  <si>
    <t xml:space="preserve">FY23 approximated (D&amp;A ~70) — disclosed</t>
  </si>
  <si>
    <t xml:space="preserve">Net interest</t>
  </si>
  <si>
    <t xml:space="preserve">Lease interest</t>
  </si>
  <si>
    <t xml:space="preserve">FX gain/(loss)</t>
  </si>
  <si>
    <t xml:space="preserve">net USD receivables</t>
  </si>
  <si>
    <t xml:space="preserve">Other</t>
  </si>
  <si>
    <t xml:space="preserve">EBT</t>
  </si>
  <si>
    <t xml:space="preserve">Tax</t>
  </si>
  <si>
    <t xml:space="preserve">eff. 22.2% / 21.4%</t>
  </si>
  <si>
    <t xml:space="preserve">Net profit</t>
  </si>
  <si>
    <t xml:space="preserve">FY23 from the FY25 BS column (headline +91% implies 471.7 — discrepancy disclosed)</t>
  </si>
  <si>
    <t xml:space="preserve">Ties asserted in compute.py: GP=Rev−COGS · EBITDA=GP−S&amp;D−G&amp;A+rebate · EBIT=EBITDA−D&amp;A · EBT chain · NP=EBT−tax — all within 0.5</t>
  </si>
  <si>
    <t xml:space="preserve">Dec-23</t>
  </si>
  <si>
    <t xml:space="preserve">Dec-24</t>
  </si>
  <si>
    <t xml:space="preserve">Dec-25</t>
  </si>
  <si>
    <t xml:space="preserve">Net fixed assets</t>
  </si>
  <si>
    <t xml:space="preserve">Right-of-use assets</t>
  </si>
  <si>
    <t xml:space="preserve">Other non-current assets</t>
  </si>
  <si>
    <t xml:space="preserve">Cash &amp; equivalents</t>
  </si>
  <si>
    <t xml:space="preserve">Inventory</t>
  </si>
  <si>
    <t xml:space="preserve">Trade receivables</t>
  </si>
  <si>
    <t xml:space="preserve">Mutual funds</t>
  </si>
  <si>
    <t xml:space="preserve">Debtors &amp; other debit</t>
  </si>
  <si>
    <t xml:space="preserve">— Liabilities —</t>
  </si>
  <si>
    <t xml:space="preserve">Banks overdraft</t>
  </si>
  <si>
    <t xml:space="preserve">CPLTD</t>
  </si>
  <si>
    <t xml:space="preserve">Trade payables</t>
  </si>
  <si>
    <t xml:space="preserve">Provisions</t>
  </si>
  <si>
    <t xml:space="preserve">Due to related parties</t>
  </si>
  <si>
    <t xml:space="preserve">ROU liab. (current)</t>
  </si>
  <si>
    <t xml:space="preserve">Leasing (current)</t>
  </si>
  <si>
    <t xml:space="preserve">Creditors &amp; other credit</t>
  </si>
  <si>
    <t xml:space="preserve">Long-term debt</t>
  </si>
  <si>
    <t xml:space="preserve">ROU liab. (non-current)</t>
  </si>
  <si>
    <t xml:space="preserve">Leasing (non-current)</t>
  </si>
  <si>
    <t xml:space="preserve">Deferred tax</t>
  </si>
  <si>
    <t xml:space="preserve">— Equity —</t>
  </si>
  <si>
    <t xml:space="preserve">Paid-in capital</t>
  </si>
  <si>
    <t xml:space="preserve">Reserves</t>
  </si>
  <si>
    <t xml:space="preserve">Retained earnings</t>
  </si>
  <si>
    <t xml:space="preserve">Net profit (year)</t>
  </si>
  <si>
    <t xml:space="preserve">Minority interest</t>
  </si>
  <si>
    <t xml:space="preserve">Total assets</t>
  </si>
  <si>
    <t xml:space="preserve">Total equity</t>
  </si>
  <si>
    <t xml:space="preserve">BS balance asserted in compute.py (assets = liabilities + equity, within 1.0). FY25 paid-in 536 vs 357: bonus capitalisation 1.787bn-&gt;2.68bn shares.</t>
  </si>
  <si>
    <t xml:space="preserve">BS cash 157.0 vs CF ending 133.7 (FY25) and 240.6 vs 227.5 (FY24) — a 13-23mn definitional wedge in the company's own presentation, disclosed; the forecast uses one cash definition and ties internally</t>
  </si>
  <si>
    <t xml:space="preserve">FY2025 cash flow (EGP mn)</t>
  </si>
  <si>
    <t xml:space="preserve">value</t>
  </si>
  <si>
    <t xml:space="preserve">FY2025 segments (external rev)</t>
  </si>
  <si>
    <t xml:space="preserve">CFO</t>
  </si>
  <si>
    <t xml:space="preserve">Export (garments + materials)</t>
  </si>
  <si>
    <t xml:space="preserve">Retail (Dice stores)</t>
  </si>
  <si>
    <t xml:space="preserve">Interest paid</t>
  </si>
  <si>
    <t xml:space="preserve">Dyeing 3rd-party</t>
  </si>
  <si>
    <t xml:space="preserve">Common dividends paid</t>
  </si>
  <si>
    <t xml:space="preserve">Printing 3rd-party</t>
  </si>
  <si>
    <t xml:space="preserve">Ending cash (CF basis)</t>
  </si>
  <si>
    <t xml:space="preserve">Other local (net)</t>
  </si>
  <si>
    <t xml:space="preserve">Sum (= consolidated, asserted)</t>
  </si>
  <si>
    <t xml:space="preserve">CFO was NEGATIVE (-718.9) against EBITDA +1,086 — the working-capital absorption that drives this study's crux. CCC ~248 days.</t>
  </si>
  <si>
    <t xml:space="preserve">Export pieces (000)</t>
  </si>
  <si>
    <t xml:space="preserve">USD revenue (mn)</t>
  </si>
  <si>
    <t xml:space="preserve">USD ASP / piece</t>
  </si>
  <si>
    <t xml:space="preserve">Implied EGP/USD</t>
  </si>
  <si>
    <t xml:space="preserve">Capacity (000 pieces)</t>
  </si>
  <si>
    <t xml:space="preserve">Utilisation</t>
  </si>
  <si>
    <t xml:space="preserve">Driver build</t>
  </si>
  <si>
    <t xml:space="preserve">FY25A</t>
  </si>
  <si>
    <t xml:space="preserve">USD ASP</t>
  </si>
  <si>
    <t xml:space="preserve">EGP/USD</t>
  </si>
  <si>
    <t xml:space="preserve">Materials (elastic) scale</t>
  </si>
  <si>
    <t xml:space="preserve">Export revenue (EGP mn)</t>
  </si>
  <si>
    <t xml:space="preserve">Retail</t>
  </si>
  <si>
    <t xml:space="preserve">Total revenue</t>
  </si>
  <si>
    <t xml:space="preserve">Capacity utilisation</t>
  </si>
  <si>
    <t xml:space="preserve">Note: materials line scales with USD export volume and the EGP; capacity 29,700k pieces held flat pending the Helwan/land build-out ramps.</t>
  </si>
  <si>
    <t xml:space="preserve">Owned depreciation</t>
  </si>
  <si>
    <t xml:space="preserve">ROU depreciation</t>
  </si>
  <si>
    <t xml:space="preserve">Net profit attributable</t>
  </si>
  <si>
    <t xml:space="preserve">EPS (EGP)</t>
  </si>
  <si>
    <t xml:space="preserve">Margins</t>
  </si>
  <si>
    <t xml:space="preserve">EBITDA margin</t>
  </si>
  <si>
    <t xml:space="preserve">Net margin</t>
  </si>
  <si>
    <t xml:space="preserve">grey = revolver balance solved by the compute.py fixed-point; the check row re-derives it from this sheet's own P&amp;L and cash flow</t>
  </si>
  <si>
    <t xml:space="preserve">ROU assets</t>
  </si>
  <si>
    <t xml:space="preserve">Other non-current assets (plug-adjusted)</t>
  </si>
  <si>
    <t xml:space="preserve">Cash</t>
  </si>
  <si>
    <t xml:space="preserve">Banks overdraft (solved revolver)</t>
  </si>
  <si>
    <t xml:space="preserve">Lease liabilities</t>
  </si>
  <si>
    <t xml:space="preserve">ROU liabilities (= ROU assets, simplified)</t>
  </si>
  <si>
    <t xml:space="preserve">Due to related / deferred tax</t>
  </si>
  <si>
    <t xml:space="preserve">Equity (roll: + NP attributable)</t>
  </si>
  <si>
    <t xml:space="preserve">Liabilities + equity</t>
  </si>
  <si>
    <t xml:space="preserve">Balance check (=0)</t>
  </si>
  <si>
    <t xml:space="preserve">Revolver fixed-point check (=0): od − [od_open + max(0, min-cash − pre-financing cash)]</t>
  </si>
  <si>
    <t xml:space="preserve">+ D&amp;A</t>
  </si>
  <si>
    <t xml:space="preserve">− Δ working capital</t>
  </si>
  <si>
    <t xml:space="preserve">Cash flow from operations</t>
  </si>
  <si>
    <t xml:space="preserve">Capex (investing)</t>
  </si>
  <si>
    <t xml:space="preserve">Lease principal (financing)</t>
  </si>
  <si>
    <t xml:space="preserve">Revolver draw / (repay)</t>
  </si>
  <si>
    <t xml:space="preserve">Net change in cash</t>
  </si>
  <si>
    <t xml:space="preserve">Δ cash per balance sheet</t>
  </si>
  <si>
    <t xml:space="preserve">Cash tie-out check (=0)</t>
  </si>
  <si>
    <t xml:space="preserve">The tie-out row is QC item (q): CF Δcash equals BS Δcash in every forecast year — asserted in compute.py and live here.</t>
  </si>
  <si>
    <t xml:space="preserve">− D&amp;A</t>
  </si>
  <si>
    <t xml:space="preserve">NOPAT (EBIT × (1−t))</t>
  </si>
  <si>
    <t xml:space="preserve">− Capex</t>
  </si>
  <si>
    <t xml:space="preserve">Free cash flow to firm</t>
  </si>
  <si>
    <t xml:space="preserve">Discount factor</t>
  </si>
  <si>
    <t xml:space="preserve">PV of FCFF</t>
  </si>
  <si>
    <t xml:space="preserve">WACC (CDS basis, from WACC sheet)</t>
  </si>
  <si>
    <t xml:space="preserve">Sum PV of FCFF</t>
  </si>
  <si>
    <t xml:space="preserve">Terminal: NOPAT FY31 = NOPAT30 × (1+g)</t>
  </si>
  <si>
    <t xml:space="preserve">Reinvestment rate = g / ROIC_t</t>
  </si>
  <si>
    <t xml:space="preserve">TV = NOPAT31 × (1−RR) / (WACC−g)  [value-driver formula — capitalising FCFF is banned]</t>
  </si>
  <si>
    <t xml:space="preserve">PV of terminal value</t>
  </si>
  <si>
    <t xml:space="preserve">Enterprise value</t>
  </si>
  <si>
    <t xml:space="preserve">TV % of EV (disclosed)</t>
  </si>
  <si>
    <t xml:space="preserve">− Net debt (Dec-25: od+cpltd+ltd+leases+ROU−cash−MF)</t>
  </si>
  <si>
    <t xml:space="preserve">− Minority interest (at ~fair = book, immaterial)</t>
  </si>
  <si>
    <t xml:space="preserve">Equity value</t>
  </si>
  <si>
    <t xml:space="preserve">Per share (EGP)</t>
  </si>
  <si>
    <t xml:space="preserve">vs spot</t>
  </si>
  <si>
    <t xml:space="preserve">Scenario re-runs (compute.py): bear -0.94 · bull 0.06 · easing-path WACC 20.5% dual-frame -0.17 · market-implied WACC 13.05%</t>
  </si>
  <si>
    <t xml:space="preserve">Component</t>
  </si>
  <si>
    <t xml:space="preserve">Value</t>
  </si>
  <si>
    <t xml:space="preserve">Source</t>
  </si>
  <si>
    <t xml:space="preserve">investing.com 3-Jul-2026 — local-currency even for EGP (house rule)</t>
  </si>
  <si>
    <t xml:space="preserve">Damodaran ORIGINAL country file, 5-Jan-2026</t>
  </si>
  <si>
    <t xml:space="preserve">same file, rating-based</t>
  </si>
  <si>
    <t xml:space="preserve">assumed 1.0 (floor 0.8); n=19 regression 1.034/R2 0.281 fails n&gt;=24 usability gate — grid below</t>
  </si>
  <si>
    <t xml:space="preserve">Ke = rf + β·ERP (CDS)</t>
  </si>
  <si>
    <t xml:space="preserve">published explicitly per house rule</t>
  </si>
  <si>
    <t xml:space="preserve">Ke = rf + β·ERP (rating)</t>
  </si>
  <si>
    <t xml:space="preserve">FY25 net interest 516.0 / avg IBD 3,291; cash interest paid = P&amp;L expense (no capitalised-interest wedge); CBE benchmark 20.7% dual-framed</t>
  </si>
  <si>
    <t xml:space="preserve">Kd after tax</t>
  </si>
  <si>
    <t xml:space="preserve">Weight of equity</t>
  </si>
  <si>
    <t xml:space="preserve">mkt cap 5,199 vs IBD 3,855.1 (leases in the bridge, not the weights)</t>
  </si>
  <si>
    <t xml:space="preserve">Weight of debt</t>
  </si>
  <si>
    <t xml:space="preserve">WACC — CDS basis (primary)</t>
  </si>
  <si>
    <t xml:space="preserve">both published, deliberately</t>
  </si>
  <si>
    <t xml:space="preserve">WACC — rating basis</t>
  </si>
  <si>
    <t xml:space="preserve">Beta ladder (Ke / WACC / DCF per share)</t>
  </si>
  <si>
    <t xml:space="preserve">Ke (CDS)</t>
  </si>
  <si>
    <t xml:space="preserve">WACC</t>
  </si>
  <si>
    <t xml:space="preserve">DCF EGP/sh</t>
  </si>
  <si>
    <t xml:space="preserve">DCF column = compute.py model re-run per beta (grids cannot be a single live formula).</t>
  </si>
  <si>
    <t xml:space="preserve">DCF value (EGP/share) — WACC × terminal growth  (compute.py model re-runs)</t>
  </si>
  <si>
    <t xml:space="preserve">DCF value — gross-margin shift × WACC</t>
  </si>
  <si>
    <t xml:space="preserve">-2% GPM</t>
  </si>
  <si>
    <t xml:space="preserve">-1% GPM</t>
  </si>
  <si>
    <t xml:space="preserve">+0% GPM</t>
  </si>
  <si>
    <t xml:space="preserve">+1% GPM</t>
  </si>
  <si>
    <t xml:space="preserve">+2% GPM</t>
  </si>
  <si>
    <t xml:space="preserve">The crux ladder — DCF across the WACC glidepath</t>
  </si>
  <si>
    <t xml:space="preserve">reading</t>
  </si>
  <si>
    <t xml:space="preserve">today's sourced WACC (CDS)</t>
  </si>
  <si>
    <t xml:space="preserve">−200bp</t>
  </si>
  <si>
    <t xml:space="preserve">−400bp: mid-easing</t>
  </si>
  <si>
    <t xml:space="preserve">−600bp</t>
  </si>
  <si>
    <t xml:space="preserve">market-implied — the rate spot assumes</t>
  </si>
  <si>
    <t xml:space="preserve">full easing + re-rating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</si>
  <si>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</si>
  <si>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</si>
  <si>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</si>
  <si>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</si>
  <si>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</si>
  <si>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Note</t>
  </si>
  <si>
    <t xml:space="preserve">FCFF DCF @ sourced WACC (floored at 0)</t>
  </si>
  <si>
    <t xml:space="preserve">raw (unfloored): -0.94 / -0.51 / 0.06 — negative at today's rates, disclosed</t>
  </si>
  <si>
    <t xml:space="preserve">Normalized earnings power</t>
  </si>
  <si>
    <t xml:space="preserve">7.5% through-cycle margin × FY26E revenue × 6–9× — Driver-Ledger logged</t>
  </si>
  <si>
    <t xml:space="preserve">Relative EV/EBITDA (FY27E)</t>
  </si>
  <si>
    <t xml:space="preserve">4.5–6.5× FY27E EBITDA − FY27E net debt 5999 — logged</t>
  </si>
  <si>
    <t xml:space="preserve">Weighted central</t>
  </si>
  <si>
    <t xml:space="preserve">weights must sum to 100%</t>
  </si>
  <si>
    <t xml:space="preserve">Spot 1.94 sits above the bull central — at today's sourced cost of capital. The easing-path DCF (20.5% WACC: -0.17) and the market-implied WACC (13.0%) are the dual-framed reads of what the market is paying for; they are deliberately NOT blended into the central.</t>
  </si>
  <si>
    <t xml:space="preserve">Item</t>
  </si>
  <si>
    <t xml:space="preserve">Percentile</t>
  </si>
  <si>
    <t xml:space="preserve">T+20</t>
  </si>
  <si>
    <t xml:space="preserve">T+60</t>
  </si>
  <si>
    <t xml:space="preserve">Engine</t>
  </si>
  <si>
    <t xml:space="preserve">carry-anchored YZ-HAR-t, nu=4.0 width_cal=0.972 (live EG pooled fit), 50k paths, seed 42</t>
  </si>
  <si>
    <t xml:space="preserve">5th</t>
  </si>
  <si>
    <t xml:space="preserve">Carry (60 sessions) = ln(1+19.5%)×60/252</t>
  </si>
  <si>
    <t xml:space="preserve">25th</t>
  </si>
  <si>
    <t xml:space="preserve">Event-ledger drift per quarter (external only)</t>
  </si>
  <si>
    <t xml:space="preserve">50th</t>
  </si>
  <si>
    <t xml:space="preserve">q (dividend yield) — sourced default 0</t>
  </si>
  <si>
    <t xml:space="preserve">75th</t>
  </si>
  <si>
    <t xml:space="preserve">Independence note</t>
  </si>
  <si>
    <t xml:space="preserve">the fundamental value gap of the study's Sec.1 does not enter the drift</t>
  </si>
  <si>
    <t xml:space="preserve">95th</t>
  </si>
  <si>
    <t xml:space="preserve">Probability read</t>
  </si>
  <si>
    <t xml:space="preserve">carry-only (ledger-grade)</t>
  </si>
  <si>
    <t xml:space="preserve">P(above spot at T+60)</t>
  </si>
  <si>
    <t xml:space="preserve">P(≥+10%) vs P(≤−10%)</t>
  </si>
  <si>
    <t xml:space="preserve">36.4% vs 17.7% → odds 2.05</t>
  </si>
  <si>
    <t xml:space="preserve">Median (move)</t>
  </si>
  <si>
    <t xml:space="preserve">2.02 (+4.3%)</t>
  </si>
  <si>
    <t xml:space="preserve">50% band</t>
  </si>
  <si>
    <t xml:space="preserve">1.82–2.25 (-6.0%/+15.9%)</t>
  </si>
  <si>
    <t xml:space="preserve">Touch ±10% within T+60</t>
  </si>
  <si>
    <t xml:space="preserve">up 58% / down 37%</t>
  </si>
  <si>
    <t xml:space="preserve">Level-touch ladder</t>
  </si>
  <si>
    <t xml:space="preserve">Discrete events (P, impact)</t>
  </si>
  <si>
    <t xml:space="preserve">Level</t>
  </si>
  <si>
    <t xml:space="preserve">P(touch T+20)</t>
  </si>
  <si>
    <t xml:space="preserve">P(touch T+60)</t>
  </si>
  <si>
    <t xml:space="preserve">H1-2026 results release (~Sep)</t>
  </si>
  <si>
    <t xml:space="preserve">CBE cut &gt;=100bp (Aug/Oct MPC)</t>
  </si>
  <si>
    <t xml:space="preserve">EGP step-slide &gt;=5% (serial-deval regime)</t>
  </si>
  <si>
    <t xml:space="preserve">Helwan land MoU final contracts/registration</t>
  </si>
  <si>
    <t xml:space="preserve">New export client / capacity announcement</t>
  </si>
  <si>
    <t xml:space="preserve">FY26 dividend initiation signalled</t>
  </si>
  <si>
    <t xml:space="preserve">US tariff regime turns against Egypt</t>
  </si>
  <si>
    <t xml:space="preserve">Regional / Red Sea re-escalation</t>
  </si>
  <si>
    <t xml:space="preserve">Equity raise to fund working capital</t>
  </si>
  <si>
    <t xml:space="preserve">Indicator</t>
  </si>
  <si>
    <t xml:space="preserve">Reading</t>
  </si>
  <si>
    <t xml:space="preserve">Price vs SMA 20 / 50</t>
  </si>
  <si>
    <t xml:space="preserve">1.80 / 1.83</t>
  </si>
  <si>
    <t xml:space="preserve">above both — July rebound intact</t>
  </si>
  <si>
    <t xml:space="preserve">Price vs SMA 100 / 200</t>
  </si>
  <si>
    <t xml:space="preserve">1.82 / 1.79</t>
  </si>
  <si>
    <t xml:space="preserve">above both — stack reclaimed</t>
  </si>
  <si>
    <t xml:space="preserve">RSI (14)</t>
  </si>
  <si>
    <t xml:space="preserve">70</t>
  </si>
  <si>
    <t xml:space="preserve">overbought band — the rebound is extended</t>
  </si>
  <si>
    <t xml:space="preserve">MACD (12,26,9)</t>
  </si>
  <si>
    <t xml:space="preserve">0.0221 / -0.0005 / +0.0226</t>
  </si>
  <si>
    <t xml:space="preserve">fresh positive cross</t>
  </si>
  <si>
    <t xml:space="preserve">52-week range</t>
  </si>
  <si>
    <t xml:space="preserve">1.45 – 2.23</t>
  </si>
  <si>
    <t xml:space="preserve">spot 1.94 sits 63% up the range</t>
  </si>
  <si>
    <t xml:space="preserve">Moves 20d / 60d / 252d</t>
  </si>
  <si>
    <t xml:space="preserve">+5.4% / -4.4% / -10.5%</t>
  </si>
  <si>
    <t xml:space="preserve">a rebound inside a down year</t>
  </si>
  <si>
    <t xml:space="preserve">Realised vol (252d)</t>
  </si>
  <si>
    <t xml:space="preserve">32.4%</t>
  </si>
  <si>
    <t xml:space="preserve">small-cap EGX regime</t>
  </si>
  <si>
    <t xml:space="preserve">Standardized ratio dashboard (EFG device A-5) — fixed panel, identical across studies. Values computed in compute-layer from study_numbers.json; FY23 partial (pre-detail history).</t>
  </si>
  <si>
    <t xml:space="preserve">FY23</t>
  </si>
  <si>
    <t xml:space="preserve">FY24</t>
  </si>
  <si>
    <t xml:space="preserve">FY25</t>
  </si>
  <si>
    <t xml:space="preserve">Revenue (EGP mn)</t>
  </si>
  <si>
    <t xml:space="preserve">EPS (EGP, bonus-adj 2,680mn sh)</t>
  </si>
  <si>
    <t xml:space="preserve">BVPS (EGP)</t>
  </si>
  <si>
    <t xml:space="preserve">Gross margin %</t>
  </si>
  <si>
    <t xml:space="preserve">EBITDA margin %</t>
  </si>
  <si>
    <t xml:space="preserve">Net margin %</t>
  </si>
  <si>
    <t xml:space="preserve">ROIC %</t>
  </si>
  <si>
    <t xml:space="preserve">—</t>
  </si>
  <si>
    <t xml:space="preserve">Net debt (EGP mn)</t>
  </si>
  <si>
    <t xml:space="preserve">Net debt / EBITDA ×</t>
  </si>
  <si>
    <t xml:space="preserve">EBIT interest cover ×</t>
  </si>
  <si>
    <t xml:space="preserve">Operating cash flow (EGP mn)</t>
  </si>
  <si>
    <t xml:space="preserve">OCF / Net income ×</t>
  </si>
  <si>
    <t xml:space="preserve">Capex (EGP mn)</t>
  </si>
  <si>
    <t xml:space="preserve">FCFF (EGP mn)</t>
  </si>
  <si>
    <t xml:space="preserve">FCFF / share (EGP)</t>
  </si>
  <si>
    <t xml:space="preserve">Inventory days</t>
  </si>
  <si>
    <t xml:space="preserve">Cash conversion cycle (days)</t>
  </si>
  <si>
    <t xml:space="preserve">Notes: FY23 from the FY24 release comparatives; historical ROIC/CCC per the study text; forecast inventory days from the model working-capital block (202 -&gt; 160 normalisation).</t>
  </si>
  <si>
    <t xml:space="preserve">Information Sweep (Step 2A) — four rings closed; full register ships as dscw_sweep_register.json. QC gate v2.3 table lives in the delivery message and the study.</t>
  </si>
  <si>
    <t xml:space="preserve">Ring</t>
  </si>
  <si>
    <t xml:space="preserve">Category</t>
  </si>
  <si>
    <t xml:space="preserve">Finding</t>
  </si>
  <si>
    <t xml:space="preserve">Global</t>
  </si>
  <si>
    <t xml:space="preserve">Rates/FX/commodities</t>
  </si>
  <si>
    <t xml:space="preserve">Fed 3.63% (TE); cotton ICE Oct ~79c 18-Jun-26, USDA 26/27 ~90c world (COGS headwind); Brent contained</t>
  </si>
  <si>
    <t xml:space="preserve">Country</t>
  </si>
  <si>
    <t xml:space="preserve">Sovereign/monetary</t>
  </si>
  <si>
    <t xml:space="preserve">CBE 19.50% since 2-Apr-26; Egypt 10Y 22.55% (3-Jul-26); EGP 48→52.9 Feb-Mar-26 slide, TE 12-mo ~51.7-52.8</t>
  </si>
  <si>
    <t xml:space="preserve">Trade regime</t>
  </si>
  <si>
    <t xml:space="preserve">US 10% tariff on Egypt vs ~20% on competitors (hgi.io Apr-26) — the priced advantage and its reversal risk</t>
  </si>
  <si>
    <t xml:space="preserve">Industry</t>
  </si>
  <si>
    <t xml:space="preserve">Demand</t>
  </si>
  <si>
    <t xml:space="preserve">Egypt RMG exports Jan-Apr-26 $1.15bn +15% (AEC via DailyNewsEgypt 8-Jun-26); 2026 target $4.4bn</t>
  </si>
  <si>
    <t xml:space="preserve">Company</t>
  </si>
  <si>
    <t xml:space="preserve">FY2025 release</t>
  </si>
  <si>
    <t xml:space="preserve">dice.eg — the FS base of this model; segments, volumes, capacity, land purchases, CBE-cut table</t>
  </si>
  <si>
    <t xml:space="preserve">Q1-2026</t>
  </si>
  <si>
    <t xml:space="preserve">EGX filing via Arab Finance/Zawya: rev 1,709 (+19.6%), net loss −159.7 — the FY26E stress, colour not base</t>
  </si>
  <si>
    <t xml:space="preserve">Ownership</t>
  </si>
  <si>
    <t xml:space="preserve">Sep-2023 preliminary MTO (Toma consortium, 90% at 0.65) lapsed; ESIH 8.06% (Jan-21); family control; FY25 bonus 1.787→2.68bn sh</t>
  </si>
  <si>
    <t xml:space="preserve">Negative searches (dated 19-Jul-26)</t>
  </si>
  <si>
    <t xml:space="preserve">Q1-26 release on dice.eg: NOT FOUND (press print used, flagged) · FX-denominated debt: none disclosed · named new EGX-listed entrant: none · technology substitution: none material</t>
  </si>
  <si>
    <t xml:space="preserve">Peer snapshot — KABO (closest product comp; both make knitted underwear; FY-Jun, flagged)</t>
  </si>
  <si>
    <t xml:space="preserve">~1,020 FY-Jun-24 (+72.5%); TTM Dec-24 ~1,130</t>
  </si>
  <si>
    <t xml:space="preserve">DSCW 7,130 CY25 — ~6x scale</t>
  </si>
  <si>
    <t xml:space="preserve">GPM ~16.1% / NPM 1.8% (from 14.7%)</t>
  </si>
  <si>
    <t xml:space="preserve">DSCW 25.2% / 5.1% — same collapse pattern, sectoral evidence</t>
  </si>
  <si>
    <t xml:space="preserve">Market cap / trailing P/E</t>
  </si>
  <si>
    <t xml:space="preserve">~3,350 at ~108x (price 5.94, retrieved 19-Jul-26)</t>
  </si>
  <si>
    <t xml:space="preserve">asset play: Alexandria land + 26.55% Spinalex — NOT an earnings anchor</t>
  </si>
  <si>
    <t xml:space="preserve">Dividend / capacity move</t>
  </si>
  <si>
    <t xml:space="preserve">never paid / Dec-25 export-lines expansion announced</t>
  </si>
  <si>
    <t xml:space="preserve">register: INDUSTRY named-competitor finding</t>
  </si>
  <si>
    <t xml:space="preserve">Quarterly record (H1-25 earnings release dice.eg 19-Jul-26 + EGX filings as carried; derived = differencing official period totals)</t>
  </si>
  <si>
    <t xml:space="preserve">derivation check -&gt;</t>
  </si>
  <si>
    <t xml:space="preserve">Q1-2024</t>
  </si>
  <si>
    <t xml:space="preserve">rev 993.4 | NP +119.2 (der.) | NPM 12.0% | GPM 30.4% | net int (54.4)</t>
  </si>
  <si>
    <t xml:space="preserve">company Q1-25 release prints rev/GPM directly</t>
  </si>
  <si>
    <t xml:space="preserve">Q2-2024</t>
  </si>
  <si>
    <t xml:space="preserve">rev 1,390.7 | NP +366.6 | NPM 26.4% | GPM 44.0% | net int (77.2)</t>
  </si>
  <si>
    <t xml:space="preserve">the devaluation-windfall peak</t>
  </si>
  <si>
    <t xml:space="preserve">Q3-2024</t>
  </si>
  <si>
    <t xml:space="preserve">rev 1,668.1 | NP +318.9 | NPM 19.1% | GPM 33.8%</t>
  </si>
  <si>
    <t xml:space="preserve">9M-24 release + wire</t>
  </si>
  <si>
    <t xml:space="preserve">Q4-2024</t>
  </si>
  <si>
    <t xml:space="preserve">rev 1,716.5 (der.) | NP +96.3 (der.) | NPM 5.6%</t>
  </si>
  <si>
    <t xml:space="preserve">decay already underway</t>
  </si>
  <si>
    <t xml:space="preserve">Q1-2025</t>
  </si>
  <si>
    <t xml:space="preserve">rev 1,429.1 | NP +90.5 att | NPM 6.3% | GPM 24.7% | net int (104.6)</t>
  </si>
  <si>
    <t xml:space="preserve">Q1 again profitable — no Q1-loss seasonality</t>
  </si>
  <si>
    <t xml:space="preserve">Q2-2025</t>
  </si>
  <si>
    <t xml:space="preserve">rev 1,754.9 | NP +101.5 | NPM 5.8% | GPM 26.0% | net int (126.0)</t>
  </si>
  <si>
    <t xml:space="preserve">margin ~26% plateau</t>
  </si>
  <si>
    <t xml:space="preserve">Q3-2025</t>
  </si>
  <si>
    <t xml:space="preserve">rev 1,946.0 (der.) | NP +109.6 | NPM 5.6%</t>
  </si>
  <si>
    <t xml:space="preserve">9M-25 wire: 9M NP 301.66 ties Q1+Q2+Q3 exactly</t>
  </si>
  <si>
    <t xml:space="preserve">Q4-2025</t>
  </si>
  <si>
    <t xml:space="preserve">rev 1,999.7 (der.) | NP +64.9 (der.) | NPM 3.2%</t>
  </si>
  <si>
    <t xml:space="preserve">weakest pre-loss quarter — the slide accelerating</t>
  </si>
  <si>
    <t xml:space="preserve">rev 1,709.0 | NP (159.7) att | NPM -9.3%</t>
  </si>
  <si>
    <t xml:space="preserve">first non-pandemic loss quarter — trend, not season</t>
  </si>
  <si>
    <t xml:space="preserve">H1-25 cash (official)</t>
  </si>
  <si>
    <t xml:space="preserve">CFO (609.1); capex+PUC ~(129.5); FCF ~(738.6) | H1-24 CFO (602.5)</t>
  </si>
  <si>
    <t xml:space="preserve">burn predates the loss quarter; Q1-26 CF not carried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</si>
</sst>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"/>
    <numFmt numFmtId="167" formatCode="#,##0;\(#,##0\);\-"/>
    <numFmt numFmtId="168" formatCode="0"/>
    <numFmt numFmtId="169" formatCode="#,##0.0;\(#,##0.0\);\-"/>
    <numFmt numFmtId="170" formatCode="0.000"/>
    <numFmt numFmtId="171" formatCode="0.00%"/>
    <numFmt numFmtId="172" formatCode="#,##0"/>
    <numFmt numFmtId="173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</row>
    <row r="4" customFormat="false" ht="27.75" hidden="false" customHeight="true" outlineLevel="0" collapsed="false">
      <c r="A4" s="2" t="s">
        <v>2</v>
      </c>
    </row>
    <row r="5" customFormat="false" ht="27.75" hidden="false" customHeight="true" outlineLevel="0" collapsed="false">
      <c r="A5" s="2" t="s">
        <v>3</v>
      </c>
    </row>
    <row r="6" customFormat="false" ht="27.75" hidden="false" customHeight="true" outlineLevel="0" collapsed="false">
      <c r="A6" s="2" t="s">
        <v>4</v>
      </c>
    </row>
    <row r="7" customFormat="false" ht="27.75" hidden="false" customHeight="true" outlineLevel="0" collapsed="false">
      <c r="A7" s="2" t="s">
        <v>5</v>
      </c>
    </row>
    <row r="8" customFormat="false" ht="27.75" hidden="false" customHeight="tru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7" min="3" style="0" width="11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5" t="n">
        <v>0.12</v>
      </c>
      <c r="D2" s="5" t="n">
        <v>0.1</v>
      </c>
      <c r="E2" s="5" t="n">
        <v>0.08</v>
      </c>
      <c r="F2" s="5" t="n">
        <v>0.06</v>
      </c>
      <c r="G2" s="5" t="n">
        <v>0.05</v>
      </c>
      <c r="H2" s="2" t="s">
        <v>17</v>
      </c>
    </row>
    <row r="3" customFormat="false" ht="15" hidden="false" customHeight="false" outlineLevel="0" collapsed="false">
      <c r="A3" s="4" t="s">
        <v>18</v>
      </c>
      <c r="B3" s="4" t="s">
        <v>16</v>
      </c>
      <c r="C3" s="5" t="n">
        <v>0.02</v>
      </c>
      <c r="D3" s="5" t="n">
        <v>0.02</v>
      </c>
      <c r="E3" s="5" t="n">
        <v>0.02</v>
      </c>
      <c r="F3" s="5" t="n">
        <v>0.02</v>
      </c>
      <c r="G3" s="5" t="n">
        <v>0.02</v>
      </c>
      <c r="H3" s="2" t="s">
        <v>19</v>
      </c>
    </row>
    <row r="4" customFormat="false" ht="15" hidden="false" customHeight="false" outlineLevel="0" collapsed="false">
      <c r="A4" s="4" t="s">
        <v>20</v>
      </c>
      <c r="B4" s="4" t="s">
        <v>21</v>
      </c>
      <c r="C4" s="6" t="n">
        <v>52</v>
      </c>
      <c r="D4" s="6" t="n">
        <v>53.6</v>
      </c>
      <c r="E4" s="6" t="n">
        <v>55.2</v>
      </c>
      <c r="F4" s="6" t="n">
        <v>56.8</v>
      </c>
      <c r="G4" s="6" t="n">
        <v>58.5</v>
      </c>
      <c r="H4" s="2" t="s">
        <v>22</v>
      </c>
    </row>
    <row r="5" customFormat="false" ht="15" hidden="false" customHeight="false" outlineLevel="0" collapsed="false">
      <c r="A5" s="4" t="s">
        <v>23</v>
      </c>
      <c r="B5" s="4" t="s">
        <v>16</v>
      </c>
      <c r="C5" s="5" t="n">
        <v>0.3</v>
      </c>
      <c r="D5" s="5" t="n">
        <v>0.24</v>
      </c>
      <c r="E5" s="5" t="n">
        <v>0.18</v>
      </c>
      <c r="F5" s="5" t="n">
        <v>0.14</v>
      </c>
      <c r="G5" s="5" t="n">
        <v>0.12</v>
      </c>
      <c r="H5" s="2" t="s">
        <v>24</v>
      </c>
    </row>
    <row r="6" customFormat="false" ht="15" hidden="false" customHeight="false" outlineLevel="0" collapsed="false">
      <c r="A6" s="4" t="s">
        <v>25</v>
      </c>
      <c r="B6" s="4" t="s">
        <v>16</v>
      </c>
      <c r="C6" s="5" t="n">
        <v>0.13</v>
      </c>
      <c r="D6" s="5" t="n">
        <v>0.13</v>
      </c>
      <c r="E6" s="5" t="n">
        <v>0.13</v>
      </c>
      <c r="F6" s="5" t="n">
        <v>0.13</v>
      </c>
      <c r="G6" s="5" t="n">
        <v>0.13</v>
      </c>
      <c r="H6" s="2" t="s">
        <v>26</v>
      </c>
    </row>
    <row r="7" customFormat="false" ht="15" hidden="false" customHeight="false" outlineLevel="0" collapsed="false">
      <c r="A7" s="4" t="s">
        <v>27</v>
      </c>
      <c r="B7" s="4" t="s">
        <v>16</v>
      </c>
      <c r="C7" s="5" t="n">
        <v>0.1</v>
      </c>
      <c r="D7" s="5" t="n">
        <v>0.1</v>
      </c>
      <c r="E7" s="5" t="n">
        <v>0.1</v>
      </c>
      <c r="F7" s="5" t="n">
        <v>0.1</v>
      </c>
      <c r="G7" s="5" t="n">
        <v>0.1</v>
      </c>
      <c r="H7" s="2" t="s">
        <v>28</v>
      </c>
    </row>
    <row r="8" customFormat="false" ht="15" hidden="false" customHeight="false" outlineLevel="0" collapsed="false">
      <c r="A8" s="4" t="s">
        <v>29</v>
      </c>
      <c r="B8" s="4" t="s">
        <v>16</v>
      </c>
      <c r="C8" s="5" t="n">
        <v>0.03</v>
      </c>
      <c r="D8" s="5" t="n">
        <v>0.03</v>
      </c>
      <c r="E8" s="5" t="n">
        <v>0.03</v>
      </c>
      <c r="F8" s="5" t="n">
        <v>0.03</v>
      </c>
      <c r="G8" s="5" t="n">
        <v>0.03</v>
      </c>
      <c r="H8" s="2" t="s">
        <v>30</v>
      </c>
    </row>
    <row r="9" customFormat="false" ht="23.85" hidden="false" customHeight="false" outlineLevel="0" collapsed="false">
      <c r="A9" s="4" t="s">
        <v>31</v>
      </c>
      <c r="B9" s="4" t="s">
        <v>16</v>
      </c>
      <c r="C9" s="5" t="n">
        <v>0.225</v>
      </c>
      <c r="D9" s="5" t="n">
        <v>0.245</v>
      </c>
      <c r="E9" s="5" t="n">
        <v>0.255</v>
      </c>
      <c r="F9" s="5" t="n">
        <v>0.26</v>
      </c>
      <c r="G9" s="5" t="n">
        <v>0.26</v>
      </c>
      <c r="H9" s="2" t="s">
        <v>32</v>
      </c>
    </row>
    <row r="10" customFormat="false" ht="15" hidden="false" customHeight="false" outlineLevel="0" collapsed="false">
      <c r="A10" s="4" t="s">
        <v>33</v>
      </c>
      <c r="B10" s="4" t="s">
        <v>16</v>
      </c>
      <c r="C10" s="5" t="n">
        <v>0.057</v>
      </c>
      <c r="D10" s="5" t="n">
        <v>0.056</v>
      </c>
      <c r="E10" s="5" t="n">
        <v>0.055</v>
      </c>
      <c r="F10" s="5" t="n">
        <v>0.053</v>
      </c>
      <c r="G10" s="5" t="n">
        <v>0.052</v>
      </c>
      <c r="H10" s="2" t="s">
        <v>34</v>
      </c>
    </row>
    <row r="11" customFormat="false" ht="15" hidden="false" customHeight="false" outlineLevel="0" collapsed="false">
      <c r="A11" s="4" t="s">
        <v>35</v>
      </c>
      <c r="B11" s="4" t="s">
        <v>16</v>
      </c>
      <c r="C11" s="5" t="n">
        <v>0.053</v>
      </c>
      <c r="D11" s="5" t="n">
        <v>0.052</v>
      </c>
      <c r="E11" s="5" t="n">
        <v>0.05</v>
      </c>
      <c r="F11" s="5" t="n">
        <v>0.049</v>
      </c>
      <c r="G11" s="5" t="n">
        <v>0.048</v>
      </c>
      <c r="H11" s="2" t="s">
        <v>36</v>
      </c>
    </row>
    <row r="12" customFormat="false" ht="15" hidden="false" customHeight="false" outlineLevel="0" collapsed="false">
      <c r="A12" s="4" t="s">
        <v>37</v>
      </c>
      <c r="B12" s="4" t="s">
        <v>16</v>
      </c>
      <c r="C12" s="5" t="n">
        <v>0.012</v>
      </c>
      <c r="H12" s="2" t="s">
        <v>38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7" t="n">
        <v>800</v>
      </c>
      <c r="D13" s="7" t="n">
        <v>700</v>
      </c>
      <c r="E13" s="7" t="n">
        <v>650</v>
      </c>
      <c r="F13" s="7" t="n">
        <v>600</v>
      </c>
      <c r="G13" s="7" t="n">
        <v>550</v>
      </c>
      <c r="H13" s="2" t="s">
        <v>41</v>
      </c>
    </row>
    <row r="14" customFormat="false" ht="15" hidden="false" customHeight="false" outlineLevel="0" collapsed="false">
      <c r="A14" s="4" t="s">
        <v>42</v>
      </c>
      <c r="B14" s="4" t="s">
        <v>16</v>
      </c>
      <c r="C14" s="5" t="n">
        <v>0.085</v>
      </c>
      <c r="H14" s="2" t="s">
        <v>43</v>
      </c>
    </row>
    <row r="15" customFormat="false" ht="15" hidden="false" customHeight="false" outlineLevel="0" collapsed="false">
      <c r="A15" s="4" t="s">
        <v>44</v>
      </c>
      <c r="B15" s="4" t="s">
        <v>16</v>
      </c>
      <c r="C15" s="5" t="n">
        <v>0.15</v>
      </c>
      <c r="H15" s="2" t="s">
        <v>45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8" t="n">
        <v>190</v>
      </c>
      <c r="D16" s="8" t="n">
        <v>180</v>
      </c>
      <c r="E16" s="8" t="n">
        <v>172</v>
      </c>
      <c r="F16" s="8" t="n">
        <v>166</v>
      </c>
      <c r="G16" s="8" t="n">
        <v>160</v>
      </c>
      <c r="H16" s="2" t="s">
        <v>48</v>
      </c>
    </row>
    <row r="17" customFormat="false" ht="15" hidden="false" customHeight="false" outlineLevel="0" collapsed="false">
      <c r="A17" s="4" t="s">
        <v>49</v>
      </c>
      <c r="B17" s="4" t="s">
        <v>47</v>
      </c>
      <c r="C17" s="8" t="n">
        <v>72</v>
      </c>
      <c r="H17" s="2" t="s">
        <v>50</v>
      </c>
    </row>
    <row r="18" customFormat="false" ht="15" hidden="false" customHeight="false" outlineLevel="0" collapsed="false">
      <c r="A18" s="4" t="s">
        <v>51</v>
      </c>
      <c r="B18" s="4" t="s">
        <v>47</v>
      </c>
      <c r="C18" s="8" t="n">
        <v>39.6</v>
      </c>
      <c r="H18" s="2" t="s">
        <v>52</v>
      </c>
    </row>
    <row r="19" customFormat="false" ht="15" hidden="false" customHeight="false" outlineLevel="0" collapsed="false">
      <c r="A19" s="4" t="s">
        <v>53</v>
      </c>
      <c r="B19" s="4" t="s">
        <v>47</v>
      </c>
      <c r="C19" s="8" t="n">
        <v>30</v>
      </c>
      <c r="H19" s="2" t="s">
        <v>54</v>
      </c>
    </row>
    <row r="20" customFormat="false" ht="15" hidden="false" customHeight="false" outlineLevel="0" collapsed="false">
      <c r="A20" s="4" t="s">
        <v>55</v>
      </c>
      <c r="B20" s="4" t="s">
        <v>47</v>
      </c>
      <c r="C20" s="8" t="n">
        <v>25.3</v>
      </c>
      <c r="H20" s="2" t="s">
        <v>52</v>
      </c>
    </row>
    <row r="21" customFormat="false" ht="15" hidden="false" customHeight="false" outlineLevel="0" collapsed="false">
      <c r="A21" s="4" t="s">
        <v>56</v>
      </c>
      <c r="B21" s="4" t="s">
        <v>16</v>
      </c>
      <c r="C21" s="5" t="n">
        <v>0.0144</v>
      </c>
      <c r="H21" s="2" t="s">
        <v>52</v>
      </c>
    </row>
    <row r="22" customFormat="false" ht="15" hidden="false" customHeight="false" outlineLevel="0" collapsed="false">
      <c r="A22" s="4" t="s">
        <v>57</v>
      </c>
      <c r="B22" s="4" t="s">
        <v>16</v>
      </c>
      <c r="C22" s="5" t="n">
        <v>0.165</v>
      </c>
      <c r="D22" s="5" t="n">
        <v>0.135</v>
      </c>
      <c r="E22" s="5" t="n">
        <v>0.12</v>
      </c>
      <c r="F22" s="5" t="n">
        <v>0.11</v>
      </c>
      <c r="G22" s="5" t="n">
        <v>0.105</v>
      </c>
      <c r="H22" s="2" t="s">
        <v>58</v>
      </c>
    </row>
    <row r="23" customFormat="false" ht="15" hidden="false" customHeight="false" outlineLevel="0" collapsed="false">
      <c r="A23" s="4" t="s">
        <v>59</v>
      </c>
      <c r="B23" s="4" t="s">
        <v>16</v>
      </c>
      <c r="C23" s="5" t="n">
        <v>0.12</v>
      </c>
      <c r="H23" s="2" t="s">
        <v>60</v>
      </c>
    </row>
    <row r="24" customFormat="false" ht="15" hidden="false" customHeight="false" outlineLevel="0" collapsed="false">
      <c r="A24" s="4" t="s">
        <v>61</v>
      </c>
      <c r="B24" s="4" t="s">
        <v>16</v>
      </c>
      <c r="C24" s="5" t="n">
        <v>0.09</v>
      </c>
      <c r="H24" s="2" t="s">
        <v>62</v>
      </c>
    </row>
    <row r="25" customFormat="false" ht="15" hidden="false" customHeight="false" outlineLevel="0" collapsed="false">
      <c r="A25" s="4" t="s">
        <v>63</v>
      </c>
      <c r="B25" s="4" t="s">
        <v>16</v>
      </c>
      <c r="C25" s="5" t="n">
        <v>0.1</v>
      </c>
      <c r="H25" s="2" t="s">
        <v>64</v>
      </c>
    </row>
    <row r="26" customFormat="false" ht="15" hidden="false" customHeight="false" outlineLevel="0" collapsed="false">
      <c r="A26" s="4" t="s">
        <v>65</v>
      </c>
      <c r="B26" s="4" t="s">
        <v>40</v>
      </c>
      <c r="C26" s="7" t="n">
        <v>-30</v>
      </c>
      <c r="D26" s="7" t="n">
        <v>-30</v>
      </c>
      <c r="E26" s="7" t="n">
        <v>-30</v>
      </c>
      <c r="F26" s="7" t="n">
        <v>-30</v>
      </c>
      <c r="G26" s="7" t="n">
        <v>-30</v>
      </c>
      <c r="H26" s="2" t="s">
        <v>66</v>
      </c>
    </row>
    <row r="27" customFormat="false" ht="15" hidden="false" customHeight="false" outlineLevel="0" collapsed="false">
      <c r="A27" s="4" t="s">
        <v>67</v>
      </c>
      <c r="B27" s="4" t="s">
        <v>40</v>
      </c>
      <c r="C27" s="7" t="n">
        <v>150</v>
      </c>
      <c r="H27" s="2" t="s">
        <v>68</v>
      </c>
    </row>
    <row r="28" customFormat="false" ht="15" hidden="false" customHeight="false" outlineLevel="0" collapsed="false">
      <c r="A28" s="9" t="s">
        <v>69</v>
      </c>
    </row>
    <row r="29" customFormat="false" ht="15" hidden="false" customHeight="false" outlineLevel="0" collapsed="false">
      <c r="A29" s="4" t="s">
        <v>70</v>
      </c>
      <c r="B29" s="4" t="s">
        <v>16</v>
      </c>
      <c r="C29" s="5" t="n">
        <v>0.225</v>
      </c>
      <c r="H29" s="2" t="s">
        <v>71</v>
      </c>
    </row>
    <row r="30" customFormat="false" ht="15" hidden="false" customHeight="false" outlineLevel="0" collapsed="false">
      <c r="A30" s="4" t="s">
        <v>72</v>
      </c>
      <c r="B30" s="4" t="s">
        <v>16</v>
      </c>
      <c r="C30" s="5" t="n">
        <v>0.2255</v>
      </c>
      <c r="H30" s="2" t="s">
        <v>73</v>
      </c>
    </row>
    <row r="31" customFormat="false" ht="15" hidden="false" customHeight="false" outlineLevel="0" collapsed="false">
      <c r="A31" s="4" t="s">
        <v>74</v>
      </c>
      <c r="B31" s="4" t="s">
        <v>16</v>
      </c>
      <c r="C31" s="5" t="n">
        <v>0.0941</v>
      </c>
      <c r="H31" s="2" t="s">
        <v>75</v>
      </c>
    </row>
    <row r="32" customFormat="false" ht="15" hidden="false" customHeight="false" outlineLevel="0" collapsed="false">
      <c r="A32" s="4" t="s">
        <v>76</v>
      </c>
      <c r="B32" s="4" t="s">
        <v>16</v>
      </c>
      <c r="C32" s="5" t="n">
        <v>0.1394</v>
      </c>
      <c r="H32" s="2" t="s">
        <v>75</v>
      </c>
    </row>
    <row r="33" customFormat="false" ht="15" hidden="false" customHeight="false" outlineLevel="0" collapsed="false">
      <c r="A33" s="4" t="s">
        <v>77</v>
      </c>
      <c r="B33" s="4" t="s">
        <v>78</v>
      </c>
      <c r="C33" s="6" t="n">
        <v>1</v>
      </c>
      <c r="H33" s="2" t="s">
        <v>79</v>
      </c>
    </row>
    <row r="34" customFormat="false" ht="15" hidden="false" customHeight="false" outlineLevel="0" collapsed="false">
      <c r="A34" s="4" t="s">
        <v>80</v>
      </c>
      <c r="B34" s="4" t="s">
        <v>16</v>
      </c>
      <c r="C34" s="5" t="n">
        <v>0.1568</v>
      </c>
      <c r="H34" s="2" t="s">
        <v>81</v>
      </c>
    </row>
    <row r="35" customFormat="false" ht="15" hidden="false" customHeight="false" outlineLevel="0" collapsed="false">
      <c r="A35" s="4" t="s">
        <v>82</v>
      </c>
      <c r="B35" s="4" t="s">
        <v>16</v>
      </c>
      <c r="C35" s="5" t="n">
        <v>0.05</v>
      </c>
      <c r="H35" s="2" t="s">
        <v>83</v>
      </c>
    </row>
    <row r="36" customFormat="false" ht="15" hidden="false" customHeight="false" outlineLevel="0" collapsed="false">
      <c r="A36" s="4" t="s">
        <v>84</v>
      </c>
      <c r="B36" s="4" t="s">
        <v>16</v>
      </c>
      <c r="C36" s="5" t="n">
        <v>0.22</v>
      </c>
      <c r="H36" s="2" t="s">
        <v>85</v>
      </c>
    </row>
    <row r="37" customFormat="false" ht="15" hidden="false" customHeight="false" outlineLevel="0" collapsed="false">
      <c r="A37" s="4" t="s">
        <v>86</v>
      </c>
      <c r="B37" s="4" t="s">
        <v>87</v>
      </c>
      <c r="C37" s="6" t="n">
        <v>1.94</v>
      </c>
      <c r="D37" s="6" t="n">
        <v>2680</v>
      </c>
      <c r="H37" s="2" t="s">
        <v>88</v>
      </c>
    </row>
    <row r="38" customFormat="false" ht="15" hidden="false" customHeight="false" outlineLevel="0" collapsed="false">
      <c r="A38" s="4" t="s">
        <v>89</v>
      </c>
      <c r="B38" s="4" t="s">
        <v>16</v>
      </c>
      <c r="C38" s="5" t="n">
        <v>0.075</v>
      </c>
      <c r="H38" s="2" t="s">
        <v>90</v>
      </c>
    </row>
    <row r="39" customFormat="false" ht="15" hidden="false" customHeight="false" outlineLevel="0" collapsed="false">
      <c r="A39" s="4" t="s">
        <v>91</v>
      </c>
      <c r="B39" s="4" t="s">
        <v>78</v>
      </c>
      <c r="C39" s="6" t="n">
        <v>6</v>
      </c>
      <c r="D39" s="6" t="n">
        <v>7.5</v>
      </c>
      <c r="E39" s="6" t="n">
        <v>9</v>
      </c>
      <c r="H39" s="2" t="s">
        <v>92</v>
      </c>
    </row>
    <row r="40" customFormat="false" ht="15" hidden="false" customHeight="false" outlineLevel="0" collapsed="false">
      <c r="A40" s="4" t="s">
        <v>93</v>
      </c>
      <c r="B40" s="4" t="s">
        <v>78</v>
      </c>
      <c r="C40" s="6" t="n">
        <v>4.5</v>
      </c>
      <c r="D40" s="6" t="n">
        <v>5.5</v>
      </c>
      <c r="E40" s="6" t="n">
        <v>6.5</v>
      </c>
      <c r="H40" s="2" t="s">
        <v>94</v>
      </c>
    </row>
    <row r="41" customFormat="false" ht="15" hidden="false" customHeight="false" outlineLevel="0" collapsed="false">
      <c r="A41" s="4" t="s">
        <v>95</v>
      </c>
      <c r="B41" s="4" t="s">
        <v>16</v>
      </c>
      <c r="C41" s="5" t="n">
        <v>0.35</v>
      </c>
      <c r="D41" s="5" t="n">
        <v>0.35</v>
      </c>
      <c r="E41" s="5" t="n">
        <v>0.3</v>
      </c>
      <c r="H41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64"/>
  </cols>
  <sheetData>
    <row r="1" customFormat="false" ht="15" hidden="false" customHeight="false" outlineLevel="0" collapsed="false">
      <c r="A1" s="3" t="s">
        <v>40</v>
      </c>
      <c r="B1" s="3" t="s">
        <v>97</v>
      </c>
      <c r="C1" s="3" t="s">
        <v>98</v>
      </c>
      <c r="D1" s="3" t="s">
        <v>99</v>
      </c>
      <c r="E1" s="3" t="s">
        <v>100</v>
      </c>
    </row>
    <row r="2" customFormat="false" ht="15" hidden="false" customHeight="false" outlineLevel="0" collapsed="false">
      <c r="A2" s="1" t="s">
        <v>101</v>
      </c>
      <c r="B2" s="10" t="n">
        <v>3431.70731707317</v>
      </c>
      <c r="C2" s="10" t="n">
        <v>5768.7</v>
      </c>
      <c r="D2" s="10" t="n">
        <v>7129.7</v>
      </c>
      <c r="E2" s="2" t="s">
        <v>102</v>
      </c>
    </row>
    <row r="3" customFormat="false" ht="15" hidden="false" customHeight="false" outlineLevel="0" collapsed="false">
      <c r="A3" s="4" t="s">
        <v>103</v>
      </c>
      <c r="B3" s="4" t="s">
        <v>104</v>
      </c>
      <c r="C3" s="10" t="n">
        <v>3806.6</v>
      </c>
      <c r="D3" s="10" t="n">
        <v>5335.3</v>
      </c>
      <c r="E3" s="2"/>
    </row>
    <row r="4" customFormat="false" ht="15" hidden="false" customHeight="false" outlineLevel="0" collapsed="false">
      <c r="A4" s="1" t="s">
        <v>105</v>
      </c>
      <c r="B4" s="10" t="n">
        <v>1021.92708333333</v>
      </c>
      <c r="C4" s="10" t="n">
        <v>1962.1</v>
      </c>
      <c r="D4" s="10" t="n">
        <v>1794.4</v>
      </c>
      <c r="E4" s="2" t="s">
        <v>106</v>
      </c>
    </row>
    <row r="5" customFormat="false" ht="15" hidden="false" customHeight="false" outlineLevel="0" collapsed="false">
      <c r="A5" s="4" t="s">
        <v>107</v>
      </c>
      <c r="B5" s="4" t="s">
        <v>104</v>
      </c>
      <c r="C5" s="10" t="n">
        <v>-185.7</v>
      </c>
      <c r="D5" s="10" t="n">
        <v>-398.5</v>
      </c>
      <c r="E5" s="2"/>
    </row>
    <row r="6" customFormat="false" ht="15" hidden="false" customHeight="false" outlineLevel="0" collapsed="false">
      <c r="A6" s="4" t="s">
        <v>108</v>
      </c>
      <c r="B6" s="4" t="s">
        <v>104</v>
      </c>
      <c r="C6" s="10" t="n">
        <v>-265.4</v>
      </c>
      <c r="D6" s="10" t="n">
        <v>-380.2</v>
      </c>
      <c r="E6" s="2"/>
    </row>
    <row r="7" customFormat="false" ht="15" hidden="false" customHeight="false" outlineLevel="0" collapsed="false">
      <c r="A7" s="4" t="s">
        <v>109</v>
      </c>
      <c r="B7" s="4" t="s">
        <v>104</v>
      </c>
      <c r="C7" s="10" t="n">
        <v>84.4</v>
      </c>
      <c r="D7" s="10" t="n">
        <v>70.2</v>
      </c>
      <c r="E7" s="2" t="s">
        <v>110</v>
      </c>
    </row>
    <row r="8" customFormat="false" ht="15" hidden="false" customHeight="false" outlineLevel="0" collapsed="false">
      <c r="A8" s="1" t="s">
        <v>111</v>
      </c>
      <c r="B8" s="10" t="n">
        <v>835.329842931937</v>
      </c>
      <c r="C8" s="10" t="n">
        <v>1595.48</v>
      </c>
      <c r="D8" s="10" t="n">
        <v>1086</v>
      </c>
      <c r="E8" s="2" t="s">
        <v>112</v>
      </c>
    </row>
    <row r="9" customFormat="false" ht="15" hidden="false" customHeight="false" outlineLevel="0" collapsed="false">
      <c r="A9" s="4" t="s">
        <v>113</v>
      </c>
      <c r="B9" s="4" t="s">
        <v>104</v>
      </c>
      <c r="C9" s="10" t="n">
        <v>-85.9</v>
      </c>
      <c r="D9" s="10" t="n">
        <v>-120.4</v>
      </c>
      <c r="E9" s="2" t="s">
        <v>114</v>
      </c>
    </row>
    <row r="10" customFormat="false" ht="15" hidden="false" customHeight="false" outlineLevel="0" collapsed="false">
      <c r="A10" s="1" t="s">
        <v>115</v>
      </c>
      <c r="B10" s="10" t="n">
        <v>765.329842931937</v>
      </c>
      <c r="C10" s="10" t="n">
        <v>1509.6</v>
      </c>
      <c r="D10" s="10" t="n">
        <v>965.6</v>
      </c>
      <c r="E10" s="2" t="s">
        <v>116</v>
      </c>
    </row>
    <row r="11" customFormat="false" ht="15" hidden="false" customHeight="false" outlineLevel="0" collapsed="false">
      <c r="A11" s="4" t="s">
        <v>117</v>
      </c>
      <c r="B11" s="4" t="s">
        <v>104</v>
      </c>
      <c r="C11" s="10" t="n">
        <v>-319.5</v>
      </c>
      <c r="D11" s="10" t="n">
        <v>-516</v>
      </c>
      <c r="E11" s="2"/>
    </row>
    <row r="12" customFormat="false" ht="15" hidden="false" customHeight="false" outlineLevel="0" collapsed="false">
      <c r="A12" s="4" t="s">
        <v>118</v>
      </c>
      <c r="B12" s="4" t="s">
        <v>104</v>
      </c>
      <c r="C12" s="10" t="n">
        <v>-12.1</v>
      </c>
      <c r="D12" s="10" t="n">
        <v>-24.6</v>
      </c>
      <c r="E12" s="2"/>
    </row>
    <row r="13" customFormat="false" ht="15" hidden="false" customHeight="false" outlineLevel="0" collapsed="false">
      <c r="A13" s="4" t="s">
        <v>119</v>
      </c>
      <c r="B13" s="4" t="s">
        <v>104</v>
      </c>
      <c r="C13" s="10" t="n">
        <v>-10</v>
      </c>
      <c r="D13" s="10" t="n">
        <v>85.7</v>
      </c>
      <c r="E13" s="2" t="s">
        <v>120</v>
      </c>
    </row>
    <row r="14" customFormat="false" ht="15" hidden="false" customHeight="false" outlineLevel="0" collapsed="false">
      <c r="A14" s="4" t="s">
        <v>121</v>
      </c>
      <c r="B14" s="4" t="s">
        <v>104</v>
      </c>
      <c r="C14" s="10" t="n">
        <v>-10.5</v>
      </c>
      <c r="D14" s="10" t="n">
        <v>-44.2</v>
      </c>
      <c r="E14" s="2"/>
    </row>
    <row r="15" customFormat="false" ht="15" hidden="false" customHeight="false" outlineLevel="0" collapsed="false">
      <c r="A15" s="1" t="s">
        <v>122</v>
      </c>
      <c r="B15" s="4" t="s">
        <v>104</v>
      </c>
      <c r="C15" s="10" t="n">
        <v>1157.6</v>
      </c>
      <c r="D15" s="10" t="n">
        <v>466.5</v>
      </c>
      <c r="E15" s="2"/>
    </row>
    <row r="16" customFormat="false" ht="15" hidden="false" customHeight="false" outlineLevel="0" collapsed="false">
      <c r="A16" s="4" t="s">
        <v>123</v>
      </c>
      <c r="B16" s="4" t="s">
        <v>104</v>
      </c>
      <c r="C16" s="10" t="n">
        <v>-256.6</v>
      </c>
      <c r="D16" s="10" t="n">
        <v>-99.9</v>
      </c>
      <c r="E16" s="2" t="s">
        <v>124</v>
      </c>
    </row>
    <row r="17" customFormat="false" ht="23.85" hidden="false" customHeight="false" outlineLevel="0" collapsed="false">
      <c r="A17" s="1" t="s">
        <v>125</v>
      </c>
      <c r="B17" s="10" t="n">
        <v>447.8</v>
      </c>
      <c r="C17" s="10" t="n">
        <v>900.98</v>
      </c>
      <c r="D17" s="10" t="n">
        <v>366.55</v>
      </c>
      <c r="E17" s="2" t="s">
        <v>126</v>
      </c>
    </row>
    <row r="19" customFormat="false" ht="15" hidden="false" customHeight="false" outlineLevel="0" collapsed="false">
      <c r="A19" s="1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5" hidden="false" customHeight="false" outlineLevel="0" collapsed="false">
      <c r="A1" s="3" t="s">
        <v>40</v>
      </c>
      <c r="B1" s="3" t="s">
        <v>128</v>
      </c>
      <c r="C1" s="3" t="s">
        <v>129</v>
      </c>
      <c r="D1" s="3" t="s">
        <v>130</v>
      </c>
    </row>
    <row r="2" customFormat="false" ht="15" hidden="false" customHeight="false" outlineLevel="0" collapsed="false">
      <c r="A2" s="4" t="s">
        <v>131</v>
      </c>
      <c r="B2" s="10" t="n">
        <v>589.1</v>
      </c>
      <c r="C2" s="10" t="n">
        <v>900.7</v>
      </c>
      <c r="D2" s="10" t="n">
        <v>1244.9</v>
      </c>
    </row>
    <row r="3" customFormat="false" ht="15" hidden="false" customHeight="false" outlineLevel="0" collapsed="false">
      <c r="A3" s="4" t="s">
        <v>132</v>
      </c>
      <c r="B3" s="10" t="n">
        <v>47</v>
      </c>
      <c r="C3" s="10" t="n">
        <v>85.6</v>
      </c>
      <c r="D3" s="10" t="n">
        <v>125.8</v>
      </c>
    </row>
    <row r="4" customFormat="false" ht="15" hidden="false" customHeight="false" outlineLevel="0" collapsed="false">
      <c r="A4" s="4" t="s">
        <v>133</v>
      </c>
      <c r="B4" s="10" t="n">
        <v>26</v>
      </c>
      <c r="C4" s="10" t="n">
        <v>140.7</v>
      </c>
      <c r="D4" s="10" t="n">
        <v>291.1</v>
      </c>
    </row>
    <row r="5" customFormat="false" ht="15" hidden="false" customHeight="false" outlineLevel="0" collapsed="false">
      <c r="A5" s="4" t="s">
        <v>134</v>
      </c>
      <c r="B5" s="10" t="n">
        <v>154</v>
      </c>
      <c r="C5" s="10" t="n">
        <v>240.6</v>
      </c>
      <c r="D5" s="10" t="n">
        <v>157</v>
      </c>
    </row>
    <row r="6" customFormat="false" ht="15" hidden="false" customHeight="false" outlineLevel="0" collapsed="false">
      <c r="A6" s="4" t="s">
        <v>135</v>
      </c>
      <c r="B6" s="10" t="n">
        <v>1066.7</v>
      </c>
      <c r="C6" s="10" t="n">
        <v>2183.2</v>
      </c>
      <c r="D6" s="10" t="n">
        <v>2951.1</v>
      </c>
    </row>
    <row r="7" customFormat="false" ht="15" hidden="false" customHeight="false" outlineLevel="0" collapsed="false">
      <c r="A7" s="4" t="s">
        <v>136</v>
      </c>
      <c r="B7" s="10" t="n">
        <v>714.5</v>
      </c>
      <c r="C7" s="10" t="n">
        <v>1141.5</v>
      </c>
      <c r="D7" s="10" t="n">
        <v>1427.7</v>
      </c>
    </row>
    <row r="8" customFormat="false" ht="15" hidden="false" customHeight="false" outlineLevel="0" collapsed="false">
      <c r="A8" s="4" t="s">
        <v>137</v>
      </c>
      <c r="B8" s="10" t="n">
        <v>161</v>
      </c>
      <c r="C8" s="10" t="n">
        <v>0</v>
      </c>
      <c r="D8" s="10" t="n">
        <v>19</v>
      </c>
    </row>
    <row r="9" customFormat="false" ht="15" hidden="false" customHeight="false" outlineLevel="0" collapsed="false">
      <c r="A9" s="4" t="s">
        <v>138</v>
      </c>
      <c r="B9" s="10" t="n">
        <v>201.2</v>
      </c>
      <c r="C9" s="10" t="n">
        <v>501.4</v>
      </c>
      <c r="D9" s="10" t="n">
        <v>773.7</v>
      </c>
    </row>
    <row r="10" customFormat="false" ht="15" hidden="false" customHeight="false" outlineLevel="0" collapsed="false">
      <c r="A10" s="9" t="s">
        <v>139</v>
      </c>
    </row>
    <row r="11" customFormat="false" ht="15" hidden="false" customHeight="false" outlineLevel="0" collapsed="false">
      <c r="A11" s="4" t="s">
        <v>140</v>
      </c>
      <c r="B11" s="10" t="n">
        <v>1184.4</v>
      </c>
      <c r="C11" s="10" t="n">
        <v>2299.5</v>
      </c>
      <c r="D11" s="10" t="n">
        <v>3438.8</v>
      </c>
    </row>
    <row r="12" customFormat="false" ht="15" hidden="false" customHeight="false" outlineLevel="0" collapsed="false">
      <c r="A12" s="4" t="s">
        <v>141</v>
      </c>
      <c r="B12" s="10" t="n">
        <v>71.6</v>
      </c>
      <c r="C12" s="10" t="n">
        <v>158.1</v>
      </c>
      <c r="D12" s="10" t="n">
        <v>105.8</v>
      </c>
    </row>
    <row r="13" customFormat="false" ht="15" hidden="false" customHeight="false" outlineLevel="0" collapsed="false">
      <c r="A13" s="4" t="s">
        <v>142</v>
      </c>
      <c r="B13" s="10" t="n">
        <v>252.1</v>
      </c>
      <c r="C13" s="10" t="n">
        <v>439.1</v>
      </c>
      <c r="D13" s="10" t="n">
        <v>399.2</v>
      </c>
    </row>
    <row r="14" customFormat="false" ht="15" hidden="false" customHeight="false" outlineLevel="0" collapsed="false">
      <c r="A14" s="4" t="s">
        <v>143</v>
      </c>
      <c r="B14" s="10" t="n">
        <v>55.3</v>
      </c>
      <c r="C14" s="10" t="n">
        <v>80.8</v>
      </c>
      <c r="D14" s="10" t="n">
        <v>102.9</v>
      </c>
    </row>
    <row r="15" customFormat="false" ht="15" hidden="false" customHeight="false" outlineLevel="0" collapsed="false">
      <c r="A15" s="4" t="s">
        <v>144</v>
      </c>
      <c r="B15" s="10" t="n">
        <v>15.4</v>
      </c>
      <c r="C15" s="10" t="n">
        <v>0</v>
      </c>
      <c r="D15" s="10" t="n">
        <v>136.4</v>
      </c>
    </row>
    <row r="16" customFormat="false" ht="15" hidden="false" customHeight="false" outlineLevel="0" collapsed="false">
      <c r="A16" s="4" t="s">
        <v>145</v>
      </c>
      <c r="B16" s="10" t="n">
        <v>20.2</v>
      </c>
      <c r="C16" s="10" t="n">
        <v>18</v>
      </c>
      <c r="D16" s="10" t="n">
        <v>31</v>
      </c>
    </row>
    <row r="17" customFormat="false" ht="15" hidden="false" customHeight="false" outlineLevel="0" collapsed="false">
      <c r="A17" s="4" t="s">
        <v>146</v>
      </c>
      <c r="B17" s="10" t="n">
        <v>0</v>
      </c>
      <c r="C17" s="10" t="n">
        <v>0</v>
      </c>
      <c r="D17" s="10" t="n">
        <v>24.1</v>
      </c>
    </row>
    <row r="18" customFormat="false" ht="15" hidden="false" customHeight="false" outlineLevel="0" collapsed="false">
      <c r="A18" s="4" t="s">
        <v>147</v>
      </c>
      <c r="B18" s="10" t="n">
        <v>179.7</v>
      </c>
      <c r="C18" s="10" t="n">
        <v>514.8</v>
      </c>
      <c r="D18" s="10" t="n">
        <v>494</v>
      </c>
    </row>
    <row r="19" customFormat="false" ht="15" hidden="false" customHeight="false" outlineLevel="0" collapsed="false">
      <c r="A19" s="4" t="s">
        <v>148</v>
      </c>
      <c r="B19" s="10" t="n">
        <v>65.7</v>
      </c>
      <c r="C19" s="10" t="n">
        <v>269.2</v>
      </c>
      <c r="D19" s="10" t="n">
        <v>310.5</v>
      </c>
    </row>
    <row r="20" customFormat="false" ht="15" hidden="false" customHeight="false" outlineLevel="0" collapsed="false">
      <c r="A20" s="4" t="s">
        <v>149</v>
      </c>
      <c r="B20" s="10" t="n">
        <v>33.5</v>
      </c>
      <c r="C20" s="10" t="n">
        <v>77.8</v>
      </c>
      <c r="D20" s="10" t="n">
        <v>114.8</v>
      </c>
    </row>
    <row r="21" customFormat="false" ht="15" hidden="false" customHeight="false" outlineLevel="0" collapsed="false">
      <c r="A21" s="4" t="s">
        <v>150</v>
      </c>
      <c r="B21" s="10" t="n">
        <v>0</v>
      </c>
      <c r="C21" s="10" t="n">
        <v>0</v>
      </c>
      <c r="D21" s="10" t="n">
        <v>118.2</v>
      </c>
    </row>
    <row r="22" customFormat="false" ht="15" hidden="false" customHeight="false" outlineLevel="0" collapsed="false">
      <c r="A22" s="4" t="s">
        <v>151</v>
      </c>
      <c r="B22" s="10" t="n">
        <v>46.6</v>
      </c>
      <c r="C22" s="10" t="n">
        <v>78.1</v>
      </c>
      <c r="D22" s="10" t="n">
        <v>112.9</v>
      </c>
    </row>
    <row r="23" customFormat="false" ht="15" hidden="false" customHeight="false" outlineLevel="0" collapsed="false">
      <c r="A23" s="9" t="s">
        <v>152</v>
      </c>
    </row>
    <row r="24" customFormat="false" ht="15" hidden="false" customHeight="false" outlineLevel="0" collapsed="false">
      <c r="A24" s="4" t="s">
        <v>153</v>
      </c>
      <c r="B24" s="10" t="n">
        <v>357</v>
      </c>
      <c r="C24" s="10" t="n">
        <v>357</v>
      </c>
      <c r="D24" s="10" t="n">
        <v>536</v>
      </c>
    </row>
    <row r="25" customFormat="false" ht="15" hidden="false" customHeight="false" outlineLevel="0" collapsed="false">
      <c r="A25" s="4" t="s">
        <v>154</v>
      </c>
      <c r="B25" s="10" t="n">
        <v>28.9</v>
      </c>
      <c r="C25" s="10" t="n">
        <v>33.7</v>
      </c>
      <c r="D25" s="10" t="n">
        <v>75.4</v>
      </c>
    </row>
    <row r="26" customFormat="false" ht="15" hidden="false" customHeight="false" outlineLevel="0" collapsed="false">
      <c r="A26" s="4" t="s">
        <v>155</v>
      </c>
      <c r="B26" s="10" t="n">
        <v>180.4</v>
      </c>
      <c r="C26" s="10" t="n">
        <v>-33.6</v>
      </c>
      <c r="D26" s="10" t="n">
        <v>622.7</v>
      </c>
    </row>
    <row r="27" customFormat="false" ht="15" hidden="false" customHeight="false" outlineLevel="0" collapsed="false">
      <c r="A27" s="4" t="s">
        <v>156</v>
      </c>
      <c r="B27" s="10" t="n">
        <v>447.8</v>
      </c>
      <c r="C27" s="10" t="n">
        <v>900.6</v>
      </c>
      <c r="D27" s="10" t="n">
        <v>366.6</v>
      </c>
    </row>
    <row r="28" customFormat="false" ht="15" hidden="false" customHeight="false" outlineLevel="0" collapsed="false">
      <c r="A28" s="4" t="s">
        <v>157</v>
      </c>
      <c r="B28" s="10" t="n">
        <v>20.5</v>
      </c>
      <c r="C28" s="10" t="n">
        <v>0.2</v>
      </c>
      <c r="D28" s="10" t="n">
        <v>1</v>
      </c>
    </row>
    <row r="29" customFormat="false" ht="15" hidden="false" customHeight="false" outlineLevel="0" collapsed="false">
      <c r="A29" s="1" t="s">
        <v>158</v>
      </c>
      <c r="B29" s="12" t="n">
        <v>2959.4</v>
      </c>
      <c r="C29" s="12" t="n">
        <v>5193.7</v>
      </c>
      <c r="D29" s="12" t="n">
        <v>6990.3</v>
      </c>
    </row>
    <row r="30" customFormat="false" ht="15" hidden="false" customHeight="false" outlineLevel="0" collapsed="false">
      <c r="A30" s="1" t="s">
        <v>159</v>
      </c>
      <c r="B30" s="12" t="n">
        <v>1034.9</v>
      </c>
      <c r="C30" s="12" t="n">
        <v>1258.2</v>
      </c>
      <c r="D30" s="12" t="n">
        <v>1601.6</v>
      </c>
    </row>
    <row r="32" customFormat="false" ht="15" hidden="false" customHeight="false" outlineLevel="0" collapsed="false">
      <c r="A32" s="11" t="s">
        <v>160</v>
      </c>
    </row>
    <row r="33" customFormat="false" ht="25.5" hidden="false" customHeight="true" outlineLevel="0" collapsed="false">
      <c r="A33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3" t="s">
        <v>162</v>
      </c>
      <c r="B1" s="3" t="s">
        <v>163</v>
      </c>
      <c r="C1" s="3"/>
      <c r="D1" s="3" t="s">
        <v>164</v>
      </c>
      <c r="E1" s="3" t="s">
        <v>40</v>
      </c>
    </row>
    <row r="2" customFormat="false" ht="15" hidden="false" customHeight="false" outlineLevel="0" collapsed="false">
      <c r="A2" s="4" t="s">
        <v>165</v>
      </c>
      <c r="B2" s="10" t="n">
        <v>-718.9</v>
      </c>
      <c r="D2" s="4" t="s">
        <v>166</v>
      </c>
      <c r="E2" s="10" t="n">
        <v>4624.254</v>
      </c>
    </row>
    <row r="3" customFormat="false" ht="15" hidden="false" customHeight="false" outlineLevel="0" collapsed="false">
      <c r="A3" s="4" t="s">
        <v>39</v>
      </c>
      <c r="B3" s="10" t="n">
        <v>-580.8</v>
      </c>
      <c r="D3" s="4" t="s">
        <v>167</v>
      </c>
      <c r="E3" s="10" t="n">
        <v>1751.9</v>
      </c>
    </row>
    <row r="4" customFormat="false" ht="15" hidden="false" customHeight="false" outlineLevel="0" collapsed="false">
      <c r="A4" s="4" t="s">
        <v>168</v>
      </c>
      <c r="B4" s="10" t="n">
        <v>-523.5</v>
      </c>
      <c r="D4" s="4" t="s">
        <v>169</v>
      </c>
      <c r="E4" s="10" t="n">
        <v>278.813118</v>
      </c>
    </row>
    <row r="5" customFormat="false" ht="15" hidden="false" customHeight="false" outlineLevel="0" collapsed="false">
      <c r="A5" s="4" t="s">
        <v>170</v>
      </c>
      <c r="B5" s="10" t="n">
        <v>0</v>
      </c>
      <c r="D5" s="4" t="s">
        <v>171</v>
      </c>
      <c r="E5" s="10" t="n">
        <v>86.174</v>
      </c>
    </row>
    <row r="6" customFormat="false" ht="15" hidden="false" customHeight="false" outlineLevel="0" collapsed="false">
      <c r="A6" s="4" t="s">
        <v>172</v>
      </c>
      <c r="B6" s="10" t="n">
        <v>133.7</v>
      </c>
      <c r="D6" s="4" t="s">
        <v>173</v>
      </c>
      <c r="E6" s="10" t="n">
        <v>388.5</v>
      </c>
    </row>
    <row r="7" customFormat="false" ht="15" hidden="false" customHeight="false" outlineLevel="0" collapsed="false">
      <c r="D7" s="1" t="s">
        <v>174</v>
      </c>
      <c r="E7" s="12" t="n">
        <v>7129.641118</v>
      </c>
    </row>
    <row r="9" customFormat="false" ht="15" hidden="false" customHeight="true" outlineLevel="0" collapsed="false">
      <c r="A9" s="13" t="s">
        <v>175</v>
      </c>
      <c r="B9" s="13"/>
      <c r="D9" s="4" t="s">
        <v>176</v>
      </c>
      <c r="E9" s="14" t="n">
        <v>21585</v>
      </c>
    </row>
    <row r="10" customFormat="false" ht="15" hidden="false" customHeight="false" outlineLevel="0" collapsed="false">
      <c r="A10" s="13"/>
      <c r="B10" s="13"/>
      <c r="D10" s="4" t="s">
        <v>177</v>
      </c>
      <c r="E10" s="10" t="n">
        <v>95.174</v>
      </c>
    </row>
    <row r="11" customFormat="false" ht="15" hidden="false" customHeight="false" outlineLevel="0" collapsed="false">
      <c r="A11" s="13"/>
      <c r="B11" s="13"/>
      <c r="D11" s="4" t="s">
        <v>178</v>
      </c>
      <c r="E11" s="15" t="n">
        <v>4.41</v>
      </c>
    </row>
    <row r="12" customFormat="false" ht="15" hidden="false" customHeight="false" outlineLevel="0" collapsed="false">
      <c r="A12" s="13"/>
      <c r="B12" s="13"/>
      <c r="D12" s="4" t="s">
        <v>179</v>
      </c>
      <c r="E12" s="15" t="n">
        <v>48.59</v>
      </c>
    </row>
    <row r="13" customFormat="false" ht="15" hidden="false" customHeight="false" outlineLevel="0" collapsed="false">
      <c r="D13" s="4" t="s">
        <v>180</v>
      </c>
      <c r="E13" s="14" t="n">
        <v>29700</v>
      </c>
    </row>
    <row r="14" customFormat="false" ht="15" hidden="false" customHeight="false" outlineLevel="0" collapsed="false">
      <c r="D14" s="4" t="s">
        <v>181</v>
      </c>
      <c r="E14" s="16" t="n">
        <v>0.726767676767677</v>
      </c>
    </row>
  </sheetData>
  <mergeCells count="1">
    <mergeCell ref="A9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3" t="s">
        <v>182</v>
      </c>
      <c r="B1" s="3" t="s">
        <v>183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customFormat="false" ht="15" hidden="false" customHeight="false" outlineLevel="0" collapsed="false">
      <c r="A2" s="4" t="s">
        <v>176</v>
      </c>
      <c r="B2" s="14" t="n">
        <v>21585</v>
      </c>
      <c r="C2" s="14" t="n">
        <f aca="false">B2*(1+Assumptions!C2)</f>
        <v>24175.2</v>
      </c>
      <c r="D2" s="14" t="n">
        <f aca="false">C2*(1+Assumptions!D2)</f>
        <v>26592.72</v>
      </c>
      <c r="E2" s="14" t="n">
        <f aca="false">D2*(1+Assumptions!E2)</f>
        <v>28720.1376</v>
      </c>
      <c r="F2" s="14" t="n">
        <f aca="false">E2*(1+Assumptions!F2)</f>
        <v>30443.345856</v>
      </c>
      <c r="G2" s="14" t="n">
        <f aca="false">F2*(1+Assumptions!G2)</f>
        <v>31965.5131488</v>
      </c>
    </row>
    <row r="3" customFormat="false" ht="15" hidden="false" customHeight="false" outlineLevel="0" collapsed="false">
      <c r="A3" s="4" t="s">
        <v>184</v>
      </c>
      <c r="B3" s="15" t="n">
        <v>4.41</v>
      </c>
      <c r="C3" s="15" t="n">
        <f aca="false">B3*(1+Assumptions!C3)</f>
        <v>4.4982</v>
      </c>
      <c r="D3" s="15" t="n">
        <f aca="false">C3*(1+Assumptions!D3)</f>
        <v>4.588164</v>
      </c>
      <c r="E3" s="15" t="n">
        <f aca="false">D3*(1+Assumptions!E3)</f>
        <v>4.67992728</v>
      </c>
      <c r="F3" s="15" t="n">
        <f aca="false">E3*(1+Assumptions!F3)</f>
        <v>4.7735258256</v>
      </c>
      <c r="G3" s="15" t="n">
        <f aca="false">F3*(1+Assumptions!G3)</f>
        <v>4.868996342112</v>
      </c>
    </row>
    <row r="4" customFormat="false" ht="15" hidden="false" customHeight="false" outlineLevel="0" collapsed="false">
      <c r="A4" s="4" t="s">
        <v>177</v>
      </c>
      <c r="B4" s="10" t="n">
        <v>95.174</v>
      </c>
      <c r="C4" s="10" t="n">
        <f aca="false">C2*C3/1000</f>
        <v>108.74488464</v>
      </c>
      <c r="D4" s="10" t="n">
        <f aca="false">D2*D3/1000</f>
        <v>122.01176056608</v>
      </c>
      <c r="E4" s="10" t="n">
        <f aca="false">E2*E3/1000</f>
        <v>134.408155439594</v>
      </c>
      <c r="F4" s="10" t="n">
        <f aca="false">F2*F3/1000</f>
        <v>145.322097661289</v>
      </c>
      <c r="G4" s="10" t="n">
        <f aca="false">G2*G3/1000</f>
        <v>155.63996659524</v>
      </c>
    </row>
    <row r="5" customFormat="false" ht="15" hidden="false" customHeight="false" outlineLevel="0" collapsed="false">
      <c r="A5" s="4" t="s">
        <v>185</v>
      </c>
      <c r="B5" s="15" t="n">
        <v>48.59</v>
      </c>
      <c r="C5" s="15" t="n">
        <f aca="false">Assumptions!C4</f>
        <v>52</v>
      </c>
      <c r="D5" s="15" t="n">
        <f aca="false">Assumptions!D4</f>
        <v>53.6</v>
      </c>
      <c r="E5" s="15" t="n">
        <f aca="false">Assumptions!E4</f>
        <v>55.2</v>
      </c>
      <c r="F5" s="15" t="n">
        <f aca="false">Assumptions!F4</f>
        <v>56.8</v>
      </c>
      <c r="G5" s="15" t="n">
        <f aca="false">Assumptions!G4</f>
        <v>58.5</v>
      </c>
    </row>
    <row r="6" customFormat="false" ht="15" hidden="false" customHeight="false" outlineLevel="0" collapsed="false">
      <c r="A6" s="4" t="s">
        <v>186</v>
      </c>
      <c r="B6" s="10" t="n">
        <v>-0.250660000000607</v>
      </c>
      <c r="C6" s="10" t="n">
        <f aca="false">$B$6*C4/$B$4*C5/$B$5</f>
        <v>-0.30650106962251</v>
      </c>
      <c r="D6" s="10" t="n">
        <f aca="false">$B$6*D4/$B$4*D5/$B$5</f>
        <v>-0.354475560120039</v>
      </c>
      <c r="E6" s="10" t="n">
        <f aca="false">$B$6*E4/$B$4*E5/$B$5</f>
        <v>-0.402146703208182</v>
      </c>
      <c r="F6" s="10" t="n">
        <f aca="false">$B$6*F4/$B$4*F5/$B$5</f>
        <v>-0.447403943494446</v>
      </c>
      <c r="G6" s="10" t="n">
        <f aca="false">$B$6*G4/$B$4*G5/$B$5</f>
        <v>-0.493510967847346</v>
      </c>
    </row>
    <row r="7" customFormat="false" ht="15" hidden="false" customHeight="false" outlineLevel="0" collapsed="false">
      <c r="A7" s="1" t="s">
        <v>187</v>
      </c>
      <c r="B7" s="10" t="n">
        <v>4624.254</v>
      </c>
      <c r="C7" s="10" t="n">
        <f aca="false">C4*C5+C6</f>
        <v>5654.42750021038</v>
      </c>
      <c r="D7" s="10" t="n">
        <f aca="false">D4*D5+D6</f>
        <v>6539.47589078177</v>
      </c>
      <c r="E7" s="10" t="n">
        <f aca="false">E4*E5+E6</f>
        <v>7418.92803356237</v>
      </c>
      <c r="F7" s="10" t="n">
        <f aca="false">F4*F5+F6</f>
        <v>8253.84774321771</v>
      </c>
      <c r="G7" s="10" t="n">
        <f aca="false">G4*G5+G6</f>
        <v>9104.44453485371</v>
      </c>
    </row>
    <row r="8" customFormat="false" ht="15" hidden="false" customHeight="false" outlineLevel="0" collapsed="false">
      <c r="A8" s="4" t="s">
        <v>188</v>
      </c>
      <c r="B8" s="10" t="n">
        <v>1751.9</v>
      </c>
      <c r="C8" s="10" t="n">
        <f aca="false">B8*(1+Assumptions!C5)</f>
        <v>2277.47</v>
      </c>
      <c r="D8" s="10" t="n">
        <f aca="false">C8*(1+Assumptions!D5)</f>
        <v>2824.0628</v>
      </c>
      <c r="E8" s="10" t="n">
        <f aca="false">D8*(1+Assumptions!E5)</f>
        <v>3332.394104</v>
      </c>
      <c r="F8" s="10" t="n">
        <f aca="false">E8*(1+Assumptions!F5)</f>
        <v>3798.92927856</v>
      </c>
      <c r="G8" s="10" t="n">
        <f aca="false">F8*(1+Assumptions!G5)</f>
        <v>4254.8007919872</v>
      </c>
    </row>
    <row r="9" customFormat="false" ht="15" hidden="false" customHeight="false" outlineLevel="0" collapsed="false">
      <c r="A9" s="4" t="s">
        <v>169</v>
      </c>
      <c r="B9" s="10" t="n">
        <v>278.813118</v>
      </c>
      <c r="C9" s="10" t="n">
        <f aca="false">B9*(1+Assumptions!C6)</f>
        <v>315.05882334</v>
      </c>
      <c r="D9" s="10" t="n">
        <f aca="false">C9*(1+Assumptions!D6)</f>
        <v>356.0164703742</v>
      </c>
      <c r="E9" s="10" t="n">
        <f aca="false">D9*(1+Assumptions!E6)</f>
        <v>402.298611522846</v>
      </c>
      <c r="F9" s="10" t="n">
        <f aca="false">E9*(1+Assumptions!F6)</f>
        <v>454.597431020816</v>
      </c>
      <c r="G9" s="10" t="n">
        <f aca="false">F9*(1+Assumptions!G6)</f>
        <v>513.695097053522</v>
      </c>
    </row>
    <row r="10" customFormat="false" ht="15" hidden="false" customHeight="false" outlineLevel="0" collapsed="false">
      <c r="A10" s="4" t="s">
        <v>171</v>
      </c>
      <c r="B10" s="10" t="n">
        <v>86.174</v>
      </c>
      <c r="C10" s="10" t="n">
        <f aca="false">B10*(1+Assumptions!C7)</f>
        <v>94.7914</v>
      </c>
      <c r="D10" s="10" t="n">
        <f aca="false">C10*(1+Assumptions!D7)</f>
        <v>104.27054</v>
      </c>
      <c r="E10" s="10" t="n">
        <f aca="false">D10*(1+Assumptions!E7)</f>
        <v>114.697594</v>
      </c>
      <c r="F10" s="10" t="n">
        <f aca="false">E10*(1+Assumptions!F7)</f>
        <v>126.1673534</v>
      </c>
      <c r="G10" s="10" t="n">
        <f aca="false">F10*(1+Assumptions!G7)</f>
        <v>138.78408874</v>
      </c>
    </row>
    <row r="11" customFormat="false" ht="15" hidden="false" customHeight="false" outlineLevel="0" collapsed="false">
      <c r="A11" s="4" t="s">
        <v>173</v>
      </c>
      <c r="B11" s="10" t="n">
        <v>388.5</v>
      </c>
      <c r="C11" s="10" t="n">
        <f aca="false">B11*(1+Assumptions!C8)</f>
        <v>400.155</v>
      </c>
      <c r="D11" s="10" t="n">
        <f aca="false">C11*(1+Assumptions!D8)</f>
        <v>412.15965</v>
      </c>
      <c r="E11" s="10" t="n">
        <f aca="false">D11*(1+Assumptions!E8)</f>
        <v>424.5244395</v>
      </c>
      <c r="F11" s="10" t="n">
        <f aca="false">E11*(1+Assumptions!F8)</f>
        <v>437.260172685</v>
      </c>
      <c r="G11" s="10" t="n">
        <f aca="false">F11*(1+Assumptions!G8)</f>
        <v>450.37797786555</v>
      </c>
    </row>
    <row r="12" customFormat="false" ht="15" hidden="false" customHeight="false" outlineLevel="0" collapsed="false">
      <c r="A12" s="1" t="s">
        <v>189</v>
      </c>
      <c r="B12" s="10" t="n">
        <v>7129.7</v>
      </c>
      <c r="C12" s="10" t="n">
        <f aca="false">SUM(C7:C11)</f>
        <v>8741.90272355038</v>
      </c>
      <c r="D12" s="10" t="n">
        <f aca="false">SUM(D7:D11)</f>
        <v>10235.985351156</v>
      </c>
      <c r="E12" s="10" t="n">
        <f aca="false">SUM(E7:E11)</f>
        <v>11692.8427825852</v>
      </c>
      <c r="F12" s="10" t="n">
        <f aca="false">SUM(F7:F11)</f>
        <v>13070.8019788835</v>
      </c>
      <c r="G12" s="10" t="n">
        <f aca="false">SUM(G7:G11)</f>
        <v>14462.1024905</v>
      </c>
    </row>
    <row r="13" customFormat="false" ht="15" hidden="false" customHeight="false" outlineLevel="0" collapsed="false">
      <c r="A13" s="4" t="s">
        <v>190</v>
      </c>
      <c r="B13" s="16" t="n">
        <v>0.726767676767677</v>
      </c>
      <c r="C13" s="16" t="n">
        <f aca="false">C2/29700</f>
        <v>0.813979797979798</v>
      </c>
      <c r="D13" s="16" t="n">
        <f aca="false">D2/29700</f>
        <v>0.895377777777778</v>
      </c>
      <c r="E13" s="16" t="n">
        <f aca="false">E2/29700</f>
        <v>0.967008</v>
      </c>
      <c r="F13" s="16" t="n">
        <f aca="false">F2/29700</f>
        <v>1.02502848</v>
      </c>
      <c r="G13" s="16" t="n">
        <f aca="false">G2/29700</f>
        <v>1.076279904</v>
      </c>
    </row>
    <row r="15" customFormat="false" ht="46.25" hidden="false" customHeight="false" outlineLevel="0" collapsed="false">
      <c r="A15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1" t="s">
        <v>101</v>
      </c>
      <c r="B2" s="10" t="n">
        <f aca="false">'Segment drivers'!C12</f>
        <v>8741.90272355038</v>
      </c>
      <c r="C2" s="10" t="n">
        <f aca="false">'Segment drivers'!D12</f>
        <v>10235.985351156</v>
      </c>
      <c r="D2" s="10" t="n">
        <f aca="false">'Segment drivers'!E12</f>
        <v>11692.8427825852</v>
      </c>
      <c r="E2" s="10" t="n">
        <f aca="false">'Segment drivers'!F12</f>
        <v>13070.8019788835</v>
      </c>
      <c r="F2" s="10" t="n">
        <f aca="false">'Segment drivers'!G12</f>
        <v>14462.1024905</v>
      </c>
    </row>
    <row r="3" customFormat="false" ht="15" hidden="false" customHeight="false" outlineLevel="0" collapsed="false">
      <c r="A3" s="4" t="s">
        <v>103</v>
      </c>
      <c r="B3" s="10" t="n">
        <f aca="false">-B2*(1-Assumptions!C9)</f>
        <v>-6774.97461075155</v>
      </c>
      <c r="C3" s="10" t="n">
        <f aca="false">-C2*(1-Assumptions!D9)</f>
        <v>-7728.16894012276</v>
      </c>
      <c r="D3" s="10" t="n">
        <f aca="false">-D2*(1-Assumptions!E9)</f>
        <v>-8711.16787302599</v>
      </c>
      <c r="E3" s="10" t="n">
        <f aca="false">-E2*(1-Assumptions!F9)</f>
        <v>-9672.39346437381</v>
      </c>
      <c r="F3" s="10" t="n">
        <f aca="false">-F2*(1-Assumptions!G9)</f>
        <v>-10701.95584297</v>
      </c>
    </row>
    <row r="4" customFormat="false" ht="15" hidden="false" customHeight="false" outlineLevel="0" collapsed="false">
      <c r="A4" s="1" t="s">
        <v>105</v>
      </c>
      <c r="B4" s="10" t="n">
        <f aca="false">B2+B3</f>
        <v>1966.92811279884</v>
      </c>
      <c r="C4" s="10" t="n">
        <f aca="false">C2+C3</f>
        <v>2507.81641103321</v>
      </c>
      <c r="D4" s="10" t="n">
        <f aca="false">D2+D3</f>
        <v>2981.67490955923</v>
      </c>
      <c r="E4" s="10" t="n">
        <f aca="false">E2+E3</f>
        <v>3398.40851450972</v>
      </c>
      <c r="F4" s="10" t="n">
        <f aca="false">F2+F3</f>
        <v>3760.14664753</v>
      </c>
    </row>
    <row r="5" customFormat="false" ht="15" hidden="false" customHeight="false" outlineLevel="0" collapsed="false">
      <c r="A5" s="4" t="s">
        <v>107</v>
      </c>
      <c r="B5" s="10" t="n">
        <f aca="false">-B2*Assumptions!C10</f>
        <v>-498.288455242372</v>
      </c>
      <c r="C5" s="10" t="n">
        <f aca="false">-C2*Assumptions!D10</f>
        <v>-573.215179664734</v>
      </c>
      <c r="D5" s="10" t="n">
        <f aca="false">-D2*Assumptions!E10</f>
        <v>-643.106353042187</v>
      </c>
      <c r="E5" s="10" t="n">
        <f aca="false">-E2*Assumptions!F10</f>
        <v>-692.752504880827</v>
      </c>
      <c r="F5" s="10" t="n">
        <f aca="false">-F2*Assumptions!G10</f>
        <v>-752.029329505999</v>
      </c>
    </row>
    <row r="6" customFormat="false" ht="15" hidden="false" customHeight="false" outlineLevel="0" collapsed="false">
      <c r="A6" s="4" t="s">
        <v>108</v>
      </c>
      <c r="B6" s="10" t="n">
        <f aca="false">-B2*Assumptions!C11</f>
        <v>-463.32084434817</v>
      </c>
      <c r="C6" s="10" t="n">
        <f aca="false">-C2*Assumptions!D11</f>
        <v>-532.27123826011</v>
      </c>
      <c r="D6" s="10" t="n">
        <f aca="false">-D2*Assumptions!E11</f>
        <v>-584.642139129261</v>
      </c>
      <c r="E6" s="10" t="n">
        <f aca="false">-E2*Assumptions!F11</f>
        <v>-640.469296965293</v>
      </c>
      <c r="F6" s="10" t="n">
        <f aca="false">-F2*Assumptions!G11</f>
        <v>-694.180919543999</v>
      </c>
    </row>
    <row r="7" customFormat="false" ht="15" hidden="false" customHeight="false" outlineLevel="0" collapsed="false">
      <c r="A7" s="4" t="s">
        <v>109</v>
      </c>
      <c r="B7" s="10" t="n">
        <f aca="false">'Segment drivers'!C7*Assumptions!$C$12</f>
        <v>67.8531300025246</v>
      </c>
      <c r="C7" s="10" t="n">
        <f aca="false">'Segment drivers'!D7*Assumptions!$C$12</f>
        <v>78.4737106893813</v>
      </c>
      <c r="D7" s="10" t="n">
        <f aca="false">'Segment drivers'!E7*Assumptions!$C$12</f>
        <v>89.0271364027484</v>
      </c>
      <c r="E7" s="10" t="n">
        <f aca="false">'Segment drivers'!F7*Assumptions!$C$12</f>
        <v>99.0461729186125</v>
      </c>
      <c r="F7" s="10" t="n">
        <f aca="false">'Segment drivers'!G7*Assumptions!$C$12</f>
        <v>109.253334418245</v>
      </c>
    </row>
    <row r="8" customFormat="false" ht="15" hidden="false" customHeight="false" outlineLevel="0" collapsed="false">
      <c r="A8" s="1" t="s">
        <v>111</v>
      </c>
      <c r="B8" s="10" t="n">
        <f aca="false">B4+B5+B6+B7</f>
        <v>1073.17194321082</v>
      </c>
      <c r="C8" s="10" t="n">
        <f aca="false">C4+C5+C6+C7</f>
        <v>1480.80370379775</v>
      </c>
      <c r="D8" s="10" t="n">
        <f aca="false">D4+D5+D6+D7</f>
        <v>1842.95355379053</v>
      </c>
      <c r="E8" s="10" t="n">
        <f aca="false">E4+E5+E6+E7</f>
        <v>2164.23288558221</v>
      </c>
      <c r="F8" s="10" t="n">
        <f aca="false">F4+F5+F6+F7</f>
        <v>2423.18973289824</v>
      </c>
    </row>
    <row r="9" customFormat="false" ht="15" hidden="false" customHeight="false" outlineLevel="0" collapsed="false">
      <c r="A9" s="4" t="s">
        <v>192</v>
      </c>
      <c r="B9" s="10" t="n">
        <f aca="false">-Assumptions!$C$14*('Fcst BS'!B2+Assumptions!C13/2)</f>
        <v>-139.8165</v>
      </c>
      <c r="C9" s="10" t="n">
        <f aca="false">-Assumptions!$C$14*('Fcst BS'!C2+Assumptions!D13/2)</f>
        <v>-191.6820975</v>
      </c>
      <c r="D9" s="10" t="n">
        <f aca="false">-Assumptions!$C$14*('Fcst BS'!D2+Assumptions!E13/2)</f>
        <v>-232.7641192125</v>
      </c>
      <c r="E9" s="10" t="n">
        <f aca="false">-Assumptions!$C$14*('Fcst BS'!E2+Assumptions!F13/2)</f>
        <v>-266.104169079438</v>
      </c>
      <c r="F9" s="10" t="n">
        <f aca="false">-Assumptions!$C$14*('Fcst BS'!F2+Assumptions!G13/2)</f>
        <v>-292.360314707685</v>
      </c>
    </row>
    <row r="10" customFormat="false" ht="15" hidden="false" customHeight="false" outlineLevel="0" collapsed="false">
      <c r="A10" s="4" t="s">
        <v>193</v>
      </c>
      <c r="B10" s="10" t="n">
        <f aca="false">-35.6*(1+Assumptions!$C$15)^1</f>
        <v>-40.94</v>
      </c>
      <c r="C10" s="10" t="n">
        <f aca="false">-35.6*(1+Assumptions!$C$15)^2</f>
        <v>-47.081</v>
      </c>
      <c r="D10" s="10" t="n">
        <f aca="false">-35.6*(1+Assumptions!$C$15)^3</f>
        <v>-54.14315</v>
      </c>
      <c r="E10" s="10" t="n">
        <f aca="false">-35.6*(1+Assumptions!$C$15)^4</f>
        <v>-62.2646225</v>
      </c>
      <c r="F10" s="10" t="n">
        <f aca="false">-35.6*(1+Assumptions!$C$15)^5</f>
        <v>-71.604315875</v>
      </c>
    </row>
    <row r="11" customFormat="false" ht="15" hidden="false" customHeight="false" outlineLevel="0" collapsed="false">
      <c r="A11" s="1" t="s">
        <v>115</v>
      </c>
      <c r="B11" s="10" t="n">
        <f aca="false">B8+B9+B10</f>
        <v>892.415443210818</v>
      </c>
      <c r="C11" s="10" t="n">
        <f aca="false">C8+C9+C10</f>
        <v>1242.04060629775</v>
      </c>
      <c r="D11" s="10" t="n">
        <f aca="false">D8+D9+D10</f>
        <v>1556.04628457803</v>
      </c>
      <c r="E11" s="10" t="n">
        <f aca="false">E8+E9+E10</f>
        <v>1835.86409400277</v>
      </c>
      <c r="F11" s="10" t="n">
        <f aca="false">F8+F9+F10</f>
        <v>2059.22510231556</v>
      </c>
    </row>
    <row r="12" customFormat="false" ht="15" hidden="false" customHeight="false" outlineLevel="0" collapsed="false">
      <c r="A12" s="4" t="s">
        <v>117</v>
      </c>
      <c r="B12" s="10" t="n">
        <f aca="false">-(('Fcst BS'!B10+'Fcst BS'!B11+'Fcst BS'!B12)+('Fcst BS'!C10+'Fcst BS'!C11+'Fcst BS'!C12))/2*Assumptions!C22+('Fcst BS'!B5+Assumptions!$C$27)/2*Assumptions!$C$23</f>
        <v>-725.766626531076</v>
      </c>
      <c r="C12" s="10" t="n">
        <f aca="false">-(('Fcst BS'!C10+'Fcst BS'!C11+'Fcst BS'!C12)+('Fcst BS'!D10+'Fcst BS'!D11+'Fcst BS'!D12))/2*Assumptions!D22+('Fcst BS'!C5+Assumptions!$C$27)/2*Assumptions!$C$23</f>
        <v>-725.137374447593</v>
      </c>
      <c r="D12" s="10" t="n">
        <f aca="false">-(('Fcst BS'!D10+'Fcst BS'!D11+'Fcst BS'!D12)+('Fcst BS'!E10+'Fcst BS'!E11+'Fcst BS'!E12))/2*Assumptions!E22+('Fcst BS'!D5+Assumptions!$C$27)/2*Assumptions!$C$23</f>
        <v>-702.940923791236</v>
      </c>
      <c r="E12" s="10" t="n">
        <f aca="false">-(('Fcst BS'!E10+'Fcst BS'!E11+'Fcst BS'!E12)+('Fcst BS'!F10+'Fcst BS'!F11+'Fcst BS'!F12))/2*Assumptions!F22+('Fcst BS'!E5+Assumptions!$C$27)/2*Assumptions!$C$23</f>
        <v>-659.785925393955</v>
      </c>
      <c r="F12" s="10" t="n">
        <f aca="false">-(('Fcst BS'!F10+'Fcst BS'!F11+'Fcst BS'!F12)+('Fcst BS'!G10+'Fcst BS'!G11+'Fcst BS'!G12))/2*Assumptions!G22+('Fcst BS'!F5+Assumptions!$C$27)/2*Assumptions!$C$23</f>
        <v>-611.748646755033</v>
      </c>
    </row>
    <row r="13" customFormat="false" ht="15" hidden="false" customHeight="false" outlineLevel="0" collapsed="false">
      <c r="A13" s="4" t="s">
        <v>118</v>
      </c>
      <c r="B13" s="10" t="n">
        <f aca="false">-('Fcst BS'!B13+'Fcst BS'!C13)/2*Assumptions!$C$24</f>
        <v>-13.44735</v>
      </c>
      <c r="C13" s="10" t="n">
        <f aca="false">-('Fcst BS'!C13+'Fcst BS'!D13)/2*Assumptions!$C$24</f>
        <v>-14.792085</v>
      </c>
      <c r="D13" s="10" t="n">
        <f aca="false">-('Fcst BS'!D13+'Fcst BS'!E13)/2*Assumptions!$C$24</f>
        <v>-16.2712935</v>
      </c>
      <c r="E13" s="10" t="n">
        <f aca="false">-('Fcst BS'!E13+'Fcst BS'!F13)/2*Assumptions!$C$24</f>
        <v>-17.89842285</v>
      </c>
      <c r="F13" s="10" t="n">
        <f aca="false">-('Fcst BS'!F13+'Fcst BS'!G13)/2*Assumptions!$C$24</f>
        <v>-19.688265135</v>
      </c>
    </row>
    <row r="14" customFormat="false" ht="15" hidden="false" customHeight="false" outlineLevel="0" collapsed="false">
      <c r="A14" s="4" t="s">
        <v>121</v>
      </c>
      <c r="B14" s="10" t="n">
        <f aca="false">Assumptions!C26</f>
        <v>-30</v>
      </c>
      <c r="C14" s="10" t="n">
        <f aca="false">Assumptions!D26</f>
        <v>-30</v>
      </c>
      <c r="D14" s="10" t="n">
        <f aca="false">Assumptions!E26</f>
        <v>-30</v>
      </c>
      <c r="E14" s="10" t="n">
        <f aca="false">Assumptions!F26</f>
        <v>-30</v>
      </c>
      <c r="F14" s="10" t="n">
        <f aca="false">Assumptions!G26</f>
        <v>-30</v>
      </c>
    </row>
    <row r="15" customFormat="false" ht="15" hidden="false" customHeight="false" outlineLevel="0" collapsed="false">
      <c r="A15" s="1" t="s">
        <v>122</v>
      </c>
      <c r="B15" s="10" t="n">
        <f aca="false">B11+B12+B13+B14</f>
        <v>123.201466679742</v>
      </c>
      <c r="C15" s="10" t="n">
        <f aca="false">C11+C12+C13+C14</f>
        <v>472.111146850157</v>
      </c>
      <c r="D15" s="10" t="n">
        <f aca="false">D11+D12+D13+D14</f>
        <v>806.834067286794</v>
      </c>
      <c r="E15" s="10" t="n">
        <f aca="false">E11+E12+E13+E14</f>
        <v>1128.17974575882</v>
      </c>
      <c r="F15" s="10" t="n">
        <f aca="false">F11+F12+F13+F14</f>
        <v>1397.78819042552</v>
      </c>
    </row>
    <row r="16" customFormat="false" ht="15" hidden="false" customHeight="false" outlineLevel="0" collapsed="false">
      <c r="A16" s="4" t="s">
        <v>123</v>
      </c>
      <c r="B16" s="10" t="n">
        <f aca="false">-MAX(B15,0)*Assumptions!$C$29</f>
        <v>-27.720330002942</v>
      </c>
      <c r="C16" s="10" t="n">
        <f aca="false">-MAX(C15,0)*Assumptions!$C$29</f>
        <v>-106.225008041285</v>
      </c>
      <c r="D16" s="10" t="n">
        <f aca="false">-MAX(D15,0)*Assumptions!$C$29</f>
        <v>-181.537665139529</v>
      </c>
      <c r="E16" s="10" t="n">
        <f aca="false">-MAX(E15,0)*Assumptions!$C$29</f>
        <v>-253.840442795734</v>
      </c>
      <c r="F16" s="10" t="n">
        <f aca="false">-MAX(F15,0)*Assumptions!$C$29</f>
        <v>-314.502342845743</v>
      </c>
    </row>
    <row r="17" customFormat="false" ht="15" hidden="false" customHeight="false" outlineLevel="0" collapsed="false">
      <c r="A17" s="4" t="s">
        <v>125</v>
      </c>
      <c r="B17" s="10" t="n">
        <f aca="false">B15+B16</f>
        <v>95.4811366768002</v>
      </c>
      <c r="C17" s="10" t="n">
        <f aca="false">C15+C16</f>
        <v>365.886138808872</v>
      </c>
      <c r="D17" s="10" t="n">
        <f aca="false">D15+D16</f>
        <v>625.296402147265</v>
      </c>
      <c r="E17" s="10" t="n">
        <f aca="false">E15+E16</f>
        <v>874.339302963082</v>
      </c>
      <c r="F17" s="10" t="n">
        <f aca="false">F15+F16</f>
        <v>1083.28584757978</v>
      </c>
    </row>
    <row r="18" customFormat="false" ht="15" hidden="false" customHeight="false" outlineLevel="0" collapsed="false">
      <c r="A18" s="1" t="s">
        <v>194</v>
      </c>
      <c r="B18" s="10" t="n">
        <f aca="false">B17*(1-0.000625)</f>
        <v>95.4214609663772</v>
      </c>
      <c r="C18" s="10" t="n">
        <f aca="false">C17*(1-0.000625)</f>
        <v>365.657459972116</v>
      </c>
      <c r="D18" s="10" t="n">
        <f aca="false">D17*(1-0.000625)</f>
        <v>624.905591895923</v>
      </c>
      <c r="E18" s="10" t="n">
        <f aca="false">E17*(1-0.000625)</f>
        <v>873.792840898731</v>
      </c>
      <c r="F18" s="10" t="n">
        <f aca="false">F17*(1-0.000625)</f>
        <v>1082.60879392504</v>
      </c>
    </row>
    <row r="19" customFormat="false" ht="15" hidden="false" customHeight="false" outlineLevel="0" collapsed="false">
      <c r="A19" s="4" t="s">
        <v>195</v>
      </c>
      <c r="B19" s="15" t="n">
        <f aca="false">B18/Assumptions!$D$37</f>
        <v>0.0356050227486482</v>
      </c>
      <c r="C19" s="15" t="n">
        <f aca="false">C18/Assumptions!$D$37</f>
        <v>0.136439350735864</v>
      </c>
      <c r="D19" s="15" t="n">
        <f aca="false">D18/Assumptions!$D$37</f>
        <v>0.233173728319374</v>
      </c>
      <c r="E19" s="15" t="n">
        <f aca="false">E18/Assumptions!$D$37</f>
        <v>0.326042104812959</v>
      </c>
      <c r="F19" s="15" t="n">
        <f aca="false">F18/Assumptions!$D$37</f>
        <v>0.403958505195912</v>
      </c>
    </row>
    <row r="21" customFormat="false" ht="15" hidden="false" customHeight="false" outlineLevel="0" collapsed="false">
      <c r="A21" s="9" t="s">
        <v>196</v>
      </c>
    </row>
    <row r="22" customFormat="false" ht="15" hidden="false" customHeight="false" outlineLevel="0" collapsed="false">
      <c r="A22" s="4" t="s">
        <v>31</v>
      </c>
      <c r="B22" s="16" t="n">
        <f aca="false">B4/B2</f>
        <v>0.225</v>
      </c>
      <c r="C22" s="16" t="n">
        <f aca="false">C4/C2</f>
        <v>0.245</v>
      </c>
      <c r="D22" s="16" t="n">
        <f aca="false">D4/D2</f>
        <v>0.255</v>
      </c>
      <c r="E22" s="16" t="n">
        <f aca="false">E4/E2</f>
        <v>0.26</v>
      </c>
      <c r="F22" s="16" t="n">
        <f aca="false">F4/F2</f>
        <v>0.26</v>
      </c>
    </row>
    <row r="23" customFormat="false" ht="15" hidden="false" customHeight="false" outlineLevel="0" collapsed="false">
      <c r="A23" s="4" t="s">
        <v>197</v>
      </c>
      <c r="B23" s="16" t="n">
        <f aca="false">B8/B2</f>
        <v>0.122761826246331</v>
      </c>
      <c r="C23" s="16" t="n">
        <f aca="false">C8/C2</f>
        <v>0.144666453985353</v>
      </c>
      <c r="D23" s="16" t="n">
        <f aca="false">D8/D2</f>
        <v>0.157613814540921</v>
      </c>
      <c r="E23" s="16" t="n">
        <f aca="false">E8/E2</f>
        <v>0.16557766608955</v>
      </c>
      <c r="F23" s="16" t="n">
        <f aca="false">F8/F2</f>
        <v>0.16755445720911</v>
      </c>
    </row>
    <row r="24" customFormat="false" ht="15" hidden="false" customHeight="false" outlineLevel="0" collapsed="false">
      <c r="A24" s="4" t="s">
        <v>198</v>
      </c>
      <c r="B24" s="16" t="n">
        <f aca="false">B17/B2</f>
        <v>0.010922237377405</v>
      </c>
      <c r="C24" s="16" t="n">
        <f aca="false">C17/C2</f>
        <v>0.0357450823009972</v>
      </c>
      <c r="D24" s="16" t="n">
        <f aca="false">D17/D2</f>
        <v>0.0534768502214494</v>
      </c>
      <c r="E24" s="16" t="n">
        <f aca="false">E17/E2</f>
        <v>0.0668925521460441</v>
      </c>
      <c r="F24" s="16" t="n">
        <f aca="false">F17/F2</f>
        <v>0.074905142477823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3" t="s">
        <v>40</v>
      </c>
      <c r="B1" s="3" t="s">
        <v>183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customFormat="false" ht="35.05" hidden="false" customHeight="false" outlineLevel="0" collapsed="false">
      <c r="A2" s="4" t="s">
        <v>131</v>
      </c>
      <c r="B2" s="17" t="n">
        <v>1244.9</v>
      </c>
      <c r="C2" s="10" t="n">
        <f aca="false">B2+Assumptions!C13+'Fcst IS'!B9</f>
        <v>1905.0835</v>
      </c>
      <c r="D2" s="10" t="n">
        <f aca="false">C2+Assumptions!D13+'Fcst IS'!C9</f>
        <v>2413.4014025</v>
      </c>
      <c r="E2" s="10" t="n">
        <f aca="false">D2+Assumptions!E13+'Fcst IS'!D9</f>
        <v>2830.6372832875</v>
      </c>
      <c r="F2" s="10" t="n">
        <f aca="false">E2+Assumptions!F13+'Fcst IS'!E9</f>
        <v>3164.53311420806</v>
      </c>
      <c r="G2" s="10" t="n">
        <f aca="false">F2+Assumptions!G13+'Fcst IS'!F9</f>
        <v>3422.17279950038</v>
      </c>
      <c r="I2" s="2" t="s">
        <v>199</v>
      </c>
    </row>
    <row r="3" customFormat="false" ht="15" hidden="false" customHeight="false" outlineLevel="0" collapsed="false">
      <c r="A3" s="4" t="s">
        <v>200</v>
      </c>
      <c r="B3" s="17" t="n">
        <v>125.8</v>
      </c>
      <c r="C3" s="10" t="n">
        <f aca="false">B3-'Fcst IS'!B10*1.3+'Fcst IS'!B10</f>
        <v>138.082</v>
      </c>
      <c r="D3" s="10" t="n">
        <f aca="false">C3-'Fcst IS'!C10*1.3+'Fcst IS'!C10</f>
        <v>152.2063</v>
      </c>
      <c r="E3" s="10" t="n">
        <f aca="false">D3-'Fcst IS'!D10*1.3+'Fcst IS'!D10</f>
        <v>168.449245</v>
      </c>
      <c r="F3" s="10" t="n">
        <f aca="false">E3-'Fcst IS'!E10*1.3+'Fcst IS'!E10</f>
        <v>187.12863175</v>
      </c>
      <c r="G3" s="10" t="n">
        <f aca="false">F3-'Fcst IS'!F10*1.3+'Fcst IS'!F10</f>
        <v>208.6099265125</v>
      </c>
    </row>
    <row r="4" customFormat="false" ht="15" hidden="false" customHeight="false" outlineLevel="0" collapsed="false">
      <c r="A4" s="4" t="s">
        <v>201</v>
      </c>
      <c r="B4" s="17" t="n">
        <v>291.1</v>
      </c>
      <c r="C4" s="10" t="n">
        <f aca="false">(C10+C11+C12+C13+C14+C15+C16+C17+C18+C19)-(C2+C3+C5+C6+C7+C8+C9)</f>
        <v>283.281999978097</v>
      </c>
      <c r="D4" s="10" t="n">
        <f aca="false">(D10+D11+D12+D13+D14+D15+D16+D17+D18+D19)-(D2+D3+D5+D6+D7+D8+D9)</f>
        <v>297.40629994202</v>
      </c>
      <c r="E4" s="10" t="n">
        <f aca="false">(E10+E11+E12+E13+E14+E15+E16+E17+E18+E19)-(E2+E3+E5+E6+E7+E8+E9)</f>
        <v>313.649244935194</v>
      </c>
      <c r="F4" s="10" t="n">
        <f aca="false">(F10+F11+F12+F13+F14+F15+F16+F17+F18+F19)-(F2+F3+F5+F6+F7+F8+F9)</f>
        <v>332.328631690039</v>
      </c>
      <c r="G4" s="10" t="n">
        <f aca="false">(G10+G11+G12+G13+G14+G15+G16+G17+G18+G19)-(G2+G3+G5+G6+G7+G8+G9)</f>
        <v>353.809926454758</v>
      </c>
    </row>
    <row r="5" customFormat="false" ht="15" hidden="false" customHeight="false" outlineLevel="0" collapsed="false">
      <c r="A5" s="4" t="s">
        <v>202</v>
      </c>
      <c r="B5" s="17" t="n">
        <v>157</v>
      </c>
      <c r="C5" s="10" t="n">
        <f aca="false">Assumptions!$C$27</f>
        <v>150</v>
      </c>
      <c r="D5" s="10" t="n">
        <f aca="false">Assumptions!$C$27</f>
        <v>150</v>
      </c>
      <c r="E5" s="10" t="n">
        <f aca="false">Assumptions!$C$27</f>
        <v>150</v>
      </c>
      <c r="F5" s="10" t="n">
        <f aca="false">Assumptions!$C$27</f>
        <v>150</v>
      </c>
      <c r="G5" s="10" t="n">
        <f aca="false">Assumptions!$C$27</f>
        <v>150</v>
      </c>
    </row>
    <row r="6" customFormat="false" ht="15" hidden="false" customHeight="false" outlineLevel="0" collapsed="false">
      <c r="A6" s="4" t="s">
        <v>135</v>
      </c>
      <c r="B6" s="17" t="n">
        <v>2951.1</v>
      </c>
      <c r="C6" s="10" t="n">
        <f aca="false">-'Fcst IS'!B3*Assumptions!C16/365</f>
        <v>3526.69911244601</v>
      </c>
      <c r="D6" s="10" t="n">
        <f aca="false">-'Fcst IS'!C3*Assumptions!D16/365</f>
        <v>3811.15180608794</v>
      </c>
      <c r="E6" s="10" t="n">
        <f aca="false">-'Fcst IS'!D3*Assumptions!E16/365</f>
        <v>4104.98869633005</v>
      </c>
      <c r="F6" s="10" t="n">
        <f aca="false">-'Fcst IS'!E3*Assumptions!F16/365</f>
        <v>4398.95154818097</v>
      </c>
      <c r="G6" s="10" t="n">
        <f aca="false">-'Fcst IS'!F3*Assumptions!G16/365</f>
        <v>4691.26831472657</v>
      </c>
    </row>
    <row r="7" customFormat="false" ht="15" hidden="false" customHeight="false" outlineLevel="0" collapsed="false">
      <c r="A7" s="4" t="s">
        <v>136</v>
      </c>
      <c r="B7" s="17" t="n">
        <v>1427.7</v>
      </c>
      <c r="C7" s="10" t="n">
        <f aca="false">'Fcst IS'!B2*Assumptions!$C$17/365</f>
        <v>1724.43012628939</v>
      </c>
      <c r="D7" s="10" t="n">
        <f aca="false">'Fcst IS'!C2*Assumptions!$C$17/365</f>
        <v>2019.15327474858</v>
      </c>
      <c r="E7" s="10" t="n">
        <f aca="false">'Fcst IS'!D2*Assumptions!$C$17/365</f>
        <v>2306.53337081133</v>
      </c>
      <c r="F7" s="10" t="n">
        <f aca="false">'Fcst IS'!E2*Assumptions!$C$17/365</f>
        <v>2578.3499793962</v>
      </c>
      <c r="G7" s="10" t="n">
        <f aca="false">'Fcst IS'!F2*Assumptions!$C$17/365</f>
        <v>2852.79829949589</v>
      </c>
    </row>
    <row r="8" customFormat="false" ht="15" hidden="false" customHeight="false" outlineLevel="0" collapsed="false">
      <c r="A8" s="4" t="s">
        <v>137</v>
      </c>
      <c r="B8" s="17" t="n">
        <v>19</v>
      </c>
      <c r="C8" s="10" t="n">
        <f aca="false">B8</f>
        <v>19</v>
      </c>
      <c r="D8" s="10" t="n">
        <f aca="false">C8</f>
        <v>19</v>
      </c>
      <c r="E8" s="10" t="n">
        <f aca="false">D8</f>
        <v>19</v>
      </c>
      <c r="F8" s="10" t="n">
        <f aca="false">E8</f>
        <v>19</v>
      </c>
      <c r="G8" s="10" t="n">
        <f aca="false">F8</f>
        <v>19</v>
      </c>
    </row>
    <row r="9" customFormat="false" ht="15" hidden="false" customHeight="false" outlineLevel="0" collapsed="false">
      <c r="A9" s="4" t="s">
        <v>138</v>
      </c>
      <c r="B9" s="17" t="n">
        <v>773.7</v>
      </c>
      <c r="C9" s="10" t="n">
        <f aca="false">'Fcst IS'!B2*Assumptions!$C$18/365</f>
        <v>948.436569459165</v>
      </c>
      <c r="D9" s="10" t="n">
        <f aca="false">'Fcst IS'!C2*Assumptions!$C$18/365</f>
        <v>1110.53430111172</v>
      </c>
      <c r="E9" s="10" t="n">
        <f aca="false">'Fcst IS'!D2*Assumptions!$C$18/365</f>
        <v>1268.59335394623</v>
      </c>
      <c r="F9" s="10" t="n">
        <f aca="false">'Fcst IS'!E2*Assumptions!$C$18/365</f>
        <v>1418.09248866791</v>
      </c>
      <c r="G9" s="10" t="n">
        <f aca="false">'Fcst IS'!F2*Assumptions!$C$18/365</f>
        <v>1569.03906472274</v>
      </c>
    </row>
    <row r="10" customFormat="false" ht="15" hidden="false" customHeight="false" outlineLevel="0" collapsed="false">
      <c r="A10" s="4" t="s">
        <v>203</v>
      </c>
      <c r="B10" s="17" t="n">
        <v>3438.8</v>
      </c>
      <c r="C10" s="18" t="n">
        <v>4749.04395795243</v>
      </c>
      <c r="D10" s="18" t="n">
        <v>5427.79862645634</v>
      </c>
      <c r="E10" s="18" t="n">
        <v>5755.28343673093</v>
      </c>
      <c r="F10" s="18" t="n">
        <v>5735.49702497735</v>
      </c>
      <c r="G10" s="18" t="n">
        <v>5427.11529416613</v>
      </c>
    </row>
    <row r="11" customFormat="false" ht="15" hidden="false" customHeight="false" outlineLevel="0" collapsed="false">
      <c r="A11" s="4" t="s">
        <v>141</v>
      </c>
      <c r="B11" s="17" t="n">
        <v>105.8</v>
      </c>
      <c r="C11" s="10" t="n">
        <f aca="false">B11</f>
        <v>105.8</v>
      </c>
      <c r="D11" s="10" t="n">
        <f aca="false">C11</f>
        <v>105.8</v>
      </c>
      <c r="E11" s="10" t="n">
        <f aca="false">D11</f>
        <v>105.8</v>
      </c>
      <c r="F11" s="10" t="n">
        <f aca="false">E11</f>
        <v>105.8</v>
      </c>
      <c r="G11" s="10" t="n">
        <f aca="false">F11</f>
        <v>105.8</v>
      </c>
    </row>
    <row r="12" customFormat="false" ht="15" hidden="false" customHeight="false" outlineLevel="0" collapsed="false">
      <c r="A12" s="4" t="s">
        <v>148</v>
      </c>
      <c r="B12" s="17" t="n">
        <v>310.5</v>
      </c>
      <c r="C12" s="10" t="n">
        <f aca="false">B12</f>
        <v>310.5</v>
      </c>
      <c r="D12" s="10" t="n">
        <f aca="false">C12</f>
        <v>310.5</v>
      </c>
      <c r="E12" s="10" t="n">
        <f aca="false">D12</f>
        <v>310.5</v>
      </c>
      <c r="F12" s="10" t="n">
        <f aca="false">E12</f>
        <v>310.5</v>
      </c>
      <c r="G12" s="10" t="n">
        <f aca="false">F12</f>
        <v>310.5</v>
      </c>
    </row>
    <row r="13" customFormat="false" ht="15" hidden="false" customHeight="false" outlineLevel="0" collapsed="false">
      <c r="A13" s="4" t="s">
        <v>204</v>
      </c>
      <c r="B13" s="17" t="n">
        <v>142.3</v>
      </c>
      <c r="C13" s="10" t="n">
        <f aca="false">B13*(1+Assumptions!$C$25)</f>
        <v>156.53</v>
      </c>
      <c r="D13" s="10" t="n">
        <f aca="false">C13*(1+Assumptions!$C$25)</f>
        <v>172.183</v>
      </c>
      <c r="E13" s="10" t="n">
        <f aca="false">D13*(1+Assumptions!$C$25)</f>
        <v>189.4013</v>
      </c>
      <c r="F13" s="10" t="n">
        <f aca="false">E13*(1+Assumptions!$C$25)</f>
        <v>208.34143</v>
      </c>
      <c r="G13" s="10" t="n">
        <f aca="false">F13*(1+Assumptions!$C$25)</f>
        <v>229.175573</v>
      </c>
    </row>
    <row r="14" customFormat="false" ht="15" hidden="false" customHeight="false" outlineLevel="0" collapsed="false">
      <c r="A14" s="4" t="s">
        <v>205</v>
      </c>
      <c r="B14" s="17" t="n">
        <v>145.8</v>
      </c>
      <c r="C14" s="10" t="n">
        <f aca="false">C3</f>
        <v>138.082</v>
      </c>
      <c r="D14" s="10" t="n">
        <f aca="false">D3</f>
        <v>152.2063</v>
      </c>
      <c r="E14" s="10" t="n">
        <f aca="false">E3</f>
        <v>168.449245</v>
      </c>
      <c r="F14" s="10" t="n">
        <f aca="false">F3</f>
        <v>187.12863175</v>
      </c>
      <c r="G14" s="10" t="n">
        <f aca="false">G3</f>
        <v>208.6099265125</v>
      </c>
    </row>
    <row r="15" customFormat="false" ht="15" hidden="false" customHeight="false" outlineLevel="0" collapsed="false">
      <c r="A15" s="4" t="s">
        <v>142</v>
      </c>
      <c r="B15" s="17" t="n">
        <v>399.2</v>
      </c>
      <c r="C15" s="10" t="n">
        <f aca="false">-'Fcst IS'!B3*Assumptions!$C$19/365</f>
        <v>556.847228280949</v>
      </c>
      <c r="D15" s="10" t="n">
        <f aca="false">-'Fcst IS'!C3*Assumptions!$C$19/365</f>
        <v>635.191967681323</v>
      </c>
      <c r="E15" s="10" t="n">
        <f aca="false">-'Fcst IS'!D3*Assumptions!$C$19/365</f>
        <v>715.986400522684</v>
      </c>
      <c r="F15" s="10" t="n">
        <f aca="false">-'Fcst IS'!E3*Assumptions!$C$19/365</f>
        <v>794.991243647162</v>
      </c>
      <c r="G15" s="10" t="n">
        <f aca="false">-'Fcst IS'!F3*Assumptions!$C$19/365</f>
        <v>879.612809011232</v>
      </c>
    </row>
    <row r="16" customFormat="false" ht="15" hidden="false" customHeight="false" outlineLevel="0" collapsed="false">
      <c r="A16" s="4" t="s">
        <v>147</v>
      </c>
      <c r="B16" s="17" t="n">
        <v>494</v>
      </c>
      <c r="C16" s="10" t="n">
        <f aca="false">'Fcst IS'!B2*Assumptions!$C$20/365</f>
        <v>605.945586043355</v>
      </c>
      <c r="D16" s="10" t="n">
        <f aca="false">'Fcst IS'!C2*Assumptions!$C$20/365</f>
        <v>709.508025710263</v>
      </c>
      <c r="E16" s="10" t="n">
        <f aca="false">'Fcst IS'!D2*Assumptions!$C$20/365</f>
        <v>810.490198354537</v>
      </c>
      <c r="F16" s="10" t="n">
        <f aca="false">'Fcst IS'!E2*Assumptions!$C$20/365</f>
        <v>906.003534426721</v>
      </c>
      <c r="G16" s="10" t="n">
        <f aca="false">'Fcst IS'!F2*Assumptions!$C$20/365</f>
        <v>1002.44162468397</v>
      </c>
    </row>
    <row r="17" customFormat="false" ht="15" hidden="false" customHeight="false" outlineLevel="0" collapsed="false">
      <c r="A17" s="4" t="s">
        <v>143</v>
      </c>
      <c r="B17" s="17" t="n">
        <v>102.9</v>
      </c>
      <c r="C17" s="10" t="n">
        <f aca="false">'Fcst IS'!B2*Assumptions!$C$21</f>
        <v>125.883399219125</v>
      </c>
      <c r="D17" s="10" t="n">
        <f aca="false">'Fcst IS'!C2*Assumptions!$C$21</f>
        <v>147.398189056646</v>
      </c>
      <c r="E17" s="10" t="n">
        <f aca="false">'Fcst IS'!D2*Assumptions!$C$21</f>
        <v>168.376936069227</v>
      </c>
      <c r="F17" s="10" t="n">
        <f aca="false">'Fcst IS'!E2*Assumptions!$C$21</f>
        <v>188.219548495923</v>
      </c>
      <c r="G17" s="10" t="n">
        <f aca="false">'Fcst IS'!F2*Assumptions!$C$21</f>
        <v>208.2542758632</v>
      </c>
    </row>
    <row r="18" customFormat="false" ht="15" hidden="false" customHeight="false" outlineLevel="0" collapsed="false">
      <c r="A18" s="4" t="s">
        <v>206</v>
      </c>
      <c r="B18" s="17" t="n">
        <v>249.3</v>
      </c>
      <c r="C18" s="10" t="n">
        <f aca="false">B18</f>
        <v>249.3</v>
      </c>
      <c r="D18" s="10" t="n">
        <f aca="false">C18</f>
        <v>249.3</v>
      </c>
      <c r="E18" s="10" t="n">
        <f aca="false">D18</f>
        <v>249.3</v>
      </c>
      <c r="F18" s="10" t="n">
        <f aca="false">E18</f>
        <v>249.3</v>
      </c>
      <c r="G18" s="10" t="n">
        <f aca="false">F18</f>
        <v>249.3</v>
      </c>
    </row>
    <row r="19" customFormat="false" ht="15" hidden="false" customHeight="false" outlineLevel="0" collapsed="false">
      <c r="A19" s="4" t="s">
        <v>207</v>
      </c>
      <c r="B19" s="17" t="n">
        <v>1601.6</v>
      </c>
      <c r="C19" s="10" t="n">
        <f aca="false">B19+'Fcst IS'!B17</f>
        <v>1697.0811366768</v>
      </c>
      <c r="D19" s="10" t="n">
        <f aca="false">C19+'Fcst IS'!C17</f>
        <v>2062.96727548567</v>
      </c>
      <c r="E19" s="10" t="n">
        <f aca="false">D19+'Fcst IS'!D17</f>
        <v>2688.26367763294</v>
      </c>
      <c r="F19" s="10" t="n">
        <f aca="false">E19+'Fcst IS'!E17</f>
        <v>3562.60298059602</v>
      </c>
      <c r="G19" s="10" t="n">
        <f aca="false">F19+'Fcst IS'!F17</f>
        <v>4645.8888281758</v>
      </c>
    </row>
    <row r="21" customFormat="false" ht="15" hidden="false" customHeight="false" outlineLevel="0" collapsed="false">
      <c r="A21" s="1" t="s">
        <v>158</v>
      </c>
      <c r="C21" s="12" t="n">
        <f aca="false">SUM(C2:C9)</f>
        <v>8695.01330817266</v>
      </c>
      <c r="D21" s="12" t="n">
        <f aca="false">SUM(D2:D9)</f>
        <v>9972.85338439025</v>
      </c>
      <c r="E21" s="12" t="n">
        <f aca="false">SUM(E2:E9)</f>
        <v>11161.8511943103</v>
      </c>
      <c r="F21" s="12" t="n">
        <f aca="false">SUM(F2:F9)</f>
        <v>12248.3843938932</v>
      </c>
      <c r="G21" s="12" t="n">
        <f aca="false">SUM(G2:G9)</f>
        <v>13266.6983314128</v>
      </c>
    </row>
    <row r="22" customFormat="false" ht="15" hidden="false" customHeight="false" outlineLevel="0" collapsed="false">
      <c r="A22" s="1" t="s">
        <v>208</v>
      </c>
      <c r="C22" s="12" t="n">
        <f aca="false">SUM(C10:C19)</f>
        <v>8695.01330817266</v>
      </c>
      <c r="D22" s="12" t="n">
        <f aca="false">SUM(D10:D19)</f>
        <v>9972.85338439025</v>
      </c>
      <c r="E22" s="12" t="n">
        <f aca="false">SUM(E10:E19)</f>
        <v>11161.8511943103</v>
      </c>
      <c r="F22" s="12" t="n">
        <f aca="false">SUM(F10:F19)</f>
        <v>12248.3843938932</v>
      </c>
      <c r="G22" s="12" t="n">
        <f aca="false">SUM(G10:G19)</f>
        <v>13266.6983314128</v>
      </c>
    </row>
    <row r="23" customFormat="false" ht="15" hidden="false" customHeight="false" outlineLevel="0" collapsed="false">
      <c r="A23" s="1" t="s">
        <v>209</v>
      </c>
      <c r="C23" s="12" t="n">
        <f aca="false">C21-C22</f>
        <v>0</v>
      </c>
      <c r="D23" s="12" t="n">
        <f aca="false">D21-D22</f>
        <v>0</v>
      </c>
      <c r="E23" s="12" t="n">
        <f aca="false">E21-E22</f>
        <v>0</v>
      </c>
      <c r="F23" s="12" t="n">
        <f aca="false">F21-F22</f>
        <v>0</v>
      </c>
      <c r="G23" s="12" t="n">
        <f aca="false">G21-G22</f>
        <v>0</v>
      </c>
    </row>
    <row r="24" customFormat="false" ht="35.05" hidden="false" customHeight="false" outlineLevel="0" collapsed="false">
      <c r="A24" s="2" t="s">
        <v>210</v>
      </c>
      <c r="C24" s="10" t="n">
        <f aca="false">C10-MAX(0,B10+Assumptions!$C$27-(B5+'Fcst CF'!B5+'Fcst CF'!B6+'Fcst CF'!B7))</f>
        <v>-2.19015419133939E-008</v>
      </c>
      <c r="D24" s="10" t="n">
        <f aca="false">D10-MAX(0,C10+Assumptions!$C$27-(C5+'Fcst CF'!C5+'Fcst CF'!C6+'Fcst CF'!C7))</f>
        <v>-3.60778358299285E-008</v>
      </c>
      <c r="E24" s="10" t="n">
        <f aca="false">E10-MAX(0,D10+Assumptions!$C$27-(D5+'Fcst CF'!D5+'Fcst CF'!D6+'Fcst CF'!D7))</f>
        <v>-6.82575773680583E-009</v>
      </c>
      <c r="F24" s="10" t="n">
        <f aca="false">F10-MAX(0,E10+Assumptions!$C$27-(E5+'Fcst CF'!E5+'Fcst CF'!E6+'Fcst CF'!E7))</f>
        <v>4.84396878164262E-009</v>
      </c>
      <c r="G24" s="10" t="n">
        <f aca="false">G10-MAX(0,F10+Assumptions!$C$27-(F5+'Fcst CF'!F5+'Fcst CF'!F6+'Fcst CF'!F7))</f>
        <v>2.22189555643126E-009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4" t="s">
        <v>125</v>
      </c>
      <c r="B2" s="10" t="n">
        <f aca="false">'Fcst IS'!B17</f>
        <v>95.4811366768002</v>
      </c>
      <c r="C2" s="10" t="n">
        <f aca="false">'Fcst IS'!C17</f>
        <v>365.886138808872</v>
      </c>
      <c r="D2" s="10" t="n">
        <f aca="false">'Fcst IS'!D17</f>
        <v>625.296402147265</v>
      </c>
      <c r="E2" s="10" t="n">
        <f aca="false">'Fcst IS'!E17</f>
        <v>874.339302963082</v>
      </c>
      <c r="F2" s="10" t="n">
        <f aca="false">'Fcst IS'!F17</f>
        <v>1083.28584757978</v>
      </c>
    </row>
    <row r="3" customFormat="false" ht="15" hidden="false" customHeight="false" outlineLevel="0" collapsed="false">
      <c r="A3" s="4" t="s">
        <v>211</v>
      </c>
      <c r="B3" s="10" t="n">
        <f aca="false">-'Fcst IS'!B9-'Fcst IS'!B10</f>
        <v>180.7565</v>
      </c>
      <c r="C3" s="10" t="n">
        <f aca="false">-'Fcst IS'!C9-'Fcst IS'!C10</f>
        <v>238.7630975</v>
      </c>
      <c r="D3" s="10" t="n">
        <f aca="false">-'Fcst IS'!D9-'Fcst IS'!D10</f>
        <v>286.9072692125</v>
      </c>
      <c r="E3" s="10" t="n">
        <f aca="false">-'Fcst IS'!E9-'Fcst IS'!E10</f>
        <v>328.368791579437</v>
      </c>
      <c r="F3" s="10" t="n">
        <f aca="false">-'Fcst IS'!F9-'Fcst IS'!F10</f>
        <v>363.964630582685</v>
      </c>
    </row>
    <row r="4" customFormat="false" ht="15" hidden="false" customHeight="false" outlineLevel="0" collapsed="false">
      <c r="A4" s="4" t="s">
        <v>212</v>
      </c>
      <c r="B4" s="10" t="n">
        <f aca="false">-(('Fcst BS'!C6+'Fcst BS'!C7+'Fcst BS'!C9-'Fcst BS'!C15-'Fcst BS'!C16-'Fcst BS'!C17)-('Fcst BS'!B6+'Fcst BS'!B7+'Fcst BS'!B9-'Fcst BS'!B15-'Fcst BS'!B16-'Fcst BS'!B17))</f>
        <v>-754.489594651133</v>
      </c>
      <c r="C4" s="10" t="n">
        <f aca="false">-(('Fcst BS'!D6+'Fcst BS'!D7+'Fcst BS'!D9-'Fcst BS'!D15-'Fcst BS'!D16-'Fcst BS'!D17)-('Fcst BS'!C6+'Fcst BS'!C7+'Fcst BS'!C9-'Fcst BS'!C15-'Fcst BS'!C16-'Fcst BS'!C17))</f>
        <v>-537.851604848862</v>
      </c>
      <c r="D4" s="10" t="n">
        <f aca="false">-(('Fcst BS'!E6+'Fcst BS'!E7+'Fcst BS'!E9-'Fcst BS'!E15-'Fcst BS'!E16-'Fcst BS'!E17)-('Fcst BS'!D6+'Fcst BS'!D7+'Fcst BS'!D9-'Fcst BS'!D15-'Fcst BS'!D16-'Fcst BS'!D17))</f>
        <v>-536.520686641173</v>
      </c>
      <c r="E4" s="10" t="n">
        <f aca="false">-(('Fcst BS'!F6+'Fcst BS'!F7+'Fcst BS'!F9-'Fcst BS'!F15-'Fcst BS'!F16-'Fcst BS'!F17)-('Fcst BS'!E6+'Fcst BS'!E7+'Fcst BS'!E9-'Fcst BS'!E15-'Fcst BS'!E16-'Fcst BS'!E17))</f>
        <v>-520.917803534104</v>
      </c>
      <c r="F4" s="10" t="n">
        <f aca="false">-(('Fcst BS'!G6+'Fcst BS'!G7+'Fcst BS'!G9-'Fcst BS'!G15-'Fcst BS'!G16-'Fcst BS'!G17)-('Fcst BS'!F6+'Fcst BS'!F7+'Fcst BS'!F9-'Fcst BS'!F15-'Fcst BS'!F16-'Fcst BS'!F17))</f>
        <v>-516.617279711519</v>
      </c>
    </row>
    <row r="5" customFormat="false" ht="15" hidden="false" customHeight="false" outlineLevel="0" collapsed="false">
      <c r="A5" s="1" t="s">
        <v>213</v>
      </c>
      <c r="B5" s="10" t="n">
        <f aca="false">B2+B3+B4</f>
        <v>-478.251957974333</v>
      </c>
      <c r="C5" s="10" t="n">
        <f aca="false">C2+C3+C4</f>
        <v>66.7976314600097</v>
      </c>
      <c r="D5" s="10" t="n">
        <f aca="false">D2+D3+D4</f>
        <v>375.682984718593</v>
      </c>
      <c r="E5" s="10" t="n">
        <f aca="false">E2+E3+E4</f>
        <v>681.790291008416</v>
      </c>
      <c r="F5" s="10" t="n">
        <f aca="false">F2+F3+F4</f>
        <v>930.633198450947</v>
      </c>
    </row>
    <row r="6" customFormat="false" ht="15" hidden="false" customHeight="false" outlineLevel="0" collapsed="false">
      <c r="A6" s="4" t="s">
        <v>214</v>
      </c>
      <c r="B6" s="10" t="n">
        <f aca="false">-Assumptions!C13</f>
        <v>-800</v>
      </c>
      <c r="C6" s="10" t="n">
        <f aca="false">-Assumptions!D13</f>
        <v>-700</v>
      </c>
      <c r="D6" s="10" t="n">
        <f aca="false">-Assumptions!E13</f>
        <v>-650</v>
      </c>
      <c r="E6" s="10" t="n">
        <f aca="false">-Assumptions!F13</f>
        <v>-600</v>
      </c>
      <c r="F6" s="10" t="n">
        <f aca="false">-Assumptions!G13</f>
        <v>-550</v>
      </c>
    </row>
    <row r="7" customFormat="false" ht="15" hidden="false" customHeight="false" outlineLevel="0" collapsed="false">
      <c r="A7" s="4" t="s">
        <v>215</v>
      </c>
      <c r="B7" s="10" t="n">
        <f aca="false">-('Fcst BS'!B13+'Fcst IS'!B10*-1.3-'Fcst BS'!C13)</f>
        <v>-38.992</v>
      </c>
      <c r="C7" s="10" t="n">
        <f aca="false">-('Fcst BS'!C13+'Fcst IS'!C10*-1.3-'Fcst BS'!D13)</f>
        <v>-45.5523</v>
      </c>
      <c r="D7" s="10" t="n">
        <f aca="false">-('Fcst BS'!D13+'Fcst IS'!D10*-1.3-'Fcst BS'!E13)</f>
        <v>-53.167795</v>
      </c>
      <c r="E7" s="10" t="n">
        <f aca="false">-('Fcst BS'!E13+'Fcst IS'!E10*-1.3-'Fcst BS'!F13)</f>
        <v>-62.00387925</v>
      </c>
      <c r="F7" s="10" t="n">
        <f aca="false">-('Fcst BS'!F13+'Fcst IS'!F10*-1.3-'Fcst BS'!G13)</f>
        <v>-72.2514676374999</v>
      </c>
    </row>
    <row r="8" customFormat="false" ht="15" hidden="false" customHeight="false" outlineLevel="0" collapsed="false">
      <c r="A8" s="4" t="s">
        <v>216</v>
      </c>
      <c r="B8" s="10" t="n">
        <f aca="false">'Fcst BS'!C10-'Fcst BS'!B10</f>
        <v>1310.24395795243</v>
      </c>
      <c r="C8" s="10" t="n">
        <f aca="false">'Fcst BS'!D10-'Fcst BS'!C10</f>
        <v>678.754668503912</v>
      </c>
      <c r="D8" s="10" t="n">
        <f aca="false">'Fcst BS'!E10-'Fcst BS'!D10</f>
        <v>327.484810274582</v>
      </c>
      <c r="E8" s="10" t="n">
        <f aca="false">'Fcst BS'!F10-'Fcst BS'!E10</f>
        <v>-19.7864117535719</v>
      </c>
      <c r="F8" s="10" t="n">
        <f aca="false">'Fcst BS'!G10-'Fcst BS'!F10</f>
        <v>-308.381730811225</v>
      </c>
    </row>
    <row r="9" customFormat="false" ht="15" hidden="false" customHeight="false" outlineLevel="0" collapsed="false">
      <c r="A9" s="1" t="s">
        <v>217</v>
      </c>
      <c r="B9" s="10" t="n">
        <f aca="false">B5+B6+B7+B8</f>
        <v>-7.00000002190131</v>
      </c>
      <c r="C9" s="10" t="n">
        <f aca="false">C5+C6+C7+C8</f>
        <v>-3.60778358299285E-008</v>
      </c>
      <c r="D9" s="10" t="n">
        <f aca="false">D5+D6+D7+D8</f>
        <v>-6.82541667629266E-009</v>
      </c>
      <c r="E9" s="10" t="n">
        <f aca="false">E5+E6+E7+E8</f>
        <v>4.84439510728407E-009</v>
      </c>
      <c r="F9" s="10" t="n">
        <f aca="false">F5+F6+F7+F8</f>
        <v>2.22212293010671E-009</v>
      </c>
    </row>
    <row r="10" customFormat="false" ht="15" hidden="false" customHeight="false" outlineLevel="0" collapsed="false">
      <c r="A10" s="4" t="s">
        <v>218</v>
      </c>
      <c r="B10" s="10" t="n">
        <f aca="false">'Fcst BS'!C5-'Fcst BS'!B5</f>
        <v>-7</v>
      </c>
      <c r="C10" s="10" t="n">
        <f aca="false">'Fcst BS'!D5-'Fcst BS'!C5</f>
        <v>0</v>
      </c>
      <c r="D10" s="10" t="n">
        <f aca="false">'Fcst BS'!E5-'Fcst BS'!D5</f>
        <v>0</v>
      </c>
      <c r="E10" s="10" t="n">
        <f aca="false">'Fcst BS'!F5-'Fcst BS'!E5</f>
        <v>0</v>
      </c>
      <c r="F10" s="10" t="n">
        <f aca="false">'Fcst BS'!G5-'Fcst BS'!F5</f>
        <v>0</v>
      </c>
    </row>
    <row r="11" customFormat="false" ht="15" hidden="false" customHeight="false" outlineLevel="0" collapsed="false">
      <c r="A11" s="1" t="s">
        <v>219</v>
      </c>
      <c r="B11" s="12" t="n">
        <f aca="false">B9-B10</f>
        <v>-2.19013145397184E-008</v>
      </c>
      <c r="C11" s="12" t="n">
        <f aca="false">C9-C10</f>
        <v>-3.60778358299285E-008</v>
      </c>
      <c r="D11" s="12" t="n">
        <f aca="false">D9-D10</f>
        <v>-6.82541667629266E-009</v>
      </c>
      <c r="E11" s="12" t="n">
        <f aca="false">E9-E10</f>
        <v>4.84439510728407E-009</v>
      </c>
      <c r="F11" s="12" t="n">
        <f aca="false">F9-F10</f>
        <v>2.22212293010671E-009</v>
      </c>
    </row>
    <row r="13" customFormat="false" ht="35.05" hidden="false" customHeight="false" outlineLevel="0" collapsed="false">
      <c r="A13" s="19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3" t="s">
        <v>40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customFormat="false" ht="15" hidden="false" customHeight="false" outlineLevel="0" collapsed="false">
      <c r="A2" s="1" t="s">
        <v>101</v>
      </c>
      <c r="B2" s="10" t="n">
        <f aca="false">'Fcst IS'!B2</f>
        <v>8741.90272355038</v>
      </c>
      <c r="C2" s="10" t="n">
        <f aca="false">'Fcst IS'!C2</f>
        <v>10235.985351156</v>
      </c>
      <c r="D2" s="10" t="n">
        <f aca="false">'Fcst IS'!D2</f>
        <v>11692.8427825852</v>
      </c>
      <c r="E2" s="10" t="n">
        <f aca="false">'Fcst IS'!E2</f>
        <v>13070.8019788835</v>
      </c>
      <c r="F2" s="10" t="n">
        <f aca="false">'Fcst IS'!F2</f>
        <v>14462.1024905</v>
      </c>
    </row>
    <row r="3" customFormat="false" ht="15" hidden="false" customHeight="false" outlineLevel="0" collapsed="false">
      <c r="A3" s="4" t="s">
        <v>111</v>
      </c>
      <c r="B3" s="10" t="n">
        <f aca="false">'Fcst IS'!B8</f>
        <v>1073.17194321082</v>
      </c>
      <c r="C3" s="10" t="n">
        <f aca="false">'Fcst IS'!C8</f>
        <v>1480.80370379775</v>
      </c>
      <c r="D3" s="10" t="n">
        <f aca="false">'Fcst IS'!D8</f>
        <v>1842.95355379053</v>
      </c>
      <c r="E3" s="10" t="n">
        <f aca="false">'Fcst IS'!E8</f>
        <v>2164.23288558221</v>
      </c>
      <c r="F3" s="10" t="n">
        <f aca="false">'Fcst IS'!F8</f>
        <v>2423.18973289824</v>
      </c>
    </row>
    <row r="4" customFormat="false" ht="15" hidden="false" customHeight="false" outlineLevel="0" collapsed="false">
      <c r="A4" s="4" t="s">
        <v>221</v>
      </c>
      <c r="B4" s="10" t="n">
        <f aca="false">'Fcst IS'!B9+'Fcst IS'!B10</f>
        <v>-180.7565</v>
      </c>
      <c r="C4" s="10" t="n">
        <f aca="false">'Fcst IS'!C9+'Fcst IS'!C10</f>
        <v>-238.7630975</v>
      </c>
      <c r="D4" s="10" t="n">
        <f aca="false">'Fcst IS'!D9+'Fcst IS'!D10</f>
        <v>-286.9072692125</v>
      </c>
      <c r="E4" s="10" t="n">
        <f aca="false">'Fcst IS'!E9+'Fcst IS'!E10</f>
        <v>-328.368791579437</v>
      </c>
      <c r="F4" s="10" t="n">
        <f aca="false">'Fcst IS'!F9+'Fcst IS'!F10</f>
        <v>-363.964630582685</v>
      </c>
    </row>
    <row r="5" customFormat="false" ht="15" hidden="false" customHeight="false" outlineLevel="0" collapsed="false">
      <c r="A5" s="1" t="s">
        <v>115</v>
      </c>
      <c r="B5" s="10" t="n">
        <f aca="false">'Fcst IS'!B11</f>
        <v>892.415443210818</v>
      </c>
      <c r="C5" s="10" t="n">
        <f aca="false">'Fcst IS'!C11</f>
        <v>1242.04060629775</v>
      </c>
      <c r="D5" s="10" t="n">
        <f aca="false">'Fcst IS'!D11</f>
        <v>1556.04628457803</v>
      </c>
      <c r="E5" s="10" t="n">
        <f aca="false">'Fcst IS'!E11</f>
        <v>1835.86409400277</v>
      </c>
      <c r="F5" s="10" t="n">
        <f aca="false">'Fcst IS'!F11</f>
        <v>2059.22510231556</v>
      </c>
    </row>
    <row r="6" customFormat="false" ht="15" hidden="false" customHeight="false" outlineLevel="0" collapsed="false">
      <c r="A6" s="4" t="s">
        <v>222</v>
      </c>
      <c r="B6" s="10" t="n">
        <f aca="false">B5*(1-Assumptions!$C$29)</f>
        <v>691.621968488384</v>
      </c>
      <c r="C6" s="10" t="n">
        <f aca="false">C5*(1-Assumptions!$C$29)</f>
        <v>962.581469880756</v>
      </c>
      <c r="D6" s="10" t="n">
        <f aca="false">D5*(1-Assumptions!$C$29)</f>
        <v>1205.93587054797</v>
      </c>
      <c r="E6" s="10" t="n">
        <f aca="false">E5*(1-Assumptions!$C$29)</f>
        <v>1422.79467285215</v>
      </c>
      <c r="F6" s="10" t="n">
        <f aca="false">F5*(1-Assumptions!$C$29)</f>
        <v>1595.89945429456</v>
      </c>
    </row>
    <row r="7" customFormat="false" ht="15" hidden="false" customHeight="false" outlineLevel="0" collapsed="false">
      <c r="A7" s="4" t="s">
        <v>211</v>
      </c>
      <c r="B7" s="10" t="n">
        <f aca="false">-B4</f>
        <v>180.7565</v>
      </c>
      <c r="C7" s="10" t="n">
        <f aca="false">-C4</f>
        <v>238.7630975</v>
      </c>
      <c r="D7" s="10" t="n">
        <f aca="false">-D4</f>
        <v>286.9072692125</v>
      </c>
      <c r="E7" s="10" t="n">
        <f aca="false">-E4</f>
        <v>328.368791579437</v>
      </c>
      <c r="F7" s="10" t="n">
        <f aca="false">-F4</f>
        <v>363.964630582685</v>
      </c>
    </row>
    <row r="8" customFormat="false" ht="15" hidden="false" customHeight="false" outlineLevel="0" collapsed="false">
      <c r="A8" s="4" t="s">
        <v>223</v>
      </c>
      <c r="B8" s="10" t="n">
        <f aca="false">-Assumptions!C13</f>
        <v>-800</v>
      </c>
      <c r="C8" s="10" t="n">
        <f aca="false">-Assumptions!D13</f>
        <v>-700</v>
      </c>
      <c r="D8" s="10" t="n">
        <f aca="false">-Assumptions!E13</f>
        <v>-650</v>
      </c>
      <c r="E8" s="10" t="n">
        <f aca="false">-Assumptions!F13</f>
        <v>-600</v>
      </c>
      <c r="F8" s="10" t="n">
        <f aca="false">-Assumptions!G13</f>
        <v>-550</v>
      </c>
    </row>
    <row r="9" customFormat="false" ht="15" hidden="false" customHeight="false" outlineLevel="0" collapsed="false">
      <c r="A9" s="4" t="s">
        <v>212</v>
      </c>
      <c r="B9" s="10" t="n">
        <f aca="false">'Fcst CF'!B4</f>
        <v>-754.489594651133</v>
      </c>
      <c r="C9" s="10" t="n">
        <f aca="false">'Fcst CF'!C4</f>
        <v>-537.851604848862</v>
      </c>
      <c r="D9" s="10" t="n">
        <f aca="false">'Fcst CF'!D4</f>
        <v>-536.520686641173</v>
      </c>
      <c r="E9" s="10" t="n">
        <f aca="false">'Fcst CF'!E4</f>
        <v>-520.917803534104</v>
      </c>
      <c r="F9" s="10" t="n">
        <f aca="false">'Fcst CF'!F4</f>
        <v>-516.617279711519</v>
      </c>
    </row>
    <row r="10" customFormat="false" ht="15" hidden="false" customHeight="false" outlineLevel="0" collapsed="false">
      <c r="A10" s="1" t="s">
        <v>224</v>
      </c>
      <c r="B10" s="10" t="n">
        <f aca="false">B6+B7+B8+B9</f>
        <v>-682.111126162749</v>
      </c>
      <c r="C10" s="10" t="n">
        <f aca="false">C6+C7+C8+C9</f>
        <v>-36.5070374681061</v>
      </c>
      <c r="D10" s="10" t="n">
        <f aca="false">D6+D7+D8+D9</f>
        <v>306.322453119301</v>
      </c>
      <c r="E10" s="10" t="n">
        <f aca="false">E6+E7+E8+E9</f>
        <v>630.245660897482</v>
      </c>
      <c r="F10" s="10" t="n">
        <f aca="false">F6+F7+F8+F9</f>
        <v>893.246805165722</v>
      </c>
    </row>
    <row r="11" customFormat="false" ht="15" hidden="false" customHeight="false" outlineLevel="0" collapsed="false">
      <c r="A11" s="4" t="s">
        <v>225</v>
      </c>
      <c r="B11" s="20" t="n">
        <f aca="false">1/(1+$B$14)^1</f>
        <v>0.809544615545459</v>
      </c>
      <c r="C11" s="20" t="n">
        <f aca="false">1/(1+$B$14)^2</f>
        <v>0.655362484558645</v>
      </c>
      <c r="D11" s="20" t="n">
        <f aca="false">1/(1+$B$14)^3</f>
        <v>0.530545170604944</v>
      </c>
      <c r="E11" s="20" t="n">
        <f aca="false">1/(1+$B$14)^4</f>
        <v>0.42949998616688</v>
      </c>
      <c r="F11" s="20" t="n">
        <f aca="false">1/(1+$B$14)^5</f>
        <v>0.347699401178246</v>
      </c>
    </row>
    <row r="12" customFormat="false" ht="15" hidden="false" customHeight="false" outlineLevel="0" collapsed="false">
      <c r="A12" s="1" t="s">
        <v>226</v>
      </c>
      <c r="B12" s="10" t="n">
        <f aca="false">B10*B11</f>
        <v>-552.199389388703</v>
      </c>
      <c r="C12" s="10" t="n">
        <f aca="false">C10*C11</f>
        <v>-23.9253427789735</v>
      </c>
      <c r="D12" s="10" t="n">
        <f aca="false">D10*D11</f>
        <v>162.517898150305</v>
      </c>
      <c r="E12" s="10" t="n">
        <f aca="false">E10*E11</f>
        <v>270.690502637204</v>
      </c>
      <c r="F12" s="10" t="n">
        <f aca="false">F10*F11</f>
        <v>310.581379260503</v>
      </c>
    </row>
    <row r="14" customFormat="false" ht="15" hidden="false" customHeight="false" outlineLevel="0" collapsed="false">
      <c r="A14" s="4" t="s">
        <v>227</v>
      </c>
      <c r="B14" s="21" t="n">
        <f aca="false">WACC!B12</f>
        <v>0.235262369481904</v>
      </c>
    </row>
    <row r="15" customFormat="false" ht="15" hidden="false" customHeight="false" outlineLevel="0" collapsed="false">
      <c r="A15" s="1" t="s">
        <v>228</v>
      </c>
      <c r="B15" s="12" t="n">
        <f aca="false">SUM(B12:F12)</f>
        <v>167.665047880336</v>
      </c>
    </row>
    <row r="16" customFormat="false" ht="15" hidden="false" customHeight="false" outlineLevel="0" collapsed="false">
      <c r="A16" s="4" t="s">
        <v>229</v>
      </c>
      <c r="B16" s="10" t="n">
        <f aca="false">F6*(1+Assumptions!$C$35)</f>
        <v>1675.69442700928</v>
      </c>
    </row>
    <row r="17" customFormat="false" ht="15" hidden="false" customHeight="false" outlineLevel="0" collapsed="false">
      <c r="A17" s="4" t="s">
        <v>230</v>
      </c>
      <c r="B17" s="16" t="n">
        <f aca="false">Assumptions!$C$35/Assumptions!$C$36</f>
        <v>0.227272727272727</v>
      </c>
    </row>
    <row r="18" customFormat="false" ht="35.05" hidden="false" customHeight="false" outlineLevel="0" collapsed="false">
      <c r="A18" s="2" t="s">
        <v>231</v>
      </c>
      <c r="B18" s="14" t="n">
        <f aca="false">B16*(1-B17)/(B14-Assumptions!$C$35)</f>
        <v>6989.30272849422</v>
      </c>
    </row>
    <row r="19" customFormat="false" ht="15" hidden="false" customHeight="false" outlineLevel="0" collapsed="false">
      <c r="A19" s="1" t="s">
        <v>232</v>
      </c>
      <c r="B19" s="22" t="n">
        <f aca="false">B18/(1+B14)^5</f>
        <v>2430.17637335093</v>
      </c>
    </row>
    <row r="20" customFormat="false" ht="15" hidden="false" customHeight="false" outlineLevel="0" collapsed="false">
      <c r="A20" s="1" t="s">
        <v>233</v>
      </c>
      <c r="B20" s="22" t="n">
        <f aca="false">B15+B19</f>
        <v>2597.84142123126</v>
      </c>
    </row>
    <row r="21" customFormat="false" ht="15" hidden="false" customHeight="false" outlineLevel="0" collapsed="false">
      <c r="A21" s="4" t="s">
        <v>234</v>
      </c>
      <c r="B21" s="16" t="n">
        <f aca="false">B19/B20</f>
        <v>0.935459860440261</v>
      </c>
    </row>
    <row r="22" customFormat="false" ht="15" hidden="false" customHeight="false" outlineLevel="0" collapsed="false">
      <c r="A22" s="4" t="s">
        <v>235</v>
      </c>
      <c r="B22" s="23" t="n">
        <v>-3967.2</v>
      </c>
    </row>
    <row r="23" customFormat="false" ht="15" hidden="false" customHeight="false" outlineLevel="0" collapsed="false">
      <c r="A23" s="4" t="s">
        <v>236</v>
      </c>
      <c r="B23" s="10" t="n">
        <v>-1</v>
      </c>
    </row>
    <row r="24" customFormat="false" ht="15" hidden="false" customHeight="false" outlineLevel="0" collapsed="false">
      <c r="A24" s="1" t="s">
        <v>237</v>
      </c>
      <c r="B24" s="22" t="n">
        <f aca="false">B20+B22+B23</f>
        <v>-1370.35857876874</v>
      </c>
    </row>
    <row r="25" customFormat="false" ht="15" hidden="false" customHeight="false" outlineLevel="0" collapsed="false">
      <c r="A25" s="1" t="s">
        <v>238</v>
      </c>
      <c r="B25" s="24" t="n">
        <f aca="false">B24/Assumptions!$D$37</f>
        <v>-0.511327827898784</v>
      </c>
    </row>
    <row r="26" customFormat="false" ht="15" hidden="false" customHeight="false" outlineLevel="0" collapsed="false">
      <c r="A26" s="4" t="s">
        <v>239</v>
      </c>
      <c r="B26" s="16" t="n">
        <f aca="false">B25/Assumptions!$C$37-1</f>
        <v>-1.26357104530865</v>
      </c>
    </row>
    <row r="28" customFormat="false" ht="46.25" hidden="false" customHeight="false" outlineLevel="0" collapsed="false">
      <c r="A28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4"/>
  </cols>
  <sheetData>
    <row r="1" customFormat="false" ht="15" hidden="false" customHeight="false" outlineLevel="0" collapsed="false">
      <c r="A1" s="3" t="s">
        <v>241</v>
      </c>
      <c r="B1" s="3" t="s">
        <v>242</v>
      </c>
      <c r="C1" s="3" t="s">
        <v>243</v>
      </c>
    </row>
    <row r="2" customFormat="false" ht="15" hidden="false" customHeight="false" outlineLevel="0" collapsed="false">
      <c r="A2" s="4" t="s">
        <v>72</v>
      </c>
      <c r="B2" s="16" t="n">
        <f aca="false">Assumptions!$C$30</f>
        <v>0.2255</v>
      </c>
      <c r="C2" s="2" t="s">
        <v>244</v>
      </c>
    </row>
    <row r="3" customFormat="false" ht="15" hidden="false" customHeight="false" outlineLevel="0" collapsed="false">
      <c r="A3" s="4" t="s">
        <v>74</v>
      </c>
      <c r="B3" s="16" t="n">
        <f aca="false">Assumptions!$C$31</f>
        <v>0.0941</v>
      </c>
      <c r="C3" s="2" t="s">
        <v>245</v>
      </c>
    </row>
    <row r="4" customFormat="false" ht="15" hidden="false" customHeight="false" outlineLevel="0" collapsed="false">
      <c r="A4" s="4" t="s">
        <v>76</v>
      </c>
      <c r="B4" s="16" t="n">
        <f aca="false">Assumptions!$C$32</f>
        <v>0.1394</v>
      </c>
      <c r="C4" s="2" t="s">
        <v>246</v>
      </c>
    </row>
    <row r="5" customFormat="false" ht="15" hidden="false" customHeight="false" outlineLevel="0" collapsed="false">
      <c r="A5" s="4" t="s">
        <v>77</v>
      </c>
      <c r="B5" s="15" t="n">
        <f aca="false">Assumptions!$C$33</f>
        <v>1</v>
      </c>
      <c r="C5" s="2" t="s">
        <v>247</v>
      </c>
    </row>
    <row r="6" customFormat="false" ht="15" hidden="false" customHeight="false" outlineLevel="0" collapsed="false">
      <c r="A6" s="4" t="s">
        <v>248</v>
      </c>
      <c r="B6" s="16" t="n">
        <f aca="false">B2+B5*B3</f>
        <v>0.3196</v>
      </c>
      <c r="C6" s="2" t="s">
        <v>249</v>
      </c>
    </row>
    <row r="7" customFormat="false" ht="15" hidden="false" customHeight="false" outlineLevel="0" collapsed="false">
      <c r="A7" s="4" t="s">
        <v>250</v>
      </c>
      <c r="B7" s="16" t="n">
        <f aca="false">B2+B5*B4</f>
        <v>0.3649</v>
      </c>
      <c r="C7" s="2"/>
    </row>
    <row r="8" customFormat="false" ht="23.85" hidden="false" customHeight="false" outlineLevel="0" collapsed="false">
      <c r="A8" s="4" t="s">
        <v>80</v>
      </c>
      <c r="B8" s="16" t="n">
        <f aca="false">Assumptions!$C$34</f>
        <v>0.1568</v>
      </c>
      <c r="C8" s="2" t="s">
        <v>251</v>
      </c>
    </row>
    <row r="9" customFormat="false" ht="15" hidden="false" customHeight="false" outlineLevel="0" collapsed="false">
      <c r="A9" s="4" t="s">
        <v>252</v>
      </c>
      <c r="B9" s="16" t="n">
        <f aca="false">B8*(1-Assumptions!$C$29)</f>
        <v>0.12152</v>
      </c>
      <c r="C9" s="2"/>
    </row>
    <row r="10" customFormat="false" ht="15" hidden="false" customHeight="false" outlineLevel="0" collapsed="false">
      <c r="A10" s="4" t="s">
        <v>253</v>
      </c>
      <c r="B10" s="16" t="n">
        <f aca="false">Assumptions!$C$37*Assumptions!$D$37/(Assumptions!$C$37*Assumptions!$D$37+3855.1)</f>
        <v>0.574224401665507</v>
      </c>
      <c r="C10" s="2" t="s">
        <v>254</v>
      </c>
    </row>
    <row r="11" customFormat="false" ht="15" hidden="false" customHeight="false" outlineLevel="0" collapsed="false">
      <c r="A11" s="4" t="s">
        <v>255</v>
      </c>
      <c r="B11" s="16" t="n">
        <f aca="false">1-B10</f>
        <v>0.425775598334493</v>
      </c>
      <c r="C11" s="2"/>
    </row>
    <row r="12" customFormat="false" ht="15" hidden="false" customHeight="false" outlineLevel="0" collapsed="false">
      <c r="A12" s="1" t="s">
        <v>256</v>
      </c>
      <c r="B12" s="16" t="n">
        <f aca="false">B10*B6+B11*B9</f>
        <v>0.235262369481904</v>
      </c>
      <c r="C12" s="2" t="s">
        <v>257</v>
      </c>
    </row>
    <row r="13" customFormat="false" ht="15" hidden="false" customHeight="false" outlineLevel="0" collapsed="false">
      <c r="A13" s="1" t="s">
        <v>258</v>
      </c>
      <c r="B13" s="16" t="n">
        <f aca="false">B10*B7+B11*B9</f>
        <v>0.261274734877351</v>
      </c>
      <c r="C13" s="2"/>
    </row>
    <row r="16" customFormat="false" ht="15" hidden="false" customHeight="false" outlineLevel="0" collapsed="false">
      <c r="A16" s="9" t="s">
        <v>259</v>
      </c>
    </row>
    <row r="17" customFormat="false" ht="15" hidden="false" customHeight="false" outlineLevel="0" collapsed="false">
      <c r="A17" s="3" t="s">
        <v>77</v>
      </c>
      <c r="B17" s="3" t="s">
        <v>260</v>
      </c>
      <c r="C17" s="3" t="s">
        <v>261</v>
      </c>
      <c r="D17" s="3" t="s">
        <v>262</v>
      </c>
    </row>
    <row r="18" customFormat="false" ht="15" hidden="false" customHeight="false" outlineLevel="0" collapsed="false">
      <c r="A18" s="6" t="n">
        <v>0.8</v>
      </c>
      <c r="B18" s="16" t="n">
        <f aca="false">$B$2+A18*$B$3</f>
        <v>0.30078</v>
      </c>
      <c r="C18" s="16" t="n">
        <f aca="false">$B$10*B18+$B$11*$B$9</f>
        <v>0.224455466242559</v>
      </c>
      <c r="D18" s="15" t="n">
        <v>-0.403442993736621</v>
      </c>
    </row>
    <row r="19" customFormat="false" ht="15" hidden="false" customHeight="false" outlineLevel="0" collapsed="false">
      <c r="A19" s="6" t="n">
        <v>0.9</v>
      </c>
      <c r="B19" s="16" t="n">
        <f aca="false">$B$2+A19*$B$3</f>
        <v>0.31019</v>
      </c>
      <c r="C19" s="16" t="n">
        <f aca="false">$B$10*B19+$B$11*$B$9</f>
        <v>0.229858917862231</v>
      </c>
      <c r="D19" s="15" t="n">
        <v>-0.459212095708307</v>
      </c>
    </row>
    <row r="20" customFormat="false" ht="15" hidden="false" customHeight="false" outlineLevel="0" collapsed="false">
      <c r="A20" s="6" t="n">
        <v>1</v>
      </c>
      <c r="B20" s="16" t="n">
        <f aca="false">$B$2+A20*$B$3</f>
        <v>0.3196</v>
      </c>
      <c r="C20" s="16" t="n">
        <f aca="false">$B$10*B20+$B$11*$B$9</f>
        <v>0.235262369481904</v>
      </c>
      <c r="D20" s="15" t="n">
        <v>-0.511327827898784</v>
      </c>
    </row>
    <row r="21" customFormat="false" ht="15" hidden="false" customHeight="false" outlineLevel="0" collapsed="false">
      <c r="A21" s="6" t="n">
        <v>1.1</v>
      </c>
      <c r="B21" s="16" t="n">
        <f aca="false">$B$2+A21*$B$3</f>
        <v>0.32901</v>
      </c>
      <c r="C21" s="16" t="n">
        <f aca="false">$B$10*B21+$B$11*$B$9</f>
        <v>0.240665821101576</v>
      </c>
      <c r="D21" s="15" t="n">
        <v>-0.560110203111533</v>
      </c>
    </row>
    <row r="22" customFormat="false" ht="15" hidden="false" customHeight="false" outlineLevel="0" collapsed="false">
      <c r="A22" s="6" t="n">
        <v>1.2</v>
      </c>
      <c r="B22" s="16" t="n">
        <f aca="false">$B$2+A22*$B$3</f>
        <v>0.33842</v>
      </c>
      <c r="C22" s="16" t="n">
        <f aca="false">$B$10*B22+$B$11*$B$9</f>
        <v>0.246069272721248</v>
      </c>
      <c r="D22" s="15" t="n">
        <v>-0.605843684655369</v>
      </c>
    </row>
    <row r="23" customFormat="false" ht="15" hidden="false" customHeight="false" outlineLevel="0" collapsed="false">
      <c r="A23" s="6" t="n">
        <v>1.3</v>
      </c>
      <c r="B23" s="16" t="n">
        <f aca="false">$B$2+A23*$B$3</f>
        <v>0.34783</v>
      </c>
      <c r="C23" s="16" t="n">
        <f aca="false">$B$10*B23+$B$11*$B$9</f>
        <v>0.251472724340921</v>
      </c>
      <c r="D23" s="15" t="n">
        <v>-0.648781962754238</v>
      </c>
    </row>
    <row r="25" customFormat="false" ht="35.05" hidden="false" customHeight="false" outlineLevel="0" collapsed="false">
      <c r="A25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264</v>
      </c>
    </row>
    <row r="2" customFormat="false" ht="15" hidden="false" customHeight="false" outlineLevel="0" collapsed="false">
      <c r="B2" s="25" t="n">
        <v>0.03</v>
      </c>
      <c r="C2" s="25" t="n">
        <v>0.04</v>
      </c>
      <c r="D2" s="25" t="n">
        <v>0.05</v>
      </c>
      <c r="E2" s="25" t="n">
        <v>0.06</v>
      </c>
      <c r="F2" s="25" t="n">
        <v>0.07</v>
      </c>
    </row>
    <row r="3" customFormat="false" ht="15" hidden="false" customHeight="false" outlineLevel="0" collapsed="false">
      <c r="A3" s="25" t="n">
        <v>0.205262369481904</v>
      </c>
      <c r="B3" s="15" t="n">
        <v>-0.205105736952615</v>
      </c>
      <c r="C3" s="15" t="n">
        <v>-0.187936729896757</v>
      </c>
      <c r="D3" s="15" t="n">
        <v>-0.169927004623318</v>
      </c>
      <c r="E3" s="15" t="n">
        <v>-0.150902933601524</v>
      </c>
      <c r="F3" s="15" t="n">
        <v>-0.130639543894947</v>
      </c>
    </row>
    <row r="4" customFormat="false" ht="15" hidden="false" customHeight="false" outlineLevel="0" collapsed="false">
      <c r="A4" s="25" t="n">
        <v>0.215262369481904</v>
      </c>
      <c r="B4" s="15" t="n">
        <v>-0.323381773877313</v>
      </c>
      <c r="C4" s="15" t="n">
        <v>-0.311359351993288</v>
      </c>
      <c r="D4" s="15" t="n">
        <v>-0.299117796412475</v>
      </c>
      <c r="E4" s="15" t="n">
        <v>-0.286614765832692</v>
      </c>
      <c r="F4" s="15" t="n">
        <v>-0.273796259689327</v>
      </c>
    </row>
    <row r="5" customFormat="false" ht="15" hidden="false" customHeight="false" outlineLevel="0" collapsed="false">
      <c r="A5" s="25" t="n">
        <v>0.225262369481904</v>
      </c>
      <c r="B5" s="15" t="n">
        <v>-0.427926721968106</v>
      </c>
      <c r="C5" s="15" t="n">
        <v>-0.419872053271118</v>
      </c>
      <c r="D5" s="15" t="n">
        <v>-0.412016749407447</v>
      </c>
      <c r="E5" s="15" t="n">
        <v>-0.404397000981273</v>
      </c>
      <c r="F5" s="15" t="n">
        <v>-0.397058322325194</v>
      </c>
    </row>
    <row r="6" customFormat="false" ht="15" hidden="false" customHeight="false" outlineLevel="0" collapsed="false">
      <c r="A6" s="25" t="n">
        <v>0.235262369481904</v>
      </c>
      <c r="B6" s="15" t="n">
        <v>-0.520818705342746</v>
      </c>
      <c r="C6" s="15" t="n">
        <v>-0.515834310553956</v>
      </c>
      <c r="D6" s="15" t="n">
        <v>-0.511327827898784</v>
      </c>
      <c r="E6" s="15" t="n">
        <v>-0.507381062524853</v>
      </c>
      <c r="F6" s="15" t="n">
        <v>-0.504095619646286</v>
      </c>
    </row>
    <row r="7" customFormat="false" ht="15" hidden="false" customHeight="false" outlineLevel="0" collapsed="false">
      <c r="A7" s="25" t="n">
        <v>0.245262369481904</v>
      </c>
      <c r="B7" s="15" t="n">
        <v>-0.60374586560344</v>
      </c>
      <c r="C7" s="15" t="n">
        <v>-0.601142160229424</v>
      </c>
      <c r="D7" s="15" t="n">
        <v>-0.599197647970579</v>
      </c>
      <c r="E7" s="15" t="n">
        <v>-0.598019073620844</v>
      </c>
      <c r="F7" s="15" t="n">
        <v>-0.597737544258947</v>
      </c>
    </row>
    <row r="8" customFormat="false" ht="15" hidden="false" customHeight="false" outlineLevel="0" collapsed="false">
      <c r="A8" s="25" t="n">
        <v>0.255262369481904</v>
      </c>
      <c r="B8" s="15" t="n">
        <v>-0.678093162085863</v>
      </c>
      <c r="C8" s="15" t="n">
        <v>-0.67733606854336</v>
      </c>
      <c r="D8" s="15" t="n">
        <v>-0.677351451716734</v>
      </c>
      <c r="E8" s="15" t="n">
        <v>-0.678257994491671</v>
      </c>
      <c r="F8" s="15" t="n">
        <v>-0.680200004576863</v>
      </c>
    </row>
    <row r="10" customFormat="false" ht="15" hidden="false" customHeight="false" outlineLevel="0" collapsed="false">
      <c r="A10" s="1" t="s">
        <v>265</v>
      </c>
    </row>
    <row r="11" customFormat="false" ht="15" hidden="false" customHeight="false" outlineLevel="0" collapsed="false">
      <c r="B11" s="25" t="n">
        <v>0.215262369481904</v>
      </c>
      <c r="C11" s="25" t="n">
        <v>0.225262369481904</v>
      </c>
      <c r="D11" s="25" t="n">
        <v>0.235262369481904</v>
      </c>
      <c r="E11" s="25" t="n">
        <v>0.245262369481904</v>
      </c>
      <c r="F11" s="25" t="n">
        <v>0.255262369481904</v>
      </c>
    </row>
    <row r="12" customFormat="false" ht="15" hidden="false" customHeight="false" outlineLevel="0" collapsed="false">
      <c r="A12" s="1" t="s">
        <v>266</v>
      </c>
      <c r="B12" s="15" t="n">
        <v>-0.668363365661827</v>
      </c>
      <c r="C12" s="15" t="n">
        <v>-0.761942505891463</v>
      </c>
      <c r="D12" s="15" t="n">
        <v>-0.843950136845197</v>
      </c>
      <c r="E12" s="15" t="n">
        <v>-0.91622675127954</v>
      </c>
      <c r="F12" s="15" t="n">
        <v>-0.980250897911853</v>
      </c>
    </row>
    <row r="13" customFormat="false" ht="15" hidden="false" customHeight="false" outlineLevel="0" collapsed="false">
      <c r="A13" s="1" t="s">
        <v>267</v>
      </c>
      <c r="B13" s="15" t="n">
        <v>-0.483740581037151</v>
      </c>
      <c r="C13" s="15" t="n">
        <v>-0.586979627649455</v>
      </c>
      <c r="D13" s="15" t="n">
        <v>-0.677638982371991</v>
      </c>
      <c r="E13" s="15" t="n">
        <v>-0.75771219962506</v>
      </c>
      <c r="F13" s="15" t="n">
        <v>-0.828801174814294</v>
      </c>
    </row>
    <row r="14" customFormat="false" ht="15" hidden="false" customHeight="false" outlineLevel="0" collapsed="false">
      <c r="A14" s="1" t="s">
        <v>268</v>
      </c>
      <c r="B14" s="15" t="n">
        <v>-0.299117796412475</v>
      </c>
      <c r="C14" s="15" t="n">
        <v>-0.412016749407447</v>
      </c>
      <c r="D14" s="15" t="n">
        <v>-0.511327827898784</v>
      </c>
      <c r="E14" s="15" t="n">
        <v>-0.599197647970579</v>
      </c>
      <c r="F14" s="15" t="n">
        <v>-0.677351451716734</v>
      </c>
    </row>
    <row r="15" customFormat="false" ht="15" hidden="false" customHeight="false" outlineLevel="0" collapsed="false">
      <c r="A15" s="1" t="s">
        <v>269</v>
      </c>
      <c r="B15" s="15" t="n">
        <v>-0.114495011787798</v>
      </c>
      <c r="C15" s="15" t="n">
        <v>-0.237053871165439</v>
      </c>
      <c r="D15" s="15" t="n">
        <v>-0.345016673425577</v>
      </c>
      <c r="E15" s="15" t="n">
        <v>-0.440683096316097</v>
      </c>
      <c r="F15" s="15" t="n">
        <v>-0.525901728619174</v>
      </c>
    </row>
    <row r="16" customFormat="false" ht="15" hidden="false" customHeight="false" outlineLevel="0" collapsed="false">
      <c r="A16" s="1" t="s">
        <v>270</v>
      </c>
      <c r="B16" s="15" t="n">
        <v>0.0701277728368787</v>
      </c>
      <c r="C16" s="15" t="n">
        <v>-0.0620909929234304</v>
      </c>
      <c r="D16" s="15" t="n">
        <v>-0.17870551895237</v>
      </c>
      <c r="E16" s="15" t="n">
        <v>-0.282168544661616</v>
      </c>
      <c r="F16" s="15" t="n">
        <v>-0.374452005521614</v>
      </c>
    </row>
    <row r="18" customFormat="false" ht="15" hidden="false" customHeight="false" outlineLevel="0" collapsed="false">
      <c r="A18" s="1" t="s">
        <v>271</v>
      </c>
    </row>
    <row r="19" customFormat="false" ht="15" hidden="false" customHeight="false" outlineLevel="0" collapsed="false">
      <c r="A19" s="3" t="s">
        <v>261</v>
      </c>
      <c r="B19" s="3" t="s">
        <v>262</v>
      </c>
      <c r="C19" s="3" t="s">
        <v>272</v>
      </c>
    </row>
    <row r="20" customFormat="false" ht="15" hidden="false" customHeight="false" outlineLevel="0" collapsed="false">
      <c r="A20" s="16" t="n">
        <v>0.235262369481904</v>
      </c>
      <c r="B20" s="15" t="n">
        <v>-0.511327827898784</v>
      </c>
      <c r="C20" s="4" t="s">
        <v>273</v>
      </c>
    </row>
    <row r="21" customFormat="false" ht="15" hidden="false" customHeight="false" outlineLevel="0" collapsed="false">
      <c r="A21" s="16" t="n">
        <v>0.215</v>
      </c>
      <c r="B21" s="15" t="n">
        <v>-0.295949617094494</v>
      </c>
      <c r="C21" s="4" t="s">
        <v>274</v>
      </c>
    </row>
    <row r="22" customFormat="false" ht="15" hidden="false" customHeight="false" outlineLevel="0" collapsed="false">
      <c r="A22" s="16" t="n">
        <v>0.195</v>
      </c>
      <c r="B22" s="15" t="n">
        <v>-0.0167794554956538</v>
      </c>
      <c r="C22" s="4" t="s">
        <v>275</v>
      </c>
    </row>
    <row r="23" customFormat="false" ht="15" hidden="false" customHeight="false" outlineLevel="0" collapsed="false">
      <c r="A23" s="16" t="n">
        <v>0.175</v>
      </c>
      <c r="B23" s="15" t="n">
        <v>0.361282974718848</v>
      </c>
      <c r="C23" s="4" t="s">
        <v>276</v>
      </c>
    </row>
    <row r="24" customFormat="false" ht="15" hidden="false" customHeight="false" outlineLevel="0" collapsed="false">
      <c r="A24" s="16" t="n">
        <v>0.1304559005772</v>
      </c>
      <c r="B24" s="15" t="n">
        <v>1.94</v>
      </c>
      <c r="C24" s="4" t="s">
        <v>277</v>
      </c>
    </row>
    <row r="25" customFormat="false" ht="15" hidden="false" customHeight="false" outlineLevel="0" collapsed="false">
      <c r="A25" s="16" t="n">
        <v>0.15</v>
      </c>
      <c r="B25" s="15" t="n">
        <v>1.06516066693947</v>
      </c>
      <c r="C25" s="4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3" t="s">
        <v>279</v>
      </c>
      <c r="B1" s="3" t="s">
        <v>280</v>
      </c>
      <c r="C1" s="3" t="s">
        <v>281</v>
      </c>
      <c r="D1" s="3" t="s">
        <v>282</v>
      </c>
      <c r="E1" s="3" t="s">
        <v>283</v>
      </c>
      <c r="F1" s="3" t="s">
        <v>284</v>
      </c>
    </row>
    <row r="2" customFormat="false" ht="15" hidden="false" customHeight="false" outlineLevel="0" collapsed="false">
      <c r="A2" s="4" t="s">
        <v>285</v>
      </c>
      <c r="B2" s="15" t="n">
        <v>0</v>
      </c>
      <c r="C2" s="15" t="n">
        <v>0</v>
      </c>
      <c r="D2" s="15" t="n">
        <v>0.0623803529555808</v>
      </c>
      <c r="E2" s="21" t="n">
        <f aca="false">Assumptions!$C$41</f>
        <v>0.35</v>
      </c>
      <c r="F2" s="2" t="s">
        <v>286</v>
      </c>
    </row>
    <row r="3" customFormat="false" ht="15" hidden="false" customHeight="false" outlineLevel="0" collapsed="false">
      <c r="A3" s="4" t="s">
        <v>287</v>
      </c>
      <c r="B3" s="15" t="n">
        <f aca="false">Assumptions!$C$38*'Fcst IS'!B2/Assumptions!$D$37*Assumptions!$C$39</f>
        <v>1.46785680059615</v>
      </c>
      <c r="C3" s="15" t="n">
        <f aca="false">Assumptions!$C$38*'Fcst IS'!B2/Assumptions!$D$37*Assumptions!$D$39</f>
        <v>1.83482100074518</v>
      </c>
      <c r="D3" s="15" t="n">
        <f aca="false">Assumptions!$C$38*'Fcst IS'!B2/Assumptions!$D$37*Assumptions!$E$39</f>
        <v>2.20178520089422</v>
      </c>
      <c r="E3" s="21" t="n">
        <f aca="false">Assumptions!$D$41</f>
        <v>0.35</v>
      </c>
      <c r="F3" s="4" t="s">
        <v>288</v>
      </c>
    </row>
    <row r="4" customFormat="false" ht="15" hidden="false" customHeight="false" outlineLevel="0" collapsed="false">
      <c r="A4" s="4" t="s">
        <v>289</v>
      </c>
      <c r="B4" s="15" t="n">
        <f aca="false">(Assumptions!$C$40*'Fcst IS'!C8-5999.5-1)/Assumptions!$D$37</f>
        <v>0.247431592197713</v>
      </c>
      <c r="C4" s="15" t="n">
        <f aca="false">(Assumptions!$D$40*'Fcst IS'!C8-5999.5-1)/Assumptions!$D$37</f>
        <v>0.799970287644635</v>
      </c>
      <c r="D4" s="15" t="n">
        <f aca="false">(Assumptions!$E$40*'Fcst IS'!C8-5999.5-1)/Assumptions!$D$37</f>
        <v>1.35250898309156</v>
      </c>
      <c r="E4" s="21" t="n">
        <f aca="false">Assumptions!$E$41</f>
        <v>0.3</v>
      </c>
      <c r="F4" s="4" t="s">
        <v>290</v>
      </c>
    </row>
    <row r="5" customFormat="false" ht="15" hidden="false" customHeight="false" outlineLevel="0" collapsed="false">
      <c r="A5" s="26" t="s">
        <v>291</v>
      </c>
      <c r="B5" s="24" t="n">
        <f aca="false">SUMPRODUCT(B2:B4,$E$2:$E$4)</f>
        <v>0.587979357867965</v>
      </c>
      <c r="C5" s="24" t="n">
        <f aca="false">SUMPRODUCT(C2:C4,$E$2:$E$4)</f>
        <v>0.882178436554204</v>
      </c>
      <c r="D5" s="24" t="n">
        <f aca="false">SUMPRODUCT(D2:D4,$E$2:$E$4)</f>
        <v>1.1982106387749</v>
      </c>
      <c r="E5" s="25" t="n">
        <f aca="false">SUM(E2:E4)</f>
        <v>1</v>
      </c>
      <c r="F5" s="4" t="s">
        <v>292</v>
      </c>
    </row>
    <row r="7" customFormat="false" ht="15" hidden="false" customHeight="true" outlineLevel="0" collapsed="false">
      <c r="A7" s="13" t="s">
        <v>293</v>
      </c>
      <c r="B7" s="13"/>
      <c r="C7" s="13"/>
      <c r="D7" s="13"/>
      <c r="E7" s="13"/>
      <c r="F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</row>
  </sheetData>
  <mergeCells count="1">
    <mergeCell ref="A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3" t="s">
        <v>294</v>
      </c>
      <c r="B1" s="3" t="s">
        <v>242</v>
      </c>
      <c r="C1" s="3"/>
      <c r="D1" s="3" t="s">
        <v>295</v>
      </c>
      <c r="E1" s="3" t="s">
        <v>296</v>
      </c>
      <c r="F1" s="3" t="s">
        <v>297</v>
      </c>
    </row>
    <row r="2" customFormat="false" ht="46.25" hidden="false" customHeight="false" outlineLevel="0" collapsed="false">
      <c r="A2" s="4" t="s">
        <v>298</v>
      </c>
      <c r="B2" s="2" t="s">
        <v>299</v>
      </c>
      <c r="D2" s="4" t="s">
        <v>300</v>
      </c>
      <c r="E2" s="15" t="n">
        <v>1.65264109929683</v>
      </c>
      <c r="F2" s="15" t="n">
        <v>1.50006824559512</v>
      </c>
    </row>
    <row r="3" customFormat="false" ht="15" hidden="false" customHeight="false" outlineLevel="0" collapsed="false">
      <c r="A3" s="4" t="s">
        <v>301</v>
      </c>
      <c r="B3" s="16" t="n">
        <f aca="false">LN(1+0.195)*60/252</f>
        <v>0.0424157584246367</v>
      </c>
      <c r="D3" s="4" t="s">
        <v>302</v>
      </c>
      <c r="E3" s="15" t="n">
        <v>1.85307574619451</v>
      </c>
      <c r="F3" s="15" t="n">
        <v>1.82438970491774</v>
      </c>
    </row>
    <row r="4" customFormat="false" ht="15" hidden="false" customHeight="false" outlineLevel="0" collapsed="false">
      <c r="A4" s="4" t="s">
        <v>303</v>
      </c>
      <c r="B4" s="27" t="n">
        <v>-0.00055</v>
      </c>
      <c r="D4" s="4" t="s">
        <v>304</v>
      </c>
      <c r="E4" s="15" t="n">
        <v>1.96776329970327</v>
      </c>
      <c r="F4" s="15" t="n">
        <v>2.02382445585822</v>
      </c>
    </row>
    <row r="5" customFormat="false" ht="15" hidden="false" customHeight="false" outlineLevel="0" collapsed="false">
      <c r="A5" s="4" t="s">
        <v>305</v>
      </c>
      <c r="B5" s="16" t="n">
        <v>0</v>
      </c>
      <c r="D5" s="4" t="s">
        <v>306</v>
      </c>
      <c r="E5" s="15" t="n">
        <v>2.09062152398682</v>
      </c>
      <c r="F5" s="15" t="n">
        <v>2.24749604958812</v>
      </c>
    </row>
    <row r="6" customFormat="false" ht="35.05" hidden="false" customHeight="false" outlineLevel="0" collapsed="false">
      <c r="A6" s="4" t="s">
        <v>307</v>
      </c>
      <c r="B6" s="2" t="s">
        <v>308</v>
      </c>
      <c r="D6" s="4" t="s">
        <v>309</v>
      </c>
      <c r="E6" s="15" t="n">
        <v>2.34452230981507</v>
      </c>
      <c r="F6" s="15" t="n">
        <v>2.7340419228047</v>
      </c>
    </row>
    <row r="8" customFormat="false" ht="15" hidden="false" customHeight="false" outlineLevel="0" collapsed="false">
      <c r="A8" s="9" t="s">
        <v>310</v>
      </c>
      <c r="D8" s="4" t="s">
        <v>311</v>
      </c>
    </row>
    <row r="9" customFormat="false" ht="15" hidden="false" customHeight="false" outlineLevel="0" collapsed="false">
      <c r="A9" s="4" t="s">
        <v>312</v>
      </c>
      <c r="B9" s="16" t="n">
        <v>0.61136</v>
      </c>
      <c r="D9" s="4" t="s">
        <v>300</v>
      </c>
      <c r="E9" s="15" t="n">
        <v>1.67875859652007</v>
      </c>
      <c r="F9" s="15" t="n">
        <v>1.50068659199295</v>
      </c>
    </row>
    <row r="10" customFormat="false" ht="15" hidden="false" customHeight="false" outlineLevel="0" collapsed="false">
      <c r="A10" s="4" t="s">
        <v>313</v>
      </c>
      <c r="B10" s="4" t="s">
        <v>314</v>
      </c>
      <c r="D10" s="4" t="s">
        <v>302</v>
      </c>
      <c r="E10" s="15" t="n">
        <v>1.86111259501199</v>
      </c>
      <c r="F10" s="15" t="n">
        <v>1.82531792472309</v>
      </c>
    </row>
    <row r="11" customFormat="false" ht="15" hidden="false" customHeight="false" outlineLevel="0" collapsed="false">
      <c r="A11" s="4" t="s">
        <v>315</v>
      </c>
      <c r="B11" s="4" t="s">
        <v>316</v>
      </c>
      <c r="D11" s="4" t="s">
        <v>304</v>
      </c>
      <c r="E11" s="15" t="n">
        <v>1.96754723376939</v>
      </c>
      <c r="F11" s="15" t="n">
        <v>2.02518721441192</v>
      </c>
    </row>
    <row r="12" customFormat="false" ht="15" hidden="false" customHeight="false" outlineLevel="0" collapsed="false">
      <c r="A12" s="4" t="s">
        <v>317</v>
      </c>
      <c r="B12" s="4" t="s">
        <v>318</v>
      </c>
      <c r="D12" s="4" t="s">
        <v>306</v>
      </c>
      <c r="E12" s="15" t="n">
        <v>2.08062060243834</v>
      </c>
      <c r="F12" s="15" t="n">
        <v>2.24772085239989</v>
      </c>
    </row>
    <row r="13" customFormat="false" ht="15" hidden="false" customHeight="false" outlineLevel="0" collapsed="false">
      <c r="A13" s="4" t="s">
        <v>319</v>
      </c>
      <c r="B13" s="4" t="s">
        <v>320</v>
      </c>
      <c r="D13" s="4" t="s">
        <v>309</v>
      </c>
      <c r="E13" s="15" t="n">
        <v>2.31282648992584</v>
      </c>
      <c r="F13" s="15" t="n">
        <v>2.72651833196313</v>
      </c>
    </row>
    <row r="15" customFormat="false" ht="15" hidden="false" customHeight="false" outlineLevel="0" collapsed="false">
      <c r="A15" s="9" t="s">
        <v>321</v>
      </c>
      <c r="F15" s="1" t="s">
        <v>322</v>
      </c>
    </row>
    <row r="16" customFormat="false" ht="15" hidden="false" customHeight="false" outlineLevel="0" collapsed="false">
      <c r="A16" s="3" t="s">
        <v>323</v>
      </c>
      <c r="B16" s="3" t="s">
        <v>239</v>
      </c>
      <c r="C16" s="3" t="s">
        <v>324</v>
      </c>
      <c r="D16" s="3" t="s">
        <v>325</v>
      </c>
      <c r="F16" s="4" t="s">
        <v>326</v>
      </c>
      <c r="G16" s="16" t="n">
        <v>0.85</v>
      </c>
      <c r="H16" s="16" t="n">
        <v>-0.004</v>
      </c>
    </row>
    <row r="17" customFormat="false" ht="15" hidden="false" customHeight="false" outlineLevel="0" collapsed="false">
      <c r="A17" s="15" t="n">
        <v>2.4</v>
      </c>
      <c r="B17" s="16" t="n">
        <v>0.237113402061856</v>
      </c>
      <c r="C17" s="16" t="n">
        <v>0.05662</v>
      </c>
      <c r="D17" s="16" t="n">
        <v>0.24042</v>
      </c>
      <c r="F17" s="4" t="s">
        <v>327</v>
      </c>
      <c r="G17" s="16" t="n">
        <v>0.55</v>
      </c>
      <c r="H17" s="16" t="n">
        <v>0.008</v>
      </c>
    </row>
    <row r="18" customFormat="false" ht="15" hidden="false" customHeight="false" outlineLevel="0" collapsed="false">
      <c r="A18" s="15" t="n">
        <v>2.3</v>
      </c>
      <c r="B18" s="16" t="n">
        <v>0.185567010309278</v>
      </c>
      <c r="C18" s="16" t="n">
        <v>0.10092</v>
      </c>
      <c r="D18" s="16" t="n">
        <v>0.3381</v>
      </c>
      <c r="F18" s="4" t="s">
        <v>328</v>
      </c>
      <c r="G18" s="16" t="n">
        <v>0.15</v>
      </c>
      <c r="H18" s="16" t="n">
        <v>0.01</v>
      </c>
    </row>
    <row r="19" customFormat="false" ht="15" hidden="false" customHeight="false" outlineLevel="0" collapsed="false">
      <c r="A19" s="15" t="n">
        <v>2.2</v>
      </c>
      <c r="B19" s="16" t="n">
        <v>0.134020618556701</v>
      </c>
      <c r="C19" s="16" t="n">
        <v>0.19108</v>
      </c>
      <c r="D19" s="16" t="n">
        <v>0.47324</v>
      </c>
      <c r="F19" s="4" t="s">
        <v>329</v>
      </c>
      <c r="G19" s="16" t="n">
        <v>0.5</v>
      </c>
      <c r="H19" s="16" t="n">
        <v>0.004</v>
      </c>
    </row>
    <row r="20" customFormat="false" ht="15" hidden="false" customHeight="false" outlineLevel="0" collapsed="false">
      <c r="A20" s="15" t="n">
        <v>2.1</v>
      </c>
      <c r="B20" s="16" t="n">
        <v>0.0824742268041239</v>
      </c>
      <c r="C20" s="16" t="n">
        <v>0.37432</v>
      </c>
      <c r="D20" s="16" t="n">
        <v>0.64844</v>
      </c>
      <c r="F20" s="4" t="s">
        <v>330</v>
      </c>
      <c r="G20" s="16" t="n">
        <v>0.35</v>
      </c>
      <c r="H20" s="16" t="n">
        <v>0.006</v>
      </c>
    </row>
    <row r="21" customFormat="false" ht="15" hidden="false" customHeight="false" outlineLevel="0" collapsed="false">
      <c r="A21" s="15" t="n">
        <v>2</v>
      </c>
      <c r="B21" s="16" t="n">
        <v>0.0309278350515465</v>
      </c>
      <c r="C21" s="16" t="n">
        <v>0.68812</v>
      </c>
      <c r="D21" s="16" t="n">
        <v>0.84502</v>
      </c>
      <c r="F21" s="4" t="s">
        <v>331</v>
      </c>
      <c r="G21" s="16" t="n">
        <v>0.15</v>
      </c>
      <c r="H21" s="16" t="n">
        <v>0.006</v>
      </c>
    </row>
    <row r="22" customFormat="false" ht="15" hidden="false" customHeight="false" outlineLevel="0" collapsed="false">
      <c r="A22" s="15" t="n">
        <v>1.9</v>
      </c>
      <c r="B22" s="16" t="n">
        <v>-0.020618556701031</v>
      </c>
      <c r="C22" s="16" t="n">
        <v>0.6679</v>
      </c>
      <c r="D22" s="16" t="n">
        <v>0.77516</v>
      </c>
      <c r="F22" s="4" t="s">
        <v>332</v>
      </c>
      <c r="G22" s="16" t="n">
        <v>0.15</v>
      </c>
      <c r="H22" s="16" t="n">
        <v>-0.012</v>
      </c>
    </row>
    <row r="23" customFormat="false" ht="15" hidden="false" customHeight="false" outlineLevel="0" collapsed="false">
      <c r="A23" s="15" t="n">
        <v>1.8</v>
      </c>
      <c r="B23" s="16" t="n">
        <v>-0.0721649484536082</v>
      </c>
      <c r="C23" s="16" t="n">
        <v>0.3003</v>
      </c>
      <c r="D23" s="16" t="n">
        <v>0.487</v>
      </c>
      <c r="F23" s="4" t="s">
        <v>333</v>
      </c>
      <c r="G23" s="16" t="n">
        <v>0.25</v>
      </c>
      <c r="H23" s="16" t="n">
        <v>-0.01</v>
      </c>
    </row>
    <row r="24" customFormat="false" ht="15" hidden="false" customHeight="false" outlineLevel="0" collapsed="false">
      <c r="A24" s="15" t="n">
        <v>1.7</v>
      </c>
      <c r="B24" s="16" t="n">
        <v>-0.123711340206186</v>
      </c>
      <c r="C24" s="16" t="n">
        <v>0.12676</v>
      </c>
      <c r="D24" s="16" t="n">
        <v>0.29192</v>
      </c>
      <c r="F24" s="4" t="s">
        <v>334</v>
      </c>
      <c r="G24" s="16" t="n">
        <v>0.25</v>
      </c>
      <c r="H24" s="16" t="n">
        <v>-0.015</v>
      </c>
    </row>
    <row r="25" customFormat="false" ht="15" hidden="false" customHeight="false" outlineLevel="0" collapsed="false">
      <c r="A25" s="15" t="n">
        <v>1.6</v>
      </c>
      <c r="B25" s="16" t="n">
        <v>-0.175257731958763</v>
      </c>
      <c r="C25" s="16" t="n">
        <v>0.05352</v>
      </c>
      <c r="D25" s="16" t="n">
        <v>0.17024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" t="s">
        <v>335</v>
      </c>
      <c r="B1" s="3" t="s">
        <v>242</v>
      </c>
      <c r="C1" s="3" t="s">
        <v>336</v>
      </c>
    </row>
    <row r="2" customFormat="false" ht="15" hidden="false" customHeight="false" outlineLevel="0" collapsed="false">
      <c r="A2" s="4" t="s">
        <v>337</v>
      </c>
      <c r="B2" s="4" t="s">
        <v>338</v>
      </c>
      <c r="C2" s="4" t="s">
        <v>339</v>
      </c>
    </row>
    <row r="3" customFormat="false" ht="15" hidden="false" customHeight="false" outlineLevel="0" collapsed="false">
      <c r="A3" s="4" t="s">
        <v>340</v>
      </c>
      <c r="B3" s="4" t="s">
        <v>341</v>
      </c>
      <c r="C3" s="4" t="s">
        <v>342</v>
      </c>
    </row>
    <row r="4" customFormat="false" ht="15" hidden="false" customHeight="false" outlineLevel="0" collapsed="false">
      <c r="A4" s="4" t="s">
        <v>343</v>
      </c>
      <c r="B4" s="4" t="s">
        <v>344</v>
      </c>
      <c r="C4" s="4" t="s">
        <v>345</v>
      </c>
    </row>
    <row r="5" customFormat="false" ht="15" hidden="false" customHeight="false" outlineLevel="0" collapsed="false">
      <c r="A5" s="4" t="s">
        <v>346</v>
      </c>
      <c r="B5" s="4" t="s">
        <v>347</v>
      </c>
      <c r="C5" s="4" t="s">
        <v>348</v>
      </c>
    </row>
    <row r="6" customFormat="false" ht="15" hidden="false" customHeight="false" outlineLevel="0" collapsed="false">
      <c r="A6" s="4" t="s">
        <v>349</v>
      </c>
      <c r="B6" s="4" t="s">
        <v>350</v>
      </c>
      <c r="C6" s="4" t="s">
        <v>351</v>
      </c>
    </row>
    <row r="7" customFormat="false" ht="15" hidden="false" customHeight="false" outlineLevel="0" collapsed="false">
      <c r="A7" s="4" t="s">
        <v>352</v>
      </c>
      <c r="B7" s="4" t="s">
        <v>353</v>
      </c>
      <c r="C7" s="4" t="s">
        <v>354</v>
      </c>
    </row>
    <row r="8" customFormat="false" ht="15" hidden="false" customHeight="false" outlineLevel="0" collapsed="false">
      <c r="A8" s="4" t="s">
        <v>355</v>
      </c>
      <c r="B8" s="4" t="s">
        <v>356</v>
      </c>
      <c r="C8" s="4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23.85" hidden="false" customHeight="true" outlineLevel="0" collapsed="false">
      <c r="A1" s="28" t="s">
        <v>358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false" outlineLevel="0" collapsed="false">
      <c r="A3" s="3"/>
      <c r="B3" s="3" t="s">
        <v>359</v>
      </c>
      <c r="C3" s="3" t="s">
        <v>360</v>
      </c>
      <c r="D3" s="3" t="s">
        <v>361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4" customFormat="false" ht="15" hidden="false" customHeight="false" outlineLevel="0" collapsed="false">
      <c r="A4" s="1" t="s">
        <v>362</v>
      </c>
      <c r="B4" s="29" t="n">
        <v>3431.70731707317</v>
      </c>
      <c r="C4" s="29" t="n">
        <v>5768.7</v>
      </c>
      <c r="D4" s="29" t="n">
        <v>7129.7</v>
      </c>
      <c r="E4" s="29" t="n">
        <v>8741.90272355038</v>
      </c>
      <c r="F4" s="29" t="n">
        <v>10235.985351156</v>
      </c>
      <c r="G4" s="29" t="n">
        <v>11692.8427825852</v>
      </c>
      <c r="H4" s="29" t="n">
        <v>13070.8019788835</v>
      </c>
      <c r="I4" s="29" t="n">
        <v>14462.1024905</v>
      </c>
    </row>
    <row r="5" customFormat="false" ht="15" hidden="false" customHeight="false" outlineLevel="0" collapsed="false">
      <c r="A5" s="1" t="s">
        <v>363</v>
      </c>
      <c r="B5" s="20" t="n">
        <v>0.167089552238806</v>
      </c>
      <c r="C5" s="20" t="n">
        <v>0.336186567164179</v>
      </c>
      <c r="D5" s="20" t="n">
        <v>0.136772388059702</v>
      </c>
      <c r="E5" s="20" t="n">
        <v>0.0356050450016265</v>
      </c>
      <c r="F5" s="20" t="n">
        <v>0.136439435991999</v>
      </c>
      <c r="G5" s="20" t="n">
        <v>0.233173874000961</v>
      </c>
      <c r="H5" s="20" t="n">
        <v>0.326042308511209</v>
      </c>
      <c r="I5" s="20" t="n">
        <v>0.403958757574664</v>
      </c>
    </row>
    <row r="6" customFormat="false" ht="15" hidden="false" customHeight="false" outlineLevel="0" collapsed="false">
      <c r="A6" s="1" t="s">
        <v>364</v>
      </c>
      <c r="B6" s="15" t="n">
        <v>0.386156716417911</v>
      </c>
      <c r="C6" s="15" t="n">
        <v>0.469477611940299</v>
      </c>
      <c r="D6" s="15" t="n">
        <v>0.597611940298507</v>
      </c>
      <c r="E6" s="15" t="n">
        <v>0.633276543544292</v>
      </c>
      <c r="F6" s="15" t="n">
        <v>0.76980122221778</v>
      </c>
      <c r="G6" s="15" t="n">
        <v>1.00312077526035</v>
      </c>
      <c r="H6" s="15" t="n">
        <v>1.32936678382686</v>
      </c>
      <c r="I6" s="15" t="n">
        <v>1.73357792098266</v>
      </c>
    </row>
    <row r="7" customFormat="false" ht="15" hidden="false" customHeight="false" outlineLevel="0" collapsed="false">
      <c r="A7" s="1" t="s">
        <v>365</v>
      </c>
      <c r="B7" s="16" t="n">
        <v>0.2977896973466</v>
      </c>
      <c r="C7" s="16" t="n">
        <v>0.340128625166849</v>
      </c>
      <c r="D7" s="16" t="n">
        <v>0.251679593811801</v>
      </c>
      <c r="E7" s="16" t="n">
        <v>0.225</v>
      </c>
      <c r="F7" s="16" t="n">
        <v>0.245</v>
      </c>
      <c r="G7" s="16" t="n">
        <v>0.255</v>
      </c>
      <c r="H7" s="16" t="n">
        <v>0.26</v>
      </c>
      <c r="I7" s="16" t="n">
        <v>0.26</v>
      </c>
    </row>
    <row r="8" customFormat="false" ht="15" hidden="false" customHeight="false" outlineLevel="0" collapsed="false">
      <c r="A8" s="1" t="s">
        <v>366</v>
      </c>
      <c r="B8" s="16" t="n">
        <v>0.243415234969506</v>
      </c>
      <c r="C8" s="16" t="n">
        <v>0.276575311595333</v>
      </c>
      <c r="D8" s="16" t="n">
        <v>0.152320574498226</v>
      </c>
      <c r="E8" s="16" t="n">
        <v>0.122761826246331</v>
      </c>
      <c r="F8" s="16" t="n">
        <v>0.144666453985353</v>
      </c>
      <c r="G8" s="16" t="n">
        <v>0.157613814540921</v>
      </c>
      <c r="H8" s="16" t="n">
        <v>0.16557766608955</v>
      </c>
      <c r="I8" s="16" t="n">
        <v>0.16755445720911</v>
      </c>
    </row>
    <row r="9" customFormat="false" ht="15" hidden="false" customHeight="false" outlineLevel="0" collapsed="false">
      <c r="A9" s="1" t="s">
        <v>367</v>
      </c>
      <c r="B9" s="16" t="n">
        <v>0.130488983653163</v>
      </c>
      <c r="C9" s="16" t="n">
        <v>0.156184235616343</v>
      </c>
      <c r="D9" s="16" t="n">
        <v>0.0514117003520485</v>
      </c>
      <c r="E9" s="16" t="n">
        <v>0.0109154178011266</v>
      </c>
      <c r="F9" s="16" t="n">
        <v>0.0357227639464394</v>
      </c>
      <c r="G9" s="16" t="n">
        <v>0.0534434605802862</v>
      </c>
      <c r="H9" s="16" t="n">
        <v>0.0668507860666616</v>
      </c>
      <c r="I9" s="16" t="n">
        <v>0.0748583735325659</v>
      </c>
    </row>
    <row r="10" customFormat="false" ht="15" hidden="false" customHeight="false" outlineLevel="0" collapsed="false">
      <c r="A10" s="1" t="s">
        <v>368</v>
      </c>
      <c r="B10" s="4" t="s">
        <v>369</v>
      </c>
      <c r="C10" s="16" t="n">
        <v>0.394217841799343</v>
      </c>
      <c r="D10" s="16" t="n">
        <v>0.15906897651185</v>
      </c>
      <c r="E10" s="16" t="n">
        <v>0.0989708643549318</v>
      </c>
      <c r="F10" s="16" t="n">
        <v>0.119389132323953</v>
      </c>
      <c r="G10" s="16" t="n">
        <v>0.133270288046657</v>
      </c>
      <c r="H10" s="16" t="n">
        <v>0.143124329236277</v>
      </c>
      <c r="I10" s="16" t="n">
        <v>0.148342751929567</v>
      </c>
    </row>
    <row r="11" customFormat="false" ht="15" hidden="false" customHeight="false" outlineLevel="0" collapsed="false">
      <c r="A11" s="1" t="s">
        <v>370</v>
      </c>
      <c r="B11" s="4" t="s">
        <v>369</v>
      </c>
      <c r="C11" s="4" t="s">
        <v>369</v>
      </c>
      <c r="D11" s="29" t="n">
        <v>3967.2</v>
      </c>
      <c r="E11" s="29" t="n">
        <v>5290.95595795243</v>
      </c>
      <c r="F11" s="29" t="n">
        <v>5999.48792645634</v>
      </c>
      <c r="G11" s="29" t="n">
        <v>6360.43398173093</v>
      </c>
      <c r="H11" s="29" t="n">
        <v>6378.26708672736</v>
      </c>
      <c r="I11" s="29" t="n">
        <v>6112.20079367863</v>
      </c>
    </row>
    <row r="12" customFormat="false" ht="15" hidden="false" customHeight="false" outlineLevel="0" collapsed="false">
      <c r="A12" s="1" t="s">
        <v>371</v>
      </c>
      <c r="B12" s="4" t="s">
        <v>369</v>
      </c>
      <c r="C12" s="4" t="s">
        <v>369</v>
      </c>
      <c r="D12" s="15" t="n">
        <v>3.65303867403315</v>
      </c>
      <c r="E12" s="15" t="n">
        <v>4.93020339510782</v>
      </c>
      <c r="F12" s="15" t="n">
        <v>4.05150791497194</v>
      </c>
      <c r="G12" s="15" t="n">
        <v>3.45121773071762</v>
      </c>
      <c r="H12" s="15" t="n">
        <v>2.9471260367673</v>
      </c>
      <c r="I12" s="15" t="n">
        <v>2.5223781327136</v>
      </c>
    </row>
    <row r="13" customFormat="false" ht="15" hidden="false" customHeight="false" outlineLevel="0" collapsed="false">
      <c r="A13" s="1" t="s">
        <v>372</v>
      </c>
      <c r="B13" s="4" t="s">
        <v>369</v>
      </c>
      <c r="C13" s="4" t="s">
        <v>369</v>
      </c>
      <c r="D13" s="15" t="n">
        <v>1.78616352201258</v>
      </c>
      <c r="E13" s="15" t="n">
        <v>1.20724914784862</v>
      </c>
      <c r="F13" s="15" t="n">
        <v>1.67859326388107</v>
      </c>
      <c r="G13" s="15" t="n">
        <v>2.16354261953115</v>
      </c>
      <c r="H13" s="15" t="n">
        <v>2.70902537256912</v>
      </c>
      <c r="I13" s="15" t="n">
        <v>3.26117314894133</v>
      </c>
    </row>
    <row r="14" customFormat="false" ht="15" hidden="false" customHeight="false" outlineLevel="0" collapsed="false">
      <c r="A14" s="1" t="s">
        <v>373</v>
      </c>
      <c r="B14" s="4" t="s">
        <v>369</v>
      </c>
      <c r="C14" s="4" t="s">
        <v>369</v>
      </c>
      <c r="D14" s="29" t="n">
        <v>-718.9</v>
      </c>
      <c r="E14" s="29" t="n">
        <v>-478.251957952432</v>
      </c>
      <c r="F14" s="29" t="n">
        <v>66.7976314960878</v>
      </c>
      <c r="G14" s="29" t="n">
        <v>375.682984725419</v>
      </c>
      <c r="H14" s="29" t="n">
        <v>681.790291003572</v>
      </c>
      <c r="I14" s="29" t="n">
        <v>930.633198448725</v>
      </c>
    </row>
    <row r="15" customFormat="false" ht="15" hidden="false" customHeight="false" outlineLevel="0" collapsed="false">
      <c r="A15" s="1" t="s">
        <v>374</v>
      </c>
      <c r="B15" s="4" t="s">
        <v>369</v>
      </c>
      <c r="C15" s="4" t="s">
        <v>369</v>
      </c>
      <c r="D15" s="15" t="n">
        <v>-1.96126040103669</v>
      </c>
      <c r="E15" s="15" t="n">
        <v>-5.01199262937112</v>
      </c>
      <c r="F15" s="15" t="n">
        <v>0.18267804453306</v>
      </c>
      <c r="G15" s="15" t="n">
        <v>0.601183210519324</v>
      </c>
      <c r="H15" s="15" t="n">
        <v>0.780264878740484</v>
      </c>
      <c r="I15" s="15" t="n">
        <v>0.859620411588265</v>
      </c>
    </row>
    <row r="16" customFormat="false" ht="15" hidden="false" customHeight="false" outlineLevel="0" collapsed="false">
      <c r="A16" s="1" t="s">
        <v>375</v>
      </c>
      <c r="B16" s="4" t="s">
        <v>369</v>
      </c>
      <c r="C16" s="29" t="n">
        <v>76.3</v>
      </c>
      <c r="D16" s="29" t="n">
        <v>580.8</v>
      </c>
      <c r="E16" s="29" t="n">
        <v>800</v>
      </c>
      <c r="F16" s="29" t="n">
        <v>700</v>
      </c>
      <c r="G16" s="29" t="n">
        <v>650</v>
      </c>
      <c r="H16" s="29" t="n">
        <v>600</v>
      </c>
      <c r="I16" s="29" t="n">
        <v>550</v>
      </c>
    </row>
    <row r="17" customFormat="false" ht="15" hidden="false" customHeight="false" outlineLevel="0" collapsed="false">
      <c r="A17" s="1" t="s">
        <v>376</v>
      </c>
      <c r="B17" s="4" t="s">
        <v>369</v>
      </c>
      <c r="C17" s="4" t="s">
        <v>369</v>
      </c>
      <c r="D17" s="4" t="s">
        <v>369</v>
      </c>
      <c r="E17" s="29" t="n">
        <v>-682.111126162749</v>
      </c>
      <c r="F17" s="29" t="n">
        <v>-36.5070374681045</v>
      </c>
      <c r="G17" s="29" t="n">
        <v>306.322453119301</v>
      </c>
      <c r="H17" s="29" t="n">
        <v>630.24566089748</v>
      </c>
      <c r="I17" s="29" t="n">
        <v>893.246805165722</v>
      </c>
    </row>
    <row r="18" customFormat="false" ht="15" hidden="false" customHeight="false" outlineLevel="0" collapsed="false">
      <c r="A18" s="1" t="s">
        <v>377</v>
      </c>
      <c r="B18" s="4" t="s">
        <v>369</v>
      </c>
      <c r="C18" s="4" t="s">
        <v>369</v>
      </c>
      <c r="D18" s="4" t="s">
        <v>369</v>
      </c>
      <c r="E18" s="15" t="n">
        <v>-0.254519076926399</v>
      </c>
      <c r="F18" s="15" t="n">
        <v>-0.0136220289060091</v>
      </c>
      <c r="G18" s="15" t="n">
        <v>0.114299422805709</v>
      </c>
      <c r="H18" s="15" t="n">
        <v>0.235166291379657</v>
      </c>
      <c r="I18" s="15" t="n">
        <v>0.333301046703628</v>
      </c>
    </row>
    <row r="19" customFormat="false" ht="15" hidden="false" customHeight="false" outlineLevel="0" collapsed="false">
      <c r="A19" s="1" t="s">
        <v>378</v>
      </c>
      <c r="B19" s="4" t="s">
        <v>369</v>
      </c>
      <c r="C19" s="4" t="s">
        <v>369</v>
      </c>
      <c r="D19" s="30" t="n">
        <v>201.891458774577</v>
      </c>
      <c r="E19" s="30" t="n">
        <v>190</v>
      </c>
      <c r="F19" s="30" t="n">
        <v>180</v>
      </c>
      <c r="G19" s="30" t="n">
        <v>172</v>
      </c>
      <c r="H19" s="30" t="n">
        <v>166</v>
      </c>
      <c r="I19" s="30" t="n">
        <v>160</v>
      </c>
    </row>
    <row r="20" customFormat="false" ht="15" hidden="false" customHeight="false" outlineLevel="0" collapsed="false">
      <c r="A20" s="1" t="s">
        <v>379</v>
      </c>
      <c r="B20" s="4" t="s">
        <v>369</v>
      </c>
      <c r="C20" s="4" t="s">
        <v>369</v>
      </c>
      <c r="D20" s="30" t="n">
        <v>247.671381371045</v>
      </c>
      <c r="E20" s="4" t="s">
        <v>369</v>
      </c>
      <c r="F20" s="4" t="s">
        <v>369</v>
      </c>
      <c r="G20" s="4" t="s">
        <v>369</v>
      </c>
      <c r="H20" s="4" t="s">
        <v>369</v>
      </c>
      <c r="I20" s="4" t="s">
        <v>369</v>
      </c>
    </row>
    <row r="22" customFormat="false" ht="23.85" hidden="false" customHeight="true" outlineLevel="0" collapsed="false">
      <c r="A22" s="13" t="s">
        <v>380</v>
      </c>
      <c r="B22" s="13"/>
      <c r="C22" s="13"/>
      <c r="D22" s="13"/>
      <c r="E22" s="13"/>
      <c r="F22" s="13"/>
      <c r="G22" s="13"/>
      <c r="H22" s="13"/>
      <c r="I22" s="13"/>
    </row>
  </sheetData>
  <mergeCells count="2">
    <mergeCell ref="A1:I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15" hidden="false" customHeight="true" outlineLevel="0" collapsed="false">
      <c r="A1" s="28" t="s">
        <v>381</v>
      </c>
      <c r="B1" s="28"/>
      <c r="C1" s="28"/>
    </row>
    <row r="3" customFormat="false" ht="15" hidden="false" customHeight="false" outlineLevel="0" collapsed="false">
      <c r="A3" s="3" t="s">
        <v>382</v>
      </c>
      <c r="B3" s="3" t="s">
        <v>383</v>
      </c>
      <c r="C3" s="3" t="s">
        <v>384</v>
      </c>
    </row>
    <row r="4" customFormat="false" ht="25.5" hidden="false" customHeight="true" outlineLevel="0" collapsed="false">
      <c r="A4" s="4" t="s">
        <v>385</v>
      </c>
      <c r="B4" s="2" t="s">
        <v>386</v>
      </c>
      <c r="C4" s="2" t="s">
        <v>387</v>
      </c>
    </row>
    <row r="5" customFormat="false" ht="25.5" hidden="false" customHeight="true" outlineLevel="0" collapsed="false">
      <c r="A5" s="4" t="s">
        <v>388</v>
      </c>
      <c r="B5" s="2" t="s">
        <v>389</v>
      </c>
      <c r="C5" s="2" t="s">
        <v>390</v>
      </c>
    </row>
    <row r="6" customFormat="false" ht="25.5" hidden="false" customHeight="true" outlineLevel="0" collapsed="false">
      <c r="A6" s="4" t="s">
        <v>388</v>
      </c>
      <c r="B6" s="2" t="s">
        <v>391</v>
      </c>
      <c r="C6" s="2" t="s">
        <v>392</v>
      </c>
    </row>
    <row r="7" customFormat="false" ht="25.5" hidden="false" customHeight="true" outlineLevel="0" collapsed="false">
      <c r="A7" s="4" t="s">
        <v>393</v>
      </c>
      <c r="B7" s="2" t="s">
        <v>394</v>
      </c>
      <c r="C7" s="2" t="s">
        <v>395</v>
      </c>
    </row>
    <row r="8" customFormat="false" ht="25.5" hidden="false" customHeight="true" outlineLevel="0" collapsed="false">
      <c r="A8" s="4" t="s">
        <v>396</v>
      </c>
      <c r="B8" s="2" t="s">
        <v>397</v>
      </c>
      <c r="C8" s="2" t="s">
        <v>398</v>
      </c>
    </row>
    <row r="9" customFormat="false" ht="25.5" hidden="false" customHeight="true" outlineLevel="0" collapsed="false">
      <c r="A9" s="4" t="s">
        <v>396</v>
      </c>
      <c r="B9" s="2" t="s">
        <v>399</v>
      </c>
      <c r="C9" s="2" t="s">
        <v>400</v>
      </c>
    </row>
    <row r="10" customFormat="false" ht="25.5" hidden="false" customHeight="true" outlineLevel="0" collapsed="false">
      <c r="A10" s="4" t="s">
        <v>396</v>
      </c>
      <c r="B10" s="2" t="s">
        <v>401</v>
      </c>
      <c r="C10" s="2" t="s">
        <v>402</v>
      </c>
    </row>
    <row r="11" customFormat="false" ht="25.5" hidden="false" customHeight="true" outlineLevel="0" collapsed="false">
      <c r="A11" s="4" t="s">
        <v>403</v>
      </c>
      <c r="B11" s="2"/>
      <c r="C11" s="2" t="s">
        <v>404</v>
      </c>
    </row>
    <row r="13" customFormat="false" ht="15" hidden="false" customHeight="false" outlineLevel="0" collapsed="false">
      <c r="A13" s="9" t="s">
        <v>405</v>
      </c>
    </row>
    <row r="14" customFormat="false" ht="24" hidden="false" customHeight="true" outlineLevel="0" collapsed="false">
      <c r="A14" s="4" t="s">
        <v>101</v>
      </c>
      <c r="B14" s="2" t="s">
        <v>406</v>
      </c>
      <c r="C14" s="2" t="s">
        <v>407</v>
      </c>
    </row>
    <row r="15" customFormat="false" ht="24" hidden="false" customHeight="true" outlineLevel="0" collapsed="false">
      <c r="A15" s="4" t="s">
        <v>196</v>
      </c>
      <c r="B15" s="2" t="s">
        <v>408</v>
      </c>
      <c r="C15" s="2" t="s">
        <v>409</v>
      </c>
    </row>
    <row r="16" customFormat="false" ht="24" hidden="false" customHeight="true" outlineLevel="0" collapsed="false">
      <c r="A16" s="4" t="s">
        <v>410</v>
      </c>
      <c r="B16" s="2" t="s">
        <v>411</v>
      </c>
      <c r="C16" s="2" t="s">
        <v>412</v>
      </c>
    </row>
    <row r="17" customFormat="false" ht="24" hidden="false" customHeight="true" outlineLevel="0" collapsed="false">
      <c r="A17" s="4" t="s">
        <v>413</v>
      </c>
      <c r="B17" s="2" t="s">
        <v>414</v>
      </c>
      <c r="C17" s="2" t="s">
        <v>415</v>
      </c>
    </row>
    <row r="19" customFormat="false" ht="15" hidden="false" customHeight="false" outlineLevel="0" collapsed="false">
      <c r="A19" s="9" t="s">
        <v>416</v>
      </c>
      <c r="E19" s="4" t="s">
        <v>417</v>
      </c>
    </row>
    <row r="20" customFormat="false" ht="24" hidden="false" customHeight="true" outlineLevel="0" collapsed="false">
      <c r="A20" s="4" t="s">
        <v>418</v>
      </c>
      <c r="B20" s="2" t="s">
        <v>419</v>
      </c>
      <c r="C20" s="2" t="s">
        <v>420</v>
      </c>
      <c r="E20" s="4" t="n">
        <v>485.8</v>
      </c>
      <c r="F20" s="4" t="n">
        <v>366.6</v>
      </c>
      <c r="G20" s="31" t="n">
        <f aca="false">E20-F20</f>
        <v>119.2</v>
      </c>
    </row>
    <row r="21" customFormat="false" ht="24" hidden="false" customHeight="true" outlineLevel="0" collapsed="false">
      <c r="A21" s="4" t="s">
        <v>421</v>
      </c>
      <c r="B21" s="2" t="s">
        <v>422</v>
      </c>
      <c r="C21" s="2" t="s">
        <v>423</v>
      </c>
    </row>
    <row r="22" customFormat="false" ht="24" hidden="false" customHeight="true" outlineLevel="0" collapsed="false">
      <c r="A22" s="4" t="s">
        <v>424</v>
      </c>
      <c r="B22" s="2" t="s">
        <v>425</v>
      </c>
      <c r="C22" s="2" t="s">
        <v>426</v>
      </c>
    </row>
    <row r="23" customFormat="false" ht="24" hidden="false" customHeight="true" outlineLevel="0" collapsed="false">
      <c r="A23" s="4" t="s">
        <v>427</v>
      </c>
      <c r="B23" s="2" t="s">
        <v>428</v>
      </c>
      <c r="C23" s="2" t="s">
        <v>429</v>
      </c>
      <c r="E23" s="4" t="n">
        <v>900.98</v>
      </c>
      <c r="F23" s="4" t="n">
        <v>804.72</v>
      </c>
      <c r="G23" s="31" t="n">
        <f aca="false">E23-F23</f>
        <v>96.26</v>
      </c>
    </row>
    <row r="24" customFormat="false" ht="24" hidden="false" customHeight="true" outlineLevel="0" collapsed="false">
      <c r="A24" s="4" t="s">
        <v>430</v>
      </c>
      <c r="B24" s="2" t="s">
        <v>431</v>
      </c>
      <c r="C24" s="2" t="s">
        <v>432</v>
      </c>
    </row>
    <row r="25" customFormat="false" ht="24" hidden="false" customHeight="true" outlineLevel="0" collapsed="false">
      <c r="A25" s="4" t="s">
        <v>433</v>
      </c>
      <c r="B25" s="2" t="s">
        <v>434</v>
      </c>
      <c r="C25" s="2" t="s">
        <v>435</v>
      </c>
    </row>
    <row r="26" customFormat="false" ht="24" hidden="false" customHeight="true" outlineLevel="0" collapsed="false">
      <c r="A26" s="4" t="s">
        <v>436</v>
      </c>
      <c r="B26" s="2" t="s">
        <v>437</v>
      </c>
      <c r="C26" s="2" t="s">
        <v>438</v>
      </c>
      <c r="E26" s="4" t="n">
        <v>301.66</v>
      </c>
      <c r="F26" s="4" t="n">
        <v>192.07</v>
      </c>
      <c r="G26" s="31" t="n">
        <f aca="false">E26-F26</f>
        <v>109.59</v>
      </c>
    </row>
    <row r="27" customFormat="false" ht="24" hidden="false" customHeight="true" outlineLevel="0" collapsed="false">
      <c r="A27" s="4" t="s">
        <v>439</v>
      </c>
      <c r="B27" s="2" t="s">
        <v>440</v>
      </c>
      <c r="C27" s="2" t="s">
        <v>441</v>
      </c>
      <c r="E27" s="4" t="n">
        <v>366.551</v>
      </c>
      <c r="F27" s="4" t="n">
        <v>301.66</v>
      </c>
      <c r="G27" s="31" t="n">
        <f aca="false">E27-F27</f>
        <v>64.891</v>
      </c>
    </row>
    <row r="28" customFormat="false" ht="24" hidden="false" customHeight="true" outlineLevel="0" collapsed="false">
      <c r="A28" s="4" t="s">
        <v>399</v>
      </c>
      <c r="B28" s="2" t="s">
        <v>442</v>
      </c>
      <c r="C28" s="2" t="s">
        <v>443</v>
      </c>
    </row>
    <row r="29" customFormat="false" ht="24" hidden="false" customHeight="true" outlineLevel="0" collapsed="false">
      <c r="A29" s="4" t="s">
        <v>444</v>
      </c>
      <c r="B29" s="2" t="s">
        <v>445</v>
      </c>
      <c r="C29" s="2" t="s">
        <v>446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2026-07-20T00:14:56Z</dcterms:created>
  <dc:creator>openpyxl</dc:creator>
  <dc:description/>
  <dc:language>en-US</dc:language>
  <cp:lastModifiedBy/>
  <dcterms:modified xsi:type="dcterms:W3CDTF">2026-07-20T00:14:56Z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