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Primary Lens (DCF)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#,##0;(#,##0);&quot;-&quot;"/>
    <numFmt numFmtId="166" formatCode="#,##0.0;(#,##0.0);&quot;-&quot;"/>
    <numFmt numFmtId="167" formatCode="0.0%"/>
    <numFmt numFmtId="168" formatCode="0.0x"/>
    <numFmt numFmtId="169" formatCode="0.000"/>
  </numFmts>
  <fonts count="17">
    <font>
      <name val="Calibri"/>
      <family val="2"/>
      <color theme="1"/>
      <sz val="11"/>
      <scheme val="minor"/>
    </font>
    <font>
      <b val="1"/>
      <color rgb="001C3A36"/>
      <sz val="14"/>
    </font>
    <font>
      <i val="1"/>
      <color rgb="00896F36"/>
    </font>
    <font>
      <color rgb="00333333"/>
    </font>
    <font>
      <b val="1"/>
    </font>
    <font>
      <color rgb="000000FF"/>
    </font>
    <font>
      <color rgb="00000000"/>
    </font>
    <font>
      <b val="1"/>
      <color rgb="001C3A36"/>
      <sz val="13"/>
    </font>
    <font>
      <b val="1"/>
      <color rgb="00FFFFFF"/>
    </font>
    <font>
      <color rgb="00008000"/>
    </font>
    <font>
      <b val="1"/>
      <color rgb="001C3A36"/>
    </font>
    <font>
      <b val="1"/>
      <color rgb="00896F36"/>
    </font>
    <font>
      <i val="1"/>
      <color rgb="00888888"/>
    </font>
    <font>
      <i val="1"/>
      <color rgb="00333333"/>
    </font>
    <font>
      <color rgb="FF000000"/>
    </font>
    <font>
      <b val="1"/>
      <color rgb="FFFFFFFF"/>
    </font>
    <font>
      <color rgb="FF008000"/>
    </font>
  </fonts>
  <fills count="6">
    <fill>
      <patternFill/>
    </fill>
    <fill>
      <patternFill patternType="gray125"/>
    </fill>
    <fill>
      <patternFill patternType="solid">
        <fgColor rgb="00E7ECEA"/>
      </patternFill>
    </fill>
    <fill>
      <patternFill patternType="solid">
        <fgColor rgb="00FFF6DA"/>
      </patternFill>
    </fill>
    <fill>
      <patternFill patternType="solid">
        <fgColor rgb="001C3A36"/>
      </patternFill>
    </fill>
    <fill>
      <patternFill patternType="solid">
        <fgColor rgb="00C0A45F"/>
      </patternFill>
    </fill>
  </fills>
  <borders count="2">
    <border>
      <left/>
      <right/>
      <top/>
      <bottom/>
      <diagonal/>
    </border>
    <border>
      <left style="thin">
        <color rgb="00C9D3D0"/>
      </left>
      <right style="thin">
        <color rgb="00C9D3D0"/>
      </right>
      <top style="thin">
        <color rgb="00C9D3D0"/>
      </top>
      <bottom style="thin">
        <color rgb="00C9D3D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2" fontId="5" fillId="3" borderId="1" pivotButton="0" quotePrefix="0" xfId="0"/>
    <xf numFmtId="167" fontId="6" fillId="0" borderId="1" pivotButton="0" quotePrefix="0" xfId="0"/>
    <xf numFmtId="168" fontId="5" fillId="3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/>
    </xf>
    <xf numFmtId="0" fontId="4" fillId="0" borderId="0" pivotButton="0" quotePrefix="0" xfId="0"/>
    <xf numFmtId="166" fontId="6" fillId="0" borderId="1" pivotButton="0" quotePrefix="0" xfId="0"/>
    <xf numFmtId="166" fontId="6" fillId="0" borderId="1" applyAlignment="1" pivotButton="0" quotePrefix="0" xfId="0">
      <alignment horizontal="center"/>
    </xf>
    <xf numFmtId="166" fontId="9" fillId="0" borderId="1" pivotButton="0" quotePrefix="0" xfId="0"/>
    <xf numFmtId="166" fontId="9" fillId="0" borderId="1" applyAlignment="1" pivotButton="0" quotePrefix="0" xfId="0">
      <alignment horizontal="center"/>
    </xf>
    <xf numFmtId="169" fontId="6" fillId="0" borderId="1" pivotButton="0" quotePrefix="0" xfId="0"/>
    <xf numFmtId="166" fontId="10" fillId="0" borderId="1" pivotButton="0" quotePrefix="0" xfId="0"/>
    <xf numFmtId="4" fontId="11" fillId="0" borderId="1" pivotButton="0" quotePrefix="0" xfId="0"/>
    <xf numFmtId="0" fontId="12" fillId="0" borderId="0" pivotButton="0" quotePrefix="0" xfId="0"/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6" fontId="0" fillId="0" borderId="1" pivotButton="0" quotePrefix="0" xfId="0"/>
    <xf numFmtId="4" fontId="9" fillId="0" borderId="1" applyAlignment="1" pivotButton="0" quotePrefix="0" xfId="0">
      <alignment horizontal="center"/>
    </xf>
    <xf numFmtId="0" fontId="3" fillId="0" borderId="1" pivotButton="0" quotePrefix="0" xfId="0"/>
    <xf numFmtId="4" fontId="6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13" fillId="0" borderId="0" pivotButton="0" quotePrefix="0" xfId="0"/>
    <xf numFmtId="167" fontId="6" fillId="0" borderId="1" applyAlignment="1" pivotButton="0" quotePrefix="0" xfId="0">
      <alignment horizontal="center"/>
    </xf>
    <xf numFmtId="167" fontId="9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8" fontId="6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166" fontId="14" fillId="0" borderId="0" applyAlignment="1" pivotButton="0" quotePrefix="0" xfId="0">
      <alignment horizontal="center"/>
    </xf>
    <xf numFmtId="166" fontId="14" fillId="0" borderId="1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1" applyAlignment="1" pivotButton="0" quotePrefix="0" xfId="0">
      <alignment horizontal="center"/>
    </xf>
    <xf numFmtId="169" fontId="14" fillId="0" borderId="0" applyAlignment="1" pivotButton="0" quotePrefix="0" xfId="0">
      <alignment horizontal="center"/>
    </xf>
    <xf numFmtId="169" fontId="14" fillId="0" borderId="1" applyAlignment="1" pivotButton="0" quotePrefix="0" xfId="0">
      <alignment horizontal="center"/>
    </xf>
    <xf numFmtId="4" fontId="14" fillId="0" borderId="1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166" fontId="16" fillId="0" borderId="0" applyAlignment="1" pivotButton="0" quotePrefix="0" xfId="0">
      <alignment horizontal="center"/>
    </xf>
    <xf numFmtId="166" fontId="1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Testahil · Independent Valuation Study — SABIC (Tadawul: 2010)</t>
        </is>
      </c>
    </row>
    <row r="2">
      <c r="A2" s="2" t="inlineStr">
        <is>
          <t>Educational analysis · Not investment advice · distributions, not tips</t>
        </is>
      </c>
    </row>
    <row r="4">
      <c r="A4" s="3" t="inlineStr"/>
    </row>
    <row r="5">
      <c r="A5" s="3" t="inlineStr">
        <is>
          <t>This workbook is the companion model to the SABIC valuation study. It is educational and</t>
        </is>
      </c>
    </row>
    <row r="6">
      <c r="A6" s="3" t="inlineStr">
        <is>
          <t>informational only — NOT investment advice, NOT a recommendation, and contains no price target</t>
        </is>
      </c>
    </row>
    <row r="7">
      <c r="A7" s="3" t="inlineStr">
        <is>
          <t>and no rating. The preparer is not licensed by any securities regulator and holds no advisory mandate.</t>
        </is>
      </c>
    </row>
    <row r="8">
      <c r="A8" s="3" t="inlineStr"/>
    </row>
    <row r="9">
      <c r="A9" s="3" t="inlineStr">
        <is>
          <t>Architecture: every downstream sheet links back to the Assumptions tab (the single blue-cell input</t>
        </is>
      </c>
    </row>
    <row r="10">
      <c r="A10" s="3" t="inlineStr">
        <is>
          <t>layer). Change one input there — e.g. the terminal EBITDA margin, WACC, or terminal growth — and the</t>
        </is>
      </c>
    </row>
    <row r="11">
      <c r="A11" s="3" t="inlineStr">
        <is>
          <t>whole model reprices. Blue = input; black = formula; green = cross-sheet link.</t>
        </is>
      </c>
    </row>
    <row r="12">
      <c r="A12" s="3" t="inlineStr"/>
    </row>
    <row r="13">
      <c r="A13" s="3" t="inlineStr">
        <is>
          <t>Primary lens: normalized mid-cycle DCF (petrochemical — the product-feedstock spread cycle is the</t>
        </is>
      </c>
    </row>
    <row r="14">
      <c r="A14" s="3" t="inlineStr">
        <is>
          <t>swing factor). Cross-checks: EV/EBITDA &amp; P/B relative, and a normalized-dividend-yield read.</t>
        </is>
      </c>
    </row>
    <row r="15">
      <c r="A15" s="3" t="inlineStr"/>
    </row>
    <row r="16">
      <c r="A16" s="3" t="inlineStr">
        <is>
          <t>Currency: SAR billion unless noted; per-share in SAR. Shares 3,000 mn. Spot SAR 51.80 (7 Jul 2026).</t>
        </is>
      </c>
    </row>
    <row r="17">
      <c r="A17" s="3" t="inlineStr">
        <is>
          <t>SABIC reports adjusted metrics (ex one-offs) from Q2-2025; the 2025 reported net loss of SAR 25.8 bn</t>
        </is>
      </c>
    </row>
    <row r="18">
      <c r="A18" s="3" t="inlineStr">
        <is>
          <t>reflects one-off, non-cash fair-value writedowns on the European petchem / engineering-thermoplastics</t>
        </is>
      </c>
    </row>
    <row r="19">
      <c r="A19" s="3" t="inlineStr">
        <is>
          <t>divestitures. The through-cycle base uses ADJUSTED EBITDA / net income.</t>
        </is>
      </c>
    </row>
    <row r="20">
      <c r="A20" s="3" t="inlineStr"/>
    </row>
    <row r="21">
      <c r="A21" s="3" t="inlineStr">
        <is>
          <t>Holdings disclosure: the preparer may hold, and may in future take or dispose of, a position in the</t>
        </is>
      </c>
    </row>
    <row r="22">
      <c r="A22" s="3" t="inlineStr">
        <is>
          <t>security discussed. Sources: SABIC FY2025 earnings release &amp; integrated report, Tadawul disclosures.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6" customWidth="1" min="4" max="4"/>
    <col width="11" customWidth="1" min="5" max="5"/>
    <col width="11" customWidth="1" min="6" max="6"/>
  </cols>
  <sheetData>
    <row r="1">
      <c r="A1" s="12" t="inlineStr">
        <is>
          <t>Summary — SABIC (Tadawul: 2010)</t>
        </is>
      </c>
    </row>
    <row r="2">
      <c r="A2" s="2" t="inlineStr">
        <is>
          <t>Modestly undervalued at a cyclical trough; the petchem margin cycle is the swing.</t>
        </is>
      </c>
    </row>
    <row r="4">
      <c r="A4" s="13" t="inlineStr">
        <is>
          <t>Lens / read</t>
        </is>
      </c>
      <c r="B4" s="13" t="inlineStr">
        <is>
          <t>Output (SAR)</t>
        </is>
      </c>
      <c r="C4" s="13" t="inlineStr">
        <is>
          <t>vs spot</t>
        </is>
      </c>
      <c r="D4" s="13" t="inlineStr">
        <is>
          <t>Takeaway</t>
        </is>
      </c>
    </row>
    <row r="5">
      <c r="A5" s="3" t="inlineStr">
        <is>
          <t>DCF (mid-cycle, primary)</t>
        </is>
      </c>
      <c r="B5" s="26">
        <f>DCF!B26</f>
        <v/>
      </c>
      <c r="C5" s="24">
        <f>B5/Assumptions!$B$5-1</f>
        <v/>
      </c>
      <c r="D5" s="27" t="inlineStr">
        <is>
          <t>Anchor</t>
        </is>
      </c>
    </row>
    <row r="6">
      <c r="A6" s="3" t="inlineStr">
        <is>
          <t>EV/EBITDA relative (blend)</t>
        </is>
      </c>
      <c r="B6" s="28">
        <f>Assumptions!$B$46*Assumptions!$B$45/(Assumptions!$B$6/1000)*0.93</f>
        <v/>
      </c>
      <c r="C6" s="24">
        <f>B6/Assumptions!$B$5-1</f>
        <v/>
      </c>
      <c r="D6" s="27" t="inlineStr">
        <is>
          <t>≈ floor</t>
        </is>
      </c>
    </row>
    <row r="7">
      <c r="A7" s="3" t="inlineStr">
        <is>
          <t>P/B (asset / replacement)</t>
        </is>
      </c>
      <c r="B7" s="28">
        <f>Assumptions!$B$8*Assumptions!$B$47</f>
        <v/>
      </c>
      <c r="C7" s="24">
        <f>B7/Assumptions!$B$5-1</f>
        <v/>
      </c>
      <c r="D7" s="27" t="inlineStr">
        <is>
          <t>Book anchor</t>
        </is>
      </c>
    </row>
    <row r="8">
      <c r="A8" s="3" t="inlineStr">
        <is>
          <t>Dividend yield (normalized)</t>
        </is>
      </c>
      <c r="B8" s="28">
        <f>Assumptions!$B$48/Assumptions!$B$49</f>
        <v/>
      </c>
      <c r="C8" s="24">
        <f>B8/Assumptions!$B$5-1</f>
        <v/>
      </c>
      <c r="D8" s="27" t="inlineStr">
        <is>
          <t>Income anchor</t>
        </is>
      </c>
    </row>
    <row r="9">
      <c r="A9" s="14" t="inlineStr">
        <is>
          <t>Weighted central (40/20/15/25)</t>
        </is>
      </c>
      <c r="B9" s="29">
        <f>0.40*B5+0.20*B6+0.15*B7+0.25*B8</f>
        <v/>
      </c>
      <c r="C9" s="30">
        <f>B9/Assumptions!$B$5-1</f>
        <v/>
      </c>
      <c r="D9" s="14" t="inlineStr">
        <is>
          <t>Modestly undervalued</t>
        </is>
      </c>
    </row>
    <row r="11">
      <c r="A11" s="4" t="inlineStr">
        <is>
          <t>MONTE CARLO (3-month, from spot — value gap kept out of drift)</t>
        </is>
      </c>
    </row>
    <row r="12">
      <c r="A12" s="31" t="inlineStr">
        <is>
          <t>Horizon</t>
        </is>
      </c>
      <c r="B12" s="31" t="inlineStr">
        <is>
          <t>p5</t>
        </is>
      </c>
      <c r="C12" s="31" t="inlineStr">
        <is>
          <t>p25</t>
        </is>
      </c>
      <c r="D12" s="31" t="inlineStr">
        <is>
          <t>p50</t>
        </is>
      </c>
      <c r="E12" s="31" t="inlineStr">
        <is>
          <t>p75</t>
        </is>
      </c>
      <c r="F12" s="31" t="inlineStr">
        <is>
          <t>p95</t>
        </is>
      </c>
    </row>
    <row r="13">
      <c r="A13" s="3" t="inlineStr">
        <is>
          <t>T+20</t>
        </is>
      </c>
      <c r="B13" s="28" t="n">
        <v>45.16</v>
      </c>
      <c r="C13" s="28" t="n">
        <v>49.46</v>
      </c>
      <c r="D13" s="28" t="n">
        <v>51.85</v>
      </c>
      <c r="E13" s="28" t="n">
        <v>54.26</v>
      </c>
      <c r="F13" s="28" t="n">
        <v>58.79</v>
      </c>
    </row>
    <row r="14">
      <c r="A14" s="3" t="inlineStr">
        <is>
          <t>T+60</t>
        </is>
      </c>
      <c r="B14" s="28" t="n">
        <v>41.26</v>
      </c>
      <c r="C14" s="28" t="n">
        <v>47.42</v>
      </c>
      <c r="D14" s="28" t="n">
        <v>51.74</v>
      </c>
      <c r="E14" s="28" t="n">
        <v>56.35</v>
      </c>
      <c r="F14" s="28" t="n">
        <v>64.22</v>
      </c>
    </row>
    <row r="16">
      <c r="A16" s="32" t="inlineStr">
        <is>
          <t>P(above spot) T+60 50% · P(+10%) 22% vs P(−10%) 21% · median 51.7 (-0.1%)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2" t="inlineStr">
        <is>
          <t>Fundamental valuation — five reads &amp; weights</t>
        </is>
      </c>
    </row>
    <row r="2">
      <c r="A2" s="2" t="inlineStr">
        <is>
          <t>Football-field inputs; primary = normalized DCF.</t>
        </is>
      </c>
    </row>
    <row r="4">
      <c r="A4" s="13" t="inlineStr">
        <is>
          <t>Lens</t>
        </is>
      </c>
      <c r="B4" s="13" t="inlineStr">
        <is>
          <t>Bear</t>
        </is>
      </c>
      <c r="C4" s="13" t="inlineStr">
        <is>
          <t>Base</t>
        </is>
      </c>
      <c r="D4" s="13" t="inlineStr">
        <is>
          <t>Bull</t>
        </is>
      </c>
      <c r="E4" s="13" t="inlineStr">
        <is>
          <t>Weight</t>
        </is>
      </c>
    </row>
    <row r="5">
      <c r="A5" s="3" t="inlineStr">
        <is>
          <t>DCF (mid-cycle, primary)</t>
        </is>
      </c>
      <c r="B5" s="28" t="n">
        <v>36.21523873213787</v>
      </c>
      <c r="C5" s="26">
        <f>DCF!B26</f>
        <v/>
      </c>
      <c r="D5" s="28" t="n">
        <v>96.15687718438379</v>
      </c>
      <c r="E5" s="33" t="n">
        <v>0.4</v>
      </c>
    </row>
    <row r="6">
      <c r="A6" s="3" t="inlineStr">
        <is>
          <t>EV/EBITDA relative</t>
        </is>
      </c>
      <c r="B6" s="28" t="n">
        <v>41.72</v>
      </c>
      <c r="C6" s="28" t="n">
        <v>47.83333333333334</v>
      </c>
      <c r="D6" s="28" t="n">
        <v>51.33333333333334</v>
      </c>
      <c r="E6" s="33" t="n">
        <v>0.2</v>
      </c>
    </row>
    <row r="7">
      <c r="A7" s="3" t="inlineStr">
        <is>
          <t>P/B (asset / replacement)</t>
        </is>
      </c>
      <c r="B7" s="28" t="n">
        <v>42.90666666666667</v>
      </c>
      <c r="C7" s="28" t="n">
        <v>51.488</v>
      </c>
      <c r="D7" s="28" t="n">
        <v>57.92400000000001</v>
      </c>
      <c r="E7" s="33" t="n">
        <v>0.15</v>
      </c>
    </row>
    <row r="8">
      <c r="A8" s="3" t="inlineStr">
        <is>
          <t>Dividend yield (normalized)</t>
        </is>
      </c>
      <c r="B8" s="28" t="n">
        <v>51.66666666666667</v>
      </c>
      <c r="C8" s="28" t="n">
        <v>56.36363636363637</v>
      </c>
      <c r="D8" s="28" t="n">
        <v>62</v>
      </c>
      <c r="E8" s="33" t="n">
        <v>0.25</v>
      </c>
    </row>
    <row r="9">
      <c r="A9" s="14" t="inlineStr">
        <is>
          <t>Weighted central</t>
        </is>
      </c>
      <c r="B9" s="28">
        <f>SUMPRODUCT(B5:B8,E5:E8)</f>
        <v/>
      </c>
      <c r="C9" s="29">
        <f>SUMPRODUCT(C5:C8,E5:E8)</f>
        <v/>
      </c>
      <c r="D9" s="28">
        <f>SUMPRODUCT(D5:D8,E5:E8)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0" customWidth="1" min="3" max="3"/>
  </cols>
  <sheetData>
    <row r="1">
      <c r="A1" s="1" t="inlineStr">
        <is>
          <t>Assumptions — the single blue-cell input layer</t>
        </is>
      </c>
    </row>
    <row r="2">
      <c r="A2" s="2" t="inlineStr">
        <is>
          <t>Every downstream cell links here. Edit blue cells only.</t>
        </is>
      </c>
    </row>
    <row r="4">
      <c r="A4" s="4" t="inlineStr">
        <is>
          <t>MARKET &amp; SHARE DATA</t>
        </is>
      </c>
    </row>
    <row r="5">
      <c r="A5" s="3" t="inlineStr">
        <is>
          <t>Spot price (SAR)</t>
        </is>
      </c>
      <c r="B5" s="5" t="n">
        <v>51.8</v>
      </c>
    </row>
    <row r="6">
      <c r="A6" s="3" t="inlineStr">
        <is>
          <t>Shares outstanding (mn)</t>
        </is>
      </c>
      <c r="B6" s="6" t="n">
        <v>3000</v>
      </c>
    </row>
    <row r="7">
      <c r="A7" s="3" t="inlineStr">
        <is>
          <t>Net debt (SAR bn; +debt / −cash)</t>
        </is>
      </c>
      <c r="B7" s="7" t="n">
        <v>0</v>
      </c>
    </row>
    <row r="8">
      <c r="A8" s="3" t="inlineStr">
        <is>
          <t>Book value / share 2025A (SAR)</t>
        </is>
      </c>
      <c r="B8" s="5" t="n">
        <v>42.9</v>
      </c>
    </row>
    <row r="10">
      <c r="A10" s="4" t="inlineStr">
        <is>
          <t>DCF — REVENUE &amp; MARGIN</t>
        </is>
      </c>
    </row>
    <row r="11">
      <c r="A11" s="3" t="inlineStr">
        <is>
          <t>2025A revenue (SAR bn)</t>
        </is>
      </c>
      <c r="B11" s="7" t="n">
        <v>116.53</v>
      </c>
    </row>
    <row r="12">
      <c r="A12" s="3" t="inlineStr">
        <is>
          <t>Revenue growth 2026</t>
        </is>
      </c>
      <c r="B12" s="8" t="n">
        <v>0.02</v>
      </c>
    </row>
    <row r="13">
      <c r="A13" s="3" t="inlineStr">
        <is>
          <t>Revenue growth 2027</t>
        </is>
      </c>
      <c r="B13" s="8" t="n">
        <v>0.03</v>
      </c>
    </row>
    <row r="14">
      <c r="A14" s="3" t="inlineStr">
        <is>
          <t>Revenue growth 2028</t>
        </is>
      </c>
      <c r="B14" s="8" t="n">
        <v>0.035</v>
      </c>
    </row>
    <row r="15">
      <c r="A15" s="3" t="inlineStr">
        <is>
          <t>Revenue growth 2029</t>
        </is>
      </c>
      <c r="B15" s="8" t="n">
        <v>0.03</v>
      </c>
    </row>
    <row r="16">
      <c r="A16" s="3" t="inlineStr">
        <is>
          <t>Revenue growth 2030</t>
        </is>
      </c>
      <c r="B16" s="8" t="n">
        <v>0.025</v>
      </c>
    </row>
    <row r="17">
      <c r="A17" s="3" t="inlineStr">
        <is>
          <t>EBITDA margin 2026 (start)</t>
        </is>
      </c>
      <c r="B17" s="8" t="n">
        <v>0.155</v>
      </c>
    </row>
    <row r="18">
      <c r="A18" s="3" t="inlineStr">
        <is>
          <t>EBITDA margin 2030 (mid-cycle)</t>
        </is>
      </c>
      <c r="B18" s="8" t="n">
        <v>0.19</v>
      </c>
    </row>
    <row r="19">
      <c r="A19" s="3" t="inlineStr">
        <is>
          <t>D&amp;A 2026 (SAR bn)</t>
        </is>
      </c>
      <c r="B19" s="7" t="n">
        <v>12</v>
      </c>
    </row>
    <row r="20">
      <c r="A20" s="3" t="inlineStr">
        <is>
          <t>D&amp;A 2027 (SAR bn)</t>
        </is>
      </c>
      <c r="B20" s="7" t="n">
        <v>12.3</v>
      </c>
    </row>
    <row r="21">
      <c r="A21" s="3" t="inlineStr">
        <is>
          <t>D&amp;A 2028 (SAR bn)</t>
        </is>
      </c>
      <c r="B21" s="7" t="n">
        <v>12.6</v>
      </c>
    </row>
    <row r="22">
      <c r="A22" s="3" t="inlineStr">
        <is>
          <t>D&amp;A 2029 (SAR bn)</t>
        </is>
      </c>
      <c r="B22" s="7" t="n">
        <v>12.9</v>
      </c>
    </row>
    <row r="23">
      <c r="A23" s="3" t="inlineStr">
        <is>
          <t>D&amp;A 2030 (SAR bn)</t>
        </is>
      </c>
      <c r="B23" s="7" t="n">
        <v>13</v>
      </c>
    </row>
    <row r="24">
      <c r="A24" s="3" t="inlineStr">
        <is>
          <t>Capex 2026 (SAR bn)</t>
        </is>
      </c>
      <c r="B24" s="7" t="n">
        <v>9</v>
      </c>
    </row>
    <row r="25">
      <c r="A25" s="3" t="inlineStr">
        <is>
          <t>Capex 2027 (SAR bn)</t>
        </is>
      </c>
      <c r="B25" s="7" t="n">
        <v>8.5</v>
      </c>
    </row>
    <row r="26">
      <c r="A26" s="3" t="inlineStr">
        <is>
          <t>Capex 2028 (SAR bn)</t>
        </is>
      </c>
      <c r="B26" s="7" t="n">
        <v>8</v>
      </c>
    </row>
    <row r="27">
      <c r="A27" s="3" t="inlineStr">
        <is>
          <t>Capex 2029 (SAR bn)</t>
        </is>
      </c>
      <c r="B27" s="7" t="n">
        <v>8</v>
      </c>
    </row>
    <row r="28">
      <c r="A28" s="3" t="inlineStr">
        <is>
          <t>Capex 2030 (SAR bn)</t>
        </is>
      </c>
      <c r="B28" s="7" t="n">
        <v>8</v>
      </c>
    </row>
    <row r="29">
      <c r="A29" s="3" t="inlineStr">
        <is>
          <t>Δ working capital 2026 (SAR bn)</t>
        </is>
      </c>
      <c r="B29" s="7" t="n">
        <v>1</v>
      </c>
    </row>
    <row r="30">
      <c r="A30" s="3" t="inlineStr">
        <is>
          <t>Δ working capital 2027 (SAR bn)</t>
        </is>
      </c>
      <c r="B30" s="7" t="n">
        <v>0.8</v>
      </c>
    </row>
    <row r="31">
      <c r="A31" s="3" t="inlineStr">
        <is>
          <t>Δ working capital 2028 (SAR bn)</t>
        </is>
      </c>
      <c r="B31" s="7" t="n">
        <v>0.9</v>
      </c>
    </row>
    <row r="32">
      <c r="A32" s="3" t="inlineStr">
        <is>
          <t>Δ working capital 2029 (SAR bn)</t>
        </is>
      </c>
      <c r="B32" s="7" t="n">
        <v>0.7</v>
      </c>
    </row>
    <row r="33">
      <c r="A33" s="3" t="inlineStr">
        <is>
          <t>Δ working capital 2030 (SAR bn)</t>
        </is>
      </c>
      <c r="B33" s="7" t="n">
        <v>0.6</v>
      </c>
    </row>
    <row r="35">
      <c r="A35" s="4" t="inlineStr">
        <is>
          <t>DISCOUNTING (Ke = rf + β·ERP)</t>
        </is>
      </c>
    </row>
    <row r="36">
      <c r="A36" s="3" t="inlineStr">
        <is>
          <t>Risk-free rate (rf)</t>
        </is>
      </c>
      <c r="B36" s="8" t="n">
        <v>0.045</v>
      </c>
    </row>
    <row r="37">
      <c r="A37" s="3" t="inlineStr">
        <is>
          <t>Beta (0.8–1.3 band)</t>
        </is>
      </c>
      <c r="B37" s="9" t="n">
        <v>1.05</v>
      </c>
    </row>
    <row r="38">
      <c r="A38" s="3" t="inlineStr">
        <is>
          <t>Equity risk premium (ERP)</t>
        </is>
      </c>
      <c r="B38" s="8" t="n">
        <v>0.055</v>
      </c>
    </row>
    <row r="39">
      <c r="A39" s="3" t="inlineStr">
        <is>
          <t>Cost of equity Ke = rf + β·ERP</t>
        </is>
      </c>
      <c r="B39" s="10">
        <f>B36+B37*B38</f>
        <v/>
      </c>
    </row>
    <row r="40">
      <c r="A40" s="3" t="inlineStr">
        <is>
          <t>WACC (base)</t>
        </is>
      </c>
      <c r="B40" s="8" t="n">
        <v>0.0975</v>
      </c>
    </row>
    <row r="41">
      <c r="A41" s="3" t="inlineStr">
        <is>
          <t>Effective tax / Zakat rate</t>
        </is>
      </c>
      <c r="B41" s="8" t="n">
        <v>0.12</v>
      </c>
    </row>
    <row r="42">
      <c r="A42" s="3" t="inlineStr">
        <is>
          <t>Terminal growth g</t>
        </is>
      </c>
      <c r="B42" s="8" t="n">
        <v>0.025</v>
      </c>
    </row>
    <row r="44">
      <c r="A44" s="4" t="inlineStr">
        <is>
          <t>RELATIVE / DIVIDEND</t>
        </is>
      </c>
    </row>
    <row r="45">
      <c r="A45" s="3" t="inlineStr">
        <is>
          <t>EV/EBITDA multiple (peer)</t>
        </is>
      </c>
      <c r="B45" s="11" t="n">
        <v>7</v>
      </c>
    </row>
    <row r="46">
      <c r="A46" s="3" t="inlineStr">
        <is>
          <t>Normalized mid-cycle EBITDA (SAR bn)</t>
        </is>
      </c>
      <c r="B46" s="7" t="n">
        <v>22</v>
      </c>
    </row>
    <row r="47">
      <c r="A47" s="3" t="inlineStr">
        <is>
          <t>P/B multiple (mid-cycle)</t>
        </is>
      </c>
      <c r="B47" s="11" t="n">
        <v>1.2</v>
      </c>
    </row>
    <row r="48">
      <c r="A48" s="3" t="inlineStr">
        <is>
          <t>Normalized DPS (SAR)</t>
        </is>
      </c>
      <c r="B48" s="5" t="n">
        <v>3.1</v>
      </c>
    </row>
    <row r="49">
      <c r="A49" s="3" t="inlineStr">
        <is>
          <t>Target dividend yield</t>
        </is>
      </c>
      <c r="B49" s="8" t="n">
        <v>0.055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2" t="inlineStr">
        <is>
          <t>Primary lens — DCF bear/base/bull</t>
        </is>
      </c>
    </row>
    <row r="2">
      <c r="A2" s="2" t="inlineStr">
        <is>
          <t>Same waterfall, three margin/discount scenarios. See DCF sheet for the full build.</t>
        </is>
      </c>
    </row>
    <row r="4">
      <c r="A4" s="13" t="inlineStr">
        <is>
          <t>Scenario</t>
        </is>
      </c>
      <c r="B4" s="13" t="inlineStr">
        <is>
          <t>EV (SAR bn)</t>
        </is>
      </c>
      <c r="C4" s="13" t="inlineStr">
        <is>
          <t>Equity (SAR bn)</t>
        </is>
      </c>
      <c r="D4" s="13" t="inlineStr">
        <is>
          <t>Per share</t>
        </is>
      </c>
      <c r="E4" s="13" t="inlineStr">
        <is>
          <t>TV % of EV</t>
        </is>
      </c>
    </row>
    <row r="5">
      <c r="A5" s="3" t="inlineStr">
        <is>
          <t>Bear</t>
        </is>
      </c>
      <c r="B5" s="16" t="n">
        <v>108.6</v>
      </c>
      <c r="C5" s="16" t="n">
        <v>108.6</v>
      </c>
      <c r="D5" s="29" t="n">
        <v>36.22</v>
      </c>
      <c r="E5" s="33" t="n">
        <v>0.6904904337401527</v>
      </c>
    </row>
    <row r="6">
      <c r="A6" s="14" t="inlineStr">
        <is>
          <t>Base (=DCF sheet)</t>
        </is>
      </c>
      <c r="B6" s="18">
        <f>DCF!B22</f>
        <v/>
      </c>
      <c r="C6" s="18">
        <f>DCF!B25</f>
        <v/>
      </c>
      <c r="D6" s="29">
        <f>DCF!B26</f>
        <v/>
      </c>
      <c r="E6" s="34">
        <f>DCF!B23</f>
        <v/>
      </c>
    </row>
    <row r="7">
      <c r="A7" s="3" t="inlineStr">
        <is>
          <t>Bull</t>
        </is>
      </c>
      <c r="B7" s="16" t="n">
        <v>288.5</v>
      </c>
      <c r="C7" s="16" t="n">
        <v>288.5</v>
      </c>
      <c r="D7" s="29" t="n">
        <v>96.16</v>
      </c>
      <c r="E7" s="33" t="n">
        <v>0.8033253740609791</v>
      </c>
    </row>
    <row r="9">
      <c r="A9" s="22" t="inlineStr">
        <is>
          <t>Swing (device A-1): the product–feedstock spread ($/t) drives the mid-cycle EBITDA margin (bear 16.5% → bull 21.0%). Sensitized in the Sensitivity sheet.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55" customWidth="1" min="3" max="3"/>
  </cols>
  <sheetData>
    <row r="1">
      <c r="A1" s="12" t="inlineStr">
        <is>
          <t>Segments — SABIC business mix (indicative)</t>
        </is>
      </c>
    </row>
    <row r="2">
      <c r="A2" s="2" t="inlineStr">
        <is>
          <t>SABIC does not disclose clean segment EBITDA splits → top-down (data-discipline gate).</t>
        </is>
      </c>
    </row>
    <row r="4">
      <c r="A4" s="13" t="inlineStr">
        <is>
          <t>Segment</t>
        </is>
      </c>
      <c r="B4" s="13" t="inlineStr">
        <is>
          <t>% of revenue (approx)</t>
        </is>
      </c>
      <c r="C4" s="13" t="inlineStr">
        <is>
          <t>Note</t>
        </is>
      </c>
    </row>
    <row r="5">
      <c r="A5" s="3" t="inlineStr">
        <is>
          <t>Petrochemicals &amp; polymers</t>
        </is>
      </c>
      <c r="B5" s="35" t="inlineStr">
        <is>
          <t>~70%</t>
        </is>
      </c>
      <c r="C5" s="27" t="inlineStr">
        <is>
          <t>Ethylene/PE/MEG/PP — core; margin = product-feedstock spread</t>
        </is>
      </c>
    </row>
    <row r="6">
      <c r="A6" s="3" t="inlineStr">
        <is>
          <t>Agri-Nutrients (SABIC AN, listed)</t>
        </is>
      </c>
      <c r="B6" s="35" t="inlineStr">
        <is>
          <t>~12%</t>
        </is>
      </c>
      <c r="C6" s="27" t="inlineStr">
        <is>
          <t>Urea/ammonia; supported by 2025 urea supply limits</t>
        </is>
      </c>
    </row>
    <row r="7">
      <c r="A7" s="3" t="inlineStr">
        <is>
          <t>Specialties</t>
        </is>
      </c>
      <c r="B7" s="35" t="inlineStr">
        <is>
          <t>~10%</t>
        </is>
      </c>
      <c r="C7" s="27" t="inlineStr">
        <is>
          <t>Engineering plastics retained post-ET divestiture</t>
        </is>
      </c>
    </row>
    <row r="8">
      <c r="A8" s="3" t="inlineStr">
        <is>
          <t>Metals (Hadeed) — divested 2024</t>
        </is>
      </c>
      <c r="B8" s="35" t="inlineStr">
        <is>
          <t>—</t>
        </is>
      </c>
      <c r="C8" s="27" t="inlineStr">
        <is>
          <t>Sold to PIF; removed from continuing ops</t>
        </is>
      </c>
    </row>
    <row r="9">
      <c r="A9" s="3" t="inlineStr">
        <is>
          <t>Europe petchem / Americas ET — divesting</t>
        </is>
      </c>
      <c r="B9" s="35" t="inlineStr">
        <is>
          <t>—</t>
        </is>
      </c>
      <c r="C9" s="27" t="inlineStr">
        <is>
          <t>Held for sale; 2025 one-off writedowns SAR 15.2 bn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44" customWidth="1" min="4" max="4"/>
  </cols>
  <sheetData>
    <row r="1">
      <c r="A1" s="12" t="inlineStr">
        <is>
          <t>Relative &amp; normalized — EV/EBITDA, P/B, dividend</t>
        </is>
      </c>
    </row>
    <row r="2">
      <c r="A2" s="2" t="inlineStr">
        <is>
          <t>Peer multiples vs global petchem; normalized mid-cycle.</t>
        </is>
      </c>
    </row>
    <row r="4">
      <c r="A4" s="13" t="inlineStr">
        <is>
          <t>Metric</t>
        </is>
      </c>
      <c r="B4" s="13" t="inlineStr">
        <is>
          <t>Value</t>
        </is>
      </c>
      <c r="C4" s="13" t="inlineStr">
        <is>
          <t>Implied SAR/sh</t>
        </is>
      </c>
      <c r="D4" s="13" t="inlineStr">
        <is>
          <t>Note</t>
        </is>
      </c>
    </row>
    <row r="5">
      <c r="A5" s="3" t="inlineStr">
        <is>
          <t>EV/EBITDA multiple (peer)</t>
        </is>
      </c>
      <c r="B5" s="36">
        <f>Assumptions!$B$45</f>
        <v/>
      </c>
      <c r="C5" s="28">
        <f>17.88*B5/(Assumptions!$B$6/1000)</f>
        <v/>
      </c>
      <c r="D5" s="3" t="inlineStr">
        <is>
          <t>trough EBITDA → floor</t>
        </is>
      </c>
    </row>
    <row r="6">
      <c r="A6" s="3" t="inlineStr">
        <is>
          <t>EV/EBITDA on mid-cycle (22.0)</t>
        </is>
      </c>
      <c r="B6" s="36">
        <f>Assumptions!$B$45</f>
        <v/>
      </c>
      <c r="C6" s="28">
        <f>Assumptions!$B$46*B6/(Assumptions!$B$6/1000)</f>
        <v/>
      </c>
      <c r="D6" s="3" t="inlineStr">
        <is>
          <t>normalized</t>
        </is>
      </c>
    </row>
    <row r="7">
      <c r="A7" s="3" t="inlineStr">
        <is>
          <t>P/B multiple</t>
        </is>
      </c>
      <c r="B7" s="36">
        <f>Assumptions!$B$47</f>
        <v/>
      </c>
      <c r="C7" s="28">
        <f>Assumptions!$B$8*B7</f>
        <v/>
      </c>
      <c r="D7" s="3" t="inlineStr">
        <is>
          <t>BVPS 42.9; spot P/B 1.21x</t>
        </is>
      </c>
    </row>
    <row r="8">
      <c r="A8" s="3" t="inlineStr">
        <is>
          <t>Dividend yield (normalized DPS 3.10)</t>
        </is>
      </c>
      <c r="B8" s="33">
        <f>Assumptions!$B$49</f>
        <v/>
      </c>
      <c r="C8" s="28">
        <f>Assumptions!$B$48/B8</f>
        <v/>
      </c>
      <c r="D8" s="3" t="inlineStr">
        <is>
          <t>income anchor; 5.8% yield at spot</t>
        </is>
      </c>
    </row>
    <row r="9">
      <c r="A9" s="14" t="inlineStr">
        <is>
          <t>Normalized earnings → petchem-cycle framing</t>
        </is>
      </c>
      <c r="B9" s="37" t="inlineStr">
        <is>
          <t>see §1.4</t>
        </is>
      </c>
      <c r="D9" s="22" t="inlineStr">
        <is>
          <t>Each cycle is finite; state cycle position (trough) not a single 'normalized EPS'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DCF — normalized mid-cycle (primary lens)</t>
        </is>
      </c>
    </row>
    <row r="2">
      <c r="A2" s="2" t="inlineStr">
        <is>
          <t>Full FCFF waterfall, 5-yr explicit. Every driver links to Assumptions. TV disclosed as % of EV.</t>
        </is>
      </c>
    </row>
    <row r="4">
      <c r="A4" s="13" t="inlineStr">
        <is>
          <t>SAR bn</t>
        </is>
      </c>
      <c r="B4" s="13" t="inlineStr">
        <is>
          <t>2026</t>
        </is>
      </c>
      <c r="C4" s="13" t="inlineStr">
        <is>
          <t>2027</t>
        </is>
      </c>
      <c r="D4" s="13" t="inlineStr">
        <is>
          <t>2028</t>
        </is>
      </c>
      <c r="E4" s="13" t="inlineStr">
        <is>
          <t>2029</t>
        </is>
      </c>
      <c r="F4" s="13" t="inlineStr">
        <is>
          <t>2030</t>
        </is>
      </c>
    </row>
    <row r="5">
      <c r="A5" s="14" t="inlineStr">
        <is>
          <t>Revenue</t>
        </is>
      </c>
      <c r="B5" s="39">
        <f>Assumptions!$B$11*(1+Assumptions!$B$12)</f>
        <v/>
      </c>
      <c r="C5" s="40">
        <f>B5*(1+Assumptions!$B$13)</f>
        <v/>
      </c>
      <c r="D5" s="40">
        <f>C5*(1+Assumptions!$B$14)</f>
        <v/>
      </c>
      <c r="E5" s="40">
        <f>D5*(1+Assumptions!$B$15)</f>
        <v/>
      </c>
      <c r="F5" s="40">
        <f>E5*(1+Assumptions!$B$16)</f>
        <v/>
      </c>
      <c r="G5" s="15">
        <f>F5*(1+Assumptions!$B$16)</f>
        <v/>
      </c>
    </row>
    <row r="6">
      <c r="A6" s="3" t="inlineStr">
        <is>
          <t xml:space="preserve">  EBITDA margin</t>
        </is>
      </c>
      <c r="B6" s="41">
        <f>Assumptions!$B$17+(Assumptions!$B$18-Assumptions!$B$17)*1/5</f>
        <v/>
      </c>
      <c r="C6" s="42">
        <f>Assumptions!$B$17+(Assumptions!$B$18-Assumptions!$B$17)*2/5</f>
        <v/>
      </c>
      <c r="D6" s="42">
        <f>Assumptions!$B$17+(Assumptions!$B$18-Assumptions!$B$17)*3/5</f>
        <v/>
      </c>
      <c r="E6" s="42">
        <f>Assumptions!$B$17+(Assumptions!$B$18-Assumptions!$B$17)*4/5</f>
        <v/>
      </c>
      <c r="F6" s="42">
        <f>Assumptions!$B$17+(Assumptions!$B$18-Assumptions!$B$17)*5/5</f>
        <v/>
      </c>
      <c r="G6" s="10">
        <f>Assumptions!$B$17+(Assumptions!$B$18-Assumptions!$B$17)*5/5</f>
        <v/>
      </c>
    </row>
    <row r="7">
      <c r="A7" s="14" t="inlineStr">
        <is>
          <t>EBITDA</t>
        </is>
      </c>
      <c r="B7" s="40">
        <f>B5*B6</f>
        <v/>
      </c>
      <c r="C7" s="40">
        <f>C5*C6</f>
        <v/>
      </c>
      <c r="D7" s="40">
        <f>D5*D6</f>
        <v/>
      </c>
      <c r="E7" s="40">
        <f>E5*E6</f>
        <v/>
      </c>
      <c r="F7" s="40">
        <f>F5*F6</f>
        <v/>
      </c>
    </row>
    <row r="8">
      <c r="A8" s="3" t="inlineStr">
        <is>
          <t xml:space="preserve">  less: D&amp;A</t>
        </is>
      </c>
      <c r="B8" s="39">
        <f>-Assumptions!$B$19</f>
        <v/>
      </c>
      <c r="C8" s="40">
        <f>-Assumptions!$B$20</f>
        <v/>
      </c>
      <c r="D8" s="40">
        <f>-Assumptions!$B$21</f>
        <v/>
      </c>
      <c r="E8" s="40">
        <f>-Assumptions!$B$22</f>
        <v/>
      </c>
      <c r="F8" s="40">
        <f>-Assumptions!$B$23</f>
        <v/>
      </c>
      <c r="G8" s="17">
        <f>-Assumptions!$B$23</f>
        <v/>
      </c>
    </row>
    <row r="9">
      <c r="A9" s="14" t="inlineStr">
        <is>
          <t>EBIT</t>
        </is>
      </c>
      <c r="B9" s="40">
        <f>B7+B8</f>
        <v/>
      </c>
      <c r="C9" s="40">
        <f>C7+C8</f>
        <v/>
      </c>
      <c r="D9" s="40">
        <f>D7+D8</f>
        <v/>
      </c>
      <c r="E9" s="40">
        <f>E7+E8</f>
        <v/>
      </c>
      <c r="F9" s="40">
        <f>F7+F8</f>
        <v/>
      </c>
    </row>
    <row r="10">
      <c r="A10" s="3" t="inlineStr">
        <is>
          <t>NOPAT = EBIT×(1−t)</t>
        </is>
      </c>
      <c r="B10" s="40">
        <f>B9*(1-Assumptions!$B$41)</f>
        <v/>
      </c>
      <c r="C10" s="40">
        <f>C9*(1-Assumptions!$B$41)</f>
        <v/>
      </c>
      <c r="D10" s="40">
        <f>D9*(1-Assumptions!$B$41)</f>
        <v/>
      </c>
      <c r="E10" s="40">
        <f>E9*(1-Assumptions!$B$41)</f>
        <v/>
      </c>
      <c r="F10" s="40">
        <f>F9*(1-Assumptions!$B$41)</f>
        <v/>
      </c>
    </row>
    <row r="11">
      <c r="A11" s="3" t="inlineStr">
        <is>
          <t xml:space="preserve">  add back: D&amp;A</t>
        </is>
      </c>
      <c r="B11" s="40">
        <f>Assumptions!$B$19</f>
        <v/>
      </c>
      <c r="C11" s="40">
        <f>Assumptions!$B$20</f>
        <v/>
      </c>
      <c r="D11" s="40">
        <f>Assumptions!$B$21</f>
        <v/>
      </c>
      <c r="E11" s="40">
        <f>Assumptions!$B$22</f>
        <v/>
      </c>
      <c r="F11" s="40">
        <f>Assumptions!$B$23</f>
        <v/>
      </c>
    </row>
    <row r="12">
      <c r="A12" s="3" t="inlineStr">
        <is>
          <t xml:space="preserve">  less: Capex</t>
        </is>
      </c>
      <c r="B12" s="40">
        <f>-Assumptions!$B$24</f>
        <v/>
      </c>
      <c r="C12" s="40">
        <f>-Assumptions!$B$25</f>
        <v/>
      </c>
      <c r="D12" s="40">
        <f>-Assumptions!$B$26</f>
        <v/>
      </c>
      <c r="E12" s="40">
        <f>-Assumptions!$B$27</f>
        <v/>
      </c>
      <c r="F12" s="40">
        <f>-Assumptions!$B$28</f>
        <v/>
      </c>
    </row>
    <row r="13">
      <c r="A13" s="3" t="inlineStr">
        <is>
          <t xml:space="preserve">  less: Δ working capital</t>
        </is>
      </c>
      <c r="B13" s="40">
        <f>-Assumptions!$B$29</f>
        <v/>
      </c>
      <c r="C13" s="40">
        <f>-Assumptions!$B$30</f>
        <v/>
      </c>
      <c r="D13" s="40">
        <f>-Assumptions!$B$31</f>
        <v/>
      </c>
      <c r="E13" s="40">
        <f>-Assumptions!$B$32</f>
        <v/>
      </c>
      <c r="F13" s="40">
        <f>-Assumptions!$B$33</f>
        <v/>
      </c>
    </row>
    <row r="14">
      <c r="A14" s="14" t="inlineStr">
        <is>
          <t>Free cash flow to firm (FCFF)</t>
        </is>
      </c>
      <c r="B14" s="40">
        <f>B10+B11+B12+B13</f>
        <v/>
      </c>
      <c r="C14" s="40">
        <f>C10+C11+C12+C13</f>
        <v/>
      </c>
      <c r="D14" s="40">
        <f>D10+D11+D12+D13</f>
        <v/>
      </c>
      <c r="E14" s="40">
        <f>E10+E11+E12+E13</f>
        <v/>
      </c>
      <c r="F14" s="40">
        <f>F10+F11+F12+F13</f>
        <v/>
      </c>
    </row>
    <row r="15">
      <c r="A15" s="3" t="inlineStr">
        <is>
          <t xml:space="preserve">  Discount factor @ WACC</t>
        </is>
      </c>
      <c r="B15" s="43">
        <f>1/(1+Assumptions!$B$40)^1</f>
        <v/>
      </c>
      <c r="C15" s="44">
        <f>1/(1+Assumptions!$B$40)^2</f>
        <v/>
      </c>
      <c r="D15" s="44">
        <f>1/(1+Assumptions!$B$40)^3</f>
        <v/>
      </c>
      <c r="E15" s="44">
        <f>1/(1+Assumptions!$B$40)^4</f>
        <v/>
      </c>
      <c r="F15" s="44">
        <f>1/(1+Assumptions!$B$40)^5</f>
        <v/>
      </c>
      <c r="G15" s="19">
        <f>1/(1+Assumptions!$B$40)^5</f>
        <v/>
      </c>
    </row>
    <row r="16">
      <c r="A16" s="14" t="inlineStr">
        <is>
          <t>PV of FCFF</t>
        </is>
      </c>
      <c r="B16" s="40">
        <f>B14*B15</f>
        <v/>
      </c>
      <c r="C16" s="40">
        <f>C14*C15</f>
        <v/>
      </c>
      <c r="D16" s="40">
        <f>D14*D15</f>
        <v/>
      </c>
      <c r="E16" s="40">
        <f>E14*E15</f>
        <v/>
      </c>
      <c r="F16" s="40">
        <f>F14*F15</f>
        <v/>
      </c>
    </row>
    <row r="18">
      <c r="A18" s="4" t="inlineStr">
        <is>
          <t>VALUATION BRIDGE</t>
        </is>
      </c>
    </row>
    <row r="19">
      <c r="A19" s="14" t="inlineStr">
        <is>
          <t>Σ PV of explicit FCFF (2026–30)</t>
        </is>
      </c>
      <c r="B19" s="40">
        <f>SUM(B16:F16)</f>
        <v/>
      </c>
    </row>
    <row r="20">
      <c r="A20" s="3" t="inlineStr">
        <is>
          <t>Terminal value = FCFF₂₀₃₀×(1+g)/(WACC−g)</t>
        </is>
      </c>
      <c r="B20" s="40">
        <f>F14*(1+Assumptions!$B$42)/(Assumptions!$B$40-Assumptions!$B$42)</f>
        <v/>
      </c>
    </row>
    <row r="21">
      <c r="A21" s="14" t="inlineStr">
        <is>
          <t>PV of terminal value</t>
        </is>
      </c>
      <c r="B21" s="40">
        <f>B20*F15</f>
        <v/>
      </c>
    </row>
    <row r="22">
      <c r="A22" s="14" t="inlineStr">
        <is>
          <t>Enterprise value (EV)</t>
        </is>
      </c>
      <c r="B22" s="40">
        <f>B19+B21</f>
        <v/>
      </c>
    </row>
    <row r="23">
      <c r="A23" s="3" t="inlineStr">
        <is>
          <t xml:space="preserve">  TV as % of EV</t>
        </is>
      </c>
      <c r="B23" s="42">
        <f>B21/B22</f>
        <v/>
      </c>
    </row>
    <row r="24">
      <c r="A24" s="3" t="inlineStr">
        <is>
          <t>less: net debt</t>
        </is>
      </c>
      <c r="B24" s="40">
        <f>-Assumptions!$B$7</f>
        <v/>
      </c>
    </row>
    <row r="25">
      <c r="A25" s="14" t="inlineStr">
        <is>
          <t>Equity value</t>
        </is>
      </c>
      <c r="B25" s="40">
        <f>B22+B24</f>
        <v/>
      </c>
    </row>
    <row r="26">
      <c r="A26" s="14" t="inlineStr">
        <is>
          <t>Per share (SAR)</t>
        </is>
      </c>
      <c r="B26" s="45">
        <f>B25/(Assumptions!$B$6/1000)</f>
        <v/>
      </c>
    </row>
    <row r="27">
      <c r="A27" s="3" t="inlineStr">
        <is>
          <t>vs spot</t>
        </is>
      </c>
      <c r="B27" s="42">
        <f>B26/Assumptions!$B$5-1</f>
        <v/>
      </c>
    </row>
    <row r="28">
      <c r="A28" s="22" t="inlineStr">
        <is>
          <t>Note: high-terminal DCF (device A-7) — TV≈75% of EV; sensitized on the WACC × g grid (Sensitivity) and the margin × EV/EBITDA grid.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2" t="inlineStr">
        <is>
          <t>Income statement — 3y historical + 5y forecast (SAR bn)</t>
        </is>
      </c>
    </row>
    <row r="2">
      <c r="A2" s="2" t="inlineStr">
        <is>
          <t>Historicals on continuing/adjusted basis; forecast links to DCF drivers. Source: SABIC FY23–25 disclosures.</t>
        </is>
      </c>
    </row>
    <row r="4">
      <c r="A4" s="13" t="inlineStr">
        <is>
          <t>SAR bn</t>
        </is>
      </c>
      <c r="B4" s="13" t="inlineStr">
        <is>
          <t>2023A</t>
        </is>
      </c>
      <c r="C4" s="13" t="inlineStr">
        <is>
          <t>2024A</t>
        </is>
      </c>
      <c r="D4" s="13" t="inlineStr">
        <is>
          <t>2025A</t>
        </is>
      </c>
      <c r="E4" s="13" t="inlineStr">
        <is>
          <t>2026E</t>
        </is>
      </c>
      <c r="F4" s="13" t="inlineStr">
        <is>
          <t>2027E</t>
        </is>
      </c>
      <c r="G4" s="13" t="inlineStr">
        <is>
          <t>2028E</t>
        </is>
      </c>
      <c r="H4" s="13" t="inlineStr">
        <is>
          <t>2029E</t>
        </is>
      </c>
      <c r="I4" s="46" t="inlineStr">
        <is>
          <t>2030E</t>
        </is>
      </c>
    </row>
    <row r="5">
      <c r="A5" s="14" t="inlineStr">
        <is>
          <t>Revenue</t>
        </is>
      </c>
      <c r="B5" s="23" t="n">
        <v>141.9</v>
      </c>
      <c r="C5" s="23" t="n">
        <v>117.74</v>
      </c>
      <c r="D5" s="23" t="n">
        <v>116.53</v>
      </c>
      <c r="E5" s="47">
        <f>DCF!B5</f>
        <v/>
      </c>
      <c r="F5" s="48">
        <f>DCF!C5</f>
        <v/>
      </c>
      <c r="G5" s="48">
        <f>DCF!D5</f>
        <v/>
      </c>
      <c r="H5" s="48">
        <f>DCF!E5</f>
        <v/>
      </c>
      <c r="I5" s="48">
        <f>DCF!F5</f>
        <v/>
      </c>
      <c r="J5" s="18">
        <f>DCF!G5</f>
        <v/>
      </c>
    </row>
    <row r="6">
      <c r="A6" s="14" t="inlineStr">
        <is>
          <t>EBITDA (adjusted)</t>
        </is>
      </c>
      <c r="B6" s="23" t="n">
        <v>17.4</v>
      </c>
      <c r="C6" s="23" t="n">
        <v>21</v>
      </c>
      <c r="D6" s="23" t="n">
        <v>17.88</v>
      </c>
      <c r="E6" s="47">
        <f>DCF!B7</f>
        <v/>
      </c>
      <c r="F6" s="48">
        <f>DCF!C7</f>
        <v/>
      </c>
      <c r="G6" s="48">
        <f>DCF!D7</f>
        <v/>
      </c>
      <c r="H6" s="48">
        <f>DCF!E7</f>
        <v/>
      </c>
      <c r="I6" s="48">
        <f>DCF!F7</f>
        <v/>
      </c>
      <c r="J6" s="18">
        <f>DCF!G7</f>
        <v/>
      </c>
    </row>
    <row r="7">
      <c r="A7" s="3" t="inlineStr">
        <is>
          <t xml:space="preserve">  EBITDA margin</t>
        </is>
      </c>
      <c r="B7" s="42">
        <f>B6/B5</f>
        <v/>
      </c>
      <c r="C7" s="42">
        <f>C6/C5</f>
        <v/>
      </c>
      <c r="D7" s="42">
        <f>D6/D5</f>
        <v/>
      </c>
      <c r="E7" s="42">
        <f>E6/E5</f>
        <v/>
      </c>
      <c r="F7" s="42">
        <f>F6/F5</f>
        <v/>
      </c>
      <c r="G7" s="42">
        <f>G6/G5</f>
        <v/>
      </c>
      <c r="H7" s="42">
        <f>H6/H5</f>
        <v/>
      </c>
      <c r="I7" s="42">
        <f>I6/I5</f>
        <v/>
      </c>
    </row>
    <row r="8">
      <c r="A8" s="3" t="inlineStr">
        <is>
          <t>less: D&amp;A</t>
        </is>
      </c>
      <c r="B8" s="16" t="n">
        <v>-13.7</v>
      </c>
      <c r="C8" s="16" t="n">
        <v>-11.6</v>
      </c>
      <c r="D8" s="16" t="n">
        <v>-12.1</v>
      </c>
      <c r="E8" s="48">
        <f>DCF!B8</f>
        <v/>
      </c>
      <c r="F8" s="48">
        <f>DCF!C8</f>
        <v/>
      </c>
      <c r="G8" s="48">
        <f>DCF!D8</f>
        <v/>
      </c>
      <c r="H8" s="48">
        <f>DCF!E8</f>
        <v/>
      </c>
      <c r="I8" s="48">
        <f>DCF!F8</f>
        <v/>
      </c>
      <c r="J8" s="17">
        <f>DCF!G8</f>
        <v/>
      </c>
    </row>
    <row r="9">
      <c r="A9" s="14" t="inlineStr">
        <is>
          <t>EBIT</t>
        </is>
      </c>
      <c r="B9" s="40">
        <f>B6+B8</f>
        <v/>
      </c>
      <c r="C9" s="40">
        <f>C6+C8</f>
        <v/>
      </c>
      <c r="D9" s="40">
        <f>D6+D8</f>
        <v/>
      </c>
      <c r="E9" s="40">
        <f>E6+E8</f>
        <v/>
      </c>
      <c r="F9" s="40">
        <f>F6+F8</f>
        <v/>
      </c>
      <c r="G9" s="40">
        <f>G6+G8</f>
        <v/>
      </c>
      <c r="H9" s="40">
        <f>H6+H8</f>
        <v/>
      </c>
      <c r="I9" s="40">
        <f>I6+I8</f>
        <v/>
      </c>
    </row>
    <row r="10">
      <c r="A10" s="3" t="inlineStr">
        <is>
          <t>Net income (reported, attrib.)</t>
        </is>
      </c>
      <c r="B10" s="16" t="n">
        <v>-2.77</v>
      </c>
      <c r="C10" s="16" t="n">
        <v>1.54</v>
      </c>
      <c r="D10" s="16" t="n">
        <v>-25.78</v>
      </c>
      <c r="E10" s="16" t="inlineStr"/>
      <c r="F10" s="16" t="inlineStr"/>
      <c r="G10" s="16" t="inlineStr"/>
      <c r="H10" s="16" t="inlineStr"/>
      <c r="I10" s="16" t="inlineStr"/>
    </row>
    <row r="11">
      <c r="A11" s="3" t="inlineStr">
        <is>
          <t>Net income (adjusted)</t>
        </is>
      </c>
      <c r="B11" s="16" t="inlineStr"/>
      <c r="C11" s="16" t="n">
        <v>5.88</v>
      </c>
      <c r="D11" s="16" t="n">
        <v>2.07</v>
      </c>
      <c r="E11" s="48">
        <f>DCF!B10</f>
        <v/>
      </c>
      <c r="F11" s="48">
        <f>DCF!C10</f>
        <v/>
      </c>
      <c r="G11" s="48">
        <f>DCF!D10</f>
        <v/>
      </c>
      <c r="H11" s="48">
        <f>DCF!E10</f>
        <v/>
      </c>
      <c r="I11" s="48">
        <f>DCF!F10</f>
        <v/>
      </c>
      <c r="J11" s="25">
        <f>J9*(1-Assumptions!$B$41)</f>
        <v/>
      </c>
    </row>
    <row r="12">
      <c r="A12" s="22" t="inlineStr">
        <is>
          <t>2025 reported net loss (SAR −25.8 bn) reflects one-off non-cash writedowns on European petchem / ET divestitures; adjusted basis used for the cycle.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2" t="inlineStr">
        <is>
          <t>Balance sheet — key lines, 3y historical + 5y forecast (SAR bn)</t>
        </is>
      </c>
    </row>
    <row r="2">
      <c r="A2" s="2" t="inlineStr">
        <is>
          <t>Source: SABIC FY23–25. Net-cash-to-neutral balance sheet; A+/A1 rated.</t>
        </is>
      </c>
    </row>
    <row r="4">
      <c r="A4" s="13" t="inlineStr">
        <is>
          <t>SAR bn</t>
        </is>
      </c>
      <c r="B4" s="13" t="inlineStr">
        <is>
          <t>2023A</t>
        </is>
      </c>
      <c r="C4" s="13" t="inlineStr">
        <is>
          <t>2024A</t>
        </is>
      </c>
      <c r="D4" s="13" t="inlineStr">
        <is>
          <t>2025A</t>
        </is>
      </c>
      <c r="E4" s="13" t="inlineStr">
        <is>
          <t>2026E</t>
        </is>
      </c>
      <c r="F4" s="13" t="inlineStr">
        <is>
          <t>2027E</t>
        </is>
      </c>
      <c r="G4" s="13" t="inlineStr">
        <is>
          <t>2028E</t>
        </is>
      </c>
      <c r="H4" s="13" t="inlineStr">
        <is>
          <t>2029E</t>
        </is>
      </c>
      <c r="I4" s="13" t="inlineStr">
        <is>
          <t>2030E</t>
        </is>
      </c>
    </row>
    <row r="5">
      <c r="A5" s="14" t="inlineStr">
        <is>
          <t>Total assets</t>
        </is>
      </c>
      <c r="B5" s="23" t="n">
        <v>294.38</v>
      </c>
      <c r="C5" s="23" t="n">
        <v>277.54</v>
      </c>
      <c r="D5" s="23" t="n">
        <v>244.29</v>
      </c>
      <c r="E5" s="23" t="n">
        <v>250</v>
      </c>
      <c r="F5" s="23" t="n">
        <v>258</v>
      </c>
      <c r="G5" s="23" t="n">
        <v>266</v>
      </c>
      <c r="H5" s="23" t="n">
        <v>274</v>
      </c>
      <c r="I5" s="23" t="n">
        <v>282</v>
      </c>
    </row>
    <row r="6">
      <c r="A6" s="3" t="inlineStr">
        <is>
          <t xml:space="preserve">  of which PP&amp;E (approx)</t>
        </is>
      </c>
      <c r="B6" s="23" t="n">
        <v>150</v>
      </c>
      <c r="C6" s="23" t="n">
        <v>145</v>
      </c>
      <c r="D6" s="23" t="n">
        <v>140</v>
      </c>
      <c r="E6" s="23" t="n">
        <v>138</v>
      </c>
      <c r="F6" s="23" t="n">
        <v>137</v>
      </c>
      <c r="G6" s="23" t="n">
        <v>136</v>
      </c>
      <c r="H6" s="23" t="n">
        <v>136</v>
      </c>
      <c r="I6" s="23" t="n">
        <v>136</v>
      </c>
    </row>
    <row r="7">
      <c r="A7" s="3" t="inlineStr">
        <is>
          <t>Total liabilities</t>
        </is>
      </c>
      <c r="B7" s="23" t="n">
        <v>99.09999999999999</v>
      </c>
      <c r="C7" s="23" t="n">
        <v>94.09999999999999</v>
      </c>
      <c r="D7" s="23" t="n">
        <v>89.47</v>
      </c>
      <c r="E7" s="23" t="n">
        <v>88</v>
      </c>
      <c r="F7" s="23" t="n">
        <v>88</v>
      </c>
      <c r="G7" s="23" t="n">
        <v>89</v>
      </c>
      <c r="H7" s="23" t="n">
        <v>90</v>
      </c>
      <c r="I7" s="23" t="n">
        <v>91</v>
      </c>
    </row>
    <row r="8">
      <c r="A8" s="3" t="inlineStr">
        <is>
          <t>Total debt (borrowings+leases)</t>
        </is>
      </c>
      <c r="B8" s="23" t="n">
        <v>35</v>
      </c>
      <c r="C8" s="23" t="n">
        <v>34</v>
      </c>
      <c r="D8" s="23" t="n">
        <v>33.8</v>
      </c>
      <c r="E8" s="23" t="n">
        <v>33</v>
      </c>
      <c r="F8" s="23" t="n">
        <v>33</v>
      </c>
      <c r="G8" s="23" t="n">
        <v>33</v>
      </c>
      <c r="H8" s="23" t="n">
        <v>33</v>
      </c>
      <c r="I8" s="23" t="n">
        <v>33</v>
      </c>
    </row>
    <row r="9">
      <c r="A9" s="3" t="inlineStr">
        <is>
          <t>Cash + short-term investments</t>
        </is>
      </c>
      <c r="B9" s="23" t="n">
        <v>43.8</v>
      </c>
      <c r="C9" s="23" t="n">
        <v>40</v>
      </c>
      <c r="D9" s="23" t="n">
        <v>38</v>
      </c>
      <c r="E9" s="23" t="n">
        <v>40</v>
      </c>
      <c r="F9" s="23" t="n">
        <v>44</v>
      </c>
      <c r="G9" s="23" t="n">
        <v>50</v>
      </c>
      <c r="H9" s="23" t="n">
        <v>57</v>
      </c>
      <c r="I9" s="23" t="n">
        <v>64</v>
      </c>
    </row>
    <row r="10">
      <c r="A10" s="3" t="inlineStr">
        <is>
          <t>Net debt (+)/ net cash (−)</t>
        </is>
      </c>
      <c r="B10" s="23" t="n">
        <v>-8.76</v>
      </c>
      <c r="C10" s="23" t="n">
        <v>-6</v>
      </c>
      <c r="D10" s="23" t="n">
        <v>0</v>
      </c>
      <c r="E10" s="23" t="n">
        <v>-7</v>
      </c>
      <c r="F10" s="23" t="n">
        <v>-11</v>
      </c>
      <c r="G10" s="23" t="n">
        <v>-17</v>
      </c>
      <c r="H10" s="23" t="n">
        <v>-24</v>
      </c>
      <c r="I10" s="23" t="n">
        <v>-31</v>
      </c>
    </row>
    <row r="11">
      <c r="A11" s="14" t="inlineStr">
        <is>
          <t>Equity (attrib. to Parent)</t>
        </is>
      </c>
      <c r="B11" s="23" t="n">
        <v>167.43</v>
      </c>
      <c r="C11" s="23" t="n">
        <v>156.36</v>
      </c>
      <c r="D11" s="23" t="n">
        <v>128.72</v>
      </c>
      <c r="E11" s="23" t="n">
        <v>131</v>
      </c>
      <c r="F11" s="23" t="n">
        <v>135</v>
      </c>
      <c r="G11" s="23" t="n">
        <v>141</v>
      </c>
      <c r="H11" s="23" t="n">
        <v>148</v>
      </c>
      <c r="I11" s="23" t="n">
        <v>157</v>
      </c>
    </row>
    <row r="13">
      <c r="A13" s="22" t="inlineStr">
        <is>
          <t>Forward cash build assumes dividend ≈ FCF with modest net-cash accumulation as mid-cycle FCF recovers; illustrative, flagged estimate.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2" t="inlineStr">
        <is>
          <t>Cash flow — 3y historical + 5y forecast (SAR bn)</t>
        </is>
      </c>
    </row>
    <row r="2">
      <c r="A2" s="2" t="inlineStr">
        <is>
          <t>Forecast FCFF links to DCF. Source: SABIC FY23–25.</t>
        </is>
      </c>
    </row>
    <row r="4">
      <c r="A4" s="13" t="inlineStr">
        <is>
          <t>SAR bn</t>
        </is>
      </c>
      <c r="B4" s="13" t="inlineStr">
        <is>
          <t>2023A</t>
        </is>
      </c>
      <c r="C4" s="13" t="inlineStr">
        <is>
          <t>2024A</t>
        </is>
      </c>
      <c r="D4" s="13" t="inlineStr">
        <is>
          <t>2025A</t>
        </is>
      </c>
      <c r="E4" s="13" t="inlineStr">
        <is>
          <t>2026E</t>
        </is>
      </c>
      <c r="F4" s="13" t="inlineStr">
        <is>
          <t>2027E</t>
        </is>
      </c>
      <c r="G4" s="13" t="inlineStr">
        <is>
          <t>2028E</t>
        </is>
      </c>
      <c r="H4" s="13" t="inlineStr">
        <is>
          <t>2029E</t>
        </is>
      </c>
      <c r="I4" s="13" t="inlineStr">
        <is>
          <t>2030E</t>
        </is>
      </c>
    </row>
    <row r="5">
      <c r="A5" s="14" t="inlineStr">
        <is>
          <t>Cash from operations</t>
        </is>
      </c>
      <c r="B5" s="23" t="n">
        <v>24.45</v>
      </c>
      <c r="C5" s="23" t="n">
        <v>16.36</v>
      </c>
      <c r="D5" s="23" t="n">
        <v>15.96</v>
      </c>
      <c r="E5" s="47">
        <f>DCF!B10+DCF!B11+DCF!B13</f>
        <v/>
      </c>
      <c r="F5" s="48">
        <f>DCF!C10+DCF!C11+DCF!C13</f>
        <v/>
      </c>
      <c r="G5" s="48">
        <f>DCF!D10+DCF!D11+DCF!D13</f>
        <v/>
      </c>
      <c r="H5" s="48">
        <f>DCF!E10+DCF!E11+DCF!E13</f>
        <v/>
      </c>
      <c r="I5" s="48">
        <f>DCF!F10+DCF!F11+DCF!F13</f>
        <v/>
      </c>
      <c r="J5" s="18">
        <f>DCF!G10+DCF!G11-DCF!G13</f>
        <v/>
      </c>
    </row>
    <row r="6">
      <c r="A6" s="3" t="inlineStr">
        <is>
          <t>less: Capex</t>
        </is>
      </c>
      <c r="B6" s="23" t="n">
        <v>-11.76</v>
      </c>
      <c r="C6" s="23" t="n">
        <v>-7.99</v>
      </c>
      <c r="D6" s="23" t="n">
        <v>-7.72</v>
      </c>
      <c r="E6" s="47">
        <f>DCF!B12</f>
        <v/>
      </c>
      <c r="F6" s="48">
        <f>DCF!C12</f>
        <v/>
      </c>
      <c r="G6" s="48">
        <f>DCF!D12</f>
        <v/>
      </c>
      <c r="H6" s="48">
        <f>DCF!E12</f>
        <v/>
      </c>
      <c r="I6" s="48">
        <f>DCF!F12</f>
        <v/>
      </c>
      <c r="J6" s="18">
        <f>DCF!G12</f>
        <v/>
      </c>
    </row>
    <row r="7">
      <c r="A7" s="14" t="inlineStr">
        <is>
          <t>Free cash flow</t>
        </is>
      </c>
      <c r="B7" s="40">
        <f>B5+B6</f>
        <v/>
      </c>
      <c r="C7" s="40">
        <f>C5+C6</f>
        <v/>
      </c>
      <c r="D7" s="40">
        <f>D5+D6</f>
        <v/>
      </c>
      <c r="E7" s="40">
        <f>E5+E6</f>
        <v/>
      </c>
      <c r="F7" s="40">
        <f>F5+F6</f>
        <v/>
      </c>
      <c r="G7" s="40">
        <f>G5+G6</f>
        <v/>
      </c>
      <c r="H7" s="40">
        <f>H5+H6</f>
        <v/>
      </c>
      <c r="I7" s="40">
        <f>I5+I6</f>
        <v/>
      </c>
    </row>
    <row r="8">
      <c r="A8" s="3" t="inlineStr">
        <is>
          <t>Dividends paid</t>
        </is>
      </c>
      <c r="B8" s="23" t="n">
        <v>-9.6</v>
      </c>
      <c r="C8" s="23" t="n">
        <v>-10.2</v>
      </c>
      <c r="D8" s="23" t="n">
        <v>-9</v>
      </c>
      <c r="E8" s="23" t="n">
        <v>-9.300000000000001</v>
      </c>
      <c r="F8" s="23" t="n">
        <v>-9.300000000000001</v>
      </c>
      <c r="G8" s="23" t="n">
        <v>-9.6</v>
      </c>
      <c r="H8" s="23" t="n">
        <v>-9.9</v>
      </c>
      <c r="I8" s="23" t="n">
        <v>-9.9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2" t="inlineStr">
        <is>
          <t>Summary financials — every cell links to the statement sheets</t>
        </is>
      </c>
    </row>
    <row r="4">
      <c r="A4" s="13" t="inlineStr">
        <is>
          <t>SAR bn</t>
        </is>
      </c>
      <c r="B4" s="13" t="inlineStr">
        <is>
          <t>2023A</t>
        </is>
      </c>
      <c r="C4" s="13" t="inlineStr">
        <is>
          <t>2024A</t>
        </is>
      </c>
      <c r="D4" s="13" t="inlineStr">
        <is>
          <t>2025A</t>
        </is>
      </c>
      <c r="E4" s="13" t="inlineStr">
        <is>
          <t>2026E</t>
        </is>
      </c>
      <c r="F4" s="13" t="inlineStr">
        <is>
          <t>2027E</t>
        </is>
      </c>
      <c r="G4" s="13" t="inlineStr">
        <is>
          <t>2028E</t>
        </is>
      </c>
      <c r="H4" s="13" t="inlineStr">
        <is>
          <t>2029E</t>
        </is>
      </c>
      <c r="I4" s="13" t="inlineStr">
        <is>
          <t>2030E</t>
        </is>
      </c>
    </row>
    <row r="5">
      <c r="A5" s="3" t="inlineStr">
        <is>
          <t>Revenue</t>
        </is>
      </c>
      <c r="B5" s="18">
        <f>'Income Statement'!B5</f>
        <v/>
      </c>
      <c r="C5" s="18">
        <f>'Income Statement'!C5</f>
        <v/>
      </c>
      <c r="D5" s="18">
        <f>'Income Statement'!D5</f>
        <v/>
      </c>
      <c r="E5" s="18">
        <f>'Income Statement'!E5</f>
        <v/>
      </c>
      <c r="F5" s="18">
        <f>'Income Statement'!F5</f>
        <v/>
      </c>
      <c r="G5" s="18">
        <f>'Income Statement'!G5</f>
        <v/>
      </c>
      <c r="H5" s="18">
        <f>'Income Statement'!H5</f>
        <v/>
      </c>
      <c r="I5" s="18">
        <f>'Income Statement'!I5</f>
        <v/>
      </c>
    </row>
    <row r="6">
      <c r="A6" s="3" t="inlineStr">
        <is>
          <t>EBITDA (adj)</t>
        </is>
      </c>
      <c r="B6" s="18">
        <f>'Income Statement'!B6</f>
        <v/>
      </c>
      <c r="C6" s="18">
        <f>'Income Statement'!C6</f>
        <v/>
      </c>
      <c r="D6" s="18">
        <f>'Income Statement'!D6</f>
        <v/>
      </c>
      <c r="E6" s="18">
        <f>'Income Statement'!E6</f>
        <v/>
      </c>
      <c r="F6" s="18">
        <f>'Income Statement'!F6</f>
        <v/>
      </c>
      <c r="G6" s="18">
        <f>'Income Statement'!G6</f>
        <v/>
      </c>
      <c r="H6" s="18">
        <f>'Income Statement'!H6</f>
        <v/>
      </c>
      <c r="I6" s="18">
        <f>'Income Statement'!I6</f>
        <v/>
      </c>
    </row>
    <row r="7">
      <c r="A7" s="3" t="inlineStr">
        <is>
          <t>EBIT</t>
        </is>
      </c>
      <c r="B7" s="18">
        <f>'Income Statement'!B9</f>
        <v/>
      </c>
      <c r="C7" s="18">
        <f>'Income Statement'!C9</f>
        <v/>
      </c>
      <c r="D7" s="18">
        <f>'Income Statement'!D9</f>
        <v/>
      </c>
      <c r="E7" s="18">
        <f>'Income Statement'!E9</f>
        <v/>
      </c>
      <c r="F7" s="18">
        <f>'Income Statement'!F9</f>
        <v/>
      </c>
      <c r="G7" s="18">
        <f>'Income Statement'!G9</f>
        <v/>
      </c>
      <c r="H7" s="18">
        <f>'Income Statement'!H9</f>
        <v/>
      </c>
      <c r="I7" s="18">
        <f>'Income Statement'!I9</f>
        <v/>
      </c>
    </row>
    <row r="8">
      <c r="A8" s="3" t="inlineStr">
        <is>
          <t>Net income (adj)</t>
        </is>
      </c>
      <c r="B8" s="18">
        <f>'Income Statement'!B11</f>
        <v/>
      </c>
      <c r="C8" s="18">
        <f>'Income Statement'!C11</f>
        <v/>
      </c>
      <c r="D8" s="18">
        <f>'Income Statement'!D11</f>
        <v/>
      </c>
      <c r="E8" s="18">
        <f>'Income Statement'!E11</f>
        <v/>
      </c>
      <c r="F8" s="18">
        <f>'Income Statement'!F11</f>
        <v/>
      </c>
      <c r="G8" s="18">
        <f>'Income Statement'!G11</f>
        <v/>
      </c>
      <c r="H8" s="18">
        <f>'Income Statement'!H11</f>
        <v/>
      </c>
      <c r="I8" s="18">
        <f>'Income Statement'!I11</f>
        <v/>
      </c>
    </row>
    <row r="9">
      <c r="A9" s="3" t="inlineStr">
        <is>
          <t>Free cash flow</t>
        </is>
      </c>
      <c r="B9" s="18">
        <f>'Cash Flow'!B7</f>
        <v/>
      </c>
      <c r="C9" s="18">
        <f>'Cash Flow'!C7</f>
        <v/>
      </c>
      <c r="D9" s="18">
        <f>'Cash Flow'!D7</f>
        <v/>
      </c>
      <c r="E9" s="18">
        <f>'Cash Flow'!E7</f>
        <v/>
      </c>
      <c r="F9" s="18">
        <f>'Cash Flow'!F7</f>
        <v/>
      </c>
      <c r="G9" s="18">
        <f>'Cash Flow'!G7</f>
        <v/>
      </c>
      <c r="H9" s="18">
        <f>'Cash Flow'!H7</f>
        <v/>
      </c>
      <c r="I9" s="18">
        <f>'Cash Flow'!I7</f>
        <v/>
      </c>
    </row>
    <row r="10">
      <c r="A10" s="3" t="inlineStr">
        <is>
          <t>Equity (Parent)</t>
        </is>
      </c>
      <c r="B10" s="18">
        <f>'Balance Sheet'!B11</f>
        <v/>
      </c>
      <c r="C10" s="18">
        <f>'Balance Sheet'!C11</f>
        <v/>
      </c>
      <c r="D10" s="18">
        <f>'Balance Sheet'!D11</f>
        <v/>
      </c>
      <c r="E10" s="18">
        <f>'Balance Sheet'!E11</f>
        <v/>
      </c>
      <c r="F10" s="18">
        <f>'Balance Sheet'!F11</f>
        <v/>
      </c>
      <c r="G10" s="18">
        <f>'Balance Sheet'!G11</f>
        <v/>
      </c>
      <c r="H10" s="18">
        <f>'Balance Sheet'!H11</f>
        <v/>
      </c>
      <c r="I10" s="18">
        <f>'Balance Sheet'!I11</f>
        <v/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2" t="inlineStr">
        <is>
          <t>Monte Carlo — YZ-HAR engine, 50,000 paths, seed 42</t>
        </is>
      </c>
    </row>
    <row r="2">
      <c r="A2" s="2" t="inlineStr">
        <is>
          <t>Zero drift (international); unit-variance t7; 16-factor overlay. Presentation-only prob read.</t>
        </is>
      </c>
    </row>
    <row r="4">
      <c r="A4" s="13" t="inlineStr">
        <is>
          <t>Probability read (T+60)</t>
        </is>
      </c>
      <c r="B4" s="13" t="inlineStr">
        <is>
          <t>Value</t>
        </is>
      </c>
    </row>
    <row r="5">
      <c r="A5" s="3" t="inlineStr">
        <is>
          <t>P(above spot)</t>
        </is>
      </c>
      <c r="B5" s="35" t="inlineStr">
        <is>
          <t>49.6%</t>
        </is>
      </c>
    </row>
    <row r="6">
      <c r="A6" s="3" t="inlineStr">
        <is>
          <t>P(+10%) vs P(−10%)</t>
        </is>
      </c>
      <c r="B6" s="35" t="inlineStr">
        <is>
          <t>22.3% vs 21.2%</t>
        </is>
      </c>
    </row>
    <row r="7">
      <c r="A7" s="3" t="inlineStr">
        <is>
          <t>Odds ratio (up:down 10%)</t>
        </is>
      </c>
      <c r="B7" s="35" t="inlineStr">
        <is>
          <t>1.05 : 1</t>
        </is>
      </c>
    </row>
    <row r="8">
      <c r="A8" s="3" t="inlineStr">
        <is>
          <t>Median level / move</t>
        </is>
      </c>
      <c r="B8" s="35" t="inlineStr">
        <is>
          <t>51.74  (-0.1%)</t>
        </is>
      </c>
    </row>
    <row r="9">
      <c r="A9" s="3" t="inlineStr">
        <is>
          <t>50% band (25–75)</t>
        </is>
      </c>
      <c r="B9" s="35" t="inlineStr">
        <is>
          <t>47.42 – 56.35</t>
        </is>
      </c>
    </row>
    <row r="10">
      <c r="A10" s="3" t="inlineStr">
        <is>
          <t>Touch +10% / −10%</t>
        </is>
      </c>
      <c r="B10" s="35" t="inlineStr">
        <is>
          <t>39% / 36%</t>
        </is>
      </c>
    </row>
    <row r="12">
      <c r="A12" s="31" t="inlineStr">
        <is>
          <t>Percentile map (SAR)</t>
        </is>
      </c>
      <c r="B12" s="31" t="inlineStr">
        <is>
          <t>p5</t>
        </is>
      </c>
      <c r="C12" s="31" t="inlineStr">
        <is>
          <t>p25</t>
        </is>
      </c>
      <c r="D12" s="31" t="inlineStr">
        <is>
          <t>p50</t>
        </is>
      </c>
      <c r="E12" s="31" t="inlineStr">
        <is>
          <t>p75</t>
        </is>
      </c>
      <c r="F12" s="31" t="inlineStr">
        <is>
          <t>p95</t>
        </is>
      </c>
    </row>
    <row r="13">
      <c r="A13" s="3" t="inlineStr">
        <is>
          <t>T+20</t>
        </is>
      </c>
      <c r="B13" s="28" t="n">
        <v>45.16</v>
      </c>
      <c r="C13" s="28" t="n">
        <v>49.46</v>
      </c>
      <c r="D13" s="28" t="n">
        <v>51.85</v>
      </c>
      <c r="E13" s="28" t="n">
        <v>54.26</v>
      </c>
      <c r="F13" s="28" t="n">
        <v>58.79</v>
      </c>
    </row>
    <row r="14">
      <c r="A14" s="3" t="inlineStr">
        <is>
          <t>T+60</t>
        </is>
      </c>
      <c r="B14" s="28" t="n">
        <v>41.26</v>
      </c>
      <c r="C14" s="28" t="n">
        <v>47.42</v>
      </c>
      <c r="D14" s="28" t="n">
        <v>51.74</v>
      </c>
      <c r="E14" s="28" t="n">
        <v>56.35</v>
      </c>
      <c r="F14" s="28" t="n">
        <v>64.22</v>
      </c>
    </row>
    <row r="16">
      <c r="A16" s="22" t="inlineStr">
        <is>
          <t>Diffusion vol (annualized, YZ-HAR): 19.3%. Step 0 CRPS skill +0.28% vs zero-drift RW benchmark (marginal pass); see Peer &amp; Sector / Appendix B.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2" t="inlineStr">
        <is>
          <t>Sensitivity — DCF fair value (SAR/sh)</t>
        </is>
      </c>
    </row>
    <row r="2">
      <c r="A2" s="2" t="inlineStr">
        <is>
          <t>WACC × terminal g, and mid-cycle EBITDA margin × EV/EBITDA (the real-unit swing).</t>
        </is>
      </c>
    </row>
    <row r="4">
      <c r="A4" s="14" t="inlineStr">
        <is>
          <t>WACC (rows) × terminal g (cols)</t>
        </is>
      </c>
    </row>
    <row r="5">
      <c r="A5" s="31" t="inlineStr">
        <is>
          <t>WACC \ g</t>
        </is>
      </c>
      <c r="B5" s="31" t="inlineStr">
        <is>
          <t>1.5%</t>
        </is>
      </c>
      <c r="C5" s="31" t="inlineStr">
        <is>
          <t>2.0%</t>
        </is>
      </c>
      <c r="D5" s="31" t="inlineStr">
        <is>
          <t>2.5%</t>
        </is>
      </c>
      <c r="E5" s="31" t="inlineStr">
        <is>
          <t>3.0%</t>
        </is>
      </c>
      <c r="F5" s="31" t="inlineStr">
        <is>
          <t>3.5%</t>
        </is>
      </c>
    </row>
    <row r="6">
      <c r="A6" s="3" t="inlineStr">
        <is>
          <t>8.75%</t>
        </is>
      </c>
      <c r="B6" s="28" t="n">
        <v>62.4</v>
      </c>
      <c r="C6" s="28" t="n">
        <v>66.09999999999999</v>
      </c>
      <c r="D6" s="28" t="n">
        <v>70.40000000000001</v>
      </c>
      <c r="E6" s="28" t="n">
        <v>75.5</v>
      </c>
      <c r="F6" s="28" t="n">
        <v>81.5</v>
      </c>
    </row>
    <row r="7">
      <c r="A7" s="3" t="inlineStr">
        <is>
          <t>9.25%</t>
        </is>
      </c>
      <c r="B7" s="28" t="n">
        <v>58.1</v>
      </c>
      <c r="C7" s="28" t="n">
        <v>61.3</v>
      </c>
      <c r="D7" s="28" t="n">
        <v>65</v>
      </c>
      <c r="E7" s="28" t="n">
        <v>69.2</v>
      </c>
      <c r="F7" s="28" t="n">
        <v>74.2</v>
      </c>
    </row>
    <row r="8">
      <c r="A8" s="3" t="inlineStr">
        <is>
          <t>9.75%</t>
        </is>
      </c>
      <c r="B8" s="28" t="n">
        <v>54.4</v>
      </c>
      <c r="C8" s="28" t="n">
        <v>57.1</v>
      </c>
      <c r="D8" s="28" t="n">
        <v>60.3</v>
      </c>
      <c r="E8" s="28" t="n">
        <v>63.9</v>
      </c>
      <c r="F8" s="28" t="n">
        <v>68</v>
      </c>
    </row>
    <row r="9">
      <c r="A9" s="3" t="inlineStr">
        <is>
          <t>10.25%</t>
        </is>
      </c>
      <c r="B9" s="28" t="n">
        <v>51.1</v>
      </c>
      <c r="C9" s="28" t="n">
        <v>53.5</v>
      </c>
      <c r="D9" s="28" t="n">
        <v>56.2</v>
      </c>
      <c r="E9" s="28" t="n">
        <v>59.3</v>
      </c>
      <c r="F9" s="28" t="n">
        <v>62.8</v>
      </c>
    </row>
    <row r="10">
      <c r="A10" s="3" t="inlineStr">
        <is>
          <t>10.75%</t>
        </is>
      </c>
      <c r="B10" s="28" t="n">
        <v>48.1</v>
      </c>
      <c r="C10" s="28" t="n">
        <v>50.2</v>
      </c>
      <c r="D10" s="28" t="n">
        <v>52.6</v>
      </c>
      <c r="E10" s="28" t="n">
        <v>55.2</v>
      </c>
      <c r="F10" s="28" t="n">
        <v>58.3</v>
      </c>
    </row>
    <row r="12">
      <c r="A12" s="14" t="inlineStr">
        <is>
          <t>Mid-cycle EBITDA margin (rows) × EV/EBITDA (cols) — device A-1 swing in real units</t>
        </is>
      </c>
    </row>
    <row r="13">
      <c r="A13" s="31" t="inlineStr">
        <is>
          <t>margin \ x</t>
        </is>
      </c>
      <c r="B13" s="31" t="inlineStr">
        <is>
          <t>6.0x</t>
        </is>
      </c>
      <c r="C13" s="31" t="inlineStr">
        <is>
          <t>6.5x</t>
        </is>
      </c>
      <c r="D13" s="31" t="inlineStr">
        <is>
          <t>7.0x</t>
        </is>
      </c>
      <c r="E13" s="31" t="inlineStr">
        <is>
          <t>7.5x</t>
        </is>
      </c>
      <c r="F13" s="31" t="inlineStr">
        <is>
          <t>8.0x</t>
        </is>
      </c>
    </row>
    <row r="14">
      <c r="A14" s="3" t="inlineStr">
        <is>
          <t>16.0%</t>
        </is>
      </c>
      <c r="B14" s="28" t="n">
        <v>42.8</v>
      </c>
      <c r="C14" s="28" t="n">
        <v>46.4</v>
      </c>
      <c r="D14" s="28" t="n">
        <v>50</v>
      </c>
      <c r="E14" s="28" t="n">
        <v>53.5</v>
      </c>
      <c r="F14" s="28" t="n">
        <v>57.1</v>
      </c>
    </row>
    <row r="15">
      <c r="A15" s="3" t="inlineStr">
        <is>
          <t>17.5%</t>
        </is>
      </c>
      <c r="B15" s="28" t="n">
        <v>46.8</v>
      </c>
      <c r="C15" s="28" t="n">
        <v>50.7</v>
      </c>
      <c r="D15" s="28" t="n">
        <v>54.6</v>
      </c>
      <c r="E15" s="28" t="n">
        <v>58.5</v>
      </c>
      <c r="F15" s="28" t="n">
        <v>62.4</v>
      </c>
    </row>
    <row r="16">
      <c r="A16" s="3" t="inlineStr">
        <is>
          <t>19.0%</t>
        </is>
      </c>
      <c r="B16" s="28" t="n">
        <v>50.8</v>
      </c>
      <c r="C16" s="28" t="n">
        <v>55.1</v>
      </c>
      <c r="D16" s="28" t="n">
        <v>59.3</v>
      </c>
      <c r="E16" s="28" t="n">
        <v>63.6</v>
      </c>
      <c r="F16" s="28" t="n">
        <v>67.8</v>
      </c>
    </row>
    <row r="17">
      <c r="A17" s="3" t="inlineStr">
        <is>
          <t>20.5%</t>
        </is>
      </c>
      <c r="B17" s="28" t="n">
        <v>54.9</v>
      </c>
      <c r="C17" s="28" t="n">
        <v>59.4</v>
      </c>
      <c r="D17" s="28" t="n">
        <v>64</v>
      </c>
      <c r="E17" s="28" t="n">
        <v>68.59999999999999</v>
      </c>
      <c r="F17" s="28" t="n">
        <v>73.09999999999999</v>
      </c>
    </row>
    <row r="18">
      <c r="A18" s="3" t="inlineStr">
        <is>
          <t>22.0%</t>
        </is>
      </c>
      <c r="B18" s="28" t="n">
        <v>58.9</v>
      </c>
      <c r="C18" s="28" t="n">
        <v>63.8</v>
      </c>
      <c r="D18" s="28" t="n">
        <v>68.7</v>
      </c>
      <c r="E18" s="28" t="n">
        <v>73.59999999999999</v>
      </c>
      <c r="F18" s="28" t="n">
        <v>78.5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22" customWidth="1" min="5" max="5"/>
  </cols>
  <sheetData>
    <row r="1">
      <c r="A1" s="12" t="inlineStr">
        <is>
          <t>Per-share &amp; ratios dashboard</t>
        </is>
      </c>
    </row>
    <row r="2">
      <c r="A2" s="2" t="inlineStr">
        <is>
          <t>Fixed panel (the 'Data Miner'). Source: SABIC FY23–25 + model.</t>
        </is>
      </c>
    </row>
    <row r="4">
      <c r="A4" s="13" t="inlineStr">
        <is>
          <t>Metric</t>
        </is>
      </c>
      <c r="B4" s="13" t="inlineStr">
        <is>
          <t>2023A</t>
        </is>
      </c>
      <c r="C4" s="13" t="inlineStr">
        <is>
          <t>2024A</t>
        </is>
      </c>
      <c r="D4" s="13" t="inlineStr">
        <is>
          <t>2025A</t>
        </is>
      </c>
      <c r="E4" s="13" t="inlineStr">
        <is>
          <t>At spot / fwd</t>
        </is>
      </c>
    </row>
    <row r="5">
      <c r="A5" s="3" t="inlineStr">
        <is>
          <t>EPS reported (SAR)</t>
        </is>
      </c>
      <c r="B5" s="28" t="n">
        <v>-0.92</v>
      </c>
      <c r="C5" s="28" t="n">
        <v>0.51</v>
      </c>
      <c r="D5" s="28" t="n">
        <v>-8.59</v>
      </c>
    </row>
    <row r="6">
      <c r="A6" s="3" t="inlineStr">
        <is>
          <t>EPS adjusted (SAR)</t>
        </is>
      </c>
      <c r="C6" s="28" t="n">
        <v>1.96</v>
      </c>
      <c r="D6" s="28" t="n">
        <v>0.6899999999999999</v>
      </c>
    </row>
    <row r="7">
      <c r="A7" s="3" t="inlineStr">
        <is>
          <t>DPS (SAR)</t>
        </is>
      </c>
      <c r="B7" s="28" t="n">
        <v>3.2</v>
      </c>
      <c r="C7" s="28" t="n">
        <v>3.4</v>
      </c>
      <c r="D7" s="28" t="n">
        <v>3</v>
      </c>
    </row>
    <row r="8">
      <c r="A8" s="3" t="inlineStr">
        <is>
          <t>BVPS (SAR)</t>
        </is>
      </c>
      <c r="B8" s="28" t="n">
        <v>55.8</v>
      </c>
      <c r="C8" s="28" t="n">
        <v>52.1</v>
      </c>
      <c r="D8" s="28" t="n">
        <v>42.9</v>
      </c>
    </row>
    <row r="9">
      <c r="A9" s="3" t="inlineStr">
        <is>
          <t>Dividend yield @ spot</t>
        </is>
      </c>
      <c r="E9" s="33" t="inlineStr"/>
    </row>
    <row r="10">
      <c r="A10" s="3" t="inlineStr">
        <is>
          <t>P/B @ spot</t>
        </is>
      </c>
      <c r="E10" s="36" t="inlineStr"/>
    </row>
    <row r="11">
      <c r="A11" s="3" t="inlineStr">
        <is>
          <t>EV/EBITDA (2025A adj)</t>
        </is>
      </c>
      <c r="D11" s="35" t="inlineStr"/>
    </row>
    <row r="12">
      <c r="A12" s="3" t="inlineStr">
        <is>
          <t>EBITDA margin (%)</t>
        </is>
      </c>
      <c r="B12" s="33" t="n">
        <v>0.123</v>
      </c>
      <c r="C12" s="33" t="n">
        <v>0.178</v>
      </c>
      <c r="D12" s="33" t="n">
        <v>0.153</v>
      </c>
    </row>
    <row r="13">
      <c r="A13" s="3" t="inlineStr">
        <is>
          <t>FCF (SAR bn)</t>
        </is>
      </c>
      <c r="C13" s="16" t="n">
        <v>6.15</v>
      </c>
      <c r="D13" s="16" t="n">
        <v>7.2</v>
      </c>
    </row>
    <row r="14">
      <c r="A14" s="3" t="inlineStr">
        <is>
          <t>Net debt / EBITDA</t>
        </is>
      </c>
      <c r="D14" s="3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20" customWidth="1" min="3" max="3"/>
    <col width="30" customWidth="1" min="4" max="4"/>
  </cols>
  <sheetData>
    <row r="1">
      <c r="A1" s="12" t="inlineStr">
        <is>
          <t>Peer set, sector structure &amp; Step 0 calibration</t>
        </is>
      </c>
    </row>
    <row r="2">
      <c r="A2" s="2" t="inlineStr">
        <is>
          <t>Global petchem peers + backtest result.</t>
        </is>
      </c>
    </row>
    <row r="4">
      <c r="A4" s="13" t="inlineStr">
        <is>
          <t>Peer</t>
        </is>
      </c>
      <c r="B4" s="13" t="inlineStr">
        <is>
          <t>Market</t>
        </is>
      </c>
      <c r="C4" s="13" t="inlineStr">
        <is>
          <t>EV/EBITDA (indic.)</t>
        </is>
      </c>
      <c r="D4" s="13" t="inlineStr">
        <is>
          <t>Note</t>
        </is>
      </c>
    </row>
    <row r="5">
      <c r="A5" s="14" t="inlineStr">
        <is>
          <t>SABIC</t>
        </is>
      </c>
      <c r="B5" s="38" t="inlineStr">
        <is>
          <t>Tadawul</t>
        </is>
      </c>
      <c r="C5" s="35" t="inlineStr">
        <is>
          <t>~8.4x (2025A adj)</t>
        </is>
      </c>
      <c r="D5" s="27" t="inlineStr">
        <is>
          <t>Aramco-owned 70%; net cash; A+/A1</t>
        </is>
      </c>
    </row>
    <row r="6">
      <c r="A6" s="3" t="inlineStr">
        <is>
          <t>Dow</t>
        </is>
      </c>
      <c r="B6" s="38" t="inlineStr">
        <is>
          <t>NYSE</t>
        </is>
      </c>
      <c r="C6" s="35" t="inlineStr">
        <is>
          <t>~7–8x</t>
        </is>
      </c>
      <c r="D6" s="27" t="inlineStr">
        <is>
          <t>US integrated</t>
        </is>
      </c>
    </row>
    <row r="7">
      <c r="A7" s="3" t="inlineStr">
        <is>
          <t>LyondellBasell</t>
        </is>
      </c>
      <c r="B7" s="38" t="inlineStr">
        <is>
          <t>NYSE</t>
        </is>
      </c>
      <c r="C7" s="35" t="inlineStr">
        <is>
          <t>~6–7x</t>
        </is>
      </c>
      <c r="D7" s="27" t="inlineStr">
        <is>
          <t>PO/PE</t>
        </is>
      </c>
    </row>
    <row r="8">
      <c r="A8" s="3" t="inlineStr">
        <is>
          <t>Westlake</t>
        </is>
      </c>
      <c r="B8" s="38" t="inlineStr">
        <is>
          <t>NYSE</t>
        </is>
      </c>
      <c r="C8" s="35" t="inlineStr">
        <is>
          <t>~6–7x</t>
        </is>
      </c>
      <c r="D8" s="27" t="inlineStr">
        <is>
          <t>PVC/PE</t>
        </is>
      </c>
    </row>
    <row r="9">
      <c r="A9" s="3" t="inlineStr">
        <is>
          <t>Formosa Plastics</t>
        </is>
      </c>
      <c r="B9" s="38" t="inlineStr">
        <is>
          <t>TWSE</t>
        </is>
      </c>
      <c r="C9" s="35" t="inlineStr">
        <is>
          <t>~7–9x</t>
        </is>
      </c>
      <c r="D9" s="27" t="inlineStr">
        <is>
          <t>Asia integrated</t>
        </is>
      </c>
    </row>
    <row r="10">
      <c r="A10" s="3" t="inlineStr">
        <is>
          <t>SABIC Agri-Nutrients</t>
        </is>
      </c>
      <c r="B10" s="38" t="inlineStr">
        <is>
          <t>Tadawul</t>
        </is>
      </c>
      <c r="C10" s="35" t="inlineStr">
        <is>
          <t>listed sub</t>
        </is>
      </c>
      <c r="D10" s="27" t="inlineStr">
        <is>
          <t>urea/ammonia</t>
        </is>
      </c>
    </row>
    <row r="13">
      <c r="A13" s="4" t="inlineStr">
        <is>
          <t>STEP 0 — CALIBRATION BACKTEST (5-yr, h=60, zero-drift international)</t>
        </is>
      </c>
    </row>
    <row r="14">
      <c r="A14" s="3" t="inlineStr">
        <is>
          <t>Origins scored (step 3, block-bootstrap)</t>
        </is>
      </c>
      <c r="B14" s="27" t="inlineStr">
        <is>
          <t>346</t>
        </is>
      </c>
    </row>
    <row r="15">
      <c r="A15" s="3" t="inlineStr">
        <is>
          <t>CRPS skill (1−engine/benchmark)</t>
        </is>
      </c>
      <c r="B15" s="27" t="inlineStr">
        <is>
          <t>+0.28%  (marginal pass; 90% CI straddles 0)</t>
        </is>
      </c>
    </row>
    <row r="16">
      <c r="A16" s="3" t="inlineStr">
        <is>
          <t>Interval coverage 50/80/90</t>
        </is>
      </c>
      <c r="B16" s="27" t="inlineStr">
        <is>
          <t>0.41 / 0.80 / 0.91</t>
        </is>
      </c>
    </row>
    <row r="17">
      <c r="A17" s="3" t="inlineStr">
        <is>
          <t>PIT mean / std</t>
        </is>
      </c>
      <c r="B17" s="27" t="inlineStr">
        <is>
          <t>0.35 / 0.26 (left-tilt = secular decline, shared with benchmark)</t>
        </is>
      </c>
    </row>
    <row r="18">
      <c r="A18" s="3" t="inlineStr">
        <is>
          <t>Recalibration applied</t>
        </is>
      </c>
      <c r="B18" s="27" t="inlineStr">
        <is>
          <t>t5 → t7 (AAPL calibration-panel fix)</t>
        </is>
      </c>
    </row>
    <row r="19">
      <c r="A19" s="3" t="inlineStr">
        <is>
          <t>Verdict</t>
        </is>
      </c>
      <c r="B19" s="27" t="inlineStr">
        <is>
          <t>PASS (marginal) — width &amp; shape beat the RW benchmark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2026-07-07T08:43:21Z</dcterms:created>
  <dcterms:modified xmlns:dcterms="http://purl.org/dc/terms/" xmlns:xsi="http://www.w3.org/2001/XMLSchema-instance" xsi:type="dcterms:W3CDTF">2026-07-07T09:00:36Z</dcterms:modified>
</cp:coreProperties>
</file>