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FIRST" sheetId="1" state="visible" r:id="rId3"/>
    <sheet name="Summary" sheetId="2" state="visible" r:id="rId4"/>
    <sheet name="Fundamental Valuation" sheetId="3" state="visible" r:id="rId5"/>
    <sheet name="Assumptions" sheetId="4" state="visible" r:id="rId6"/>
    <sheet name="Residual Income" sheetId="5" state="visible" r:id="rId7"/>
    <sheet name="Excess Return DCF" sheetId="6" state="visible" r:id="rId8"/>
    <sheet name="Bank Drivers" sheetId="7" state="visible" r:id="rId9"/>
    <sheet name="Relative &amp; Normalized" sheetId="8" state="visible" r:id="rId10"/>
    <sheet name="DDM" sheetId="9" state="visible" r:id="rId11"/>
    <sheet name="Income Statement" sheetId="10" state="visible" r:id="rId12"/>
    <sheet name="Balance Sheet" sheetId="11" state="visible" r:id="rId13"/>
    <sheet name="Cash Flow" sheetId="12" state="visible" r:id="rId14"/>
    <sheet name="Summary Financials" sheetId="13" state="visible" r:id="rId15"/>
    <sheet name="Monte Carlo" sheetId="14" state="visible" r:id="rId16"/>
    <sheet name="Sensitivity" sheetId="15" state="visible" r:id="rId17"/>
    <sheet name="Per-Share &amp; Ratios" sheetId="16" state="visible" r:id="rId18"/>
    <sheet name="Peer &amp; Sector" sheetId="17" state="visible" r:id="rId1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<sst xmlns="http://schemas.openxmlformats.org/spreadsheetml/2006/main" count="437" uniqueCount="362">
  <si>
    <t xml:space="preserve">READ FIRST — DISCLOSURE &amp; DISCLAIMER</t>
  </si>
  <si>
    <t xml:space="preserve">NATURE OF THIS WORKBOOK</t>
  </si>
  <si>
    <t xml:space="preserve">This workbook is an educational valuation exercise and an expression of personal analytical opinion, published free of charge. It shows how one analyst applies fundamental, technical and probabilistic methods to a listed company. It is NOT investment advice.</t>
  </si>
  <si>
    <t xml:space="preserve">NO ADVICE, NO RECOMMENDATION, NO RATING</t>
  </si>
  <si>
    <t xml:space="preserve">Nothing here constitutes investment, financial, legal or tax advice, nor an offer or solicitation to buy, sell or hold any security. There is no price target and no rating — only fair-value ranges and probability distributions.</t>
  </si>
  <si>
    <t xml:space="preserve">NO LICENSED ACTIVITY</t>
  </si>
  <si>
    <t xml:space="preserve">The preparer is not licensed or registered with any securities regulator in any jurisdiction, holds no brokerage or advisory authorisation, manages no money and accepts no clients or fees.</t>
  </si>
  <si>
    <t xml:space="preserve">ESTIMATES AND UNCERTAINTY</t>
  </si>
  <si>
    <t xml:space="preserve">All values are model outputs presented as ranges because no single number should be relied on. Reported financials are CIB's own disclosure; the cost of equity, the sustainable ROE, the terminal growth, the multiples, the DDM and the Monte-Carlo factor probabilities are the preparer's judgments and are flagged throughout.</t>
  </si>
  <si>
    <t xml:space="preserve">NO LIABILITY / READER'S RESPONSIBILITY</t>
  </si>
  <si>
    <t xml:space="preserve">Do your own research and consult a licensed professional before any decision. The preparer accepts no liability for any loss arising from use of this workbook.</t>
  </si>
  <si>
    <t xml:space="preserve">HOLDINGS DISCLOSURE</t>
  </si>
  <si>
    <t xml:space="preserve">The preparer may hold, and may in the future take or dispose of, a position in the security discussed in this report.</t>
  </si>
  <si>
    <t xml:space="preserve">COMMERCIAL INTERNATIONAL BANK (EGX: COMI) — VALUATION SUMMARY</t>
  </si>
  <si>
    <t xml:space="preserve">Bank justified-P/B / residual income (primary); DDM, relative &amp; normalized cross-checks. EGP.</t>
  </si>
  <si>
    <t xml:space="preserve">HEADLINE — VALUE PER SHARE (EGP)</t>
  </si>
  <si>
    <t xml:space="preserve">Weighted central fundamental</t>
  </si>
  <si>
    <t xml:space="preserve">five-lens triangulation</t>
  </si>
  <si>
    <t xml:space="preserve">RI — base (justified P/B)</t>
  </si>
  <si>
    <t xml:space="preserve">RI — bull</t>
  </si>
  <si>
    <t xml:space="preserve">RI — bear</t>
  </si>
  <si>
    <t xml:space="preserve">DDM (2-stage)</t>
  </si>
  <si>
    <t xml:space="preserve">Relative blended</t>
  </si>
  <si>
    <t xml:space="preserve">Normalized earnings power</t>
  </si>
  <si>
    <t xml:space="preserve">Market price (29-Jun-26)</t>
  </si>
  <si>
    <t xml:space="preserve">Spot premium / (discount) to central</t>
  </si>
  <si>
    <t xml:space="preserve">positive = market above our central</t>
  </si>
  <si>
    <t xml:space="preserve">WHAT THE NUMBER RESTS ON</t>
  </si>
  <si>
    <t xml:space="preserve">BVPS Dec-2025e (EGP)</t>
  </si>
  <si>
    <t xml:space="preserve">P/B at spot</t>
  </si>
  <si>
    <t xml:space="preserve">Sustainable ROE (base)</t>
  </si>
  <si>
    <t xml:space="preserve">Cost of equity (base)</t>
  </si>
  <si>
    <t xml:space="preserve">ROE − CoE spread (the swing)</t>
  </si>
  <si>
    <t xml:space="preserve">knife-edge: ±1pp ≈ ±15-25% value</t>
  </si>
  <si>
    <t xml:space="preserve">MC T+60 median (EGP)</t>
  </si>
  <si>
    <t xml:space="preserve">near-term price, not value</t>
  </si>
  <si>
    <t xml:space="preserve">Excess-return DCF (explicit, ROE fade)</t>
  </si>
  <si>
    <t xml:space="preserve">the primary lens if the forecast ROE fade plays out without capital return — brackets RI base below</t>
  </si>
  <si>
    <t xml:space="preserve">FUNDAMENTAL VALUATION — FIVE METHODS</t>
  </si>
  <si>
    <t xml:space="preserve">Bank justified-P/B / residual income is the primary lens; weights below.</t>
  </si>
  <si>
    <t xml:space="preserve">THE METHODS — value per share (EGP)</t>
  </si>
  <si>
    <t xml:space="preserve">Method</t>
  </si>
  <si>
    <t xml:space="preserve">EGP/sh</t>
  </si>
  <si>
    <t xml:space="preserve">vs spot</t>
  </si>
  <si>
    <t xml:space="preserve">Weight</t>
  </si>
  <si>
    <t xml:space="preserve">Note</t>
  </si>
  <si>
    <t xml:space="preserve">primary lens</t>
  </si>
  <si>
    <t xml:space="preserve">RI — bull (ROE↑ / CoE↓)</t>
  </si>
  <si>
    <t xml:space="preserve">ceiling if spread holds/widens</t>
  </si>
  <si>
    <t xml:space="preserve">conservative cash-flow cross-check</t>
  </si>
  <si>
    <t xml:space="preserve">Relative multiples (blended)</t>
  </si>
  <si>
    <t xml:space="preserve">P/B &amp; P/E vs peers</t>
  </si>
  <si>
    <t xml:space="preserve">through-cycle, strip ECL release</t>
  </si>
  <si>
    <t xml:space="preserve">WEIGHTED CENTRAL FUNDAMENTAL VALUE</t>
  </si>
  <si>
    <t xml:space="preserve">Memo: spot price (29-Jun-26)</t>
  </si>
  <si>
    <t xml:space="preserve">Spot premium to central</t>
  </si>
  <si>
    <t xml:space="preserve">market prices CIB a touch above our central</t>
  </si>
  <si>
    <t xml:space="preserve">COMMERCIAL INTERNATIONAL BANK (EGX: COMI) — ASSUMPTIONS</t>
  </si>
  <si>
    <t xml:space="preserve">All blue cells are inputs. EGP bn unless per-share (EGP). Change an input and the whole model reprices.</t>
  </si>
  <si>
    <t xml:space="preserve">GLOBAL &amp; CORPORATE</t>
  </si>
  <si>
    <t xml:space="preserve">Spot price (EGP, 29-Jun-26 close)</t>
  </si>
  <si>
    <t xml:space="preserve">attached OHLC</t>
  </si>
  <si>
    <t xml:space="preserve">Shares outstanding (bn)</t>
  </si>
  <si>
    <t xml:space="preserve">issued cap 30.71bn / par EGP10 (S1)</t>
  </si>
  <si>
    <t xml:space="preserve">Total equity attributable, Dec-2025e (EGP bn)</t>
  </si>
  <si>
    <t xml:space="preserve">Sep-25 207.8 + Q4 (S1)</t>
  </si>
  <si>
    <t xml:space="preserve">Effective tax rate (forecast)</t>
  </si>
  <si>
    <t xml:space="preserve">CIB effective ~22% (S1)</t>
  </si>
  <si>
    <t xml:space="preserve">Staff &amp; board profit share</t>
  </si>
  <si>
    <t xml:space="preserve">deducted in attributable EPS</t>
  </si>
  <si>
    <t xml:space="preserve">JUSTIFIED P/B — RESIDUAL INCOME (swing inputs)</t>
  </si>
  <si>
    <t xml:space="preserve">Base</t>
  </si>
  <si>
    <t xml:space="preserve">Bull</t>
  </si>
  <si>
    <t xml:space="preserve">Bear</t>
  </si>
  <si>
    <t xml:space="preserve">Sustainable ROE</t>
  </si>
  <si>
    <t xml:space="preserve">reported 48.3 / ex-ECL 41.5 / Q1-26 31.9</t>
  </si>
  <si>
    <t xml:space="preserve">Cost of equity (nominal EGP)</t>
  </si>
  <si>
    <t xml:space="preserve">EGP RF ~18-20 + ERP ~5-6</t>
  </si>
  <si>
    <t xml:space="preserve">Terminal growth g (nominal)</t>
  </si>
  <si>
    <t xml:space="preserve">inflation ~11 + real ~5</t>
  </si>
  <si>
    <t xml:space="preserve">Justified P/B = (ROE-g)/(CoE-g)</t>
  </si>
  <si>
    <t xml:space="preserve">RI value / share (EGP)</t>
  </si>
  <si>
    <t xml:space="preserve">RELATIVE &amp; NORMALIZED</t>
  </si>
  <si>
    <t xml:space="preserve">Relative justified P/B blend (x)</t>
  </si>
  <si>
    <t xml:space="preserve">vs EGX + EM bank peers</t>
  </si>
  <si>
    <t xml:space="preserve">Normalized through-cycle ROE</t>
  </si>
  <si>
    <t xml:space="preserve">strip ECL release</t>
  </si>
  <si>
    <t xml:space="preserve">Normalized attributable EPS (EGP)</t>
  </si>
  <si>
    <t xml:space="preserve">Peer P/E — relative (x)</t>
  </si>
  <si>
    <t xml:space="preserve">EM bank median premium</t>
  </si>
  <si>
    <t xml:space="preserve">Through-cycle fair P/E — normalized (x)</t>
  </si>
  <si>
    <t xml:space="preserve">conservative</t>
  </si>
  <si>
    <t xml:space="preserve">Relative P/B value / share</t>
  </si>
  <si>
    <t xml:space="preserve">Relative P/E value / share</t>
  </si>
  <si>
    <t xml:space="preserve">Relative blended value / share</t>
  </si>
  <si>
    <t xml:space="preserve">Normalized earnings-power value / share</t>
  </si>
  <si>
    <t xml:space="preserve">DDM — 2-STAGE (distributable earnings)</t>
  </si>
  <si>
    <t xml:space="preserve">2026e net income (from Income Statement)</t>
  </si>
  <si>
    <t xml:space="preserve">NI growth 2027e (from IS, memo)</t>
  </si>
  <si>
    <t xml:space="preserve">NI growth 2028e (from IS, memo)</t>
  </si>
  <si>
    <t xml:space="preserve">NI growth 2029e (from IS, memo)</t>
  </si>
  <si>
    <t xml:space="preserve">NI growth 2030e (from IS, memo)</t>
  </si>
  <si>
    <t xml:space="preserve">Payout 2026e</t>
  </si>
  <si>
    <t xml:space="preserve">FY25 25% rising as growth slows</t>
  </si>
  <si>
    <t xml:space="preserve">Payout 2027e</t>
  </si>
  <si>
    <t xml:space="preserve">Payout 2028e</t>
  </si>
  <si>
    <t xml:space="preserve">Payout 2029e</t>
  </si>
  <si>
    <t xml:space="preserve">Payout 2030e</t>
  </si>
  <si>
    <t xml:space="preserve">DDM discount rate (= base CoE)</t>
  </si>
  <si>
    <t xml:space="preserve">DDM terminal growth (= base g)</t>
  </si>
  <si>
    <t xml:space="preserve">FIVE-LENS WEIGHTS</t>
  </si>
  <si>
    <t xml:space="preserve">RI base</t>
  </si>
  <si>
    <t xml:space="preserve">RI bull</t>
  </si>
  <si>
    <t xml:space="preserve">DDM</t>
  </si>
  <si>
    <t xml:space="preserve">Normalized</t>
  </si>
  <si>
    <t xml:space="preserve">Sum of weights</t>
  </si>
  <si>
    <t xml:space="preserve">INCOME-STATEMENT FORECAST DRIVERS (EGP bn)</t>
  </si>
  <si>
    <t xml:space="preserve">2026e</t>
  </si>
  <si>
    <t xml:space="preserve">2027e</t>
  </si>
  <si>
    <t xml:space="preserve">2028e</t>
  </si>
  <si>
    <t xml:space="preserve">2029e</t>
  </si>
  <si>
    <t xml:space="preserve">2030e</t>
  </si>
  <si>
    <t xml:space="preserve">Net interest income</t>
  </si>
  <si>
    <t xml:space="preserve">Net fee &amp; commission</t>
  </si>
  <si>
    <t xml:space="preserve">Net trading &amp; other income</t>
  </si>
  <si>
    <t xml:space="preserve">Operating expenses</t>
  </si>
  <si>
    <t xml:space="preserve">C/I ~16-19%</t>
  </si>
  <si>
    <t xml:space="preserve">ECL charge/(release)</t>
  </si>
  <si>
    <t xml:space="preserve">normalize CoR ~70-90bps</t>
  </si>
  <si>
    <t xml:space="preserve">EXCESS-RETURN DCF (explicit residual income)</t>
  </si>
  <si>
    <t xml:space="preserve">Terminal sustainable ROE</t>
  </si>
  <si>
    <t xml:space="preserve">long-run ROE after the explicit fade (a small spread over CoE)</t>
  </si>
  <si>
    <t xml:space="preserve">DCF discount rate (= base CoE)</t>
  </si>
  <si>
    <t xml:space="preserve">DCF terminal growth (= base g)</t>
  </si>
  <si>
    <t xml:space="preserve">RESIDUAL INCOME / JUSTIFIED P/B — primary lens</t>
  </si>
  <si>
    <t xml:space="preserve">A bank is worth book plus the PV of returns earned above its cost of equity. Steady-state: P/B = (ROE−g)/(CoE−g).</t>
  </si>
  <si>
    <t xml:space="preserve">Cost of equity (CoE)</t>
  </si>
  <si>
    <t xml:space="preserve">Terminal growth g</t>
  </si>
  <si>
    <t xml:space="preserve">ROE − CoE spread</t>
  </si>
  <si>
    <t xml:space="preserve">Justified P/B (x)</t>
  </si>
  <si>
    <t xml:space="preserve">FAIR VALUE / SHARE (EGP)</t>
  </si>
  <si>
    <t xml:space="preserve">Reading the spread.</t>
  </si>
  <si>
    <t xml:space="preserve">At base (ROE 29.5%, CoE 24%, g 16%) CIB is worth ~1.69x book ≈ spot. The nominal arithmetic is knife-edge: a 1pp move in either ROE or CoE swings fair value 15-25%. The bear (ROE 24% barely over CoE 27.5%) collapses to &lt;1x book; the bull (ROE 32%, CoE 23%) reaches ~2.3x. That spread, not loan growth, is the whole valuation.</t>
  </si>
  <si>
    <t xml:space="preserve">EXCESS-RETURN (RESIDUAL INCOME) DCF — explicit 5-year</t>
  </si>
  <si>
    <t xml:space="preserve">The bank's discounted-cash-flow valuation: discount the return earned ABOVE the cost of equity on the actual projected book each year, plus a terminal. Distinct from the DDM (which discounts only distributed cash) and from the steady-state justified P/B (which assumes the spread holds from the start).</t>
  </si>
  <si>
    <t xml:space="preserve">Attributable EPS (EGP)</t>
  </si>
  <si>
    <t xml:space="preserve">Beginning BVPS (EGP)</t>
  </si>
  <si>
    <t xml:space="preserve">Equity charge = CoE × begin BVPS</t>
  </si>
  <si>
    <t xml:space="preserve">Residual income / share (EGP)</t>
  </si>
  <si>
    <t xml:space="preserve">Discount factor @ CoE</t>
  </si>
  <si>
    <t xml:space="preserve">PV of residual income (EGP)</t>
  </si>
  <si>
    <t xml:space="preserve">VALUE BRIDGE (EGP / share)</t>
  </si>
  <si>
    <t xml:space="preserve">Book value Dec-2025e</t>
  </si>
  <si>
    <t xml:space="preserve">PV of explicit residual income (2026e-2030e)</t>
  </si>
  <si>
    <t xml:space="preserve">Terminal residual income 2031e</t>
  </si>
  <si>
    <t xml:space="preserve">Terminal value @ 2030 (Gordon)</t>
  </si>
  <si>
    <t xml:space="preserve">PV of terminal value</t>
  </si>
  <si>
    <t xml:space="preserve">EXCESS-RETURN DCF VALUE / SHARE (EGP)</t>
  </si>
  <si>
    <t xml:space="preserve">Memo — justified-P/B steady state (spread holds)</t>
  </si>
  <si>
    <t xml:space="preserve">Gap: steady-state − explicit DCF (the capital-discipline question)</t>
  </si>
  <si>
    <t xml:space="preserve">Reading. The explicit model uses the ACTUAL projected book and EPS, so as retained earnings compound the equity base faster than earnings grow, residual income fades — turning negative by 2029e as the return on beginning equity slips below the cost of equity. That is the over-retention drag made concrete. The steady-state justified P/B (spread holds) and this explicit fade bracket the value: the truth depends on whether CIB returns its excess capital to keep the spread alive. Change the terminal ROE (Assumptions B62) and the payout path (DDM row 6) to test it.</t>
  </si>
  <si>
    <t xml:space="preserve">BANK DRIVERS — where the earnings come from</t>
  </si>
  <si>
    <t xml:space="preserve">CIB is, structurally, a low-cost-deposit / sovereign-carry machine with a high-quality loan book on top.</t>
  </si>
  <si>
    <t xml:space="preserve">Dimension</t>
  </si>
  <si>
    <t xml:space="preserve">Sovereign-carry book</t>
  </si>
  <si>
    <t xml:space="preserve">Customer loan book</t>
  </si>
  <si>
    <t xml:space="preserve">Fee &amp; non-interest</t>
  </si>
  <si>
    <t xml:space="preserve">What it is</t>
  </si>
  <si>
    <t xml:space="preserve">~EGP 700bn T-bills + gov bonds (FVOCI + AC) ≈ 52% of assets</t>
  </si>
  <si>
    <t xml:space="preserve">Net loans ~EGP 490bn; gross +52% YoY; LDR ~53%</t>
  </si>
  <si>
    <t xml:space="preserve">Trade finance, cards, cash mgmt, FX</t>
  </si>
  <si>
    <t xml:space="preserve">Earnings driver</t>
  </si>
  <si>
    <t xml:space="preserve">Spread of CASA cost vs T-bill/bond yield (the carry)</t>
  </si>
  <si>
    <t xml:space="preserve">NIM on loans + fee origination</t>
  </si>
  <si>
    <t xml:space="preserve">Transaction &amp; advisory volume</t>
  </si>
  <si>
    <t xml:space="preserve">Rate sensitivity</t>
  </si>
  <si>
    <t xml:space="preserve">HIGH — repriced lower as CBE cuts (825bps done)</t>
  </si>
  <si>
    <t xml:space="preserve">Moderate — asset yields reset</t>
  </si>
  <si>
    <t xml:space="preserve">Low — volume-linked</t>
  </si>
  <si>
    <t xml:space="preserve">Quality</t>
  </si>
  <si>
    <t xml:space="preserve">Egyptian sovereign (B/stable) concentration</t>
  </si>
  <si>
    <t xml:space="preserve">NPL 1.7%, coverage 337%; Stage-2 ~24% (watch)</t>
  </si>
  <si>
    <t xml:space="preserve">Stable, growing 12%+</t>
  </si>
  <si>
    <t xml:space="preserve">Profitability</t>
  </si>
  <si>
    <t xml:space="preserve">Dominant NII contributor</t>
  </si>
  <si>
    <t xml:space="preserve">Growing share; CAPEX-led demand</t>
  </si>
  <si>
    <t xml:space="preserve">~8% of revenue; diversifier</t>
  </si>
  <si>
    <t xml:space="preserve">Valuation lens</t>
  </si>
  <si>
    <t xml:space="preserve">macro/CoE (Expert 3) — sovereign risk is the tail</t>
  </si>
  <si>
    <t xml:space="preserve">credit cycle (Expert 2) — through-cycle CoR</t>
  </si>
  <si>
    <t xml:space="preserve">capital &amp; returns (Expert 1) — ROE</t>
  </si>
  <si>
    <t xml:space="preserve">The carry is the crux: ~52% of assets sit in Egyptian government securities. As policy rates fall, the spread between low-cost CASA (62% of deposits) and T-bill yields compresses — the central reason the post-devaluation ~30%+ ROE is unlikely to persist at the same level, and why cost of equity (sovereign risk) dominates the valuation.</t>
  </si>
  <si>
    <t xml:space="preserve">RELATIVE MULTIPLES &amp; NORMALIZED EARNINGS</t>
  </si>
  <si>
    <t xml:space="preserve">RELATIVE (EGP)</t>
  </si>
  <si>
    <t xml:space="preserve">BVPS Dec-2025e</t>
  </si>
  <si>
    <t xml:space="preserve">book per share</t>
  </si>
  <si>
    <t xml:space="preserve">Relative justified P/B (x)</t>
  </si>
  <si>
    <t xml:space="preserve">  value/share — P/B</t>
  </si>
  <si>
    <t xml:space="preserve">Normalized attributable EPS</t>
  </si>
  <si>
    <t xml:space="preserve">ROE_norm × BVPS × (1−staff)</t>
  </si>
  <si>
    <t xml:space="preserve">Peer P/E (x)</t>
  </si>
  <si>
    <t xml:space="preserve">EM bank premium</t>
  </si>
  <si>
    <t xml:space="preserve">  value/share — P/E</t>
  </si>
  <si>
    <t xml:space="preserve">RELATIVE BLENDED (EGP)</t>
  </si>
  <si>
    <t xml:space="preserve">avg of P/B and P/E</t>
  </si>
  <si>
    <t xml:space="preserve">NORMALIZED THROUGH-CYCLE (EGP)</t>
  </si>
  <si>
    <t xml:space="preserve">strip the ECL release</t>
  </si>
  <si>
    <t xml:space="preserve">Through-cycle fair P/E (x)</t>
  </si>
  <si>
    <t xml:space="preserve">NORMALIZED EARNINGS POWER (EGP)</t>
  </si>
  <si>
    <t xml:space="preserve">EPS × fair P/E</t>
  </si>
  <si>
    <t xml:space="preserve">DIVIDEND-DISCOUNT MODEL — 2-stage, distributable earnings</t>
  </si>
  <si>
    <t xml:space="preserve">Discount distributable dividends at the cost of equity; terminal Gordon value. Conservative because near-term payout is low.</t>
  </si>
  <si>
    <t xml:space="preserve">Net income (EGP bn)</t>
  </si>
  <si>
    <t xml:space="preserve">Payout ratio</t>
  </si>
  <si>
    <t xml:space="preserve">Dividends (EGP bn)</t>
  </si>
  <si>
    <t xml:space="preserve">DPS (EGP)</t>
  </si>
  <si>
    <t xml:space="preserve">PV of DPS (EGP)</t>
  </si>
  <si>
    <t xml:space="preserve">PV of explicit DPS (2026e-2030e)</t>
  </si>
  <si>
    <t xml:space="preserve">Terminal DPS (2030e × (1+g))</t>
  </si>
  <si>
    <t xml:space="preserve">DDM VALUE / SHARE (EGP)</t>
  </si>
  <si>
    <t xml:space="preserve">CONSOLIDATED INCOME STATEMENT — EGP bn</t>
  </si>
  <si>
    <t xml:space="preserve">Actuals: CIB disclosure (S1-S5). FY2023 sub-lines estimated; NI per reported. Forecasts link to Assumptions.</t>
  </si>
  <si>
    <t xml:space="preserve">2023a</t>
  </si>
  <si>
    <t xml:space="preserve">2024a</t>
  </si>
  <si>
    <t xml:space="preserve">2025a</t>
  </si>
  <si>
    <t xml:space="preserve">Total operating income</t>
  </si>
  <si>
    <t xml:space="preserve">Pre-provision operating profit</t>
  </si>
  <si>
    <t xml:space="preserve">Impairment (ECL) charge/(release)</t>
  </si>
  <si>
    <t xml:space="preserve">Profit before tax</t>
  </si>
  <si>
    <t xml:space="preserve">Income tax, profit share &amp; other</t>
  </si>
  <si>
    <t xml:space="preserve">Net profit (consolidated)</t>
  </si>
  <si>
    <t xml:space="preserve">  reported NI (primary, memo)</t>
  </si>
  <si>
    <t xml:space="preserve">Note. Forecast NI is built PPOP − ECL − tax; FY2023-25 NI ties to CIB's reported consolidated figures (row 15). FY2025 PBT/NI carry the one-off ECL recalibration release (+~EGP 6bn); the forecast normalizes the cost of risk to a charge.</t>
  </si>
  <si>
    <t xml:space="preserve">CONSOLIDATED BALANCE SHEET — EGP bn</t>
  </si>
  <si>
    <t xml:space="preserve">Dec-2024 &amp; Sep-2025 per CIB interim statements (S1). Dec-2023 &amp; forecasts estimated; totals anchored to disclosure.</t>
  </si>
  <si>
    <t xml:space="preserve">Cash &amp; balances at CBE</t>
  </si>
  <si>
    <t xml:space="preserve">Due from banks (net)</t>
  </si>
  <si>
    <t xml:space="preserve">Net loans &amp; advances to customers</t>
  </si>
  <si>
    <t xml:space="preserve">Government securities (T-bills+bonds), plug</t>
  </si>
  <si>
    <t xml:space="preserve">Other assets</t>
  </si>
  <si>
    <t xml:space="preserve">Total assets</t>
  </si>
  <si>
    <t xml:space="preserve">Due to customers (deposits)</t>
  </si>
  <si>
    <t xml:space="preserve">Due to banks &amp; other loans</t>
  </si>
  <si>
    <t xml:space="preserve">Other liabilities &amp; provisions</t>
  </si>
  <si>
    <t xml:space="preserve">Total liabilities</t>
  </si>
  <si>
    <t xml:space="preserve">Total equity (attributable)</t>
  </si>
  <si>
    <t xml:space="preserve">Total liabilities &amp; equity</t>
  </si>
  <si>
    <t xml:space="preserve">Balance check (assets − L&amp;E)</t>
  </si>
  <si>
    <t xml:space="preserve">BVPS — attributable (EGP)</t>
  </si>
  <si>
    <t xml:space="preserve">CAR (reported, memo)</t>
  </si>
  <si>
    <t xml:space="preserve">Note. The balance sheet balances by construction every year: the government-securities line is the residual funding bucket (= total liabilities + equity − the other asset lines), so total assets always equal liabilities plus equity (row 18 = 0). This mirrors how a deposit-funded bank parks surplus funding in sovereign paper. Actual-year totals are anchored to CIB's reported figures (S1) with sub-lines as approximate allocations; forecast equity rolls forward by retained earnings.</t>
  </si>
  <si>
    <t xml:space="preserve">SIMPLIFIED FLOWS — EGP bn (bank)</t>
  </si>
  <si>
    <t xml:space="preserve">For a bank, distributable cash ≈ net income; capital builds via retained earnings. Illustrative.</t>
  </si>
  <si>
    <t xml:space="preserve">Net income (consolidated)</t>
  </si>
  <si>
    <t xml:space="preserve">Dividends paid</t>
  </si>
  <si>
    <t xml:space="preserve">Retained (to capital)</t>
  </si>
  <si>
    <t xml:space="preserve">Note. Dividend payout per the DDM payout path; retained earnings feed the Balance Sheet equity roll. A bank's 'free cash flow' is not the right lens — capital adequacy and distributable earnings are.</t>
  </si>
  <si>
    <t xml:space="preserve">SUMMARY FINANCIALS — EGP bn (every cell links to the statements)</t>
  </si>
  <si>
    <t xml:space="preserve">Pre-provision profit</t>
  </si>
  <si>
    <t xml:space="preserve">Net profit</t>
  </si>
  <si>
    <t xml:space="preserve">Net loans</t>
  </si>
  <si>
    <t xml:space="preserve">Government securities</t>
  </si>
  <si>
    <t xml:space="preserve">Deposits</t>
  </si>
  <si>
    <t xml:space="preserve">Total equity</t>
  </si>
  <si>
    <t xml:space="preserve">BVPS (EGP)</t>
  </si>
  <si>
    <t xml:space="preserve">ROE (NI / avg equity)</t>
  </si>
  <si>
    <t xml:space="preserve">MONTE CARLO — one 16-factor model, 50k paths, seed 42</t>
  </si>
  <si>
    <t xml:space="preserve">7 continuous factors compose a 3M drift; 9 discrete events each fire with probability and impact. Diffusion vol = Step-0 calibrated 41%. Outputs from monte_carlo.py.</t>
  </si>
  <si>
    <t xml:space="preserve">CORE INPUTS</t>
  </si>
  <si>
    <t xml:space="preserve">Anchor price (EGP, 29-Jun-26)</t>
  </si>
  <si>
    <t xml:space="preserve">Diffusion volatility (Step-0 σ)</t>
  </si>
  <si>
    <t xml:space="preserve">Horizon T+20 (sessions)</t>
  </si>
  <si>
    <t xml:space="preserve">Horizon T+60 (sessions)</t>
  </si>
  <si>
    <t xml:space="preserve">Net expected 3M factor drift</t>
  </si>
  <si>
    <t xml:space="preserve">Simulated annualized path vol</t>
  </si>
  <si>
    <t xml:space="preserve">SMA50 / structure (EGP)</t>
  </si>
  <si>
    <t xml:space="preserve">SMA200 (EGP)</t>
  </si>
  <si>
    <t xml:space="preserve">52-wk high (EGP)</t>
  </si>
  <si>
    <t xml:space="preserve">PERCENTILE TABLE (EGP) — from engine</t>
  </si>
  <si>
    <t xml:space="preserve">Horizon</t>
  </si>
  <si>
    <t xml:space="preserve">P5</t>
  </si>
  <si>
    <t xml:space="preserve">P25</t>
  </si>
  <si>
    <t xml:space="preserve">Median</t>
  </si>
  <si>
    <t xml:space="preserve">P75</t>
  </si>
  <si>
    <t xml:space="preserve">P95</t>
  </si>
  <si>
    <t xml:space="preserve">T+20 (~1m)</t>
  </si>
  <si>
    <t xml:space="preserve">T+60 (~3m)</t>
  </si>
  <si>
    <t xml:space="preserve">TOUCH PROBABILITIES (any time in window)</t>
  </si>
  <si>
    <t xml:space="preserve">Level (EGP)</t>
  </si>
  <si>
    <t xml:space="preserve">by T+20</t>
  </si>
  <si>
    <t xml:space="preserve">by T+60</t>
  </si>
  <si>
    <t xml:space="preserve">T+60 median (for Summary link)</t>
  </si>
  <si>
    <t xml:space="preserve">THE 16 FACTORS</t>
  </si>
  <si>
    <t xml:space="preserve">Continuous (7) — drift</t>
  </si>
  <si>
    <t xml:space="preserve">  CBE policy-rate path / NIM (carry)</t>
  </si>
  <si>
    <t xml:space="preserve">  EGP/USD rate</t>
  </si>
  <si>
    <t xml:space="preserve">  Inflation / nominal balance-sheet growth</t>
  </si>
  <si>
    <t xml:space="preserve">  EGX30 &amp; foreign flows</t>
  </si>
  <si>
    <t xml:space="preserve">  Private-sector credit growth</t>
  </si>
  <si>
    <t xml:space="preserve">  Gov-securities yield / sovereign carry</t>
  </si>
  <si>
    <t xml:space="preserve">  Fee &amp; non-interest income / digital</t>
  </si>
  <si>
    <t xml:space="preserve">Discrete events (9) — prob × impact</t>
  </si>
  <si>
    <t xml:space="preserve">  Geopolitical / regional security</t>
  </si>
  <si>
    <t xml:space="preserve">  Asset-quality / NPL-cycle shift</t>
  </si>
  <si>
    <t xml:space="preserve">  Capital return / special dividend</t>
  </si>
  <si>
    <t xml:space="preserve">  Sovereign rating / IMF review / T-bill regime</t>
  </si>
  <si>
    <t xml:space="preserve">  Quarterly earnings surprise (NIM/ECL/fees)</t>
  </si>
  <si>
    <t xml:space="preserve">  M&amp;A / digital-bank licence / capital action</t>
  </si>
  <si>
    <t xml:space="preserve">  ECL recalibration normalization</t>
  </si>
  <si>
    <t xml:space="preserve">  EGP devaluation step / FX shock</t>
  </si>
  <si>
    <t xml:space="preserve">  Foreign-flow surge / reversal (EM re-rating)</t>
  </si>
  <si>
    <t xml:space="preserve">SENSITIVITY — RI fair value/share (EGP)</t>
  </si>
  <si>
    <t xml:space="preserve">Justified P/B value = BVPS × (ROE − g)/(CoE − g). Rows = cost of equity; cols = sustainable ROE. g = base.</t>
  </si>
  <si>
    <t xml:space="preserve">CoE ↓ / ROE →</t>
  </si>
  <si>
    <t xml:space="preserve">Reading: each cell is fair value at that ROE/CoE pair, g held at base. The steep gradient is the point — a 2pp CoE move or a 3pp ROE move re-rates CIB by a third.</t>
  </si>
  <si>
    <t xml:space="preserve">PER-SHARE &amp; RATIOS (at spot)</t>
  </si>
  <si>
    <t xml:space="preserve">reported EPS is net of staff profit share; inflated by ECL release</t>
  </si>
  <si>
    <t xml:space="preserve">Share price (EGP, 29-Jun-26)</t>
  </si>
  <si>
    <t xml:space="preserve">Market cap (EGP bn)</t>
  </si>
  <si>
    <t xml:space="preserve">2025a reported EPS (EGP)</t>
  </si>
  <si>
    <t xml:space="preserve">P/E on 2025a reported (x)</t>
  </si>
  <si>
    <t xml:space="preserve">P/E normalized (x)</t>
  </si>
  <si>
    <t xml:space="preserve">P/B (x)</t>
  </si>
  <si>
    <t xml:space="preserve">Dividend yield (2026e @ 27% payout)</t>
  </si>
  <si>
    <t xml:space="preserve">PEER &amp; SECTOR — Egyptian &amp; EM banks</t>
  </si>
  <si>
    <t xml:space="preserve">External context (not model inputs). Peers approximate.</t>
  </si>
  <si>
    <t xml:space="preserve">Metric</t>
  </si>
  <si>
    <t xml:space="preserve">CIB (COMI)</t>
  </si>
  <si>
    <t xml:space="preserve">EGX bank peers</t>
  </si>
  <si>
    <t xml:space="preserve">EM bank median</t>
  </si>
  <si>
    <t xml:space="preserve">Business</t>
  </si>
  <si>
    <t xml:space="preserve">Largest private bank</t>
  </si>
  <si>
    <t xml:space="preserve">ADIB-Egypt, Faisal, QNBAA</t>
  </si>
  <si>
    <t xml:space="preserve">frontier/EM lenders</t>
  </si>
  <si>
    <t xml:space="preserve">~1.75</t>
  </si>
  <si>
    <t xml:space="preserve">~1.0-1.4</t>
  </si>
  <si>
    <t xml:space="preserve">~1.1-1.5</t>
  </si>
  <si>
    <t xml:space="preserve">P/E (x)</t>
  </si>
  <si>
    <t xml:space="preserve">~7 (rptd, ECL-flattered)</t>
  </si>
  <si>
    <t xml:space="preserve">~4-6</t>
  </si>
  <si>
    <t xml:space="preserve">~6-8</t>
  </si>
  <si>
    <t xml:space="preserve">ROE</t>
  </si>
  <si>
    <t xml:space="preserve">~30%+ (falling)</t>
  </si>
  <si>
    <t xml:space="preserve">~25-35%</t>
  </si>
  <si>
    <t xml:space="preserve">~15-22%</t>
  </si>
  <si>
    <t xml:space="preserve">NPL ratio</t>
  </si>
  <si>
    <t xml:space="preserve">1.7%</t>
  </si>
  <si>
    <t xml:space="preserve">2-5%</t>
  </si>
  <si>
    <t xml:space="preserve">3-6%</t>
  </si>
  <si>
    <t xml:space="preserve">CAR</t>
  </si>
  <si>
    <t xml:space="preserve">27%</t>
  </si>
  <si>
    <t xml:space="preserve">18-22%</t>
  </si>
  <si>
    <t xml:space="preserve">15-18%</t>
  </si>
  <si>
    <t xml:space="preserve">CASA / deposits</t>
  </si>
  <si>
    <t xml:space="preserve">62%</t>
  </si>
  <si>
    <t xml:space="preserve">40-55%</t>
  </si>
  <si>
    <t xml:space="preserve">45-60%</t>
  </si>
  <si>
    <t xml:space="preserve">Gov-securities / assets</t>
  </si>
  <si>
    <t xml:space="preserve">~52%</t>
  </si>
  <si>
    <t xml:space="preserve">high (Egypt banks)</t>
  </si>
  <si>
    <t xml:space="preserve">varies</t>
  </si>
  <si>
    <t xml:space="preserve">CIB screens at a premium to peers on P/B — justified by best-in-class ROE, asset quality and the scarcity/liquidity premium as the foreign-investor proxy for Egypt; the question is the durability of the ROE as rates fall.</t>
  </si>
</sst>
</file>

<file path=xl/styles.xml><?xml version="1.0" encoding="utf-8"?>
<styleSheet xmlns="http://schemas.openxmlformats.org/spreadsheetml/2006/main">
  <numFmts count="8">
    <numFmt numFmtId="164" formatCode="General"/>
    <numFmt numFmtId="165" formatCode="0.00"/>
    <numFmt numFmtId="166" formatCode="0.0%"/>
    <numFmt numFmtId="167" formatCode="0.0\x"/>
    <numFmt numFmtId="168" formatCode="#,##0.0;\(#,##0.0\);\-"/>
    <numFmt numFmtId="169" formatCode="0.000"/>
    <numFmt numFmtId="170" formatCode="#,##0;\(#,##0\);\-"/>
    <numFmt numFmtId="171" formatCode="0"/>
  </numFmts>
  <fonts count="13">
    <font>
      <sz val="11"/>
      <color theme="1"/>
      <name val="Calibri"/>
      <family val="2"/>
      <charset val="1"/>
    </font>
    <font>
      <sz val="10"/>
      <name val="Arial"/>
      <family val="0"/>
    </font>
    <font>
      <sz val="10"/>
      <name val="Arial"/>
      <family val="0"/>
    </font>
    <font>
      <sz val="10"/>
      <name val="Arial"/>
      <family val="0"/>
    </font>
    <font>
      <b val="true"/>
      <sz val="12"/>
      <color rgb="FF1B5E5E"/>
      <name val="Arial"/>
      <family val="0"/>
      <charset val="1"/>
    </font>
    <font>
      <sz val="10"/>
      <name val="Arial"/>
      <family val="0"/>
      <charset val="1"/>
    </font>
    <font>
      <b val="true"/>
      <sz val="10"/>
      <color rgb="FF000000"/>
      <name val="Arial"/>
      <family val="0"/>
      <charset val="1"/>
    </font>
    <font>
      <i val="true"/>
      <sz val="9"/>
      <color rgb="FF555555"/>
      <name val="Arial"/>
      <family val="0"/>
      <charset val="1"/>
    </font>
    <font>
      <b val="true"/>
      <sz val="11"/>
      <color rgb="FFFFFFFF"/>
      <name val="Arial"/>
      <family val="0"/>
      <charset val="1"/>
    </font>
    <font>
      <sz val="10"/>
      <color rgb="FF008000"/>
      <name val="Arial"/>
      <family val="0"/>
      <charset val="1"/>
    </font>
    <font>
      <sz val="10"/>
      <color rgb="FF000000"/>
      <name val="Arial"/>
      <family val="0"/>
      <charset val="1"/>
    </font>
    <font>
      <sz val="9"/>
      <color rgb="FF555555"/>
      <name val="Arial"/>
      <family val="0"/>
      <charset val="1"/>
    </font>
    <font>
      <sz val="10"/>
      <color rgb="FF0000FF"/>
      <name val="Arial"/>
      <family val="0"/>
      <charset val="1"/>
    </font>
  </fonts>
  <fills count="5">
    <fill>
      <patternFill patternType="none"/>
    </fill>
    <fill>
      <patternFill patternType="gray125"/>
    </fill>
    <fill>
      <patternFill patternType="solid">
        <fgColor rgb="FF1B5E5E"/>
        <bgColor rgb="FF008080"/>
      </patternFill>
    </fill>
    <fill>
      <patternFill patternType="solid">
        <fgColor rgb="FFF2ECD9"/>
        <bgColor rgb="FFD6E4E1"/>
      </patternFill>
    </fill>
    <fill>
      <patternFill patternType="solid">
        <fgColor rgb="FFD6E4E1"/>
        <bgColor rgb="FFF2ECD9"/>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general" vertical="bottom" textRotation="0" wrapText="false" indent="0" shrinkToFit="false"/>
      <protection locked="true" hidden="false"/>
    </xf>
    <xf numFmtId="165" fontId="6" fillId="3"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6" fontId="6" fillId="3" borderId="0" xfId="0" applyFont="true" applyBorder="false" applyAlignment="true" applyProtection="false">
      <alignment horizontal="general" vertical="bottom" textRotation="0" wrapText="false" indent="0" shrinkToFit="false"/>
      <protection locked="true" hidden="false"/>
    </xf>
    <xf numFmtId="165" fontId="12" fillId="0" borderId="0" xfId="0" applyFont="true" applyBorder="false" applyAlignment="true" applyProtection="false">
      <alignment horizontal="general" vertical="bottom" textRotation="0" wrapText="false" indent="0" shrinkToFit="false"/>
      <protection locked="true" hidden="false"/>
    </xf>
    <xf numFmtId="168" fontId="12"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6" fontId="12" fillId="0" borderId="0" xfId="0" applyFont="true" applyBorder="false" applyAlignment="true" applyProtection="false">
      <alignment horizontal="general" vertical="bottom" textRotation="0" wrapText="false" indent="0" shrinkToFit="false"/>
      <protection locked="true" hidden="false"/>
    </xf>
    <xf numFmtId="167" fontId="12" fillId="0"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8" fontId="9" fillId="0"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8" fontId="10" fillId="0" borderId="0" xfId="0" applyFont="true" applyBorder="false" applyAlignment="true" applyProtection="false">
      <alignment horizontal="general" vertical="bottom" textRotation="0" wrapText="false" indent="0" shrinkToFit="false"/>
      <protection locked="true" hidden="false"/>
    </xf>
    <xf numFmtId="169" fontId="10" fillId="0" borderId="0" xfId="0" applyFont="true" applyBorder="fals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false" indent="0" shrinkToFit="false"/>
      <protection locked="true" hidden="false"/>
    </xf>
    <xf numFmtId="168" fontId="6" fillId="4"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70" fontId="10" fillId="0" borderId="0" xfId="0" applyFont="true" applyBorder="false" applyAlignment="true" applyProtection="false">
      <alignment horizontal="general" vertical="bottom" textRotation="0" wrapText="false" indent="0" shrinkToFit="false"/>
      <protection locked="true" hidden="false"/>
    </xf>
    <xf numFmtId="170" fontId="6" fillId="4" borderId="0" xfId="0" applyFont="true" applyBorder="false" applyAlignment="true" applyProtection="false">
      <alignment horizontal="general" vertical="bottom" textRotation="0" wrapText="false" indent="0" shrinkToFit="false"/>
      <protection locked="true" hidden="false"/>
    </xf>
    <xf numFmtId="170" fontId="6" fillId="0" borderId="0" xfId="0" applyFont="true" applyBorder="false" applyAlignment="true" applyProtection="false">
      <alignment horizontal="general" vertical="bottom" textRotation="0" wrapText="false" indent="0" shrinkToFit="false"/>
      <protection locked="true" hidden="false"/>
    </xf>
    <xf numFmtId="170" fontId="9" fillId="0" borderId="0" xfId="0" applyFont="true" applyBorder="false" applyAlignment="true" applyProtection="false">
      <alignment horizontal="general" vertical="bottom" textRotation="0" wrapText="false" indent="0" shrinkToFit="false"/>
      <protection locked="true" hidden="false"/>
    </xf>
    <xf numFmtId="171" fontId="12" fillId="0" borderId="0" xfId="0" applyFont="true" applyBorder="false" applyAlignment="tru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B5E5E"/>
      <rgbColor rgb="FFCCCCCC"/>
      <rgbColor rgb="FF808080"/>
      <rgbColor rgb="FF9999FF"/>
      <rgbColor rgb="FF993366"/>
      <rgbColor rgb="FFF2ECD9"/>
      <rgbColor rgb="FFCCFFFF"/>
      <rgbColor rgb="FF660066"/>
      <rgbColor rgb="FFFF8080"/>
      <rgbColor rgb="FF0066CC"/>
      <rgbColor rgb="FFD6E4E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0"/>
  </cols>
  <sheetData>
    <row r="1" customFormat="false" ht="15" hidden="false" customHeight="true" outlineLevel="0" collapsed="false">
      <c r="A1" s="2" t="s">
        <v>0</v>
      </c>
    </row>
    <row r="2" customFormat="false" ht="15" hidden="false" customHeight="true" outlineLevel="0" collapsed="false">
      <c r="A2" s="3"/>
    </row>
    <row r="3" customFormat="false" ht="15" hidden="false" customHeight="true" outlineLevel="0" collapsed="false">
      <c r="A3" s="4" t="s">
        <v>1</v>
      </c>
    </row>
    <row r="4" customFormat="false" ht="23.25" hidden="false" customHeight="true" outlineLevel="0" collapsed="false">
      <c r="A4" s="3" t="s">
        <v>2</v>
      </c>
    </row>
    <row r="5" customFormat="false" ht="15" hidden="false" customHeight="true" outlineLevel="0" collapsed="false">
      <c r="A5" s="3"/>
    </row>
    <row r="6" customFormat="false" ht="15" hidden="false" customHeight="true" outlineLevel="0" collapsed="false">
      <c r="A6" s="4" t="s">
        <v>3</v>
      </c>
    </row>
    <row r="7" customFormat="false" ht="23.25" hidden="false" customHeight="true" outlineLevel="0" collapsed="false">
      <c r="A7" s="3" t="s">
        <v>4</v>
      </c>
    </row>
    <row r="8" customFormat="false" ht="15" hidden="false" customHeight="true" outlineLevel="0" collapsed="false">
      <c r="A8" s="3"/>
    </row>
    <row r="9" customFormat="false" ht="15" hidden="false" customHeight="true" outlineLevel="0" collapsed="false">
      <c r="A9" s="4" t="s">
        <v>5</v>
      </c>
    </row>
    <row r="10" customFormat="false" ht="23.25" hidden="false" customHeight="true" outlineLevel="0" collapsed="false">
      <c r="A10" s="3" t="s">
        <v>6</v>
      </c>
    </row>
    <row r="11" customFormat="false" ht="15" hidden="false" customHeight="true" outlineLevel="0" collapsed="false">
      <c r="A11" s="3"/>
    </row>
    <row r="12" customFormat="false" ht="15" hidden="false" customHeight="true" outlineLevel="0" collapsed="false">
      <c r="A12" s="4" t="s">
        <v>7</v>
      </c>
    </row>
    <row r="13" customFormat="false" ht="34.5" hidden="false" customHeight="true" outlineLevel="0" collapsed="false">
      <c r="A13" s="3" t="s">
        <v>8</v>
      </c>
    </row>
    <row r="14" customFormat="false" ht="15" hidden="false" customHeight="true" outlineLevel="0" collapsed="false">
      <c r="A14" s="3"/>
    </row>
    <row r="15" customFormat="false" ht="15" hidden="false" customHeight="true" outlineLevel="0" collapsed="false">
      <c r="A15" s="4" t="s">
        <v>9</v>
      </c>
    </row>
    <row r="16" customFormat="false" ht="23.25" hidden="false" customHeight="true" outlineLevel="0" collapsed="false">
      <c r="A16" s="3" t="s">
        <v>10</v>
      </c>
    </row>
    <row r="17" customFormat="false" ht="15" hidden="false" customHeight="true" outlineLevel="0" collapsed="false">
      <c r="A17" s="3"/>
    </row>
    <row r="18" customFormat="false" ht="15" hidden="false" customHeight="true" outlineLevel="0" collapsed="false">
      <c r="A18" s="4" t="s">
        <v>11</v>
      </c>
    </row>
    <row r="19" customFormat="false" ht="15" hidden="false" customHeight="true" outlineLevel="0" collapsed="false">
      <c r="A19" s="3" t="s">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4"/>
    <col collapsed="false" customWidth="true" hidden="false" outlineLevel="0" max="3" min="3" style="1" width="40"/>
  </cols>
  <sheetData>
    <row r="1" customFormat="false" ht="15" hidden="false" customHeight="true" outlineLevel="0" collapsed="false">
      <c r="A1" s="2" t="s">
        <v>13</v>
      </c>
    </row>
    <row r="2" customFormat="false" ht="15" hidden="false" customHeight="true" outlineLevel="0" collapsed="false">
      <c r="A2" s="5" t="s">
        <v>14</v>
      </c>
    </row>
    <row r="4" customFormat="false" ht="15" hidden="false" customHeight="true" outlineLevel="0" collapsed="false">
      <c r="A4" s="6" t="s">
        <v>15</v>
      </c>
      <c r="B4" s="7"/>
      <c r="C4" s="7"/>
    </row>
    <row r="5" customFormat="false" ht="15" hidden="false" customHeight="true" outlineLevel="0" collapsed="false">
      <c r="A5" s="4" t="s">
        <v>16</v>
      </c>
      <c r="B5" s="8" t="n">
        <f aca="false">'Fundamental Valuation'!B11</f>
        <v>123.31701626396</v>
      </c>
      <c r="C5" s="5" t="s">
        <v>17</v>
      </c>
    </row>
    <row r="6" customFormat="false" ht="15" hidden="false" customHeight="true" outlineLevel="0" collapsed="false">
      <c r="A6" s="9" t="s">
        <v>18</v>
      </c>
      <c r="B6" s="8" t="n">
        <f aca="false">Assumptions!B18</f>
        <v>125.284923477695</v>
      </c>
    </row>
    <row r="7" customFormat="false" ht="15" hidden="false" customHeight="true" outlineLevel="0" collapsed="false">
      <c r="A7" s="9" t="s">
        <v>19</v>
      </c>
      <c r="B7" s="8" t="n">
        <f aca="false">Assumptions!C18</f>
        <v>169.698097408941</v>
      </c>
    </row>
    <row r="8" customFormat="false" ht="15" hidden="false" customHeight="true" outlineLevel="0" collapsed="false">
      <c r="A8" s="9" t="s">
        <v>20</v>
      </c>
      <c r="B8" s="8" t="n">
        <f aca="false">Assumptions!D18</f>
        <v>53.4549006838163</v>
      </c>
    </row>
    <row r="9" customFormat="false" ht="15" hidden="false" customHeight="true" outlineLevel="0" collapsed="false">
      <c r="A9" s="9" t="s">
        <v>21</v>
      </c>
      <c r="B9" s="8" t="n">
        <f aca="false">DDM!B20</f>
        <v>104.327257641019</v>
      </c>
    </row>
    <row r="10" customFormat="false" ht="15" hidden="false" customHeight="true" outlineLevel="0" collapsed="false">
      <c r="A10" s="9" t="s">
        <v>22</v>
      </c>
      <c r="B10" s="8" t="n">
        <f aca="false">Assumptions!B28</f>
        <v>120.650680560078</v>
      </c>
    </row>
    <row r="11" customFormat="false" ht="15" hidden="false" customHeight="true" outlineLevel="0" collapsed="false">
      <c r="A11" s="9" t="s">
        <v>23</v>
      </c>
      <c r="B11" s="8" t="n">
        <f aca="false">Assumptions!B29</f>
        <v>114.749853467926</v>
      </c>
    </row>
    <row r="12" customFormat="false" ht="15" hidden="false" customHeight="true" outlineLevel="0" collapsed="false">
      <c r="A12" s="4" t="s">
        <v>24</v>
      </c>
      <c r="B12" s="8" t="n">
        <f aca="false">Assumptions!B5</f>
        <v>129.25</v>
      </c>
    </row>
    <row r="13" customFormat="false" ht="15" hidden="false" customHeight="true" outlineLevel="0" collapsed="false">
      <c r="A13" s="9" t="s">
        <v>25</v>
      </c>
      <c r="B13" s="10" t="n">
        <f aca="false">B12/B5-1</f>
        <v>0.0481116387323264</v>
      </c>
      <c r="C13" s="5" t="s">
        <v>26</v>
      </c>
    </row>
    <row r="15" customFormat="false" ht="15" hidden="false" customHeight="true" outlineLevel="0" collapsed="false">
      <c r="A15" s="6" t="s">
        <v>27</v>
      </c>
      <c r="B15" s="7"/>
      <c r="C15" s="7"/>
    </row>
    <row r="16" customFormat="false" ht="15" hidden="false" customHeight="true" outlineLevel="0" collapsed="false">
      <c r="A16" s="9" t="s">
        <v>28</v>
      </c>
      <c r="B16" s="8" t="n">
        <f aca="false">Assumptions!B8</f>
        <v>74.2429176164116</v>
      </c>
    </row>
    <row r="17" customFormat="false" ht="15" hidden="false" customHeight="true" outlineLevel="0" collapsed="false">
      <c r="A17" s="9" t="s">
        <v>29</v>
      </c>
      <c r="B17" s="11" t="n">
        <f aca="false">B12/B16</f>
        <v>1.74090679824561</v>
      </c>
    </row>
    <row r="18" customFormat="false" ht="15" hidden="false" customHeight="true" outlineLevel="0" collapsed="false">
      <c r="A18" s="9" t="s">
        <v>30</v>
      </c>
      <c r="B18" s="12" t="n">
        <f aca="false">Assumptions!B14</f>
        <v>0.295</v>
      </c>
    </row>
    <row r="19" customFormat="false" ht="15" hidden="false" customHeight="true" outlineLevel="0" collapsed="false">
      <c r="A19" s="9" t="s">
        <v>31</v>
      </c>
      <c r="B19" s="12" t="n">
        <f aca="false">Assumptions!B15</f>
        <v>0.24</v>
      </c>
    </row>
    <row r="20" customFormat="false" ht="15" hidden="false" customHeight="true" outlineLevel="0" collapsed="false">
      <c r="A20" s="9" t="s">
        <v>32</v>
      </c>
      <c r="B20" s="12" t="n">
        <f aca="false">Assumptions!B14-Assumptions!B15</f>
        <v>0.055</v>
      </c>
      <c r="C20" s="5" t="s">
        <v>33</v>
      </c>
    </row>
    <row r="21" customFormat="false" ht="15" hidden="false" customHeight="true" outlineLevel="0" collapsed="false">
      <c r="A21" s="9" t="s">
        <v>34</v>
      </c>
      <c r="B21" s="8" t="n">
        <f aca="false">'Monte Carlo'!B30</f>
        <v>109.91</v>
      </c>
      <c r="C21" s="5" t="s">
        <v>35</v>
      </c>
    </row>
    <row r="23" customFormat="false" ht="15" hidden="false" customHeight="true" outlineLevel="0" collapsed="false">
      <c r="A23" s="13" t="s">
        <v>36</v>
      </c>
      <c r="B23" s="14" t="n">
        <f aca="false">'Excess Return DCF'!B20</f>
        <v>90.8635652655689</v>
      </c>
      <c r="C23" s="15" t="s">
        <v>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2"/>
    <col collapsed="false" customWidth="true" hidden="false" outlineLevel="0" max="3" min="3" style="1" width="10"/>
    <col collapsed="false" customWidth="true" hidden="false" outlineLevel="0" max="4" min="4" style="1" width="9"/>
    <col collapsed="false" customWidth="true" hidden="false" outlineLevel="0" max="5" min="5" style="1" width="34"/>
  </cols>
  <sheetData>
    <row r="1" customFormat="false" ht="15" hidden="false" customHeight="true" outlineLevel="0" collapsed="false">
      <c r="A1" s="2" t="s">
        <v>38</v>
      </c>
    </row>
    <row r="2" customFormat="false" ht="15" hidden="false" customHeight="true" outlineLevel="0" collapsed="false">
      <c r="A2" s="5" t="s">
        <v>39</v>
      </c>
    </row>
    <row r="4" customFormat="false" ht="15" hidden="false" customHeight="true" outlineLevel="0" collapsed="false">
      <c r="A4" s="6" t="s">
        <v>40</v>
      </c>
      <c r="B4" s="7"/>
      <c r="C4" s="7"/>
      <c r="D4" s="7"/>
      <c r="E4" s="7"/>
    </row>
    <row r="5" customFormat="false" ht="15" hidden="false" customHeight="true" outlineLevel="0" collapsed="false">
      <c r="A5" s="4" t="s">
        <v>41</v>
      </c>
      <c r="B5" s="4" t="s">
        <v>42</v>
      </c>
      <c r="C5" s="4" t="s">
        <v>43</v>
      </c>
      <c r="D5" s="4" t="s">
        <v>44</v>
      </c>
      <c r="E5" s="4" t="s">
        <v>45</v>
      </c>
    </row>
    <row r="6" customFormat="false" ht="15" hidden="false" customHeight="true" outlineLevel="0" collapsed="false">
      <c r="A6" s="9" t="s">
        <v>18</v>
      </c>
      <c r="B6" s="8" t="n">
        <f aca="false">Assumptions!B18</f>
        <v>125.284923477695</v>
      </c>
      <c r="C6" s="10" t="n">
        <f aca="false">B6/Assumptions!$B$5-1</f>
        <v>-0.030677574640661</v>
      </c>
      <c r="D6" s="12" t="n">
        <f aca="false">Assumptions!B46</f>
        <v>0.3</v>
      </c>
      <c r="E6" s="5" t="s">
        <v>46</v>
      </c>
    </row>
    <row r="7" customFormat="false" ht="15" hidden="false" customHeight="true" outlineLevel="0" collapsed="false">
      <c r="A7" s="9" t="s">
        <v>47</v>
      </c>
      <c r="B7" s="8" t="n">
        <f aca="false">Assumptions!C18</f>
        <v>169.698097408941</v>
      </c>
      <c r="C7" s="10" t="n">
        <f aca="false">B7/Assumptions!$B$5-1</f>
        <v>0.312944660804184</v>
      </c>
      <c r="D7" s="12" t="n">
        <f aca="false">Assumptions!B47</f>
        <v>0.1</v>
      </c>
      <c r="E7" s="5" t="s">
        <v>48</v>
      </c>
    </row>
    <row r="8" customFormat="false" ht="15" hidden="false" customHeight="true" outlineLevel="0" collapsed="false">
      <c r="A8" s="9" t="s">
        <v>21</v>
      </c>
      <c r="B8" s="8" t="n">
        <f aca="false">DDM!B20</f>
        <v>104.327257641019</v>
      </c>
      <c r="C8" s="10" t="n">
        <f aca="false">B8/Assumptions!$B$5-1</f>
        <v>-0.192825859643956</v>
      </c>
      <c r="D8" s="12" t="n">
        <f aca="false">Assumptions!B48</f>
        <v>0.15</v>
      </c>
      <c r="E8" s="5" t="s">
        <v>49</v>
      </c>
    </row>
    <row r="9" customFormat="false" ht="15" hidden="false" customHeight="true" outlineLevel="0" collapsed="false">
      <c r="A9" s="9" t="s">
        <v>50</v>
      </c>
      <c r="B9" s="8" t="n">
        <f aca="false">Assumptions!B28</f>
        <v>120.650680560078</v>
      </c>
      <c r="C9" s="10" t="n">
        <f aca="false">B9/Assumptions!$B$5-1</f>
        <v>-0.0665324521463973</v>
      </c>
      <c r="D9" s="12" t="n">
        <f aca="false">Assumptions!B49</f>
        <v>0.25</v>
      </c>
      <c r="E9" s="5" t="s">
        <v>51</v>
      </c>
    </row>
    <row r="10" customFormat="false" ht="15" hidden="false" customHeight="true" outlineLevel="0" collapsed="false">
      <c r="A10" s="9" t="s">
        <v>23</v>
      </c>
      <c r="B10" s="8" t="n">
        <f aca="false">Assumptions!B29</f>
        <v>114.749853467926</v>
      </c>
      <c r="C10" s="10" t="n">
        <f aca="false">B10/Assumptions!$B$5-1</f>
        <v>-0.112186820364211</v>
      </c>
      <c r="D10" s="12" t="n">
        <f aca="false">Assumptions!B50</f>
        <v>0.2</v>
      </c>
      <c r="E10" s="5" t="s">
        <v>52</v>
      </c>
    </row>
    <row r="11" customFormat="false" ht="15" hidden="false" customHeight="true" outlineLevel="0" collapsed="false">
      <c r="A11" s="16" t="s">
        <v>53</v>
      </c>
      <c r="B11" s="14" t="n">
        <f aca="false">SUMPRODUCT(B6:B10,D6:D10)</f>
        <v>123.31701626396</v>
      </c>
      <c r="C11" s="17" t="n">
        <f aca="false">B11/Assumptions!$B$5-1</f>
        <v>-0.0459031623678148</v>
      </c>
      <c r="D11" s="17" t="n">
        <f aca="false">SUM(D6:D10)</f>
        <v>1</v>
      </c>
    </row>
    <row r="12" customFormat="false" ht="15" hidden="false" customHeight="true" outlineLevel="0" collapsed="false">
      <c r="A12" s="9" t="s">
        <v>54</v>
      </c>
      <c r="B12" s="8" t="n">
        <f aca="false">Assumptions!B5</f>
        <v>129.25</v>
      </c>
    </row>
    <row r="13" customFormat="false" ht="15" hidden="false" customHeight="true" outlineLevel="0" collapsed="false">
      <c r="A13" s="9" t="s">
        <v>55</v>
      </c>
      <c r="B13" s="10" t="n">
        <f aca="false">B12/B11-1</f>
        <v>0.0481116387323264</v>
      </c>
      <c r="E13" s="5" t="s">
        <v>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4" min="2" style="1" width="13"/>
    <col collapsed="false" customWidth="true" hidden="false" outlineLevel="0" max="5" min="5" style="1" width="40"/>
  </cols>
  <sheetData>
    <row r="1" customFormat="false" ht="15" hidden="false" customHeight="true" outlineLevel="0" collapsed="false">
      <c r="A1" s="2" t="s">
        <v>57</v>
      </c>
    </row>
    <row r="2" customFormat="false" ht="15" hidden="false" customHeight="true" outlineLevel="0" collapsed="false">
      <c r="A2" s="5" t="s">
        <v>58</v>
      </c>
    </row>
    <row r="4" customFormat="false" ht="15" hidden="false" customHeight="true" outlineLevel="0" collapsed="false">
      <c r="A4" s="6" t="s">
        <v>59</v>
      </c>
      <c r="B4" s="7"/>
      <c r="C4" s="7"/>
      <c r="D4" s="7"/>
      <c r="E4" s="7"/>
    </row>
    <row r="5" customFormat="false" ht="15" hidden="false" customHeight="true" outlineLevel="0" collapsed="false">
      <c r="A5" s="9" t="s">
        <v>60</v>
      </c>
      <c r="B5" s="18" t="n">
        <v>129.25</v>
      </c>
      <c r="E5" s="5" t="s">
        <v>61</v>
      </c>
    </row>
    <row r="6" customFormat="false" ht="15" hidden="false" customHeight="true" outlineLevel="0" collapsed="false">
      <c r="A6" s="9" t="s">
        <v>62</v>
      </c>
      <c r="B6" s="18" t="n">
        <v>3.071</v>
      </c>
      <c r="E6" s="5" t="s">
        <v>63</v>
      </c>
    </row>
    <row r="7" customFormat="false" ht="15" hidden="false" customHeight="true" outlineLevel="0" collapsed="false">
      <c r="A7" s="9" t="s">
        <v>64</v>
      </c>
      <c r="B7" s="19" t="n">
        <v>228</v>
      </c>
      <c r="E7" s="5" t="s">
        <v>65</v>
      </c>
    </row>
    <row r="8" customFormat="false" ht="15" hidden="false" customHeight="true" outlineLevel="0" collapsed="false">
      <c r="A8" s="9" t="s">
        <v>28</v>
      </c>
      <c r="B8" s="20" t="n">
        <f aca="false">B7/B6</f>
        <v>74.2429176164116</v>
      </c>
    </row>
    <row r="9" customFormat="false" ht="15" hidden="false" customHeight="true" outlineLevel="0" collapsed="false">
      <c r="A9" s="9" t="s">
        <v>66</v>
      </c>
      <c r="B9" s="21" t="n">
        <v>0.225</v>
      </c>
      <c r="E9" s="5" t="s">
        <v>67</v>
      </c>
    </row>
    <row r="10" customFormat="false" ht="15" hidden="false" customHeight="true" outlineLevel="0" collapsed="false">
      <c r="A10" s="9" t="s">
        <v>68</v>
      </c>
      <c r="B10" s="21" t="n">
        <v>0.08</v>
      </c>
      <c r="E10" s="5" t="s">
        <v>69</v>
      </c>
    </row>
    <row r="12" customFormat="false" ht="15" hidden="false" customHeight="true" outlineLevel="0" collapsed="false">
      <c r="A12" s="6" t="s">
        <v>70</v>
      </c>
      <c r="B12" s="7"/>
      <c r="C12" s="7"/>
      <c r="D12" s="7"/>
      <c r="E12" s="7"/>
    </row>
    <row r="13" customFormat="false" ht="15" hidden="false" customHeight="true" outlineLevel="0" collapsed="false">
      <c r="B13" s="4" t="s">
        <v>71</v>
      </c>
      <c r="C13" s="4" t="s">
        <v>72</v>
      </c>
      <c r="D13" s="4" t="s">
        <v>73</v>
      </c>
    </row>
    <row r="14" customFormat="false" ht="15" hidden="false" customHeight="true" outlineLevel="0" collapsed="false">
      <c r="A14" s="9" t="s">
        <v>74</v>
      </c>
      <c r="B14" s="21" t="n">
        <v>0.295</v>
      </c>
      <c r="C14" s="21" t="n">
        <v>0.32</v>
      </c>
      <c r="D14" s="21" t="n">
        <v>0.24</v>
      </c>
      <c r="E14" s="5" t="s">
        <v>75</v>
      </c>
    </row>
    <row r="15" customFormat="false" ht="15" hidden="false" customHeight="true" outlineLevel="0" collapsed="false">
      <c r="A15" s="9" t="s">
        <v>76</v>
      </c>
      <c r="B15" s="21" t="n">
        <v>0.24</v>
      </c>
      <c r="C15" s="21" t="n">
        <v>0.23</v>
      </c>
      <c r="D15" s="21" t="n">
        <v>0.275</v>
      </c>
      <c r="E15" s="5" t="s">
        <v>77</v>
      </c>
    </row>
    <row r="16" customFormat="false" ht="15" hidden="false" customHeight="true" outlineLevel="0" collapsed="false">
      <c r="A16" s="9" t="s">
        <v>78</v>
      </c>
      <c r="B16" s="21" t="n">
        <v>0.16</v>
      </c>
      <c r="C16" s="21" t="n">
        <v>0.16</v>
      </c>
      <c r="D16" s="21" t="n">
        <v>0.15</v>
      </c>
      <c r="E16" s="5" t="s">
        <v>79</v>
      </c>
    </row>
    <row r="17" customFormat="false" ht="15" hidden="false" customHeight="true" outlineLevel="0" collapsed="false">
      <c r="A17" s="9" t="s">
        <v>80</v>
      </c>
      <c r="B17" s="11" t="n">
        <f aca="false">(B14-B16)/(B15-B16)</f>
        <v>1.6875</v>
      </c>
      <c r="C17" s="11" t="n">
        <f aca="false">(C14-C16)/(C15-C16)</f>
        <v>2.28571428571429</v>
      </c>
      <c r="D17" s="11" t="n">
        <f aca="false">(D14-D16)/(D15-D16)</f>
        <v>0.72</v>
      </c>
    </row>
    <row r="18" customFormat="false" ht="15" hidden="false" customHeight="true" outlineLevel="0" collapsed="false">
      <c r="A18" s="4" t="s">
        <v>81</v>
      </c>
      <c r="B18" s="20" t="n">
        <f aca="false">B17*$B$8</f>
        <v>125.284923477695</v>
      </c>
      <c r="C18" s="20" t="n">
        <f aca="false">C17*$B$8</f>
        <v>169.698097408941</v>
      </c>
      <c r="D18" s="20" t="n">
        <f aca="false">D17*$B$8</f>
        <v>53.4549006838163</v>
      </c>
    </row>
    <row r="20" customFormat="false" ht="15" hidden="false" customHeight="true" outlineLevel="0" collapsed="false">
      <c r="A20" s="6" t="s">
        <v>82</v>
      </c>
      <c r="B20" s="7"/>
      <c r="C20" s="7"/>
      <c r="D20" s="7"/>
      <c r="E20" s="7"/>
    </row>
    <row r="21" customFormat="false" ht="15" hidden="false" customHeight="true" outlineLevel="0" collapsed="false">
      <c r="A21" s="9" t="s">
        <v>83</v>
      </c>
      <c r="B21" s="22" t="n">
        <v>1.55</v>
      </c>
      <c r="E21" s="5" t="s">
        <v>84</v>
      </c>
    </row>
    <row r="22" customFormat="false" ht="15" hidden="false" customHeight="true" outlineLevel="0" collapsed="false">
      <c r="A22" s="9" t="s">
        <v>85</v>
      </c>
      <c r="B22" s="21" t="n">
        <v>0.28</v>
      </c>
      <c r="E22" s="5" t="s">
        <v>86</v>
      </c>
    </row>
    <row r="23" customFormat="false" ht="15" hidden="false" customHeight="true" outlineLevel="0" collapsed="false">
      <c r="A23" s="9" t="s">
        <v>87</v>
      </c>
      <c r="B23" s="20" t="n">
        <f aca="false">B22*B8*(1-B10)</f>
        <v>19.1249755779876</v>
      </c>
    </row>
    <row r="24" customFormat="false" ht="15" hidden="false" customHeight="true" outlineLevel="0" collapsed="false">
      <c r="A24" s="9" t="s">
        <v>88</v>
      </c>
      <c r="B24" s="22" t="n">
        <v>6.6</v>
      </c>
      <c r="E24" s="5" t="s">
        <v>89</v>
      </c>
    </row>
    <row r="25" customFormat="false" ht="15" hidden="false" customHeight="true" outlineLevel="0" collapsed="false">
      <c r="A25" s="9" t="s">
        <v>90</v>
      </c>
      <c r="B25" s="22" t="n">
        <v>6</v>
      </c>
      <c r="E25" s="5" t="s">
        <v>91</v>
      </c>
    </row>
    <row r="26" customFormat="false" ht="15" hidden="false" customHeight="true" outlineLevel="0" collapsed="false">
      <c r="A26" s="9" t="s">
        <v>92</v>
      </c>
      <c r="B26" s="20" t="n">
        <f aca="false">B21*B8</f>
        <v>115.076522305438</v>
      </c>
    </row>
    <row r="27" customFormat="false" ht="15" hidden="false" customHeight="true" outlineLevel="0" collapsed="false">
      <c r="A27" s="9" t="s">
        <v>93</v>
      </c>
      <c r="B27" s="20" t="n">
        <f aca="false">B23*B24</f>
        <v>126.224838814718</v>
      </c>
    </row>
    <row r="28" customFormat="false" ht="15" hidden="false" customHeight="true" outlineLevel="0" collapsed="false">
      <c r="A28" s="4" t="s">
        <v>94</v>
      </c>
      <c r="B28" s="23" t="n">
        <f aca="false">AVERAGE(B26,B27)</f>
        <v>120.650680560078</v>
      </c>
    </row>
    <row r="29" customFormat="false" ht="15" hidden="false" customHeight="true" outlineLevel="0" collapsed="false">
      <c r="A29" s="4" t="s">
        <v>95</v>
      </c>
      <c r="B29" s="23" t="n">
        <f aca="false">B23*B25</f>
        <v>114.749853467926</v>
      </c>
    </row>
    <row r="31" customFormat="false" ht="15" hidden="false" customHeight="true" outlineLevel="0" collapsed="false">
      <c r="A31" s="6" t="s">
        <v>96</v>
      </c>
      <c r="B31" s="7"/>
      <c r="C31" s="7"/>
      <c r="D31" s="7"/>
      <c r="E31" s="7"/>
    </row>
    <row r="32" customFormat="false" ht="15" hidden="false" customHeight="true" outlineLevel="0" collapsed="false">
      <c r="A32" s="9" t="s">
        <v>97</v>
      </c>
      <c r="B32" s="24" t="n">
        <f aca="false">'Income Statement'!E14</f>
        <v>83.7</v>
      </c>
    </row>
    <row r="33" customFormat="false" ht="15" hidden="false" customHeight="true" outlineLevel="0" collapsed="false">
      <c r="A33" s="9" t="s">
        <v>98</v>
      </c>
      <c r="B33" s="12" t="n">
        <f aca="false">'Income Statement'!F14/'Income Statement'!E14-1</f>
        <v>0.0787037037037035</v>
      </c>
    </row>
    <row r="34" customFormat="false" ht="15" hidden="false" customHeight="true" outlineLevel="0" collapsed="false">
      <c r="A34" s="9" t="s">
        <v>99</v>
      </c>
      <c r="B34" s="12" t="n">
        <f aca="false">'Income Statement'!G14/'Income Statement'!F14-1</f>
        <v>0.0952789699570815</v>
      </c>
    </row>
    <row r="35" customFormat="false" ht="15" hidden="false" customHeight="true" outlineLevel="0" collapsed="false">
      <c r="A35" s="9" t="s">
        <v>100</v>
      </c>
      <c r="B35" s="12" t="n">
        <f aca="false">'Income Statement'!H14/'Income Statement'!G14-1</f>
        <v>0.0956112852664579</v>
      </c>
    </row>
    <row r="36" customFormat="false" ht="15" hidden="false" customHeight="true" outlineLevel="0" collapsed="false">
      <c r="A36" s="9" t="s">
        <v>101</v>
      </c>
      <c r="B36" s="12" t="n">
        <f aca="false">'Income Statement'!I14/'Income Statement'!H14-1</f>
        <v>0.0951359084406294</v>
      </c>
    </row>
    <row r="37" customFormat="false" ht="15" hidden="false" customHeight="true" outlineLevel="0" collapsed="false">
      <c r="A37" s="9" t="s">
        <v>102</v>
      </c>
      <c r="B37" s="21" t="n">
        <v>0.27</v>
      </c>
      <c r="E37" s="5" t="s">
        <v>103</v>
      </c>
    </row>
    <row r="38" customFormat="false" ht="15" hidden="false" customHeight="true" outlineLevel="0" collapsed="false">
      <c r="A38" s="9" t="s">
        <v>104</v>
      </c>
      <c r="B38" s="21" t="n">
        <v>0.3</v>
      </c>
    </row>
    <row r="39" customFormat="false" ht="15" hidden="false" customHeight="true" outlineLevel="0" collapsed="false">
      <c r="A39" s="9" t="s">
        <v>105</v>
      </c>
      <c r="B39" s="21" t="n">
        <v>0.33</v>
      </c>
    </row>
    <row r="40" customFormat="false" ht="15" hidden="false" customHeight="true" outlineLevel="0" collapsed="false">
      <c r="A40" s="9" t="s">
        <v>106</v>
      </c>
      <c r="B40" s="21" t="n">
        <v>0.36</v>
      </c>
    </row>
    <row r="41" customFormat="false" ht="15" hidden="false" customHeight="true" outlineLevel="0" collapsed="false">
      <c r="A41" s="9" t="s">
        <v>107</v>
      </c>
      <c r="B41" s="21" t="n">
        <v>0.4</v>
      </c>
    </row>
    <row r="42" customFormat="false" ht="15" hidden="false" customHeight="true" outlineLevel="0" collapsed="false">
      <c r="A42" s="9" t="s">
        <v>108</v>
      </c>
      <c r="B42" s="10" t="n">
        <f aca="false">B15</f>
        <v>0.24</v>
      </c>
    </row>
    <row r="43" customFormat="false" ht="15" hidden="false" customHeight="true" outlineLevel="0" collapsed="false">
      <c r="A43" s="9" t="s">
        <v>109</v>
      </c>
      <c r="B43" s="10" t="n">
        <f aca="false">B16</f>
        <v>0.16</v>
      </c>
    </row>
    <row r="45" customFormat="false" ht="15" hidden="false" customHeight="true" outlineLevel="0" collapsed="false">
      <c r="A45" s="6" t="s">
        <v>110</v>
      </c>
      <c r="B45" s="7"/>
      <c r="C45" s="7"/>
      <c r="D45" s="7"/>
      <c r="E45" s="7"/>
    </row>
    <row r="46" customFormat="false" ht="15" hidden="false" customHeight="true" outlineLevel="0" collapsed="false">
      <c r="A46" s="9" t="s">
        <v>111</v>
      </c>
      <c r="B46" s="21" t="n">
        <v>0.3</v>
      </c>
    </row>
    <row r="47" customFormat="false" ht="15" hidden="false" customHeight="true" outlineLevel="0" collapsed="false">
      <c r="A47" s="9" t="s">
        <v>112</v>
      </c>
      <c r="B47" s="21" t="n">
        <v>0.1</v>
      </c>
    </row>
    <row r="48" customFormat="false" ht="15" hidden="false" customHeight="true" outlineLevel="0" collapsed="false">
      <c r="A48" s="9" t="s">
        <v>113</v>
      </c>
      <c r="B48" s="21" t="n">
        <v>0.15</v>
      </c>
    </row>
    <row r="49" customFormat="false" ht="15" hidden="false" customHeight="true" outlineLevel="0" collapsed="false">
      <c r="A49" s="9" t="s">
        <v>22</v>
      </c>
      <c r="B49" s="21" t="n">
        <v>0.25</v>
      </c>
    </row>
    <row r="50" customFormat="false" ht="15" hidden="false" customHeight="true" outlineLevel="0" collapsed="false">
      <c r="A50" s="9" t="s">
        <v>114</v>
      </c>
      <c r="B50" s="21" t="n">
        <v>0.2</v>
      </c>
    </row>
    <row r="51" customFormat="false" ht="15" hidden="false" customHeight="true" outlineLevel="0" collapsed="false">
      <c r="A51" s="9" t="s">
        <v>115</v>
      </c>
      <c r="B51" s="10" t="n">
        <f aca="false">SUM(B46:B50)</f>
        <v>1</v>
      </c>
    </row>
    <row r="53" customFormat="false" ht="15" hidden="false" customHeight="true" outlineLevel="0" collapsed="false">
      <c r="A53" s="6" t="s">
        <v>116</v>
      </c>
      <c r="B53" s="7"/>
      <c r="C53" s="7"/>
      <c r="D53" s="7"/>
      <c r="E53" s="7"/>
    </row>
    <row r="54" customFormat="false" ht="15" hidden="false" customHeight="true" outlineLevel="0" collapsed="false">
      <c r="A54" s="9"/>
      <c r="B54" s="4" t="s">
        <v>117</v>
      </c>
      <c r="C54" s="4" t="s">
        <v>118</v>
      </c>
      <c r="D54" s="4" t="s">
        <v>119</v>
      </c>
      <c r="E54" s="4" t="s">
        <v>120</v>
      </c>
      <c r="F54" s="4" t="s">
        <v>121</v>
      </c>
    </row>
    <row r="55" customFormat="false" ht="15" hidden="false" customHeight="true" outlineLevel="0" collapsed="false">
      <c r="A55" s="9" t="s">
        <v>122</v>
      </c>
      <c r="B55" s="19" t="n">
        <v>120</v>
      </c>
      <c r="C55" s="19" t="n">
        <v>132</v>
      </c>
      <c r="D55" s="19" t="n">
        <v>146</v>
      </c>
      <c r="E55" s="19" t="n">
        <v>161</v>
      </c>
      <c r="F55" s="19" t="n">
        <v>177</v>
      </c>
    </row>
    <row r="56" customFormat="false" ht="15" hidden="false" customHeight="true" outlineLevel="0" collapsed="false">
      <c r="A56" s="9" t="s">
        <v>123</v>
      </c>
      <c r="B56" s="19" t="n">
        <v>9.5</v>
      </c>
      <c r="C56" s="19" t="n">
        <v>10.7</v>
      </c>
      <c r="D56" s="19" t="n">
        <v>12</v>
      </c>
      <c r="E56" s="19" t="n">
        <v>13.4</v>
      </c>
      <c r="F56" s="19" t="n">
        <v>14.9</v>
      </c>
    </row>
    <row r="57" customFormat="false" ht="15" hidden="false" customHeight="true" outlineLevel="0" collapsed="false">
      <c r="A57" s="9" t="s">
        <v>124</v>
      </c>
      <c r="B57" s="19" t="n">
        <v>4</v>
      </c>
      <c r="C57" s="19" t="n">
        <v>4.3</v>
      </c>
      <c r="D57" s="19" t="n">
        <v>4.6</v>
      </c>
      <c r="E57" s="19" t="n">
        <v>4.9</v>
      </c>
      <c r="F57" s="19" t="n">
        <v>5.2</v>
      </c>
    </row>
    <row r="58" customFormat="false" ht="15" hidden="false" customHeight="true" outlineLevel="0" collapsed="false">
      <c r="A58" s="9" t="s">
        <v>125</v>
      </c>
      <c r="B58" s="19" t="n">
        <v>22</v>
      </c>
      <c r="C58" s="19" t="n">
        <v>25</v>
      </c>
      <c r="D58" s="19" t="n">
        <v>28</v>
      </c>
      <c r="E58" s="19" t="n">
        <v>31</v>
      </c>
      <c r="F58" s="19" t="n">
        <v>34</v>
      </c>
      <c r="G58" s="5" t="s">
        <v>126</v>
      </c>
    </row>
    <row r="59" customFormat="false" ht="15" hidden="false" customHeight="true" outlineLevel="0" collapsed="false">
      <c r="A59" s="9" t="s">
        <v>127</v>
      </c>
      <c r="B59" s="19" t="n">
        <v>-3.5</v>
      </c>
      <c r="C59" s="19" t="n">
        <v>-5.5</v>
      </c>
      <c r="D59" s="19" t="n">
        <v>-7</v>
      </c>
      <c r="E59" s="19" t="n">
        <v>-8.5</v>
      </c>
      <c r="F59" s="19" t="n">
        <v>-10</v>
      </c>
      <c r="G59" s="5" t="s">
        <v>128</v>
      </c>
    </row>
    <row r="61" customFormat="false" ht="15" hidden="false" customHeight="true" outlineLevel="0" collapsed="false">
      <c r="A61" s="6" t="s">
        <v>129</v>
      </c>
      <c r="B61" s="7"/>
      <c r="C61" s="7"/>
      <c r="D61" s="7"/>
      <c r="E61" s="7"/>
      <c r="F61" s="7"/>
    </row>
    <row r="62" customFormat="false" ht="15" hidden="false" customHeight="true" outlineLevel="0" collapsed="false">
      <c r="A62" s="9" t="s">
        <v>130</v>
      </c>
      <c r="B62" s="21" t="n">
        <v>0.25</v>
      </c>
      <c r="E62" s="15" t="s">
        <v>131</v>
      </c>
    </row>
    <row r="63" customFormat="false" ht="15" hidden="false" customHeight="true" outlineLevel="0" collapsed="false">
      <c r="A63" s="9" t="s">
        <v>132</v>
      </c>
      <c r="B63" s="10" t="n">
        <f aca="false">B15</f>
        <v>0.24</v>
      </c>
    </row>
    <row r="64" customFormat="false" ht="15" hidden="false" customHeight="true" outlineLevel="0" collapsed="false">
      <c r="A64" s="9" t="s">
        <v>133</v>
      </c>
      <c r="B64" s="10" t="n">
        <f aca="false">B16</f>
        <v>0.16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4" min="2" style="1" width="12"/>
    <col collapsed="false" customWidth="true" hidden="false" outlineLevel="0" max="5" min="5" style="1" width="30"/>
  </cols>
  <sheetData>
    <row r="1" customFormat="false" ht="15" hidden="false" customHeight="true" outlineLevel="0" collapsed="false">
      <c r="A1" s="2" t="s">
        <v>134</v>
      </c>
    </row>
    <row r="2" customFormat="false" ht="15" hidden="false" customHeight="true" outlineLevel="0" collapsed="false">
      <c r="A2" s="5" t="s">
        <v>135</v>
      </c>
    </row>
    <row r="4" customFormat="false" ht="15" hidden="false" customHeight="true" outlineLevel="0" collapsed="false">
      <c r="B4" s="4" t="s">
        <v>71</v>
      </c>
      <c r="C4" s="4" t="s">
        <v>72</v>
      </c>
      <c r="D4" s="4" t="s">
        <v>73</v>
      </c>
    </row>
    <row r="5" customFormat="false" ht="15" hidden="false" customHeight="true" outlineLevel="0" collapsed="false">
      <c r="A5" s="9" t="s">
        <v>74</v>
      </c>
      <c r="B5" s="12" t="n">
        <f aca="false">Assumptions!B14</f>
        <v>0.295</v>
      </c>
      <c r="C5" s="12" t="n">
        <f aca="false">Assumptions!C14</f>
        <v>0.32</v>
      </c>
      <c r="D5" s="12" t="n">
        <f aca="false">Assumptions!D14</f>
        <v>0.24</v>
      </c>
    </row>
    <row r="6" customFormat="false" ht="15" hidden="false" customHeight="true" outlineLevel="0" collapsed="false">
      <c r="A6" s="9" t="s">
        <v>136</v>
      </c>
      <c r="B6" s="12" t="n">
        <f aca="false">Assumptions!B15</f>
        <v>0.24</v>
      </c>
      <c r="C6" s="12" t="n">
        <f aca="false">Assumptions!C15</f>
        <v>0.23</v>
      </c>
      <c r="D6" s="12" t="n">
        <f aca="false">Assumptions!D15</f>
        <v>0.275</v>
      </c>
    </row>
    <row r="7" customFormat="false" ht="15" hidden="false" customHeight="true" outlineLevel="0" collapsed="false">
      <c r="A7" s="9" t="s">
        <v>137</v>
      </c>
      <c r="B7" s="12" t="n">
        <f aca="false">Assumptions!B16</f>
        <v>0.16</v>
      </c>
      <c r="C7" s="12" t="n">
        <f aca="false">Assumptions!C16</f>
        <v>0.16</v>
      </c>
      <c r="D7" s="12" t="n">
        <f aca="false">Assumptions!D16</f>
        <v>0.15</v>
      </c>
    </row>
    <row r="8" customFormat="false" ht="15" hidden="false" customHeight="true" outlineLevel="0" collapsed="false">
      <c r="A8" s="9" t="s">
        <v>138</v>
      </c>
      <c r="B8" s="10" t="n">
        <f aca="false">B5-B6</f>
        <v>0.055</v>
      </c>
      <c r="C8" s="10" t="n">
        <f aca="false">C5-C6</f>
        <v>0.09</v>
      </c>
      <c r="D8" s="10" t="n">
        <f aca="false">D5-D6</f>
        <v>-0.035</v>
      </c>
    </row>
    <row r="9" customFormat="false" ht="15" hidden="false" customHeight="true" outlineLevel="0" collapsed="false">
      <c r="A9" s="9" t="s">
        <v>139</v>
      </c>
      <c r="B9" s="25" t="n">
        <f aca="false">Assumptions!B17</f>
        <v>1.6875</v>
      </c>
      <c r="C9" s="25" t="n">
        <f aca="false">Assumptions!C17</f>
        <v>2.28571428571429</v>
      </c>
      <c r="D9" s="25" t="n">
        <f aca="false">Assumptions!D17</f>
        <v>0.72</v>
      </c>
    </row>
    <row r="10" customFormat="false" ht="15" hidden="false" customHeight="true" outlineLevel="0" collapsed="false">
      <c r="A10" s="9" t="s">
        <v>28</v>
      </c>
      <c r="B10" s="8" t="n">
        <f aca="false">Assumptions!B8</f>
        <v>74.2429176164116</v>
      </c>
      <c r="C10" s="8" t="n">
        <f aca="false">Assumptions!B8</f>
        <v>74.2429176164116</v>
      </c>
      <c r="D10" s="8" t="n">
        <f aca="false">Assumptions!B8</f>
        <v>74.2429176164116</v>
      </c>
    </row>
    <row r="11" customFormat="false" ht="15" hidden="false" customHeight="true" outlineLevel="0" collapsed="false">
      <c r="A11" s="4" t="s">
        <v>140</v>
      </c>
      <c r="B11" s="14" t="n">
        <f aca="false">B9*B10</f>
        <v>125.284923477695</v>
      </c>
      <c r="C11" s="14" t="n">
        <f aca="false">C9*C10</f>
        <v>169.698097408941</v>
      </c>
      <c r="D11" s="14" t="n">
        <f aca="false">D9*D10</f>
        <v>53.4549006838163</v>
      </c>
    </row>
    <row r="12" customFormat="false" ht="15" hidden="false" customHeight="true" outlineLevel="0" collapsed="false">
      <c r="A12" s="9" t="s">
        <v>43</v>
      </c>
      <c r="B12" s="12" t="n">
        <f aca="false">B11/Assumptions!$B$5-1</f>
        <v>-0.030677574640661</v>
      </c>
      <c r="C12" s="12" t="n">
        <f aca="false">C11/Assumptions!$B$5-1</f>
        <v>0.312944660804184</v>
      </c>
      <c r="D12" s="12" t="n">
        <f aca="false">D11/Assumptions!$B$5-1</f>
        <v>-0.586422431846682</v>
      </c>
    </row>
    <row r="14" customFormat="false" ht="15" hidden="false" customHeight="true" outlineLevel="0" collapsed="false">
      <c r="A14" s="4" t="s">
        <v>141</v>
      </c>
    </row>
    <row r="15" customFormat="false" ht="57.75" hidden="false" customHeight="true" outlineLevel="0" collapsed="false">
      <c r="A15" s="26" t="s">
        <v>142</v>
      </c>
      <c r="B15" s="26"/>
      <c r="C15" s="26"/>
      <c r="D15" s="26"/>
      <c r="E15" s="26"/>
    </row>
  </sheetData>
  <mergeCells count="1">
    <mergeCell ref="A15:E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6" min="2" style="1" width="12"/>
  </cols>
  <sheetData>
    <row r="1" customFormat="false" ht="15" hidden="false" customHeight="true" outlineLevel="0" collapsed="false">
      <c r="A1" s="2" t="s">
        <v>143</v>
      </c>
    </row>
    <row r="2" customFormat="false" ht="42" hidden="false" customHeight="true" outlineLevel="0" collapsed="false">
      <c r="A2" s="27" t="s">
        <v>144</v>
      </c>
    </row>
    <row r="4" customFormat="false" ht="15" hidden="false" customHeight="true" outlineLevel="0" collapsed="false">
      <c r="B4" s="28" t="s">
        <v>117</v>
      </c>
      <c r="C4" s="28" t="s">
        <v>118</v>
      </c>
      <c r="D4" s="28" t="s">
        <v>119</v>
      </c>
      <c r="E4" s="28" t="s">
        <v>120</v>
      </c>
      <c r="F4" s="28" t="s">
        <v>121</v>
      </c>
    </row>
    <row r="5" customFormat="false" ht="15" hidden="false" customHeight="true" outlineLevel="0" collapsed="false">
      <c r="A5" s="9" t="s">
        <v>145</v>
      </c>
      <c r="B5" s="8" t="n">
        <f aca="false">'Income Statement'!E16</f>
        <v>25.0745685444481</v>
      </c>
      <c r="C5" s="8" t="n">
        <f aca="false">'Income Statement'!F16</f>
        <v>27.0480299576685</v>
      </c>
      <c r="D5" s="8" t="n">
        <f aca="false">'Income Statement'!G16</f>
        <v>29.6251383914034</v>
      </c>
      <c r="E5" s="8" t="n">
        <f aca="false">'Income Statement'!H16</f>
        <v>32.4576359492022</v>
      </c>
      <c r="F5" s="8" t="n">
        <f aca="false">'Income Statement'!I16</f>
        <v>35.5455226310648</v>
      </c>
    </row>
    <row r="6" customFormat="false" ht="15" hidden="false" customHeight="true" outlineLevel="0" collapsed="false">
      <c r="A6" s="9" t="s">
        <v>146</v>
      </c>
      <c r="B6" s="8" t="n">
        <f aca="false">Assumptions!$B$8</f>
        <v>74.2429176164116</v>
      </c>
      <c r="C6" s="8" t="n">
        <f aca="false">'Balance Sheet'!E19</f>
        <v>94.1390426571149</v>
      </c>
      <c r="D6" s="8" t="n">
        <f aca="false">'Balance Sheet'!F19</f>
        <v>114.719065450993</v>
      </c>
      <c r="E6" s="8" t="n">
        <f aca="false">'Balance Sheet'!G19</f>
        <v>136.293894496907</v>
      </c>
      <c r="F6" s="8" t="n">
        <f aca="false">'Balance Sheet'!H19</f>
        <v>158.873119505047</v>
      </c>
    </row>
    <row r="7" customFormat="false" ht="15" hidden="false" customHeight="true" outlineLevel="0" collapsed="false">
      <c r="A7" s="9" t="s">
        <v>136</v>
      </c>
      <c r="B7" s="29" t="n">
        <f aca="false">Assumptions!$B$15</f>
        <v>0.24</v>
      </c>
      <c r="C7" s="29" t="n">
        <f aca="false">Assumptions!$B$15</f>
        <v>0.24</v>
      </c>
      <c r="D7" s="29" t="n">
        <f aca="false">Assumptions!$B$15</f>
        <v>0.24</v>
      </c>
      <c r="E7" s="29" t="n">
        <f aca="false">Assumptions!$B$15</f>
        <v>0.24</v>
      </c>
      <c r="F7" s="29" t="n">
        <f aca="false">Assumptions!$B$15</f>
        <v>0.24</v>
      </c>
    </row>
    <row r="8" customFormat="false" ht="15" hidden="false" customHeight="true" outlineLevel="0" collapsed="false">
      <c r="A8" s="9" t="s">
        <v>147</v>
      </c>
      <c r="B8" s="20" t="n">
        <f aca="false">B7*B6</f>
        <v>17.8183002279388</v>
      </c>
      <c r="C8" s="20" t="n">
        <f aca="false">C7*C6</f>
        <v>22.5933702377076</v>
      </c>
      <c r="D8" s="20" t="n">
        <f aca="false">D7*D6</f>
        <v>27.5325757082384</v>
      </c>
      <c r="E8" s="20" t="n">
        <f aca="false">E7*E6</f>
        <v>32.7105346792576</v>
      </c>
      <c r="F8" s="20" t="n">
        <f aca="false">F7*F6</f>
        <v>38.1295486812113</v>
      </c>
    </row>
    <row r="9" customFormat="false" ht="15" hidden="false" customHeight="true" outlineLevel="0" collapsed="false">
      <c r="A9" s="4" t="s">
        <v>148</v>
      </c>
      <c r="B9" s="23" t="n">
        <f aca="false">B5-B8</f>
        <v>7.25626831650928</v>
      </c>
      <c r="C9" s="23" t="n">
        <f aca="false">C5-C8</f>
        <v>4.45465971996092</v>
      </c>
      <c r="D9" s="23" t="n">
        <f aca="false">D5-D8</f>
        <v>2.09256268316509</v>
      </c>
      <c r="E9" s="23" t="n">
        <f aca="false">E5-E8</f>
        <v>-0.252898730055342</v>
      </c>
      <c r="F9" s="23" t="n">
        <f aca="false">F5-F8</f>
        <v>-2.58402605014653</v>
      </c>
    </row>
    <row r="10" customFormat="false" ht="15" hidden="false" customHeight="true" outlineLevel="0" collapsed="false">
      <c r="A10" s="9" t="s">
        <v>149</v>
      </c>
      <c r="B10" s="30" t="n">
        <f aca="false">1/(1+Assumptions!$B$63)^1</f>
        <v>0.806451612903226</v>
      </c>
      <c r="C10" s="30" t="n">
        <f aca="false">1/(1+Assumptions!$B$63)^2</f>
        <v>0.650364203954214</v>
      </c>
      <c r="D10" s="30" t="n">
        <f aca="false">1/(1+Assumptions!$B$63)^3</f>
        <v>0.524487261253399</v>
      </c>
      <c r="E10" s="30" t="n">
        <f aca="false">1/(1+Assumptions!$B$63)^4</f>
        <v>0.422973597784999</v>
      </c>
      <c r="F10" s="30" t="n">
        <f aca="false">1/(1+Assumptions!$B$63)^5</f>
        <v>0.341107740149193</v>
      </c>
    </row>
    <row r="11" customFormat="false" ht="15" hidden="false" customHeight="true" outlineLevel="0" collapsed="false">
      <c r="A11" s="9" t="s">
        <v>150</v>
      </c>
      <c r="B11" s="20" t="n">
        <f aca="false">B9*B10</f>
        <v>5.85182928750749</v>
      </c>
      <c r="C11" s="20" t="n">
        <f aca="false">C9*C10</f>
        <v>2.89715122265929</v>
      </c>
      <c r="D11" s="20" t="n">
        <f aca="false">D9*D10</f>
        <v>1.09752247069432</v>
      </c>
      <c r="E11" s="20" t="n">
        <f aca="false">E9*E10</f>
        <v>-0.106969485726765</v>
      </c>
      <c r="F11" s="20" t="n">
        <f aca="false">F9*F10</f>
        <v>-0.881431286452126</v>
      </c>
    </row>
    <row r="13" customFormat="false" ht="15" hidden="false" customHeight="true" outlineLevel="0" collapsed="false">
      <c r="A13" s="4" t="s">
        <v>151</v>
      </c>
    </row>
    <row r="14" customFormat="false" ht="15" hidden="false" customHeight="true" outlineLevel="0" collapsed="false">
      <c r="A14" s="9" t="s">
        <v>152</v>
      </c>
      <c r="B14" s="20" t="n">
        <f aca="false">Assumptions!$B$8</f>
        <v>74.2429176164116</v>
      </c>
    </row>
    <row r="15" customFormat="false" ht="15" hidden="false" customHeight="true" outlineLevel="0" collapsed="false">
      <c r="A15" s="9" t="s">
        <v>153</v>
      </c>
      <c r="B15" s="20" t="n">
        <f aca="false">SUM(B11:F11)</f>
        <v>8.8581022086822</v>
      </c>
    </row>
    <row r="16" customFormat="false" ht="15" hidden="false" customHeight="true" outlineLevel="0" collapsed="false">
      <c r="A16" s="9" t="s">
        <v>154</v>
      </c>
      <c r="B16" s="20" t="n">
        <f aca="false">(Assumptions!$B$62-Assumptions!$B$15)*'Balance Sheet'!I19</f>
        <v>1.82054982090524</v>
      </c>
    </row>
    <row r="17" customFormat="false" ht="15" hidden="false" customHeight="true" outlineLevel="0" collapsed="false">
      <c r="A17" s="9" t="s">
        <v>155</v>
      </c>
      <c r="B17" s="20" t="n">
        <f aca="false">B16/(Assumptions!$B$63-Assumptions!$B$64)</f>
        <v>22.7568727613156</v>
      </c>
    </row>
    <row r="18" customFormat="false" ht="15" hidden="false" customHeight="true" outlineLevel="0" collapsed="false">
      <c r="A18" s="9" t="s">
        <v>156</v>
      </c>
      <c r="B18" s="20" t="n">
        <f aca="false">B17*F10</f>
        <v>7.76254544047507</v>
      </c>
    </row>
    <row r="20" customFormat="false" ht="15" hidden="false" customHeight="true" outlineLevel="0" collapsed="false">
      <c r="A20" s="16" t="s">
        <v>157</v>
      </c>
      <c r="B20" s="14" t="n">
        <f aca="false">B14+B15+B18</f>
        <v>90.8635652655689</v>
      </c>
    </row>
    <row r="21" customFormat="false" ht="15" hidden="false" customHeight="true" outlineLevel="0" collapsed="false">
      <c r="A21" s="9" t="s">
        <v>43</v>
      </c>
      <c r="B21" s="10" t="n">
        <f aca="false">B20/Assumptions!$B$5-1</f>
        <v>-0.296993692336024</v>
      </c>
    </row>
    <row r="23" customFormat="false" ht="15" hidden="false" customHeight="true" outlineLevel="0" collapsed="false">
      <c r="A23" s="15" t="s">
        <v>158</v>
      </c>
      <c r="B23" s="31" t="n">
        <f aca="false">Assumptions!B18</f>
        <v>125.284923477695</v>
      </c>
    </row>
    <row r="24" customFormat="false" ht="15" hidden="false" customHeight="true" outlineLevel="0" collapsed="false">
      <c r="A24" s="15" t="s">
        <v>159</v>
      </c>
      <c r="B24" s="31" t="n">
        <f aca="false">B23-B20</f>
        <v>34.4213582121257</v>
      </c>
    </row>
    <row r="26" customFormat="false" ht="69.75" hidden="false" customHeight="true" outlineLevel="0" collapsed="false">
      <c r="A26" s="27" t="s">
        <v>160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4" min="2" style="1" width="34"/>
  </cols>
  <sheetData>
    <row r="1" customFormat="false" ht="15" hidden="false" customHeight="true" outlineLevel="0" collapsed="false">
      <c r="A1" s="2" t="s">
        <v>161</v>
      </c>
    </row>
    <row r="2" customFormat="false" ht="15" hidden="false" customHeight="true" outlineLevel="0" collapsed="false">
      <c r="A2" s="5" t="s">
        <v>162</v>
      </c>
    </row>
    <row r="4" customFormat="false" ht="42" hidden="false" customHeight="true" outlineLevel="0" collapsed="false">
      <c r="A4" s="32" t="s">
        <v>163</v>
      </c>
      <c r="B4" s="32" t="s">
        <v>164</v>
      </c>
      <c r="C4" s="32" t="s">
        <v>165</v>
      </c>
      <c r="D4" s="32" t="s">
        <v>166</v>
      </c>
    </row>
    <row r="5" customFormat="false" ht="42" hidden="false" customHeight="true" outlineLevel="0" collapsed="false">
      <c r="A5" s="33" t="s">
        <v>167</v>
      </c>
      <c r="B5" s="34" t="s">
        <v>168</v>
      </c>
      <c r="C5" s="34" t="s">
        <v>169</v>
      </c>
      <c r="D5" s="34" t="s">
        <v>170</v>
      </c>
    </row>
    <row r="6" customFormat="false" ht="42" hidden="false" customHeight="true" outlineLevel="0" collapsed="false">
      <c r="A6" s="33" t="s">
        <v>171</v>
      </c>
      <c r="B6" s="34" t="s">
        <v>172</v>
      </c>
      <c r="C6" s="34" t="s">
        <v>173</v>
      </c>
      <c r="D6" s="34" t="s">
        <v>174</v>
      </c>
    </row>
    <row r="7" customFormat="false" ht="42" hidden="false" customHeight="true" outlineLevel="0" collapsed="false">
      <c r="A7" s="33" t="s">
        <v>175</v>
      </c>
      <c r="B7" s="34" t="s">
        <v>176</v>
      </c>
      <c r="C7" s="34" t="s">
        <v>177</v>
      </c>
      <c r="D7" s="34" t="s">
        <v>178</v>
      </c>
    </row>
    <row r="8" customFormat="false" ht="42" hidden="false" customHeight="true" outlineLevel="0" collapsed="false">
      <c r="A8" s="33" t="s">
        <v>179</v>
      </c>
      <c r="B8" s="34" t="s">
        <v>180</v>
      </c>
      <c r="C8" s="34" t="s">
        <v>181</v>
      </c>
      <c r="D8" s="34" t="s">
        <v>182</v>
      </c>
    </row>
    <row r="9" customFormat="false" ht="42" hidden="false" customHeight="true" outlineLevel="0" collapsed="false">
      <c r="A9" s="33" t="s">
        <v>183</v>
      </c>
      <c r="B9" s="34" t="s">
        <v>184</v>
      </c>
      <c r="C9" s="34" t="s">
        <v>185</v>
      </c>
      <c r="D9" s="34" t="s">
        <v>186</v>
      </c>
    </row>
    <row r="10" customFormat="false" ht="42" hidden="false" customHeight="true" outlineLevel="0" collapsed="false">
      <c r="A10" s="33" t="s">
        <v>187</v>
      </c>
      <c r="B10" s="34" t="s">
        <v>188</v>
      </c>
      <c r="C10" s="34" t="s">
        <v>189</v>
      </c>
      <c r="D10" s="34" t="s">
        <v>190</v>
      </c>
    </row>
    <row r="12" customFormat="false" ht="43.5" hidden="false" customHeight="true" outlineLevel="0" collapsed="false">
      <c r="A12" s="26" t="s">
        <v>191</v>
      </c>
      <c r="B12" s="26"/>
      <c r="C12" s="26"/>
      <c r="D12" s="26"/>
    </row>
  </sheetData>
  <mergeCells count="1">
    <mergeCell ref="A12:D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4"/>
    <col collapsed="false" customWidth="true" hidden="false" outlineLevel="0" max="3" min="3" style="1" width="34"/>
  </cols>
  <sheetData>
    <row r="1" customFormat="false" ht="15" hidden="false" customHeight="true" outlineLevel="0" collapsed="false">
      <c r="A1" s="2" t="s">
        <v>192</v>
      </c>
    </row>
    <row r="4" customFormat="false" ht="15" hidden="false" customHeight="true" outlineLevel="0" collapsed="false">
      <c r="A4" s="6" t="s">
        <v>193</v>
      </c>
      <c r="B4" s="7"/>
      <c r="C4" s="7"/>
    </row>
    <row r="5" customFormat="false" ht="15" hidden="false" customHeight="true" outlineLevel="0" collapsed="false">
      <c r="A5" s="9" t="s">
        <v>194</v>
      </c>
      <c r="B5" s="8" t="n">
        <f aca="false">Assumptions!B8</f>
        <v>74.2429176164116</v>
      </c>
      <c r="C5" s="5" t="s">
        <v>195</v>
      </c>
    </row>
    <row r="6" customFormat="false" ht="15" hidden="false" customHeight="true" outlineLevel="0" collapsed="false">
      <c r="A6" s="9" t="s">
        <v>196</v>
      </c>
      <c r="B6" s="25" t="n">
        <f aca="false">Assumptions!B21</f>
        <v>1.55</v>
      </c>
      <c r="C6" s="5" t="s">
        <v>84</v>
      </c>
    </row>
    <row r="7" customFormat="false" ht="15" hidden="false" customHeight="true" outlineLevel="0" collapsed="false">
      <c r="A7" s="9" t="s">
        <v>197</v>
      </c>
      <c r="B7" s="8" t="n">
        <f aca="false">Assumptions!B26</f>
        <v>115.076522305438</v>
      </c>
    </row>
    <row r="8" customFormat="false" ht="15" hidden="false" customHeight="true" outlineLevel="0" collapsed="false">
      <c r="A8" s="9" t="s">
        <v>198</v>
      </c>
      <c r="B8" s="8" t="n">
        <f aca="false">Assumptions!B23</f>
        <v>19.1249755779876</v>
      </c>
      <c r="C8" s="5" t="s">
        <v>199</v>
      </c>
    </row>
    <row r="9" customFormat="false" ht="15" hidden="false" customHeight="true" outlineLevel="0" collapsed="false">
      <c r="A9" s="9" t="s">
        <v>200</v>
      </c>
      <c r="B9" s="25" t="n">
        <f aca="false">Assumptions!B24</f>
        <v>6.6</v>
      </c>
      <c r="C9" s="5" t="s">
        <v>201</v>
      </c>
    </row>
    <row r="10" customFormat="false" ht="15" hidden="false" customHeight="true" outlineLevel="0" collapsed="false">
      <c r="A10" s="9" t="s">
        <v>202</v>
      </c>
      <c r="B10" s="8" t="n">
        <f aca="false">Assumptions!B27</f>
        <v>126.224838814718</v>
      </c>
    </row>
    <row r="11" customFormat="false" ht="15" hidden="false" customHeight="true" outlineLevel="0" collapsed="false">
      <c r="A11" s="16" t="s">
        <v>203</v>
      </c>
      <c r="B11" s="14" t="n">
        <f aca="false">Assumptions!B28</f>
        <v>120.650680560078</v>
      </c>
      <c r="C11" s="5" t="s">
        <v>204</v>
      </c>
    </row>
    <row r="13" customFormat="false" ht="15" hidden="false" customHeight="true" outlineLevel="0" collapsed="false">
      <c r="A13" s="6" t="s">
        <v>205</v>
      </c>
      <c r="B13" s="7"/>
      <c r="C13" s="7"/>
    </row>
    <row r="14" customFormat="false" ht="15" hidden="false" customHeight="true" outlineLevel="0" collapsed="false">
      <c r="A14" s="9" t="s">
        <v>85</v>
      </c>
      <c r="B14" s="12" t="n">
        <f aca="false">Assumptions!B22</f>
        <v>0.28</v>
      </c>
      <c r="C14" s="5" t="s">
        <v>206</v>
      </c>
    </row>
    <row r="15" customFormat="false" ht="15" hidden="false" customHeight="true" outlineLevel="0" collapsed="false">
      <c r="A15" s="9" t="s">
        <v>198</v>
      </c>
      <c r="B15" s="8" t="n">
        <f aca="false">Assumptions!B23</f>
        <v>19.1249755779876</v>
      </c>
    </row>
    <row r="16" customFormat="false" ht="15" hidden="false" customHeight="true" outlineLevel="0" collapsed="false">
      <c r="A16" s="9" t="s">
        <v>207</v>
      </c>
      <c r="B16" s="25" t="n">
        <f aca="false">Assumptions!B25</f>
        <v>6</v>
      </c>
      <c r="C16" s="5" t="s">
        <v>91</v>
      </c>
    </row>
    <row r="17" customFormat="false" ht="15" hidden="false" customHeight="true" outlineLevel="0" collapsed="false">
      <c r="A17" s="16" t="s">
        <v>208</v>
      </c>
      <c r="B17" s="14" t="n">
        <f aca="false">Assumptions!B29</f>
        <v>114.749853467926</v>
      </c>
      <c r="C17" s="5" t="s">
        <v>209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6" min="2" style="1" width="11"/>
  </cols>
  <sheetData>
    <row r="1" customFormat="false" ht="15" hidden="false" customHeight="true" outlineLevel="0" collapsed="false">
      <c r="A1" s="2" t="s">
        <v>210</v>
      </c>
    </row>
    <row r="2" customFormat="false" ht="15" hidden="false" customHeight="true" outlineLevel="0" collapsed="false">
      <c r="A2" s="5" t="s">
        <v>211</v>
      </c>
    </row>
    <row r="4" customFormat="false" ht="15" hidden="false" customHeight="true" outlineLevel="0" collapsed="false">
      <c r="B4" s="4" t="s">
        <v>117</v>
      </c>
      <c r="C4" s="4" t="s">
        <v>118</v>
      </c>
      <c r="D4" s="4" t="s">
        <v>119</v>
      </c>
      <c r="E4" s="4" t="s">
        <v>120</v>
      </c>
      <c r="F4" s="4" t="s">
        <v>121</v>
      </c>
    </row>
    <row r="5" customFormat="false" ht="15" hidden="false" customHeight="true" outlineLevel="0" collapsed="false">
      <c r="A5" s="9" t="s">
        <v>212</v>
      </c>
      <c r="B5" s="24" t="n">
        <f aca="false">'Income Statement'!E14</f>
        <v>83.7</v>
      </c>
      <c r="C5" s="24" t="n">
        <f aca="false">'Income Statement'!F14</f>
        <v>90.2875</v>
      </c>
      <c r="D5" s="24" t="n">
        <f aca="false">'Income Statement'!G14</f>
        <v>98.89</v>
      </c>
      <c r="E5" s="24" t="n">
        <f aca="false">'Income Statement'!H14</f>
        <v>108.345</v>
      </c>
      <c r="F5" s="24" t="n">
        <f aca="false">'Income Statement'!I14</f>
        <v>118.6525</v>
      </c>
    </row>
    <row r="6" customFormat="false" ht="15" hidden="false" customHeight="true" outlineLevel="0" collapsed="false">
      <c r="A6" s="9" t="s">
        <v>213</v>
      </c>
      <c r="B6" s="12" t="n">
        <f aca="false">Assumptions!B37</f>
        <v>0.27</v>
      </c>
      <c r="C6" s="12" t="n">
        <f aca="false">Assumptions!B38</f>
        <v>0.3</v>
      </c>
      <c r="D6" s="12" t="n">
        <f aca="false">Assumptions!B39</f>
        <v>0.33</v>
      </c>
      <c r="E6" s="12" t="n">
        <f aca="false">Assumptions!B40</f>
        <v>0.36</v>
      </c>
      <c r="F6" s="12" t="n">
        <f aca="false">Assumptions!B41</f>
        <v>0.4</v>
      </c>
    </row>
    <row r="7" customFormat="false" ht="15" hidden="false" customHeight="true" outlineLevel="0" collapsed="false">
      <c r="A7" s="9" t="s">
        <v>214</v>
      </c>
      <c r="B7" s="35" t="n">
        <f aca="false">B5*B6</f>
        <v>22.599</v>
      </c>
      <c r="C7" s="35" t="n">
        <f aca="false">C5*C6</f>
        <v>27.08625</v>
      </c>
      <c r="D7" s="35" t="n">
        <f aca="false">D5*D6</f>
        <v>32.6337</v>
      </c>
      <c r="E7" s="35" t="n">
        <f aca="false">E5*E6</f>
        <v>39.0042</v>
      </c>
      <c r="F7" s="35" t="n">
        <f aca="false">F5*F6</f>
        <v>47.461</v>
      </c>
    </row>
    <row r="8" customFormat="false" ht="15" hidden="false" customHeight="true" outlineLevel="0" collapsed="false">
      <c r="A8" s="9" t="s">
        <v>215</v>
      </c>
      <c r="B8" s="20" t="n">
        <f aca="false">B7/Assumptions!$B$6</f>
        <v>7.35884076847932</v>
      </c>
      <c r="C8" s="20" t="n">
        <f aca="false">C7/Assumptions!$B$6</f>
        <v>8.82000976880495</v>
      </c>
      <c r="D8" s="20" t="n">
        <f aca="false">D7/Assumptions!$B$6</f>
        <v>10.6264083360469</v>
      </c>
      <c r="E8" s="20" t="n">
        <f aca="false">E7/Assumptions!$B$6</f>
        <v>12.7008140670791</v>
      </c>
      <c r="F8" s="20" t="n">
        <f aca="false">F7/Assumptions!$B$6</f>
        <v>15.4545750569847</v>
      </c>
    </row>
    <row r="9" customFormat="false" ht="15" hidden="false" customHeight="true" outlineLevel="0" collapsed="false">
      <c r="A9" s="9" t="s">
        <v>149</v>
      </c>
      <c r="B9" s="36" t="n">
        <f aca="false">1/(1+Assumptions!$B$42)^1</f>
        <v>0.806451612903226</v>
      </c>
      <c r="C9" s="36" t="n">
        <f aca="false">1/(1+Assumptions!$B$42)^2</f>
        <v>0.650364203954214</v>
      </c>
      <c r="D9" s="36" t="n">
        <f aca="false">1/(1+Assumptions!$B$42)^3</f>
        <v>0.524487261253399</v>
      </c>
      <c r="E9" s="36" t="n">
        <f aca="false">1/(1+Assumptions!$B$42)^4</f>
        <v>0.422973597784999</v>
      </c>
      <c r="F9" s="36" t="n">
        <f aca="false">1/(1+Assumptions!$B$42)^5</f>
        <v>0.341107740149193</v>
      </c>
    </row>
    <row r="10" customFormat="false" ht="15" hidden="false" customHeight="true" outlineLevel="0" collapsed="false">
      <c r="A10" s="9" t="s">
        <v>216</v>
      </c>
      <c r="B10" s="20" t="n">
        <f aca="false">B8*B9</f>
        <v>5.93454900683816</v>
      </c>
      <c r="C10" s="20" t="n">
        <f aca="false">C8*C9</f>
        <v>5.73621863215722</v>
      </c>
      <c r="D10" s="20" t="n">
        <f aca="false">D8*D9</f>
        <v>5.57341580513352</v>
      </c>
      <c r="E10" s="20" t="n">
        <f aca="false">E8*E9</f>
        <v>5.37210902075078</v>
      </c>
      <c r="F10" s="20" t="n">
        <f aca="false">F8*F9</f>
        <v>5.27167517265413</v>
      </c>
    </row>
    <row r="12" customFormat="false" ht="15" hidden="false" customHeight="true" outlineLevel="0" collapsed="false">
      <c r="A12" s="6" t="s">
        <v>151</v>
      </c>
      <c r="B12" s="7"/>
      <c r="C12" s="7"/>
      <c r="D12" s="7"/>
      <c r="E12" s="7"/>
      <c r="F12" s="7"/>
    </row>
    <row r="13" customFormat="false" ht="15" hidden="false" customHeight="true" outlineLevel="0" collapsed="false">
      <c r="A13" s="9" t="s">
        <v>217</v>
      </c>
      <c r="B13" s="20" t="n">
        <f aca="false">SUM(B10:F10)</f>
        <v>27.8879676375338</v>
      </c>
    </row>
    <row r="14" customFormat="false" ht="15" hidden="false" customHeight="true" outlineLevel="0" collapsed="false">
      <c r="A14" s="9" t="s">
        <v>218</v>
      </c>
      <c r="B14" s="20" t="n">
        <f aca="false">F8*(1+Assumptions!B43)</f>
        <v>17.9273070661022</v>
      </c>
    </row>
    <row r="15" customFormat="false" ht="15" hidden="false" customHeight="true" outlineLevel="0" collapsed="false">
      <c r="A15" s="9" t="s">
        <v>155</v>
      </c>
      <c r="B15" s="20" t="n">
        <f aca="false">B14/(Assumptions!B42-Assumptions!B43)</f>
        <v>224.091338326278</v>
      </c>
    </row>
    <row r="16" customFormat="false" ht="15" hidden="false" customHeight="true" outlineLevel="0" collapsed="false">
      <c r="A16" s="9" t="s">
        <v>156</v>
      </c>
      <c r="B16" s="20" t="n">
        <f aca="false">B15*F9</f>
        <v>76.4392900034849</v>
      </c>
    </row>
    <row r="20" customFormat="false" ht="15" hidden="false" customHeight="true" outlineLevel="0" collapsed="false">
      <c r="A20" s="16" t="s">
        <v>219</v>
      </c>
      <c r="B20" s="14" t="n">
        <f aca="false">B13+B16</f>
        <v>104.327257641019</v>
      </c>
    </row>
    <row r="21" customFormat="false" ht="15" hidden="false" customHeight="true" outlineLevel="0" collapsed="false">
      <c r="A21" s="9" t="s">
        <v>43</v>
      </c>
      <c r="B21" s="10" t="n">
        <f aca="false">B20/Assumptions!B5-1</f>
        <v>-0.192825859643956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9" min="2" style="1" width="9"/>
  </cols>
  <sheetData>
    <row r="1" customFormat="false" ht="15" hidden="false" customHeight="true" outlineLevel="0" collapsed="false">
      <c r="A1" s="2" t="s">
        <v>220</v>
      </c>
    </row>
    <row r="2" customFormat="false" ht="15" hidden="false" customHeight="true" outlineLevel="0" collapsed="false">
      <c r="A2" s="5" t="s">
        <v>221</v>
      </c>
    </row>
    <row r="4" customFormat="false" ht="15" hidden="false" customHeight="true" outlineLevel="0" collapsed="false">
      <c r="B4" s="4" t="s">
        <v>222</v>
      </c>
      <c r="C4" s="4" t="s">
        <v>223</v>
      </c>
      <c r="D4" s="4" t="s">
        <v>224</v>
      </c>
      <c r="E4" s="4" t="s">
        <v>117</v>
      </c>
      <c r="F4" s="4" t="s">
        <v>118</v>
      </c>
      <c r="G4" s="4" t="s">
        <v>119</v>
      </c>
      <c r="H4" s="4" t="s">
        <v>120</v>
      </c>
      <c r="I4" s="4" t="s">
        <v>121</v>
      </c>
    </row>
    <row r="5" customFormat="false" ht="15" hidden="false" customHeight="true" outlineLevel="0" collapsed="false">
      <c r="A5" s="9" t="s">
        <v>122</v>
      </c>
      <c r="B5" s="35" t="n">
        <v>58</v>
      </c>
      <c r="C5" s="35" t="n">
        <v>88</v>
      </c>
      <c r="D5" s="35" t="n">
        <v>112</v>
      </c>
      <c r="E5" s="24" t="n">
        <f aca="false">Assumptions!B55</f>
        <v>120</v>
      </c>
      <c r="F5" s="24" t="n">
        <f aca="false">Assumptions!C55</f>
        <v>132</v>
      </c>
      <c r="G5" s="24" t="n">
        <f aca="false">Assumptions!D55</f>
        <v>146</v>
      </c>
      <c r="H5" s="24" t="n">
        <f aca="false">Assumptions!E55</f>
        <v>161</v>
      </c>
      <c r="I5" s="24" t="n">
        <f aca="false">Assumptions!F55</f>
        <v>177</v>
      </c>
    </row>
    <row r="6" customFormat="false" ht="15" hidden="false" customHeight="true" outlineLevel="0" collapsed="false">
      <c r="A6" s="9" t="s">
        <v>123</v>
      </c>
      <c r="B6" s="35" t="n">
        <v>6</v>
      </c>
      <c r="C6" s="35" t="n">
        <v>7</v>
      </c>
      <c r="D6" s="35" t="n">
        <v>8.5</v>
      </c>
      <c r="E6" s="24" t="n">
        <f aca="false">Assumptions!B56</f>
        <v>9.5</v>
      </c>
      <c r="F6" s="24" t="n">
        <f aca="false">Assumptions!C56</f>
        <v>10.7</v>
      </c>
      <c r="G6" s="24" t="n">
        <f aca="false">Assumptions!D56</f>
        <v>12</v>
      </c>
      <c r="H6" s="24" t="n">
        <f aca="false">Assumptions!E56</f>
        <v>13.4</v>
      </c>
      <c r="I6" s="24" t="n">
        <f aca="false">Assumptions!F56</f>
        <v>14.9</v>
      </c>
    </row>
    <row r="7" customFormat="false" ht="15" hidden="false" customHeight="true" outlineLevel="0" collapsed="false">
      <c r="A7" s="9" t="s">
        <v>124</v>
      </c>
      <c r="B7" s="35" t="n">
        <v>3.5</v>
      </c>
      <c r="C7" s="35" t="n">
        <v>6</v>
      </c>
      <c r="D7" s="35" t="n">
        <v>5</v>
      </c>
      <c r="E7" s="24" t="n">
        <f aca="false">Assumptions!B57</f>
        <v>4</v>
      </c>
      <c r="F7" s="24" t="n">
        <f aca="false">Assumptions!C57</f>
        <v>4.3</v>
      </c>
      <c r="G7" s="24" t="n">
        <f aca="false">Assumptions!D57</f>
        <v>4.6</v>
      </c>
      <c r="H7" s="24" t="n">
        <f aca="false">Assumptions!E57</f>
        <v>4.9</v>
      </c>
      <c r="I7" s="24" t="n">
        <f aca="false">Assumptions!F57</f>
        <v>5.2</v>
      </c>
    </row>
    <row r="8" customFormat="false" ht="15" hidden="false" customHeight="true" outlineLevel="0" collapsed="false">
      <c r="A8" s="4" t="s">
        <v>225</v>
      </c>
      <c r="B8" s="37" t="n">
        <f aca="false">SUM(B5:B7)</f>
        <v>67.5</v>
      </c>
      <c r="C8" s="37" t="n">
        <f aca="false">SUM(C5:C7)</f>
        <v>101</v>
      </c>
      <c r="D8" s="37" t="n">
        <f aca="false">SUM(D5:D7)</f>
        <v>125.5</v>
      </c>
      <c r="E8" s="37" t="n">
        <f aca="false">SUM(E5:E7)</f>
        <v>133.5</v>
      </c>
      <c r="F8" s="37" t="n">
        <f aca="false">SUM(F5:F7)</f>
        <v>147</v>
      </c>
      <c r="G8" s="37" t="n">
        <f aca="false">SUM(G5:G7)</f>
        <v>162.6</v>
      </c>
      <c r="H8" s="37" t="n">
        <f aca="false">SUM(H5:H7)</f>
        <v>179.3</v>
      </c>
      <c r="I8" s="37" t="n">
        <f aca="false">SUM(I5:I7)</f>
        <v>197.1</v>
      </c>
    </row>
    <row r="9" customFormat="false" ht="15" hidden="false" customHeight="true" outlineLevel="0" collapsed="false">
      <c r="A9" s="9" t="s">
        <v>125</v>
      </c>
      <c r="B9" s="35" t="n">
        <v>-13</v>
      </c>
      <c r="C9" s="35" t="n">
        <v>-16</v>
      </c>
      <c r="D9" s="35" t="n">
        <v>-18.5</v>
      </c>
      <c r="E9" s="24" t="n">
        <f aca="false">-Assumptions!B58</f>
        <v>-22</v>
      </c>
      <c r="F9" s="24" t="n">
        <f aca="false">-Assumptions!C58</f>
        <v>-25</v>
      </c>
      <c r="G9" s="24" t="n">
        <f aca="false">-Assumptions!D58</f>
        <v>-28</v>
      </c>
      <c r="H9" s="24" t="n">
        <f aca="false">-Assumptions!E58</f>
        <v>-31</v>
      </c>
      <c r="I9" s="24" t="n">
        <f aca="false">-Assumptions!F58</f>
        <v>-34</v>
      </c>
    </row>
    <row r="10" customFormat="false" ht="15" hidden="false" customHeight="true" outlineLevel="0" collapsed="false">
      <c r="A10" s="4" t="s">
        <v>226</v>
      </c>
      <c r="B10" s="37" t="n">
        <f aca="false">B8+B9</f>
        <v>54.5</v>
      </c>
      <c r="C10" s="37" t="n">
        <f aca="false">C8+C9</f>
        <v>85</v>
      </c>
      <c r="D10" s="37" t="n">
        <f aca="false">D8+D9</f>
        <v>107</v>
      </c>
      <c r="E10" s="37" t="n">
        <f aca="false">E8+E9</f>
        <v>111.5</v>
      </c>
      <c r="F10" s="37" t="n">
        <f aca="false">F8+F9</f>
        <v>122</v>
      </c>
      <c r="G10" s="37" t="n">
        <f aca="false">G8+G9</f>
        <v>134.6</v>
      </c>
      <c r="H10" s="37" t="n">
        <f aca="false">H8+H9</f>
        <v>148.3</v>
      </c>
      <c r="I10" s="37" t="n">
        <f aca="false">I8+I9</f>
        <v>163.1</v>
      </c>
    </row>
    <row r="11" customFormat="false" ht="15" hidden="false" customHeight="true" outlineLevel="0" collapsed="false">
      <c r="A11" s="9" t="s">
        <v>227</v>
      </c>
      <c r="B11" s="35" t="n">
        <v>-4.29</v>
      </c>
      <c r="C11" s="35" t="n">
        <v>-4.47</v>
      </c>
      <c r="D11" s="35" t="n">
        <v>6</v>
      </c>
      <c r="E11" s="24" t="n">
        <f aca="false">Assumptions!B59</f>
        <v>-3.5</v>
      </c>
      <c r="F11" s="24" t="n">
        <f aca="false">Assumptions!C59</f>
        <v>-5.5</v>
      </c>
      <c r="G11" s="24" t="n">
        <f aca="false">Assumptions!D59</f>
        <v>-7</v>
      </c>
      <c r="H11" s="24" t="n">
        <f aca="false">Assumptions!E59</f>
        <v>-8.5</v>
      </c>
      <c r="I11" s="24" t="n">
        <f aca="false">Assumptions!F59</f>
        <v>-10</v>
      </c>
    </row>
    <row r="12" customFormat="false" ht="15" hidden="false" customHeight="true" outlineLevel="0" collapsed="false">
      <c r="A12" s="4" t="s">
        <v>228</v>
      </c>
      <c r="B12" s="37" t="n">
        <f aca="false">B10+B11</f>
        <v>50.21</v>
      </c>
      <c r="C12" s="37" t="n">
        <f aca="false">C10+C11</f>
        <v>80.53</v>
      </c>
      <c r="D12" s="37" t="n">
        <f aca="false">D10+D11</f>
        <v>113</v>
      </c>
      <c r="E12" s="37" t="n">
        <f aca="false">E10+E11</f>
        <v>108</v>
      </c>
      <c r="F12" s="37" t="n">
        <f aca="false">F10+F11</f>
        <v>116.5</v>
      </c>
      <c r="G12" s="37" t="n">
        <f aca="false">G10+G11</f>
        <v>127.6</v>
      </c>
      <c r="H12" s="37" t="n">
        <f aca="false">H10+H11</f>
        <v>139.8</v>
      </c>
      <c r="I12" s="37" t="n">
        <f aca="false">I10+I11</f>
        <v>153.1</v>
      </c>
    </row>
    <row r="13" customFormat="false" ht="15" hidden="false" customHeight="true" outlineLevel="0" collapsed="false">
      <c r="A13" s="9" t="s">
        <v>229</v>
      </c>
      <c r="B13" s="19" t="n">
        <v>-20.51</v>
      </c>
      <c r="C13" s="19" t="n">
        <v>-25.33</v>
      </c>
      <c r="D13" s="19" t="n">
        <v>-30.8</v>
      </c>
      <c r="E13" s="35" t="n">
        <f aca="false">-E12*Assumptions!$B$9</f>
        <v>-24.3</v>
      </c>
      <c r="F13" s="35" t="n">
        <f aca="false">-F12*Assumptions!$B$9</f>
        <v>-26.2125</v>
      </c>
      <c r="G13" s="35" t="n">
        <f aca="false">-G12*Assumptions!$B$9</f>
        <v>-28.71</v>
      </c>
      <c r="H13" s="35" t="n">
        <f aca="false">-H12*Assumptions!$B$9</f>
        <v>-31.455</v>
      </c>
      <c r="I13" s="35" t="n">
        <f aca="false">-I12*Assumptions!$B$9</f>
        <v>-34.4475</v>
      </c>
    </row>
    <row r="14" customFormat="false" ht="15" hidden="false" customHeight="true" outlineLevel="0" collapsed="false">
      <c r="A14" s="38" t="s">
        <v>230</v>
      </c>
      <c r="B14" s="39" t="n">
        <f aca="false">B12+B13</f>
        <v>29.7</v>
      </c>
      <c r="C14" s="39" t="n">
        <f aca="false">C12+C13</f>
        <v>55.2</v>
      </c>
      <c r="D14" s="39" t="n">
        <f aca="false">D12+D13</f>
        <v>82.2</v>
      </c>
      <c r="E14" s="39" t="n">
        <f aca="false">E12+E13</f>
        <v>83.7</v>
      </c>
      <c r="F14" s="39" t="n">
        <f aca="false">F12+F13</f>
        <v>90.2875</v>
      </c>
      <c r="G14" s="39" t="n">
        <f aca="false">G12+G13</f>
        <v>98.89</v>
      </c>
      <c r="H14" s="39" t="n">
        <f aca="false">H12+H13</f>
        <v>108.345</v>
      </c>
      <c r="I14" s="39" t="n">
        <f aca="false">I12+I13</f>
        <v>118.6525</v>
      </c>
    </row>
    <row r="15" customFormat="false" ht="15" hidden="false" customHeight="true" outlineLevel="0" collapsed="false">
      <c r="A15" s="9" t="s">
        <v>231</v>
      </c>
      <c r="B15" s="35" t="n">
        <v>29.7</v>
      </c>
      <c r="C15" s="35" t="n">
        <v>55.2</v>
      </c>
      <c r="D15" s="35" t="n">
        <v>82.2</v>
      </c>
      <c r="E15" s="35"/>
      <c r="F15" s="35"/>
      <c r="G15" s="35"/>
      <c r="H15" s="35"/>
      <c r="I15" s="35"/>
    </row>
    <row r="16" customFormat="false" ht="15" hidden="false" customHeight="true" outlineLevel="0" collapsed="false">
      <c r="A16" s="9" t="s">
        <v>145</v>
      </c>
      <c r="B16" s="20" t="n">
        <f aca="false">B14*(1-Assumptions!$B$10)/Assumptions!$B$6</f>
        <v>8.89742754802996</v>
      </c>
      <c r="C16" s="20" t="n">
        <f aca="false">C14*(1-Assumptions!$B$10)/Assumptions!$B$6</f>
        <v>16.5366330185607</v>
      </c>
      <c r="D16" s="20" t="n">
        <f aca="false">D14*(1-Assumptions!$B$10)/Assumptions!$B$6</f>
        <v>24.6252035167698</v>
      </c>
      <c r="E16" s="20" t="n">
        <f aca="false">E14*(1-Assumptions!$B$10)/Assumptions!$B$6</f>
        <v>25.0745685444481</v>
      </c>
      <c r="F16" s="20" t="n">
        <f aca="false">F14*(1-Assumptions!$B$10)/Assumptions!$B$6</f>
        <v>27.0480299576685</v>
      </c>
      <c r="G16" s="20" t="n">
        <f aca="false">G14*(1-Assumptions!$B$10)/Assumptions!$B$6</f>
        <v>29.6251383914034</v>
      </c>
      <c r="H16" s="20" t="n">
        <f aca="false">H14*(1-Assumptions!$B$10)/Assumptions!$B$6</f>
        <v>32.4576359492022</v>
      </c>
      <c r="I16" s="20" t="n">
        <f aca="false">I14*(1-Assumptions!$B$10)/Assumptions!$B$6</f>
        <v>35.5455226310648</v>
      </c>
    </row>
    <row r="18" customFormat="false" ht="42" hidden="false" customHeight="true" outlineLevel="0" collapsed="false">
      <c r="A18" s="40" t="s">
        <v>232</v>
      </c>
      <c r="B18" s="40"/>
      <c r="C18" s="40"/>
      <c r="D18" s="40"/>
      <c r="E18" s="40"/>
      <c r="F18" s="40"/>
      <c r="G18" s="40"/>
      <c r="H18" s="40"/>
      <c r="I18" s="40"/>
    </row>
  </sheetData>
  <mergeCells count="1">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9" min="2" style="1" width="9"/>
  </cols>
  <sheetData>
    <row r="1" customFormat="false" ht="15" hidden="false" customHeight="true" outlineLevel="0" collapsed="false">
      <c r="A1" s="2" t="s">
        <v>233</v>
      </c>
    </row>
    <row r="2" customFormat="false" ht="15" hidden="false" customHeight="true" outlineLevel="0" collapsed="false">
      <c r="A2" s="5" t="s">
        <v>234</v>
      </c>
    </row>
    <row r="4" customFormat="false" ht="15" hidden="false" customHeight="true" outlineLevel="0" collapsed="false">
      <c r="B4" s="4" t="s">
        <v>222</v>
      </c>
      <c r="C4" s="4" t="s">
        <v>223</v>
      </c>
      <c r="D4" s="4" t="s">
        <v>224</v>
      </c>
      <c r="E4" s="4" t="s">
        <v>117</v>
      </c>
      <c r="F4" s="4" t="s">
        <v>118</v>
      </c>
      <c r="G4" s="4" t="s">
        <v>119</v>
      </c>
      <c r="H4" s="4" t="s">
        <v>120</v>
      </c>
      <c r="I4" s="4" t="s">
        <v>121</v>
      </c>
    </row>
    <row r="5" customFormat="false" ht="15" hidden="false" customHeight="true" outlineLevel="0" collapsed="false">
      <c r="A5" s="9" t="s">
        <v>235</v>
      </c>
      <c r="B5" s="41" t="n">
        <v>80</v>
      </c>
      <c r="C5" s="41" t="n">
        <v>137</v>
      </c>
      <c r="D5" s="41" t="n">
        <v>25</v>
      </c>
      <c r="E5" s="41" t="n">
        <v>30</v>
      </c>
      <c r="F5" s="41" t="n">
        <v>32</v>
      </c>
      <c r="G5" s="41" t="n">
        <v>35</v>
      </c>
      <c r="H5" s="41" t="n">
        <v>38</v>
      </c>
      <c r="I5" s="41" t="n">
        <v>41</v>
      </c>
    </row>
    <row r="6" customFormat="false" ht="15" hidden="false" customHeight="true" outlineLevel="0" collapsed="false">
      <c r="A6" s="9" t="s">
        <v>236</v>
      </c>
      <c r="B6" s="41" t="n">
        <v>150</v>
      </c>
      <c r="C6" s="41" t="n">
        <v>271</v>
      </c>
      <c r="D6" s="41" t="n">
        <v>230</v>
      </c>
      <c r="E6" s="41" t="n">
        <v>250</v>
      </c>
      <c r="F6" s="41" t="n">
        <v>270</v>
      </c>
      <c r="G6" s="41" t="n">
        <v>292</v>
      </c>
      <c r="H6" s="41" t="n">
        <v>315</v>
      </c>
      <c r="I6" s="41" t="n">
        <v>340</v>
      </c>
    </row>
    <row r="7" customFormat="false" ht="15" hidden="false" customHeight="true" outlineLevel="0" collapsed="false">
      <c r="A7" s="9" t="s">
        <v>237</v>
      </c>
      <c r="B7" s="41" t="n">
        <v>300</v>
      </c>
      <c r="C7" s="41" t="n">
        <v>344</v>
      </c>
      <c r="D7" s="41" t="n">
        <v>490</v>
      </c>
      <c r="E7" s="41" t="n">
        <v>560</v>
      </c>
      <c r="F7" s="41" t="n">
        <v>638</v>
      </c>
      <c r="G7" s="41" t="n">
        <v>720</v>
      </c>
      <c r="H7" s="41" t="n">
        <v>807</v>
      </c>
      <c r="I7" s="41" t="n">
        <v>900</v>
      </c>
    </row>
    <row r="8" customFormat="false" ht="15" hidden="false" customHeight="true" outlineLevel="0" collapsed="false">
      <c r="A8" s="9" t="s">
        <v>238</v>
      </c>
      <c r="B8" s="41" t="n">
        <f aca="false">(B15+B16)-B5-B6-B7-B9</f>
        <v>290</v>
      </c>
      <c r="C8" s="41" t="n">
        <f aca="false">(C15+C16)-C5-C6-C7-C9</f>
        <v>395</v>
      </c>
      <c r="D8" s="41" t="n">
        <f aca="false">(D15+D16)-D5-D6-D7-D9</f>
        <v>658</v>
      </c>
      <c r="E8" s="41" t="n">
        <f aca="false">(E15+E16)-E5-E6-E7-E9</f>
        <v>751.101</v>
      </c>
      <c r="F8" s="41" t="n">
        <f aca="false">(F15+F16)-F5-F6-F7-F9</f>
        <v>830.30225</v>
      </c>
      <c r="G8" s="41" t="n">
        <f aca="false">(G15+G16)-G5-G6-G7-G9</f>
        <v>905.55855</v>
      </c>
      <c r="H8" s="41" t="n">
        <f aca="false">(H15+H16)-H5-H6-H7-H9</f>
        <v>982.89935</v>
      </c>
      <c r="I8" s="41" t="n">
        <f aca="false">(I15+I16)-I5-I6-I7-I9</f>
        <v>1064.09085</v>
      </c>
    </row>
    <row r="9" customFormat="false" ht="15" hidden="false" customHeight="true" outlineLevel="0" collapsed="false">
      <c r="A9" s="9" t="s">
        <v>239</v>
      </c>
      <c r="B9" s="41" t="n">
        <v>50</v>
      </c>
      <c r="C9" s="41" t="n">
        <v>68</v>
      </c>
      <c r="D9" s="41" t="n">
        <v>75</v>
      </c>
      <c r="E9" s="41" t="n">
        <v>80</v>
      </c>
      <c r="F9" s="41" t="n">
        <v>86</v>
      </c>
      <c r="G9" s="41" t="n">
        <v>92</v>
      </c>
      <c r="H9" s="41" t="n">
        <v>98</v>
      </c>
      <c r="I9" s="41" t="n">
        <v>105</v>
      </c>
    </row>
    <row r="10" customFormat="false" ht="15" hidden="false" customHeight="true" outlineLevel="0" collapsed="false">
      <c r="A10" s="4" t="s">
        <v>240</v>
      </c>
      <c r="B10" s="42" t="n">
        <f aca="false">SUM(B5:B9)</f>
        <v>870</v>
      </c>
      <c r="C10" s="42" t="n">
        <f aca="false">SUM(C5:C9)</f>
        <v>1215</v>
      </c>
      <c r="D10" s="42" t="n">
        <f aca="false">SUM(D5:D9)</f>
        <v>1478</v>
      </c>
      <c r="E10" s="42" t="n">
        <f aca="false">SUM(E5:E9)</f>
        <v>1671.101</v>
      </c>
      <c r="F10" s="42" t="n">
        <f aca="false">SUM(F5:F9)</f>
        <v>1856.30225</v>
      </c>
      <c r="G10" s="42" t="n">
        <f aca="false">SUM(G5:G9)</f>
        <v>2044.55855</v>
      </c>
      <c r="H10" s="42" t="n">
        <f aca="false">SUM(H5:H9)</f>
        <v>2240.89935</v>
      </c>
      <c r="I10" s="42" t="n">
        <f aca="false">SUM(I5:I9)</f>
        <v>2450.09085</v>
      </c>
    </row>
    <row r="12" customFormat="false" ht="15" hidden="false" customHeight="true" outlineLevel="0" collapsed="false">
      <c r="A12" s="9" t="s">
        <v>241</v>
      </c>
      <c r="B12" s="41" t="n">
        <v>720</v>
      </c>
      <c r="C12" s="41" t="n">
        <v>973</v>
      </c>
      <c r="D12" s="41" t="n">
        <v>1110</v>
      </c>
      <c r="E12" s="41" t="n">
        <v>1230</v>
      </c>
      <c r="F12" s="41" t="n">
        <v>1340</v>
      </c>
      <c r="G12" s="41" t="n">
        <v>1450</v>
      </c>
      <c r="H12" s="41" t="n">
        <v>1565</v>
      </c>
      <c r="I12" s="41" t="n">
        <v>1690</v>
      </c>
    </row>
    <row r="13" customFormat="false" ht="15" hidden="false" customHeight="true" outlineLevel="0" collapsed="false">
      <c r="A13" s="9" t="s">
        <v>242</v>
      </c>
      <c r="B13" s="41" t="n">
        <v>20</v>
      </c>
      <c r="C13" s="41" t="n">
        <v>26</v>
      </c>
      <c r="D13" s="41" t="n">
        <v>38</v>
      </c>
      <c r="E13" s="41" t="n">
        <v>42</v>
      </c>
      <c r="F13" s="41" t="n">
        <v>46</v>
      </c>
      <c r="G13" s="41" t="n">
        <v>50</v>
      </c>
      <c r="H13" s="41" t="n">
        <v>54</v>
      </c>
      <c r="I13" s="41" t="n">
        <v>58</v>
      </c>
    </row>
    <row r="14" customFormat="false" ht="15" hidden="false" customHeight="true" outlineLevel="0" collapsed="false">
      <c r="A14" s="9" t="s">
        <v>243</v>
      </c>
      <c r="B14" s="41" t="n">
        <v>40</v>
      </c>
      <c r="C14" s="41" t="n">
        <v>63</v>
      </c>
      <c r="D14" s="41" t="n">
        <v>102</v>
      </c>
      <c r="E14" s="41" t="n">
        <v>110</v>
      </c>
      <c r="F14" s="41" t="n">
        <v>118</v>
      </c>
      <c r="G14" s="41" t="n">
        <v>126</v>
      </c>
      <c r="H14" s="41" t="n">
        <v>134</v>
      </c>
      <c r="I14" s="41" t="n">
        <v>143</v>
      </c>
    </row>
    <row r="15" customFormat="false" ht="15" hidden="false" customHeight="true" outlineLevel="0" collapsed="false">
      <c r="A15" s="4" t="s">
        <v>244</v>
      </c>
      <c r="B15" s="43" t="n">
        <f aca="false">SUM(B12:B14)</f>
        <v>780</v>
      </c>
      <c r="C15" s="43" t="n">
        <f aca="false">SUM(C12:C14)</f>
        <v>1062</v>
      </c>
      <c r="D15" s="43" t="n">
        <f aca="false">SUM(D12:D14)</f>
        <v>1250</v>
      </c>
      <c r="E15" s="43" t="n">
        <f aca="false">SUM(E12:E14)</f>
        <v>1382</v>
      </c>
      <c r="F15" s="43" t="n">
        <f aca="false">SUM(F12:F14)</f>
        <v>1504</v>
      </c>
      <c r="G15" s="43" t="n">
        <f aca="false">SUM(G12:G14)</f>
        <v>1626</v>
      </c>
      <c r="H15" s="43" t="n">
        <f aca="false">SUM(H12:H14)</f>
        <v>1753</v>
      </c>
      <c r="I15" s="43" t="n">
        <f aca="false">SUM(I12:I14)</f>
        <v>1891</v>
      </c>
    </row>
    <row r="16" customFormat="false" ht="15" hidden="false" customHeight="true" outlineLevel="0" collapsed="false">
      <c r="A16" s="38" t="s">
        <v>245</v>
      </c>
      <c r="B16" s="42" t="n">
        <v>90</v>
      </c>
      <c r="C16" s="42" t="n">
        <v>153</v>
      </c>
      <c r="D16" s="42" t="n">
        <v>228</v>
      </c>
      <c r="E16" s="42" t="n">
        <f aca="false">D16+'Income Statement'!E14*(1-DDM!B6)</f>
        <v>289.101</v>
      </c>
      <c r="F16" s="42" t="n">
        <f aca="false">E16+'Income Statement'!F14*(1-DDM!C6)</f>
        <v>352.30225</v>
      </c>
      <c r="G16" s="42" t="n">
        <f aca="false">F16+'Income Statement'!G14*(1-DDM!D6)</f>
        <v>418.55855</v>
      </c>
      <c r="H16" s="42" t="n">
        <f aca="false">G16+'Income Statement'!H14*(1-DDM!E6)</f>
        <v>487.89935</v>
      </c>
      <c r="I16" s="42" t="n">
        <f aca="false">H16+'Income Statement'!I14*(1-DDM!F6)</f>
        <v>559.09085</v>
      </c>
    </row>
    <row r="17" customFormat="false" ht="15" hidden="false" customHeight="true" outlineLevel="0" collapsed="false">
      <c r="A17" s="9" t="s">
        <v>246</v>
      </c>
      <c r="B17" s="41" t="n">
        <f aca="false">B15+B16</f>
        <v>870</v>
      </c>
      <c r="C17" s="41" t="n">
        <f aca="false">C15+C16</f>
        <v>1215</v>
      </c>
      <c r="D17" s="41" t="n">
        <f aca="false">D15+D16</f>
        <v>1478</v>
      </c>
      <c r="E17" s="41" t="n">
        <f aca="false">E15+E16</f>
        <v>1671.101</v>
      </c>
      <c r="F17" s="41" t="n">
        <f aca="false">F15+F16</f>
        <v>1856.30225</v>
      </c>
      <c r="G17" s="41" t="n">
        <f aca="false">G15+G16</f>
        <v>2044.55855</v>
      </c>
      <c r="H17" s="41" t="n">
        <f aca="false">H15+H16</f>
        <v>2240.89935</v>
      </c>
      <c r="I17" s="41" t="n">
        <f aca="false">I15+I16</f>
        <v>2450.09085</v>
      </c>
    </row>
    <row r="18" customFormat="false" ht="15" hidden="false" customHeight="true" outlineLevel="0" collapsed="false">
      <c r="A18" s="9" t="s">
        <v>247</v>
      </c>
      <c r="B18" s="41" t="n">
        <f aca="false">B10-B17</f>
        <v>0</v>
      </c>
      <c r="C18" s="41" t="n">
        <f aca="false">C10-C17</f>
        <v>0</v>
      </c>
      <c r="D18" s="41" t="n">
        <f aca="false">D10-D17</f>
        <v>0</v>
      </c>
      <c r="E18" s="41" t="n">
        <f aca="false">E10-E17</f>
        <v>0</v>
      </c>
      <c r="F18" s="41" t="n">
        <f aca="false">F10-F17</f>
        <v>0</v>
      </c>
      <c r="G18" s="41" t="n">
        <f aca="false">G10-G17</f>
        <v>0</v>
      </c>
      <c r="H18" s="41" t="n">
        <f aca="false">H10-H17</f>
        <v>0</v>
      </c>
      <c r="I18" s="41" t="n">
        <f aca="false">I10-I17</f>
        <v>0</v>
      </c>
    </row>
    <row r="19" customFormat="false" ht="15" hidden="false" customHeight="true" outlineLevel="0" collapsed="false">
      <c r="A19" s="9" t="s">
        <v>248</v>
      </c>
      <c r="B19" s="20" t="n">
        <f aca="false">B16/Assumptions!$B$6</f>
        <v>29.3064148485835</v>
      </c>
      <c r="C19" s="20" t="n">
        <f aca="false">C16/Assumptions!$B$6</f>
        <v>49.820905242592</v>
      </c>
      <c r="D19" s="20" t="n">
        <f aca="false">D16/Assumptions!$B$6</f>
        <v>74.2429176164116</v>
      </c>
      <c r="E19" s="20" t="n">
        <f aca="false">E16/Assumptions!$B$6</f>
        <v>94.1390426571149</v>
      </c>
      <c r="F19" s="20" t="n">
        <f aca="false">F16/Assumptions!$B$6</f>
        <v>114.719065450993</v>
      </c>
      <c r="G19" s="20" t="n">
        <f aca="false">G16/Assumptions!$B$6</f>
        <v>136.293894496907</v>
      </c>
      <c r="H19" s="20" t="n">
        <f aca="false">H16/Assumptions!$B$6</f>
        <v>158.873119505047</v>
      </c>
      <c r="I19" s="20" t="n">
        <f aca="false">I16/Assumptions!$B$6</f>
        <v>182.054982090524</v>
      </c>
    </row>
    <row r="20" customFormat="false" ht="15" hidden="false" customHeight="true" outlineLevel="0" collapsed="false">
      <c r="A20" s="9" t="s">
        <v>249</v>
      </c>
      <c r="C20" s="10" t="n">
        <v>0.241</v>
      </c>
      <c r="D20" s="10" t="n">
        <v>0.27</v>
      </c>
    </row>
    <row r="22" customFormat="false" ht="42" hidden="false" customHeight="true" outlineLevel="0" collapsed="false">
      <c r="A22" s="40" t="s">
        <v>250</v>
      </c>
      <c r="B22" s="40"/>
      <c r="C22" s="40"/>
      <c r="D22" s="40"/>
      <c r="E22" s="40"/>
      <c r="F22" s="40"/>
      <c r="G22" s="40"/>
      <c r="H22" s="40"/>
      <c r="I22" s="40"/>
    </row>
  </sheetData>
  <mergeCells count="1">
    <mergeCell ref="A22:I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9" min="2" style="1" width="9"/>
  </cols>
  <sheetData>
    <row r="1" customFormat="false" ht="15" hidden="false" customHeight="true" outlineLevel="0" collapsed="false">
      <c r="A1" s="2" t="s">
        <v>251</v>
      </c>
    </row>
    <row r="2" customFormat="false" ht="15" hidden="false" customHeight="true" outlineLevel="0" collapsed="false">
      <c r="A2" s="5" t="s">
        <v>252</v>
      </c>
    </row>
    <row r="4" customFormat="false" ht="15" hidden="false" customHeight="true" outlineLevel="0" collapsed="false">
      <c r="B4" s="4" t="s">
        <v>222</v>
      </c>
      <c r="C4" s="4" t="s">
        <v>223</v>
      </c>
      <c r="D4" s="4" t="s">
        <v>224</v>
      </c>
      <c r="E4" s="4" t="s">
        <v>117</v>
      </c>
      <c r="F4" s="4" t="s">
        <v>118</v>
      </c>
      <c r="G4" s="4" t="s">
        <v>119</v>
      </c>
      <c r="H4" s="4" t="s">
        <v>120</v>
      </c>
      <c r="I4" s="4" t="s">
        <v>121</v>
      </c>
    </row>
    <row r="5" customFormat="false" ht="15" hidden="false" customHeight="true" outlineLevel="0" collapsed="false">
      <c r="A5" s="9" t="s">
        <v>253</v>
      </c>
      <c r="B5" s="24" t="n">
        <f aca="false">'Income Statement'!B14</f>
        <v>29.7</v>
      </c>
      <c r="C5" s="24" t="n">
        <f aca="false">'Income Statement'!C14</f>
        <v>55.2</v>
      </c>
      <c r="D5" s="24" t="n">
        <f aca="false">'Income Statement'!D14</f>
        <v>82.2</v>
      </c>
      <c r="E5" s="24" t="n">
        <f aca="false">'Income Statement'!E14</f>
        <v>83.7</v>
      </c>
      <c r="F5" s="24" t="n">
        <f aca="false">'Income Statement'!F14</f>
        <v>90.2875</v>
      </c>
      <c r="G5" s="24" t="n">
        <f aca="false">'Income Statement'!G14</f>
        <v>98.89</v>
      </c>
      <c r="H5" s="24" t="n">
        <f aca="false">'Income Statement'!H14</f>
        <v>108.345</v>
      </c>
      <c r="I5" s="24" t="n">
        <f aca="false">'Income Statement'!I14</f>
        <v>118.6525</v>
      </c>
    </row>
    <row r="6" customFormat="false" ht="15" hidden="false" customHeight="true" outlineLevel="0" collapsed="false">
      <c r="A6" s="9" t="s">
        <v>254</v>
      </c>
      <c r="B6" s="35" t="n">
        <v>-5</v>
      </c>
      <c r="C6" s="35" t="n">
        <v>-9</v>
      </c>
      <c r="D6" s="35" t="n">
        <v>-15</v>
      </c>
      <c r="E6" s="35" t="n">
        <f aca="false">-'Income Statement'!E14*DDM!E6</f>
        <v>-30.132</v>
      </c>
      <c r="F6" s="35" t="n">
        <f aca="false">-'Income Statement'!F14*DDM!F6</f>
        <v>-36.115</v>
      </c>
      <c r="G6" s="35" t="n">
        <f aca="false">-'Income Statement'!G14*DDM!G6</f>
        <v>-0</v>
      </c>
      <c r="H6" s="35" t="n">
        <f aca="false">-'Income Statement'!H14*DDM!H6</f>
        <v>-0</v>
      </c>
      <c r="I6" s="35" t="n">
        <f aca="false">-'Income Statement'!I14*DDM!I6</f>
        <v>-0</v>
      </c>
    </row>
    <row r="7" customFormat="false" ht="15" hidden="false" customHeight="true" outlineLevel="0" collapsed="false">
      <c r="A7" s="4" t="s">
        <v>255</v>
      </c>
      <c r="B7" s="37" t="n">
        <f aca="false">B5+B6</f>
        <v>24.7</v>
      </c>
      <c r="C7" s="37" t="n">
        <f aca="false">C5+C6</f>
        <v>46.2</v>
      </c>
      <c r="D7" s="37" t="n">
        <f aca="false">D5+D6</f>
        <v>67.2</v>
      </c>
      <c r="E7" s="37" t="n">
        <f aca="false">E5+E6</f>
        <v>53.568</v>
      </c>
      <c r="F7" s="37" t="n">
        <f aca="false">F5+F6</f>
        <v>54.1725</v>
      </c>
      <c r="G7" s="37" t="n">
        <f aca="false">G5+G6</f>
        <v>98.89</v>
      </c>
      <c r="H7" s="37" t="n">
        <f aca="false">H5+H6</f>
        <v>108.345</v>
      </c>
      <c r="I7" s="37" t="n">
        <f aca="false">I5+I6</f>
        <v>118.6525</v>
      </c>
    </row>
    <row r="9" customFormat="false" ht="42" hidden="false" customHeight="true" outlineLevel="0" collapsed="false">
      <c r="A9" s="40" t="s">
        <v>256</v>
      </c>
      <c r="B9" s="40"/>
      <c r="C9" s="40"/>
      <c r="D9" s="40"/>
      <c r="E9" s="40"/>
      <c r="F9" s="40"/>
      <c r="G9" s="40"/>
      <c r="H9" s="40"/>
      <c r="I9" s="40"/>
    </row>
  </sheetData>
  <mergeCells count="1">
    <mergeCell ref="A9:I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9" min="2" style="1" width="9"/>
  </cols>
  <sheetData>
    <row r="1" customFormat="false" ht="15" hidden="false" customHeight="true" outlineLevel="0" collapsed="false">
      <c r="A1" s="2" t="s">
        <v>257</v>
      </c>
    </row>
    <row r="4" customFormat="false" ht="15" hidden="false" customHeight="true" outlineLevel="0" collapsed="false">
      <c r="B4" s="4" t="s">
        <v>222</v>
      </c>
      <c r="C4" s="4" t="s">
        <v>223</v>
      </c>
      <c r="D4" s="4" t="s">
        <v>224</v>
      </c>
      <c r="E4" s="4" t="s">
        <v>117</v>
      </c>
      <c r="F4" s="4" t="s">
        <v>118</v>
      </c>
      <c r="G4" s="4" t="s">
        <v>119</v>
      </c>
      <c r="H4" s="4" t="s">
        <v>120</v>
      </c>
      <c r="I4" s="4" t="s">
        <v>121</v>
      </c>
    </row>
    <row r="5" customFormat="false" ht="15" hidden="false" customHeight="true" outlineLevel="0" collapsed="false">
      <c r="A5" s="9" t="s">
        <v>225</v>
      </c>
      <c r="B5" s="24" t="n">
        <f aca="false">'Income Statement'!B8</f>
        <v>67.5</v>
      </c>
      <c r="C5" s="24" t="n">
        <f aca="false">'Income Statement'!C8</f>
        <v>101</v>
      </c>
      <c r="D5" s="24" t="n">
        <f aca="false">'Income Statement'!D8</f>
        <v>125.5</v>
      </c>
      <c r="E5" s="24" t="n">
        <f aca="false">'Income Statement'!E8</f>
        <v>133.5</v>
      </c>
      <c r="F5" s="24" t="n">
        <f aca="false">'Income Statement'!F8</f>
        <v>147</v>
      </c>
      <c r="G5" s="24" t="n">
        <f aca="false">'Income Statement'!G8</f>
        <v>162.6</v>
      </c>
      <c r="H5" s="24" t="n">
        <f aca="false">'Income Statement'!H8</f>
        <v>179.3</v>
      </c>
      <c r="I5" s="24" t="n">
        <f aca="false">'Income Statement'!I8</f>
        <v>197.1</v>
      </c>
    </row>
    <row r="6" customFormat="false" ht="15" hidden="false" customHeight="true" outlineLevel="0" collapsed="false">
      <c r="A6" s="9" t="s">
        <v>258</v>
      </c>
      <c r="B6" s="24" t="n">
        <f aca="false">'Income Statement'!B10</f>
        <v>54.5</v>
      </c>
      <c r="C6" s="24" t="n">
        <f aca="false">'Income Statement'!C10</f>
        <v>85</v>
      </c>
      <c r="D6" s="24" t="n">
        <f aca="false">'Income Statement'!D10</f>
        <v>107</v>
      </c>
      <c r="E6" s="24" t="n">
        <f aca="false">'Income Statement'!E10</f>
        <v>111.5</v>
      </c>
      <c r="F6" s="24" t="n">
        <f aca="false">'Income Statement'!F10</f>
        <v>122</v>
      </c>
      <c r="G6" s="24" t="n">
        <f aca="false">'Income Statement'!G10</f>
        <v>134.6</v>
      </c>
      <c r="H6" s="24" t="n">
        <f aca="false">'Income Statement'!H10</f>
        <v>148.3</v>
      </c>
      <c r="I6" s="24" t="n">
        <f aca="false">'Income Statement'!I10</f>
        <v>163.1</v>
      </c>
    </row>
    <row r="7" customFormat="false" ht="15" hidden="false" customHeight="true" outlineLevel="0" collapsed="false">
      <c r="A7" s="9" t="s">
        <v>259</v>
      </c>
      <c r="B7" s="24" t="n">
        <f aca="false">'Income Statement'!B14</f>
        <v>29.7</v>
      </c>
      <c r="C7" s="24" t="n">
        <f aca="false">'Income Statement'!C14</f>
        <v>55.2</v>
      </c>
      <c r="D7" s="24" t="n">
        <f aca="false">'Income Statement'!D14</f>
        <v>82.2</v>
      </c>
      <c r="E7" s="24" t="n">
        <f aca="false">'Income Statement'!E14</f>
        <v>83.7</v>
      </c>
      <c r="F7" s="24" t="n">
        <f aca="false">'Income Statement'!F14</f>
        <v>90.2875</v>
      </c>
      <c r="G7" s="24" t="n">
        <f aca="false">'Income Statement'!G14</f>
        <v>98.89</v>
      </c>
      <c r="H7" s="24" t="n">
        <f aca="false">'Income Statement'!H14</f>
        <v>108.345</v>
      </c>
      <c r="I7" s="24" t="n">
        <f aca="false">'Income Statement'!I14</f>
        <v>118.6525</v>
      </c>
    </row>
    <row r="8" customFormat="false" ht="15" hidden="false" customHeight="true" outlineLevel="0" collapsed="false">
      <c r="A8" s="9" t="s">
        <v>145</v>
      </c>
      <c r="B8" s="8" t="n">
        <f aca="false">'Income Statement'!B16</f>
        <v>8.89742754802996</v>
      </c>
      <c r="C8" s="8" t="n">
        <f aca="false">'Income Statement'!C16</f>
        <v>16.5366330185607</v>
      </c>
      <c r="D8" s="8" t="n">
        <f aca="false">'Income Statement'!D16</f>
        <v>24.6252035167698</v>
      </c>
      <c r="E8" s="8" t="n">
        <f aca="false">'Income Statement'!E16</f>
        <v>25.0745685444481</v>
      </c>
      <c r="F8" s="8" t="n">
        <f aca="false">'Income Statement'!F16</f>
        <v>27.0480299576685</v>
      </c>
      <c r="G8" s="8" t="n">
        <f aca="false">'Income Statement'!G16</f>
        <v>29.6251383914034</v>
      </c>
      <c r="H8" s="8" t="n">
        <f aca="false">'Income Statement'!H16</f>
        <v>32.4576359492022</v>
      </c>
      <c r="I8" s="8" t="n">
        <f aca="false">'Income Statement'!I16</f>
        <v>35.5455226310648</v>
      </c>
    </row>
    <row r="9" customFormat="false" ht="15" hidden="false" customHeight="true" outlineLevel="0" collapsed="false">
      <c r="A9" s="9" t="s">
        <v>240</v>
      </c>
      <c r="B9" s="44" t="n">
        <f aca="false">'Balance Sheet'!B10</f>
        <v>870</v>
      </c>
      <c r="C9" s="44" t="n">
        <f aca="false">'Balance Sheet'!C10</f>
        <v>1215</v>
      </c>
      <c r="D9" s="44" t="n">
        <f aca="false">'Balance Sheet'!D10</f>
        <v>1478</v>
      </c>
      <c r="E9" s="44" t="n">
        <f aca="false">'Balance Sheet'!E10</f>
        <v>1671.101</v>
      </c>
      <c r="F9" s="44" t="n">
        <f aca="false">'Balance Sheet'!F10</f>
        <v>1856.30225</v>
      </c>
      <c r="G9" s="44" t="n">
        <f aca="false">'Balance Sheet'!G10</f>
        <v>2044.55855</v>
      </c>
      <c r="H9" s="44" t="n">
        <f aca="false">'Balance Sheet'!H10</f>
        <v>2240.89935</v>
      </c>
      <c r="I9" s="44" t="n">
        <f aca="false">'Balance Sheet'!I10</f>
        <v>2450.09085</v>
      </c>
    </row>
    <row r="10" customFormat="false" ht="15" hidden="false" customHeight="true" outlineLevel="0" collapsed="false">
      <c r="A10" s="9" t="s">
        <v>260</v>
      </c>
      <c r="B10" s="44" t="n">
        <f aca="false">'Balance Sheet'!B7</f>
        <v>300</v>
      </c>
      <c r="C10" s="44" t="n">
        <f aca="false">'Balance Sheet'!C7</f>
        <v>344</v>
      </c>
      <c r="D10" s="44" t="n">
        <f aca="false">'Balance Sheet'!D7</f>
        <v>490</v>
      </c>
      <c r="E10" s="44" t="n">
        <f aca="false">'Balance Sheet'!E7</f>
        <v>560</v>
      </c>
      <c r="F10" s="44" t="n">
        <f aca="false">'Balance Sheet'!F7</f>
        <v>638</v>
      </c>
      <c r="G10" s="44" t="n">
        <f aca="false">'Balance Sheet'!G7</f>
        <v>720</v>
      </c>
      <c r="H10" s="44" t="n">
        <f aca="false">'Balance Sheet'!H7</f>
        <v>807</v>
      </c>
      <c r="I10" s="44" t="n">
        <f aca="false">'Balance Sheet'!I7</f>
        <v>900</v>
      </c>
    </row>
    <row r="11" customFormat="false" ht="15" hidden="false" customHeight="true" outlineLevel="0" collapsed="false">
      <c r="A11" s="9" t="s">
        <v>261</v>
      </c>
      <c r="B11" s="44" t="n">
        <f aca="false">'Balance Sheet'!B8</f>
        <v>290</v>
      </c>
      <c r="C11" s="44" t="n">
        <f aca="false">'Balance Sheet'!C8</f>
        <v>395</v>
      </c>
      <c r="D11" s="44" t="n">
        <f aca="false">'Balance Sheet'!D8</f>
        <v>658</v>
      </c>
      <c r="E11" s="44" t="n">
        <f aca="false">'Balance Sheet'!E8</f>
        <v>751.101</v>
      </c>
      <c r="F11" s="44" t="n">
        <f aca="false">'Balance Sheet'!F8</f>
        <v>830.30225</v>
      </c>
      <c r="G11" s="44" t="n">
        <f aca="false">'Balance Sheet'!G8</f>
        <v>905.55855</v>
      </c>
      <c r="H11" s="44" t="n">
        <f aca="false">'Balance Sheet'!H8</f>
        <v>982.89935</v>
      </c>
      <c r="I11" s="44" t="n">
        <f aca="false">'Balance Sheet'!I8</f>
        <v>1064.09085</v>
      </c>
    </row>
    <row r="12" customFormat="false" ht="15" hidden="false" customHeight="true" outlineLevel="0" collapsed="false">
      <c r="A12" s="9" t="s">
        <v>262</v>
      </c>
      <c r="B12" s="44" t="n">
        <f aca="false">'Balance Sheet'!B12</f>
        <v>720</v>
      </c>
      <c r="C12" s="44" t="n">
        <f aca="false">'Balance Sheet'!C12</f>
        <v>973</v>
      </c>
      <c r="D12" s="44" t="n">
        <f aca="false">'Balance Sheet'!D12</f>
        <v>1110</v>
      </c>
      <c r="E12" s="44" t="n">
        <f aca="false">'Balance Sheet'!E12</f>
        <v>1230</v>
      </c>
      <c r="F12" s="44" t="n">
        <f aca="false">'Balance Sheet'!F12</f>
        <v>1340</v>
      </c>
      <c r="G12" s="44" t="n">
        <f aca="false">'Balance Sheet'!G12</f>
        <v>1450</v>
      </c>
      <c r="H12" s="44" t="n">
        <f aca="false">'Balance Sheet'!H12</f>
        <v>1565</v>
      </c>
      <c r="I12" s="44" t="n">
        <f aca="false">'Balance Sheet'!I12</f>
        <v>1690</v>
      </c>
    </row>
    <row r="13" customFormat="false" ht="15" hidden="false" customHeight="true" outlineLevel="0" collapsed="false">
      <c r="A13" s="9" t="s">
        <v>263</v>
      </c>
      <c r="B13" s="44" t="n">
        <f aca="false">'Balance Sheet'!B16</f>
        <v>90</v>
      </c>
      <c r="C13" s="44" t="n">
        <f aca="false">'Balance Sheet'!C16</f>
        <v>153</v>
      </c>
      <c r="D13" s="44" t="n">
        <f aca="false">'Balance Sheet'!D16</f>
        <v>228</v>
      </c>
      <c r="E13" s="44" t="n">
        <f aca="false">'Balance Sheet'!E16</f>
        <v>289.101</v>
      </c>
      <c r="F13" s="44" t="n">
        <f aca="false">'Balance Sheet'!F16</f>
        <v>352.30225</v>
      </c>
      <c r="G13" s="44" t="n">
        <f aca="false">'Balance Sheet'!G16</f>
        <v>418.55855</v>
      </c>
      <c r="H13" s="44" t="n">
        <f aca="false">'Balance Sheet'!H16</f>
        <v>487.89935</v>
      </c>
      <c r="I13" s="44" t="n">
        <f aca="false">'Balance Sheet'!I16</f>
        <v>559.09085</v>
      </c>
    </row>
    <row r="14" customFormat="false" ht="15" hidden="false" customHeight="true" outlineLevel="0" collapsed="false">
      <c r="A14" s="9" t="s">
        <v>264</v>
      </c>
      <c r="B14" s="8" t="n">
        <f aca="false">'Balance Sheet'!B19</f>
        <v>29.3064148485835</v>
      </c>
      <c r="C14" s="8" t="n">
        <f aca="false">'Balance Sheet'!C19</f>
        <v>49.820905242592</v>
      </c>
      <c r="D14" s="8" t="n">
        <f aca="false">'Balance Sheet'!D19</f>
        <v>74.2429176164116</v>
      </c>
      <c r="E14" s="8" t="n">
        <f aca="false">'Balance Sheet'!E19</f>
        <v>94.1390426571149</v>
      </c>
      <c r="F14" s="8" t="n">
        <f aca="false">'Balance Sheet'!F19</f>
        <v>114.719065450993</v>
      </c>
      <c r="G14" s="8" t="n">
        <f aca="false">'Balance Sheet'!G19</f>
        <v>136.293894496907</v>
      </c>
      <c r="H14" s="8" t="n">
        <f aca="false">'Balance Sheet'!H19</f>
        <v>158.873119505047</v>
      </c>
      <c r="I14" s="8" t="n">
        <f aca="false">'Balance Sheet'!I19</f>
        <v>182.054982090524</v>
      </c>
    </row>
    <row r="15" customFormat="false" ht="15" hidden="false" customHeight="true" outlineLevel="0" collapsed="false">
      <c r="A15" s="9" t="s">
        <v>265</v>
      </c>
      <c r="C15" s="10" t="n">
        <f aca="false">'Income Statement'!C14/AVERAGE('Balance Sheet'!C16,'Balance Sheet'!B16)</f>
        <v>0.454320987654321</v>
      </c>
      <c r="D15" s="10" t="n">
        <f aca="false">'Income Statement'!D14/AVERAGE('Balance Sheet'!D16,'Balance Sheet'!C16)</f>
        <v>0.431496062992126</v>
      </c>
      <c r="E15" s="10" t="n">
        <f aca="false">'Income Statement'!E14/AVERAGE('Balance Sheet'!E16,'Balance Sheet'!D16)</f>
        <v>0.323727859741134</v>
      </c>
      <c r="F15" s="10" t="n">
        <f aca="false">'Income Statement'!F14/AVERAGE('Balance Sheet'!F16,'Balance Sheet'!E16)</f>
        <v>0.281531158440497</v>
      </c>
      <c r="G15" s="10" t="n">
        <f aca="false">'Income Statement'!G14/AVERAGE('Balance Sheet'!G16,'Balance Sheet'!F16)</f>
        <v>0.256570317234966</v>
      </c>
      <c r="H15" s="10" t="n">
        <f aca="false">'Income Statement'!H14/AVERAGE('Balance Sheet'!H16,'Balance Sheet'!G16)</f>
        <v>0.239051366864363</v>
      </c>
      <c r="I15" s="10" t="n">
        <f aca="false">'Income Statement'!I14/AVERAGE('Balance Sheet'!I16,'Balance Sheet'!H16)</f>
        <v>0.22665446152218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8" min="2" style="1" width="11"/>
  </cols>
  <sheetData>
    <row r="1" customFormat="false" ht="15" hidden="false" customHeight="true" outlineLevel="0" collapsed="false">
      <c r="A1" s="2" t="s">
        <v>266</v>
      </c>
    </row>
    <row r="2" customFormat="false" ht="15" hidden="false" customHeight="true" outlineLevel="0" collapsed="false">
      <c r="A2" s="5" t="s">
        <v>267</v>
      </c>
    </row>
    <row r="4" customFormat="false" ht="15" hidden="false" customHeight="true" outlineLevel="0" collapsed="false">
      <c r="A4" s="6" t="s">
        <v>268</v>
      </c>
      <c r="B4" s="7"/>
      <c r="C4" s="7"/>
      <c r="D4" s="7"/>
      <c r="E4" s="7"/>
      <c r="F4" s="7"/>
      <c r="G4" s="7"/>
      <c r="H4" s="7"/>
    </row>
    <row r="5" customFormat="false" ht="15" hidden="false" customHeight="true" outlineLevel="0" collapsed="false">
      <c r="A5" s="9" t="s">
        <v>269</v>
      </c>
      <c r="B5" s="18" t="n">
        <v>129.25</v>
      </c>
    </row>
    <row r="6" customFormat="false" ht="15" hidden="false" customHeight="true" outlineLevel="0" collapsed="false">
      <c r="A6" s="9" t="s">
        <v>270</v>
      </c>
      <c r="B6" s="21" t="n">
        <v>0.41</v>
      </c>
    </row>
    <row r="7" customFormat="false" ht="15" hidden="false" customHeight="true" outlineLevel="0" collapsed="false">
      <c r="A7" s="9" t="s">
        <v>271</v>
      </c>
      <c r="B7" s="45" t="n">
        <v>20</v>
      </c>
    </row>
    <row r="8" customFormat="false" ht="15" hidden="false" customHeight="true" outlineLevel="0" collapsed="false">
      <c r="A8" s="9" t="s">
        <v>272</v>
      </c>
      <c r="B8" s="45" t="n">
        <v>60</v>
      </c>
    </row>
    <row r="9" customFormat="false" ht="15" hidden="false" customHeight="true" outlineLevel="0" collapsed="false">
      <c r="A9" s="9" t="s">
        <v>273</v>
      </c>
      <c r="B9" s="10" t="n">
        <v>0.014</v>
      </c>
    </row>
    <row r="10" customFormat="false" ht="15" hidden="false" customHeight="true" outlineLevel="0" collapsed="false">
      <c r="A10" s="9" t="s">
        <v>274</v>
      </c>
      <c r="B10" s="10" t="n">
        <v>0.475619262595891</v>
      </c>
    </row>
    <row r="11" customFormat="false" ht="15" hidden="false" customHeight="true" outlineLevel="0" collapsed="false">
      <c r="A11" s="9" t="s">
        <v>275</v>
      </c>
      <c r="B11" s="20" t="n">
        <v>135.15</v>
      </c>
    </row>
    <row r="12" customFormat="false" ht="15" hidden="false" customHeight="true" outlineLevel="0" collapsed="false">
      <c r="A12" s="9" t="s">
        <v>276</v>
      </c>
      <c r="B12" s="20" t="n">
        <v>116.04</v>
      </c>
    </row>
    <row r="13" customFormat="false" ht="15" hidden="false" customHeight="true" outlineLevel="0" collapsed="false">
      <c r="A13" s="9" t="s">
        <v>277</v>
      </c>
      <c r="B13" s="20" t="n">
        <v>143.51</v>
      </c>
    </row>
    <row r="15" customFormat="false" ht="15" hidden="false" customHeight="true" outlineLevel="0" collapsed="false">
      <c r="A15" s="6" t="s">
        <v>278</v>
      </c>
      <c r="B15" s="7"/>
      <c r="C15" s="7"/>
      <c r="D15" s="7"/>
      <c r="E15" s="7"/>
      <c r="F15" s="7"/>
      <c r="G15" s="7"/>
      <c r="H15" s="7"/>
    </row>
    <row r="16" customFormat="false" ht="15" hidden="false" customHeight="true" outlineLevel="0" collapsed="false">
      <c r="A16" s="4" t="s">
        <v>279</v>
      </c>
      <c r="B16" s="4" t="s">
        <v>280</v>
      </c>
      <c r="C16" s="4" t="s">
        <v>281</v>
      </c>
      <c r="D16" s="4" t="s">
        <v>282</v>
      </c>
      <c r="E16" s="4" t="s">
        <v>283</v>
      </c>
      <c r="F16" s="4" t="s">
        <v>284</v>
      </c>
    </row>
    <row r="17" customFormat="false" ht="15" hidden="false" customHeight="true" outlineLevel="0" collapsed="false">
      <c r="A17" s="9" t="s">
        <v>285</v>
      </c>
      <c r="B17" s="20" t="n">
        <v>103.44</v>
      </c>
      <c r="C17" s="20" t="n">
        <v>117.89</v>
      </c>
      <c r="D17" s="20" t="n">
        <v>128.87</v>
      </c>
      <c r="E17" s="20" t="n">
        <v>140.85</v>
      </c>
      <c r="F17" s="20" t="n">
        <v>159.92</v>
      </c>
    </row>
    <row r="18" customFormat="false" ht="15" hidden="false" customHeight="true" outlineLevel="0" collapsed="false">
      <c r="A18" s="9" t="s">
        <v>286</v>
      </c>
      <c r="B18" s="20" t="n">
        <v>87.93</v>
      </c>
      <c r="C18" s="20" t="n">
        <v>109.91</v>
      </c>
      <c r="D18" s="20" t="n">
        <v>127.83</v>
      </c>
      <c r="E18" s="20" t="n">
        <v>148.88</v>
      </c>
      <c r="F18" s="20" t="n">
        <v>185.4</v>
      </c>
    </row>
    <row r="20" customFormat="false" ht="15" hidden="false" customHeight="true" outlineLevel="0" collapsed="false">
      <c r="A20" s="6" t="s">
        <v>287</v>
      </c>
      <c r="B20" s="7"/>
      <c r="C20" s="7"/>
      <c r="D20" s="7"/>
      <c r="E20" s="7"/>
      <c r="F20" s="7"/>
      <c r="G20" s="7"/>
      <c r="H20" s="7"/>
    </row>
    <row r="21" customFormat="false" ht="15" hidden="false" customHeight="true" outlineLevel="0" collapsed="false">
      <c r="A21" s="4" t="s">
        <v>288</v>
      </c>
      <c r="B21" s="4" t="s">
        <v>289</v>
      </c>
      <c r="C21" s="4" t="s">
        <v>290</v>
      </c>
    </row>
    <row r="22" customFormat="false" ht="15" hidden="false" customHeight="true" outlineLevel="0" collapsed="false">
      <c r="A22" s="9" t="n">
        <v>135</v>
      </c>
      <c r="B22" s="10" t="n">
        <v>0.63304</v>
      </c>
      <c r="C22" s="10" t="n">
        <v>0.77718</v>
      </c>
    </row>
    <row r="23" customFormat="false" ht="15" hidden="false" customHeight="true" outlineLevel="0" collapsed="false">
      <c r="A23" s="9" t="n">
        <v>140</v>
      </c>
      <c r="B23" s="10" t="n">
        <v>0.44516</v>
      </c>
      <c r="C23" s="10" t="n">
        <v>0.65262</v>
      </c>
    </row>
    <row r="24" customFormat="false" ht="15" hidden="false" customHeight="true" outlineLevel="0" collapsed="false">
      <c r="A24" s="9" t="n">
        <v>150</v>
      </c>
      <c r="B24" s="10" t="n">
        <v>0.19912</v>
      </c>
      <c r="C24" s="10" t="n">
        <v>0.44612</v>
      </c>
    </row>
    <row r="25" customFormat="false" ht="15" hidden="false" customHeight="true" outlineLevel="0" collapsed="false">
      <c r="A25" s="9" t="n">
        <v>160</v>
      </c>
      <c r="B25" s="10" t="n">
        <v>0.07742</v>
      </c>
      <c r="C25" s="10" t="n">
        <v>0.29372</v>
      </c>
    </row>
    <row r="26" customFormat="false" ht="15" hidden="false" customHeight="true" outlineLevel="0" collapsed="false">
      <c r="A26" s="9" t="n">
        <v>125</v>
      </c>
      <c r="B26" s="10" t="n">
        <v>0.69764</v>
      </c>
      <c r="C26" s="10" t="n">
        <v>0.8283</v>
      </c>
    </row>
    <row r="27" customFormat="false" ht="15" hidden="false" customHeight="true" outlineLevel="0" collapsed="false">
      <c r="A27" s="9" t="n">
        <v>120</v>
      </c>
      <c r="B27" s="10" t="n">
        <v>0.4863</v>
      </c>
      <c r="C27" s="10" t="n">
        <v>0.6991</v>
      </c>
    </row>
    <row r="28" customFormat="false" ht="15" hidden="false" customHeight="true" outlineLevel="0" collapsed="false">
      <c r="A28" s="9" t="n">
        <v>110</v>
      </c>
      <c r="B28" s="10" t="n">
        <v>0.18196</v>
      </c>
      <c r="C28" s="10" t="n">
        <v>0.45062</v>
      </c>
    </row>
    <row r="29" customFormat="false" ht="15" hidden="false" customHeight="true" outlineLevel="0" collapsed="false">
      <c r="A29" s="9" t="n">
        <v>100</v>
      </c>
      <c r="B29" s="10" t="n">
        <v>0.04572</v>
      </c>
      <c r="C29" s="10" t="n">
        <v>0.2429</v>
      </c>
    </row>
    <row r="30" customFormat="false" ht="15" hidden="false" customHeight="true" outlineLevel="0" collapsed="false">
      <c r="A30" s="9" t="s">
        <v>291</v>
      </c>
      <c r="B30" s="20" t="n">
        <f aca="false">C18</f>
        <v>109.91</v>
      </c>
    </row>
    <row r="32" customFormat="false" ht="15" hidden="false" customHeight="true" outlineLevel="0" collapsed="false">
      <c r="A32" s="6" t="s">
        <v>292</v>
      </c>
      <c r="B32" s="7"/>
      <c r="C32" s="7"/>
      <c r="D32" s="7"/>
      <c r="E32" s="7"/>
      <c r="F32" s="7"/>
      <c r="G32" s="7"/>
      <c r="H32" s="7"/>
    </row>
    <row r="33" customFormat="false" ht="15" hidden="false" customHeight="true" outlineLevel="0" collapsed="false">
      <c r="A33" s="4" t="s">
        <v>293</v>
      </c>
    </row>
    <row r="34" customFormat="false" ht="15" hidden="false" customHeight="true" outlineLevel="0" collapsed="false">
      <c r="A34" s="9" t="s">
        <v>294</v>
      </c>
    </row>
    <row r="35" customFormat="false" ht="15" hidden="false" customHeight="true" outlineLevel="0" collapsed="false">
      <c r="A35" s="9" t="s">
        <v>295</v>
      </c>
    </row>
    <row r="36" customFormat="false" ht="15" hidden="false" customHeight="true" outlineLevel="0" collapsed="false">
      <c r="A36" s="9" t="s">
        <v>296</v>
      </c>
    </row>
    <row r="37" customFormat="false" ht="15" hidden="false" customHeight="true" outlineLevel="0" collapsed="false">
      <c r="A37" s="9" t="s">
        <v>297</v>
      </c>
    </row>
    <row r="38" customFormat="false" ht="15" hidden="false" customHeight="true" outlineLevel="0" collapsed="false">
      <c r="A38" s="9" t="s">
        <v>298</v>
      </c>
    </row>
    <row r="39" customFormat="false" ht="15" hidden="false" customHeight="true" outlineLevel="0" collapsed="false">
      <c r="A39" s="9" t="s">
        <v>299</v>
      </c>
    </row>
    <row r="40" customFormat="false" ht="15" hidden="false" customHeight="true" outlineLevel="0" collapsed="false">
      <c r="A40" s="9" t="s">
        <v>300</v>
      </c>
    </row>
    <row r="42" customFormat="false" ht="15" hidden="false" customHeight="true" outlineLevel="0" collapsed="false">
      <c r="A42" s="4" t="s">
        <v>301</v>
      </c>
    </row>
    <row r="43" customFormat="false" ht="15" hidden="false" customHeight="true" outlineLevel="0" collapsed="false">
      <c r="A43" s="9" t="s">
        <v>302</v>
      </c>
    </row>
    <row r="44" customFormat="false" ht="15" hidden="false" customHeight="true" outlineLevel="0" collapsed="false">
      <c r="A44" s="9" t="s">
        <v>303</v>
      </c>
    </row>
    <row r="45" customFormat="false" ht="15" hidden="false" customHeight="true" outlineLevel="0" collapsed="false">
      <c r="A45" s="9" t="s">
        <v>304</v>
      </c>
    </row>
    <row r="46" customFormat="false" ht="15" hidden="false" customHeight="true" outlineLevel="0" collapsed="false">
      <c r="A46" s="9" t="s">
        <v>305</v>
      </c>
    </row>
    <row r="47" customFormat="false" ht="15" hidden="false" customHeight="true" outlineLevel="0" collapsed="false">
      <c r="A47" s="9" t="s">
        <v>306</v>
      </c>
    </row>
    <row r="48" customFormat="false" ht="15" hidden="false" customHeight="true" outlineLevel="0" collapsed="false">
      <c r="A48" s="9" t="s">
        <v>307</v>
      </c>
    </row>
    <row r="49" customFormat="false" ht="15" hidden="false" customHeight="true" outlineLevel="0" collapsed="false">
      <c r="A49" s="9" t="s">
        <v>308</v>
      </c>
    </row>
    <row r="50" customFormat="false" ht="15" hidden="false" customHeight="true" outlineLevel="0" collapsed="false">
      <c r="A50" s="9" t="s">
        <v>309</v>
      </c>
    </row>
    <row r="51" customFormat="false" ht="15" hidden="false" customHeight="true" outlineLevel="0" collapsed="false">
      <c r="A51" s="9" t="s">
        <v>310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6" min="2" style="1" width="11"/>
  </cols>
  <sheetData>
    <row r="1" customFormat="false" ht="15" hidden="false" customHeight="true" outlineLevel="0" collapsed="false">
      <c r="A1" s="2" t="s">
        <v>311</v>
      </c>
    </row>
    <row r="2" customFormat="false" ht="15" hidden="false" customHeight="true" outlineLevel="0" collapsed="false">
      <c r="A2" s="5" t="s">
        <v>312</v>
      </c>
    </row>
    <row r="4" customFormat="false" ht="15" hidden="false" customHeight="true" outlineLevel="0" collapsed="false">
      <c r="A4" s="4" t="s">
        <v>313</v>
      </c>
    </row>
    <row r="5" customFormat="false" ht="15" hidden="false" customHeight="true" outlineLevel="0" collapsed="false">
      <c r="B5" s="10" t="n">
        <v>0.24</v>
      </c>
      <c r="C5" s="10" t="n">
        <v>0.27</v>
      </c>
      <c r="D5" s="10" t="n">
        <v>0.3</v>
      </c>
      <c r="E5" s="10" t="n">
        <v>0.33</v>
      </c>
      <c r="F5" s="10" t="n">
        <v>0.36</v>
      </c>
    </row>
    <row r="6" customFormat="false" ht="15" hidden="false" customHeight="true" outlineLevel="0" collapsed="false">
      <c r="A6" s="10" t="n">
        <v>0.21</v>
      </c>
      <c r="B6" s="20" t="n">
        <f aca="false">Assumptions!$B$8*(0.24-Assumptions!$B$16)/(0.21-Assumptions!$B$16)</f>
        <v>118.788668186259</v>
      </c>
      <c r="C6" s="20" t="n">
        <f aca="false">Assumptions!$B$8*(0.27-Assumptions!$B$16)/(0.21-Assumptions!$B$16)</f>
        <v>163.334418756106</v>
      </c>
      <c r="D6" s="20" t="n">
        <f aca="false">Assumptions!$B$8*(0.3-Assumptions!$B$16)/(0.21-Assumptions!$B$16)</f>
        <v>207.880169325953</v>
      </c>
      <c r="E6" s="20" t="n">
        <f aca="false">Assumptions!$B$8*(0.33-Assumptions!$B$16)/(0.21-Assumptions!$B$16)</f>
        <v>252.425919895799</v>
      </c>
      <c r="F6" s="20" t="n">
        <f aca="false">Assumptions!$B$8*(0.36-Assumptions!$B$16)/(0.21-Assumptions!$B$16)</f>
        <v>296.971670465646</v>
      </c>
    </row>
    <row r="7" customFormat="false" ht="15" hidden="false" customHeight="true" outlineLevel="0" collapsed="false">
      <c r="A7" s="10" t="n">
        <v>0.23</v>
      </c>
      <c r="B7" s="20" t="n">
        <f aca="false">Assumptions!$B$8*(0.24-Assumptions!$B$16)/(0.23-Assumptions!$B$16)</f>
        <v>84.8490487044704</v>
      </c>
      <c r="C7" s="20" t="n">
        <f aca="false">Assumptions!$B$8*(0.27-Assumptions!$B$16)/(0.23-Assumptions!$B$16)</f>
        <v>116.667441968647</v>
      </c>
      <c r="D7" s="20" t="n">
        <f aca="false">Assumptions!$B$8*(0.3-Assumptions!$B$16)/(0.23-Assumptions!$B$16)</f>
        <v>148.485835232823</v>
      </c>
      <c r="E7" s="20" t="n">
        <f aca="false">Assumptions!$B$8*(0.33-Assumptions!$B$16)/(0.23-Assumptions!$B$16)</f>
        <v>180.304228497</v>
      </c>
      <c r="F7" s="20" t="n">
        <f aca="false">Assumptions!$B$8*(0.36-Assumptions!$B$16)/(0.23-Assumptions!$B$16)</f>
        <v>212.122621761176</v>
      </c>
    </row>
    <row r="8" customFormat="false" ht="15" hidden="false" customHeight="true" outlineLevel="0" collapsed="false">
      <c r="A8" s="10" t="n">
        <v>0.25</v>
      </c>
      <c r="B8" s="20" t="n">
        <f aca="false">Assumptions!$B$8*(0.24-Assumptions!$B$16)/(0.25-Assumptions!$B$16)</f>
        <v>65.9937045479214</v>
      </c>
      <c r="C8" s="20" t="n">
        <f aca="false">Assumptions!$B$8*(0.27-Assumptions!$B$16)/(0.25-Assumptions!$B$16)</f>
        <v>90.7413437533919</v>
      </c>
      <c r="D8" s="20" t="n">
        <f aca="false">Assumptions!$B$8*(0.3-Assumptions!$B$16)/(0.25-Assumptions!$B$16)</f>
        <v>115.488982958862</v>
      </c>
      <c r="E8" s="20" t="n">
        <f aca="false">Assumptions!$B$8*(0.33-Assumptions!$B$16)/(0.25-Assumptions!$B$16)</f>
        <v>140.236622164333</v>
      </c>
      <c r="F8" s="20" t="n">
        <f aca="false">Assumptions!$B$8*(0.36-Assumptions!$B$16)/(0.25-Assumptions!$B$16)</f>
        <v>164.984261369804</v>
      </c>
    </row>
    <row r="9" customFormat="false" ht="15" hidden="false" customHeight="true" outlineLevel="0" collapsed="false">
      <c r="A9" s="10" t="n">
        <v>0.27</v>
      </c>
      <c r="B9" s="20" t="n">
        <f aca="false">Assumptions!$B$8*(0.24-Assumptions!$B$16)/(0.27-Assumptions!$B$16)</f>
        <v>53.9948491755721</v>
      </c>
      <c r="C9" s="20" t="n">
        <f aca="false">Assumptions!$B$8*(0.27-Assumptions!$B$16)/(0.27-Assumptions!$B$16)</f>
        <v>74.2429176164116</v>
      </c>
      <c r="D9" s="20" t="n">
        <f aca="false">Assumptions!$B$8*(0.3-Assumptions!$B$16)/(0.27-Assumptions!$B$16)</f>
        <v>94.4909860572511</v>
      </c>
      <c r="E9" s="20" t="n">
        <f aca="false">Assumptions!$B$8*(0.33-Assumptions!$B$16)/(0.27-Assumptions!$B$16)</f>
        <v>114.739054498091</v>
      </c>
      <c r="F9" s="20" t="n">
        <f aca="false">Assumptions!$B$8*(0.36-Assumptions!$B$16)/(0.27-Assumptions!$B$16)</f>
        <v>134.98712293893</v>
      </c>
    </row>
    <row r="10" customFormat="false" ht="15" hidden="false" customHeight="true" outlineLevel="0" collapsed="false">
      <c r="A10" s="10" t="n">
        <v>0.29</v>
      </c>
      <c r="B10" s="20" t="n">
        <f aca="false">Assumptions!$B$8*(0.24-Assumptions!$B$16)/(0.29-Assumptions!$B$16)</f>
        <v>45.6879493024071</v>
      </c>
      <c r="C10" s="20" t="n">
        <f aca="false">Assumptions!$B$8*(0.27-Assumptions!$B$16)/(0.29-Assumptions!$B$16)</f>
        <v>62.8209302908098</v>
      </c>
      <c r="D10" s="20" t="n">
        <f aca="false">Assumptions!$B$8*(0.3-Assumptions!$B$16)/(0.29-Assumptions!$B$16)</f>
        <v>79.9539112792125</v>
      </c>
      <c r="E10" s="20" t="n">
        <f aca="false">Assumptions!$B$8*(0.33-Assumptions!$B$16)/(0.29-Assumptions!$B$16)</f>
        <v>97.0868922676152</v>
      </c>
      <c r="F10" s="20" t="n">
        <f aca="false">Assumptions!$B$8*(0.36-Assumptions!$B$16)/(0.29-Assumptions!$B$16)</f>
        <v>114.219873256018</v>
      </c>
    </row>
    <row r="12" customFormat="false" ht="39.75" hidden="false" customHeight="true" outlineLevel="0" collapsed="false">
      <c r="A12" s="40" t="s">
        <v>314</v>
      </c>
      <c r="B12" s="40"/>
      <c r="C12" s="40"/>
      <c r="D12" s="40"/>
      <c r="E12" s="40"/>
      <c r="F12" s="40"/>
    </row>
  </sheetData>
  <mergeCells count="1">
    <mergeCell ref="A12:F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3"/>
    <col collapsed="false" customWidth="true" hidden="false" outlineLevel="0" max="3" min="3" style="1" width="30"/>
  </cols>
  <sheetData>
    <row r="1" customFormat="false" ht="15" hidden="false" customHeight="true" outlineLevel="0" collapsed="false">
      <c r="A1" s="2" t="s">
        <v>315</v>
      </c>
    </row>
    <row r="4" customFormat="false" ht="15" hidden="false" customHeight="true" outlineLevel="0" collapsed="false">
      <c r="C4" s="5" t="s">
        <v>316</v>
      </c>
    </row>
    <row r="5" customFormat="false" ht="15" hidden="false" customHeight="true" outlineLevel="0" collapsed="false">
      <c r="A5" s="9" t="s">
        <v>317</v>
      </c>
      <c r="B5" s="8" t="n">
        <f aca="false">Assumptions!B5</f>
        <v>129.25</v>
      </c>
    </row>
    <row r="6" customFormat="false" ht="15" hidden="false" customHeight="true" outlineLevel="0" collapsed="false">
      <c r="A6" s="9" t="s">
        <v>62</v>
      </c>
      <c r="B6" s="8" t="n">
        <f aca="false">Assumptions!B6</f>
        <v>3.071</v>
      </c>
    </row>
    <row r="7" customFormat="false" ht="15" hidden="false" customHeight="true" outlineLevel="0" collapsed="false">
      <c r="A7" s="9" t="s">
        <v>318</v>
      </c>
      <c r="B7" s="41" t="n">
        <f aca="false">Assumptions!B5*Assumptions!B6</f>
        <v>396.92675</v>
      </c>
    </row>
    <row r="8" customFormat="false" ht="15" hidden="false" customHeight="true" outlineLevel="0" collapsed="false">
      <c r="A8" s="9" t="s">
        <v>319</v>
      </c>
      <c r="B8" s="20" t="n">
        <v>18.2</v>
      </c>
    </row>
    <row r="9" customFormat="false" ht="15" hidden="false" customHeight="true" outlineLevel="0" collapsed="false">
      <c r="A9" s="9" t="s">
        <v>87</v>
      </c>
      <c r="B9" s="8" t="n">
        <f aca="false">Assumptions!B23</f>
        <v>19.1249755779876</v>
      </c>
    </row>
    <row r="10" customFormat="false" ht="15" hidden="false" customHeight="true" outlineLevel="0" collapsed="false">
      <c r="A10" s="9" t="s">
        <v>28</v>
      </c>
      <c r="B10" s="8" t="n">
        <f aca="false">Assumptions!B8</f>
        <v>74.2429176164116</v>
      </c>
    </row>
    <row r="11" customFormat="false" ht="15" hidden="false" customHeight="true" outlineLevel="0" collapsed="false">
      <c r="A11" s="9" t="s">
        <v>320</v>
      </c>
      <c r="B11" s="11" t="n">
        <f aca="false">B5/B8</f>
        <v>7.10164835164835</v>
      </c>
    </row>
    <row r="12" customFormat="false" ht="15" hidden="false" customHeight="true" outlineLevel="0" collapsed="false">
      <c r="A12" s="9" t="s">
        <v>321</v>
      </c>
      <c r="B12" s="11" t="n">
        <f aca="false">B5/B9</f>
        <v>6.75817856461807</v>
      </c>
    </row>
    <row r="13" customFormat="false" ht="15" hidden="false" customHeight="true" outlineLevel="0" collapsed="false">
      <c r="A13" s="9" t="s">
        <v>322</v>
      </c>
      <c r="B13" s="11" t="n">
        <f aca="false">B5/B10</f>
        <v>1.74090679824561</v>
      </c>
    </row>
    <row r="14" customFormat="false" ht="15" hidden="false" customHeight="true" outlineLevel="0" collapsed="false">
      <c r="A14" s="9" t="s">
        <v>30</v>
      </c>
      <c r="B14" s="12" t="n">
        <f aca="false">Assumptions!B14</f>
        <v>0.295</v>
      </c>
    </row>
    <row r="15" customFormat="false" ht="15" hidden="false" customHeight="true" outlineLevel="0" collapsed="false">
      <c r="A15" s="9" t="s">
        <v>31</v>
      </c>
      <c r="B15" s="12" t="n">
        <f aca="false">Assumptions!B15</f>
        <v>0.24</v>
      </c>
    </row>
    <row r="16" customFormat="false" ht="15" hidden="false" customHeight="true" outlineLevel="0" collapsed="false">
      <c r="A16" s="9" t="s">
        <v>323</v>
      </c>
      <c r="B16" s="12" t="n">
        <f aca="false">Assumptions!B32*Assumptions!B37/Assumptions!B6/B5</f>
        <v>0.0569349382474222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4" min="2" style="1" width="20"/>
  </cols>
  <sheetData>
    <row r="1" customFormat="false" ht="15" hidden="false" customHeight="true" outlineLevel="0" collapsed="false">
      <c r="A1" s="2" t="s">
        <v>324</v>
      </c>
    </row>
    <row r="2" customFormat="false" ht="15" hidden="false" customHeight="true" outlineLevel="0" collapsed="false">
      <c r="A2" s="5" t="s">
        <v>325</v>
      </c>
    </row>
    <row r="4" customFormat="false" ht="15" hidden="false" customHeight="true" outlineLevel="0" collapsed="false">
      <c r="A4" s="46" t="s">
        <v>326</v>
      </c>
      <c r="B4" s="46" t="s">
        <v>327</v>
      </c>
      <c r="C4" s="46" t="s">
        <v>328</v>
      </c>
      <c r="D4" s="46" t="s">
        <v>329</v>
      </c>
    </row>
    <row r="5" customFormat="false" ht="15" hidden="false" customHeight="true" outlineLevel="0" collapsed="false">
      <c r="A5" s="47" t="s">
        <v>330</v>
      </c>
      <c r="B5" s="48" t="s">
        <v>331</v>
      </c>
      <c r="C5" s="48" t="s">
        <v>332</v>
      </c>
      <c r="D5" s="48" t="s">
        <v>333</v>
      </c>
    </row>
    <row r="6" customFormat="false" ht="15" hidden="false" customHeight="true" outlineLevel="0" collapsed="false">
      <c r="A6" s="47" t="s">
        <v>322</v>
      </c>
      <c r="B6" s="48" t="s">
        <v>334</v>
      </c>
      <c r="C6" s="48" t="s">
        <v>335</v>
      </c>
      <c r="D6" s="48" t="s">
        <v>336</v>
      </c>
    </row>
    <row r="7" customFormat="false" ht="15" hidden="false" customHeight="true" outlineLevel="0" collapsed="false">
      <c r="A7" s="47" t="s">
        <v>337</v>
      </c>
      <c r="B7" s="48" t="s">
        <v>338</v>
      </c>
      <c r="C7" s="48" t="s">
        <v>339</v>
      </c>
      <c r="D7" s="48" t="s">
        <v>340</v>
      </c>
    </row>
    <row r="8" customFormat="false" ht="15" hidden="false" customHeight="true" outlineLevel="0" collapsed="false">
      <c r="A8" s="47" t="s">
        <v>341</v>
      </c>
      <c r="B8" s="48" t="s">
        <v>342</v>
      </c>
      <c r="C8" s="48" t="s">
        <v>343</v>
      </c>
      <c r="D8" s="48" t="s">
        <v>344</v>
      </c>
    </row>
    <row r="9" customFormat="false" ht="15" hidden="false" customHeight="true" outlineLevel="0" collapsed="false">
      <c r="A9" s="47" t="s">
        <v>345</v>
      </c>
      <c r="B9" s="48" t="s">
        <v>346</v>
      </c>
      <c r="C9" s="48" t="s">
        <v>347</v>
      </c>
      <c r="D9" s="48" t="s">
        <v>348</v>
      </c>
    </row>
    <row r="10" customFormat="false" ht="15" hidden="false" customHeight="true" outlineLevel="0" collapsed="false">
      <c r="A10" s="47" t="s">
        <v>349</v>
      </c>
      <c r="B10" s="48" t="s">
        <v>350</v>
      </c>
      <c r="C10" s="48" t="s">
        <v>351</v>
      </c>
      <c r="D10" s="48" t="s">
        <v>352</v>
      </c>
    </row>
    <row r="11" customFormat="false" ht="15" hidden="false" customHeight="true" outlineLevel="0" collapsed="false">
      <c r="A11" s="47" t="s">
        <v>353</v>
      </c>
      <c r="B11" s="48" t="s">
        <v>354</v>
      </c>
      <c r="C11" s="48" t="s">
        <v>355</v>
      </c>
      <c r="D11" s="48" t="s">
        <v>356</v>
      </c>
    </row>
    <row r="12" customFormat="false" ht="15" hidden="false" customHeight="true" outlineLevel="0" collapsed="false">
      <c r="A12" s="47" t="s">
        <v>357</v>
      </c>
      <c r="B12" s="48" t="s">
        <v>358</v>
      </c>
      <c r="C12" s="48" t="s">
        <v>359</v>
      </c>
      <c r="D12" s="48" t="s">
        <v>360</v>
      </c>
    </row>
    <row r="14" customFormat="false" ht="42" hidden="false" customHeight="true" outlineLevel="0" collapsed="false">
      <c r="A14" s="40" t="s">
        <v>361</v>
      </c>
      <c r="B14" s="40"/>
      <c r="C14" s="40"/>
      <c r="D14" s="40"/>
    </row>
  </sheetData>
  <mergeCells count="1">
    <mergeCell ref="A14:D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2026-06-29T08:19:03Z</dcterms:created>
  <dc:creator>openpyxl</dc:creator>
  <dc:description/>
  <dc:language>en-US</dc:language>
  <cp:lastModifiedBy/>
  <dcterms:modified xsi:type="dcterms:W3CDTF">2026-06-29T09:54:02Z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