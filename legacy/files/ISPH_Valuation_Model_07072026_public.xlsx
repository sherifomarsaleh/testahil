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Assumptions" sheetId="2" state="visible" r:id="rId4"/>
    <sheet name="Income Statement" sheetId="3" state="visible" r:id="rId5"/>
    <sheet name="Balance Sheet" sheetId="4" state="visible" r:id="rId6"/>
    <sheet name="Cash Flow" sheetId="5" state="visible" r:id="rId7"/>
    <sheet name="DCF (Primary)" sheetId="6" state="visible" r:id="rId8"/>
    <sheet name="DCF Detail" sheetId="7" state="visible" r:id="rId9"/>
    <sheet name="Relative &amp; Normalized" sheetId="8" state="visible" r:id="rId10"/>
    <sheet name="Summary Financials" sheetId="9" state="visible" r:id="rId11"/>
    <sheet name="Monte Carlo" sheetId="10" state="visible" r:id="rId12"/>
    <sheet name="Sensitivity" sheetId="11" state="visible" r:id="rId13"/>
    <sheet name="Per-Share &amp; Ratios" sheetId="12" state="visible" r:id="rId14"/>
    <sheet name="Segments" sheetId="13" state="visible" r:id="rId15"/>
    <sheet name="Fundamental Valuation" sheetId="14" state="visible" r:id="rId16"/>
    <sheet name="Summary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<sst xmlns="http://schemas.openxmlformats.org/spreadsheetml/2006/main" count="271" uniqueCount="213">
  <si>
    <t xml:space="preserve">Testahil — Ibnsina Pharma S.A.E. (EGX: ISPH)</t>
  </si>
  <si>
    <t xml:space="preserve">Companion model · Independent Valuation Study — Educational Analysis · reporting currency EGP</t>
  </si>
  <si>
    <t xml:space="preserve">What this workbook is. A transparent companion to the study. Blue cells are inputs; black cells are formulas; green cells link across sheets.</t>
  </si>
  <si>
    <t xml:space="preserve">Change one input on the Assumptions sheet (a growth rate, a margin, the WACC or terminal growth) and the whole model reprices.</t>
  </si>
  <si>
    <t xml:space="preserve">INDICATIVE — calibration note. The Monte-Carlo engine did NOT beat a zero-drift random-walk cone in the Step-0 backtest (CRPS skill &lt; 0 on every scheme).</t>
  </si>
  <si>
    <t xml:space="preserve">The §3 / Monte Carlo sheet is therefore an honest probability map for illustration only — NOT a skill-validated forecast for this name. See study §3.</t>
  </si>
  <si>
    <t xml:space="preserve">What it is not. Not investment advice, no rating, no price target. Fair values are ranges; forward inputs are the preparer's judgments.</t>
  </si>
  <si>
    <t xml:space="preserve">Anchor: EGP 11.67 (07 Jul 2026 close) · 1,008 mn shares · market cap ~EGP 11.76 bn. Historical financials are the company's own disclosure (FY23–FY25).</t>
  </si>
  <si>
    <t xml:space="preserve">Some balance-sheet detail (net interest-bearing debt, working-capital splits) is estimated to tie to disclosed totals and is flagged.</t>
  </si>
  <si>
    <t xml:space="preserve">Sheets: READ FIRST · Summary · Fundamental Valuation · Assumptions · DCF (Primary) · Segments · Relative &amp; Normalized · DCF Detail · Income Statement · Balance Sheet · Cash Flow · Summary Financials · Monte Carlo · Sensitivity · Per-Share &amp; Ratios · Peer &amp; Sector</t>
  </si>
  <si>
    <t xml:space="preserve">Assumptions — the single input layer (EGP mn unless stated)</t>
  </si>
  <si>
    <t xml:space="preserve">All blue cells are inputs. Every other sheet references these.</t>
  </si>
  <si>
    <t xml:space="preserve">ANCHORS</t>
  </si>
  <si>
    <t xml:space="preserve">Spot price (EGP/share)</t>
  </si>
  <si>
    <t xml:space="preserve">Shares outstanding (mn)</t>
  </si>
  <si>
    <t xml:space="preserve">Net interest-bearing debt (EGP mn)</t>
  </si>
  <si>
    <t xml:space="preserve">Tax rate</t>
  </si>
  <si>
    <t xml:space="preserve">DCF — cost of capital</t>
  </si>
  <si>
    <t xml:space="preserve">Risk-free rate (rf, EGP 10y)</t>
  </si>
  <si>
    <t xml:space="preserve">Equity risk premium (ERP)</t>
  </si>
  <si>
    <t xml:space="preserve">Beta</t>
  </si>
  <si>
    <t xml:space="preserve">Cost of equity Ke = rf + beta*ERP</t>
  </si>
  <si>
    <t xml:space="preserve">Pre-tax cost of debt (Kd)</t>
  </si>
  <si>
    <t xml:space="preserve">Debt weight</t>
  </si>
  <si>
    <t xml:space="preserve">Equity weight</t>
  </si>
  <si>
    <t xml:space="preserve">WACC</t>
  </si>
  <si>
    <t xml:space="preserve">Terminal growth (nominal EGP)</t>
  </si>
  <si>
    <t xml:space="preserve">REVENUE GROWTH (forecast)</t>
  </si>
  <si>
    <t xml:space="preserve">Revenue growth FY26E</t>
  </si>
  <si>
    <t xml:space="preserve">Revenue growth FY27E</t>
  </si>
  <si>
    <t xml:space="preserve">Revenue growth FY28E</t>
  </si>
  <si>
    <t xml:space="preserve">Revenue growth FY29E</t>
  </si>
  <si>
    <t xml:space="preserve">Revenue growth FY30E</t>
  </si>
  <si>
    <t xml:space="preserve">EBITDA MARGIN (forecast)</t>
  </si>
  <si>
    <t xml:space="preserve">EBITDA margin FY26E</t>
  </si>
  <si>
    <t xml:space="preserve">EBITDA margin FY27E</t>
  </si>
  <si>
    <t xml:space="preserve">EBITDA margin FY28E</t>
  </si>
  <si>
    <t xml:space="preserve">EBITDA margin FY29E</t>
  </si>
  <si>
    <t xml:space="preserve">EBITDA margin FY30E</t>
  </si>
  <si>
    <t xml:space="preserve">OTHER FORECAST DRIVERS (% of revenue)</t>
  </si>
  <si>
    <t xml:space="preserve">D&amp;A % of revenue</t>
  </si>
  <si>
    <t xml:space="preserve">Capex % of revenue</t>
  </si>
  <si>
    <t xml:space="preserve">Net working-capital build (% of ΔRevenue)</t>
  </si>
  <si>
    <t xml:space="preserve">Net finance cost (% of revenue, forecast)</t>
  </si>
  <si>
    <t xml:space="preserve">WORKING CAPITAL (days)</t>
  </si>
  <si>
    <t xml:space="preserve">Receivables days (of sales)</t>
  </si>
  <si>
    <t xml:space="preserve">Inventory days (of COGS)</t>
  </si>
  <si>
    <t xml:space="preserve">Payables days (of COGS)</t>
  </si>
  <si>
    <t xml:space="preserve">RELATIVE &amp; NORMALIZED</t>
  </si>
  <si>
    <t xml:space="preserve">EV/EBITDA target multiple (x)</t>
  </si>
  <si>
    <t xml:space="preserve">Normalized net margin</t>
  </si>
  <si>
    <t xml:space="preserve">Justified P/E (x)</t>
  </si>
  <si>
    <t xml:space="preserve">SYNTHESIS WEIGHTS</t>
  </si>
  <si>
    <t xml:space="preserve">DCF (primary) weight</t>
  </si>
  <si>
    <t xml:space="preserve">Relative EV/EBITDA weight</t>
  </si>
  <si>
    <t xml:space="preserve">Normalized earnings weight</t>
  </si>
  <si>
    <t xml:space="preserve">DDM / yield floor weight</t>
  </si>
  <si>
    <t xml:space="preserve">Income statement (consolidated, EGP mn) — 3y historical + 5y forecast</t>
  </si>
  <si>
    <t xml:space="preserve">EGP mn</t>
  </si>
  <si>
    <t xml:space="preserve">FY23</t>
  </si>
  <si>
    <t xml:space="preserve">FY24</t>
  </si>
  <si>
    <t xml:space="preserve">FY25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</si>
  <si>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</si>
  <si>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</si>
  <si>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</si>
  <si>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</si>
  <si>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</si>
  <si>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Revenue</t>
  </si>
  <si>
    <t xml:space="preserve">EBITDA margin</t>
  </si>
  <si>
    <t xml:space="preserve">EBITDA</t>
  </si>
  <si>
    <t xml:space="preserve">D&amp;A</t>
  </si>
  <si>
    <t xml:space="preserve">EBIT</t>
  </si>
  <si>
    <t xml:space="preserve">Net finance cost</t>
  </si>
  <si>
    <t xml:space="preserve">PBT</t>
  </si>
  <si>
    <t xml:space="preserve">Tax</t>
  </si>
  <si>
    <t xml:space="preserve">Net profit (after NCI)</t>
  </si>
  <si>
    <t xml:space="preserve">EPS (EGP)</t>
  </si>
  <si>
    <t xml:space="preserve">Source: Ibnsina Pharma consolidated earnings releases FY23–FY25 (EGX filings). Forecast rows = formulas from Assumptions. Finance cost / tax history estimated to tie to reported net profit.</t>
  </si>
  <si>
    <t xml:space="preserve">Balance sheet (consolidated, EGP mn) — working-capital markers</t>
  </si>
  <si>
    <t xml:space="preserve">Receivables</t>
  </si>
  <si>
    <t xml:space="preserve">Inventory</t>
  </si>
  <si>
    <t xml:space="preserve">Trade payables</t>
  </si>
  <si>
    <t xml:space="preserve">Net working capital</t>
  </si>
  <si>
    <t xml:space="preserve">Net interest-bearing debt</t>
  </si>
  <si>
    <t xml:space="preserve">Total equity</t>
  </si>
  <si>
    <t xml:space="preserve">Receivables/inventory/payables = days × sales/COGS (Assumptions). Near-zero cash-conversion cycle: receivables ~90d + inventory ~30d − payables ~119d. Net debt &amp; equity FY23–24 estimated; FY25 per disclosure.</t>
  </si>
  <si>
    <t xml:space="preserve">Cash flow (EGP mn) — simplified</t>
  </si>
  <si>
    <t xml:space="preserve">Net profit</t>
  </si>
  <si>
    <t xml:space="preserve">+ D&amp;A</t>
  </si>
  <si>
    <t xml:space="preserve">− Increase in net WC</t>
  </si>
  <si>
    <t xml:space="preserve">− Capex</t>
  </si>
  <si>
    <t xml:space="preserve">Free cash flow to firm</t>
  </si>
  <si>
    <t xml:space="preserve">DCF (Primary lens) — valuation bridge (EGP mn)</t>
  </si>
  <si>
    <t xml:space="preserve">Σ PV of explicit FCFF (FY26–30)</t>
  </si>
  <si>
    <t xml:space="preserve">Terminal value (Gordon)</t>
  </si>
  <si>
    <t xml:space="preserve">PV of terminal value</t>
  </si>
  <si>
    <t xml:space="preserve">Enterprise value</t>
  </si>
  <si>
    <t xml:space="preserve">less: net interest-bearing debt</t>
  </si>
  <si>
    <t xml:space="preserve">Equity value</t>
  </si>
  <si>
    <t xml:space="preserve">Fair value per share (EGP)</t>
  </si>
  <si>
    <t xml:space="preserve">% terminal of EV</t>
  </si>
  <si>
    <t xml:space="preserve">WACC (from Assumptions)</t>
  </si>
  <si>
    <t xml:space="preserve">Ke = rf + beta×ERP</t>
  </si>
  <si>
    <t xml:space="preserve">Terminal growth</t>
  </si>
  <si>
    <t xml:space="preserve">Full 5-year FCFF waterfall on the DCF Detail sheet. Bear/base/bull via the Sensitivity (WACC × g) grid.</t>
  </si>
  <si>
    <t xml:space="preserve">DCF Detail — explicit 5-year FCFF waterfall (EGP mn)</t>
  </si>
  <si>
    <t xml:space="preserve">NOPAT = EBIT×(1−t)</t>
  </si>
  <si>
    <t xml:space="preserve">Discount factor</t>
  </si>
  <si>
    <t xml:space="preserve">Σ PV explicit (H13→)</t>
  </si>
  <si>
    <t xml:space="preserve">Terminal value (B14 slot)</t>
  </si>
  <si>
    <t xml:space="preserve">Σ PV of explicit FCFF</t>
  </si>
  <si>
    <t xml:space="preserve">Relative multiples &amp; normalized earnings (EGP)</t>
  </si>
  <si>
    <t xml:space="preserve">EV/EBITDA — FY25 (trailing) EBITDA</t>
  </si>
  <si>
    <t xml:space="preserve">Trailing EBITDA (EGP mn)</t>
  </si>
  <si>
    <t xml:space="preserve">Target EV/EBITDA (x)</t>
  </si>
  <si>
    <t xml:space="preserve">Implied EV</t>
  </si>
  <si>
    <t xml:space="preserve">less: net debt</t>
  </si>
  <si>
    <t xml:space="preserve">Relative fair value / share</t>
  </si>
  <si>
    <t xml:space="preserve">Normalized earnings power</t>
  </si>
  <si>
    <t xml:space="preserve">FY27E revenue</t>
  </si>
  <si>
    <t xml:space="preserve">Normalized net profit</t>
  </si>
  <si>
    <t xml:space="preserve">Normalized fair value / share</t>
  </si>
  <si>
    <t xml:space="preserve">Multiple anchored on trailing EBITDA (the market prices ISPH at ~4.2x); a modest re-rating to the mid-single digits reflects margin/rate normalization.</t>
  </si>
  <si>
    <t xml:space="preserve">Summary financials (every cell links to the statement sheets)</t>
  </si>
  <si>
    <t xml:space="preserve">FCFF</t>
  </si>
  <si>
    <t xml:space="preserve">Monte Carlo — §3 outputs (INDICATIVE: engine failed Step-0 calibration)</t>
  </si>
  <si>
    <t xml:space="preserve">Illustrative only — CRPS skill &lt; 0 vs random-walk. Not a skill-validated forecast.</t>
  </si>
  <si>
    <t xml:space="preserve">Percentile map (EGP/share)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</si>
  <si>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</si>
  <si>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</si>
  <si>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</si>
  <si>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</si>
  <si>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</si>
  <si>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T+20 sessions</t>
  </si>
  <si>
    <t xml:space="preserve">T+60 sessions</t>
  </si>
  <si>
    <t xml:space="preserve">Probability read (T+60)</t>
  </si>
  <si>
    <t xml:space="preserve">P(price above spot)</t>
  </si>
  <si>
    <t xml:space="preserve">P(+10%)</t>
  </si>
  <si>
    <t xml:space="preserve">P(−10%)</t>
  </si>
  <si>
    <t xml:space="preserve">Odds ratio (up:down)</t>
  </si>
  <si>
    <t xml:space="preserve">Median (EGP)</t>
  </si>
  <si>
    <t xml:space="preserve">Median move</t>
  </si>
  <si>
    <t xml:space="preserve">50% band low</t>
  </si>
  <si>
    <t xml:space="preserve">50% band high</t>
  </si>
  <si>
    <t xml:space="preserve">Touch +10%</t>
  </si>
  <si>
    <t xml:space="preserve">Touch −10%</t>
  </si>
  <si>
    <t xml:space="preserve">Engine: YZ-HAR width (annualised ~29%) × horizon variance-ratio 1.86; Student-t(5); drift OFF (near-even); 16-factor skew; 50,000 paths, seed 42. Presentation-only.</t>
  </si>
  <si>
    <t xml:space="preserve">DCF sensitivity — fair value / share (EGP): WACC × terminal growth</t>
  </si>
  <si>
    <t xml:space="preserve">WACC \ g</t>
  </si>
  <si>
    <t xml:space="preserve">Per-share &amp; ratio dashboard</t>
  </si>
  <si>
    <t xml:space="preserve">Revenue growth</t>
  </si>
  <si>
    <t xml:space="preserve">Net margin</t>
  </si>
  <si>
    <t xml:space="preserve">Net debt / EBITDA</t>
  </si>
  <si>
    <t xml:space="preserve">ROE</t>
  </si>
  <si>
    <t xml:space="preserve">P/E (x, at spot)</t>
  </si>
  <si>
    <t xml:space="preserve">EV/EBITDA (x, at spot)</t>
  </si>
  <si>
    <t xml:space="preserve">Segments — revenue channel split (FY23 disclosed)</t>
  </si>
  <si>
    <t xml:space="preserve">Channel</t>
  </si>
  <si>
    <t xml:space="preserve">FY23 % of revenue</t>
  </si>
  <si>
    <t xml:space="preserve">FY23 EGP mn (approx.)</t>
  </si>
  <si>
    <t xml:space="preserve">Retail (pharmacies)</t>
  </si>
  <si>
    <t xml:space="preserve">Wholesale</t>
  </si>
  <si>
    <t xml:space="preserve">Tenders &amp; private hospitals</t>
  </si>
  <si>
    <t xml:space="preserve">Total</t>
  </si>
  <si>
    <t xml:space="preserve">Source: Ibnsina Pharma FY23 earnings release. FY25 channel mix not separately disclosed; retail share had been declining as credit risk managed.</t>
  </si>
  <si>
    <t xml:space="preserve">Fundamental valuation — four lenses (EGP/share)</t>
  </si>
  <si>
    <t xml:space="preserve">Lens</t>
  </si>
  <si>
    <t xml:space="preserve">Bear</t>
  </si>
  <si>
    <t xml:space="preserve">Base</t>
  </si>
  <si>
    <t xml:space="preserve">Bull</t>
  </si>
  <si>
    <t xml:space="preserve">Weight</t>
  </si>
  <si>
    <t xml:space="preserve">DCF (primary)</t>
  </si>
  <si>
    <t xml:space="preserve">Relative EV/EBITDA</t>
  </si>
  <si>
    <t xml:space="preserve">Normalized earnings</t>
  </si>
  <si>
    <t xml:space="preserve">DDM / yield floor</t>
  </si>
  <si>
    <t xml:space="preserve">Weighted central</t>
  </si>
  <si>
    <t xml:space="preserve">DCF/Relative/Normalized link to their sheets; DDM floor and weights are inputs. Football-field-plus-distribution replaces a single blended point (device A-8).</t>
  </si>
  <si>
    <t xml:space="preserve">Summary — Ibnsina Pharma (EGX: ISPH)</t>
  </si>
  <si>
    <t xml:space="preserve">Spot (EGP, 07 Jul 2026)</t>
  </si>
  <si>
    <t xml:space="preserve">Shares (mn)</t>
  </si>
  <si>
    <t xml:space="preserve">Market cap (EGP mn)</t>
  </si>
  <si>
    <t xml:space="preserve">Net debt (EGP mn)</t>
  </si>
  <si>
    <t xml:space="preserve">DCF fair value (EGP)</t>
  </si>
  <si>
    <t xml:space="preserve">Relative fair value (EGP)</t>
  </si>
  <si>
    <t xml:space="preserve">Normalized fair value (EGP)</t>
  </si>
  <si>
    <t xml:space="preserve">Weighted central (EGP)</t>
  </si>
  <si>
    <t xml:space="preserve">Upside vs spot</t>
  </si>
  <si>
    <t xml:space="preserve">Monte Carlo (§3) — INDICATIVE, calibration failed</t>
  </si>
  <si>
    <t xml:space="preserve">T+60 median (EGP)</t>
  </si>
  <si>
    <t xml:space="preserve">T+60 p5–p95 (EGP)</t>
  </si>
  <si>
    <t xml:space="preserve">9.29 – 15.18</t>
  </si>
  <si>
    <t xml:space="preserve">Peer set &amp; sector structure</t>
  </si>
  <si>
    <t xml:space="preserve">Peer / comparable</t>
  </si>
  <si>
    <t xml:space="preserve">Market</t>
  </si>
  <si>
    <t xml:space="preserve">Type</t>
  </si>
  <si>
    <t xml:space="preserve">Typical EV/EBITDA</t>
  </si>
  <si>
    <t xml:space="preserve">Ibnsina Pharma (ISPH)</t>
  </si>
  <si>
    <t xml:space="preserve">Egypt (EGX)</t>
  </si>
  <si>
    <t xml:space="preserve">Pharma distribution #1/#2</t>
  </si>
  <si>
    <t xml:space="preserve">~4–5x</t>
  </si>
  <si>
    <t xml:space="preserve">Pharma Overseas / UCP</t>
  </si>
  <si>
    <t xml:space="preserve">Egypt (private)</t>
  </si>
  <si>
    <t xml:space="preserve">Pharma distribution</t>
  </si>
  <si>
    <t xml:space="preserve">n/a</t>
  </si>
  <si>
    <t xml:space="preserve">Cell. / MENA distributors</t>
  </si>
  <si>
    <t xml:space="preserve">MENA</t>
  </si>
  <si>
    <t xml:space="preserve">Healthcare distribution</t>
  </si>
  <si>
    <t xml:space="preserve">5–8x</t>
  </si>
  <si>
    <t xml:space="preserve">EM pharma distributors</t>
  </si>
  <si>
    <t xml:space="preserve">Global EM</t>
  </si>
  <si>
    <t xml:space="preserve">Distribution / logistics</t>
  </si>
  <si>
    <t xml:space="preserve">6–10x</t>
  </si>
  <si>
    <t xml:space="preserve">Egyptian pharma distribution is a scale/working-capital game: #1–2 players (Ibnsina, UCP/Pharma Overseas) hold most share; demand is defensive (population +2%/yr) with inflation re-pricing. High local rates compress multiples vs global distributors.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</si>
</sst>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#,##0"/>
    <numFmt numFmtId="167" formatCode="0.0%"/>
    <numFmt numFmtId="168" formatCode="0.00%"/>
    <numFmt numFmtId="169" formatCode="0.0\x"/>
    <numFmt numFmtId="170" formatCode="0.000"/>
    <numFmt numFmtId="171" formatCode="0.00\x"/>
    <numFmt numFmtId="172" formatCode="\+0.0%;\-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B5E5E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b val="true"/>
      <sz val="10"/>
      <color rgb="FFA6321F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8"/>
      <color rgb="FF777777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8000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A6321F"/>
      <name val="Arial"/>
      <family val="0"/>
      <charset val="1"/>
    </font>
    <font>
      <b val="true"/>
      <sz val="11"/>
      <color rgb="FF22222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5E5E"/>
        <bgColor rgb="FF008080"/>
      </patternFill>
    </fill>
    <fill>
      <patternFill patternType="solid">
        <fgColor rgb="FFF5EFD9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5E5E"/>
      <rgbColor rgb="FFC0C0C0"/>
      <rgbColor rgb="FF777777"/>
      <rgbColor rgb="FF9999FF"/>
      <rgbColor rgb="FF993366"/>
      <rgbColor rgb="FFF5EFD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A6321F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8" min="3" style="0" width="12"/>
  </cols>
  <sheetData>
    <row r="1" customFormat="false" ht="16.15" hidden="false" customHeight="false" outlineLevel="0" collapsed="false">
      <c r="A1" s="1" t="s">
        <v>10</v>
      </c>
    </row>
    <row r="2" customFormat="false" ht="15" hidden="false" customHeight="false" outlineLevel="0" collapsed="false">
      <c r="A2" s="5" t="s">
        <v>11</v>
      </c>
    </row>
    <row r="4" customFormat="false" ht="15" hidden="false" customHeight="false" outlineLevel="0" collapsed="false">
      <c r="A4" s="6" t="s">
        <v>12</v>
      </c>
    </row>
    <row r="5" customFormat="false" ht="15" hidden="false" customHeight="false" outlineLevel="0" collapsed="false">
      <c r="A5" s="2" t="s">
        <v>13</v>
      </c>
      <c r="B5" s="7" t="n">
        <v>11.67</v>
      </c>
    </row>
    <row r="6" customFormat="false" ht="15" hidden="false" customHeight="false" outlineLevel="0" collapsed="false">
      <c r="A6" s="2" t="s">
        <v>14</v>
      </c>
      <c r="B6" s="8" t="n">
        <v>1008</v>
      </c>
    </row>
    <row r="7" customFormat="false" ht="15" hidden="false" customHeight="false" outlineLevel="0" collapsed="false">
      <c r="A7" s="2" t="s">
        <v>15</v>
      </c>
      <c r="B7" s="8" t="n">
        <v>4500</v>
      </c>
    </row>
    <row r="8" customFormat="false" ht="15" hidden="false" customHeight="false" outlineLevel="0" collapsed="false">
      <c r="A8" s="2" t="s">
        <v>16</v>
      </c>
      <c r="B8" s="9" t="n">
        <v>0.225</v>
      </c>
    </row>
    <row r="10" customFormat="false" ht="15" hidden="false" customHeight="false" outlineLevel="0" collapsed="false">
      <c r="A10" s="6" t="s">
        <v>17</v>
      </c>
    </row>
    <row r="11" customFormat="false" ht="15" hidden="false" customHeight="false" outlineLevel="0" collapsed="false">
      <c r="A11" s="2" t="s">
        <v>18</v>
      </c>
      <c r="B11" s="9" t="n">
        <v>0.235</v>
      </c>
    </row>
    <row r="12" customFormat="false" ht="15" hidden="false" customHeight="false" outlineLevel="0" collapsed="false">
      <c r="A12" s="2" t="s">
        <v>19</v>
      </c>
      <c r="B12" s="9" t="n">
        <v>0.06</v>
      </c>
    </row>
    <row r="13" customFormat="false" ht="15" hidden="false" customHeight="false" outlineLevel="0" collapsed="false">
      <c r="A13" s="2" t="s">
        <v>20</v>
      </c>
      <c r="B13" s="7" t="n">
        <v>1.15</v>
      </c>
    </row>
    <row r="14" customFormat="false" ht="15" hidden="false" customHeight="false" outlineLevel="0" collapsed="false">
      <c r="A14" s="2" t="s">
        <v>21</v>
      </c>
      <c r="B14" s="10" t="n">
        <f aca="false">$B$11+$B$13*$B$12</f>
        <v>0.304</v>
      </c>
    </row>
    <row r="15" customFormat="false" ht="15" hidden="false" customHeight="false" outlineLevel="0" collapsed="false">
      <c r="A15" s="2" t="s">
        <v>22</v>
      </c>
      <c r="B15" s="9" t="n">
        <v>0.26</v>
      </c>
    </row>
    <row r="16" customFormat="false" ht="15" hidden="false" customHeight="false" outlineLevel="0" collapsed="false">
      <c r="A16" s="2" t="s">
        <v>23</v>
      </c>
      <c r="B16" s="9" t="n">
        <v>0.45</v>
      </c>
    </row>
    <row r="17" customFormat="false" ht="15" hidden="false" customHeight="false" outlineLevel="0" collapsed="false">
      <c r="A17" s="2" t="s">
        <v>24</v>
      </c>
      <c r="B17" s="9" t="n">
        <v>0.55</v>
      </c>
    </row>
    <row r="18" customFormat="false" ht="15" hidden="false" customHeight="false" outlineLevel="0" collapsed="false">
      <c r="A18" s="2" t="s">
        <v>25</v>
      </c>
      <c r="B18" s="10" t="n">
        <f aca="false">$B$17*$B$14+$B$16*$B$15*(1-$B$8)</f>
        <v>0.257875</v>
      </c>
    </row>
    <row r="19" customFormat="false" ht="15" hidden="false" customHeight="false" outlineLevel="0" collapsed="false">
      <c r="A19" s="2" t="s">
        <v>26</v>
      </c>
      <c r="B19" s="9" t="n">
        <v>0.125</v>
      </c>
    </row>
    <row r="21" customFormat="false" ht="15" hidden="false" customHeight="false" outlineLevel="0" collapsed="false">
      <c r="A21" s="6" t="s">
        <v>27</v>
      </c>
    </row>
    <row r="22" customFormat="false" ht="15" hidden="false" customHeight="false" outlineLevel="0" collapsed="false">
      <c r="A22" s="2" t="s">
        <v>28</v>
      </c>
      <c r="B22" s="9" t="n">
        <v>0.2</v>
      </c>
    </row>
    <row r="23" customFormat="false" ht="15" hidden="false" customHeight="false" outlineLevel="0" collapsed="false">
      <c r="A23" s="2" t="s">
        <v>29</v>
      </c>
      <c r="B23" s="9" t="n">
        <v>0.16</v>
      </c>
    </row>
    <row r="24" customFormat="false" ht="15" hidden="false" customHeight="false" outlineLevel="0" collapsed="false">
      <c r="A24" s="2" t="s">
        <v>30</v>
      </c>
      <c r="B24" s="9" t="n">
        <v>0.14</v>
      </c>
    </row>
    <row r="25" customFormat="false" ht="15" hidden="false" customHeight="false" outlineLevel="0" collapsed="false">
      <c r="A25" s="2" t="s">
        <v>31</v>
      </c>
      <c r="B25" s="9" t="n">
        <v>0.12</v>
      </c>
    </row>
    <row r="26" customFormat="false" ht="15" hidden="false" customHeight="false" outlineLevel="0" collapsed="false">
      <c r="A26" s="2" t="s">
        <v>32</v>
      </c>
      <c r="B26" s="9" t="n">
        <v>0.11</v>
      </c>
    </row>
    <row r="28" customFormat="false" ht="15" hidden="false" customHeight="false" outlineLevel="0" collapsed="false">
      <c r="A28" s="6" t="s">
        <v>33</v>
      </c>
    </row>
    <row r="29" customFormat="false" ht="15" hidden="false" customHeight="false" outlineLevel="0" collapsed="false">
      <c r="A29" s="2" t="s">
        <v>34</v>
      </c>
      <c r="B29" s="9" t="n">
        <v>0.051</v>
      </c>
    </row>
    <row r="30" customFormat="false" ht="15" hidden="false" customHeight="false" outlineLevel="0" collapsed="false">
      <c r="A30" s="2" t="s">
        <v>35</v>
      </c>
      <c r="B30" s="9" t="n">
        <v>0.052</v>
      </c>
    </row>
    <row r="31" customFormat="false" ht="15" hidden="false" customHeight="false" outlineLevel="0" collapsed="false">
      <c r="A31" s="2" t="s">
        <v>36</v>
      </c>
      <c r="B31" s="9" t="n">
        <v>0.053</v>
      </c>
    </row>
    <row r="32" customFormat="false" ht="15" hidden="false" customHeight="false" outlineLevel="0" collapsed="false">
      <c r="A32" s="2" t="s">
        <v>37</v>
      </c>
      <c r="B32" s="9" t="n">
        <v>0.054</v>
      </c>
    </row>
    <row r="33" customFormat="false" ht="15" hidden="false" customHeight="false" outlineLevel="0" collapsed="false">
      <c r="A33" s="2" t="s">
        <v>38</v>
      </c>
      <c r="B33" s="9" t="n">
        <v>0.055</v>
      </c>
    </row>
    <row r="35" customFormat="false" ht="15" hidden="false" customHeight="false" outlineLevel="0" collapsed="false">
      <c r="A35" s="6" t="s">
        <v>39</v>
      </c>
    </row>
    <row r="36" customFormat="false" ht="15" hidden="false" customHeight="false" outlineLevel="0" collapsed="false">
      <c r="A36" s="2" t="s">
        <v>40</v>
      </c>
      <c r="B36" s="11" t="n">
        <v>0.0045</v>
      </c>
    </row>
    <row r="37" customFormat="false" ht="15" hidden="false" customHeight="false" outlineLevel="0" collapsed="false">
      <c r="A37" s="2" t="s">
        <v>41</v>
      </c>
      <c r="B37" s="11" t="n">
        <v>0.006</v>
      </c>
    </row>
    <row r="38" customFormat="false" ht="15" hidden="false" customHeight="false" outlineLevel="0" collapsed="false">
      <c r="A38" s="2" t="s">
        <v>42</v>
      </c>
      <c r="B38" s="9" t="n">
        <v>0.045</v>
      </c>
    </row>
    <row r="39" customFormat="false" ht="15" hidden="false" customHeight="false" outlineLevel="0" collapsed="false">
      <c r="A39" s="2" t="s">
        <v>43</v>
      </c>
      <c r="B39" s="11" t="n">
        <v>0.03</v>
      </c>
    </row>
    <row r="41" customFormat="false" ht="15" hidden="false" customHeight="false" outlineLevel="0" collapsed="false">
      <c r="A41" s="6" t="s">
        <v>44</v>
      </c>
    </row>
    <row r="42" customFormat="false" ht="15" hidden="false" customHeight="false" outlineLevel="0" collapsed="false">
      <c r="A42" s="2" t="s">
        <v>45</v>
      </c>
      <c r="B42" s="8" t="n">
        <v>90</v>
      </c>
    </row>
    <row r="43" customFormat="false" ht="15" hidden="false" customHeight="false" outlineLevel="0" collapsed="false">
      <c r="A43" s="2" t="s">
        <v>46</v>
      </c>
      <c r="B43" s="8" t="n">
        <v>30</v>
      </c>
    </row>
    <row r="44" customFormat="false" ht="15" hidden="false" customHeight="false" outlineLevel="0" collapsed="false">
      <c r="A44" s="2" t="s">
        <v>47</v>
      </c>
      <c r="B44" s="8" t="n">
        <v>119</v>
      </c>
    </row>
    <row r="46" customFormat="false" ht="15" hidden="false" customHeight="false" outlineLevel="0" collapsed="false">
      <c r="A46" s="6" t="s">
        <v>48</v>
      </c>
    </row>
    <row r="47" customFormat="false" ht="15" hidden="false" customHeight="false" outlineLevel="0" collapsed="false">
      <c r="A47" s="2" t="s">
        <v>49</v>
      </c>
      <c r="B47" s="12" t="n">
        <v>5.5</v>
      </c>
    </row>
    <row r="48" customFormat="false" ht="15" hidden="false" customHeight="false" outlineLevel="0" collapsed="false">
      <c r="A48" s="2" t="s">
        <v>50</v>
      </c>
      <c r="B48" s="9" t="n">
        <v>0.017</v>
      </c>
    </row>
    <row r="49" customFormat="false" ht="15" hidden="false" customHeight="false" outlineLevel="0" collapsed="false">
      <c r="A49" s="2" t="s">
        <v>51</v>
      </c>
      <c r="B49" s="12" t="n">
        <v>10</v>
      </c>
    </row>
    <row r="51" customFormat="false" ht="15" hidden="false" customHeight="false" outlineLevel="0" collapsed="false">
      <c r="A51" s="6" t="s">
        <v>52</v>
      </c>
    </row>
    <row r="52" customFormat="false" ht="15" hidden="false" customHeight="false" outlineLevel="0" collapsed="false">
      <c r="A52" s="2" t="s">
        <v>53</v>
      </c>
      <c r="B52" s="9" t="n">
        <v>0.45</v>
      </c>
    </row>
    <row r="53" customFormat="false" ht="15" hidden="false" customHeight="false" outlineLevel="0" collapsed="false">
      <c r="A53" s="2" t="s">
        <v>54</v>
      </c>
      <c r="B53" s="9" t="n">
        <v>0.25</v>
      </c>
    </row>
    <row r="54" customFormat="false" ht="15" hidden="false" customHeight="false" outlineLevel="0" collapsed="false">
      <c r="A54" s="2" t="s">
        <v>55</v>
      </c>
      <c r="B54" s="9" t="n">
        <v>0.2</v>
      </c>
    </row>
    <row r="55" customFormat="false" ht="15" hidden="false" customHeight="false" outlineLevel="0" collapsed="false">
      <c r="A55" s="2" t="s">
        <v>56</v>
      </c>
      <c r="B55" s="9" t="n"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2"/>
  </cols>
  <sheetData>
    <row r="1" customFormat="false" ht="16.15" hidden="false" customHeight="false" outlineLevel="0" collapsed="false">
      <c r="A1" s="1" t="s">
        <v>57</v>
      </c>
    </row>
    <row r="3" customFormat="false" ht="15" hidden="false" customHeight="false" outlineLevel="0" collapsed="false">
      <c r="A3" s="3" t="s">
        <v>58</v>
      </c>
      <c r="B3" s="13" t="s">
        <v>59</v>
      </c>
      <c r="C3" s="13" t="s">
        <v>60</v>
      </c>
      <c r="D3" s="13" t="s">
        <v>61</v>
      </c>
      <c r="E3" s="13" t="s">
        <v>62</v>
      </c>
      <c r="F3" s="13" t="s">
        <v>63</v>
      </c>
      <c r="G3" s="13" t="s">
        <v>64</v>
      </c>
      <c r="H3" s="13" t="s">
        <v>65</v>
      </c>
      <c r="I3" s="13" t="s">
        <v>66</v>
      </c>
    </row>
    <row r="4" customFormat="false" ht="15" hidden="false" customHeight="false" outlineLevel="0" collapsed="false">
      <c r="A4" s="2" t="s">
        <v>67</v>
      </c>
      <c r="B4" s="14" t="n">
        <v>33949</v>
      </c>
      <c r="C4" s="14" t="n">
        <v>55842</v>
      </c>
      <c r="D4" s="14" t="n">
        <v>76597</v>
      </c>
      <c r="E4" s="15" t="n">
        <f aca="false">D4*(1+Assumptions!$B$22)</f>
        <v>91916.4</v>
      </c>
      <c r="F4" s="15" t="n">
        <f aca="false">E4*(1+Assumptions!$B$23)</f>
        <v>106623.024</v>
      </c>
      <c r="G4" s="15" t="n">
        <f aca="false">F4*(1+Assumptions!$B$24)</f>
        <v>121550.24736</v>
      </c>
      <c r="H4" s="15" t="n">
        <f aca="false">G4*(1+Assumptions!$B$25)</f>
        <v>136136.2770432</v>
      </c>
      <c r="I4" s="15" t="n">
        <f aca="false">H4*(1+Assumptions!$B$26)</f>
        <v>151111.267517952</v>
      </c>
    </row>
    <row r="5" customFormat="false" ht="15" hidden="false" customHeight="false" outlineLevel="0" collapsed="false">
      <c r="A5" s="2" t="s">
        <v>68</v>
      </c>
      <c r="B5" s="16" t="n">
        <f aca="false">B6/B4</f>
        <v>0.0459512798609679</v>
      </c>
      <c r="C5" s="16" t="n">
        <f aca="false">C6/C4</f>
        <v>0.0458436302424698</v>
      </c>
      <c r="D5" s="16" t="n">
        <f aca="false">D6/D4</f>
        <v>0.0506547253808896</v>
      </c>
      <c r="E5" s="16" t="n">
        <f aca="false">E6/E4</f>
        <v>0.051</v>
      </c>
      <c r="F5" s="16" t="n">
        <f aca="false">F6/F4</f>
        <v>0.052</v>
      </c>
      <c r="G5" s="16" t="n">
        <f aca="false">G6/G4</f>
        <v>0.053</v>
      </c>
      <c r="H5" s="16" t="n">
        <f aca="false">H6/H4</f>
        <v>0.054</v>
      </c>
      <c r="I5" s="16" t="n">
        <f aca="false">I6/I4</f>
        <v>0.055</v>
      </c>
    </row>
    <row r="6" customFormat="false" ht="15" hidden="false" customHeight="false" outlineLevel="0" collapsed="false">
      <c r="A6" s="2" t="s">
        <v>69</v>
      </c>
      <c r="B6" s="14" t="n">
        <v>1560</v>
      </c>
      <c r="C6" s="14" t="n">
        <v>2560</v>
      </c>
      <c r="D6" s="14" t="n">
        <v>3880</v>
      </c>
      <c r="E6" s="15" t="n">
        <f aca="false">E4*Assumptions!$B$29</f>
        <v>4687.7364</v>
      </c>
      <c r="F6" s="15" t="n">
        <f aca="false">F4*Assumptions!$B$30</f>
        <v>5544.397248</v>
      </c>
      <c r="G6" s="15" t="n">
        <f aca="false">G4*Assumptions!$B$31</f>
        <v>6442.16311008</v>
      </c>
      <c r="H6" s="15" t="n">
        <f aca="false">H4*Assumptions!$B$32</f>
        <v>7351.3589603328</v>
      </c>
      <c r="I6" s="15" t="n">
        <f aca="false">I4*Assumptions!$B$33</f>
        <v>8311.11971348736</v>
      </c>
    </row>
    <row r="7" customFormat="false" ht="15" hidden="false" customHeight="false" outlineLevel="0" collapsed="false">
      <c r="A7" s="2" t="s">
        <v>70</v>
      </c>
      <c r="B7" s="14" t="n">
        <v>170</v>
      </c>
      <c r="C7" s="14" t="n">
        <v>230</v>
      </c>
      <c r="D7" s="14" t="n">
        <v>300</v>
      </c>
      <c r="E7" s="15" t="n">
        <f aca="false">E4*Assumptions!$B$36</f>
        <v>413.6238</v>
      </c>
      <c r="F7" s="15" t="n">
        <f aca="false">F4*Assumptions!$B$36</f>
        <v>479.803608</v>
      </c>
      <c r="G7" s="15" t="n">
        <f aca="false">G4*Assumptions!$B$36</f>
        <v>546.97611312</v>
      </c>
      <c r="H7" s="15" t="n">
        <f aca="false">H4*Assumptions!$B$36</f>
        <v>612.6132466944</v>
      </c>
      <c r="I7" s="15" t="n">
        <f aca="false">I4*Assumptions!$B$36</f>
        <v>680.000703830784</v>
      </c>
    </row>
    <row r="8" customFormat="false" ht="15" hidden="false" customHeight="false" outlineLevel="0" collapsed="false">
      <c r="A8" s="2" t="s">
        <v>71</v>
      </c>
      <c r="B8" s="14" t="n">
        <f aca="false">B6-B7</f>
        <v>1390</v>
      </c>
      <c r="C8" s="14" t="n">
        <f aca="false">C6-C7</f>
        <v>2330</v>
      </c>
      <c r="D8" s="14" t="n">
        <f aca="false">D6-D7</f>
        <v>3580</v>
      </c>
      <c r="E8" s="14" t="n">
        <f aca="false">E6-E7</f>
        <v>4274.1126</v>
      </c>
      <c r="F8" s="14" t="n">
        <f aca="false">F6-F7</f>
        <v>5064.59364</v>
      </c>
      <c r="G8" s="14" t="n">
        <f aca="false">G6-G7</f>
        <v>5895.18699696</v>
      </c>
      <c r="H8" s="14" t="n">
        <f aca="false">H6-H7</f>
        <v>6738.7457136384</v>
      </c>
      <c r="I8" s="14" t="n">
        <f aca="false">I6-I7</f>
        <v>7631.11900965658</v>
      </c>
    </row>
    <row r="9" customFormat="false" ht="15" hidden="false" customHeight="false" outlineLevel="0" collapsed="false">
      <c r="A9" s="2" t="s">
        <v>72</v>
      </c>
      <c r="B9" s="14" t="n">
        <v>-1120</v>
      </c>
      <c r="C9" s="14" t="n">
        <v>-1650</v>
      </c>
      <c r="D9" s="14" t="n">
        <v>-2650</v>
      </c>
      <c r="E9" s="15" t="n">
        <f aca="false">-E4*Assumptions!$B$39</f>
        <v>-2757.492</v>
      </c>
      <c r="F9" s="15" t="n">
        <f aca="false">-F4*Assumptions!$B$39</f>
        <v>-3198.69072</v>
      </c>
      <c r="G9" s="15" t="n">
        <f aca="false">-G4*Assumptions!$B$39</f>
        <v>-3646.5074208</v>
      </c>
      <c r="H9" s="15" t="n">
        <f aca="false">-H4*Assumptions!$B$39</f>
        <v>-4084.088311296</v>
      </c>
      <c r="I9" s="15" t="n">
        <f aca="false">-I4*Assumptions!$B$39</f>
        <v>-4533.33802553856</v>
      </c>
    </row>
    <row r="10" customFormat="false" ht="15" hidden="false" customHeight="false" outlineLevel="0" collapsed="false">
      <c r="A10" s="2" t="s">
        <v>73</v>
      </c>
      <c r="B10" s="14" t="n">
        <f aca="false">B8+B9</f>
        <v>270</v>
      </c>
      <c r="C10" s="14" t="n">
        <f aca="false">C8+C9</f>
        <v>680</v>
      </c>
      <c r="D10" s="14" t="n">
        <f aca="false">D8+D9</f>
        <v>930</v>
      </c>
      <c r="E10" s="14" t="n">
        <f aca="false">E8+E9</f>
        <v>1516.6206</v>
      </c>
      <c r="F10" s="14" t="n">
        <f aca="false">F8+F9</f>
        <v>1865.90292</v>
      </c>
      <c r="G10" s="14" t="n">
        <f aca="false">G8+G9</f>
        <v>2248.67957616</v>
      </c>
      <c r="H10" s="14" t="n">
        <f aca="false">H8+H9</f>
        <v>2654.6574023424</v>
      </c>
      <c r="I10" s="14" t="n">
        <f aca="false">I8+I9</f>
        <v>3097.78098411802</v>
      </c>
    </row>
    <row r="11" customFormat="false" ht="15" hidden="false" customHeight="false" outlineLevel="0" collapsed="false">
      <c r="A11" s="2" t="s">
        <v>74</v>
      </c>
      <c r="B11" s="14" t="n">
        <v>-56</v>
      </c>
      <c r="C11" s="14" t="n">
        <v>-65</v>
      </c>
      <c r="D11" s="14" t="n">
        <v>0</v>
      </c>
      <c r="E11" s="14" t="n">
        <f aca="false">-E10*Assumptions!$B$8</f>
        <v>-341.239635</v>
      </c>
      <c r="F11" s="14" t="n">
        <f aca="false">-F10*Assumptions!$B$8</f>
        <v>-419.828157</v>
      </c>
      <c r="G11" s="14" t="n">
        <f aca="false">-G10*Assumptions!$B$8</f>
        <v>-505.952904636</v>
      </c>
      <c r="H11" s="14" t="n">
        <f aca="false">-H10*Assumptions!$B$8</f>
        <v>-597.29791552704</v>
      </c>
      <c r="I11" s="14" t="n">
        <f aca="false">-I10*Assumptions!$B$8</f>
        <v>-697.000721426554</v>
      </c>
    </row>
    <row r="12" customFormat="false" ht="15" hidden="false" customHeight="false" outlineLevel="0" collapsed="false">
      <c r="A12" s="3" t="s">
        <v>75</v>
      </c>
      <c r="B12" s="17" t="n">
        <v>214</v>
      </c>
      <c r="C12" s="17" t="n">
        <v>615</v>
      </c>
      <c r="D12" s="17" t="n">
        <v>952</v>
      </c>
      <c r="E12" s="17" t="n">
        <f aca="false">E10+E11</f>
        <v>1175.380965</v>
      </c>
      <c r="F12" s="17" t="n">
        <f aca="false">F10+F11</f>
        <v>1446.074763</v>
      </c>
      <c r="G12" s="17" t="n">
        <f aca="false">G10+G11</f>
        <v>1742.726671524</v>
      </c>
      <c r="H12" s="17" t="n">
        <f aca="false">H10+H11</f>
        <v>2057.35948681536</v>
      </c>
      <c r="I12" s="17" t="n">
        <f aca="false">I10+I11</f>
        <v>2400.78026269146</v>
      </c>
    </row>
    <row r="13" customFormat="false" ht="15" hidden="false" customHeight="false" outlineLevel="0" collapsed="false">
      <c r="A13" s="2" t="s">
        <v>76</v>
      </c>
      <c r="B13" s="18" t="n">
        <f aca="false">B12/Assumptions!$B$6</f>
        <v>0.212301587301587</v>
      </c>
      <c r="C13" s="18" t="n">
        <f aca="false">C12/Assumptions!$B$6</f>
        <v>0.610119047619048</v>
      </c>
      <c r="D13" s="18" t="n">
        <f aca="false">D12/Assumptions!$B$6</f>
        <v>0.944444444444444</v>
      </c>
      <c r="E13" s="18" t="n">
        <f aca="false">E12/Assumptions!$B$6</f>
        <v>1.16605254464286</v>
      </c>
      <c r="F13" s="18" t="n">
        <f aca="false">F12/Assumptions!$B$6</f>
        <v>1.43459797916667</v>
      </c>
      <c r="G13" s="18" t="n">
        <f aca="false">G12/Assumptions!$B$6</f>
        <v>1.72889550746429</v>
      </c>
      <c r="H13" s="18" t="n">
        <f aca="false">H12/Assumptions!$B$6</f>
        <v>2.04103123692</v>
      </c>
      <c r="I13" s="18" t="n">
        <f aca="false">I12/Assumptions!$B$6</f>
        <v>2.3817264510828</v>
      </c>
    </row>
    <row r="15" customFormat="false" ht="15" hidden="false" customHeight="false" outlineLevel="0" collapsed="false">
      <c r="A15" s="19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2"/>
  </cols>
  <sheetData>
    <row r="1" customFormat="false" ht="16.15" hidden="false" customHeight="false" outlineLevel="0" collapsed="false">
      <c r="A1" s="1" t="s">
        <v>78</v>
      </c>
    </row>
    <row r="3" customFormat="false" ht="15" hidden="false" customHeight="false" outlineLevel="0" collapsed="false">
      <c r="B3" s="13" t="s">
        <v>59</v>
      </c>
      <c r="C3" s="13" t="s">
        <v>60</v>
      </c>
      <c r="D3" s="13" t="s">
        <v>61</v>
      </c>
      <c r="E3" s="13" t="s">
        <v>62</v>
      </c>
      <c r="F3" s="13" t="s">
        <v>63</v>
      </c>
      <c r="G3" s="13" t="s">
        <v>64</v>
      </c>
      <c r="H3" s="13" t="s">
        <v>65</v>
      </c>
      <c r="I3" s="13" t="s">
        <v>66</v>
      </c>
    </row>
    <row r="5" customFormat="false" ht="15" hidden="false" customHeight="false" outlineLevel="0" collapsed="false">
      <c r="A5" s="2" t="s">
        <v>79</v>
      </c>
      <c r="B5" s="15" t="n">
        <f aca="false">'Income Statement'!B4*90/365</f>
        <v>8370.98630136986</v>
      </c>
      <c r="C5" s="15" t="n">
        <f aca="false">'Income Statement'!C4*90/365</f>
        <v>13769.2602739726</v>
      </c>
      <c r="D5" s="15" t="n">
        <f aca="false">'Income Statement'!D4*90/365</f>
        <v>18886.9315068493</v>
      </c>
      <c r="E5" s="15" t="n">
        <f aca="false">'Income Statement'!E4*90/365</f>
        <v>22664.3178082192</v>
      </c>
      <c r="F5" s="15" t="n">
        <f aca="false">'Income Statement'!F4*90/365</f>
        <v>26290.6086575342</v>
      </c>
      <c r="G5" s="15" t="n">
        <f aca="false">'Income Statement'!G4*90/365</f>
        <v>29971.293869589</v>
      </c>
      <c r="H5" s="15" t="n">
        <f aca="false">'Income Statement'!H4*90/365</f>
        <v>33567.8491339397</v>
      </c>
      <c r="I5" s="15" t="n">
        <f aca="false">'Income Statement'!I4*90/365</f>
        <v>37260.3125386731</v>
      </c>
    </row>
    <row r="6" customFormat="false" ht="15" hidden="false" customHeight="false" outlineLevel="0" collapsed="false">
      <c r="A6" s="2" t="s">
        <v>80</v>
      </c>
      <c r="B6" s="15" t="n">
        <f aca="false">'Income Statement'!B4*0.92*30/365</f>
        <v>2567.10246575343</v>
      </c>
      <c r="C6" s="15" t="n">
        <f aca="false">'Income Statement'!C4*0.92*30/365</f>
        <v>4222.57315068493</v>
      </c>
      <c r="D6" s="15" t="n">
        <f aca="false">'Income Statement'!D4*0.92*30/365</f>
        <v>5791.99232876712</v>
      </c>
      <c r="E6" s="15" t="n">
        <f aca="false">'Income Statement'!E4*0.92*30/365</f>
        <v>6950.39079452055</v>
      </c>
      <c r="F6" s="15" t="n">
        <f aca="false">'Income Statement'!F4*0.92*30/365</f>
        <v>8062.45332164384</v>
      </c>
      <c r="G6" s="15" t="n">
        <f aca="false">'Income Statement'!G4*0.92*30/365</f>
        <v>9191.19678667397</v>
      </c>
      <c r="H6" s="15" t="n">
        <f aca="false">'Income Statement'!H4*0.92*30/365</f>
        <v>10294.1404010749</v>
      </c>
      <c r="I6" s="15" t="n">
        <f aca="false">'Income Statement'!I4*0.92*30/365</f>
        <v>11426.4958451931</v>
      </c>
    </row>
    <row r="7" customFormat="false" ht="15" hidden="false" customHeight="false" outlineLevel="0" collapsed="false">
      <c r="A7" s="2" t="s">
        <v>81</v>
      </c>
      <c r="B7" s="15" t="n">
        <f aca="false">'Income Statement'!B4*0.92*119/365</f>
        <v>10182.8397808219</v>
      </c>
      <c r="C7" s="15" t="n">
        <f aca="false">'Income Statement'!C4*0.92*119/365</f>
        <v>16749.5401643836</v>
      </c>
      <c r="D7" s="15" t="n">
        <f aca="false">'Income Statement'!D4*0.92*119/365</f>
        <v>22974.9029041096</v>
      </c>
      <c r="E7" s="15" t="n">
        <f aca="false">'Income Statement'!E4*0.92*119/365</f>
        <v>27569.8834849315</v>
      </c>
      <c r="F7" s="15" t="n">
        <f aca="false">'Income Statement'!F4*0.92*119/365</f>
        <v>31981.0648425205</v>
      </c>
      <c r="G7" s="15" t="n">
        <f aca="false">'Income Statement'!G4*0.92*119/365</f>
        <v>36458.4139204734</v>
      </c>
      <c r="H7" s="15" t="n">
        <f aca="false">'Income Statement'!H4*0.92*119/365</f>
        <v>40833.4235909302</v>
      </c>
      <c r="I7" s="15" t="n">
        <f aca="false">'Income Statement'!I4*0.92*119/365</f>
        <v>45325.1001859326</v>
      </c>
    </row>
    <row r="8" customFormat="false" ht="15" hidden="false" customHeight="false" outlineLevel="0" collapsed="false">
      <c r="A8" s="3" t="s">
        <v>82</v>
      </c>
      <c r="B8" s="20" t="n">
        <f aca="false">B5+B6-B7</f>
        <v>755.248986301371</v>
      </c>
      <c r="C8" s="20" t="n">
        <f aca="false">C5+C6-C7</f>
        <v>1242.29326027397</v>
      </c>
      <c r="D8" s="20" t="n">
        <f aca="false">D5+D6-D7</f>
        <v>1704.02093150685</v>
      </c>
      <c r="E8" s="20" t="n">
        <f aca="false">E5+E6-E7</f>
        <v>2044.82511780821</v>
      </c>
      <c r="F8" s="20" t="n">
        <f aca="false">F5+F6-F7</f>
        <v>2371.99713665753</v>
      </c>
      <c r="G8" s="20" t="n">
        <f aca="false">G5+G6-G7</f>
        <v>2704.07673578959</v>
      </c>
      <c r="H8" s="20" t="n">
        <f aca="false">H5+H6-H7</f>
        <v>3028.56594408434</v>
      </c>
      <c r="I8" s="20" t="n">
        <f aca="false">I5+I6-I7</f>
        <v>3361.70819793362</v>
      </c>
    </row>
    <row r="9" customFormat="false" ht="15" hidden="false" customHeight="false" outlineLevel="0" collapsed="false">
      <c r="A9" s="2" t="s">
        <v>83</v>
      </c>
      <c r="B9" s="14" t="n">
        <v>2100</v>
      </c>
      <c r="C9" s="14" t="n">
        <v>3200</v>
      </c>
      <c r="D9" s="14" t="n">
        <v>4500</v>
      </c>
      <c r="E9" s="14" t="n">
        <f aca="false">D9*(1+0.12)</f>
        <v>5040</v>
      </c>
      <c r="F9" s="14" t="n">
        <f aca="false">E9*(1+0.12)</f>
        <v>5644.8</v>
      </c>
      <c r="G9" s="14" t="n">
        <f aca="false">F9*(1+0.12)</f>
        <v>6322.176</v>
      </c>
      <c r="H9" s="14" t="n">
        <f aca="false">G9*(1+0.12)</f>
        <v>7080.83712</v>
      </c>
      <c r="I9" s="14" t="n">
        <f aca="false">H9*(1+0.12)</f>
        <v>7930.53757440001</v>
      </c>
    </row>
    <row r="10" customFormat="false" ht="15" hidden="false" customHeight="false" outlineLevel="0" collapsed="false">
      <c r="A10" s="2" t="s">
        <v>84</v>
      </c>
      <c r="B10" s="14" t="n">
        <v>1400</v>
      </c>
      <c r="C10" s="14" t="n">
        <v>2100</v>
      </c>
      <c r="D10" s="14" t="n">
        <v>2900</v>
      </c>
      <c r="E10" s="14" t="n">
        <f aca="false">D10+'Income Statement'!E12*0.88</f>
        <v>3934.3352492</v>
      </c>
      <c r="F10" s="14" t="n">
        <f aca="false">E10+'Income Statement'!F12*0.88</f>
        <v>5206.88104064</v>
      </c>
      <c r="G10" s="14" t="n">
        <f aca="false">F10+'Income Statement'!G12*0.88</f>
        <v>6740.48051158112</v>
      </c>
      <c r="H10" s="14" t="n">
        <f aca="false">G10+'Income Statement'!H12*0.88</f>
        <v>8550.95685997864</v>
      </c>
      <c r="I10" s="14" t="n">
        <f aca="false">H10+'Income Statement'!I12*0.88</f>
        <v>10663.6434911471</v>
      </c>
    </row>
    <row r="12" customFormat="false" ht="15" hidden="false" customHeight="false" outlineLevel="0" collapsed="false">
      <c r="A12" s="19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2"/>
  </cols>
  <sheetData>
    <row r="1" customFormat="false" ht="16.15" hidden="false" customHeight="false" outlineLevel="0" collapsed="false">
      <c r="A1" s="1" t="s">
        <v>86</v>
      </c>
    </row>
    <row r="3" customFormat="false" ht="15" hidden="false" customHeight="false" outlineLevel="0" collapsed="false">
      <c r="B3" s="13" t="s">
        <v>59</v>
      </c>
      <c r="C3" s="13" t="s">
        <v>60</v>
      </c>
      <c r="D3" s="13" t="s">
        <v>61</v>
      </c>
      <c r="E3" s="13" t="s">
        <v>62</v>
      </c>
      <c r="F3" s="13" t="s">
        <v>63</v>
      </c>
      <c r="G3" s="13" t="s">
        <v>64</v>
      </c>
      <c r="H3" s="13" t="s">
        <v>65</v>
      </c>
      <c r="I3" s="13" t="s">
        <v>66</v>
      </c>
    </row>
    <row r="4" customFormat="false" ht="15" hidden="false" customHeight="false" outlineLevel="0" collapsed="false">
      <c r="A4" s="2" t="s">
        <v>87</v>
      </c>
      <c r="B4" s="15" t="n">
        <f aca="false">'Income Statement'!B12</f>
        <v>214</v>
      </c>
      <c r="C4" s="15" t="n">
        <f aca="false">'Income Statement'!C12</f>
        <v>615</v>
      </c>
      <c r="D4" s="15" t="n">
        <f aca="false">'Income Statement'!D12</f>
        <v>952</v>
      </c>
      <c r="E4" s="15" t="n">
        <f aca="false">'Income Statement'!E12</f>
        <v>1175.380965</v>
      </c>
      <c r="F4" s="15" t="n">
        <f aca="false">'Income Statement'!F12</f>
        <v>1446.074763</v>
      </c>
      <c r="G4" s="15" t="n">
        <f aca="false">'Income Statement'!G12</f>
        <v>1742.726671524</v>
      </c>
      <c r="H4" s="15" t="n">
        <f aca="false">'Income Statement'!H12</f>
        <v>2057.35948681536</v>
      </c>
      <c r="I4" s="15" t="n">
        <f aca="false">'Income Statement'!I12</f>
        <v>2400.78026269146</v>
      </c>
    </row>
    <row r="5" customFormat="false" ht="15" hidden="false" customHeight="false" outlineLevel="0" collapsed="false">
      <c r="A5" s="2" t="s">
        <v>88</v>
      </c>
      <c r="B5" s="15" t="n">
        <f aca="false">'Income Statement'!B7</f>
        <v>170</v>
      </c>
      <c r="C5" s="15" t="n">
        <f aca="false">'Income Statement'!C7</f>
        <v>230</v>
      </c>
      <c r="D5" s="15" t="n">
        <f aca="false">'Income Statement'!D7</f>
        <v>300</v>
      </c>
      <c r="E5" s="15" t="n">
        <f aca="false">'Income Statement'!E7</f>
        <v>413.6238</v>
      </c>
      <c r="F5" s="15" t="n">
        <f aca="false">'Income Statement'!F7</f>
        <v>479.803608</v>
      </c>
      <c r="G5" s="15" t="n">
        <f aca="false">'Income Statement'!G7</f>
        <v>546.97611312</v>
      </c>
      <c r="H5" s="15" t="n">
        <f aca="false">'Income Statement'!H7</f>
        <v>612.6132466944</v>
      </c>
      <c r="I5" s="15" t="n">
        <f aca="false">'Income Statement'!I7</f>
        <v>680.000703830784</v>
      </c>
    </row>
    <row r="6" customFormat="false" ht="15" hidden="false" customHeight="false" outlineLevel="0" collapsed="false">
      <c r="A6" s="2" t="s">
        <v>89</v>
      </c>
      <c r="B6" s="21" t="n">
        <v>0</v>
      </c>
      <c r="C6" s="15" t="n">
        <f aca="false">-('Balance Sheet'!C8-'Balance Sheet'!B8)</f>
        <v>-487.0442739726</v>
      </c>
      <c r="D6" s="15" t="n">
        <f aca="false">-('Balance Sheet'!D8-'Balance Sheet'!C8)</f>
        <v>-461.727671232879</v>
      </c>
      <c r="E6" s="15" t="n">
        <f aca="false">-('Balance Sheet'!E8-'Balance Sheet'!D8)</f>
        <v>-340.804186301364</v>
      </c>
      <c r="F6" s="15" t="n">
        <f aca="false">-('Balance Sheet'!F8-'Balance Sheet'!E8)</f>
        <v>-327.172018849316</v>
      </c>
      <c r="G6" s="15" t="n">
        <f aca="false">-('Balance Sheet'!G8-'Balance Sheet'!F8)</f>
        <v>-332.079599132059</v>
      </c>
      <c r="H6" s="15" t="n">
        <f aca="false">-('Balance Sheet'!H8-'Balance Sheet'!G8)</f>
        <v>-324.489208294755</v>
      </c>
      <c r="I6" s="15" t="n">
        <f aca="false">-('Balance Sheet'!I8-'Balance Sheet'!H8)</f>
        <v>-333.142253849277</v>
      </c>
    </row>
    <row r="7" customFormat="false" ht="15" hidden="false" customHeight="false" outlineLevel="0" collapsed="false">
      <c r="A7" s="2" t="s">
        <v>90</v>
      </c>
      <c r="B7" s="15" t="n">
        <f aca="false">-'Income Statement'!B4*Assumptions!$B$37</f>
        <v>-203.694</v>
      </c>
      <c r="C7" s="15" t="n">
        <f aca="false">-'Income Statement'!C4*Assumptions!$B$37</f>
        <v>-335.052</v>
      </c>
      <c r="D7" s="15" t="n">
        <f aca="false">-'Income Statement'!D4*Assumptions!$B$37</f>
        <v>-459.582</v>
      </c>
      <c r="E7" s="15" t="n">
        <f aca="false">-'Income Statement'!E4*Assumptions!$B$37</f>
        <v>-551.4984</v>
      </c>
      <c r="F7" s="15" t="n">
        <f aca="false">-'Income Statement'!F4*Assumptions!$B$37</f>
        <v>-639.738144</v>
      </c>
      <c r="G7" s="15" t="n">
        <f aca="false">-'Income Statement'!G4*Assumptions!$B$37</f>
        <v>-729.30148416</v>
      </c>
      <c r="H7" s="15" t="n">
        <f aca="false">-'Income Statement'!H4*Assumptions!$B$37</f>
        <v>-816.8176622592</v>
      </c>
      <c r="I7" s="15" t="n">
        <f aca="false">-'Income Statement'!I4*Assumptions!$B$37</f>
        <v>-906.667605107712</v>
      </c>
    </row>
    <row r="8" customFormat="false" ht="15" hidden="false" customHeight="false" outlineLevel="0" collapsed="false">
      <c r="A8" s="3" t="s">
        <v>91</v>
      </c>
      <c r="B8" s="20" t="n">
        <f aca="false">B4+B5+B6+B7</f>
        <v>180.306</v>
      </c>
      <c r="C8" s="20" t="n">
        <f aca="false">C4+C5+C6+C7</f>
        <v>22.9037260273996</v>
      </c>
      <c r="D8" s="20" t="n">
        <f aca="false">D4+D5+D6+D7</f>
        <v>330.690328767122</v>
      </c>
      <c r="E8" s="20" t="n">
        <f aca="false">E4+E5+E6+E7</f>
        <v>696.702178698636</v>
      </c>
      <c r="F8" s="20" t="n">
        <f aca="false">F4+F5+F6+F7</f>
        <v>958.968208150683</v>
      </c>
      <c r="G8" s="20" t="n">
        <f aca="false">G4+G5+G6+G7</f>
        <v>1228.32170135194</v>
      </c>
      <c r="H8" s="20" t="n">
        <f aca="false">H4+H5+H6+H7</f>
        <v>1528.6658629558</v>
      </c>
      <c r="I8" s="20" t="n">
        <f aca="false">I4+I5+I6+I7</f>
        <v>1840.97110756526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1" t="s">
        <v>92</v>
      </c>
    </row>
    <row r="3" customFormat="false" ht="15" hidden="false" customHeight="false" outlineLevel="0" collapsed="false">
      <c r="A3" s="2" t="s">
        <v>93</v>
      </c>
      <c r="B3" s="22" t="n">
        <f aca="false">'DCF Detail'!B20</f>
        <v>10037.8922527554</v>
      </c>
    </row>
    <row r="4" customFormat="false" ht="15" hidden="false" customHeight="false" outlineLevel="0" collapsed="false">
      <c r="A4" s="2" t="s">
        <v>94</v>
      </c>
      <c r="B4" s="22" t="n">
        <f aca="false">'DCF Detail'!B18</f>
        <v>45332.8059230656</v>
      </c>
    </row>
    <row r="5" customFormat="false" ht="15" hidden="false" customHeight="false" outlineLevel="0" collapsed="false">
      <c r="A5" s="2" t="s">
        <v>95</v>
      </c>
      <c r="B5" s="22" t="n">
        <f aca="false">'DCF Detail'!B19</f>
        <v>14395.4475839175</v>
      </c>
    </row>
    <row r="6" customFormat="false" ht="15" hidden="false" customHeight="false" outlineLevel="0" collapsed="false">
      <c r="A6" s="3" t="s">
        <v>96</v>
      </c>
      <c r="B6" s="17" t="n">
        <f aca="false">B3+B5</f>
        <v>24433.339836673</v>
      </c>
    </row>
    <row r="7" customFormat="false" ht="15" hidden="false" customHeight="false" outlineLevel="0" collapsed="false">
      <c r="A7" s="2" t="s">
        <v>97</v>
      </c>
      <c r="B7" s="14" t="n">
        <f aca="false">-Assumptions!$B$7</f>
        <v>-4500</v>
      </c>
    </row>
    <row r="8" customFormat="false" ht="15" hidden="false" customHeight="false" outlineLevel="0" collapsed="false">
      <c r="A8" s="3" t="s">
        <v>98</v>
      </c>
      <c r="B8" s="17" t="n">
        <f aca="false">B6+B7</f>
        <v>19933.339836673</v>
      </c>
    </row>
    <row r="9" customFormat="false" ht="15" hidden="false" customHeight="false" outlineLevel="0" collapsed="false">
      <c r="A9" s="3" t="s">
        <v>99</v>
      </c>
      <c r="B9" s="23" t="n">
        <f aca="false">B8/Assumptions!$B$6</f>
        <v>19.7751387268581</v>
      </c>
    </row>
    <row r="10" customFormat="false" ht="15" hidden="false" customHeight="false" outlineLevel="0" collapsed="false">
      <c r="A10" s="2" t="s">
        <v>100</v>
      </c>
      <c r="B10" s="16" t="n">
        <f aca="false">B5/B6</f>
        <v>0.589172322742012</v>
      </c>
    </row>
    <row r="12" customFormat="false" ht="15" hidden="false" customHeight="false" outlineLevel="0" collapsed="false">
      <c r="A12" s="2" t="s">
        <v>101</v>
      </c>
      <c r="B12" s="16" t="n">
        <f aca="false">Assumptions!$B$18</f>
        <v>0.257875</v>
      </c>
    </row>
    <row r="13" customFormat="false" ht="15" hidden="false" customHeight="false" outlineLevel="0" collapsed="false">
      <c r="A13" s="2" t="s">
        <v>102</v>
      </c>
      <c r="B13" s="16" t="n">
        <f aca="false">Assumptions!$B$14</f>
        <v>0.304</v>
      </c>
    </row>
    <row r="14" customFormat="false" ht="15" hidden="false" customHeight="false" outlineLevel="0" collapsed="false">
      <c r="A14" s="2" t="s">
        <v>103</v>
      </c>
      <c r="B14" s="16" t="n">
        <f aca="false">Assumptions!$B$19</f>
        <v>0.125</v>
      </c>
    </row>
    <row r="16" customFormat="false" ht="15" hidden="false" customHeight="false" outlineLevel="0" collapsed="false">
      <c r="A16" s="19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8" min="2" style="0" width="12"/>
  </cols>
  <sheetData>
    <row r="1" customFormat="false" ht="16.15" hidden="false" customHeight="false" outlineLevel="0" collapsed="false">
      <c r="A1" s="1" t="s">
        <v>105</v>
      </c>
    </row>
    <row r="3" customFormat="false" ht="15" hidden="false" customHeight="false" outlineLevel="0" collapsed="false">
      <c r="C3" s="13" t="s">
        <v>62</v>
      </c>
      <c r="D3" s="13" t="s">
        <v>63</v>
      </c>
      <c r="E3" s="13" t="s">
        <v>64</v>
      </c>
      <c r="F3" s="13" t="s">
        <v>65</v>
      </c>
      <c r="G3" s="13" t="s">
        <v>66</v>
      </c>
    </row>
    <row r="4" customFormat="false" ht="15" hidden="false" customHeight="false" outlineLevel="0" collapsed="false">
      <c r="A4" s="2" t="s">
        <v>67</v>
      </c>
      <c r="B4" s="15" t="n">
        <f aca="false">'Income Statement'!E4</f>
        <v>91916.4</v>
      </c>
      <c r="C4" s="15" t="n">
        <f aca="false">'Income Statement'!F4</f>
        <v>106623.024</v>
      </c>
      <c r="D4" s="15" t="n">
        <f aca="false">'Income Statement'!G4</f>
        <v>121550.24736</v>
      </c>
      <c r="E4" s="15" t="n">
        <f aca="false">'Income Statement'!H4</f>
        <v>136136.2770432</v>
      </c>
      <c r="F4" s="15" t="n">
        <f aca="false">'Income Statement'!I4</f>
        <v>151111.267517952</v>
      </c>
    </row>
    <row r="5" customFormat="false" ht="15" hidden="false" customHeight="false" outlineLevel="0" collapsed="false">
      <c r="A5" s="2" t="s">
        <v>69</v>
      </c>
      <c r="B5" s="15" t="n">
        <f aca="false">'Income Statement'!E6</f>
        <v>4687.7364</v>
      </c>
      <c r="C5" s="15" t="n">
        <f aca="false">'Income Statement'!F6</f>
        <v>5544.397248</v>
      </c>
      <c r="D5" s="15" t="n">
        <f aca="false">'Income Statement'!G6</f>
        <v>6442.16311008</v>
      </c>
      <c r="E5" s="15" t="n">
        <f aca="false">'Income Statement'!H6</f>
        <v>7351.3589603328</v>
      </c>
      <c r="F5" s="15" t="n">
        <f aca="false">'Income Statement'!I6</f>
        <v>8311.11971348736</v>
      </c>
    </row>
    <row r="6" customFormat="false" ht="15" hidden="false" customHeight="false" outlineLevel="0" collapsed="false">
      <c r="A6" s="2" t="s">
        <v>70</v>
      </c>
      <c r="B6" s="15" t="n">
        <f aca="false">'Income Statement'!E7</f>
        <v>413.6238</v>
      </c>
      <c r="C6" s="15" t="n">
        <f aca="false">'Income Statement'!F7</f>
        <v>479.803608</v>
      </c>
      <c r="D6" s="15" t="n">
        <f aca="false">'Income Statement'!G7</f>
        <v>546.97611312</v>
      </c>
      <c r="E6" s="15" t="n">
        <f aca="false">'Income Statement'!H7</f>
        <v>612.6132466944</v>
      </c>
      <c r="F6" s="15" t="n">
        <f aca="false">'Income Statement'!I7</f>
        <v>680.000703830784</v>
      </c>
    </row>
    <row r="7" customFormat="false" ht="15" hidden="false" customHeight="false" outlineLevel="0" collapsed="false">
      <c r="A7" s="2" t="s">
        <v>71</v>
      </c>
      <c r="B7" s="15" t="n">
        <f aca="false">'Income Statement'!E8</f>
        <v>4274.1126</v>
      </c>
      <c r="C7" s="15" t="n">
        <f aca="false">'Income Statement'!F8</f>
        <v>5064.59364</v>
      </c>
      <c r="D7" s="15" t="n">
        <f aca="false">'Income Statement'!G8</f>
        <v>5895.18699696</v>
      </c>
      <c r="E7" s="15" t="n">
        <f aca="false">'Income Statement'!H8</f>
        <v>6738.7457136384</v>
      </c>
      <c r="F7" s="15" t="n">
        <f aca="false">'Income Statement'!I8</f>
        <v>7631.11900965658</v>
      </c>
    </row>
    <row r="8" customFormat="false" ht="15" hidden="false" customHeight="false" outlineLevel="0" collapsed="false">
      <c r="A8" s="2" t="s">
        <v>106</v>
      </c>
      <c r="B8" s="24" t="n">
        <f aca="false">B7*(1-Assumptions!$B$8)</f>
        <v>3312.437265</v>
      </c>
      <c r="C8" s="24" t="n">
        <f aca="false">C7*(1-Assumptions!$B$8)</f>
        <v>3925.060071</v>
      </c>
      <c r="D8" s="24" t="n">
        <f aca="false">D7*(1-Assumptions!$B$8)</f>
        <v>4568.769922644</v>
      </c>
      <c r="E8" s="24" t="n">
        <f aca="false">E7*(1-Assumptions!$B$8)</f>
        <v>5222.52792806976</v>
      </c>
      <c r="F8" s="24" t="n">
        <f aca="false">F7*(1-Assumptions!$B$8)</f>
        <v>5914.11723248385</v>
      </c>
    </row>
    <row r="9" customFormat="false" ht="15" hidden="false" customHeight="false" outlineLevel="0" collapsed="false">
      <c r="A9" s="2" t="s">
        <v>88</v>
      </c>
      <c r="B9" s="24" t="n">
        <f aca="false">B6</f>
        <v>413.6238</v>
      </c>
      <c r="C9" s="24" t="n">
        <f aca="false">C6</f>
        <v>479.803608</v>
      </c>
      <c r="D9" s="24" t="n">
        <f aca="false">D6</f>
        <v>546.97611312</v>
      </c>
      <c r="E9" s="24" t="n">
        <f aca="false">E6</f>
        <v>612.6132466944</v>
      </c>
      <c r="F9" s="24" t="n">
        <f aca="false">F6</f>
        <v>680.000703830784</v>
      </c>
    </row>
    <row r="10" customFormat="false" ht="15" hidden="false" customHeight="false" outlineLevel="0" collapsed="false">
      <c r="A10" s="2" t="s">
        <v>90</v>
      </c>
      <c r="B10" s="15" t="n">
        <f aca="false">'Cash Flow'!E7</f>
        <v>-551.4984</v>
      </c>
      <c r="C10" s="15" t="n">
        <f aca="false">'Cash Flow'!F7</f>
        <v>-639.738144</v>
      </c>
      <c r="D10" s="15" t="n">
        <f aca="false">'Cash Flow'!G7</f>
        <v>-729.30148416</v>
      </c>
      <c r="E10" s="15" t="n">
        <f aca="false">'Cash Flow'!H7</f>
        <v>-816.8176622592</v>
      </c>
      <c r="F10" s="15" t="n">
        <f aca="false">'Cash Flow'!I7</f>
        <v>-906.667605107712</v>
      </c>
    </row>
    <row r="11" customFormat="false" ht="15" hidden="false" customHeight="false" outlineLevel="0" collapsed="false">
      <c r="A11" s="2" t="s">
        <v>89</v>
      </c>
      <c r="B11" s="15" t="n">
        <f aca="false">'Cash Flow'!E6</f>
        <v>-340.804186301364</v>
      </c>
      <c r="C11" s="15" t="n">
        <f aca="false">'Cash Flow'!F6</f>
        <v>-327.172018849316</v>
      </c>
      <c r="D11" s="15" t="n">
        <f aca="false">'Cash Flow'!G6</f>
        <v>-332.079599132059</v>
      </c>
      <c r="E11" s="15" t="n">
        <f aca="false">'Cash Flow'!H6</f>
        <v>-324.489208294755</v>
      </c>
      <c r="F11" s="15" t="n">
        <f aca="false">'Cash Flow'!I6</f>
        <v>-333.142253849277</v>
      </c>
    </row>
    <row r="12" customFormat="false" ht="15" hidden="false" customHeight="false" outlineLevel="0" collapsed="false">
      <c r="A12" s="3" t="s">
        <v>91</v>
      </c>
      <c r="B12" s="20" t="n">
        <f aca="false">B8+B9+B10+B11</f>
        <v>2833.75847869864</v>
      </c>
      <c r="C12" s="20" t="n">
        <f aca="false">C8+C9+C10+C11</f>
        <v>3437.95351615068</v>
      </c>
      <c r="D12" s="20" t="n">
        <f aca="false">D8+D9+D10+D11</f>
        <v>4054.36495247194</v>
      </c>
      <c r="E12" s="20" t="n">
        <f aca="false">E8+E9+E10+E11</f>
        <v>4693.83430421021</v>
      </c>
      <c r="F12" s="20" t="n">
        <f aca="false">F8+F9+F10+F11</f>
        <v>5354.30807735764</v>
      </c>
    </row>
    <row r="13" customFormat="false" ht="15" hidden="false" customHeight="false" outlineLevel="0" collapsed="false">
      <c r="A13" s="2" t="s">
        <v>107</v>
      </c>
      <c r="B13" s="25" t="n">
        <f aca="false">1/(1+Assumptions!$B$18)^1</f>
        <v>0.794991553214747</v>
      </c>
      <c r="C13" s="25" t="n">
        <f aca="false">1/(1+Assumptions!$B$18)^2</f>
        <v>0.632011569682796</v>
      </c>
      <c r="D13" s="25" t="n">
        <f aca="false">1/(1+Assumptions!$B$18)^3</f>
        <v>0.502443859431816</v>
      </c>
      <c r="E13" s="25" t="n">
        <f aca="false">1/(1+Assumptions!$B$18)^4</f>
        <v>0.399438624212912</v>
      </c>
      <c r="F13" s="25" t="n">
        <f aca="false">1/(1+Assumptions!$B$18)^5</f>
        <v>0.317550332276984</v>
      </c>
      <c r="H13" s="26" t="n">
        <f aca="false">SUM(B14:F14)</f>
        <v>10037.8922527554</v>
      </c>
    </row>
    <row r="14" customFormat="false" ht="15" hidden="false" customHeight="false" outlineLevel="0" collapsed="false">
      <c r="A14" s="3" t="s">
        <v>91</v>
      </c>
      <c r="B14" s="20" t="n">
        <f aca="false">B12*B13</f>
        <v>2252.81405441609</v>
      </c>
      <c r="C14" s="20" t="n">
        <f aca="false">C12*C13</f>
        <v>2172.82639823888</v>
      </c>
      <c r="D14" s="20" t="n">
        <f aca="false">D12*D13</f>
        <v>2037.09077426509</v>
      </c>
      <c r="E14" s="20" t="n">
        <f aca="false">E12*E13</f>
        <v>1874.89871675709</v>
      </c>
      <c r="F14" s="20" t="n">
        <f aca="false">F12*F13</f>
        <v>1700.26230907826</v>
      </c>
    </row>
    <row r="16" customFormat="false" ht="15" hidden="false" customHeight="false" outlineLevel="0" collapsed="false">
      <c r="A16" s="2" t="s">
        <v>108</v>
      </c>
    </row>
    <row r="17" customFormat="false" ht="15" hidden="false" customHeight="false" outlineLevel="0" collapsed="false">
      <c r="A17" s="2" t="s">
        <v>109</v>
      </c>
    </row>
    <row r="18" customFormat="false" ht="15" hidden="false" customHeight="false" outlineLevel="0" collapsed="false">
      <c r="A18" s="0" t="s">
        <v>94</v>
      </c>
      <c r="B18" s="26" t="n">
        <f aca="false">F12*(1+Assumptions!$B$19)/(Assumptions!$B$18-Assumptions!$B$19)</f>
        <v>45332.8059230656</v>
      </c>
    </row>
    <row r="19" customFormat="false" ht="15" hidden="false" customHeight="false" outlineLevel="0" collapsed="false">
      <c r="A19" s="0" t="s">
        <v>95</v>
      </c>
      <c r="B19" s="26" t="n">
        <f aca="false">B18/(1+Assumptions!$B$18)^5</f>
        <v>14395.4475839175</v>
      </c>
    </row>
    <row r="20" customFormat="false" ht="15" hidden="false" customHeight="false" outlineLevel="0" collapsed="false">
      <c r="A20" s="0" t="s">
        <v>110</v>
      </c>
      <c r="B20" s="26" t="n">
        <f aca="false">SUM(B14:F14)</f>
        <v>10037.8922527554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1" t="s">
        <v>111</v>
      </c>
    </row>
    <row r="3" customFormat="false" ht="15" hidden="false" customHeight="false" outlineLevel="0" collapsed="false">
      <c r="A3" s="3" t="s">
        <v>112</v>
      </c>
    </row>
    <row r="4" customFormat="false" ht="15" hidden="false" customHeight="false" outlineLevel="0" collapsed="false">
      <c r="A4" s="2" t="s">
        <v>113</v>
      </c>
      <c r="B4" s="27" t="n">
        <f aca="false">'Income Statement'!D6</f>
        <v>3880</v>
      </c>
    </row>
    <row r="5" customFormat="false" ht="15" hidden="false" customHeight="false" outlineLevel="0" collapsed="false">
      <c r="A5" s="2" t="s">
        <v>114</v>
      </c>
      <c r="B5" s="28" t="n">
        <f aca="false">Assumptions!$B$47</f>
        <v>5.5</v>
      </c>
    </row>
    <row r="6" customFormat="false" ht="15" hidden="false" customHeight="false" outlineLevel="0" collapsed="false">
      <c r="A6" s="2" t="s">
        <v>115</v>
      </c>
      <c r="B6" s="14" t="n">
        <f aca="false">B4*B5</f>
        <v>21340</v>
      </c>
    </row>
    <row r="7" customFormat="false" ht="15" hidden="false" customHeight="false" outlineLevel="0" collapsed="false">
      <c r="A7" s="2" t="s">
        <v>116</v>
      </c>
      <c r="B7" s="14" t="n">
        <f aca="false">-Assumptions!$B$7</f>
        <v>-4500</v>
      </c>
    </row>
    <row r="8" customFormat="false" ht="15" hidden="false" customHeight="false" outlineLevel="0" collapsed="false">
      <c r="A8" s="3" t="s">
        <v>117</v>
      </c>
      <c r="B8" s="23" t="n">
        <f aca="false">(B6+B7)/Assumptions!$B$6</f>
        <v>16.7063492063492</v>
      </c>
    </row>
    <row r="10" customFormat="false" ht="15" hidden="false" customHeight="false" outlineLevel="0" collapsed="false">
      <c r="A10" s="3" t="s">
        <v>118</v>
      </c>
    </row>
    <row r="11" customFormat="false" ht="15" hidden="false" customHeight="false" outlineLevel="0" collapsed="false">
      <c r="A11" s="2" t="s">
        <v>119</v>
      </c>
      <c r="B11" s="27" t="n">
        <f aca="false">'Income Statement'!F4</f>
        <v>106623.024</v>
      </c>
    </row>
    <row r="12" customFormat="false" ht="15" hidden="false" customHeight="false" outlineLevel="0" collapsed="false">
      <c r="A12" s="2" t="s">
        <v>50</v>
      </c>
      <c r="B12" s="16" t="n">
        <f aca="false">Assumptions!$B$48</f>
        <v>0.017</v>
      </c>
    </row>
    <row r="13" customFormat="false" ht="15" hidden="false" customHeight="false" outlineLevel="0" collapsed="false">
      <c r="A13" s="2" t="s">
        <v>120</v>
      </c>
      <c r="B13" s="14" t="n">
        <f aca="false">B11*B12</f>
        <v>1812.591408</v>
      </c>
    </row>
    <row r="14" customFormat="false" ht="15" hidden="false" customHeight="false" outlineLevel="0" collapsed="false">
      <c r="A14" s="2" t="s">
        <v>51</v>
      </c>
      <c r="B14" s="28" t="n">
        <f aca="false">Assumptions!$B$49</f>
        <v>10</v>
      </c>
    </row>
    <row r="15" customFormat="false" ht="15" hidden="false" customHeight="false" outlineLevel="0" collapsed="false">
      <c r="A15" s="3" t="s">
        <v>121</v>
      </c>
      <c r="B15" s="23" t="n">
        <f aca="false">B13*B14/Assumptions!$B$6</f>
        <v>17.9820576190476</v>
      </c>
    </row>
    <row r="17" customFormat="false" ht="15" hidden="false" customHeight="false" outlineLevel="0" collapsed="false">
      <c r="A17" s="19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2"/>
  </cols>
  <sheetData>
    <row r="1" customFormat="false" ht="16.15" hidden="false" customHeight="false" outlineLevel="0" collapsed="false">
      <c r="A1" s="1" t="s">
        <v>123</v>
      </c>
    </row>
    <row r="3" customFormat="false" ht="15" hidden="false" customHeight="false" outlineLevel="0" collapsed="false">
      <c r="B3" s="13" t="s">
        <v>59</v>
      </c>
      <c r="C3" s="13" t="s">
        <v>60</v>
      </c>
      <c r="D3" s="13" t="s">
        <v>61</v>
      </c>
      <c r="E3" s="13" t="s">
        <v>62</v>
      </c>
      <c r="F3" s="13" t="s">
        <v>63</v>
      </c>
      <c r="G3" s="13" t="s">
        <v>64</v>
      </c>
      <c r="H3" s="13" t="s">
        <v>65</v>
      </c>
      <c r="I3" s="13" t="s">
        <v>66</v>
      </c>
    </row>
    <row r="4" customFormat="false" ht="15" hidden="false" customHeight="false" outlineLevel="0" collapsed="false">
      <c r="A4" s="2" t="s">
        <v>67</v>
      </c>
      <c r="B4" s="15" t="n">
        <f aca="false">'Income Statement'!B4</f>
        <v>33949</v>
      </c>
      <c r="C4" s="15" t="n">
        <f aca="false">'Income Statement'!C4</f>
        <v>55842</v>
      </c>
      <c r="D4" s="15" t="n">
        <f aca="false">'Income Statement'!D4</f>
        <v>76597</v>
      </c>
      <c r="E4" s="15" t="n">
        <f aca="false">'Income Statement'!E4</f>
        <v>91916.4</v>
      </c>
      <c r="F4" s="15" t="n">
        <f aca="false">'Income Statement'!F4</f>
        <v>106623.024</v>
      </c>
      <c r="G4" s="15" t="n">
        <f aca="false">'Income Statement'!G4</f>
        <v>121550.24736</v>
      </c>
      <c r="H4" s="15" t="n">
        <f aca="false">'Income Statement'!H4</f>
        <v>136136.2770432</v>
      </c>
      <c r="I4" s="15" t="n">
        <f aca="false">'Income Statement'!I4</f>
        <v>151111.267517952</v>
      </c>
    </row>
    <row r="5" customFormat="false" ht="15" hidden="false" customHeight="false" outlineLevel="0" collapsed="false">
      <c r="A5" s="2" t="s">
        <v>69</v>
      </c>
      <c r="B5" s="15" t="n">
        <f aca="false">'Income Statement'!B6</f>
        <v>1560</v>
      </c>
      <c r="C5" s="15" t="n">
        <f aca="false">'Income Statement'!C6</f>
        <v>2560</v>
      </c>
      <c r="D5" s="15" t="n">
        <f aca="false">'Income Statement'!D6</f>
        <v>3880</v>
      </c>
      <c r="E5" s="15" t="n">
        <f aca="false">'Income Statement'!E6</f>
        <v>4687.7364</v>
      </c>
      <c r="F5" s="15" t="n">
        <f aca="false">'Income Statement'!F6</f>
        <v>5544.397248</v>
      </c>
      <c r="G5" s="15" t="n">
        <f aca="false">'Income Statement'!G6</f>
        <v>6442.16311008</v>
      </c>
      <c r="H5" s="15" t="n">
        <f aca="false">'Income Statement'!H6</f>
        <v>7351.3589603328</v>
      </c>
      <c r="I5" s="15" t="n">
        <f aca="false">'Income Statement'!I6</f>
        <v>8311.11971348736</v>
      </c>
    </row>
    <row r="6" customFormat="false" ht="15" hidden="false" customHeight="false" outlineLevel="0" collapsed="false">
      <c r="A6" s="2" t="s">
        <v>71</v>
      </c>
      <c r="B6" s="15" t="n">
        <f aca="false">'Income Statement'!B8</f>
        <v>1390</v>
      </c>
      <c r="C6" s="15" t="n">
        <f aca="false">'Income Statement'!C8</f>
        <v>2330</v>
      </c>
      <c r="D6" s="15" t="n">
        <f aca="false">'Income Statement'!D8</f>
        <v>3580</v>
      </c>
      <c r="E6" s="15" t="n">
        <f aca="false">'Income Statement'!E8</f>
        <v>4274.1126</v>
      </c>
      <c r="F6" s="15" t="n">
        <f aca="false">'Income Statement'!F8</f>
        <v>5064.59364</v>
      </c>
      <c r="G6" s="15" t="n">
        <f aca="false">'Income Statement'!G8</f>
        <v>5895.18699696</v>
      </c>
      <c r="H6" s="15" t="n">
        <f aca="false">'Income Statement'!H8</f>
        <v>6738.7457136384</v>
      </c>
      <c r="I6" s="15" t="n">
        <f aca="false">'Income Statement'!I8</f>
        <v>7631.11900965658</v>
      </c>
    </row>
    <row r="7" customFormat="false" ht="15" hidden="false" customHeight="false" outlineLevel="0" collapsed="false">
      <c r="A7" s="2" t="s">
        <v>87</v>
      </c>
      <c r="B7" s="15" t="n">
        <f aca="false">'Income Statement'!B12</f>
        <v>214</v>
      </c>
      <c r="C7" s="15" t="n">
        <f aca="false">'Income Statement'!C12</f>
        <v>615</v>
      </c>
      <c r="D7" s="15" t="n">
        <f aca="false">'Income Statement'!D12</f>
        <v>952</v>
      </c>
      <c r="E7" s="15" t="n">
        <f aca="false">'Income Statement'!E12</f>
        <v>1175.380965</v>
      </c>
      <c r="F7" s="15" t="n">
        <f aca="false">'Income Statement'!F12</f>
        <v>1446.074763</v>
      </c>
      <c r="G7" s="15" t="n">
        <f aca="false">'Income Statement'!G12</f>
        <v>1742.726671524</v>
      </c>
      <c r="H7" s="15" t="n">
        <f aca="false">'Income Statement'!H12</f>
        <v>2057.35948681536</v>
      </c>
      <c r="I7" s="15" t="n">
        <f aca="false">'Income Statement'!I12</f>
        <v>2400.78026269146</v>
      </c>
    </row>
    <row r="8" customFormat="false" ht="15" hidden="false" customHeight="false" outlineLevel="0" collapsed="false">
      <c r="A8" s="2" t="s">
        <v>76</v>
      </c>
      <c r="B8" s="29" t="n">
        <f aca="false">'Income Statement'!B13</f>
        <v>0.212301587301587</v>
      </c>
      <c r="C8" s="29" t="n">
        <f aca="false">'Income Statement'!C13</f>
        <v>0.610119047619048</v>
      </c>
      <c r="D8" s="29" t="n">
        <f aca="false">'Income Statement'!D13</f>
        <v>0.944444444444444</v>
      </c>
      <c r="E8" s="29" t="n">
        <f aca="false">'Income Statement'!E13</f>
        <v>1.16605254464286</v>
      </c>
      <c r="F8" s="29" t="n">
        <f aca="false">'Income Statement'!F13</f>
        <v>1.43459797916667</v>
      </c>
      <c r="G8" s="29" t="n">
        <f aca="false">'Income Statement'!G13</f>
        <v>1.72889550746429</v>
      </c>
      <c r="H8" s="29" t="n">
        <f aca="false">'Income Statement'!H13</f>
        <v>2.04103123692</v>
      </c>
      <c r="I8" s="29" t="n">
        <f aca="false">'Income Statement'!I13</f>
        <v>2.3817264510828</v>
      </c>
    </row>
    <row r="9" customFormat="false" ht="15" hidden="false" customHeight="false" outlineLevel="0" collapsed="false">
      <c r="A9" s="2" t="s">
        <v>124</v>
      </c>
      <c r="B9" s="15" t="n">
        <f aca="false">'Cash Flow'!B8</f>
        <v>180.306</v>
      </c>
      <c r="C9" s="15" t="n">
        <f aca="false">'Cash Flow'!C8</f>
        <v>22.9037260273996</v>
      </c>
      <c r="D9" s="15" t="n">
        <f aca="false">'Cash Flow'!D8</f>
        <v>330.690328767122</v>
      </c>
      <c r="E9" s="15" t="n">
        <f aca="false">'Cash Flow'!E8</f>
        <v>696.702178698636</v>
      </c>
      <c r="F9" s="15" t="n">
        <f aca="false">'Cash Flow'!F8</f>
        <v>958.968208150683</v>
      </c>
      <c r="G9" s="15" t="n">
        <f aca="false">'Cash Flow'!G8</f>
        <v>1228.32170135194</v>
      </c>
      <c r="H9" s="15" t="n">
        <f aca="false">'Cash Flow'!H8</f>
        <v>1528.6658629558</v>
      </c>
      <c r="I9" s="15" t="n">
        <f aca="false">'Cash Flow'!I8</f>
        <v>1840.97110756526</v>
      </c>
    </row>
    <row r="10" customFormat="false" ht="15" hidden="false" customHeight="false" outlineLevel="0" collapsed="false">
      <c r="A10" s="2" t="s">
        <v>82</v>
      </c>
      <c r="B10" s="15" t="n">
        <f aca="false">'Balance Sheet'!B8</f>
        <v>755.248986301371</v>
      </c>
      <c r="C10" s="15" t="n">
        <f aca="false">'Balance Sheet'!C8</f>
        <v>1242.29326027397</v>
      </c>
      <c r="D10" s="15" t="n">
        <f aca="false">'Balance Sheet'!D8</f>
        <v>1704.02093150685</v>
      </c>
      <c r="E10" s="15" t="n">
        <f aca="false">'Balance Sheet'!E8</f>
        <v>2044.82511780821</v>
      </c>
      <c r="F10" s="15" t="n">
        <f aca="false">'Balance Sheet'!F8</f>
        <v>2371.99713665753</v>
      </c>
      <c r="G10" s="15" t="n">
        <f aca="false">'Balance Sheet'!G8</f>
        <v>2704.07673578959</v>
      </c>
      <c r="H10" s="15" t="n">
        <f aca="false">'Balance Sheet'!H8</f>
        <v>3028.56594408434</v>
      </c>
      <c r="I10" s="15" t="n">
        <f aca="false">'Balance Sheet'!I8</f>
        <v>3361.70819793362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2"/>
  </cols>
  <sheetData>
    <row r="1" customFormat="false" ht="16.15" hidden="false" customHeight="false" outlineLevel="0" collapsed="false">
      <c r="A1" s="1" t="s">
        <v>125</v>
      </c>
    </row>
    <row r="2" customFormat="false" ht="15" hidden="false" customHeight="false" outlineLevel="0" collapsed="false">
      <c r="A2" s="30" t="s">
        <v>126</v>
      </c>
    </row>
    <row r="4" customFormat="false" ht="15" hidden="false" customHeight="false" outlineLevel="0" collapsed="false">
      <c r="A4" s="3" t="s">
        <v>127</v>
      </c>
    </row>
    <row r="5" customFormat="false" ht="15" hidden="false" customHeight="false" outlineLevel="0" collapsed="false">
      <c r="A5" s="31"/>
      <c r="B5" s="13" t="s">
        <v>128</v>
      </c>
      <c r="C5" s="13" t="s">
        <v>129</v>
      </c>
      <c r="D5" s="13" t="s">
        <v>130</v>
      </c>
      <c r="E5" s="13" t="s">
        <v>131</v>
      </c>
      <c r="F5" s="13" t="s">
        <v>132</v>
      </c>
    </row>
    <row r="6" customFormat="false" ht="15" hidden="false" customHeight="false" outlineLevel="0" collapsed="false">
      <c r="A6" s="2" t="s">
        <v>133</v>
      </c>
      <c r="B6" s="7" t="n">
        <v>10.1615640076777</v>
      </c>
      <c r="C6" s="7" t="n">
        <v>11.1385631420194</v>
      </c>
      <c r="D6" s="7" t="n">
        <v>11.7456632128562</v>
      </c>
      <c r="E6" s="7" t="n">
        <v>12.3855415182527</v>
      </c>
      <c r="F6" s="7" t="n">
        <v>13.5249686957703</v>
      </c>
    </row>
    <row r="7" customFormat="false" ht="15" hidden="false" customHeight="false" outlineLevel="0" collapsed="false">
      <c r="A7" s="2" t="s">
        <v>134</v>
      </c>
      <c r="B7" s="7" t="n">
        <v>9.28803586002905</v>
      </c>
      <c r="C7" s="7" t="n">
        <v>10.8469239719617</v>
      </c>
      <c r="D7" s="7" t="n">
        <v>11.9081426736514</v>
      </c>
      <c r="E7" s="7" t="n">
        <v>13.0558823018703</v>
      </c>
      <c r="F7" s="7" t="n">
        <v>15.1788820380748</v>
      </c>
    </row>
    <row r="9" customFormat="false" ht="15" hidden="false" customHeight="false" outlineLevel="0" collapsed="false">
      <c r="A9" s="3" t="s">
        <v>135</v>
      </c>
    </row>
    <row r="10" customFormat="false" ht="15" hidden="false" customHeight="false" outlineLevel="0" collapsed="false">
      <c r="A10" s="2" t="s">
        <v>136</v>
      </c>
      <c r="B10" s="9" t="n">
        <v>0.55996</v>
      </c>
    </row>
    <row r="11" customFormat="false" ht="15" hidden="false" customHeight="false" outlineLevel="0" collapsed="false">
      <c r="A11" s="2" t="s">
        <v>137</v>
      </c>
      <c r="B11" s="9" t="n">
        <v>0.29108</v>
      </c>
    </row>
    <row r="12" customFormat="false" ht="15" hidden="false" customHeight="false" outlineLevel="0" collapsed="false">
      <c r="A12" s="2" t="s">
        <v>138</v>
      </c>
      <c r="B12" s="9" t="n">
        <v>0.18552</v>
      </c>
    </row>
    <row r="13" customFormat="false" ht="15" hidden="false" customHeight="false" outlineLevel="0" collapsed="false">
      <c r="A13" s="2" t="s">
        <v>139</v>
      </c>
      <c r="B13" s="32" t="n">
        <v>1.56899525657611</v>
      </c>
    </row>
    <row r="14" customFormat="false" ht="15" hidden="false" customHeight="false" outlineLevel="0" collapsed="false">
      <c r="A14" s="2" t="s">
        <v>140</v>
      </c>
      <c r="B14" s="7" t="n">
        <v>11.9081426736514</v>
      </c>
    </row>
    <row r="15" customFormat="false" ht="15" hidden="false" customHeight="false" outlineLevel="0" collapsed="false">
      <c r="A15" s="2" t="s">
        <v>141</v>
      </c>
      <c r="B15" s="33" t="n">
        <v>0.0204063987704717</v>
      </c>
    </row>
    <row r="16" customFormat="false" ht="15" hidden="false" customHeight="false" outlineLevel="0" collapsed="false">
      <c r="A16" s="2" t="s">
        <v>142</v>
      </c>
      <c r="B16" s="7" t="n">
        <v>10.8469239719617</v>
      </c>
    </row>
    <row r="17" customFormat="false" ht="15" hidden="false" customHeight="false" outlineLevel="0" collapsed="false">
      <c r="A17" s="2" t="s">
        <v>143</v>
      </c>
      <c r="B17" s="7" t="n">
        <v>13.0558823018703</v>
      </c>
    </row>
    <row r="18" customFormat="false" ht="15" hidden="false" customHeight="false" outlineLevel="0" collapsed="false">
      <c r="A18" s="2" t="s">
        <v>144</v>
      </c>
      <c r="B18" s="9" t="n">
        <v>0.48994</v>
      </c>
    </row>
    <row r="19" customFormat="false" ht="15" hidden="false" customHeight="false" outlineLevel="0" collapsed="false">
      <c r="A19" s="2" t="s">
        <v>145</v>
      </c>
      <c r="B19" s="9" t="n">
        <v>0.35756</v>
      </c>
    </row>
    <row r="22" customFormat="false" ht="15" hidden="false" customHeight="false" outlineLevel="0" collapsed="false">
      <c r="A22" s="19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2"/>
  </cols>
  <sheetData>
    <row r="1" customFormat="false" ht="16.15" hidden="false" customHeight="false" outlineLevel="0" collapsed="false">
      <c r="A1" s="1" t="s">
        <v>147</v>
      </c>
    </row>
    <row r="3" customFormat="false" ht="15" hidden="false" customHeight="false" outlineLevel="0" collapsed="false">
      <c r="A3" s="34" t="s">
        <v>148</v>
      </c>
      <c r="B3" s="35" t="n">
        <v>0.105</v>
      </c>
      <c r="C3" s="35" t="n">
        <v>0.115</v>
      </c>
      <c r="D3" s="35" t="n">
        <v>0.125</v>
      </c>
      <c r="E3" s="35" t="n">
        <v>0.135</v>
      </c>
      <c r="F3" s="35" t="n">
        <v>0.145</v>
      </c>
    </row>
    <row r="4" customFormat="false" ht="15" hidden="false" customHeight="false" outlineLevel="0" collapsed="false">
      <c r="A4" s="36" t="n">
        <v>0.29</v>
      </c>
      <c r="B4" s="37" t="n">
        <f aca="false">('DCF Detail'!B12/(1+0.29)^1+'DCF Detail'!C12/(1+0.29)^2+'DCF Detail'!D12/(1+0.29)^3+'DCF Detail'!E12/(1+0.29)^4+'DCF Detail'!F12/(1+0.29)^5+'DCF Detail'!F12*(1+0.105)/(0.29-0.105)/(1+0.29)^5-Assumptions!$B$7)/Assumptions!$B$6</f>
        <v>13.6881763605111</v>
      </c>
      <c r="C4" s="37" t="n">
        <f aca="false">('DCF Detail'!B12/(1+0.29)^1+'DCF Detail'!C12/(1+0.29)^2+'DCF Detail'!D12/(1+0.29)^3+'DCF Detail'!E12/(1+0.29)^4+'DCF Detail'!F12/(1+0.29)^5+'DCF Detail'!F12*(1+0.115)/(0.29-0.115)/(1+0.29)^5-Assumptions!$B$7)/Assumptions!$B$6</f>
        <v>14.2806570576362</v>
      </c>
      <c r="D4" s="37" t="n">
        <f aca="false">('DCF Detail'!B12/(1+0.29)^1+'DCF Detail'!C12/(1+0.29)^2+'DCF Detail'!D12/(1+0.29)^3+'DCF Detail'!E12/(1+0.29)^4+'DCF Detail'!F12/(1+0.29)^5+'DCF Detail'!F12*(1+0.125)/(0.29-0.125)/(1+0.29)^5-Assumptions!$B$7)/Assumptions!$B$6</f>
        <v>14.9449535968371</v>
      </c>
      <c r="E4" s="37" t="n">
        <f aca="false">('DCF Detail'!B12/(1+0.29)^1+'DCF Detail'!C12/(1+0.29)^2+'DCF Detail'!D12/(1+0.29)^3+'DCF Detail'!E12/(1+0.29)^4+'DCF Detail'!F12/(1+0.29)^5+'DCF Detail'!F12*(1+0.135)/(0.29-0.135)/(1+0.29)^5-Assumptions!$B$7)/Assumptions!$B$6</f>
        <v>15.6949658185155</v>
      </c>
      <c r="F4" s="37" t="n">
        <f aca="false">('DCF Detail'!B12/(1+0.29)^1+'DCF Detail'!C12/(1+0.29)^2+'DCF Detail'!D12/(1+0.29)^3+'DCF Detail'!E12/(1+0.29)^4+'DCF Detail'!F12/(1+0.29)^5+'DCF Detail'!F12*(1+0.145)/(0.29-0.145)/(1+0.29)^5-Assumptions!$B$7)/Assumptions!$B$6</f>
        <v>16.5484280018048</v>
      </c>
    </row>
    <row r="5" customFormat="false" ht="15" hidden="false" customHeight="false" outlineLevel="0" collapsed="false">
      <c r="A5" s="36" t="n">
        <v>0.27</v>
      </c>
      <c r="B5" s="37" t="n">
        <f aca="false">('DCF Detail'!B12/(1+0.27)^1+'DCF Detail'!C12/(1+0.27)^2+'DCF Detail'!D12/(1+0.27)^3+'DCF Detail'!E12/(1+0.27)^4+'DCF Detail'!F12/(1+0.27)^5+'DCF Detail'!F12*(1+0.105)/(0.27-0.105)/(1+0.27)^5-Assumptions!$B$7)/Assumptions!$B$6</f>
        <v>15.992484016556</v>
      </c>
      <c r="C5" s="37" t="n">
        <f aca="false">('DCF Detail'!B12/(1+0.27)^1+'DCF Detail'!C12/(1+0.27)^2+'DCF Detail'!D12/(1+0.27)^3+'DCF Detail'!E12/(1+0.27)^4+'DCF Detail'!F12/(1+0.27)^5+'DCF Detail'!F12*(1+0.115)/(0.27-0.115)/(1+0.27)^5-Assumptions!$B$7)/Assumptions!$B$6</f>
        <v>16.7908688858888</v>
      </c>
      <c r="D5" s="37" t="n">
        <f aca="false">('DCF Detail'!B12/(1+0.27)^1+'DCF Detail'!C12/(1+0.27)^2+'DCF Detail'!D12/(1+0.27)^3+'DCF Detail'!E12/(1+0.27)^4+'DCF Detail'!F12/(1+0.27)^5+'DCF Detail'!F12*(1+0.125)/(0.27-0.125)/(1+0.27)^5-Assumptions!$B$7)/Assumptions!$B$6</f>
        <v>17.699375806164</v>
      </c>
      <c r="E5" s="37" t="n">
        <f aca="false">('DCF Detail'!B12/(1+0.27)^1+'DCF Detail'!C12/(1+0.27)^2+'DCF Detail'!D12/(1+0.27)^3+'DCF Detail'!E12/(1+0.27)^4+'DCF Detail'!F12/(1+0.27)^5+'DCF Detail'!F12*(1+0.135)/(0.27-0.135)/(1+0.27)^5-Assumptions!$B$7)/Assumptions!$B$6</f>
        <v>18.7424763442577</v>
      </c>
      <c r="F5" s="37" t="n">
        <f aca="false">('DCF Detail'!B12/(1+0.27)^1+'DCF Detail'!C12/(1+0.27)^2+'DCF Detail'!D12/(1+0.27)^3+'DCF Detail'!E12/(1+0.27)^4+'DCF Detail'!F12/(1+0.27)^5+'DCF Detail'!F12*(1+0.145)/(0.27-0.145)/(1+0.27)^5-Assumptions!$B$7)/Assumptions!$B$6</f>
        <v>19.9524729684465</v>
      </c>
    </row>
    <row r="6" customFormat="false" ht="15" hidden="false" customHeight="false" outlineLevel="0" collapsed="false">
      <c r="A6" s="36" t="n">
        <v>0.258</v>
      </c>
      <c r="B6" s="37" t="n">
        <f aca="false">('DCF Detail'!B12/(1+0.258)^1+'DCF Detail'!C12/(1+0.258)^2+'DCF Detail'!D12/(1+0.258)^3+'DCF Detail'!E12/(1+0.258)^4+'DCF Detail'!F12/(1+0.258)^5+'DCF Detail'!F12*(1+0.105)/(0.258-0.105)/(1+0.258)^5-Assumptions!$B$7)/Assumptions!$B$6</f>
        <v>17.6672742661894</v>
      </c>
      <c r="C6" s="37" t="n">
        <f aca="false">('DCF Detail'!B12/(1+0.258)^1+'DCF Detail'!C12/(1+0.258)^2+'DCF Detail'!D12/(1+0.258)^3+'DCF Detail'!E12/(1+0.258)^4+'DCF Detail'!F12/(1+0.258)^5+'DCF Detail'!F12*(1+0.115)/(0.258-0.115)/(1+0.258)^5-Assumptions!$B$7)/Assumptions!$B$6</f>
        <v>18.6366514449464</v>
      </c>
      <c r="D6" s="38" t="n">
        <f aca="false">('DCF Detail'!B12/(1+0.258)^1+'DCF Detail'!C12/(1+0.258)^2+'DCF Detail'!D12/(1+0.258)^3+'DCF Detail'!E12/(1+0.258)^4+'DCF Detail'!F12/(1+0.258)^5+'DCF Detail'!F12*(1+0.125)/(0.258-0.125)/(1+0.258)^5-Assumptions!$B$7)/Assumptions!$B$6</f>
        <v>19.7517996280276</v>
      </c>
      <c r="E6" s="37" t="n">
        <f aca="false">('DCF Detail'!B12/(1+0.258)^1+'DCF Detail'!C12/(1+0.258)^2+'DCF Detail'!D12/(1+0.258)^3+'DCF Detail'!E12/(1+0.258)^4+'DCF Detail'!F12/(1+0.258)^5+'DCF Detail'!F12*(1+0.135)/(0.258-0.135)/(1+0.258)^5-Assumptions!$B$7)/Assumptions!$B$6</f>
        <v>21.048272718927</v>
      </c>
      <c r="F6" s="37" t="n">
        <f aca="false">('DCF Detail'!B12/(1+0.258)^1+'DCF Detail'!C12/(1+0.258)^2+'DCF Detail'!D12/(1+0.258)^3+'DCF Detail'!E12/(1+0.258)^4+'DCF Detail'!F12/(1+0.258)^5+'DCF Detail'!F12*(1+0.145)/(0.258-0.145)/(1+0.258)^5-Assumptions!$B$7)/Assumptions!$B$6</f>
        <v>22.5742100737024</v>
      </c>
    </row>
    <row r="7" customFormat="false" ht="15" hidden="false" customHeight="false" outlineLevel="0" collapsed="false">
      <c r="A7" s="36" t="n">
        <v>0.24</v>
      </c>
      <c r="B7" s="37" t="n">
        <f aca="false">('DCF Detail'!B12/(1+0.24)^1+'DCF Detail'!C12/(1+0.24)^2+'DCF Detail'!D12/(1+0.24)^3+'DCF Detail'!E12/(1+0.24)^4+'DCF Detail'!F12/(1+0.24)^5+'DCF Detail'!F12*(1+0.105)/(0.24-0.105)/(1+0.24)^5-Assumptions!$B$7)/Assumptions!$B$6</f>
        <v>20.7428835057236</v>
      </c>
      <c r="C7" s="37" t="n">
        <f aca="false">('DCF Detail'!B12/(1+0.24)^1+'DCF Detail'!C12/(1+0.24)^2+'DCF Detail'!D12/(1+0.24)^3+'DCF Detail'!E12/(1+0.24)^4+'DCF Detail'!F12/(1+0.24)^5+'DCF Detail'!F12*(1+0.115)/(0.24-0.115)/(1+0.24)^5-Assumptions!$B$7)/Assumptions!$B$6</f>
        <v>22.0742949996268</v>
      </c>
      <c r="D7" s="37" t="n">
        <f aca="false">('DCF Detail'!B12/(1+0.24)^1+'DCF Detail'!C12/(1+0.24)^2+'DCF Detail'!D12/(1+0.24)^3+'DCF Detail'!E12/(1+0.24)^4+'DCF Detail'!F12/(1+0.24)^5+'DCF Detail'!F12*(1+0.125)/(0.24-0.125)/(1+0.24)^5-Assumptions!$B$7)/Assumptions!$B$6</f>
        <v>23.6372563185566</v>
      </c>
      <c r="E7" s="37" t="n">
        <f aca="false">('DCF Detail'!B12/(1+0.24)^1+'DCF Detail'!C12/(1+0.24)^2+'DCF Detail'!D12/(1+0.24)^3+'DCF Detail'!E12/(1+0.24)^4+'DCF Detail'!F12/(1+0.24)^5+'DCF Detail'!F12*(1+0.135)/(0.24-0.135)/(1+0.24)^5-Assumptions!$B$7)/Assumptions!$B$6</f>
        <v>25.4979245553777</v>
      </c>
      <c r="F7" s="37" t="n">
        <f aca="false">('DCF Detail'!B12/(1+0.24)^1+'DCF Detail'!C12/(1+0.24)^2+'DCF Detail'!D12/(1+0.24)^3+'DCF Detail'!E12/(1+0.24)^4+'DCF Detail'!F12/(1+0.24)^5+'DCF Detail'!F12*(1+0.145)/(0.24-0.145)/(1+0.24)^5-Assumptions!$B$7)/Assumptions!$B$6</f>
        <v>27.7503124210033</v>
      </c>
    </row>
    <row r="8" customFormat="false" ht="15" hidden="false" customHeight="false" outlineLevel="0" collapsed="false">
      <c r="A8" s="36" t="n">
        <v>0.22</v>
      </c>
      <c r="B8" s="37" t="n">
        <f aca="false">('DCF Detail'!B12/(1+0.22)^1+'DCF Detail'!C12/(1+0.22)^2+'DCF Detail'!D12/(1+0.22)^3+'DCF Detail'!E12/(1+0.22)^4+'DCF Detail'!F12/(1+0.22)^5+'DCF Detail'!F12*(1+0.105)/(0.22-0.105)/(1+0.22)^5-Assumptions!$B$7)/Assumptions!$B$6</f>
        <v>25.2985362199755</v>
      </c>
      <c r="C8" s="37" t="n">
        <f aca="false">('DCF Detail'!B12/(1+0.22)^1+'DCF Detail'!C12/(1+0.22)^2+'DCF Detail'!D12/(1+0.22)^3+'DCF Detail'!E12/(1+0.22)^4+'DCF Detail'!F12/(1+0.22)^5+'DCF Detail'!F12*(1+0.115)/(0.22-0.115)/(1+0.22)^5-Assumptions!$B$7)/Assumptions!$B$6</f>
        <v>27.2842486842308</v>
      </c>
      <c r="D8" s="37" t="n">
        <f aca="false">('DCF Detail'!B12/(1+0.22)^1+'DCF Detail'!C12/(1+0.22)^2+'DCF Detail'!D12/(1+0.22)^3+'DCF Detail'!E12/(1+0.22)^4+'DCF Detail'!F12/(1+0.22)^5+'DCF Detail'!F12*(1+0.125)/(0.22-0.125)/(1+0.22)^5-Assumptions!$B$7)/Assumptions!$B$6</f>
        <v>29.688005877803</v>
      </c>
      <c r="E8" s="37" t="n">
        <f aca="false">('DCF Detail'!B12/(1+0.22)^1+'DCF Detail'!C12/(1+0.22)^2+'DCF Detail'!D12/(1+0.22)^3+'DCF Detail'!E12/(1+0.22)^4+'DCF Detail'!F12/(1+0.22)^5+'DCF Detail'!F12*(1+0.135)/(0.22-0.135)/(1+0.22)^5-Assumptions!$B$7)/Assumptions!$B$6</f>
        <v>32.6573529992746</v>
      </c>
      <c r="F8" s="37" t="n">
        <f aca="false">('DCF Detail'!B12/(1+0.22)^1+'DCF Detail'!C12/(1+0.22)^2+'DCF Detail'!D12/(1+0.22)^3+'DCF Detail'!E12/(1+0.22)^4+'DCF Detail'!F12/(1+0.22)^5+'DCF Detail'!F12*(1+0.145)/(0.22-0.145)/(1+0.22)^5-Assumptions!$B$7)/Assumptions!$B$6</f>
        <v>36.4185260198052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2"/>
  </cols>
  <sheetData>
    <row r="1" customFormat="false" ht="16.15" hidden="false" customHeight="false" outlineLevel="0" collapsed="false">
      <c r="A1" s="1" t="s">
        <v>149</v>
      </c>
    </row>
    <row r="3" customFormat="false" ht="15" hidden="false" customHeight="false" outlineLevel="0" collapsed="false">
      <c r="B3" s="13" t="s">
        <v>59</v>
      </c>
      <c r="C3" s="13" t="s">
        <v>60</v>
      </c>
      <c r="D3" s="13" t="s">
        <v>61</v>
      </c>
      <c r="E3" s="13" t="s">
        <v>62</v>
      </c>
      <c r="F3" s="13" t="s">
        <v>63</v>
      </c>
      <c r="G3" s="13" t="s">
        <v>64</v>
      </c>
      <c r="H3" s="13" t="s">
        <v>65</v>
      </c>
      <c r="I3" s="13" t="s">
        <v>66</v>
      </c>
    </row>
    <row r="4" customFormat="false" ht="15" hidden="false" customHeight="false" outlineLevel="0" collapsed="false">
      <c r="A4" s="2" t="s">
        <v>76</v>
      </c>
      <c r="B4" s="29" t="n">
        <f aca="false">'Income Statement'!B13</f>
        <v>0.212301587301587</v>
      </c>
      <c r="C4" s="29" t="n">
        <f aca="false">'Income Statement'!C13</f>
        <v>0.610119047619048</v>
      </c>
      <c r="D4" s="29" t="n">
        <f aca="false">'Income Statement'!D13</f>
        <v>0.944444444444444</v>
      </c>
      <c r="E4" s="29" t="n">
        <f aca="false">'Income Statement'!E13</f>
        <v>1.16605254464286</v>
      </c>
      <c r="F4" s="29" t="n">
        <f aca="false">'Income Statement'!F13</f>
        <v>1.43459797916667</v>
      </c>
      <c r="G4" s="29" t="n">
        <f aca="false">'Income Statement'!G13</f>
        <v>1.72889550746429</v>
      </c>
      <c r="H4" s="29" t="n">
        <f aca="false">'Income Statement'!H13</f>
        <v>2.04103123692</v>
      </c>
      <c r="I4" s="29" t="n">
        <f aca="false">'Income Statement'!I13</f>
        <v>2.3817264510828</v>
      </c>
    </row>
    <row r="5" customFormat="false" ht="15" hidden="false" customHeight="false" outlineLevel="0" collapsed="false">
      <c r="A5" s="2" t="s">
        <v>150</v>
      </c>
      <c r="B5" s="39" t="str">
        <f aca="false">IF(ISNUMBER('Income Statement'!A4),'Income Statement'!B4/'Income Statement'!A4-1,"")</f>
        <v/>
      </c>
      <c r="C5" s="39" t="n">
        <f aca="false">IF(ISNUMBER('Income Statement'!B4),'Income Statement'!C4/'Income Statement'!B4-1,"")</f>
        <v>0.644879083330879</v>
      </c>
      <c r="D5" s="39" t="n">
        <f aca="false">IF(ISNUMBER('Income Statement'!C4),'Income Statement'!D4/'Income Statement'!C4-1,"")</f>
        <v>0.371673650657211</v>
      </c>
      <c r="E5" s="39" t="n">
        <f aca="false">IF(ISNUMBER('Income Statement'!D4),'Income Statement'!E4/'Income Statement'!D4-1,"")</f>
        <v>0.2</v>
      </c>
      <c r="F5" s="39" t="n">
        <f aca="false">IF(ISNUMBER('Income Statement'!E4),'Income Statement'!F4/'Income Statement'!E4-1,"")</f>
        <v>0.16</v>
      </c>
      <c r="G5" s="39" t="n">
        <f aca="false">IF(ISNUMBER('Income Statement'!F4),'Income Statement'!G4/'Income Statement'!F4-1,"")</f>
        <v>0.14</v>
      </c>
      <c r="H5" s="39" t="n">
        <f aca="false">IF(ISNUMBER('Income Statement'!G4),'Income Statement'!H4/'Income Statement'!G4-1,"")</f>
        <v>0.12</v>
      </c>
      <c r="I5" s="39" t="n">
        <f aca="false">IF(ISNUMBER('Income Statement'!H4),'Income Statement'!I4/'Income Statement'!H4-1,"")</f>
        <v>0.11</v>
      </c>
    </row>
    <row r="6" customFormat="false" ht="15" hidden="false" customHeight="false" outlineLevel="0" collapsed="false">
      <c r="A6" s="2" t="s">
        <v>68</v>
      </c>
      <c r="B6" s="39" t="n">
        <f aca="false">'Income Statement'!B5</f>
        <v>0.0459512798609679</v>
      </c>
      <c r="C6" s="39" t="n">
        <f aca="false">'Income Statement'!C5</f>
        <v>0.0458436302424698</v>
      </c>
      <c r="D6" s="39" t="n">
        <f aca="false">'Income Statement'!D5</f>
        <v>0.0506547253808896</v>
      </c>
      <c r="E6" s="39" t="n">
        <f aca="false">'Income Statement'!E5</f>
        <v>0.051</v>
      </c>
      <c r="F6" s="39" t="n">
        <f aca="false">'Income Statement'!F5</f>
        <v>0.052</v>
      </c>
      <c r="G6" s="39" t="n">
        <f aca="false">'Income Statement'!G5</f>
        <v>0.053</v>
      </c>
      <c r="H6" s="39" t="n">
        <f aca="false">'Income Statement'!H5</f>
        <v>0.054</v>
      </c>
      <c r="I6" s="39" t="n">
        <f aca="false">'Income Statement'!I5</f>
        <v>0.055</v>
      </c>
    </row>
    <row r="7" customFormat="false" ht="15" hidden="false" customHeight="false" outlineLevel="0" collapsed="false">
      <c r="A7" s="2" t="s">
        <v>151</v>
      </c>
      <c r="B7" s="39" t="n">
        <f aca="false">'Income Statement'!B12/'Income Statement'!B4</f>
        <v>0.00630357300656868</v>
      </c>
      <c r="C7" s="39" t="n">
        <f aca="false">'Income Statement'!C12/'Income Statement'!C4</f>
        <v>0.0110132158590308</v>
      </c>
      <c r="D7" s="39" t="n">
        <f aca="false">'Income Statement'!D12/'Income Statement'!D4</f>
        <v>0.0124286851965482</v>
      </c>
      <c r="E7" s="39" t="n">
        <f aca="false">'Income Statement'!E12/'Income Statement'!E4</f>
        <v>0.0127875</v>
      </c>
      <c r="F7" s="39" t="n">
        <f aca="false">'Income Statement'!F12/'Income Statement'!F4</f>
        <v>0.0135625</v>
      </c>
      <c r="G7" s="39" t="n">
        <f aca="false">'Income Statement'!G12/'Income Statement'!G4</f>
        <v>0.0143375</v>
      </c>
      <c r="H7" s="39" t="n">
        <f aca="false">'Income Statement'!H12/'Income Statement'!H4</f>
        <v>0.0151125</v>
      </c>
      <c r="I7" s="39" t="n">
        <f aca="false">'Income Statement'!I12/'Income Statement'!I4</f>
        <v>0.0158875</v>
      </c>
    </row>
    <row r="8" customFormat="false" ht="15" hidden="false" customHeight="false" outlineLevel="0" collapsed="false">
      <c r="A8" s="2" t="s">
        <v>152</v>
      </c>
      <c r="B8" s="40" t="n">
        <f aca="false">'Balance Sheet'!B9/'Income Statement'!B6</f>
        <v>1.34615384615385</v>
      </c>
      <c r="C8" s="40" t="n">
        <f aca="false">'Balance Sheet'!C9/'Income Statement'!C6</f>
        <v>1.25</v>
      </c>
      <c r="D8" s="40" t="n">
        <f aca="false">'Balance Sheet'!D9/'Income Statement'!D6</f>
        <v>1.15979381443299</v>
      </c>
      <c r="E8" s="40" t="n">
        <f aca="false">'Balance Sheet'!E9/'Income Statement'!E6</f>
        <v>1.07514577824811</v>
      </c>
      <c r="F8" s="40" t="n">
        <f aca="false">'Balance Sheet'!F9/'Income Statement'!F6</f>
        <v>1.01810886693521</v>
      </c>
      <c r="G8" s="40" t="n">
        <f aca="false">'Balance Sheet'!G9/'Income Statement'!G6</f>
        <v>0.98137471715172</v>
      </c>
      <c r="H8" s="40" t="n">
        <f aca="false">'Balance Sheet'!H9/'Income Statement'!H6</f>
        <v>0.96320111127854</v>
      </c>
      <c r="I8" s="40" t="n">
        <f aca="false">'Balance Sheet'!I9/'Income Statement'!I6</f>
        <v>0.954208078789944</v>
      </c>
    </row>
    <row r="9" customFormat="false" ht="15" hidden="false" customHeight="false" outlineLevel="0" collapsed="false">
      <c r="A9" s="2" t="s">
        <v>153</v>
      </c>
      <c r="B9" s="39" t="n">
        <f aca="false">'Income Statement'!B12/'Balance Sheet'!B10</f>
        <v>0.152857142857143</v>
      </c>
      <c r="C9" s="39" t="n">
        <f aca="false">'Income Statement'!C12/'Balance Sheet'!C10</f>
        <v>0.292857142857143</v>
      </c>
      <c r="D9" s="39" t="n">
        <f aca="false">'Income Statement'!D12/'Balance Sheet'!D10</f>
        <v>0.328275862068966</v>
      </c>
      <c r="E9" s="39" t="n">
        <f aca="false">'Income Statement'!E12/'Balance Sheet'!E10</f>
        <v>0.298749570270861</v>
      </c>
      <c r="F9" s="39" t="n">
        <f aca="false">'Income Statement'!F12/'Balance Sheet'!F10</f>
        <v>0.277723795053758</v>
      </c>
      <c r="G9" s="39" t="n">
        <f aca="false">'Income Statement'!G12/'Balance Sheet'!G10</f>
        <v>0.258546355638852</v>
      </c>
      <c r="H9" s="39" t="n">
        <f aca="false">'Income Statement'!H12/'Balance Sheet'!H10</f>
        <v>0.240599914197263</v>
      </c>
      <c r="I9" s="39" t="n">
        <f aca="false">'Income Statement'!I12/'Balance Sheet'!I10</f>
        <v>0.225136958553104</v>
      </c>
    </row>
    <row r="10" customFormat="false" ht="15" hidden="false" customHeight="false" outlineLevel="0" collapsed="false">
      <c r="A10" s="2" t="s">
        <v>154</v>
      </c>
      <c r="B10" s="40" t="n">
        <f aca="false">Assumptions!$B$5/'Income Statement'!B13</f>
        <v>54.9689719626168</v>
      </c>
      <c r="C10" s="40" t="n">
        <f aca="false">Assumptions!$B$5/'Income Statement'!C13</f>
        <v>19.1274146341463</v>
      </c>
      <c r="D10" s="40" t="n">
        <f aca="false">Assumptions!$B$5/'Income Statement'!D13</f>
        <v>12.3564705882353</v>
      </c>
      <c r="E10" s="40" t="n">
        <f aca="false">Assumptions!$B$5/'Income Statement'!E13</f>
        <v>10.0081253230096</v>
      </c>
      <c r="F10" s="40" t="n">
        <f aca="false">Assumptions!$B$5/'Income Statement'!F13</f>
        <v>8.13468314431818</v>
      </c>
      <c r="G10" s="40" t="n">
        <f aca="false">Assumptions!$B$5/'Income Statement'!G13</f>
        <v>6.74997415958123</v>
      </c>
      <c r="H10" s="40" t="n">
        <f aca="false">Assumptions!$B$5/'Income Statement'!H13</f>
        <v>5.71769789158666</v>
      </c>
      <c r="I10" s="40" t="n">
        <f aca="false">Assumptions!$B$5/'Income Statement'!I13</f>
        <v>4.89980702640914</v>
      </c>
    </row>
    <row r="11" customFormat="false" ht="15" hidden="false" customHeight="false" outlineLevel="0" collapsed="false">
      <c r="A11" s="2" t="s">
        <v>155</v>
      </c>
      <c r="B11" s="40" t="n">
        <f aca="false">(Assumptions!$B$5*Assumptions!$B$6+Assumptions!$B$7)/'Income Statement'!B6</f>
        <v>10.4252307692308</v>
      </c>
      <c r="C11" s="40" t="n">
        <f aca="false">(Assumptions!$B$5*Assumptions!$B$6+Assumptions!$B$7)/'Income Statement'!C6</f>
        <v>6.352875</v>
      </c>
      <c r="D11" s="40" t="n">
        <f aca="false">(Assumptions!$B$5*Assumptions!$B$6+Assumptions!$B$7)/'Income Statement'!D6</f>
        <v>4.19158762886598</v>
      </c>
      <c r="E11" s="40" t="n">
        <f aca="false">(Assumptions!$B$5*Assumptions!$B$6+Assumptions!$B$7)/'Income Statement'!E6</f>
        <v>3.46934183415262</v>
      </c>
      <c r="F11" s="40" t="n">
        <f aca="false">(Assumptions!$B$5*Assumptions!$B$6+Assumptions!$B$7)/'Income Statement'!F6</f>
        <v>2.93329631203222</v>
      </c>
      <c r="G11" s="40" t="n">
        <f aca="false">(Assumptions!$B$5*Assumptions!$B$6+Assumptions!$B$7)/'Income Statement'!G6</f>
        <v>2.5245185075418</v>
      </c>
      <c r="H11" s="40" t="n">
        <f aca="false">(Assumptions!$B$5*Assumptions!$B$6+Assumptions!$B$7)/'Income Statement'!H6</f>
        <v>2.21229300429424</v>
      </c>
      <c r="I11" s="40" t="n">
        <f aca="false">(Assumptions!$B$5*Assumptions!$B$6+Assumptions!$B$7)/'Income Statement'!I6</f>
        <v>1.9568193649777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</cols>
  <sheetData>
    <row r="1" customFormat="false" ht="16.15" hidden="false" customHeight="false" outlineLevel="0" collapsed="false">
      <c r="A1" s="1" t="s">
        <v>156</v>
      </c>
    </row>
    <row r="3" customFormat="false" ht="15" hidden="false" customHeight="false" outlineLevel="0" collapsed="false">
      <c r="A3" s="3" t="s">
        <v>157</v>
      </c>
      <c r="B3" s="3" t="s">
        <v>158</v>
      </c>
      <c r="C3" s="3" t="s">
        <v>159</v>
      </c>
    </row>
    <row r="4" customFormat="false" ht="15" hidden="false" customHeight="false" outlineLevel="0" collapsed="false">
      <c r="A4" s="2" t="s">
        <v>160</v>
      </c>
      <c r="B4" s="9" t="n">
        <v>0.464</v>
      </c>
      <c r="C4" s="14" t="n">
        <f aca="false">B4*'Income Statement'!B4</f>
        <v>15752.336</v>
      </c>
    </row>
    <row r="5" customFormat="false" ht="15" hidden="false" customHeight="false" outlineLevel="0" collapsed="false">
      <c r="A5" s="2" t="s">
        <v>161</v>
      </c>
      <c r="B5" s="9" t="n">
        <v>0.333</v>
      </c>
      <c r="C5" s="14" t="n">
        <f aca="false">B5*'Income Statement'!B4</f>
        <v>11305.017</v>
      </c>
    </row>
    <row r="6" customFormat="false" ht="15" hidden="false" customHeight="false" outlineLevel="0" collapsed="false">
      <c r="A6" s="2" t="s">
        <v>162</v>
      </c>
      <c r="B6" s="9" t="n">
        <v>0.203</v>
      </c>
      <c r="C6" s="14" t="n">
        <f aca="false">B6*'Income Statement'!B4</f>
        <v>6891.647</v>
      </c>
    </row>
    <row r="7" customFormat="false" ht="15" hidden="false" customHeight="false" outlineLevel="0" collapsed="false">
      <c r="A7" s="3" t="s">
        <v>163</v>
      </c>
      <c r="B7" s="10" t="n">
        <f aca="false">SUM(B4:B6)</f>
        <v>1</v>
      </c>
      <c r="C7" s="17" t="n">
        <f aca="false">SUM(C4:C6)</f>
        <v>33949</v>
      </c>
    </row>
    <row r="9" customFormat="false" ht="15" hidden="false" customHeight="false" outlineLevel="0" collapsed="false">
      <c r="A9" s="19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2"/>
    <col collapsed="false" customWidth="true" hidden="false" outlineLevel="0" max="5" min="5" style="0" width="10"/>
  </cols>
  <sheetData>
    <row r="1" customFormat="false" ht="16.15" hidden="false" customHeight="false" outlineLevel="0" collapsed="false">
      <c r="A1" s="1" t="s">
        <v>165</v>
      </c>
    </row>
    <row r="3" customFormat="false" ht="15" hidden="false" customHeight="false" outlineLevel="0" collapsed="false">
      <c r="A3" s="3" t="s">
        <v>166</v>
      </c>
      <c r="B3" s="3" t="s">
        <v>167</v>
      </c>
      <c r="C3" s="3" t="s">
        <v>168</v>
      </c>
      <c r="D3" s="3" t="s">
        <v>169</v>
      </c>
      <c r="E3" s="3" t="s">
        <v>170</v>
      </c>
    </row>
    <row r="4" customFormat="false" ht="15" hidden="false" customHeight="false" outlineLevel="0" collapsed="false">
      <c r="A4" s="2" t="s">
        <v>171</v>
      </c>
      <c r="B4" s="7" t="n">
        <v>13.7033829052691</v>
      </c>
      <c r="C4" s="7" t="n">
        <v>19.7946633188841</v>
      </c>
      <c r="D4" s="7" t="n">
        <v>23.7357861755765</v>
      </c>
      <c r="E4" s="9" t="n">
        <v>0.45</v>
      </c>
    </row>
    <row r="5" customFormat="false" ht="15" hidden="false" customHeight="false" outlineLevel="0" collapsed="false">
      <c r="A5" s="2" t="s">
        <v>172</v>
      </c>
      <c r="B5" s="7" t="n">
        <v>12.8571428571429</v>
      </c>
      <c r="C5" s="18" t="n">
        <f aca="false">'Relative &amp; Normalized'!B8</f>
        <v>16.7063492063492</v>
      </c>
      <c r="D5" s="7" t="n">
        <v>22.4801587301587</v>
      </c>
      <c r="E5" s="9" t="n">
        <v>0.25</v>
      </c>
    </row>
    <row r="6" customFormat="false" ht="15" hidden="false" customHeight="false" outlineLevel="0" collapsed="false">
      <c r="A6" s="2" t="s">
        <v>173</v>
      </c>
      <c r="B6" s="7" t="n">
        <v>12.5874403333333</v>
      </c>
      <c r="C6" s="18" t="n">
        <f aca="false">'Relative &amp; Normalized'!B15</f>
        <v>17.9820576190476</v>
      </c>
      <c r="D6" s="7" t="n">
        <v>25.3864342857143</v>
      </c>
      <c r="E6" s="9" t="n">
        <v>0.2</v>
      </c>
    </row>
    <row r="7" customFormat="false" ht="15" hidden="false" customHeight="false" outlineLevel="0" collapsed="false">
      <c r="A7" s="2" t="s">
        <v>174</v>
      </c>
      <c r="B7" s="7" t="n">
        <v>9.5</v>
      </c>
      <c r="C7" s="7" t="n">
        <v>11</v>
      </c>
      <c r="D7" s="7" t="n">
        <v>13</v>
      </c>
      <c r="E7" s="9" t="n">
        <v>0.1</v>
      </c>
    </row>
    <row r="8" customFormat="false" ht="15" hidden="false" customHeight="false" outlineLevel="0" collapsed="false">
      <c r="A8" s="3" t="s">
        <v>175</v>
      </c>
      <c r="B8" s="23" t="n">
        <f aca="false">B4*$E$4+B5*$E$5+B6*$E$6+B7*$E$7</f>
        <v>12.8482960883235</v>
      </c>
      <c r="C8" s="23" t="n">
        <f aca="false">C4*$E$4+C5*$E$5+C6*$E$6+C7*$E$7</f>
        <v>17.7805973188947</v>
      </c>
      <c r="D8" s="23" t="n">
        <f aca="false">D4*$E$4+D5*$E$5+D6*$E$6+D7*$E$7</f>
        <v>22.6784303186919</v>
      </c>
    </row>
    <row r="10" customFormat="false" ht="15" hidden="false" customHeight="false" outlineLevel="0" collapsed="false">
      <c r="A10" s="19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</cols>
  <sheetData>
    <row r="1" customFormat="false" ht="16.15" hidden="false" customHeight="false" outlineLevel="0" collapsed="false">
      <c r="A1" s="1" t="s">
        <v>177</v>
      </c>
    </row>
    <row r="4" customFormat="false" ht="15" hidden="false" customHeight="false" outlineLevel="0" collapsed="false">
      <c r="A4" s="2" t="s">
        <v>178</v>
      </c>
      <c r="B4" s="18" t="n">
        <f aca="false">Assumptions!$B$5</f>
        <v>11.67</v>
      </c>
    </row>
    <row r="5" customFormat="false" ht="15" hidden="false" customHeight="false" outlineLevel="0" collapsed="false">
      <c r="A5" s="2" t="s">
        <v>179</v>
      </c>
      <c r="B5" s="14" t="n">
        <f aca="false">Assumptions!$B$6</f>
        <v>1008</v>
      </c>
    </row>
    <row r="6" customFormat="false" ht="15" hidden="false" customHeight="false" outlineLevel="0" collapsed="false">
      <c r="A6" s="2" t="s">
        <v>180</v>
      </c>
      <c r="B6" s="14" t="n">
        <f aca="false">Assumptions!$B$5*Assumptions!$B$6</f>
        <v>11763.36</v>
      </c>
    </row>
    <row r="7" customFormat="false" ht="15" hidden="false" customHeight="false" outlineLevel="0" collapsed="false">
      <c r="A7" s="2" t="s">
        <v>181</v>
      </c>
      <c r="B7" s="14" t="n">
        <f aca="false">Assumptions!$B$7</f>
        <v>4500</v>
      </c>
    </row>
    <row r="8" customFormat="false" ht="15" hidden="false" customHeight="false" outlineLevel="0" collapsed="false">
      <c r="A8" s="3" t="s">
        <v>182</v>
      </c>
      <c r="B8" s="23" t="n">
        <f aca="false">'DCF (Primary)'!B9</f>
        <v>19.7751387268581</v>
      </c>
    </row>
    <row r="9" customFormat="false" ht="15" hidden="false" customHeight="false" outlineLevel="0" collapsed="false">
      <c r="A9" s="3" t="s">
        <v>183</v>
      </c>
      <c r="B9" s="23" t="n">
        <f aca="false">'Relative &amp; Normalized'!B8</f>
        <v>16.7063492063492</v>
      </c>
    </row>
    <row r="10" customFormat="false" ht="15" hidden="false" customHeight="false" outlineLevel="0" collapsed="false">
      <c r="A10" s="3" t="s">
        <v>184</v>
      </c>
      <c r="B10" s="23" t="n">
        <f aca="false">'Relative &amp; Normalized'!B15</f>
        <v>17.9820576190476</v>
      </c>
    </row>
    <row r="11" customFormat="false" ht="15" hidden="false" customHeight="false" outlineLevel="0" collapsed="false">
      <c r="A11" s="3" t="s">
        <v>185</v>
      </c>
      <c r="B11" s="23" t="n">
        <f aca="false">'Fundamental Valuation'!C8</f>
        <v>17.7805973188947</v>
      </c>
    </row>
    <row r="12" customFormat="false" ht="15" hidden="false" customHeight="false" outlineLevel="0" collapsed="false">
      <c r="A12" s="3" t="s">
        <v>186</v>
      </c>
      <c r="B12" s="41" t="n">
        <f aca="false">'Fundamental Valuation'!C8/Assumptions!$B$5-1</f>
        <v>0.523615879939562</v>
      </c>
    </row>
    <row r="14" customFormat="false" ht="15" hidden="false" customHeight="false" outlineLevel="0" collapsed="false">
      <c r="A14" s="4" t="s">
        <v>187</v>
      </c>
    </row>
    <row r="15" customFormat="false" ht="15" hidden="false" customHeight="false" outlineLevel="0" collapsed="false">
      <c r="A15" s="2" t="s">
        <v>188</v>
      </c>
      <c r="B15" s="7" t="n">
        <v>11.9081426736514</v>
      </c>
    </row>
    <row r="16" customFormat="false" ht="15" hidden="false" customHeight="false" outlineLevel="0" collapsed="false">
      <c r="A16" s="2" t="s">
        <v>189</v>
      </c>
      <c r="B16" s="42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16.15" hidden="false" customHeight="false" outlineLevel="0" collapsed="false">
      <c r="A1" s="1" t="s">
        <v>191</v>
      </c>
    </row>
    <row r="3" customFormat="false" ht="15" hidden="false" customHeight="false" outlineLevel="0" collapsed="false">
      <c r="A3" s="3" t="s">
        <v>192</v>
      </c>
      <c r="B3" s="3" t="s">
        <v>193</v>
      </c>
      <c r="C3" s="3" t="s">
        <v>194</v>
      </c>
      <c r="D3" s="3" t="s">
        <v>195</v>
      </c>
    </row>
    <row r="4" customFormat="false" ht="15" hidden="false" customHeight="false" outlineLevel="0" collapsed="false">
      <c r="A4" s="2" t="s">
        <v>196</v>
      </c>
      <c r="B4" s="2" t="s">
        <v>197</v>
      </c>
      <c r="C4" s="2" t="s">
        <v>198</v>
      </c>
      <c r="D4" s="2" t="s">
        <v>199</v>
      </c>
    </row>
    <row r="5" customFormat="false" ht="15" hidden="false" customHeight="false" outlineLevel="0" collapsed="false">
      <c r="A5" s="2" t="s">
        <v>200</v>
      </c>
      <c r="B5" s="2" t="s">
        <v>201</v>
      </c>
      <c r="C5" s="2" t="s">
        <v>202</v>
      </c>
      <c r="D5" s="2" t="s">
        <v>203</v>
      </c>
    </row>
    <row r="6" customFormat="false" ht="15" hidden="false" customHeight="false" outlineLevel="0" collapsed="false">
      <c r="A6" s="2" t="s">
        <v>204</v>
      </c>
      <c r="B6" s="2" t="s">
        <v>205</v>
      </c>
      <c r="C6" s="2" t="s">
        <v>206</v>
      </c>
      <c r="D6" s="2" t="s">
        <v>207</v>
      </c>
    </row>
    <row r="7" customFormat="false" ht="15" hidden="false" customHeight="false" outlineLevel="0" collapsed="false">
      <c r="A7" s="2" t="s">
        <v>208</v>
      </c>
      <c r="B7" s="2" t="s">
        <v>209</v>
      </c>
      <c r="C7" s="2" t="s">
        <v>210</v>
      </c>
      <c r="D7" s="2" t="s">
        <v>211</v>
      </c>
    </row>
    <row r="9" customFormat="false" ht="15" hidden="false" customHeight="false" outlineLevel="0" collapsed="false">
      <c r="A9" s="19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2026-07-07T12:24:23Z</dcterms:created>
  <dc:creator>openpyxl</dc:creator>
  <dc:description/>
  <dc:language>en-US</dc:language>
  <cp:lastModifiedBy/>
  <dcterms:modified xsi:type="dcterms:W3CDTF">2026-07-07T12:24:23Z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