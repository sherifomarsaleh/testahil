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<sst xmlns="http://schemas.openxmlformats.org/spreadsheetml/2006/main" count="165" uniqueCount="118">
  <si>
    <t xml:space="preserve">READ FIRST</t>
  </si>
  <si>
    <t xml:space="preserve">Educational valuation study - not investment advice. Distributions, not tips. All inputs on Assumptions.</t>
  </si>
  <si>
    <t xml:space="preserve">Summary - Fawry (EGX: FWRY)</t>
  </si>
  <si>
    <t xml:space="preserve">Spot</t>
  </si>
  <si>
    <t xml:space="preserve">DCF fair value</t>
  </si>
  <si>
    <t xml:space="preserve">SOTP per share</t>
  </si>
  <si>
    <t xml:space="preserve">Fundamental valuation - lens synthesis</t>
  </si>
  <si>
    <t xml:space="preserve">Weighted fair value across the lenses (football field in the report).</t>
  </si>
  <si>
    <t xml:space="preserve">Assumptions - single input layer · Fawry (EGX: FWRY)</t>
  </si>
  <si>
    <t xml:space="preserve">Blue = input. FY = calendar year; EGP mn. Sources: FY23-25 company earnings releases (fawry.com / EGX); estimates flagged.</t>
  </si>
  <si>
    <t xml:space="preserve">ANCHORS</t>
  </si>
  <si>
    <t xml:space="preserve">Spot price (EGP/share)</t>
  </si>
  <si>
    <t xml:space="preserve">Shares outstanding (mn)</t>
  </si>
  <si>
    <t xml:space="preserve">Attributable net cash (EGP mn, est.)</t>
  </si>
  <si>
    <t xml:space="preserve">WACC (nominal EGP)</t>
  </si>
  <si>
    <t xml:space="preserve">Terminal growth (nominal)</t>
  </si>
  <si>
    <t xml:space="preserve">Tax &amp; minorities rate</t>
  </si>
  <si>
    <t xml:space="preserve">SOTP MARKS (segment EVs, EGP mn, judgment)</t>
  </si>
  <si>
    <t xml:space="preserve">Banking services</t>
  </si>
  <si>
    <t xml:space="preserve">Financial services</t>
  </si>
  <si>
    <t xml:space="preserve">ADP + supply chain + other</t>
  </si>
  <si>
    <t xml:space="preserve">FORECAST DRIVERS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</si>
  <si>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</si>
  <si>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</si>
  <si>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</si>
  <si>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</si>
  <si>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</si>
  <si>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 growth</t>
  </si>
  <si>
    <t xml:space="preserve">EBITDA margin (co-def.)</t>
  </si>
  <si>
    <t xml:space="preserve">D&amp;A, ESOP &amp; provisions % rev</t>
  </si>
  <si>
    <t xml:space="preserve">Net interest &amp; inv. income (EGP mn)</t>
  </si>
  <si>
    <t xml:space="preserve">Capex (EGP mn)</t>
  </si>
  <si>
    <t xml:space="preserve">Net WC % of revenue</t>
  </si>
  <si>
    <t xml:space="preserve">Sum-of-the-parts (EGP mn) - segment cross-check</t>
  </si>
  <si>
    <t xml:space="preserve">Segment EV marks from Assumptions + attributable net cash.</t>
  </si>
  <si>
    <t xml:space="preserve">Component</t>
  </si>
  <si>
    <t xml:space="preserve">EV / value</t>
  </si>
  <si>
    <t xml:space="preserve">Gross segment value</t>
  </si>
  <si>
    <t xml:space="preserve">+ Attributable net cash</t>
  </si>
  <si>
    <t xml:space="preserve">Equity (SOTP)</t>
  </si>
  <si>
    <t xml:space="preserve">Segments</t>
  </si>
  <si>
    <t xml:space="preserve">Banking services / Financial services / ADP / Supply chain / Tech - FY25 splits per earnings release.</t>
  </si>
  <si>
    <t xml:space="preserve">Relative &amp; normalized</t>
  </si>
  <si>
    <t xml:space="preserve">Peer P/E and EV/EBITDA; two-stage normalized growth earnings power.</t>
  </si>
  <si>
    <t xml:space="preserve">Discounted cash flow (EGP mn) - operating business</t>
  </si>
  <si>
    <t xml:space="preserve">NOPAT + non-cash addback - capex - dNWC at WACC; Gordon terminal. Non-operating interest income excluded from the DCF and captured in net cash / relative lenses.</t>
  </si>
  <si>
    <t xml:space="preserve">EBIT</t>
  </si>
  <si>
    <t xml:space="preserve">NOPAT = EBIT x (1-tax)</t>
  </si>
  <si>
    <t xml:space="preserve">+ Non-cash addback</t>
  </si>
  <si>
    <t xml:space="preserve">- Capex</t>
  </si>
  <si>
    <t xml:space="preserve">- Increase in net WC</t>
  </si>
  <si>
    <t xml:space="preserve">FCFF</t>
  </si>
  <si>
    <t xml:space="preserve">Discount factor</t>
  </si>
  <si>
    <t xml:space="preserve">PV of FCFF</t>
  </si>
  <si>
    <t xml:space="preserve">Sum PV of explicit FCFF</t>
  </si>
  <si>
    <t xml:space="preserve">Terminal value (Gordon)</t>
  </si>
  <si>
    <t xml:space="preserve">PV of terminal value</t>
  </si>
  <si>
    <t xml:space="preserve">Operating enterprise value</t>
  </si>
  <si>
    <t xml:space="preserve">Equity value</t>
  </si>
  <si>
    <t xml:space="preserve">Fair value per share</t>
  </si>
  <si>
    <t xml:space="preserve">Income statement (EGP mn) - consolidated</t>
  </si>
  <si>
    <t xml:space="preserve">FY23-25 per company earnings releases (FY23 NI derived from disclosed +124.6% FY24 growth; wedge &amp; interest income estimated - flag). FY26E+ forecast.</t>
  </si>
  <si>
    <t xml:space="preserve">FY23</t>
  </si>
  <si>
    <t xml:space="preserve">FY24</t>
  </si>
  <si>
    <t xml:space="preserve">FY25</t>
  </si>
  <si>
    <t xml:space="preserve">Revenue</t>
  </si>
  <si>
    <t xml:space="preserve">Gross profit</t>
  </si>
  <si>
    <t xml:space="preserve">EBITDA (company-defined)</t>
  </si>
  <si>
    <t xml:space="preserve">D&amp;A, ESOP &amp; provisions</t>
  </si>
  <si>
    <t xml:space="preserve">Net interest &amp; investment income</t>
  </si>
  <si>
    <t xml:space="preserve">PBT</t>
  </si>
  <si>
    <t xml:space="preserve">Tax &amp; minorities</t>
  </si>
  <si>
    <t xml:space="preserve">Net income (after NCI)</t>
  </si>
  <si>
    <t xml:space="preserve">Balance sheet (EGP mn)</t>
  </si>
  <si>
    <t xml:space="preserve">FY25 loan book per release; other lines estimated pending consolidated BS notes (flag). Forecast rolls with retained earnings.</t>
  </si>
  <si>
    <t xml:space="preserve">Cash &amp; treasury investments</t>
  </si>
  <si>
    <t xml:space="preserve">Gross loan portfolio (MSME+consumer)</t>
  </si>
  <si>
    <t xml:space="preserve">Borrowings &amp; securitisation (est.)</t>
  </si>
  <si>
    <t xml:space="preserve">Net working capital</t>
  </si>
  <si>
    <t xml:space="preserve">Total equity (attributable)</t>
  </si>
  <si>
    <t xml:space="preserve">Cash flow (EGP mn)</t>
  </si>
  <si>
    <t xml:space="preserve">CFO = NI + non-cash wedge - dNWC; investing = -capex.</t>
  </si>
  <si>
    <t xml:space="preserve">+ D&amp;A, ESOP &amp; provisions (non-cash)</t>
  </si>
  <si>
    <t xml:space="preserve">- Increase in NWC</t>
  </si>
  <si>
    <t xml:space="preserve">Cash from operations</t>
  </si>
  <si>
    <t xml:space="preserve">Cash from investing</t>
  </si>
  <si>
    <t xml:space="preserve">Net change in cash</t>
  </si>
  <si>
    <t xml:space="preserve">Summary financials</t>
  </si>
  <si>
    <t xml:space="preserve">Links to the statement sheets (green).</t>
  </si>
  <si>
    <t xml:space="preserve">EBITDA</t>
  </si>
  <si>
    <t xml:space="preserve">Net income</t>
  </si>
  <si>
    <t xml:space="preserve">Cash &amp; treasury</t>
  </si>
  <si>
    <t xml:space="preserve">Total equity</t>
  </si>
  <si>
    <t xml:space="preserve">Monte Carlo - percentile map</t>
  </si>
  <si>
    <t xml:space="preserve">16-factor (7C+9D), 50,000 paths, seed 42; engine-filled. Spot links to Assumptions.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</si>
  <si>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</si>
  <si>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</si>
  <si>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</si>
  <si>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</si>
  <si>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</si>
  <si>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</si>
  <si>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</t>
  </si>
  <si>
    <t xml:space="preserve">T+60</t>
  </si>
  <si>
    <t xml:space="preserve">Sensitivity - DCF fair value per share</t>
  </si>
  <si>
    <t xml:space="preserve">Illustrative scaling; live 2-way WACC x g table on final build.</t>
  </si>
  <si>
    <t xml:space="preserve">WACC \ g</t>
  </si>
  <si>
    <t xml:space="preserve">g-2%</t>
  </si>
  <si>
    <t xml:space="preserve">g+0%</t>
  </si>
  <si>
    <t xml:space="preserve">g+2%</t>
  </si>
  <si>
    <t xml:space="preserve">WACC-2%</t>
  </si>
  <si>
    <t xml:space="preserve">WACC+0%</t>
  </si>
  <si>
    <t xml:space="preserve">WACC+2%</t>
  </si>
  <si>
    <t xml:space="preserve">Per-share &amp; ratios</t>
  </si>
  <si>
    <t xml:space="preserve">EPS (FY26E)</t>
  </si>
  <si>
    <t xml:space="preserve">P/E FY26E (spot)</t>
  </si>
  <si>
    <t xml:space="preserve">Upside to DCF</t>
  </si>
  <si>
    <t xml:space="preserve">Peer &amp; sector</t>
  </si>
  <si>
    <t xml:space="preserve">e-finance (EGX: EFIH), regional/global payments peers; rate-cycle and take-rate structure.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</si>
</sst>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;\(#,##0\);\-"/>
    <numFmt numFmtId="167" formatCode="0.0%"/>
    <numFmt numFmtId="168" formatCode="0.000"/>
    <numFmt numFmtId="169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6.15" hidden="false" customHeight="false" outlineLevel="0" collapsed="false">
      <c r="A1" s="1" t="s">
        <v>2</v>
      </c>
    </row>
    <row r="4" customFormat="false" ht="15" hidden="false" customHeight="false" outlineLevel="0" collapsed="false">
      <c r="A4" s="0" t="s">
        <v>3</v>
      </c>
      <c r="B4" s="3" t="n">
        <f aca="false">Assumptions!$B$4</f>
        <v>18.4</v>
      </c>
    </row>
    <row r="5" customFormat="false" ht="15" hidden="false" customHeight="false" outlineLevel="0" collapsed="false">
      <c r="A5" s="0" t="s">
        <v>4</v>
      </c>
      <c r="B5" s="3" t="n">
        <f aca="false">DCF!B19</f>
        <v>11.4826015833643</v>
      </c>
    </row>
    <row r="6" customFormat="false" ht="15" hidden="false" customHeight="false" outlineLevel="0" collapsed="false">
      <c r="A6" s="0" t="s">
        <v>5</v>
      </c>
      <c r="B6" s="3" t="n">
        <f aca="false">SOTP!B11</f>
        <v>16.3892445582586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6</v>
      </c>
    </row>
    <row r="2" customFormat="false" ht="15" hidden="false" customHeight="false" outlineLevel="0" collapsed="false">
      <c r="A2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</cols>
  <sheetData>
    <row r="1" customFormat="false" ht="16.1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9</v>
      </c>
    </row>
    <row r="3" customFormat="false" ht="15" hidden="false" customHeight="false" outlineLevel="0" collapsed="false">
      <c r="A3" s="4" t="s">
        <v>10</v>
      </c>
    </row>
    <row r="4" customFormat="false" ht="15" hidden="false" customHeight="false" outlineLevel="0" collapsed="false">
      <c r="A4" s="0" t="s">
        <v>11</v>
      </c>
      <c r="B4" s="5" t="n">
        <v>18.4</v>
      </c>
    </row>
    <row r="5" customFormat="false" ht="15" hidden="false" customHeight="false" outlineLevel="0" collapsed="false">
      <c r="A5" s="0" t="s">
        <v>12</v>
      </c>
      <c r="B5" s="6" t="n">
        <v>3905</v>
      </c>
    </row>
    <row r="8" customFormat="false" ht="15" hidden="false" customHeight="false" outlineLevel="0" collapsed="false">
      <c r="A8" s="0" t="s">
        <v>13</v>
      </c>
      <c r="B8" s="6" t="n">
        <v>2000</v>
      </c>
    </row>
    <row r="9" customFormat="false" ht="15" hidden="false" customHeight="false" outlineLevel="0" collapsed="false">
      <c r="A9" s="0" t="s">
        <v>14</v>
      </c>
      <c r="B9" s="7" t="n">
        <v>0.24</v>
      </c>
    </row>
    <row r="10" customFormat="false" ht="15" hidden="false" customHeight="false" outlineLevel="0" collapsed="false">
      <c r="A10" s="0" t="s">
        <v>15</v>
      </c>
      <c r="B10" s="7" t="n">
        <v>0.12</v>
      </c>
    </row>
    <row r="11" customFormat="false" ht="15" hidden="false" customHeight="false" outlineLevel="0" collapsed="false">
      <c r="A11" s="0" t="s">
        <v>16</v>
      </c>
      <c r="B11" s="7" t="n">
        <v>0.26</v>
      </c>
    </row>
    <row r="13" customFormat="false" ht="15" hidden="false" customHeight="false" outlineLevel="0" collapsed="false">
      <c r="A13" s="4" t="s">
        <v>17</v>
      </c>
    </row>
    <row r="14" customFormat="false" ht="15" hidden="false" customHeight="false" outlineLevel="0" collapsed="false">
      <c r="A14" s="0" t="s">
        <v>18</v>
      </c>
      <c r="B14" s="6" t="n">
        <v>30000</v>
      </c>
    </row>
    <row r="15" customFormat="false" ht="15" hidden="false" customHeight="false" outlineLevel="0" collapsed="false">
      <c r="A15" s="0" t="s">
        <v>19</v>
      </c>
      <c r="B15" s="6" t="n">
        <v>20000</v>
      </c>
    </row>
    <row r="16" customFormat="false" ht="15" hidden="false" customHeight="false" outlineLevel="0" collapsed="false">
      <c r="A16" s="0" t="s">
        <v>20</v>
      </c>
      <c r="B16" s="6" t="n">
        <v>12000</v>
      </c>
    </row>
    <row r="20" customFormat="false" ht="15" hidden="false" customHeight="false" outlineLevel="0" collapsed="false">
      <c r="A20" s="4" t="s">
        <v>21</v>
      </c>
    </row>
    <row r="21" customFormat="false" ht="15" hidden="false" customHeight="false" outlineLevel="0" collapsed="false">
      <c r="E21" s="4" t="s">
        <v>22</v>
      </c>
      <c r="F21" s="4" t="s">
        <v>23</v>
      </c>
      <c r="G21" s="4" t="s">
        <v>24</v>
      </c>
      <c r="H21" s="4" t="s">
        <v>25</v>
      </c>
      <c r="I21" s="4" t="s">
        <v>26</v>
      </c>
    </row>
    <row r="22" customFormat="false" ht="15" hidden="false" customHeight="false" outlineLevel="0" collapsed="false">
      <c r="A22" s="0" t="s">
        <v>27</v>
      </c>
      <c r="E22" s="7" t="n">
        <v>0.3</v>
      </c>
      <c r="F22" s="7" t="n">
        <v>0.25</v>
      </c>
      <c r="G22" s="7" t="n">
        <v>0.2</v>
      </c>
      <c r="H22" s="7" t="n">
        <v>0.17</v>
      </c>
      <c r="I22" s="7" t="n">
        <v>0.15</v>
      </c>
    </row>
    <row r="23" customFormat="false" ht="15" hidden="false" customHeight="false" outlineLevel="0" collapsed="false">
      <c r="A23" s="0" t="s">
        <v>28</v>
      </c>
      <c r="E23" s="7" t="n">
        <v>0.56</v>
      </c>
      <c r="F23" s="7" t="n">
        <v>0.55</v>
      </c>
      <c r="G23" s="7" t="n">
        <v>0.54</v>
      </c>
      <c r="H23" s="7" t="n">
        <v>0.53</v>
      </c>
      <c r="I23" s="7" t="n">
        <v>0.52</v>
      </c>
    </row>
    <row r="24" customFormat="false" ht="15" hidden="false" customHeight="false" outlineLevel="0" collapsed="false">
      <c r="A24" s="0" t="s">
        <v>29</v>
      </c>
      <c r="E24" s="7" t="n">
        <v>0.2</v>
      </c>
      <c r="F24" s="7" t="n">
        <v>0.2</v>
      </c>
      <c r="G24" s="7" t="n">
        <v>0.2</v>
      </c>
      <c r="H24" s="7" t="n">
        <v>0.2</v>
      </c>
      <c r="I24" s="7" t="n">
        <v>0.2</v>
      </c>
    </row>
    <row r="25" customFormat="false" ht="15" hidden="false" customHeight="false" outlineLevel="0" collapsed="false">
      <c r="A25" s="0" t="s">
        <v>30</v>
      </c>
      <c r="E25" s="6" t="n">
        <v>790</v>
      </c>
      <c r="F25" s="6" t="n">
        <v>670</v>
      </c>
      <c r="G25" s="6" t="n">
        <v>570</v>
      </c>
      <c r="H25" s="6" t="n">
        <v>485</v>
      </c>
      <c r="I25" s="6" t="n">
        <v>410</v>
      </c>
    </row>
    <row r="26" customFormat="false" ht="15" hidden="false" customHeight="false" outlineLevel="0" collapsed="false">
      <c r="A26" s="0" t="s">
        <v>31</v>
      </c>
      <c r="E26" s="6" t="n">
        <v>900</v>
      </c>
      <c r="F26" s="6" t="n">
        <v>1050</v>
      </c>
      <c r="G26" s="6" t="n">
        <v>1200</v>
      </c>
      <c r="H26" s="6" t="n">
        <v>1350</v>
      </c>
      <c r="I26" s="6" t="n">
        <v>1500</v>
      </c>
    </row>
    <row r="27" customFormat="false" ht="15" hidden="false" customHeight="false" outlineLevel="0" collapsed="false">
      <c r="A27" s="0" t="s">
        <v>32</v>
      </c>
      <c r="E27" s="7" t="n">
        <v>0.02</v>
      </c>
      <c r="F27" s="7" t="n">
        <v>0.02</v>
      </c>
      <c r="G27" s="7" t="n">
        <v>0.02</v>
      </c>
      <c r="H27" s="7" t="n">
        <v>0.02</v>
      </c>
      <c r="I27" s="7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6.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4" t="s">
        <v>35</v>
      </c>
      <c r="B3" s="4" t="s">
        <v>36</v>
      </c>
    </row>
    <row r="4" customFormat="false" ht="15" hidden="false" customHeight="false" outlineLevel="0" collapsed="false">
      <c r="A4" s="0" t="s">
        <v>18</v>
      </c>
      <c r="B4" s="8" t="n">
        <f aca="false">Assumptions!B14</f>
        <v>30000</v>
      </c>
    </row>
    <row r="5" customFormat="false" ht="15" hidden="false" customHeight="false" outlineLevel="0" collapsed="false">
      <c r="A5" s="0" t="s">
        <v>19</v>
      </c>
      <c r="B5" s="8" t="n">
        <f aca="false">Assumptions!B15</f>
        <v>20000</v>
      </c>
    </row>
    <row r="6" customFormat="false" ht="15" hidden="false" customHeight="false" outlineLevel="0" collapsed="false">
      <c r="A6" s="0" t="s">
        <v>20</v>
      </c>
      <c r="B6" s="8" t="n">
        <f aca="false">Assumptions!B16</f>
        <v>12000</v>
      </c>
    </row>
    <row r="8" customFormat="false" ht="15" hidden="false" customHeight="false" outlineLevel="0" collapsed="false">
      <c r="A8" s="0" t="s">
        <v>37</v>
      </c>
      <c r="B8" s="9" t="n">
        <f aca="false">SUM(B4:B6)</f>
        <v>62000</v>
      </c>
    </row>
    <row r="9" customFormat="false" ht="15" hidden="false" customHeight="false" outlineLevel="0" collapsed="false">
      <c r="A9" s="0" t="s">
        <v>38</v>
      </c>
      <c r="B9" s="8" t="n">
        <f aca="false">Assumptions!$B$8</f>
        <v>2000</v>
      </c>
    </row>
    <row r="10" customFormat="false" ht="15" hidden="false" customHeight="false" outlineLevel="0" collapsed="false">
      <c r="A10" s="0" t="s">
        <v>39</v>
      </c>
      <c r="B10" s="9" t="n">
        <f aca="false">B8+B9</f>
        <v>64000</v>
      </c>
    </row>
    <row r="11" customFormat="false" ht="15" hidden="false" customHeight="false" outlineLevel="0" collapsed="false">
      <c r="A11" s="0" t="s">
        <v>5</v>
      </c>
      <c r="B11" s="10" t="n">
        <f aca="false">B10/Assumptions!$B$5</f>
        <v>16.3892445582586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</cols>
  <sheetData>
    <row r="1" customFormat="false" ht="16.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3" customFormat="false" ht="15" hidden="false" customHeight="false" outlineLevel="0" collapsed="false">
      <c r="E3" s="11" t="s">
        <v>22</v>
      </c>
      <c r="F3" s="11" t="s">
        <v>23</v>
      </c>
      <c r="G3" s="11" t="s">
        <v>24</v>
      </c>
      <c r="H3" s="11" t="s">
        <v>25</v>
      </c>
      <c r="I3" s="11" t="s">
        <v>26</v>
      </c>
    </row>
    <row r="4" customFormat="false" ht="15" hidden="false" customHeight="false" outlineLevel="0" collapsed="false">
      <c r="A4" s="0" t="s">
        <v>46</v>
      </c>
      <c r="E4" s="8" t="n">
        <f aca="false">'Income Statement'!E8</f>
        <v>4048.668</v>
      </c>
      <c r="F4" s="8" t="n">
        <f aca="false">'Income Statement'!F8</f>
        <v>4920.25625</v>
      </c>
      <c r="G4" s="8" t="n">
        <f aca="false">'Income Statement'!G8</f>
        <v>5735.613</v>
      </c>
      <c r="H4" s="8" t="n">
        <f aca="false">'Income Statement'!H8</f>
        <v>6513.294645</v>
      </c>
      <c r="I4" s="8" t="n">
        <f aca="false">'Income Statement'!I8</f>
        <v>7263.310392</v>
      </c>
    </row>
    <row r="5" customFormat="false" ht="15" hidden="false" customHeight="false" outlineLevel="0" collapsed="false">
      <c r="A5" s="0" t="s">
        <v>47</v>
      </c>
      <c r="E5" s="12" t="n">
        <f aca="false">E4*(1-Assumptions!$B$11)</f>
        <v>2996.01432</v>
      </c>
      <c r="F5" s="12" t="n">
        <f aca="false">F4*(1-Assumptions!$B$11)</f>
        <v>3640.989625</v>
      </c>
      <c r="G5" s="12" t="n">
        <f aca="false">G4*(1-Assumptions!$B$11)</f>
        <v>4244.35362</v>
      </c>
      <c r="H5" s="12" t="n">
        <f aca="false">H4*(1-Assumptions!$B$11)</f>
        <v>4819.8380373</v>
      </c>
      <c r="I5" s="12" t="n">
        <f aca="false">I4*(1-Assumptions!$B$11)</f>
        <v>5374.84969008</v>
      </c>
    </row>
    <row r="6" customFormat="false" ht="15" hidden="false" customHeight="false" outlineLevel="0" collapsed="false">
      <c r="A6" s="0" t="s">
        <v>48</v>
      </c>
      <c r="E6" s="8" t="n">
        <f aca="false">'Income Statement'!E7</f>
        <v>2249.26</v>
      </c>
      <c r="F6" s="8" t="n">
        <f aca="false">'Income Statement'!F7</f>
        <v>2811.575</v>
      </c>
      <c r="G6" s="8" t="n">
        <f aca="false">'Income Statement'!G7</f>
        <v>3373.89</v>
      </c>
      <c r="H6" s="8" t="n">
        <f aca="false">'Income Statement'!H7</f>
        <v>3947.4513</v>
      </c>
      <c r="I6" s="8" t="n">
        <f aca="false">'Income Statement'!I7</f>
        <v>4539.568995</v>
      </c>
    </row>
    <row r="7" customFormat="false" ht="15" hidden="false" customHeight="false" outlineLevel="0" collapsed="false">
      <c r="A7" s="0" t="s">
        <v>49</v>
      </c>
      <c r="E7" s="8" t="n">
        <f aca="false">-Assumptions!E26</f>
        <v>-900</v>
      </c>
      <c r="F7" s="8" t="n">
        <f aca="false">-Assumptions!F26</f>
        <v>-1050</v>
      </c>
      <c r="G7" s="8" t="n">
        <f aca="false">-Assumptions!G26</f>
        <v>-1200</v>
      </c>
      <c r="H7" s="8" t="n">
        <f aca="false">-Assumptions!H26</f>
        <v>-1350</v>
      </c>
      <c r="I7" s="8" t="n">
        <f aca="false">-Assumptions!I26</f>
        <v>-1500</v>
      </c>
    </row>
    <row r="8" customFormat="false" ht="15" hidden="false" customHeight="false" outlineLevel="0" collapsed="false">
      <c r="A8" s="0" t="s">
        <v>50</v>
      </c>
      <c r="E8" s="8" t="n">
        <f aca="false">'Cash Flow'!E6</f>
        <v>-51.926</v>
      </c>
      <c r="F8" s="8" t="n">
        <f aca="false">'Cash Flow'!F6</f>
        <v>-56.2315</v>
      </c>
      <c r="G8" s="8" t="n">
        <f aca="false">'Cash Flow'!G6</f>
        <v>-56.2315</v>
      </c>
      <c r="H8" s="8" t="n">
        <f aca="false">'Cash Flow'!H6</f>
        <v>-57.35613</v>
      </c>
      <c r="I8" s="8" t="n">
        <f aca="false">'Cash Flow'!I6</f>
        <v>-59.2117694999999</v>
      </c>
    </row>
    <row r="9" customFormat="false" ht="15" hidden="false" customHeight="false" outlineLevel="0" collapsed="false">
      <c r="A9" s="0" t="s">
        <v>51</v>
      </c>
      <c r="E9" s="12" t="n">
        <f aca="false">E5+E6+E7+E8</f>
        <v>4293.34832</v>
      </c>
      <c r="F9" s="12" t="n">
        <f aca="false">F5+F6+F7+F8</f>
        <v>5346.333125</v>
      </c>
      <c r="G9" s="12" t="n">
        <f aca="false">G5+G6+G7+G8</f>
        <v>6362.01212</v>
      </c>
      <c r="H9" s="12" t="n">
        <f aca="false">H5+H6+H7+H8</f>
        <v>7359.9332073</v>
      </c>
      <c r="I9" s="12" t="n">
        <f aca="false">I5+I6+I7+I8</f>
        <v>8355.20691558</v>
      </c>
    </row>
    <row r="10" customFormat="false" ht="15" hidden="false" customHeight="false" outlineLevel="0" collapsed="false">
      <c r="A10" s="0" t="s">
        <v>52</v>
      </c>
      <c r="E10" s="13" t="n">
        <f aca="false">1/(1+Assumptions!$B$9)^1</f>
        <v>0.806451612903226</v>
      </c>
      <c r="F10" s="13" t="n">
        <f aca="false">1/(1+Assumptions!$B$9)^2</f>
        <v>0.650364203954214</v>
      </c>
      <c r="G10" s="13" t="n">
        <f aca="false">1/(1+Assumptions!$B$9)^3</f>
        <v>0.524487261253399</v>
      </c>
      <c r="H10" s="13" t="n">
        <f aca="false">1/(1+Assumptions!$B$9)^4</f>
        <v>0.422973597784999</v>
      </c>
      <c r="I10" s="13" t="n">
        <f aca="false">1/(1+Assumptions!$B$9)^5</f>
        <v>0.341107740149193</v>
      </c>
    </row>
    <row r="11" customFormat="false" ht="15" hidden="false" customHeight="false" outlineLevel="0" collapsed="false">
      <c r="A11" s="0" t="s">
        <v>53</v>
      </c>
      <c r="E11" s="12" t="n">
        <f aca="false">E9*E10</f>
        <v>3462.37767741936</v>
      </c>
      <c r="F11" s="12" t="n">
        <f aca="false">F9*F10</f>
        <v>3477.06368691467</v>
      </c>
      <c r="G11" s="12" t="n">
        <f aca="false">G9*G10</f>
        <v>3336.79431287973</v>
      </c>
      <c r="H11" s="12" t="n">
        <f aca="false">H9*H10</f>
        <v>3113.05742814897</v>
      </c>
      <c r="I11" s="12" t="n">
        <f aca="false">I9*I10</f>
        <v>2850.0257494524</v>
      </c>
    </row>
    <row r="13" customFormat="false" ht="15" hidden="false" customHeight="false" outlineLevel="0" collapsed="false">
      <c r="A13" s="0" t="s">
        <v>54</v>
      </c>
      <c r="B13" s="12" t="n">
        <f aca="false">SUM(E11:I11)</f>
        <v>16239.3188548151</v>
      </c>
    </row>
    <row r="14" customFormat="false" ht="15" hidden="false" customHeight="false" outlineLevel="0" collapsed="false">
      <c r="A14" s="0" t="s">
        <v>55</v>
      </c>
      <c r="B14" s="12" t="n">
        <f aca="false">I9*(1+Assumptions!$B$10)/(Assumptions!$B$9-Assumptions!$B$10)</f>
        <v>77981.93121208</v>
      </c>
    </row>
    <row r="15" customFormat="false" ht="15" hidden="false" customHeight="false" outlineLevel="0" collapsed="false">
      <c r="A15" s="0" t="s">
        <v>56</v>
      </c>
      <c r="B15" s="12" t="n">
        <f aca="false">B14/(1+Assumptions!$B$9)^5</f>
        <v>26600.2403282224</v>
      </c>
    </row>
    <row r="16" customFormat="false" ht="15" hidden="false" customHeight="false" outlineLevel="0" collapsed="false">
      <c r="A16" s="0" t="s">
        <v>57</v>
      </c>
      <c r="B16" s="9" t="n">
        <f aca="false">B13+B15</f>
        <v>42839.5591830375</v>
      </c>
    </row>
    <row r="17" customFormat="false" ht="15" hidden="false" customHeight="false" outlineLevel="0" collapsed="false">
      <c r="A17" s="0" t="s">
        <v>38</v>
      </c>
      <c r="B17" s="8" t="n">
        <f aca="false">Assumptions!$B$8</f>
        <v>2000</v>
      </c>
    </row>
    <row r="18" customFormat="false" ht="15" hidden="false" customHeight="false" outlineLevel="0" collapsed="false">
      <c r="A18" s="0" t="s">
        <v>58</v>
      </c>
      <c r="B18" s="9" t="n">
        <f aca="false">B16+B17</f>
        <v>44839.5591830375</v>
      </c>
    </row>
    <row r="19" customFormat="false" ht="15" hidden="false" customHeight="false" outlineLevel="0" collapsed="false">
      <c r="A19" s="0" t="s">
        <v>59</v>
      </c>
      <c r="B19" s="10" t="n">
        <f aca="false">B18/Assumptions!$B$5</f>
        <v>11.4826015833643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B3" s="14" t="s">
        <v>62</v>
      </c>
      <c r="C3" s="14" t="s">
        <v>63</v>
      </c>
      <c r="D3" s="14" t="s">
        <v>64</v>
      </c>
      <c r="E3" s="14" t="s">
        <v>22</v>
      </c>
      <c r="F3" s="14" t="s">
        <v>23</v>
      </c>
      <c r="G3" s="14" t="s">
        <v>24</v>
      </c>
      <c r="H3" s="14" t="s">
        <v>25</v>
      </c>
      <c r="I3" s="14" t="s">
        <v>26</v>
      </c>
    </row>
    <row r="4" customFormat="false" ht="15" hidden="false" customHeight="false" outlineLevel="0" collapsed="false">
      <c r="A4" s="0" t="s">
        <v>65</v>
      </c>
      <c r="B4" s="6" t="n">
        <v>3271</v>
      </c>
      <c r="C4" s="6" t="n">
        <v>5511</v>
      </c>
      <c r="D4" s="6" t="n">
        <v>8651</v>
      </c>
      <c r="E4" s="12" t="n">
        <f aca="false">D4*(1+Assumptions!E22)</f>
        <v>11246.3</v>
      </c>
      <c r="F4" s="12" t="n">
        <f aca="false">E4*(1+Assumptions!F22)</f>
        <v>14057.875</v>
      </c>
      <c r="G4" s="12" t="n">
        <f aca="false">F4*(1+Assumptions!G22)</f>
        <v>16869.45</v>
      </c>
      <c r="H4" s="12" t="n">
        <f aca="false">G4*(1+Assumptions!H22)</f>
        <v>19737.2565</v>
      </c>
      <c r="I4" s="12" t="n">
        <f aca="false">H4*(1+Assumptions!I22)</f>
        <v>22697.844975</v>
      </c>
    </row>
    <row r="5" customFormat="false" ht="15" hidden="false" customHeight="false" outlineLevel="0" collapsed="false">
      <c r="A5" s="0" t="s">
        <v>66</v>
      </c>
      <c r="C5" s="6" t="n">
        <v>3622</v>
      </c>
      <c r="D5" s="6" t="n">
        <v>5960</v>
      </c>
      <c r="E5" s="12" t="n">
        <f aca="false">E4*0.69</f>
        <v>7759.947</v>
      </c>
      <c r="F5" s="12" t="n">
        <f aca="false">F4*0.69</f>
        <v>9699.93375</v>
      </c>
      <c r="G5" s="12" t="n">
        <f aca="false">G4*0.69</f>
        <v>11639.9205</v>
      </c>
      <c r="H5" s="12" t="n">
        <f aca="false">H4*0.69</f>
        <v>13618.706985</v>
      </c>
      <c r="I5" s="12" t="n">
        <f aca="false">I4*0.69</f>
        <v>15661.51303275</v>
      </c>
    </row>
    <row r="6" customFormat="false" ht="15" hidden="false" customHeight="false" outlineLevel="0" collapsed="false">
      <c r="A6" s="0" t="s">
        <v>67</v>
      </c>
      <c r="B6" s="6" t="n">
        <v>1318</v>
      </c>
      <c r="C6" s="6" t="n">
        <v>2747</v>
      </c>
      <c r="D6" s="6" t="n">
        <v>4968</v>
      </c>
      <c r="E6" s="12" t="n">
        <f aca="false">E4*Assumptions!E23</f>
        <v>6297.928</v>
      </c>
      <c r="F6" s="12" t="n">
        <f aca="false">F4*Assumptions!F23</f>
        <v>7731.83125</v>
      </c>
      <c r="G6" s="12" t="n">
        <f aca="false">G4*Assumptions!G23</f>
        <v>9109.503</v>
      </c>
      <c r="H6" s="12" t="n">
        <f aca="false">H4*Assumptions!H23</f>
        <v>10460.745945</v>
      </c>
      <c r="I6" s="12" t="n">
        <f aca="false">I4*Assumptions!I23</f>
        <v>11802.879387</v>
      </c>
    </row>
    <row r="7" customFormat="false" ht="15" hidden="false" customHeight="false" outlineLevel="0" collapsed="false">
      <c r="A7" s="0" t="s">
        <v>68</v>
      </c>
      <c r="B7" s="6" t="n">
        <v>560</v>
      </c>
      <c r="C7" s="6" t="n">
        <v>1050</v>
      </c>
      <c r="D7" s="6" t="n">
        <v>1909</v>
      </c>
      <c r="E7" s="12" t="n">
        <f aca="false">E4*Assumptions!E24</f>
        <v>2249.26</v>
      </c>
      <c r="F7" s="12" t="n">
        <f aca="false">F4*Assumptions!F24</f>
        <v>2811.575</v>
      </c>
      <c r="G7" s="12" t="n">
        <f aca="false">G4*Assumptions!G24</f>
        <v>3373.89</v>
      </c>
      <c r="H7" s="12" t="n">
        <f aca="false">H4*Assumptions!H24</f>
        <v>3947.4513</v>
      </c>
      <c r="I7" s="12" t="n">
        <f aca="false">I4*Assumptions!I24</f>
        <v>4539.568995</v>
      </c>
    </row>
    <row r="8" customFormat="false" ht="15" hidden="false" customHeight="false" outlineLevel="0" collapsed="false">
      <c r="A8" s="0" t="s">
        <v>46</v>
      </c>
      <c r="B8" s="12" t="n">
        <f aca="false">B6-B7</f>
        <v>758</v>
      </c>
      <c r="C8" s="12" t="n">
        <f aca="false">C6-C7</f>
        <v>1697</v>
      </c>
      <c r="D8" s="12" t="n">
        <f aca="false">D6-D7</f>
        <v>3059</v>
      </c>
      <c r="E8" s="12" t="n">
        <f aca="false">E6-E7</f>
        <v>4048.668</v>
      </c>
      <c r="F8" s="12" t="n">
        <f aca="false">F6-F7</f>
        <v>4920.25625</v>
      </c>
      <c r="G8" s="12" t="n">
        <f aca="false">G6-G7</f>
        <v>5735.613</v>
      </c>
      <c r="H8" s="12" t="n">
        <f aca="false">H6-H7</f>
        <v>6513.294645</v>
      </c>
      <c r="I8" s="12" t="n">
        <f aca="false">I6-I7</f>
        <v>7263.310392</v>
      </c>
    </row>
    <row r="9" customFormat="false" ht="15" hidden="false" customHeight="false" outlineLevel="0" collapsed="false">
      <c r="A9" s="0" t="s">
        <v>69</v>
      </c>
      <c r="B9" s="6" t="n">
        <v>380</v>
      </c>
      <c r="C9" s="6" t="n">
        <v>750</v>
      </c>
      <c r="D9" s="6" t="n">
        <v>900</v>
      </c>
      <c r="E9" s="8" t="n">
        <f aca="false">Assumptions!E25</f>
        <v>790</v>
      </c>
      <c r="F9" s="8" t="n">
        <f aca="false">Assumptions!F25</f>
        <v>670</v>
      </c>
      <c r="G9" s="8" t="n">
        <f aca="false">Assumptions!G25</f>
        <v>570</v>
      </c>
      <c r="H9" s="8" t="n">
        <f aca="false">Assumptions!H25</f>
        <v>485</v>
      </c>
      <c r="I9" s="8" t="n">
        <f aca="false">Assumptions!I25</f>
        <v>410</v>
      </c>
    </row>
    <row r="10" customFormat="false" ht="15" hidden="false" customHeight="false" outlineLevel="0" collapsed="false">
      <c r="A10" s="0" t="s">
        <v>70</v>
      </c>
      <c r="B10" s="12" t="n">
        <f aca="false">B8+B9</f>
        <v>1138</v>
      </c>
      <c r="C10" s="12" t="n">
        <f aca="false">C8+C9</f>
        <v>2447</v>
      </c>
      <c r="D10" s="12" t="n">
        <f aca="false">D8+D9</f>
        <v>3959</v>
      </c>
      <c r="E10" s="12" t="n">
        <f aca="false">E8+E9</f>
        <v>4838.668</v>
      </c>
      <c r="F10" s="12" t="n">
        <f aca="false">F8+F9</f>
        <v>5590.25625</v>
      </c>
      <c r="G10" s="12" t="n">
        <f aca="false">G8+G9</f>
        <v>6305.613</v>
      </c>
      <c r="H10" s="12" t="n">
        <f aca="false">H8+H9</f>
        <v>6998.294645</v>
      </c>
      <c r="I10" s="12" t="n">
        <f aca="false">I8+I9</f>
        <v>7673.310392</v>
      </c>
    </row>
    <row r="11" customFormat="false" ht="15" hidden="false" customHeight="false" outlineLevel="0" collapsed="false">
      <c r="A11" s="0" t="s">
        <v>71</v>
      </c>
      <c r="B11" s="15" t="n">
        <f aca="false">B10-B12</f>
        <v>423</v>
      </c>
      <c r="C11" s="15" t="n">
        <f aca="false">C10-C12</f>
        <v>840</v>
      </c>
      <c r="D11" s="15" t="n">
        <f aca="false">D10-D12</f>
        <v>1070</v>
      </c>
      <c r="E11" s="12" t="n">
        <f aca="false">E10*Assumptions!$B$11</f>
        <v>1258.05368</v>
      </c>
      <c r="F11" s="12" t="n">
        <f aca="false">F10*Assumptions!$B$11</f>
        <v>1453.466625</v>
      </c>
      <c r="G11" s="12" t="n">
        <f aca="false">G10*Assumptions!$B$11</f>
        <v>1639.45938</v>
      </c>
      <c r="H11" s="12" t="n">
        <f aca="false">H10*Assumptions!$B$11</f>
        <v>1819.5566077</v>
      </c>
      <c r="I11" s="12" t="n">
        <f aca="false">I10*Assumptions!$B$11</f>
        <v>1995.06070192</v>
      </c>
    </row>
    <row r="12" customFormat="false" ht="15" hidden="false" customHeight="false" outlineLevel="0" collapsed="false">
      <c r="A12" s="0" t="s">
        <v>72</v>
      </c>
      <c r="B12" s="6" t="n">
        <v>715</v>
      </c>
      <c r="C12" s="6" t="n">
        <v>1607</v>
      </c>
      <c r="D12" s="6" t="n">
        <v>2889</v>
      </c>
      <c r="E12" s="12" t="n">
        <f aca="false">E10-E11</f>
        <v>3580.61432</v>
      </c>
      <c r="F12" s="12" t="n">
        <f aca="false">F10-F11</f>
        <v>4136.789625</v>
      </c>
      <c r="G12" s="12" t="n">
        <f aca="false">G10-G11</f>
        <v>4666.15362</v>
      </c>
      <c r="H12" s="12" t="n">
        <f aca="false">H10-H11</f>
        <v>5178.7380373</v>
      </c>
      <c r="I12" s="12" t="n">
        <f aca="false">I10-I11</f>
        <v>5678.24969008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6.1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3" customFormat="false" ht="15" hidden="false" customHeight="false" outlineLevel="0" collapsed="false">
      <c r="B3" s="14" t="s">
        <v>62</v>
      </c>
      <c r="C3" s="14" t="s">
        <v>63</v>
      </c>
      <c r="D3" s="14" t="s">
        <v>64</v>
      </c>
      <c r="E3" s="14" t="s">
        <v>22</v>
      </c>
      <c r="F3" s="14" t="s">
        <v>23</v>
      </c>
      <c r="G3" s="14" t="s">
        <v>24</v>
      </c>
      <c r="H3" s="14" t="s">
        <v>25</v>
      </c>
      <c r="I3" s="14" t="s">
        <v>26</v>
      </c>
    </row>
    <row r="4" customFormat="false" ht="15" hidden="false" customHeight="false" outlineLevel="0" collapsed="false">
      <c r="A4" s="0" t="s">
        <v>75</v>
      </c>
      <c r="B4" s="6" t="n">
        <v>2500</v>
      </c>
      <c r="C4" s="6" t="n">
        <v>4200</v>
      </c>
      <c r="D4" s="6" t="n">
        <v>6500</v>
      </c>
      <c r="E4" s="8" t="n">
        <f aca="false">D4+'Cash Flow'!E10</f>
        <v>11377.94832</v>
      </c>
      <c r="F4" s="8" t="n">
        <f aca="false">E4+'Cash Flow'!F10</f>
        <v>17220.081445</v>
      </c>
      <c r="G4" s="8" t="n">
        <f aca="false">F4+'Cash Flow'!G10</f>
        <v>24003.893565</v>
      </c>
      <c r="H4" s="8" t="n">
        <f aca="false">G4+'Cash Flow'!H10</f>
        <v>31722.7267723</v>
      </c>
      <c r="I4" s="8" t="n">
        <f aca="false">H4+'Cash Flow'!I10</f>
        <v>40381.33368788</v>
      </c>
    </row>
    <row r="5" customFormat="false" ht="15" hidden="false" customHeight="false" outlineLevel="0" collapsed="false">
      <c r="A5" s="0" t="s">
        <v>76</v>
      </c>
      <c r="B5" s="6" t="n">
        <v>1500</v>
      </c>
      <c r="C5" s="6" t="n">
        <v>3100</v>
      </c>
      <c r="D5" s="6" t="n">
        <v>5700</v>
      </c>
      <c r="E5" s="12" t="n">
        <f aca="false">D5*1.35</f>
        <v>7695</v>
      </c>
      <c r="F5" s="12" t="n">
        <f aca="false">E5*1.35</f>
        <v>10388.25</v>
      </c>
      <c r="G5" s="12" t="n">
        <f aca="false">F5*1.35</f>
        <v>14024.1375</v>
      </c>
      <c r="H5" s="12" t="n">
        <f aca="false">G5*1.35</f>
        <v>18932.585625</v>
      </c>
      <c r="I5" s="12" t="n">
        <f aca="false">H5*1.35</f>
        <v>25558.99059375</v>
      </c>
    </row>
    <row r="6" customFormat="false" ht="15" hidden="false" customHeight="false" outlineLevel="0" collapsed="false">
      <c r="A6" s="0" t="s">
        <v>77</v>
      </c>
      <c r="B6" s="6" t="n">
        <v>1200</v>
      </c>
      <c r="C6" s="6" t="n">
        <v>2600</v>
      </c>
      <c r="D6" s="6" t="n">
        <v>4500</v>
      </c>
      <c r="E6" s="12" t="n">
        <f aca="false">D6*1.35</f>
        <v>6075</v>
      </c>
      <c r="F6" s="12" t="n">
        <f aca="false">E6*1.35</f>
        <v>8201.25</v>
      </c>
      <c r="G6" s="12" t="n">
        <f aca="false">F6*1.35</f>
        <v>11071.6875</v>
      </c>
      <c r="H6" s="12" t="n">
        <f aca="false">G6*1.35</f>
        <v>14946.778125</v>
      </c>
      <c r="I6" s="12" t="n">
        <f aca="false">H6*1.35</f>
        <v>20178.15046875</v>
      </c>
    </row>
    <row r="7" customFormat="false" ht="15" hidden="false" customHeight="false" outlineLevel="0" collapsed="false">
      <c r="A7" s="0" t="s">
        <v>78</v>
      </c>
      <c r="B7" s="6" t="n">
        <v>65</v>
      </c>
      <c r="C7" s="6" t="n">
        <v>110</v>
      </c>
      <c r="D7" s="6" t="n">
        <v>173</v>
      </c>
      <c r="E7" s="8" t="n">
        <f aca="false">'Income Statement'!E4*Assumptions!E27</f>
        <v>224.926</v>
      </c>
      <c r="F7" s="8" t="n">
        <f aca="false">'Income Statement'!F4*Assumptions!F27</f>
        <v>281.1575</v>
      </c>
      <c r="G7" s="8" t="n">
        <f aca="false">'Income Statement'!G4*Assumptions!G27</f>
        <v>337.389</v>
      </c>
      <c r="H7" s="8" t="n">
        <f aca="false">'Income Statement'!H4*Assumptions!H27</f>
        <v>394.74513</v>
      </c>
      <c r="I7" s="8" t="n">
        <f aca="false">'Income Statement'!I4*Assumptions!I27</f>
        <v>453.9568995</v>
      </c>
    </row>
    <row r="8" customFormat="false" ht="15" hidden="false" customHeight="false" outlineLevel="0" collapsed="false">
      <c r="A8" s="0" t="s">
        <v>79</v>
      </c>
      <c r="B8" s="6" t="n">
        <v>2400</v>
      </c>
      <c r="C8" s="6" t="n">
        <v>3900</v>
      </c>
      <c r="D8" s="6" t="n">
        <v>5650</v>
      </c>
      <c r="E8" s="8" t="n">
        <f aca="false">D8+'Income Statement'!E12</f>
        <v>9230.61432</v>
      </c>
      <c r="F8" s="8" t="n">
        <f aca="false">E8+'Income Statement'!F12</f>
        <v>13367.403945</v>
      </c>
      <c r="G8" s="8" t="n">
        <f aca="false">F8+'Income Statement'!G12</f>
        <v>18033.557565</v>
      </c>
      <c r="H8" s="8" t="n">
        <f aca="false">G8+'Income Statement'!H12</f>
        <v>23212.2956023</v>
      </c>
      <c r="I8" s="8" t="n">
        <f aca="false">H8+'Income Statement'!I12</f>
        <v>28890.54529238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6.1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3" customFormat="false" ht="15" hidden="false" customHeight="false" outlineLevel="0" collapsed="false">
      <c r="B3" s="14" t="s">
        <v>62</v>
      </c>
      <c r="C3" s="14" t="s">
        <v>63</v>
      </c>
      <c r="D3" s="14" t="s">
        <v>64</v>
      </c>
      <c r="E3" s="14" t="s">
        <v>22</v>
      </c>
      <c r="F3" s="14" t="s">
        <v>23</v>
      </c>
      <c r="G3" s="14" t="s">
        <v>24</v>
      </c>
      <c r="H3" s="14" t="s">
        <v>25</v>
      </c>
      <c r="I3" s="14" t="s">
        <v>26</v>
      </c>
    </row>
    <row r="4" customFormat="false" ht="15" hidden="false" customHeight="false" outlineLevel="0" collapsed="false">
      <c r="A4" s="0" t="s">
        <v>72</v>
      </c>
      <c r="B4" s="8" t="n">
        <f aca="false">'Income Statement'!B12</f>
        <v>715</v>
      </c>
      <c r="C4" s="8" t="n">
        <f aca="false">'Income Statement'!C12</f>
        <v>1607</v>
      </c>
      <c r="D4" s="8" t="n">
        <f aca="false">'Income Statement'!D12</f>
        <v>2889</v>
      </c>
      <c r="E4" s="8" t="n">
        <f aca="false">'Income Statement'!E12</f>
        <v>3580.61432</v>
      </c>
      <c r="F4" s="8" t="n">
        <f aca="false">'Income Statement'!F12</f>
        <v>4136.789625</v>
      </c>
      <c r="G4" s="8" t="n">
        <f aca="false">'Income Statement'!G12</f>
        <v>4666.15362</v>
      </c>
      <c r="H4" s="8" t="n">
        <f aca="false">'Income Statement'!H12</f>
        <v>5178.7380373</v>
      </c>
      <c r="I4" s="8" t="n">
        <f aca="false">'Income Statement'!I12</f>
        <v>5678.24969008</v>
      </c>
    </row>
    <row r="5" customFormat="false" ht="15" hidden="false" customHeight="false" outlineLevel="0" collapsed="false">
      <c r="A5" s="0" t="s">
        <v>82</v>
      </c>
      <c r="B5" s="8" t="n">
        <f aca="false">'Income Statement'!B7</f>
        <v>560</v>
      </c>
      <c r="C5" s="8" t="n">
        <f aca="false">'Income Statement'!C7</f>
        <v>1050</v>
      </c>
      <c r="D5" s="8" t="n">
        <f aca="false">'Income Statement'!D7</f>
        <v>1909</v>
      </c>
      <c r="E5" s="8" t="n">
        <f aca="false">'Income Statement'!E7</f>
        <v>2249.26</v>
      </c>
      <c r="F5" s="8" t="n">
        <f aca="false">'Income Statement'!F7</f>
        <v>2811.575</v>
      </c>
      <c r="G5" s="8" t="n">
        <f aca="false">'Income Statement'!G7</f>
        <v>3373.89</v>
      </c>
      <c r="H5" s="8" t="n">
        <f aca="false">'Income Statement'!H7</f>
        <v>3947.4513</v>
      </c>
      <c r="I5" s="8" t="n">
        <f aca="false">'Income Statement'!I7</f>
        <v>4539.568995</v>
      </c>
    </row>
    <row r="6" customFormat="false" ht="15" hidden="false" customHeight="false" outlineLevel="0" collapsed="false">
      <c r="A6" s="0" t="s">
        <v>83</v>
      </c>
      <c r="B6" s="12" t="n">
        <v>0</v>
      </c>
      <c r="C6" s="8" t="n">
        <f aca="false">-('Balance Sheet'!C7-'Balance Sheet'!B7)</f>
        <v>-45</v>
      </c>
      <c r="D6" s="8" t="n">
        <f aca="false">-('Balance Sheet'!D7-'Balance Sheet'!C7)</f>
        <v>-63</v>
      </c>
      <c r="E6" s="8" t="n">
        <f aca="false">-('Balance Sheet'!E7-'Balance Sheet'!D7)</f>
        <v>-51.926</v>
      </c>
      <c r="F6" s="8" t="n">
        <f aca="false">-('Balance Sheet'!F7-'Balance Sheet'!E7)</f>
        <v>-56.2315</v>
      </c>
      <c r="G6" s="8" t="n">
        <f aca="false">-('Balance Sheet'!G7-'Balance Sheet'!F7)</f>
        <v>-56.2315</v>
      </c>
      <c r="H6" s="8" t="n">
        <f aca="false">-('Balance Sheet'!H7-'Balance Sheet'!G7)</f>
        <v>-57.35613</v>
      </c>
      <c r="I6" s="8" t="n">
        <f aca="false">-('Balance Sheet'!I7-'Balance Sheet'!H7)</f>
        <v>-59.2117694999999</v>
      </c>
    </row>
    <row r="7" customFormat="false" ht="15" hidden="false" customHeight="false" outlineLevel="0" collapsed="false">
      <c r="A7" s="0" t="s">
        <v>84</v>
      </c>
      <c r="B7" s="12" t="n">
        <f aca="false">B4+B5+B6</f>
        <v>1275</v>
      </c>
      <c r="C7" s="12" t="n">
        <f aca="false">C4+C5+C6</f>
        <v>2612</v>
      </c>
      <c r="D7" s="12" t="n">
        <f aca="false">D4+D5+D6</f>
        <v>4735</v>
      </c>
      <c r="E7" s="12" t="n">
        <f aca="false">E4+E5+E6</f>
        <v>5777.94832</v>
      </c>
      <c r="F7" s="12" t="n">
        <f aca="false">F4+F5+F6</f>
        <v>6892.133125</v>
      </c>
      <c r="G7" s="12" t="n">
        <f aca="false">G4+G5+G6</f>
        <v>7983.81212</v>
      </c>
      <c r="H7" s="12" t="n">
        <f aca="false">H4+H5+H6</f>
        <v>9068.8332073</v>
      </c>
      <c r="I7" s="12" t="n">
        <f aca="false">I4+I5+I6</f>
        <v>10158.60691558</v>
      </c>
    </row>
    <row r="8" customFormat="false" ht="15" hidden="false" customHeight="false" outlineLevel="0" collapsed="false">
      <c r="A8" s="0" t="s">
        <v>49</v>
      </c>
      <c r="B8" s="6" t="n">
        <v>-450</v>
      </c>
      <c r="C8" s="6" t="n">
        <v>-620</v>
      </c>
      <c r="D8" s="6" t="n">
        <v>-820</v>
      </c>
      <c r="E8" s="8" t="n">
        <f aca="false">-Assumptions!E26</f>
        <v>-900</v>
      </c>
      <c r="F8" s="8" t="n">
        <f aca="false">-Assumptions!F26</f>
        <v>-1050</v>
      </c>
      <c r="G8" s="8" t="n">
        <f aca="false">-Assumptions!G26</f>
        <v>-1200</v>
      </c>
      <c r="H8" s="8" t="n">
        <f aca="false">-Assumptions!H26</f>
        <v>-1350</v>
      </c>
      <c r="I8" s="8" t="n">
        <f aca="false">-Assumptions!I26</f>
        <v>-1500</v>
      </c>
    </row>
    <row r="9" customFormat="false" ht="15" hidden="false" customHeight="false" outlineLevel="0" collapsed="false">
      <c r="A9" s="0" t="s">
        <v>85</v>
      </c>
      <c r="B9" s="12" t="n">
        <f aca="false">B8</f>
        <v>-450</v>
      </c>
      <c r="C9" s="12" t="n">
        <f aca="false">C8</f>
        <v>-620</v>
      </c>
      <c r="D9" s="12" t="n">
        <f aca="false">D8</f>
        <v>-820</v>
      </c>
      <c r="E9" s="12" t="n">
        <f aca="false">E8</f>
        <v>-900</v>
      </c>
      <c r="F9" s="12" t="n">
        <f aca="false">F8</f>
        <v>-1050</v>
      </c>
      <c r="G9" s="12" t="n">
        <f aca="false">G8</f>
        <v>-1200</v>
      </c>
      <c r="H9" s="12" t="n">
        <f aca="false">H8</f>
        <v>-1350</v>
      </c>
      <c r="I9" s="12" t="n">
        <f aca="false">I8</f>
        <v>-1500</v>
      </c>
    </row>
    <row r="10" customFormat="false" ht="15" hidden="false" customHeight="false" outlineLevel="0" collapsed="false">
      <c r="A10" s="0" t="s">
        <v>86</v>
      </c>
      <c r="B10" s="12" t="n">
        <f aca="false">B7+B9</f>
        <v>825</v>
      </c>
      <c r="C10" s="12" t="n">
        <f aca="false">C7+C9</f>
        <v>1992</v>
      </c>
      <c r="D10" s="12" t="n">
        <f aca="false">D7+D9</f>
        <v>3915</v>
      </c>
      <c r="E10" s="12" t="n">
        <f aca="false">E7+E9</f>
        <v>4877.94832</v>
      </c>
      <c r="F10" s="12" t="n">
        <f aca="false">F7+F9</f>
        <v>5842.133125</v>
      </c>
      <c r="G10" s="12" t="n">
        <f aca="false">G7+G9</f>
        <v>6783.81212</v>
      </c>
      <c r="H10" s="12" t="n">
        <f aca="false">H7+H9</f>
        <v>7718.8332073</v>
      </c>
      <c r="I10" s="12" t="n">
        <f aca="false">I7+I9</f>
        <v>8658.60691558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6.1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15" hidden="false" customHeight="false" outlineLevel="0" collapsed="false">
      <c r="B3" s="14" t="s">
        <v>62</v>
      </c>
      <c r="C3" s="14" t="s">
        <v>63</v>
      </c>
      <c r="D3" s="14" t="s">
        <v>64</v>
      </c>
      <c r="E3" s="14" t="s">
        <v>22</v>
      </c>
      <c r="F3" s="14" t="s">
        <v>23</v>
      </c>
      <c r="G3" s="14" t="s">
        <v>24</v>
      </c>
      <c r="H3" s="14" t="s">
        <v>25</v>
      </c>
      <c r="I3" s="14" t="s">
        <v>26</v>
      </c>
    </row>
    <row r="4" customFormat="false" ht="15" hidden="false" customHeight="false" outlineLevel="0" collapsed="false">
      <c r="A4" s="0" t="s">
        <v>65</v>
      </c>
      <c r="B4" s="8" t="n">
        <f aca="false">'Income Statement'!B4</f>
        <v>3271</v>
      </c>
      <c r="C4" s="8" t="n">
        <f aca="false">'Income Statement'!C4</f>
        <v>5511</v>
      </c>
      <c r="D4" s="8" t="n">
        <f aca="false">'Income Statement'!D4</f>
        <v>8651</v>
      </c>
      <c r="E4" s="8" t="n">
        <f aca="false">'Income Statement'!E4</f>
        <v>11246.3</v>
      </c>
      <c r="F4" s="8" t="n">
        <f aca="false">'Income Statement'!F4</f>
        <v>14057.875</v>
      </c>
      <c r="G4" s="8" t="n">
        <f aca="false">'Income Statement'!G4</f>
        <v>16869.45</v>
      </c>
      <c r="H4" s="8" t="n">
        <f aca="false">'Income Statement'!H4</f>
        <v>19737.2565</v>
      </c>
      <c r="I4" s="8" t="n">
        <f aca="false">'Income Statement'!I4</f>
        <v>22697.844975</v>
      </c>
    </row>
    <row r="5" customFormat="false" ht="15" hidden="false" customHeight="false" outlineLevel="0" collapsed="false">
      <c r="A5" s="0" t="s">
        <v>89</v>
      </c>
      <c r="B5" s="8" t="n">
        <f aca="false">'Income Statement'!B6</f>
        <v>1318</v>
      </c>
      <c r="C5" s="8" t="n">
        <f aca="false">'Income Statement'!C6</f>
        <v>2747</v>
      </c>
      <c r="D5" s="8" t="n">
        <f aca="false">'Income Statement'!D6</f>
        <v>4968</v>
      </c>
      <c r="E5" s="8" t="n">
        <f aca="false">'Income Statement'!E6</f>
        <v>6297.928</v>
      </c>
      <c r="F5" s="8" t="n">
        <f aca="false">'Income Statement'!F6</f>
        <v>7731.83125</v>
      </c>
      <c r="G5" s="8" t="n">
        <f aca="false">'Income Statement'!G6</f>
        <v>9109.503</v>
      </c>
      <c r="H5" s="8" t="n">
        <f aca="false">'Income Statement'!H6</f>
        <v>10460.745945</v>
      </c>
      <c r="I5" s="8" t="n">
        <f aca="false">'Income Statement'!I6</f>
        <v>11802.879387</v>
      </c>
    </row>
    <row r="6" customFormat="false" ht="15" hidden="false" customHeight="false" outlineLevel="0" collapsed="false">
      <c r="A6" s="0" t="s">
        <v>90</v>
      </c>
      <c r="B6" s="8" t="n">
        <f aca="false">'Income Statement'!B12</f>
        <v>715</v>
      </c>
      <c r="C6" s="8" t="n">
        <f aca="false">'Income Statement'!C12</f>
        <v>1607</v>
      </c>
      <c r="D6" s="8" t="n">
        <f aca="false">'Income Statement'!D12</f>
        <v>2889</v>
      </c>
      <c r="E6" s="8" t="n">
        <f aca="false">'Income Statement'!E12</f>
        <v>3580.61432</v>
      </c>
      <c r="F6" s="8" t="n">
        <f aca="false">'Income Statement'!F12</f>
        <v>4136.789625</v>
      </c>
      <c r="G6" s="8" t="n">
        <f aca="false">'Income Statement'!G12</f>
        <v>4666.15362</v>
      </c>
      <c r="H6" s="8" t="n">
        <f aca="false">'Income Statement'!H12</f>
        <v>5178.7380373</v>
      </c>
      <c r="I6" s="8" t="n">
        <f aca="false">'Income Statement'!I12</f>
        <v>5678.24969008</v>
      </c>
    </row>
    <row r="7" customFormat="false" ht="15" hidden="false" customHeight="false" outlineLevel="0" collapsed="false">
      <c r="A7" s="0" t="s">
        <v>91</v>
      </c>
      <c r="B7" s="8" t="n">
        <f aca="false">'Balance Sheet'!B4</f>
        <v>2500</v>
      </c>
      <c r="C7" s="8" t="n">
        <f aca="false">'Balance Sheet'!C4</f>
        <v>4200</v>
      </c>
      <c r="D7" s="8" t="n">
        <f aca="false">'Balance Sheet'!D4</f>
        <v>6500</v>
      </c>
      <c r="E7" s="8" t="n">
        <f aca="false">'Balance Sheet'!E4</f>
        <v>11377.94832</v>
      </c>
      <c r="F7" s="8" t="n">
        <f aca="false">'Balance Sheet'!F4</f>
        <v>17220.081445</v>
      </c>
      <c r="G7" s="8" t="n">
        <f aca="false">'Balance Sheet'!G4</f>
        <v>24003.893565</v>
      </c>
      <c r="H7" s="8" t="n">
        <f aca="false">'Balance Sheet'!H4</f>
        <v>31722.7267723</v>
      </c>
      <c r="I7" s="8" t="n">
        <f aca="false">'Balance Sheet'!I4</f>
        <v>40381.33368788</v>
      </c>
    </row>
    <row r="8" customFormat="false" ht="15" hidden="false" customHeight="false" outlineLevel="0" collapsed="false">
      <c r="A8" s="0" t="s">
        <v>92</v>
      </c>
      <c r="B8" s="8" t="n">
        <f aca="false">'Balance Sheet'!B8</f>
        <v>2400</v>
      </c>
      <c r="C8" s="8" t="n">
        <f aca="false">'Balance Sheet'!C8</f>
        <v>3900</v>
      </c>
      <c r="D8" s="8" t="n">
        <f aca="false">'Balance Sheet'!D8</f>
        <v>5650</v>
      </c>
      <c r="E8" s="8" t="n">
        <f aca="false">'Balance Sheet'!E8</f>
        <v>9230.61432</v>
      </c>
      <c r="F8" s="8" t="n">
        <f aca="false">'Balance Sheet'!F8</f>
        <v>13367.403945</v>
      </c>
      <c r="G8" s="8" t="n">
        <f aca="false">'Balance Sheet'!G8</f>
        <v>18033.557565</v>
      </c>
      <c r="H8" s="8" t="n">
        <f aca="false">'Balance Sheet'!H8</f>
        <v>23212.2956023</v>
      </c>
      <c r="I8" s="8" t="n">
        <f aca="false">'Balance Sheet'!I8</f>
        <v>28890.54529238</v>
      </c>
    </row>
    <row r="9" customFormat="false" ht="15" hidden="false" customHeight="false" outlineLevel="0" collapsed="false">
      <c r="A9" s="0" t="s">
        <v>84</v>
      </c>
      <c r="B9" s="8" t="n">
        <f aca="false">'Cash Flow'!B7</f>
        <v>1275</v>
      </c>
      <c r="C9" s="8" t="n">
        <f aca="false">'Cash Flow'!C7</f>
        <v>2612</v>
      </c>
      <c r="D9" s="8" t="n">
        <f aca="false">'Cash Flow'!D7</f>
        <v>4735</v>
      </c>
      <c r="E9" s="8" t="n">
        <f aca="false">'Cash Flow'!E7</f>
        <v>5777.94832</v>
      </c>
      <c r="F9" s="8" t="n">
        <f aca="false">'Cash Flow'!F7</f>
        <v>6892.133125</v>
      </c>
      <c r="G9" s="8" t="n">
        <f aca="false">'Cash Flow'!G7</f>
        <v>7983.81212</v>
      </c>
      <c r="H9" s="8" t="n">
        <f aca="false">'Cash Flow'!H7</f>
        <v>9068.8332073</v>
      </c>
      <c r="I9" s="8" t="n">
        <f aca="false">'Cash Flow'!I7</f>
        <v>10158.60691558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3" customFormat="false" ht="15" hidden="false" customHeight="false" outlineLevel="0" collapsed="false">
      <c r="A3" s="4" t="s">
        <v>95</v>
      </c>
      <c r="B3" s="4" t="s">
        <v>96</v>
      </c>
      <c r="C3" s="4" t="s">
        <v>97</v>
      </c>
      <c r="D3" s="4" t="s">
        <v>98</v>
      </c>
      <c r="E3" s="4" t="s">
        <v>99</v>
      </c>
      <c r="F3" s="4" t="s">
        <v>100</v>
      </c>
    </row>
    <row r="4" customFormat="false" ht="15" hidden="false" customHeight="false" outlineLevel="0" collapsed="false">
      <c r="A4" s="0" t="s">
        <v>101</v>
      </c>
      <c r="B4" s="3" t="n">
        <f aca="false">Assumptions!$B$4*0.87</f>
        <v>16.008</v>
      </c>
      <c r="C4" s="3" t="n">
        <f aca="false">Assumptions!$B$4*0.95</f>
        <v>17.48</v>
      </c>
      <c r="D4" s="3" t="n">
        <f aca="false">Assumptions!$B$4*1</f>
        <v>18.4</v>
      </c>
      <c r="E4" s="3" t="n">
        <f aca="false">Assumptions!$B$4*1.06</f>
        <v>19.504</v>
      </c>
      <c r="F4" s="3" t="n">
        <f aca="false">Assumptions!$B$4*1.16</f>
        <v>21.344</v>
      </c>
    </row>
    <row r="5" customFormat="false" ht="15" hidden="false" customHeight="false" outlineLevel="0" collapsed="false">
      <c r="A5" s="0" t="s">
        <v>102</v>
      </c>
      <c r="B5" s="3" t="n">
        <f aca="false">Assumptions!$B$4*0.77</f>
        <v>14.168</v>
      </c>
      <c r="C5" s="3" t="n">
        <f aca="false">Assumptions!$B$4*0.9</f>
        <v>16.56</v>
      </c>
      <c r="D5" s="3" t="n">
        <f aca="false">Assumptions!$B$4*1</f>
        <v>18.4</v>
      </c>
      <c r="E5" s="3" t="n">
        <f aca="false">Assumptions!$B$4*1.11</f>
        <v>20.424</v>
      </c>
      <c r="F5" s="3" t="n">
        <f aca="false">Assumptions!$B$4*1.31</f>
        <v>24.104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3" customFormat="false" ht="15" hidden="false" customHeight="false" outlineLevel="0" collapsed="false">
      <c r="A3" s="4" t="s">
        <v>105</v>
      </c>
      <c r="B3" s="4" t="s">
        <v>106</v>
      </c>
      <c r="C3" s="4" t="s">
        <v>107</v>
      </c>
      <c r="D3" s="4" t="s">
        <v>108</v>
      </c>
    </row>
    <row r="4" customFormat="false" ht="15" hidden="false" customHeight="false" outlineLevel="0" collapsed="false">
      <c r="A4" s="4" t="s">
        <v>109</v>
      </c>
      <c r="B4" s="16" t="n">
        <f aca="false">DCF!$B$19*(1+(-0.02--0.02)*2.5)</f>
        <v>11.4826015833643</v>
      </c>
      <c r="C4" s="16" t="n">
        <f aca="false">DCF!$B$19*(1+(0--0.02)*2.5)</f>
        <v>12.0567316625325</v>
      </c>
      <c r="D4" s="16" t="n">
        <f aca="false">DCF!$B$19*(1+(0.02--0.02)*2.5)</f>
        <v>12.6308617417007</v>
      </c>
    </row>
    <row r="5" customFormat="false" ht="15" hidden="false" customHeight="false" outlineLevel="0" collapsed="false">
      <c r="A5" s="4" t="s">
        <v>110</v>
      </c>
      <c r="B5" s="16" t="n">
        <f aca="false">DCF!$B$19*(1+(-0.02-0)*2.5)</f>
        <v>10.9084715041961</v>
      </c>
      <c r="C5" s="16" t="n">
        <f aca="false">DCF!$B$19*(1+(0-0)*2.5)</f>
        <v>11.4826015833643</v>
      </c>
      <c r="D5" s="16" t="n">
        <f aca="false">DCF!$B$19*(1+(0.02-0)*2.5)</f>
        <v>12.0567316625325</v>
      </c>
    </row>
    <row r="6" customFormat="false" ht="15" hidden="false" customHeight="false" outlineLevel="0" collapsed="false">
      <c r="A6" s="4" t="s">
        <v>111</v>
      </c>
      <c r="B6" s="16" t="n">
        <f aca="false">DCF!$B$19*(1+(-0.02-0.02)*2.5)</f>
        <v>10.3343414250279</v>
      </c>
      <c r="C6" s="16" t="n">
        <f aca="false">DCF!$B$19*(1+(0-0.02)*2.5)</f>
        <v>10.9084715041961</v>
      </c>
      <c r="D6" s="16" t="n">
        <f aca="false">DCF!$B$19*(1+(0.02-0.02)*2.5)</f>
        <v>11.4826015833643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6.15" hidden="false" customHeight="false" outlineLevel="0" collapsed="false">
      <c r="A1" s="1" t="s">
        <v>112</v>
      </c>
    </row>
    <row r="3" customFormat="false" ht="15" hidden="false" customHeight="false" outlineLevel="0" collapsed="false">
      <c r="A3" s="0" t="s">
        <v>3</v>
      </c>
      <c r="B3" s="16" t="n">
        <f aca="false">Assumptions!$B$4</f>
        <v>18.4</v>
      </c>
    </row>
    <row r="4" customFormat="false" ht="15" hidden="false" customHeight="false" outlineLevel="0" collapsed="false">
      <c r="A4" s="0" t="s">
        <v>113</v>
      </c>
      <c r="B4" s="16" t="n">
        <f aca="false">'Income Statement'!E12/Assumptions!$B$5</f>
        <v>0.916930683738797</v>
      </c>
    </row>
    <row r="5" customFormat="false" ht="15" hidden="false" customHeight="false" outlineLevel="0" collapsed="false">
      <c r="A5" s="0" t="s">
        <v>114</v>
      </c>
      <c r="B5" s="17" t="n">
        <f aca="false">B3/B4</f>
        <v>20.0669476180836</v>
      </c>
    </row>
    <row r="6" customFormat="false" ht="15" hidden="false" customHeight="false" outlineLevel="0" collapsed="false">
      <c r="A6" s="0" t="s">
        <v>4</v>
      </c>
      <c r="B6" s="16" t="n">
        <f aca="false">DCF!B19</f>
        <v>11.4826015833643</v>
      </c>
    </row>
    <row r="7" customFormat="false" ht="15" hidden="false" customHeight="false" outlineLevel="0" collapsed="false">
      <c r="A7" s="0" t="s">
        <v>5</v>
      </c>
      <c r="B7" s="16" t="n">
        <f aca="false">SOTP!B11</f>
        <v>16.3892445582586</v>
      </c>
    </row>
    <row r="8" customFormat="false" ht="15" hidden="false" customHeight="false" outlineLevel="0" collapsed="false">
      <c r="A8" s="0" t="s">
        <v>115</v>
      </c>
      <c r="B8" s="18" t="n">
        <f aca="false">B6/B3-1</f>
        <v>-0.375945566121506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2026-07-02T13:30:38Z</dcterms:created>
  <dc:creator>openpyxl</dc:creator>
  <dc:description/>
  <dc:language>en-US</dc:language>
  <cp:lastModifiedBy/>
  <dcterms:modified xsi:type="dcterms:W3CDTF">2026-07-02T13:30:38Z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