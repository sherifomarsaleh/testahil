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Assumptions" sheetId="3" state="visible" r:id="rId5"/>
    <sheet name="Driver Build" sheetId="4" state="visible" r:id="rId6"/>
    <sheet name="DDM" sheetId="5" state="visible" r:id="rId7"/>
    <sheet name="FCFE" sheetId="6" state="visible" r:id="rId8"/>
    <sheet name="Residual Income" sheetId="7" state="visible" r:id="rId9"/>
    <sheet name="Relative &amp; Normalized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Monte Carlo" sheetId="12" state="visible" r:id="rId14"/>
    <sheet name="Sensitivity" sheetId="13" state="visible" r:id="rId15"/>
    <sheet name="Per-Share &amp; Ratios" sheetId="14" state="visible" r:id="rId16"/>
    <sheet name="Peer &amp; Sector" sheetId="15" state="visible" r:id="rId17"/>
    <sheet name="Earnings Drivers" sheetId="16" state="visible" r:id="rId18"/>
    <sheet name="Summary Financial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<sst xmlns="http://schemas.openxmlformats.org/spreadsheetml/2006/main" count="440" uniqueCount="288">
  <si>
    <t xml:space="preserve">Riyad Bank (Tadawul: 1010) — Valuation Model</t>
  </si>
  <si>
    <t xml:space="preserve">Testahil · Independent Valuation Study — Educational Analysis · Not investment advice</t>
  </si>
  <si>
    <t xml:space="preserve">This workbook is the companion model to the RIBL valuation study (edition 09-07-2026).</t>
  </si>
  <si>
    <t xml:space="preserve">Blue cells = inputs you can change (all on the Assumptions sheet). Black = formulas. Green = links across sheets.</t>
  </si>
  <si>
    <t xml:space="preserve">Reading order: Assumptions → Driver Build → the five valuation lenses (DDM, FCFE, Residual Income,</t>
  </si>
  <si>
    <t xml:space="preserve">Relative &amp; Normalized) → Summary. Financial statements (IS/BS/CF) and Monte Carlo sit behind.</t>
  </si>
  <si>
    <t xml:space="preserve">Read: moderately undervalued (~SAR 26.6 vs spot SAR 20.23, ~+32%), conditional on RIBL</t>
  </si>
  <si>
    <t xml:space="preserve">defending a mid-teens ROE. Cost of equity is built bottom-up on the local SAR curve (no USD shortcut).</t>
  </si>
  <si>
    <t xml:space="preserve">Every valuation output on every sheet traces to the single blue-cell Assumptions layer — change an</t>
  </si>
  <si>
    <t xml:space="preserve">assumption once and the whole model re-prices. Monte Carlo percentiles are simulation outputs (flagged).</t>
  </si>
  <si>
    <t xml:space="preserve">Some balance-sheet sub-lines are estimated to disclosed totals (Tier-1 sukuk, common-equity split, RWA proxy).</t>
  </si>
  <si>
    <t xml:space="preserve">Valuation summary — every lens</t>
  </si>
  <si>
    <t xml:space="preserve">Lens</t>
  </si>
  <si>
    <t xml:space="preserve">Fair value (SAR)</t>
  </si>
  <si>
    <t xml:space="preserve">Weight</t>
  </si>
  <si>
    <t xml:space="preserve">Note</t>
  </si>
  <si>
    <t xml:space="preserve">DDM</t>
  </si>
  <si>
    <t xml:space="preserve">Cash actually distributed</t>
  </si>
  <si>
    <t xml:space="preserve">Residual income</t>
  </si>
  <si>
    <t xml:space="preserve">Excess return over Ke</t>
  </si>
  <si>
    <t xml:space="preserve">FCFE (equity DCF)</t>
  </si>
  <si>
    <t xml:space="preserve">Distributable capital</t>
  </si>
  <si>
    <t xml:space="preserve">Relative multiples</t>
  </si>
  <si>
    <t xml:space="preserve">Peer P/B &amp; fwd P/E</t>
  </si>
  <si>
    <t xml:space="preserve">Normalized earnings power</t>
  </si>
  <si>
    <t xml:space="preserve">Through-cycle floor</t>
  </si>
  <si>
    <t xml:space="preserve">Weighted central</t>
  </si>
  <si>
    <t xml:space="preserve">Spot</t>
  </si>
  <si>
    <t xml:space="preserve">Upside vs spot</t>
  </si>
  <si>
    <t xml:space="preserve">P/B (spot)</t>
  </si>
  <si>
    <t xml:space="preserve">Dividend yield (spot)</t>
  </si>
  <si>
    <t xml:space="preserve">Sell-side consensus PT (cross-check)</t>
  </si>
  <si>
    <t xml:space="preserve">Assumptions — the single blue-cell input layer</t>
  </si>
  <si>
    <t xml:space="preserve">Assumption</t>
  </si>
  <si>
    <t xml:space="preserve">Value</t>
  </si>
  <si>
    <t xml:space="preserve">Unit</t>
  </si>
  <si>
    <t xml:space="preserve">Basis</t>
  </si>
  <si>
    <t xml:space="preserve">Spot price</t>
  </si>
  <si>
    <t xml:space="preserve">SAR</t>
  </si>
  <si>
    <t xml:space="preserve">07 Jul 2026 close</t>
  </si>
  <si>
    <t xml:space="preserve">Shares outstanding (post-bonus)</t>
  </si>
  <si>
    <t xml:space="preserve">mn</t>
  </si>
  <si>
    <t xml:space="preserve">1-for-3 bonus Q2-2026</t>
  </si>
  <si>
    <t xml:space="preserve">Tier-1 sukuk</t>
  </si>
  <si>
    <t xml:space="preserve">SAR mn</t>
  </si>
  <si>
    <t xml:space="preserve">estimated</t>
  </si>
  <si>
    <t xml:space="preserve">Tier-1 sukuk coupon</t>
  </si>
  <si>
    <t xml:space="preserve">Risk-free rate (SAR 10Y sukuk)</t>
  </si>
  <si>
    <t xml:space="preserve">%</t>
  </si>
  <si>
    <t xml:space="preserve">same-week Saudi anchor</t>
  </si>
  <si>
    <t xml:space="preserve">Equity risk premium (Saudi)</t>
  </si>
  <si>
    <t xml:space="preserve">Damodaran Jan-2026</t>
  </si>
  <si>
    <t xml:space="preserve">Beta</t>
  </si>
  <si>
    <t xml:space="preserve">x</t>
  </si>
  <si>
    <t xml:space="preserve">assumed (no TASI regression)</t>
  </si>
  <si>
    <t xml:space="preserve">Terminal growth g</t>
  </si>
  <si>
    <t xml:space="preserve">Saudi nominal GDP proxy</t>
  </si>
  <si>
    <t xml:space="preserve">FY25 net income (base)</t>
  </si>
  <si>
    <t xml:space="preserve">disclosed</t>
  </si>
  <si>
    <t xml:space="preserve">NI growth FY26E</t>
  </si>
  <si>
    <t xml:space="preserve">house view</t>
  </si>
  <si>
    <t xml:space="preserve">NI growth FY27E</t>
  </si>
  <si>
    <t xml:space="preserve">NI growth FY28E</t>
  </si>
  <si>
    <t xml:space="preserve">NI growth FY29E</t>
  </si>
  <si>
    <t xml:space="preserve">NI growth FY30E</t>
  </si>
  <si>
    <t xml:space="preserve">Payout ratio FY26E</t>
  </si>
  <si>
    <t xml:space="preserve">rising post-bonus</t>
  </si>
  <si>
    <t xml:space="preserve">Payout ratio FY27E</t>
  </si>
  <si>
    <t xml:space="preserve">Payout ratio FY28E</t>
  </si>
  <si>
    <t xml:space="preserve">Payout ratio FY29E</t>
  </si>
  <si>
    <t xml:space="preserve">Payout ratio FY30E</t>
  </si>
  <si>
    <t xml:space="preserve">NIM FY26E</t>
  </si>
  <si>
    <t xml:space="preserve">house glide</t>
  </si>
  <si>
    <t xml:space="preserve">NIM FY27E</t>
  </si>
  <si>
    <t xml:space="preserve">NIM FY28E</t>
  </si>
  <si>
    <t xml:space="preserve">NIM FY29E</t>
  </si>
  <si>
    <t xml:space="preserve">NIM FY30E</t>
  </si>
  <si>
    <t xml:space="preserve">RWA ratio (% of assets)</t>
  </si>
  <si>
    <t xml:space="preserve">proxy</t>
  </si>
  <si>
    <t xml:space="preserve">CET1 target (common eq/RWA)</t>
  </si>
  <si>
    <t xml:space="preserve">capital rule</t>
  </si>
  <si>
    <t xml:space="preserve">Through-cycle ROE (RI lens)</t>
  </si>
  <si>
    <t xml:space="preserve">below FY25 16%</t>
  </si>
  <si>
    <t xml:space="preserve">Normalized ROE (floor)</t>
  </si>
  <si>
    <t xml:space="preserve">through-cycle</t>
  </si>
  <si>
    <t xml:space="preserve">Normalized P/E</t>
  </si>
  <si>
    <t xml:space="preserve">sober multiple</t>
  </si>
  <si>
    <t xml:space="preserve">Sector P/B</t>
  </si>
  <si>
    <t xml:space="preserve">peer avg</t>
  </si>
  <si>
    <t xml:space="preserve">Forward P/E (relative)</t>
  </si>
  <si>
    <t xml:space="preserve">BVPS FY25 (common)</t>
  </si>
  <si>
    <t xml:space="preserve">common eq / shares</t>
  </si>
  <si>
    <t xml:space="preserve">FY25 loans</t>
  </si>
  <si>
    <t xml:space="preserve">FY25 total assets</t>
  </si>
  <si>
    <t xml:space="preserve">Loan growth FY26E</t>
  </si>
  <si>
    <t xml:space="preserve">Loan growth FY27E</t>
  </si>
  <si>
    <t xml:space="preserve">Loan growth FY28E</t>
  </si>
  <si>
    <t xml:space="preserve">Loan growth FY29E</t>
  </si>
  <si>
    <t xml:space="preserve">Loan growth FY30E</t>
  </si>
  <si>
    <t xml:space="preserve">Weight — DDM</t>
  </si>
  <si>
    <t xml:space="preserve">synthesis</t>
  </si>
  <si>
    <t xml:space="preserve">Weight — Residual income</t>
  </si>
  <si>
    <t xml:space="preserve">Weight — FCFE (equity DCF)</t>
  </si>
  <si>
    <t xml:space="preserve">Weight — Relative multiples</t>
  </si>
  <si>
    <t xml:space="preserve">Weight — Normalized earnings po</t>
  </si>
  <si>
    <t xml:space="preserve">Bank driver build — NIM, DuPont, capital</t>
  </si>
  <si>
    <t xml:space="preserve">Driver</t>
  </si>
  <si>
    <t xml:space="preserve">FY23</t>
  </si>
  <si>
    <t xml:space="preserve">FY24</t>
  </si>
  <si>
    <t xml:space="preserve">FY25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</si>
  <si>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</si>
  <si>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</si>
  <si>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</si>
  <si>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</si>
  <si>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</si>
  <si>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Net income (SAR mn)</t>
  </si>
  <si>
    <t xml:space="preserve">NIM (%)</t>
  </si>
  <si>
    <t xml:space="preserve">Cost-to-income (%)</t>
  </si>
  <si>
    <t xml:space="preserve">Cost of risk (bps)</t>
  </si>
  <si>
    <t xml:space="preserve">Loans (SAR mn)</t>
  </si>
  <si>
    <t xml:space="preserve">Total assets (SAR mn)</t>
  </si>
  <si>
    <t xml:space="preserve">RWA (SAR mn)</t>
  </si>
  <si>
    <t xml:space="preserve">Common equity (SAR mn)</t>
  </si>
  <si>
    <t xml:space="preserve">Dividends paid (SAR mn)</t>
  </si>
  <si>
    <t xml:space="preserve">ROAE (%)</t>
  </si>
  <si>
    <t xml:space="preserve">Common equity / RWA (%)</t>
  </si>
  <si>
    <t xml:space="preserve">Historical NI/NIM/CIR/CoR/loans/assets/equity disclosed or estimated to totals (blue). Forward = formulas off Assumptions.</t>
  </si>
  <si>
    <t xml:space="preserve">Dividend discount model — primary lens</t>
  </si>
  <si>
    <t xml:space="preserve">DDM build</t>
  </si>
  <si>
    <t xml:space="preserve">EPS (SAR)</t>
  </si>
  <si>
    <t xml:space="preserve">Payout ratio</t>
  </si>
  <si>
    <t xml:space="preserve">DPS (SAR)</t>
  </si>
  <si>
    <t xml:space="preserve">Discount factor @ Ke</t>
  </si>
  <si>
    <t xml:space="preserve">PV of DPS</t>
  </si>
  <si>
    <t xml:space="preserve">Σ PV explicit dividends</t>
  </si>
  <si>
    <t xml:space="preserve">Ke = rf + beta*ERP</t>
  </si>
  <si>
    <t xml:space="preserve">Terminal DPS (FY31)</t>
  </si>
  <si>
    <t xml:space="preserve">Terminal value</t>
  </si>
  <si>
    <t xml:space="preserve">PV terminal value</t>
  </si>
  <si>
    <t xml:space="preserve">DDM fair value (SAR)</t>
  </si>
  <si>
    <t xml:space="preserve">TV as % of value</t>
  </si>
  <si>
    <t xml:space="preserve">Equity DCF — free cash flow to equity</t>
  </si>
  <si>
    <t xml:space="preserve">FCFE build (SAR mn)</t>
  </si>
  <si>
    <t xml:space="preserve">Net income</t>
  </si>
  <si>
    <t xml:space="preserve">ΔRWA</t>
  </si>
  <si>
    <t xml:space="preserve">− capital retained (ΔRWA×CET1)</t>
  </si>
  <si>
    <t xml:space="preserve">FCFE</t>
  </si>
  <si>
    <t xml:space="preserve">Discount factor</t>
  </si>
  <si>
    <t xml:space="preserve">PV of FCFE</t>
  </si>
  <si>
    <t xml:space="preserve">Σ PV explicit FCFE</t>
  </si>
  <si>
    <t xml:space="preserve">Terminal FCFE (FY31)</t>
  </si>
  <si>
    <t xml:space="preserve">PV terminal FCFE</t>
  </si>
  <si>
    <t xml:space="preserve">Equity value (SAR mn)</t>
  </si>
  <si>
    <t xml:space="preserve">FCFE value / share (SAR)</t>
  </si>
  <si>
    <t xml:space="preserve">Residual income valuation (EFG-style multi-period build)</t>
  </si>
  <si>
    <t xml:space="preserve">Residual income build (SAR mn)</t>
  </si>
  <si>
    <t xml:space="preserve">Opening book value (common eq)</t>
  </si>
  <si>
    <t xml:space="preserve">Net income to common</t>
  </si>
  <si>
    <t xml:space="preserve">− equity charge (Ke × opening BV)</t>
  </si>
  <si>
    <t xml:space="preserve">PV of residual income</t>
  </si>
  <si>
    <t xml:space="preserve">Book value FY25 (B0)</t>
  </si>
  <si>
    <t xml:space="preserve">Σ PV explicit RI</t>
  </si>
  <si>
    <t xml:space="preserve">Terminal RI (FY31)</t>
  </si>
  <si>
    <t xml:space="preserve">Equity value</t>
  </si>
  <si>
    <t xml:space="preserve">RI value / share (SAR)</t>
  </si>
  <si>
    <t xml:space="preserve">Implied exit P/B on FY25 book</t>
  </si>
  <si>
    <t xml:space="preserve">Justified P/B cross-check (through-cycle)</t>
  </si>
  <si>
    <t xml:space="preserve">Through-cycle ROE</t>
  </si>
  <si>
    <t xml:space="preserve">Cost of equity Ke</t>
  </si>
  <si>
    <t xml:space="preserve">Justified P/B = (ROE−g)/(Ke−g)</t>
  </si>
  <si>
    <t xml:space="preserve">Justified fair value (SAR)</t>
  </si>
  <si>
    <t xml:space="preserve">Multi-period build feeds the Summary; the through-cycle justified P/B is Expert 1's more conservative reading.</t>
  </si>
  <si>
    <t xml:space="preserve">Relative multiples &amp; normalized earnings floor</t>
  </si>
  <si>
    <t xml:space="preserve">Item</t>
  </si>
  <si>
    <t xml:space="preserve">BVPS FY25</t>
  </si>
  <si>
    <t xml:space="preserve">P/B fair value</t>
  </si>
  <si>
    <t xml:space="preserve">Forward P/E</t>
  </si>
  <si>
    <t xml:space="preserve">FY26E EPS</t>
  </si>
  <si>
    <t xml:space="preserve">P/E fair value</t>
  </si>
  <si>
    <t xml:space="preserve">Relative blend (SAR)</t>
  </si>
  <si>
    <t xml:space="preserve">Normalized ROE</t>
  </si>
  <si>
    <t xml:space="preserve">Normalized EPS = ROE×BVPS</t>
  </si>
  <si>
    <t xml:space="preserve">Normalized fair value (SAR)</t>
  </si>
  <si>
    <t xml:space="preserve">Income statement — 3yr historical + 5yr forecast (SAR mn)</t>
  </si>
  <si>
    <t xml:space="preserve">Line</t>
  </si>
  <si>
    <t xml:space="preserve">Net special commission income</t>
  </si>
  <si>
    <t xml:space="preserve">Fee &amp; commission income, net</t>
  </si>
  <si>
    <t xml:space="preserve">Trading &amp; other income</t>
  </si>
  <si>
    <t xml:space="preserve">Total operating income</t>
  </si>
  <si>
    <t xml:space="preserve">Net income (disclosed/model)</t>
  </si>
  <si>
    <t xml:space="preserve">EPS (post-bonus, SAR)</t>
  </si>
  <si>
    <t xml:space="preserve">FY23–25 net income disclosed; operating sub-lines estimated to totals (blue). Forecast net income links to Driver Build.</t>
  </si>
  <si>
    <t xml:space="preserve">Balance sheet — 3yr historical + 5yr forecast (SAR mn)</t>
  </si>
  <si>
    <t xml:space="preserve">Loans &amp; advances, net</t>
  </si>
  <si>
    <t xml:space="preserve">Total assets</t>
  </si>
  <si>
    <t xml:space="preserve">Client deposits</t>
  </si>
  <si>
    <t xml:space="preserve">Common equity</t>
  </si>
  <si>
    <t xml:space="preserve">Total equity</t>
  </si>
  <si>
    <t xml:space="preserve">RWA (proxy)</t>
  </si>
  <si>
    <t xml:space="preserve">BVPS (post-bonus, SAR)</t>
  </si>
  <si>
    <t xml:space="preserve">FY23–25 totals disclosed; Tier-1 sukuk &amp; common-equity split estimated; RWA is a 72%-of-assets proxy.</t>
  </si>
  <si>
    <t xml:space="preserve">Cash flow — sources &amp; uses of equity capital (SAR mn)</t>
  </si>
  <si>
    <t xml:space="preserve">− dividends paid</t>
  </si>
  <si>
    <t xml:space="preserve">− capital retained for RWA growth</t>
  </si>
  <si>
    <t xml:space="preserve">Retained surplus (buffer)</t>
  </si>
  <si>
    <t xml:space="preserve">Memo: FCFE</t>
  </si>
  <si>
    <t xml:space="preserve">Monte Carlo — YZ-HAR, 50,000 paths, zero drift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</si>
  <si>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</si>
  <si>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</si>
  <si>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</si>
  <si>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</si>
  <si>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</si>
  <si>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</si>
  <si>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</t>
  </si>
  <si>
    <t xml:space="preserve">T+60</t>
  </si>
  <si>
    <t xml:space="preserve">50% band T+60</t>
  </si>
  <si>
    <t xml:space="preserve">to</t>
  </si>
  <si>
    <t xml:space="preserve">90% band T+60</t>
  </si>
  <si>
    <t xml:space="preserve">Anchor vol (YZ-HAR, ann.)</t>
  </si>
  <si>
    <t xml:space="preserve">Percentiles are simulation outputs (YZ-HAR engine, 50k paths, seed 42), not formulas — flagged per house convention.</t>
  </si>
  <si>
    <t xml:space="preserve">Level</t>
  </si>
  <si>
    <t xml:space="preserve">Touch T+20</t>
  </si>
  <si>
    <t xml:space="preserve">Touch T+60</t>
  </si>
  <si>
    <t xml:space="preserve">DDM fair value — Ke × terminal growth</t>
  </si>
  <si>
    <t xml:space="preserve">Ke \ g</t>
  </si>
  <si>
    <t xml:space="preserve">4.0%</t>
  </si>
  <si>
    <t xml:space="preserve">4.5%</t>
  </si>
  <si>
    <t xml:space="preserve">5.0%</t>
  </si>
  <si>
    <t xml:space="preserve">5.5%</t>
  </si>
  <si>
    <t xml:space="preserve">9.5%</t>
  </si>
  <si>
    <t xml:space="preserve">10.3%</t>
  </si>
  <si>
    <t xml:space="preserve">11.0%</t>
  </si>
  <si>
    <t xml:space="preserve">Centre cell (Ke 10.3%, g 4.5%) = DDM base; blends with 4 other lenses to the weighted central.</t>
  </si>
  <si>
    <t xml:space="preserve">Per-share &amp; ratio summary</t>
  </si>
  <si>
    <t xml:space="preserve">Metric</t>
  </si>
  <si>
    <t xml:space="preserve">BVPS (SAR)</t>
  </si>
  <si>
    <t xml:space="preserve">Payout (%)</t>
  </si>
  <si>
    <t xml:space="preserve">P/E @ spot (x)</t>
  </si>
  <si>
    <t xml:space="preserve">P/B @ spot (x)</t>
  </si>
  <si>
    <t xml:space="preserve">Peer set &amp; sector context</t>
  </si>
  <si>
    <t xml:space="preserve">Bank</t>
  </si>
  <si>
    <t xml:space="preserve">P/B</t>
  </si>
  <si>
    <t xml:space="preserve">P/E</t>
  </si>
  <si>
    <t xml:space="preserve">ROE</t>
  </si>
  <si>
    <t xml:space="preserve">Al Rajhi</t>
  </si>
  <si>
    <t xml:space="preserve">Premium Islamic compounder</t>
  </si>
  <si>
    <t xml:space="preserve">SNB</t>
  </si>
  <si>
    <t xml:space="preserve">Largest by assets, PIF-majority</t>
  </si>
  <si>
    <t xml:space="preserve">Riyad Bank</t>
  </si>
  <si>
    <t xml:space="preserve">This study — cheap for the ROE</t>
  </si>
  <si>
    <t xml:space="preserve">Alinma</t>
  </si>
  <si>
    <t xml:space="preserve">Faster-growing mid-tier</t>
  </si>
  <si>
    <t xml:space="preserve">Banque Saudi Fransi</t>
  </si>
  <si>
    <t xml:space="preserve">Corporate-tilted</t>
  </si>
  <si>
    <t xml:space="preserve">Arab National Bank</t>
  </si>
  <si>
    <t xml:space="preserve">Value end</t>
  </si>
  <si>
    <t xml:space="preserve">Al Bilad</t>
  </si>
  <si>
    <t xml:space="preserve">Retail/Islamic growth</t>
  </si>
  <si>
    <t xml:space="preserve">Saudi Investment Bank</t>
  </si>
  <si>
    <t xml:space="preserve">Deepest discount</t>
  </si>
  <si>
    <t xml:space="preserve">Emirates NBD (UAE)</t>
  </si>
  <si>
    <t xml:space="preserve">GCC reference</t>
  </si>
  <si>
    <t xml:space="preserve">QNB (Qatar)</t>
  </si>
  <si>
    <t xml:space="preserve">Multiples approximate, for context; not independently verified. RIBL screens cheap for its ROE.</t>
  </si>
  <si>
    <t xml:space="preserve">Key earnings drivers (2yr back / 2yr forward)</t>
  </si>
  <si>
    <t xml:space="preserve">FY23 a</t>
  </si>
  <si>
    <t xml:space="preserve">FY24 a</t>
  </si>
  <si>
    <t xml:space="preserve">FY25 a</t>
  </si>
  <si>
    <t xml:space="preserve">FY26 e</t>
  </si>
  <si>
    <t xml:space="preserve">FY27 e</t>
  </si>
  <si>
    <t xml:space="preserve">Loan growth</t>
  </si>
  <si>
    <t xml:space="preserve">n/a</t>
  </si>
  <si>
    <t xml:space="preserve">Deposit growth</t>
  </si>
  <si>
    <t xml:space="preserve">NIM</t>
  </si>
  <si>
    <t xml:space="preserve">Net interest income growth</t>
  </si>
  <si>
    <t xml:space="preserve">Fee income growth</t>
  </si>
  <si>
    <t xml:space="preserve">Revenue growth</t>
  </si>
  <si>
    <t xml:space="preserve">Opex growth</t>
  </si>
  <si>
    <t xml:space="preserve">Cost-to-income</t>
  </si>
  <si>
    <t xml:space="preserve">Earnings growth</t>
  </si>
  <si>
    <t xml:space="preserve">ROAE</t>
  </si>
  <si>
    <t xml:space="preserve">ROAA</t>
  </si>
  <si>
    <t xml:space="preserve">Net profit — reported (SAR mn)</t>
  </si>
  <si>
    <t xml:space="preserve">Net profit — attributable (SAR mn)</t>
  </si>
  <si>
    <t xml:space="preserve">Growth rows link to statements; opex growth &amp; FY24-25 ROAE are estimates (blue). Mirrors the EFG house driver table.</t>
  </si>
  <si>
    <t xml:space="preserve">Summary financials (links to statements)</t>
  </si>
  <si>
    <t xml:space="preserve">Loans</t>
  </si>
  <si>
    <t xml:space="preserve">Deposits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</si>
</sst>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0.00\x"/>
    <numFmt numFmtId="168" formatCode="#,##0"/>
    <numFmt numFmtId="169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C3A36"/>
      <name val="Arial"/>
      <family val="0"/>
      <charset val="1"/>
    </font>
    <font>
      <sz val="10.5"/>
      <color rgb="FF1C3A36"/>
      <name val="Arial"/>
      <family val="0"/>
      <charset val="1"/>
    </font>
    <font>
      <i val="true"/>
      <sz val="10"/>
      <color rgb="FF6E7B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3A36"/>
      <name val="Arial"/>
      <family val="0"/>
      <charset val="1"/>
    </font>
    <font>
      <sz val="10"/>
      <color rgb="FF006400"/>
      <name val="Arial"/>
      <family val="0"/>
      <charset val="1"/>
    </font>
    <font>
      <i val="true"/>
      <sz val="8.5"/>
      <color rgb="FF6E7B77"/>
      <name val="Arial"/>
      <family val="0"/>
      <charset val="1"/>
    </font>
    <font>
      <b val="true"/>
      <sz val="10"/>
      <color rgb="FF1C3A36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F6F1E6"/>
        <bgColor rgb="FFEAF0FF"/>
      </patternFill>
    </fill>
    <fill>
      <patternFill patternType="solid">
        <fgColor rgb="FFEAF0FF"/>
        <bgColor rgb="FFF6F1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D1"/>
      </left>
      <right style="thin">
        <color rgb="FFC9D4D1"/>
      </right>
      <top style="thin">
        <color rgb="FFC9D4D1"/>
      </top>
      <bottom style="thin">
        <color rgb="FFC9D4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F6F1E6"/>
      <rgbColor rgb="FFEAF0FF"/>
      <rgbColor rgb="FF660066"/>
      <rgbColor rgb="FFFF8080"/>
      <rgbColor rgb="FF0066CC"/>
      <rgbColor rgb="FFC9D4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B2" s="3"/>
    </row>
    <row r="3" customFormat="false" ht="15" hidden="false" customHeight="false" outlineLevel="0" collapsed="false">
      <c r="B3" s="4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3" t="s">
        <v>8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40"/>
  </cols>
  <sheetData>
    <row r="1" customFormat="false" ht="16.15" hidden="false" customHeight="false" outlineLevel="0" collapsed="false">
      <c r="A1" s="2" t="s">
        <v>11</v>
      </c>
    </row>
    <row r="3" customFormat="false" ht="15" hidden="false" customHeight="false" outlineLevel="0" collapsed="false">
      <c r="A3" s="5" t="s">
        <v>12</v>
      </c>
      <c r="B3" s="5" t="s">
        <v>13</v>
      </c>
      <c r="C3" s="5" t="s">
        <v>14</v>
      </c>
      <c r="D3" s="5" t="s">
        <v>15</v>
      </c>
    </row>
    <row r="4" customFormat="false" ht="15" hidden="false" customHeight="false" outlineLevel="0" collapsed="false">
      <c r="A4" s="6" t="s">
        <v>16</v>
      </c>
      <c r="B4" s="7" t="n">
        <f aca="false">DDM!$B$15</f>
        <v>23.6121985214017</v>
      </c>
      <c r="C4" s="8" t="n">
        <f aca="false">Assumptions!$B$43</f>
        <v>0.3</v>
      </c>
      <c r="D4" s="9" t="s">
        <v>17</v>
      </c>
    </row>
    <row r="5" customFormat="false" ht="15" hidden="false" customHeight="false" outlineLevel="0" collapsed="false">
      <c r="A5" s="6" t="s">
        <v>18</v>
      </c>
      <c r="B5" s="7" t="n">
        <f aca="false">'Residual Income'!$B$17</f>
        <v>33.2381769606062</v>
      </c>
      <c r="C5" s="8" t="n">
        <f aca="false">Assumptions!$B$44</f>
        <v>0.2</v>
      </c>
      <c r="D5" s="9" t="s">
        <v>19</v>
      </c>
    </row>
    <row r="6" customFormat="false" ht="15" hidden="false" customHeight="false" outlineLevel="0" collapsed="false">
      <c r="A6" s="6" t="s">
        <v>20</v>
      </c>
      <c r="B6" s="7" t="n">
        <f aca="false">FCFE!$B$15</f>
        <v>32.1806201601607</v>
      </c>
      <c r="C6" s="8" t="n">
        <f aca="false">Assumptions!$B$45</f>
        <v>0.15</v>
      </c>
      <c r="D6" s="9" t="s">
        <v>21</v>
      </c>
    </row>
    <row r="7" customFormat="false" ht="15" hidden="false" customHeight="false" outlineLevel="0" collapsed="false">
      <c r="A7" s="6" t="s">
        <v>22</v>
      </c>
      <c r="B7" s="7" t="n">
        <f aca="false">'Relative &amp; Normalized'!$B$10</f>
        <v>24.6224100426279</v>
      </c>
      <c r="C7" s="8" t="n">
        <f aca="false">Assumptions!$B$46</f>
        <v>0.2</v>
      </c>
      <c r="D7" s="9" t="s">
        <v>23</v>
      </c>
    </row>
    <row r="8" customFormat="false" ht="15" hidden="false" customHeight="false" outlineLevel="0" collapsed="false">
      <c r="A8" s="6" t="s">
        <v>24</v>
      </c>
      <c r="B8" s="7" t="n">
        <f aca="false">'Relative &amp; Normalized'!$B$15</f>
        <v>20.853</v>
      </c>
      <c r="C8" s="8" t="n">
        <f aca="false">Assumptions!$B$47</f>
        <v>0.15</v>
      </c>
      <c r="D8" s="9" t="s">
        <v>25</v>
      </c>
    </row>
    <row r="9" customFormat="false" ht="15" hidden="false" customHeight="false" outlineLevel="0" collapsed="false">
      <c r="A9" s="10" t="s">
        <v>26</v>
      </c>
      <c r="B9" s="11" t="n">
        <f aca="false">SUMPRODUCT(B4:B8,C4:C8)</f>
        <v>26.6108199810914</v>
      </c>
      <c r="C9" s="12" t="n">
        <f aca="false">SUM(C4:C8)</f>
        <v>1</v>
      </c>
    </row>
    <row r="10" customFormat="false" ht="15" hidden="false" customHeight="false" outlineLevel="0" collapsed="false">
      <c r="A10" s="6" t="s">
        <v>27</v>
      </c>
      <c r="B10" s="7" t="n">
        <f aca="false">Assumptions!$B$4</f>
        <v>20.23</v>
      </c>
    </row>
    <row r="11" customFormat="false" ht="15" hidden="false" customHeight="false" outlineLevel="0" collapsed="false">
      <c r="A11" s="10" t="s">
        <v>28</v>
      </c>
      <c r="B11" s="13" t="n">
        <f aca="false">B9/B10-1</f>
        <v>0.315413741032696</v>
      </c>
    </row>
    <row r="13" customFormat="false" ht="15" hidden="false" customHeight="false" outlineLevel="0" collapsed="false">
      <c r="A13" s="6" t="s">
        <v>29</v>
      </c>
      <c r="B13" s="14" t="n">
        <f aca="false">Assumptions!$B$4/Assumptions!$B$35</f>
        <v>1.22235649546828</v>
      </c>
    </row>
    <row r="14" customFormat="false" ht="15" hidden="false" customHeight="false" outlineLevel="0" collapsed="false">
      <c r="A14" s="6" t="s">
        <v>30</v>
      </c>
      <c r="B14" s="15" t="n">
        <f aca="false">DDM!B6/Assumptions!$B$4</f>
        <v>0.0583405189617295</v>
      </c>
    </row>
    <row r="16" customFormat="false" ht="15" hidden="false" customHeight="false" outlineLevel="0" collapsed="false">
      <c r="A16" s="6" t="s">
        <v>31</v>
      </c>
      <c r="B16" s="16" t="n">
        <v>26.98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0"/>
  </cols>
  <sheetData>
    <row r="1" customFormat="false" ht="16.15" hidden="false" customHeight="false" outlineLevel="0" collapsed="false">
      <c r="A1" s="2" t="s">
        <v>32</v>
      </c>
    </row>
    <row r="3" customFormat="false" ht="15" hidden="false" customHeight="false" outlineLevel="0" collapsed="false">
      <c r="A3" s="5" t="s">
        <v>33</v>
      </c>
      <c r="B3" s="5" t="s">
        <v>34</v>
      </c>
      <c r="C3" s="5" t="s">
        <v>35</v>
      </c>
      <c r="D3" s="5" t="s">
        <v>36</v>
      </c>
    </row>
    <row r="4" customFormat="false" ht="15" hidden="false" customHeight="false" outlineLevel="0" collapsed="false">
      <c r="A4" s="6" t="s">
        <v>37</v>
      </c>
      <c r="B4" s="16" t="n">
        <v>20.23</v>
      </c>
      <c r="C4" s="6" t="s">
        <v>38</v>
      </c>
      <c r="D4" s="9" t="s">
        <v>39</v>
      </c>
    </row>
    <row r="5" customFormat="false" ht="15" hidden="false" customHeight="false" outlineLevel="0" collapsed="false">
      <c r="A5" s="6" t="s">
        <v>40</v>
      </c>
      <c r="B5" s="17" t="n">
        <v>3988</v>
      </c>
      <c r="C5" s="6" t="s">
        <v>41</v>
      </c>
      <c r="D5" s="9" t="s">
        <v>42</v>
      </c>
    </row>
    <row r="6" customFormat="false" ht="15" hidden="false" customHeight="false" outlineLevel="0" collapsed="false">
      <c r="A6" s="6" t="s">
        <v>43</v>
      </c>
      <c r="B6" s="17" t="n">
        <v>8000</v>
      </c>
      <c r="C6" s="6" t="s">
        <v>44</v>
      </c>
      <c r="D6" s="9" t="s">
        <v>45</v>
      </c>
    </row>
    <row r="7" customFormat="false" ht="15" hidden="false" customHeight="false" outlineLevel="0" collapsed="false">
      <c r="A7" s="6" t="s">
        <v>46</v>
      </c>
      <c r="B7" s="17" t="n">
        <v>350</v>
      </c>
      <c r="C7" s="6" t="s">
        <v>44</v>
      </c>
      <c r="D7" s="9" t="s">
        <v>45</v>
      </c>
    </row>
    <row r="8" customFormat="false" ht="15" hidden="false" customHeight="false" outlineLevel="0" collapsed="false">
      <c r="A8" s="6" t="s">
        <v>47</v>
      </c>
      <c r="B8" s="18" t="n">
        <v>0.053</v>
      </c>
      <c r="C8" s="6" t="s">
        <v>48</v>
      </c>
      <c r="D8" s="9" t="s">
        <v>49</v>
      </c>
    </row>
    <row r="9" customFormat="false" ht="15" hidden="false" customHeight="false" outlineLevel="0" collapsed="false">
      <c r="A9" s="6" t="s">
        <v>50</v>
      </c>
      <c r="B9" s="18" t="n">
        <v>0.05</v>
      </c>
      <c r="C9" s="6" t="s">
        <v>48</v>
      </c>
      <c r="D9" s="9" t="s">
        <v>51</v>
      </c>
    </row>
    <row r="10" customFormat="false" ht="15" hidden="false" customHeight="false" outlineLevel="0" collapsed="false">
      <c r="A10" s="6" t="s">
        <v>52</v>
      </c>
      <c r="B10" s="19" t="n">
        <v>1</v>
      </c>
      <c r="C10" s="6" t="s">
        <v>53</v>
      </c>
      <c r="D10" s="9" t="s">
        <v>54</v>
      </c>
    </row>
    <row r="11" customFormat="false" ht="15" hidden="false" customHeight="false" outlineLevel="0" collapsed="false">
      <c r="A11" s="6" t="s">
        <v>55</v>
      </c>
      <c r="B11" s="18" t="n">
        <v>0.045</v>
      </c>
      <c r="C11" s="6" t="s">
        <v>48</v>
      </c>
      <c r="D11" s="9" t="s">
        <v>56</v>
      </c>
    </row>
    <row r="12" customFormat="false" ht="15" hidden="false" customHeight="false" outlineLevel="0" collapsed="false">
      <c r="A12" s="6" t="s">
        <v>57</v>
      </c>
      <c r="B12" s="17" t="n">
        <v>10411</v>
      </c>
      <c r="C12" s="6" t="s">
        <v>44</v>
      </c>
      <c r="D12" s="9" t="s">
        <v>58</v>
      </c>
    </row>
    <row r="13" customFormat="false" ht="15" hidden="false" customHeight="false" outlineLevel="0" collapsed="false">
      <c r="A13" s="6" t="s">
        <v>59</v>
      </c>
      <c r="B13" s="20" t="n">
        <v>0.085</v>
      </c>
      <c r="C13" s="6" t="s">
        <v>48</v>
      </c>
      <c r="D13" s="9" t="s">
        <v>60</v>
      </c>
    </row>
    <row r="14" customFormat="false" ht="15" hidden="false" customHeight="false" outlineLevel="0" collapsed="false">
      <c r="A14" s="6" t="s">
        <v>61</v>
      </c>
      <c r="B14" s="20" t="n">
        <v>0.075</v>
      </c>
      <c r="C14" s="6" t="s">
        <v>48</v>
      </c>
      <c r="D14" s="9" t="s">
        <v>60</v>
      </c>
    </row>
    <row r="15" customFormat="false" ht="15" hidden="false" customHeight="false" outlineLevel="0" collapsed="false">
      <c r="A15" s="6" t="s">
        <v>62</v>
      </c>
      <c r="B15" s="20" t="n">
        <v>0.065</v>
      </c>
      <c r="C15" s="6" t="s">
        <v>48</v>
      </c>
      <c r="D15" s="9" t="s">
        <v>60</v>
      </c>
    </row>
    <row r="16" customFormat="false" ht="15" hidden="false" customHeight="false" outlineLevel="0" collapsed="false">
      <c r="A16" s="6" t="s">
        <v>63</v>
      </c>
      <c r="B16" s="20" t="n">
        <v>0.06</v>
      </c>
      <c r="C16" s="6" t="s">
        <v>48</v>
      </c>
      <c r="D16" s="9" t="s">
        <v>60</v>
      </c>
    </row>
    <row r="17" customFormat="false" ht="15" hidden="false" customHeight="false" outlineLevel="0" collapsed="false">
      <c r="A17" s="6" t="s">
        <v>64</v>
      </c>
      <c r="B17" s="20" t="n">
        <v>0.055</v>
      </c>
      <c r="C17" s="6" t="s">
        <v>48</v>
      </c>
      <c r="D17" s="9" t="s">
        <v>60</v>
      </c>
    </row>
    <row r="18" customFormat="false" ht="15" hidden="false" customHeight="false" outlineLevel="0" collapsed="false">
      <c r="A18" s="6" t="s">
        <v>65</v>
      </c>
      <c r="B18" s="20" t="n">
        <v>0.43</v>
      </c>
      <c r="C18" s="6" t="s">
        <v>48</v>
      </c>
      <c r="D18" s="9" t="s">
        <v>66</v>
      </c>
    </row>
    <row r="19" customFormat="false" ht="15" hidden="false" customHeight="false" outlineLevel="0" collapsed="false">
      <c r="A19" s="6" t="s">
        <v>67</v>
      </c>
      <c r="B19" s="20" t="n">
        <v>0.44</v>
      </c>
      <c r="C19" s="6" t="s">
        <v>48</v>
      </c>
      <c r="D19" s="9" t="s">
        <v>66</v>
      </c>
    </row>
    <row r="20" customFormat="false" ht="15" hidden="false" customHeight="false" outlineLevel="0" collapsed="false">
      <c r="A20" s="6" t="s">
        <v>68</v>
      </c>
      <c r="B20" s="20" t="n">
        <v>0.45</v>
      </c>
      <c r="C20" s="6" t="s">
        <v>48</v>
      </c>
      <c r="D20" s="9" t="s">
        <v>66</v>
      </c>
    </row>
    <row r="21" customFormat="false" ht="15" hidden="false" customHeight="false" outlineLevel="0" collapsed="false">
      <c r="A21" s="6" t="s">
        <v>69</v>
      </c>
      <c r="B21" s="20" t="n">
        <v>0.46</v>
      </c>
      <c r="C21" s="6" t="s">
        <v>48</v>
      </c>
      <c r="D21" s="9" t="s">
        <v>66</v>
      </c>
    </row>
    <row r="22" customFormat="false" ht="15" hidden="false" customHeight="false" outlineLevel="0" collapsed="false">
      <c r="A22" s="6" t="s">
        <v>70</v>
      </c>
      <c r="B22" s="20" t="n">
        <v>0.47</v>
      </c>
      <c r="C22" s="6" t="s">
        <v>48</v>
      </c>
      <c r="D22" s="9" t="s">
        <v>66</v>
      </c>
    </row>
    <row r="23" customFormat="false" ht="15" hidden="false" customHeight="false" outlineLevel="0" collapsed="false">
      <c r="A23" s="6" t="s">
        <v>71</v>
      </c>
      <c r="B23" s="18" t="n">
        <v>0.028</v>
      </c>
      <c r="C23" s="6" t="s">
        <v>48</v>
      </c>
      <c r="D23" s="9" t="s">
        <v>72</v>
      </c>
    </row>
    <row r="24" customFormat="false" ht="15" hidden="false" customHeight="false" outlineLevel="0" collapsed="false">
      <c r="A24" s="6" t="s">
        <v>73</v>
      </c>
      <c r="B24" s="18" t="n">
        <v>0.0275</v>
      </c>
      <c r="C24" s="6" t="s">
        <v>48</v>
      </c>
      <c r="D24" s="9" t="s">
        <v>72</v>
      </c>
    </row>
    <row r="25" customFormat="false" ht="15" hidden="false" customHeight="false" outlineLevel="0" collapsed="false">
      <c r="A25" s="6" t="s">
        <v>74</v>
      </c>
      <c r="B25" s="18" t="n">
        <v>0.027</v>
      </c>
      <c r="C25" s="6" t="s">
        <v>48</v>
      </c>
      <c r="D25" s="9" t="s">
        <v>72</v>
      </c>
    </row>
    <row r="26" customFormat="false" ht="15" hidden="false" customHeight="false" outlineLevel="0" collapsed="false">
      <c r="A26" s="6" t="s">
        <v>75</v>
      </c>
      <c r="B26" s="18" t="n">
        <v>0.0268</v>
      </c>
      <c r="C26" s="6" t="s">
        <v>48</v>
      </c>
      <c r="D26" s="9" t="s">
        <v>72</v>
      </c>
    </row>
    <row r="27" customFormat="false" ht="15" hidden="false" customHeight="false" outlineLevel="0" collapsed="false">
      <c r="A27" s="6" t="s">
        <v>76</v>
      </c>
      <c r="B27" s="18" t="n">
        <v>0.0265</v>
      </c>
      <c r="C27" s="6" t="s">
        <v>48</v>
      </c>
      <c r="D27" s="9" t="s">
        <v>72</v>
      </c>
    </row>
    <row r="28" customFormat="false" ht="15" hidden="false" customHeight="false" outlineLevel="0" collapsed="false">
      <c r="A28" s="6" t="s">
        <v>77</v>
      </c>
      <c r="B28" s="20" t="n">
        <v>0.72</v>
      </c>
      <c r="C28" s="6" t="s">
        <v>48</v>
      </c>
      <c r="D28" s="9" t="s">
        <v>78</v>
      </c>
    </row>
    <row r="29" customFormat="false" ht="15" hidden="false" customHeight="false" outlineLevel="0" collapsed="false">
      <c r="A29" s="6" t="s">
        <v>79</v>
      </c>
      <c r="B29" s="20" t="n">
        <v>0.16</v>
      </c>
      <c r="C29" s="6" t="s">
        <v>48</v>
      </c>
      <c r="D29" s="9" t="s">
        <v>80</v>
      </c>
    </row>
    <row r="30" customFormat="false" ht="15" hidden="false" customHeight="false" outlineLevel="0" collapsed="false">
      <c r="A30" s="6" t="s">
        <v>81</v>
      </c>
      <c r="B30" s="20" t="n">
        <v>0.145</v>
      </c>
      <c r="C30" s="6" t="s">
        <v>48</v>
      </c>
      <c r="D30" s="9" t="s">
        <v>82</v>
      </c>
    </row>
    <row r="31" customFormat="false" ht="15" hidden="false" customHeight="false" outlineLevel="0" collapsed="false">
      <c r="A31" s="6" t="s">
        <v>83</v>
      </c>
      <c r="B31" s="20" t="n">
        <v>0.14</v>
      </c>
      <c r="C31" s="6" t="s">
        <v>48</v>
      </c>
      <c r="D31" s="9" t="s">
        <v>84</v>
      </c>
    </row>
    <row r="32" customFormat="false" ht="15" hidden="false" customHeight="false" outlineLevel="0" collapsed="false">
      <c r="A32" s="6" t="s">
        <v>85</v>
      </c>
      <c r="B32" s="19" t="n">
        <v>9</v>
      </c>
      <c r="C32" s="6" t="s">
        <v>53</v>
      </c>
      <c r="D32" s="9" t="s">
        <v>86</v>
      </c>
    </row>
    <row r="33" customFormat="false" ht="15" hidden="false" customHeight="false" outlineLevel="0" collapsed="false">
      <c r="A33" s="6" t="s">
        <v>87</v>
      </c>
      <c r="B33" s="19" t="n">
        <v>1.4</v>
      </c>
      <c r="C33" s="6" t="s">
        <v>53</v>
      </c>
      <c r="D33" s="9" t="s">
        <v>88</v>
      </c>
    </row>
    <row r="34" customFormat="false" ht="15" hidden="false" customHeight="false" outlineLevel="0" collapsed="false">
      <c r="A34" s="6" t="s">
        <v>89</v>
      </c>
      <c r="B34" s="19" t="n">
        <v>9.5</v>
      </c>
      <c r="C34" s="6" t="s">
        <v>53</v>
      </c>
      <c r="D34" s="9" t="s">
        <v>88</v>
      </c>
    </row>
    <row r="35" customFormat="false" ht="15" hidden="false" customHeight="false" outlineLevel="0" collapsed="false">
      <c r="A35" s="6" t="s">
        <v>90</v>
      </c>
      <c r="B35" s="16" t="n">
        <v>16.55</v>
      </c>
      <c r="C35" s="6" t="s">
        <v>38</v>
      </c>
      <c r="D35" s="9" t="s">
        <v>91</v>
      </c>
    </row>
    <row r="36" customFormat="false" ht="15" hidden="false" customHeight="false" outlineLevel="0" collapsed="false">
      <c r="A36" s="6" t="s">
        <v>92</v>
      </c>
      <c r="B36" s="17" t="n">
        <v>373305</v>
      </c>
      <c r="C36" s="6" t="s">
        <v>44</v>
      </c>
      <c r="D36" s="9" t="s">
        <v>58</v>
      </c>
    </row>
    <row r="37" customFormat="false" ht="15" hidden="false" customHeight="false" outlineLevel="0" collapsed="false">
      <c r="A37" s="6" t="s">
        <v>93</v>
      </c>
      <c r="B37" s="17" t="n">
        <v>519481</v>
      </c>
      <c r="C37" s="6" t="s">
        <v>44</v>
      </c>
      <c r="D37" s="9" t="s">
        <v>58</v>
      </c>
    </row>
    <row r="38" customFormat="false" ht="15" hidden="false" customHeight="false" outlineLevel="0" collapsed="false">
      <c r="A38" s="6" t="s">
        <v>94</v>
      </c>
      <c r="B38" s="20" t="n">
        <v>0.09</v>
      </c>
      <c r="C38" s="6" t="s">
        <v>48</v>
      </c>
      <c r="D38" s="9" t="s">
        <v>60</v>
      </c>
    </row>
    <row r="39" customFormat="false" ht="15" hidden="false" customHeight="false" outlineLevel="0" collapsed="false">
      <c r="A39" s="6" t="s">
        <v>95</v>
      </c>
      <c r="B39" s="20" t="n">
        <v>0.085</v>
      </c>
      <c r="C39" s="6" t="s">
        <v>48</v>
      </c>
      <c r="D39" s="9" t="s">
        <v>60</v>
      </c>
    </row>
    <row r="40" customFormat="false" ht="15" hidden="false" customHeight="false" outlineLevel="0" collapsed="false">
      <c r="A40" s="6" t="s">
        <v>96</v>
      </c>
      <c r="B40" s="20" t="n">
        <v>0.08</v>
      </c>
      <c r="C40" s="6" t="s">
        <v>48</v>
      </c>
      <c r="D40" s="9" t="s">
        <v>60</v>
      </c>
    </row>
    <row r="41" customFormat="false" ht="15" hidden="false" customHeight="false" outlineLevel="0" collapsed="false">
      <c r="A41" s="6" t="s">
        <v>97</v>
      </c>
      <c r="B41" s="20" t="n">
        <v>0.075</v>
      </c>
      <c r="C41" s="6" t="s">
        <v>48</v>
      </c>
      <c r="D41" s="9" t="s">
        <v>60</v>
      </c>
    </row>
    <row r="42" customFormat="false" ht="15" hidden="false" customHeight="false" outlineLevel="0" collapsed="false">
      <c r="A42" s="6" t="s">
        <v>98</v>
      </c>
      <c r="B42" s="20" t="n">
        <v>0.07</v>
      </c>
      <c r="C42" s="6" t="s">
        <v>48</v>
      </c>
      <c r="D42" s="9" t="s">
        <v>60</v>
      </c>
    </row>
    <row r="43" customFormat="false" ht="15" hidden="false" customHeight="false" outlineLevel="0" collapsed="false">
      <c r="A43" s="6" t="s">
        <v>99</v>
      </c>
      <c r="B43" s="20" t="n">
        <v>0.3</v>
      </c>
      <c r="C43" s="6" t="s">
        <v>48</v>
      </c>
      <c r="D43" s="9" t="s">
        <v>100</v>
      </c>
    </row>
    <row r="44" customFormat="false" ht="15" hidden="false" customHeight="false" outlineLevel="0" collapsed="false">
      <c r="A44" s="6" t="s">
        <v>101</v>
      </c>
      <c r="B44" s="20" t="n">
        <v>0.2</v>
      </c>
      <c r="C44" s="6" t="s">
        <v>48</v>
      </c>
      <c r="D44" s="9" t="s">
        <v>100</v>
      </c>
    </row>
    <row r="45" customFormat="false" ht="15" hidden="false" customHeight="false" outlineLevel="0" collapsed="false">
      <c r="A45" s="6" t="s">
        <v>102</v>
      </c>
      <c r="B45" s="20" t="n">
        <v>0.15</v>
      </c>
      <c r="C45" s="6" t="s">
        <v>48</v>
      </c>
      <c r="D45" s="9" t="s">
        <v>100</v>
      </c>
    </row>
    <row r="46" customFormat="false" ht="15" hidden="false" customHeight="false" outlineLevel="0" collapsed="false">
      <c r="A46" s="6" t="s">
        <v>103</v>
      </c>
      <c r="B46" s="20" t="n">
        <v>0.2</v>
      </c>
      <c r="C46" s="6" t="s">
        <v>48</v>
      </c>
      <c r="D46" s="9" t="s">
        <v>100</v>
      </c>
    </row>
    <row r="47" customFormat="false" ht="15" hidden="false" customHeight="false" outlineLevel="0" collapsed="false">
      <c r="A47" s="6" t="s">
        <v>104</v>
      </c>
      <c r="B47" s="20" t="n">
        <v>0.15</v>
      </c>
      <c r="C47" s="6" t="s">
        <v>48</v>
      </c>
      <c r="D47" s="9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2"/>
  </cols>
  <sheetData>
    <row r="1" customFormat="false" ht="16.15" hidden="false" customHeight="false" outlineLevel="0" collapsed="false">
      <c r="A1" s="2" t="s">
        <v>105</v>
      </c>
    </row>
    <row r="3" customFormat="false" ht="15" hidden="false" customHeight="false" outlineLevel="0" collapsed="false">
      <c r="A3" s="5" t="s">
        <v>106</v>
      </c>
      <c r="B3" s="5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113</v>
      </c>
      <c r="I3" s="5" t="s">
        <v>114</v>
      </c>
    </row>
    <row r="4" customFormat="false" ht="15" hidden="false" customHeight="false" outlineLevel="0" collapsed="false">
      <c r="A4" s="6" t="s">
        <v>115</v>
      </c>
      <c r="B4" s="17" t="n">
        <v>8036</v>
      </c>
      <c r="C4" s="17" t="n">
        <v>9322</v>
      </c>
      <c r="D4" s="17" t="n">
        <v>10411</v>
      </c>
      <c r="E4" s="21" t="n">
        <f aca="false">D4*(1+Assumptions!$B$13)</f>
        <v>11295.935</v>
      </c>
      <c r="F4" s="21" t="n">
        <f aca="false">E4*(1+Assumptions!$B$14)</f>
        <v>12143.130125</v>
      </c>
      <c r="G4" s="21" t="n">
        <f aca="false">F4*(1+Assumptions!$B$15)</f>
        <v>12932.433583125</v>
      </c>
      <c r="H4" s="21" t="n">
        <f aca="false">G4*(1+Assumptions!$B$16)</f>
        <v>13708.3795981125</v>
      </c>
      <c r="I4" s="21" t="n">
        <f aca="false">H4*(1+Assumptions!$B$17)</f>
        <v>14462.3404760087</v>
      </c>
    </row>
    <row r="5" customFormat="false" ht="15" hidden="false" customHeight="false" outlineLevel="0" collapsed="false">
      <c r="A5" s="6" t="s">
        <v>116</v>
      </c>
      <c r="B5" s="18" t="n">
        <v>0.029</v>
      </c>
      <c r="C5" s="18" t="n">
        <v>0.0285</v>
      </c>
      <c r="D5" s="18" t="n">
        <v>0.0288</v>
      </c>
      <c r="E5" s="22" t="n">
        <f aca="false">Assumptions!$B$23</f>
        <v>0.028</v>
      </c>
      <c r="F5" s="22" t="n">
        <f aca="false">Assumptions!$B$24</f>
        <v>0.0275</v>
      </c>
      <c r="G5" s="22" t="n">
        <f aca="false">Assumptions!$B$25</f>
        <v>0.027</v>
      </c>
      <c r="H5" s="22" t="n">
        <f aca="false">Assumptions!$B$26</f>
        <v>0.0268</v>
      </c>
      <c r="I5" s="22" t="n">
        <f aca="false">Assumptions!$B$27</f>
        <v>0.0265</v>
      </c>
    </row>
    <row r="6" customFormat="false" ht="15" hidden="false" customHeight="false" outlineLevel="0" collapsed="false">
      <c r="A6" s="6" t="s">
        <v>117</v>
      </c>
      <c r="B6" s="20" t="n">
        <v>0.33</v>
      </c>
      <c r="C6" s="20" t="n">
        <v>0.31</v>
      </c>
      <c r="D6" s="20" t="n">
        <v>0.296</v>
      </c>
      <c r="E6" s="20" t="n">
        <v>0.3</v>
      </c>
      <c r="F6" s="20" t="n">
        <v>0.3</v>
      </c>
      <c r="G6" s="20" t="n">
        <v>0.3</v>
      </c>
      <c r="H6" s="20" t="n">
        <v>0.3</v>
      </c>
      <c r="I6" s="20" t="n">
        <v>0.3</v>
      </c>
    </row>
    <row r="7" customFormat="false" ht="15" hidden="false" customHeight="false" outlineLevel="0" collapsed="false">
      <c r="A7" s="6" t="s">
        <v>118</v>
      </c>
      <c r="B7" s="17" t="n">
        <v>55</v>
      </c>
      <c r="C7" s="17" t="n">
        <v>51</v>
      </c>
      <c r="D7" s="17" t="n">
        <v>37</v>
      </c>
      <c r="E7" s="17" t="n">
        <v>42</v>
      </c>
      <c r="F7" s="17" t="n">
        <v>44</v>
      </c>
      <c r="G7" s="17" t="n">
        <v>45</v>
      </c>
      <c r="H7" s="17" t="n">
        <v>45</v>
      </c>
      <c r="I7" s="17" t="n">
        <v>45</v>
      </c>
    </row>
    <row r="8" customFormat="false" ht="15" hidden="false" customHeight="false" outlineLevel="0" collapsed="false">
      <c r="A8" s="6" t="s">
        <v>119</v>
      </c>
      <c r="B8" s="17" t="n">
        <v>282000</v>
      </c>
      <c r="C8" s="17" t="n">
        <v>320090</v>
      </c>
      <c r="D8" s="17" t="n">
        <v>373305</v>
      </c>
      <c r="E8" s="21" t="n">
        <f aca="false">D8*(1+Assumptions!$B$38)</f>
        <v>406902.45</v>
      </c>
      <c r="F8" s="21" t="n">
        <f aca="false">E8*(1+Assumptions!$B$39)</f>
        <v>441489.15825</v>
      </c>
      <c r="G8" s="21" t="n">
        <f aca="false">F8*(1+Assumptions!$B$40)</f>
        <v>476808.29091</v>
      </c>
      <c r="H8" s="21" t="n">
        <f aca="false">G8*(1+Assumptions!$B$41)</f>
        <v>512568.91272825</v>
      </c>
      <c r="I8" s="21" t="n">
        <f aca="false">H8*(1+Assumptions!$B$42)</f>
        <v>548448.736619227</v>
      </c>
    </row>
    <row r="9" customFormat="false" ht="15" hidden="false" customHeight="false" outlineLevel="0" collapsed="false">
      <c r="A9" s="6" t="s">
        <v>120</v>
      </c>
      <c r="B9" s="17" t="n">
        <v>386849</v>
      </c>
      <c r="C9" s="17" t="n">
        <v>450379</v>
      </c>
      <c r="D9" s="17" t="n">
        <v>519481</v>
      </c>
      <c r="E9" s="21" t="n">
        <f aca="false">D9*(1+Assumptions!$B$38*0.95)</f>
        <v>563896.6255</v>
      </c>
      <c r="F9" s="21" t="n">
        <f aca="false">E9*(1+Assumptions!$B$39*0.95)</f>
        <v>609431.278009125</v>
      </c>
      <c r="G9" s="21" t="n">
        <f aca="false">F9*(1+Assumptions!$B$40*0.95)</f>
        <v>655748.055137819</v>
      </c>
      <c r="H9" s="21" t="n">
        <f aca="false">G9*(1+Assumptions!$B$41*0.95)</f>
        <v>702470.104066388</v>
      </c>
      <c r="I9" s="21" t="n">
        <f aca="false">H9*(1+Assumptions!$B$42*0.95)</f>
        <v>749184.365986803</v>
      </c>
    </row>
    <row r="10" customFormat="false" ht="15" hidden="false" customHeight="false" outlineLevel="0" collapsed="false">
      <c r="A10" s="6" t="s">
        <v>121</v>
      </c>
      <c r="B10" s="23" t="n">
        <f aca="false">B9*Assumptions!$B$28</f>
        <v>278531.28</v>
      </c>
      <c r="C10" s="23" t="n">
        <f aca="false">C9*Assumptions!$B$28</f>
        <v>324272.88</v>
      </c>
      <c r="D10" s="23" t="n">
        <f aca="false">D9*Assumptions!$B$28</f>
        <v>374026.32</v>
      </c>
      <c r="E10" s="23" t="n">
        <f aca="false">E9*Assumptions!$B$28</f>
        <v>406005.57036</v>
      </c>
      <c r="F10" s="23" t="n">
        <f aca="false">F9*Assumptions!$B$28</f>
        <v>438790.52016657</v>
      </c>
      <c r="G10" s="23" t="n">
        <f aca="false">G9*Assumptions!$B$28</f>
        <v>472138.599699229</v>
      </c>
      <c r="H10" s="23" t="n">
        <f aca="false">H9*Assumptions!$B$28</f>
        <v>505778.4749278</v>
      </c>
      <c r="I10" s="23" t="n">
        <f aca="false">I9*Assumptions!$B$28</f>
        <v>539412.743510498</v>
      </c>
    </row>
    <row r="11" customFormat="false" ht="15" hidden="false" customHeight="false" outlineLevel="0" collapsed="false">
      <c r="A11" s="6" t="s">
        <v>122</v>
      </c>
      <c r="B11" s="17" t="n">
        <v>52258</v>
      </c>
      <c r="C11" s="17" t="n">
        <v>59942</v>
      </c>
      <c r="D11" s="17" t="n">
        <v>66000</v>
      </c>
      <c r="E11" s="21" t="n">
        <f aca="false">D11+(E4-Assumptions!$B$7)*(1-Assumptions!$B$18)</f>
        <v>72239.18295</v>
      </c>
      <c r="F11" s="21" t="n">
        <f aca="false">E11+(F4-Assumptions!$B$7)*(1-Assumptions!$B$19)</f>
        <v>78843.33582</v>
      </c>
      <c r="G11" s="21" t="n">
        <f aca="false">F11+(G4-Assumptions!$B$7)*(1-Assumptions!$B$20)</f>
        <v>85763.6742907188</v>
      </c>
      <c r="H11" s="21" t="n">
        <f aca="false">G11+(H4-Assumptions!$B$7)*(1-Assumptions!$B$21)</f>
        <v>92977.1992736995</v>
      </c>
      <c r="I11" s="21" t="n">
        <f aca="false">H11+(I4-Assumptions!$B$7)*(1-Assumptions!$B$22)</f>
        <v>100456.739725984</v>
      </c>
    </row>
    <row r="12" customFormat="false" ht="15" hidden="false" customHeight="false" outlineLevel="0" collapsed="false">
      <c r="A12" s="6" t="s">
        <v>123</v>
      </c>
      <c r="E12" s="23" t="n">
        <f aca="false">(E4-Assumptions!$B$7)*Assumptions!$B$18</f>
        <v>4706.75205</v>
      </c>
      <c r="F12" s="23" t="n">
        <f aca="false">(F4-Assumptions!$B$7)*Assumptions!$B$19</f>
        <v>5188.977255</v>
      </c>
      <c r="G12" s="23" t="n">
        <f aca="false">(G4-Assumptions!$B$7)*Assumptions!$B$20</f>
        <v>5662.09511240625</v>
      </c>
      <c r="H12" s="23" t="n">
        <f aca="false">(H4-Assumptions!$B$7)*Assumptions!$B$21</f>
        <v>6144.85461513175</v>
      </c>
      <c r="I12" s="23" t="n">
        <f aca="false">(I4-Assumptions!$B$7)*Assumptions!$B$22</f>
        <v>6632.80002372408</v>
      </c>
    </row>
    <row r="13" customFormat="false" ht="15" hidden="false" customHeight="false" outlineLevel="0" collapsed="false">
      <c r="A13" s="6" t="s">
        <v>124</v>
      </c>
      <c r="E13" s="15" t="n">
        <f aca="false">(E4-Assumptions!$B$7)/((E11+D11)/2)</f>
        <v>0.158362264105092</v>
      </c>
      <c r="F13" s="15" t="n">
        <f aca="false">(F4-Assumptions!$B$7)/((F11+E11)/2)</f>
        <v>0.156115084935183</v>
      </c>
      <c r="G13" s="15" t="n">
        <f aca="false">(G4-Assumptions!$B$7)/((G11+F11)/2)</f>
        <v>0.152878465803634</v>
      </c>
      <c r="H13" s="15" t="n">
        <f aca="false">(H4-Assumptions!$B$7)/((H11+G11)/2)</f>
        <v>0.149472018701958</v>
      </c>
      <c r="I13" s="15" t="n">
        <f aca="false">(I4-Assumptions!$B$7)/((I11+H11)/2)</f>
        <v>0.145913799294877</v>
      </c>
    </row>
    <row r="14" customFormat="false" ht="15" hidden="false" customHeight="false" outlineLevel="0" collapsed="false">
      <c r="A14" s="6" t="s">
        <v>125</v>
      </c>
      <c r="B14" s="15" t="n">
        <f aca="false">B11/B10</f>
        <v>0.18761986086446</v>
      </c>
      <c r="C14" s="15" t="n">
        <f aca="false">C11/C10</f>
        <v>0.184850487651018</v>
      </c>
      <c r="D14" s="15" t="n">
        <f aca="false">D11/D10</f>
        <v>0.176458170109526</v>
      </c>
      <c r="E14" s="15" t="n">
        <f aca="false">E11/E10</f>
        <v>0.177926580874116</v>
      </c>
      <c r="F14" s="15" t="n">
        <f aca="false">F11/F10</f>
        <v>0.179683316289673</v>
      </c>
      <c r="G14" s="15" t="n">
        <f aca="false">G11/G10</f>
        <v>0.18164935962735</v>
      </c>
      <c r="H14" s="15" t="n">
        <f aca="false">H11/H10</f>
        <v>0.183829885775531</v>
      </c>
      <c r="I14" s="15" t="n">
        <f aca="false">I11/I10</f>
        <v>0.186233530695274</v>
      </c>
    </row>
    <row r="16" customFormat="false" ht="15" hidden="false" customHeight="false" outlineLevel="0" collapsed="false">
      <c r="A16" s="9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6.15" hidden="false" customHeight="false" outlineLevel="0" collapsed="false">
      <c r="A1" s="2" t="s">
        <v>127</v>
      </c>
    </row>
    <row r="3" customFormat="false" ht="15" hidden="false" customHeight="false" outlineLevel="0" collapsed="false">
      <c r="A3" s="5" t="s">
        <v>128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</row>
    <row r="4" customFormat="false" ht="15" hidden="false" customHeight="false" outlineLevel="0" collapsed="false">
      <c r="A4" s="6" t="s">
        <v>129</v>
      </c>
      <c r="B4" s="7" t="n">
        <f aca="false">('Driver Build'!E4-Assumptions!$B$7)/Assumptions!$B$5</f>
        <v>2.74471790371113</v>
      </c>
      <c r="C4" s="7" t="n">
        <f aca="false">('Driver Build'!F4-Assumptions!$B$7)/Assumptions!$B$5</f>
        <v>2.95715399322969</v>
      </c>
      <c r="D4" s="7" t="n">
        <f aca="false">('Driver Build'!G4-Assumptions!$B$7)/Assumptions!$B$5</f>
        <v>3.15507361663114</v>
      </c>
      <c r="E4" s="7" t="n">
        <f aca="false">('Driver Build'!H4-Assumptions!$B$7)/Assumptions!$B$5</f>
        <v>3.34964383102119</v>
      </c>
      <c r="F4" s="7" t="n">
        <f aca="false">('Driver Build'!I4-Assumptions!$B$7)/Assumptions!$B$5</f>
        <v>3.53870122267018</v>
      </c>
    </row>
    <row r="5" customFormat="false" ht="15" hidden="false" customHeight="false" outlineLevel="0" collapsed="false">
      <c r="A5" s="6" t="s">
        <v>130</v>
      </c>
      <c r="B5" s="8" t="n">
        <f aca="false">Assumptions!$B$18</f>
        <v>0.43</v>
      </c>
      <c r="C5" s="8" t="n">
        <f aca="false">Assumptions!$B$19</f>
        <v>0.44</v>
      </c>
      <c r="D5" s="8" t="n">
        <f aca="false">Assumptions!$B$20</f>
        <v>0.45</v>
      </c>
      <c r="E5" s="8" t="n">
        <f aca="false">Assumptions!$B$21</f>
        <v>0.46</v>
      </c>
      <c r="F5" s="8" t="n">
        <f aca="false">Assumptions!$B$22</f>
        <v>0.47</v>
      </c>
    </row>
    <row r="6" customFormat="false" ht="15" hidden="false" customHeight="false" outlineLevel="0" collapsed="false">
      <c r="A6" s="6" t="s">
        <v>131</v>
      </c>
      <c r="B6" s="24" t="n">
        <f aca="false">B4*B5</f>
        <v>1.18022869859579</v>
      </c>
      <c r="C6" s="24" t="n">
        <f aca="false">C4*C5</f>
        <v>1.30114775702106</v>
      </c>
      <c r="D6" s="24" t="n">
        <f aca="false">D4*D5</f>
        <v>1.41978312748401</v>
      </c>
      <c r="E6" s="24" t="n">
        <f aca="false">E4*E5</f>
        <v>1.54083616226975</v>
      </c>
      <c r="F6" s="24" t="n">
        <f aca="false">F4*F5</f>
        <v>1.66318957465499</v>
      </c>
    </row>
    <row r="7" customFormat="false" ht="15" hidden="false" customHeight="false" outlineLevel="0" collapsed="false">
      <c r="A7" s="6" t="s">
        <v>132</v>
      </c>
      <c r="B7" s="24" t="n">
        <f aca="false">1/(1+(Assumptions!$B$8+Assumptions!$B$10*Assumptions!$B$9))^1</f>
        <v>0.906618313689937</v>
      </c>
      <c r="C7" s="24" t="n">
        <f aca="false">1/(1+(Assumptions!$B$8+Assumptions!$B$10*Assumptions!$B$9))^2</f>
        <v>0.821956766717984</v>
      </c>
      <c r="D7" s="24" t="n">
        <f aca="false">1/(1+(Assumptions!$B$8+Assumptions!$B$10*Assumptions!$B$9))^3</f>
        <v>0.745201057767892</v>
      </c>
      <c r="E7" s="24" t="n">
        <f aca="false">1/(1+(Assumptions!$B$8+Assumptions!$B$10*Assumptions!$B$9))^4</f>
        <v>0.675612926353483</v>
      </c>
      <c r="F7" s="24" t="n">
        <f aca="false">1/(1+(Assumptions!$B$8+Assumptions!$B$10*Assumptions!$B$9))^5</f>
        <v>0.612523051997718</v>
      </c>
    </row>
    <row r="8" customFormat="false" ht="15" hidden="false" customHeight="false" outlineLevel="0" collapsed="false">
      <c r="A8" s="6" t="s">
        <v>133</v>
      </c>
      <c r="B8" s="24" t="n">
        <f aca="false">B6*B7</f>
        <v>1.07001695248938</v>
      </c>
      <c r="C8" s="24" t="n">
        <f aca="false">C6*C7</f>
        <v>1.06948720338339</v>
      </c>
      <c r="D8" s="24" t="n">
        <f aca="false">D6*D7</f>
        <v>1.05802388840209</v>
      </c>
      <c r="E8" s="24" t="n">
        <f aca="false">E6*E7</f>
        <v>1.04100882862233</v>
      </c>
      <c r="F8" s="24" t="n">
        <f aca="false">F6*F7</f>
        <v>1.01874195431846</v>
      </c>
    </row>
    <row r="10" customFormat="false" ht="15" hidden="false" customHeight="false" outlineLevel="0" collapsed="false">
      <c r="A10" s="10" t="s">
        <v>134</v>
      </c>
      <c r="B10" s="25" t="n">
        <f aca="false">SUM(B8:F8)</f>
        <v>5.25727882721566</v>
      </c>
    </row>
    <row r="11" customFormat="false" ht="15" hidden="false" customHeight="false" outlineLevel="0" collapsed="false">
      <c r="A11" s="6" t="s">
        <v>135</v>
      </c>
      <c r="B11" s="26" t="n">
        <f aca="false">Assumptions!$B$8+Assumptions!$B$10*Assumptions!$B$9</f>
        <v>0.103</v>
      </c>
    </row>
    <row r="12" customFormat="false" ht="15" hidden="false" customHeight="false" outlineLevel="0" collapsed="false">
      <c r="A12" s="6" t="s">
        <v>136</v>
      </c>
      <c r="B12" s="24" t="n">
        <f aca="false">F6*(1+Assumptions!$B$11)</f>
        <v>1.73803310551446</v>
      </c>
    </row>
    <row r="13" customFormat="false" ht="15" hidden="false" customHeight="false" outlineLevel="0" collapsed="false">
      <c r="A13" s="6" t="s">
        <v>137</v>
      </c>
      <c r="B13" s="24" t="n">
        <f aca="false">B12/(B11-Assumptions!$B$11)</f>
        <v>29.9660880261114</v>
      </c>
    </row>
    <row r="14" customFormat="false" ht="15" hidden="false" customHeight="false" outlineLevel="0" collapsed="false">
      <c r="A14" s="6" t="s">
        <v>138</v>
      </c>
      <c r="B14" s="24" t="n">
        <f aca="false">B13*F7</f>
        <v>18.354919694186</v>
      </c>
    </row>
    <row r="15" customFormat="false" ht="15" hidden="false" customHeight="false" outlineLevel="0" collapsed="false">
      <c r="A15" s="10" t="s">
        <v>139</v>
      </c>
      <c r="B15" s="11" t="n">
        <f aca="false">B10+B14</f>
        <v>23.6121985214017</v>
      </c>
    </row>
    <row r="16" customFormat="false" ht="15" hidden="false" customHeight="false" outlineLevel="0" collapsed="false">
      <c r="A16" s="6" t="s">
        <v>140</v>
      </c>
      <c r="B16" s="15" t="n">
        <f aca="false">B14/B15</f>
        <v>0.777349033278263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6.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5" t="s">
        <v>142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</row>
    <row r="4" customFormat="false" ht="15" hidden="false" customHeight="false" outlineLevel="0" collapsed="false">
      <c r="A4" s="6" t="s">
        <v>143</v>
      </c>
      <c r="B4" s="21" t="n">
        <f aca="false">'Driver Build'!E4</f>
        <v>11295.935</v>
      </c>
      <c r="C4" s="21" t="n">
        <f aca="false">'Driver Build'!F4</f>
        <v>12143.130125</v>
      </c>
      <c r="D4" s="21" t="n">
        <f aca="false">'Driver Build'!G4</f>
        <v>12932.433583125</v>
      </c>
      <c r="E4" s="21" t="n">
        <f aca="false">'Driver Build'!H4</f>
        <v>13708.3795981125</v>
      </c>
      <c r="F4" s="21" t="n">
        <f aca="false">'Driver Build'!I4</f>
        <v>14462.3404760087</v>
      </c>
    </row>
    <row r="5" customFormat="false" ht="15" hidden="false" customHeight="false" outlineLevel="0" collapsed="false">
      <c r="A5" s="6" t="s">
        <v>144</v>
      </c>
      <c r="B5" s="21" t="n">
        <f aca="false">'Driver Build'!E10-'Driver Build'!D10</f>
        <v>31979.2503599999</v>
      </c>
      <c r="C5" s="21" t="n">
        <f aca="false">'Driver Build'!F10-'Driver Build'!E10</f>
        <v>32784.9498065701</v>
      </c>
      <c r="D5" s="21" t="n">
        <f aca="false">'Driver Build'!G10-'Driver Build'!F10</f>
        <v>33348.0795326593</v>
      </c>
      <c r="E5" s="21" t="n">
        <f aca="false">'Driver Build'!H10-'Driver Build'!G10</f>
        <v>33639.8752285701</v>
      </c>
      <c r="F5" s="21" t="n">
        <f aca="false">'Driver Build'!I10-'Driver Build'!H10</f>
        <v>33634.2685826987</v>
      </c>
    </row>
    <row r="6" customFormat="false" ht="15" hidden="false" customHeight="false" outlineLevel="0" collapsed="false">
      <c r="A6" s="6" t="s">
        <v>145</v>
      </c>
      <c r="B6" s="23" t="n">
        <f aca="false">B5*Assumptions!$B$29</f>
        <v>5116.68005759999</v>
      </c>
      <c r="C6" s="23" t="n">
        <f aca="false">C5*Assumptions!$B$29</f>
        <v>5245.59196905121</v>
      </c>
      <c r="D6" s="23" t="n">
        <f aca="false">D5*Assumptions!$B$29</f>
        <v>5335.69272522549</v>
      </c>
      <c r="E6" s="23" t="n">
        <f aca="false">E5*Assumptions!$B$29</f>
        <v>5382.38003657122</v>
      </c>
      <c r="F6" s="23" t="n">
        <f aca="false">F5*Assumptions!$B$29</f>
        <v>5381.4829732318</v>
      </c>
    </row>
    <row r="7" customFormat="false" ht="15" hidden="false" customHeight="false" outlineLevel="0" collapsed="false">
      <c r="A7" s="10" t="s">
        <v>146</v>
      </c>
      <c r="B7" s="27" t="n">
        <f aca="false">B4-B6</f>
        <v>6179.25494240001</v>
      </c>
      <c r="C7" s="27" t="n">
        <f aca="false">C4-C6</f>
        <v>6897.53815594879</v>
      </c>
      <c r="D7" s="27" t="n">
        <f aca="false">D4-D6</f>
        <v>7596.74085789951</v>
      </c>
      <c r="E7" s="27" t="n">
        <f aca="false">E4-E6</f>
        <v>8325.99956154128</v>
      </c>
      <c r="F7" s="27" t="n">
        <f aca="false">F4-F6</f>
        <v>9080.85750277689</v>
      </c>
    </row>
    <row r="8" customFormat="false" ht="15" hidden="false" customHeight="false" outlineLevel="0" collapsed="false">
      <c r="A8" s="6" t="s">
        <v>147</v>
      </c>
      <c r="B8" s="7" t="n">
        <f aca="false">DDM!B7</f>
        <v>0.906618313689937</v>
      </c>
      <c r="C8" s="7" t="n">
        <f aca="false">DDM!C7</f>
        <v>0.821956766717984</v>
      </c>
      <c r="D8" s="7" t="n">
        <f aca="false">DDM!D7</f>
        <v>0.745201057767892</v>
      </c>
      <c r="E8" s="7" t="n">
        <f aca="false">DDM!E7</f>
        <v>0.675612926353483</v>
      </c>
      <c r="F8" s="7" t="n">
        <f aca="false">DDM!F7</f>
        <v>0.612523051997718</v>
      </c>
    </row>
    <row r="9" customFormat="false" ht="15" hidden="false" customHeight="false" outlineLevel="0" collapsed="false">
      <c r="A9" s="6" t="s">
        <v>148</v>
      </c>
      <c r="B9" s="23" t="n">
        <f aca="false">B7*B8</f>
        <v>5602.2256957389</v>
      </c>
      <c r="C9" s="23" t="n">
        <f aca="false">C7*C8</f>
        <v>5669.47816097759</v>
      </c>
      <c r="D9" s="23" t="n">
        <f aca="false">D7*D8</f>
        <v>5661.09932289527</v>
      </c>
      <c r="E9" s="23" t="n">
        <f aca="false">E7*E8</f>
        <v>5625.15292859072</v>
      </c>
      <c r="F9" s="23" t="n">
        <f aca="false">F7*F8</f>
        <v>5562.23455235728</v>
      </c>
    </row>
    <row r="11" customFormat="false" ht="15" hidden="false" customHeight="false" outlineLevel="0" collapsed="false">
      <c r="A11" s="10" t="s">
        <v>149</v>
      </c>
      <c r="B11" s="27" t="n">
        <f aca="false">SUM(B9:F9)</f>
        <v>28120.1906605598</v>
      </c>
    </row>
    <row r="12" customFormat="false" ht="15" hidden="false" customHeight="false" outlineLevel="0" collapsed="false">
      <c r="A12" s="6" t="s">
        <v>150</v>
      </c>
      <c r="B12" s="23" t="n">
        <f aca="false">F7*(1+Assumptions!$B$11)</f>
        <v>9489.49609040185</v>
      </c>
    </row>
    <row r="13" customFormat="false" ht="15" hidden="false" customHeight="false" outlineLevel="0" collapsed="false">
      <c r="A13" s="6" t="s">
        <v>151</v>
      </c>
      <c r="B13" s="23" t="n">
        <f aca="false">B12/(DDM!B11-Assumptions!$B$11)*F8</f>
        <v>100216.122538161</v>
      </c>
    </row>
    <row r="14" customFormat="false" ht="15" hidden="false" customHeight="false" outlineLevel="0" collapsed="false">
      <c r="A14" s="10" t="s">
        <v>152</v>
      </c>
      <c r="B14" s="27" t="n">
        <f aca="false">B11+B13</f>
        <v>128336.313198721</v>
      </c>
    </row>
    <row r="15" customFormat="false" ht="15" hidden="false" customHeight="false" outlineLevel="0" collapsed="false">
      <c r="A15" s="10" t="s">
        <v>153</v>
      </c>
      <c r="B15" s="11" t="n">
        <f aca="false">B14/Assumptions!$B$5</f>
        <v>32.1806201601607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6.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5" t="s">
        <v>155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</row>
    <row r="4" customFormat="false" ht="15" hidden="false" customHeight="false" outlineLevel="0" collapsed="false">
      <c r="A4" s="6" t="s">
        <v>156</v>
      </c>
      <c r="B4" s="21" t="n">
        <f aca="false">'Driver Build'!D11</f>
        <v>66000</v>
      </c>
      <c r="C4" s="21" t="n">
        <f aca="false">'Driver Build'!E11</f>
        <v>72239.18295</v>
      </c>
      <c r="D4" s="21" t="n">
        <f aca="false">'Driver Build'!F11</f>
        <v>78843.33582</v>
      </c>
      <c r="E4" s="21" t="n">
        <f aca="false">'Driver Build'!G11</f>
        <v>85763.6742907188</v>
      </c>
      <c r="F4" s="21" t="n">
        <f aca="false">'Driver Build'!H11</f>
        <v>92977.1992736995</v>
      </c>
    </row>
    <row r="5" customFormat="false" ht="15" hidden="false" customHeight="false" outlineLevel="0" collapsed="false">
      <c r="A5" s="6" t="s">
        <v>157</v>
      </c>
      <c r="B5" s="21" t="n">
        <f aca="false">'Driver Build'!E4-Assumptions!$B$7</f>
        <v>10945.935</v>
      </c>
      <c r="C5" s="21" t="n">
        <f aca="false">'Driver Build'!F4-Assumptions!$B$7</f>
        <v>11793.130125</v>
      </c>
      <c r="D5" s="21" t="n">
        <f aca="false">'Driver Build'!G4-Assumptions!$B$7</f>
        <v>12582.433583125</v>
      </c>
      <c r="E5" s="21" t="n">
        <f aca="false">'Driver Build'!H4-Assumptions!$B$7</f>
        <v>13358.3795981125</v>
      </c>
      <c r="F5" s="21" t="n">
        <f aca="false">'Driver Build'!I4-Assumptions!$B$7</f>
        <v>14112.3404760087</v>
      </c>
    </row>
    <row r="6" customFormat="false" ht="15" hidden="false" customHeight="false" outlineLevel="0" collapsed="false">
      <c r="A6" s="6" t="s">
        <v>158</v>
      </c>
      <c r="B6" s="23" t="n">
        <f aca="false">DDM!B11*B4</f>
        <v>6798</v>
      </c>
      <c r="C6" s="23" t="n">
        <f aca="false">DDM!B11*C4</f>
        <v>7440.63584385</v>
      </c>
      <c r="D6" s="23" t="n">
        <f aca="false">DDM!B11*D4</f>
        <v>8120.86358946</v>
      </c>
      <c r="E6" s="23" t="n">
        <f aca="false">DDM!B11*E4</f>
        <v>8833.65845194403</v>
      </c>
      <c r="F6" s="23" t="n">
        <f aca="false">DDM!B11*F4</f>
        <v>9576.65152519105</v>
      </c>
    </row>
    <row r="7" customFormat="false" ht="15" hidden="false" customHeight="false" outlineLevel="0" collapsed="false">
      <c r="A7" s="10" t="s">
        <v>18</v>
      </c>
      <c r="B7" s="27" t="n">
        <f aca="false">B5-B6</f>
        <v>4147.935</v>
      </c>
      <c r="C7" s="27" t="n">
        <f aca="false">C5-C6</f>
        <v>4352.49428115</v>
      </c>
      <c r="D7" s="27" t="n">
        <f aca="false">D5-D6</f>
        <v>4461.569993665</v>
      </c>
      <c r="E7" s="27" t="n">
        <f aca="false">E5-E6</f>
        <v>4524.72114616847</v>
      </c>
      <c r="F7" s="27" t="n">
        <f aca="false">F5-F6</f>
        <v>4535.68895081764</v>
      </c>
    </row>
    <row r="8" customFormat="false" ht="15" hidden="false" customHeight="false" outlineLevel="0" collapsed="false">
      <c r="A8" s="6" t="s">
        <v>147</v>
      </c>
      <c r="B8" s="7" t="n">
        <f aca="false">DDM!B7</f>
        <v>0.906618313689937</v>
      </c>
      <c r="C8" s="7" t="n">
        <f aca="false">DDM!C7</f>
        <v>0.821956766717984</v>
      </c>
      <c r="D8" s="7" t="n">
        <f aca="false">DDM!D7</f>
        <v>0.745201057767892</v>
      </c>
      <c r="E8" s="7" t="n">
        <f aca="false">DDM!E7</f>
        <v>0.675612926353483</v>
      </c>
      <c r="F8" s="7" t="n">
        <f aca="false">DDM!F7</f>
        <v>0.612523051997718</v>
      </c>
    </row>
    <row r="9" customFormat="false" ht="15" hidden="false" customHeight="false" outlineLevel="0" collapsed="false">
      <c r="A9" s="6" t="s">
        <v>159</v>
      </c>
      <c r="B9" s="23" t="n">
        <f aca="false">B7*B8</f>
        <v>3760.59383499547</v>
      </c>
      <c r="C9" s="23" t="n">
        <f aca="false">C7*C8</f>
        <v>3577.56212649257</v>
      </c>
      <c r="D9" s="23" t="n">
        <f aca="false">D7*D8</f>
        <v>3324.76667858464</v>
      </c>
      <c r="E9" s="23" t="n">
        <f aca="false">E7*E8</f>
        <v>3056.96009449636</v>
      </c>
      <c r="F9" s="23" t="n">
        <f aca="false">F7*F8</f>
        <v>2778.21403906714</v>
      </c>
    </row>
    <row r="11" customFormat="false" ht="15" hidden="false" customHeight="false" outlineLevel="0" collapsed="false">
      <c r="A11" s="6" t="s">
        <v>160</v>
      </c>
      <c r="B11" s="21" t="n">
        <f aca="false">'Driver Build'!D11</f>
        <v>66000</v>
      </c>
    </row>
    <row r="12" customFormat="false" ht="15" hidden="false" customHeight="false" outlineLevel="0" collapsed="false">
      <c r="A12" s="10" t="s">
        <v>161</v>
      </c>
      <c r="B12" s="27" t="n">
        <f aca="false">SUM(B9:F9)</f>
        <v>16498.0967736362</v>
      </c>
    </row>
    <row r="13" customFormat="false" ht="15" hidden="false" customHeight="false" outlineLevel="0" collapsed="false">
      <c r="A13" s="6" t="s">
        <v>162</v>
      </c>
      <c r="B13" s="23" t="n">
        <f aca="false">F7*(1+Assumptions!$B$11)</f>
        <v>4739.79495360443</v>
      </c>
    </row>
    <row r="14" customFormat="false" ht="15" hidden="false" customHeight="false" outlineLevel="0" collapsed="false">
      <c r="A14" s="6" t="s">
        <v>137</v>
      </c>
      <c r="B14" s="23" t="n">
        <f aca="false">B13/(DDM!B11-Assumptions!$B$11)</f>
        <v>81720.6026483522</v>
      </c>
    </row>
    <row r="15" customFormat="false" ht="15" hidden="false" customHeight="false" outlineLevel="0" collapsed="false">
      <c r="A15" s="6" t="s">
        <v>138</v>
      </c>
      <c r="B15" s="23" t="n">
        <f aca="false">B14*F8</f>
        <v>50055.7529452615</v>
      </c>
    </row>
    <row r="16" customFormat="false" ht="15" hidden="false" customHeight="false" outlineLevel="0" collapsed="false">
      <c r="A16" s="10" t="s">
        <v>163</v>
      </c>
      <c r="B16" s="27" t="n">
        <f aca="false">B11+B12+B15</f>
        <v>132553.849718898</v>
      </c>
    </row>
    <row r="17" customFormat="false" ht="15" hidden="false" customHeight="false" outlineLevel="0" collapsed="false">
      <c r="A17" s="10" t="s">
        <v>164</v>
      </c>
      <c r="B17" s="11" t="n">
        <f aca="false">B16/Assumptions!$B$5</f>
        <v>33.2381769606062</v>
      </c>
    </row>
    <row r="18" customFormat="false" ht="15" hidden="false" customHeight="false" outlineLevel="0" collapsed="false">
      <c r="A18" s="6" t="s">
        <v>165</v>
      </c>
      <c r="B18" s="14" t="n">
        <f aca="false">B16/B11</f>
        <v>2.00839166240754</v>
      </c>
    </row>
    <row r="20" customFormat="false" ht="15" hidden="false" customHeight="false" outlineLevel="0" collapsed="false">
      <c r="A20" s="10" t="s">
        <v>166</v>
      </c>
    </row>
    <row r="21" customFormat="false" ht="15" hidden="false" customHeight="false" outlineLevel="0" collapsed="false">
      <c r="A21" s="6" t="s">
        <v>167</v>
      </c>
      <c r="B21" s="8" t="n">
        <f aca="false">Assumptions!$B$30</f>
        <v>0.145</v>
      </c>
    </row>
    <row r="22" customFormat="false" ht="15" hidden="false" customHeight="false" outlineLevel="0" collapsed="false">
      <c r="A22" s="6" t="s">
        <v>168</v>
      </c>
      <c r="B22" s="22" t="n">
        <f aca="false">DDM!B11</f>
        <v>0.103</v>
      </c>
    </row>
    <row r="23" customFormat="false" ht="15" hidden="false" customHeight="false" outlineLevel="0" collapsed="false">
      <c r="A23" s="6" t="s">
        <v>55</v>
      </c>
      <c r="B23" s="8" t="n">
        <f aca="false">Assumptions!$B$11</f>
        <v>0.045</v>
      </c>
    </row>
    <row r="24" customFormat="false" ht="15" hidden="false" customHeight="false" outlineLevel="0" collapsed="false">
      <c r="A24" s="6" t="s">
        <v>169</v>
      </c>
      <c r="B24" s="14" t="n">
        <f aca="false">ROUND((B21-B23)/(B22-B23),2)</f>
        <v>1.72</v>
      </c>
    </row>
    <row r="25" customFormat="false" ht="15" hidden="false" customHeight="false" outlineLevel="0" collapsed="false">
      <c r="A25" s="6" t="s">
        <v>90</v>
      </c>
      <c r="B25" s="7" t="n">
        <f aca="false">Assumptions!$B$35</f>
        <v>16.55</v>
      </c>
    </row>
    <row r="26" customFormat="false" ht="15" hidden="false" customHeight="false" outlineLevel="0" collapsed="false">
      <c r="A26" s="10" t="s">
        <v>170</v>
      </c>
      <c r="B26" s="11" t="n">
        <f aca="false">B24*B25</f>
        <v>28.466</v>
      </c>
    </row>
    <row r="28" customFormat="false" ht="15" hidden="false" customHeight="false" outlineLevel="0" collapsed="false">
      <c r="A28" s="9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16.15" hidden="false" customHeight="false" outlineLevel="0" collapsed="false">
      <c r="A1" s="2" t="s">
        <v>172</v>
      </c>
    </row>
    <row r="3" customFormat="false" ht="15" hidden="false" customHeight="false" outlineLevel="0" collapsed="false">
      <c r="A3" s="5" t="s">
        <v>173</v>
      </c>
      <c r="B3" s="5" t="s">
        <v>34</v>
      </c>
      <c r="C3" s="5" t="s">
        <v>36</v>
      </c>
    </row>
    <row r="4" customFormat="false" ht="15" hidden="false" customHeight="false" outlineLevel="0" collapsed="false">
      <c r="A4" s="6" t="s">
        <v>87</v>
      </c>
      <c r="B4" s="28" t="n">
        <f aca="false">Assumptions!$B$33</f>
        <v>1.4</v>
      </c>
    </row>
    <row r="5" customFormat="false" ht="15" hidden="false" customHeight="false" outlineLevel="0" collapsed="false">
      <c r="A5" s="6" t="s">
        <v>174</v>
      </c>
      <c r="B5" s="7" t="n">
        <f aca="false">Assumptions!$B$35</f>
        <v>16.55</v>
      </c>
    </row>
    <row r="6" customFormat="false" ht="15" hidden="false" customHeight="false" outlineLevel="0" collapsed="false">
      <c r="A6" s="6" t="s">
        <v>175</v>
      </c>
      <c r="B6" s="24" t="n">
        <f aca="false">B4*B5</f>
        <v>23.17</v>
      </c>
    </row>
    <row r="7" customFormat="false" ht="15" hidden="false" customHeight="false" outlineLevel="0" collapsed="false">
      <c r="A7" s="6" t="s">
        <v>176</v>
      </c>
      <c r="B7" s="28" t="n">
        <f aca="false">Assumptions!$B$34</f>
        <v>9.5</v>
      </c>
    </row>
    <row r="8" customFormat="false" ht="15" hidden="false" customHeight="false" outlineLevel="0" collapsed="false">
      <c r="A8" s="6" t="s">
        <v>177</v>
      </c>
      <c r="B8" s="7" t="n">
        <f aca="false">DDM!B4</f>
        <v>2.74471790371113</v>
      </c>
    </row>
    <row r="9" customFormat="false" ht="15" hidden="false" customHeight="false" outlineLevel="0" collapsed="false">
      <c r="A9" s="6" t="s">
        <v>178</v>
      </c>
      <c r="B9" s="24" t="n">
        <f aca="false">B7*B8</f>
        <v>26.0748200852558</v>
      </c>
    </row>
    <row r="10" customFormat="false" ht="15" hidden="false" customHeight="false" outlineLevel="0" collapsed="false">
      <c r="A10" s="10" t="s">
        <v>179</v>
      </c>
      <c r="B10" s="11" t="n">
        <f aca="false">AVERAGE(B6,B9)</f>
        <v>24.6224100426279</v>
      </c>
    </row>
    <row r="12" customFormat="false" ht="15" hidden="false" customHeight="false" outlineLevel="0" collapsed="false">
      <c r="A12" s="6" t="s">
        <v>180</v>
      </c>
      <c r="B12" s="8" t="n">
        <f aca="false">Assumptions!$B$31</f>
        <v>0.14</v>
      </c>
    </row>
    <row r="13" customFormat="false" ht="15" hidden="false" customHeight="false" outlineLevel="0" collapsed="false">
      <c r="A13" s="6" t="s">
        <v>181</v>
      </c>
      <c r="B13" s="24" t="n">
        <f aca="false">B12*Assumptions!$B$35</f>
        <v>2.317</v>
      </c>
    </row>
    <row r="14" customFormat="false" ht="15" hidden="false" customHeight="false" outlineLevel="0" collapsed="false">
      <c r="A14" s="6" t="s">
        <v>85</v>
      </c>
      <c r="B14" s="28" t="n">
        <f aca="false">Assumptions!$B$32</f>
        <v>9</v>
      </c>
    </row>
    <row r="15" customFormat="false" ht="15" hidden="false" customHeight="false" outlineLevel="0" collapsed="false">
      <c r="A15" s="10" t="s">
        <v>182</v>
      </c>
      <c r="B15" s="11" t="n">
        <f aca="false">B13*B14</f>
        <v>20.853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2"/>
  </cols>
  <sheetData>
    <row r="1" customFormat="false" ht="16.15" hidden="false" customHeight="false" outlineLevel="0" collapsed="false">
      <c r="A1" s="2" t="s">
        <v>183</v>
      </c>
    </row>
    <row r="3" customFormat="false" ht="15" hidden="false" customHeight="false" outlineLevel="0" collapsed="false">
      <c r="A3" s="5" t="s">
        <v>184</v>
      </c>
      <c r="B3" s="5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113</v>
      </c>
      <c r="I3" s="5" t="s">
        <v>114</v>
      </c>
    </row>
    <row r="4" customFormat="false" ht="15" hidden="false" customHeight="false" outlineLevel="0" collapsed="false">
      <c r="A4" s="6" t="s">
        <v>185</v>
      </c>
      <c r="B4" s="17" t="n">
        <v>8300</v>
      </c>
      <c r="C4" s="17" t="n">
        <v>8900</v>
      </c>
      <c r="D4" s="17" t="n">
        <v>9700</v>
      </c>
      <c r="E4" s="23" t="n">
        <v>10400</v>
      </c>
      <c r="F4" s="23" t="n">
        <v>11000</v>
      </c>
      <c r="G4" s="23" t="n">
        <v>11600</v>
      </c>
      <c r="H4" s="23" t="n">
        <v>12200</v>
      </c>
      <c r="I4" s="23" t="n">
        <v>12800</v>
      </c>
    </row>
    <row r="5" customFormat="false" ht="15" hidden="false" customHeight="false" outlineLevel="0" collapsed="false">
      <c r="A5" s="6" t="s">
        <v>186</v>
      </c>
      <c r="B5" s="17" t="n">
        <v>2400</v>
      </c>
      <c r="C5" s="17" t="n">
        <v>2700</v>
      </c>
      <c r="D5" s="17" t="n">
        <v>3200</v>
      </c>
      <c r="E5" s="23" t="n">
        <v>3650</v>
      </c>
      <c r="F5" s="23" t="n">
        <v>4050</v>
      </c>
      <c r="G5" s="23" t="n">
        <v>4400</v>
      </c>
      <c r="H5" s="23" t="n">
        <v>4750</v>
      </c>
      <c r="I5" s="23" t="n">
        <v>5050</v>
      </c>
    </row>
    <row r="6" customFormat="false" ht="15" hidden="false" customHeight="false" outlineLevel="0" collapsed="false">
      <c r="A6" s="6" t="s">
        <v>187</v>
      </c>
      <c r="B6" s="17" t="n">
        <v>1500</v>
      </c>
      <c r="C6" s="17" t="n">
        <v>1700</v>
      </c>
      <c r="D6" s="17" t="n">
        <v>2000</v>
      </c>
      <c r="E6" s="23" t="n">
        <v>2100</v>
      </c>
      <c r="F6" s="23" t="n">
        <v>2200</v>
      </c>
      <c r="G6" s="23" t="n">
        <v>2300</v>
      </c>
      <c r="H6" s="23" t="n">
        <v>2400</v>
      </c>
      <c r="I6" s="23" t="n">
        <v>2500</v>
      </c>
    </row>
    <row r="7" customFormat="false" ht="15" hidden="false" customHeight="false" outlineLevel="0" collapsed="false">
      <c r="A7" s="10" t="s">
        <v>188</v>
      </c>
      <c r="B7" s="27" t="n">
        <f aca="false">SUM(B4:B6)</f>
        <v>12200</v>
      </c>
      <c r="C7" s="27" t="n">
        <f aca="false">SUM(C4:C6)</f>
        <v>13300</v>
      </c>
      <c r="D7" s="27" t="n">
        <f aca="false">SUM(D4:D6)</f>
        <v>14900</v>
      </c>
      <c r="E7" s="27" t="n">
        <f aca="false">E4+E5+E6</f>
        <v>16150</v>
      </c>
      <c r="F7" s="27" t="n">
        <f aca="false">F4+F5+F6</f>
        <v>17250</v>
      </c>
      <c r="G7" s="27" t="n">
        <f aca="false">G4+G5+G6</f>
        <v>18300</v>
      </c>
      <c r="H7" s="27" t="n">
        <f aca="false">H4+H5+H6</f>
        <v>19350</v>
      </c>
      <c r="I7" s="27" t="n">
        <f aca="false">I4+I5+I6</f>
        <v>20350</v>
      </c>
    </row>
    <row r="8" customFormat="false" ht="15" hidden="false" customHeight="false" outlineLevel="0" collapsed="false">
      <c r="A8" s="10" t="s">
        <v>189</v>
      </c>
      <c r="B8" s="17" t="n">
        <v>8036</v>
      </c>
      <c r="C8" s="17" t="n">
        <v>9322</v>
      </c>
      <c r="D8" s="17" t="n">
        <v>10411</v>
      </c>
      <c r="E8" s="21" t="n">
        <f aca="false">'Driver Build'!E4</f>
        <v>11295.935</v>
      </c>
      <c r="F8" s="21" t="n">
        <f aca="false">'Driver Build'!F4</f>
        <v>12143.130125</v>
      </c>
      <c r="G8" s="21" t="n">
        <f aca="false">'Driver Build'!G4</f>
        <v>12932.433583125</v>
      </c>
      <c r="H8" s="21" t="n">
        <f aca="false">'Driver Build'!H4</f>
        <v>13708.3795981125</v>
      </c>
      <c r="I8" s="21" t="n">
        <f aca="false">'Driver Build'!I4</f>
        <v>14462.3404760087</v>
      </c>
    </row>
    <row r="9" customFormat="false" ht="15" hidden="false" customHeight="false" outlineLevel="0" collapsed="false">
      <c r="A9" s="6" t="s">
        <v>190</v>
      </c>
      <c r="B9" s="16" t="n">
        <v>1.927</v>
      </c>
      <c r="C9" s="16" t="n">
        <v>2.25</v>
      </c>
      <c r="D9" s="16" t="n">
        <v>2.523</v>
      </c>
      <c r="E9" s="7" t="n">
        <f aca="false">DDM!B4</f>
        <v>2.74471790371113</v>
      </c>
      <c r="F9" s="7" t="n">
        <f aca="false">DDM!C4</f>
        <v>2.95715399322969</v>
      </c>
      <c r="G9" s="7" t="n">
        <f aca="false">DDM!D4</f>
        <v>3.15507361663114</v>
      </c>
      <c r="H9" s="7" t="n">
        <f aca="false">DDM!E4</f>
        <v>3.34964383102119</v>
      </c>
      <c r="I9" s="7" t="n">
        <f aca="false">DDM!F4</f>
        <v>3.53870122267018</v>
      </c>
    </row>
    <row r="11" customFormat="false" ht="15" hidden="false" customHeight="false" outlineLevel="0" collapsed="false">
      <c r="A11" s="9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2"/>
  </cols>
  <sheetData>
    <row r="1" customFormat="false" ht="16.15" hidden="false" customHeight="false" outlineLevel="0" collapsed="false">
      <c r="A1" s="2" t="s">
        <v>192</v>
      </c>
    </row>
    <row r="3" customFormat="false" ht="15" hidden="false" customHeight="false" outlineLevel="0" collapsed="false">
      <c r="A3" s="5" t="s">
        <v>184</v>
      </c>
      <c r="B3" s="5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113</v>
      </c>
      <c r="I3" s="5" t="s">
        <v>114</v>
      </c>
    </row>
    <row r="4" customFormat="false" ht="15" hidden="false" customHeight="false" outlineLevel="0" collapsed="false">
      <c r="A4" s="6" t="s">
        <v>193</v>
      </c>
      <c r="B4" s="17" t="n">
        <v>282000</v>
      </c>
      <c r="C4" s="17" t="n">
        <v>320090</v>
      </c>
      <c r="D4" s="17" t="n">
        <v>373305</v>
      </c>
      <c r="E4" s="21" t="n">
        <f aca="false">'Driver Build'!E8</f>
        <v>406902.45</v>
      </c>
      <c r="F4" s="21" t="n">
        <f aca="false">'Driver Build'!F8</f>
        <v>441489.15825</v>
      </c>
      <c r="G4" s="21" t="n">
        <f aca="false">'Driver Build'!G8</f>
        <v>476808.29091</v>
      </c>
      <c r="H4" s="21" t="n">
        <f aca="false">'Driver Build'!H8</f>
        <v>512568.91272825</v>
      </c>
      <c r="I4" s="21" t="n">
        <f aca="false">'Driver Build'!I8</f>
        <v>548448.736619227</v>
      </c>
    </row>
    <row r="5" customFormat="false" ht="15" hidden="false" customHeight="false" outlineLevel="0" collapsed="false">
      <c r="A5" s="6" t="s">
        <v>194</v>
      </c>
      <c r="B5" s="17" t="n">
        <v>386849</v>
      </c>
      <c r="C5" s="17" t="n">
        <v>450379</v>
      </c>
      <c r="D5" s="17" t="n">
        <v>519481</v>
      </c>
      <c r="E5" s="21" t="n">
        <f aca="false">'Driver Build'!E9</f>
        <v>563896.6255</v>
      </c>
      <c r="F5" s="21" t="n">
        <f aca="false">'Driver Build'!F9</f>
        <v>609431.278009125</v>
      </c>
      <c r="G5" s="21" t="n">
        <f aca="false">'Driver Build'!G9</f>
        <v>655748.055137819</v>
      </c>
      <c r="H5" s="21" t="n">
        <f aca="false">'Driver Build'!H9</f>
        <v>702470.104066388</v>
      </c>
      <c r="I5" s="21" t="n">
        <f aca="false">'Driver Build'!I9</f>
        <v>749184.365986803</v>
      </c>
    </row>
    <row r="6" customFormat="false" ht="15" hidden="false" customHeight="false" outlineLevel="0" collapsed="false">
      <c r="A6" s="6" t="s">
        <v>195</v>
      </c>
      <c r="B6" s="17" t="n">
        <v>275000</v>
      </c>
      <c r="C6" s="17" t="n">
        <v>306412</v>
      </c>
      <c r="D6" s="17" t="n">
        <v>331721</v>
      </c>
      <c r="E6" s="23" t="n">
        <v>358259</v>
      </c>
      <c r="F6" s="23" t="n">
        <v>385128</v>
      </c>
      <c r="G6" s="23" t="n">
        <v>412087</v>
      </c>
      <c r="H6" s="23" t="n">
        <v>440933</v>
      </c>
      <c r="I6" s="23" t="n">
        <v>469594</v>
      </c>
    </row>
    <row r="7" customFormat="false" ht="15" hidden="false" customHeight="false" outlineLevel="0" collapsed="false">
      <c r="A7" s="6" t="s">
        <v>196</v>
      </c>
      <c r="B7" s="17" t="n">
        <v>52258</v>
      </c>
      <c r="C7" s="17" t="n">
        <v>59942</v>
      </c>
      <c r="D7" s="17" t="n">
        <v>66000</v>
      </c>
      <c r="E7" s="21" t="n">
        <f aca="false">'Driver Build'!E11</f>
        <v>72239.18295</v>
      </c>
      <c r="F7" s="21" t="n">
        <f aca="false">'Driver Build'!F11</f>
        <v>78843.33582</v>
      </c>
      <c r="G7" s="21" t="n">
        <f aca="false">'Driver Build'!G11</f>
        <v>85763.6742907188</v>
      </c>
      <c r="H7" s="21" t="n">
        <f aca="false">'Driver Build'!H11</f>
        <v>92977.1992736995</v>
      </c>
      <c r="I7" s="21" t="n">
        <f aca="false">'Driver Build'!I11</f>
        <v>100456.739725984</v>
      </c>
    </row>
    <row r="8" customFormat="false" ht="15" hidden="false" customHeight="false" outlineLevel="0" collapsed="false">
      <c r="A8" s="6" t="s">
        <v>43</v>
      </c>
      <c r="B8" s="21" t="n">
        <f aca="false">Assumptions!$B$6</f>
        <v>8000</v>
      </c>
      <c r="C8" s="21" t="n">
        <f aca="false">Assumptions!$B$6</f>
        <v>8000</v>
      </c>
      <c r="D8" s="21" t="n">
        <f aca="false">Assumptions!$B$6</f>
        <v>8000</v>
      </c>
      <c r="E8" s="21" t="n">
        <f aca="false">Assumptions!$B$6</f>
        <v>8000</v>
      </c>
      <c r="F8" s="21" t="n">
        <f aca="false">Assumptions!$B$6</f>
        <v>8000</v>
      </c>
      <c r="G8" s="21" t="n">
        <f aca="false">Assumptions!$B$6</f>
        <v>8000</v>
      </c>
      <c r="H8" s="21" t="n">
        <f aca="false">Assumptions!$B$6</f>
        <v>8000</v>
      </c>
      <c r="I8" s="21" t="n">
        <f aca="false">Assumptions!$B$6</f>
        <v>8000</v>
      </c>
    </row>
    <row r="9" customFormat="false" ht="15" hidden="false" customHeight="false" outlineLevel="0" collapsed="false">
      <c r="A9" s="10" t="s">
        <v>197</v>
      </c>
      <c r="B9" s="27" t="n">
        <f aca="false">B7+B8</f>
        <v>60258</v>
      </c>
      <c r="C9" s="27" t="n">
        <f aca="false">C7+C8</f>
        <v>67942</v>
      </c>
      <c r="D9" s="27" t="n">
        <f aca="false">D7+D8</f>
        <v>74000</v>
      </c>
      <c r="E9" s="27" t="n">
        <f aca="false">E7+E8</f>
        <v>80239.18295</v>
      </c>
      <c r="F9" s="27" t="n">
        <f aca="false">F7+F8</f>
        <v>86843.33582</v>
      </c>
      <c r="G9" s="27" t="n">
        <f aca="false">G7+G8</f>
        <v>93763.6742907188</v>
      </c>
      <c r="H9" s="27" t="n">
        <f aca="false">H7+H8</f>
        <v>100977.1992737</v>
      </c>
      <c r="I9" s="27" t="n">
        <f aca="false">I7+I8</f>
        <v>108456.739725984</v>
      </c>
    </row>
    <row r="10" customFormat="false" ht="15" hidden="false" customHeight="false" outlineLevel="0" collapsed="false">
      <c r="A10" s="6" t="s">
        <v>198</v>
      </c>
      <c r="B10" s="21" t="n">
        <f aca="false">'Driver Build'!B10</f>
        <v>278531.28</v>
      </c>
      <c r="C10" s="21" t="n">
        <f aca="false">'Driver Build'!C10</f>
        <v>324272.88</v>
      </c>
      <c r="D10" s="21" t="n">
        <f aca="false">'Driver Build'!D10</f>
        <v>374026.32</v>
      </c>
      <c r="E10" s="21" t="n">
        <f aca="false">'Driver Build'!E10</f>
        <v>406005.57036</v>
      </c>
      <c r="F10" s="21" t="n">
        <f aca="false">'Driver Build'!F10</f>
        <v>438790.52016657</v>
      </c>
      <c r="G10" s="21" t="n">
        <f aca="false">'Driver Build'!G10</f>
        <v>472138.599699229</v>
      </c>
      <c r="H10" s="21" t="n">
        <f aca="false">'Driver Build'!H10</f>
        <v>505778.4749278</v>
      </c>
      <c r="I10" s="21" t="n">
        <f aca="false">'Driver Build'!I10</f>
        <v>539412.743510498</v>
      </c>
    </row>
    <row r="11" customFormat="false" ht="15" hidden="false" customHeight="false" outlineLevel="0" collapsed="false">
      <c r="A11" s="6" t="s">
        <v>125</v>
      </c>
      <c r="B11" s="15" t="n">
        <f aca="false">B7/B10</f>
        <v>0.18761986086446</v>
      </c>
      <c r="C11" s="15" t="n">
        <f aca="false">C7/C10</f>
        <v>0.184850487651018</v>
      </c>
      <c r="D11" s="15" t="n">
        <f aca="false">D7/D10</f>
        <v>0.176458170109526</v>
      </c>
      <c r="E11" s="15" t="n">
        <f aca="false">E7/E10</f>
        <v>0.177926580874116</v>
      </c>
      <c r="F11" s="15" t="n">
        <f aca="false">F7/F10</f>
        <v>0.179683316289673</v>
      </c>
      <c r="G11" s="15" t="n">
        <f aca="false">G7/G10</f>
        <v>0.18164935962735</v>
      </c>
      <c r="H11" s="15" t="n">
        <f aca="false">H7/H10</f>
        <v>0.183829885775531</v>
      </c>
      <c r="I11" s="15" t="n">
        <f aca="false">I7/I10</f>
        <v>0.186233530695274</v>
      </c>
    </row>
    <row r="12" customFormat="false" ht="15" hidden="false" customHeight="false" outlineLevel="0" collapsed="false">
      <c r="A12" s="6" t="s">
        <v>199</v>
      </c>
      <c r="B12" s="24" t="n">
        <f aca="false">B7/Assumptions!$B$5</f>
        <v>13.1038114343029</v>
      </c>
      <c r="C12" s="24" t="n">
        <f aca="false">C7/Assumptions!$B$5</f>
        <v>15.030591775326</v>
      </c>
      <c r="D12" s="24" t="n">
        <f aca="false">D7/Assumptions!$B$5</f>
        <v>16.5496489468405</v>
      </c>
      <c r="E12" s="24" t="n">
        <f aca="false">E7/Assumptions!$B$5</f>
        <v>18.1141381519559</v>
      </c>
      <c r="F12" s="24" t="n">
        <f aca="false">F7/Assumptions!$B$5</f>
        <v>19.7701443881645</v>
      </c>
      <c r="G12" s="24" t="n">
        <f aca="false">G7/Assumptions!$B$5</f>
        <v>21.5054348773116</v>
      </c>
      <c r="H12" s="24" t="n">
        <f aca="false">H7/Assumptions!$B$5</f>
        <v>23.3142425460631</v>
      </c>
      <c r="I12" s="24" t="n">
        <f aca="false">I7/Assumptions!$B$5</f>
        <v>25.1897541940783</v>
      </c>
    </row>
    <row r="14" customFormat="false" ht="15" hidden="false" customHeight="false" outlineLevel="0" collapsed="false">
      <c r="A14" s="9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2"/>
  </cols>
  <sheetData>
    <row r="1" customFormat="false" ht="16.15" hidden="false" customHeight="false" outlineLevel="0" collapsed="false">
      <c r="A1" s="2" t="s">
        <v>201</v>
      </c>
    </row>
    <row r="3" customFormat="false" ht="15" hidden="false" customHeight="false" outlineLevel="0" collapsed="false">
      <c r="A3" s="5" t="s">
        <v>184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</row>
    <row r="4" customFormat="false" ht="15" hidden="false" customHeight="false" outlineLevel="0" collapsed="false">
      <c r="A4" s="6" t="s">
        <v>143</v>
      </c>
      <c r="B4" s="21" t="n">
        <f aca="false">'Driver Build'!E4</f>
        <v>11295.935</v>
      </c>
      <c r="C4" s="21" t="n">
        <f aca="false">'Driver Build'!F4</f>
        <v>12143.130125</v>
      </c>
      <c r="D4" s="21" t="n">
        <f aca="false">'Driver Build'!G4</f>
        <v>12932.433583125</v>
      </c>
      <c r="E4" s="21" t="n">
        <f aca="false">'Driver Build'!H4</f>
        <v>13708.3795981125</v>
      </c>
      <c r="F4" s="21" t="n">
        <f aca="false">'Driver Build'!I4</f>
        <v>14462.3404760087</v>
      </c>
    </row>
    <row r="5" customFormat="false" ht="15" hidden="false" customHeight="false" outlineLevel="0" collapsed="false">
      <c r="A5" s="6" t="s">
        <v>202</v>
      </c>
      <c r="B5" s="23" t="n">
        <f aca="false">-'Driver Build'!E12</f>
        <v>-4706.75205</v>
      </c>
      <c r="C5" s="23" t="n">
        <f aca="false">-'Driver Build'!F12</f>
        <v>-5188.977255</v>
      </c>
      <c r="D5" s="23" t="n">
        <f aca="false">-'Driver Build'!G12</f>
        <v>-5662.09511240625</v>
      </c>
      <c r="E5" s="23" t="n">
        <f aca="false">-'Driver Build'!H12</f>
        <v>-6144.85461513175</v>
      </c>
      <c r="F5" s="23" t="n">
        <f aca="false">-'Driver Build'!I12</f>
        <v>-6632.80002372408</v>
      </c>
    </row>
    <row r="6" customFormat="false" ht="15" hidden="false" customHeight="false" outlineLevel="0" collapsed="false">
      <c r="A6" s="6" t="s">
        <v>203</v>
      </c>
      <c r="B6" s="21" t="n">
        <f aca="false">-FCFE!B6</f>
        <v>-5116.68005759999</v>
      </c>
      <c r="C6" s="21" t="n">
        <f aca="false">-FCFE!C6</f>
        <v>-5245.59196905121</v>
      </c>
      <c r="D6" s="21" t="n">
        <f aca="false">-FCFE!D6</f>
        <v>-5335.69272522549</v>
      </c>
      <c r="E6" s="21" t="n">
        <f aca="false">-FCFE!E6</f>
        <v>-5382.38003657122</v>
      </c>
      <c r="F6" s="21" t="n">
        <f aca="false">-FCFE!F6</f>
        <v>-5381.4829732318</v>
      </c>
    </row>
    <row r="7" customFormat="false" ht="15" hidden="false" customHeight="false" outlineLevel="0" collapsed="false">
      <c r="A7" s="10" t="s">
        <v>204</v>
      </c>
      <c r="B7" s="27" t="n">
        <f aca="false">B4+B5+B6</f>
        <v>1472.50289240001</v>
      </c>
      <c r="C7" s="27" t="n">
        <f aca="false">C4+C5+C6</f>
        <v>1708.56090094879</v>
      </c>
      <c r="D7" s="27" t="n">
        <f aca="false">D4+D5+D6</f>
        <v>1934.64574549326</v>
      </c>
      <c r="E7" s="27" t="n">
        <f aca="false">E4+E5+E6</f>
        <v>2181.14494640953</v>
      </c>
      <c r="F7" s="27" t="n">
        <f aca="false">F4+F5+F6</f>
        <v>2448.05747905281</v>
      </c>
    </row>
    <row r="8" customFormat="false" ht="15" hidden="false" customHeight="false" outlineLevel="0" collapsed="false">
      <c r="A8" s="6" t="s">
        <v>205</v>
      </c>
      <c r="B8" s="21" t="n">
        <f aca="false">FCFE!B7</f>
        <v>6179.25494240001</v>
      </c>
      <c r="C8" s="21" t="n">
        <f aca="false">FCFE!C7</f>
        <v>6897.53815594879</v>
      </c>
      <c r="D8" s="21" t="n">
        <f aca="false">FCFE!D7</f>
        <v>7596.74085789951</v>
      </c>
      <c r="E8" s="21" t="n">
        <f aca="false">FCFE!E7</f>
        <v>8325.99956154128</v>
      </c>
      <c r="F8" s="21" t="n">
        <f aca="false">FCFE!F7</f>
        <v>9080.85750277689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2"/>
  </cols>
  <sheetData>
    <row r="1" customFormat="false" ht="16.15" hidden="false" customHeight="false" outlineLevel="0" collapsed="false">
      <c r="A1" s="2" t="s">
        <v>206</v>
      </c>
    </row>
    <row r="3" customFormat="false" ht="15" hidden="false" customHeight="false" outlineLevel="0" collapsed="false">
      <c r="A3" s="5" t="s">
        <v>207</v>
      </c>
      <c r="B3" s="5" t="s">
        <v>208</v>
      </c>
      <c r="C3" s="5" t="s">
        <v>209</v>
      </c>
      <c r="D3" s="5" t="s">
        <v>210</v>
      </c>
      <c r="E3" s="5" t="s">
        <v>211</v>
      </c>
      <c r="F3" s="5" t="s">
        <v>212</v>
      </c>
    </row>
    <row r="4" customFormat="false" ht="15" hidden="false" customHeight="false" outlineLevel="0" collapsed="false">
      <c r="A4" s="6" t="s">
        <v>213</v>
      </c>
      <c r="B4" s="16" t="n">
        <v>18.27</v>
      </c>
      <c r="C4" s="16" t="n">
        <v>19.49</v>
      </c>
      <c r="D4" s="16" t="n">
        <v>20.22</v>
      </c>
      <c r="E4" s="16" t="n">
        <v>20.99</v>
      </c>
      <c r="F4" s="16" t="n">
        <v>22.43</v>
      </c>
    </row>
    <row r="5" customFormat="false" ht="15" hidden="false" customHeight="false" outlineLevel="0" collapsed="false">
      <c r="A5" s="6" t="s">
        <v>214</v>
      </c>
      <c r="B5" s="16" t="n">
        <v>16.95</v>
      </c>
      <c r="C5" s="16" t="n">
        <v>18.97</v>
      </c>
      <c r="D5" s="16" t="n">
        <v>20.22</v>
      </c>
      <c r="E5" s="16" t="n">
        <v>21.57</v>
      </c>
      <c r="F5" s="16" t="n">
        <v>24.19</v>
      </c>
    </row>
    <row r="7" customFormat="false" ht="15" hidden="false" customHeight="false" outlineLevel="0" collapsed="false">
      <c r="A7" s="6" t="s">
        <v>215</v>
      </c>
      <c r="B7" s="7" t="n">
        <f aca="false">C5</f>
        <v>18.97</v>
      </c>
      <c r="C7" s="6" t="s">
        <v>216</v>
      </c>
      <c r="D7" s="7" t="n">
        <f aca="false">E5</f>
        <v>21.57</v>
      </c>
    </row>
    <row r="8" customFormat="false" ht="15" hidden="false" customHeight="false" outlineLevel="0" collapsed="false">
      <c r="A8" s="6" t="s">
        <v>217</v>
      </c>
      <c r="B8" s="7" t="n">
        <f aca="false">B5</f>
        <v>16.95</v>
      </c>
      <c r="C8" s="6" t="s">
        <v>216</v>
      </c>
      <c r="D8" s="7" t="n">
        <f aca="false">F5</f>
        <v>24.19</v>
      </c>
    </row>
    <row r="10" customFormat="false" ht="15" hidden="false" customHeight="false" outlineLevel="0" collapsed="false">
      <c r="A10" s="6" t="s">
        <v>218</v>
      </c>
      <c r="B10" s="20" t="n">
        <v>0.233</v>
      </c>
    </row>
    <row r="14" customFormat="false" ht="15" hidden="false" customHeight="false" outlineLevel="0" collapsed="false">
      <c r="A14" s="9" t="s">
        <v>219</v>
      </c>
    </row>
    <row r="16" customFormat="false" ht="15" hidden="false" customHeight="false" outlineLevel="0" collapsed="false">
      <c r="A16" s="5" t="s">
        <v>220</v>
      </c>
      <c r="B16" s="5" t="s">
        <v>221</v>
      </c>
      <c r="C16" s="5" t="s">
        <v>222</v>
      </c>
    </row>
    <row r="17" customFormat="false" ht="15" hidden="false" customHeight="false" outlineLevel="0" collapsed="false">
      <c r="A17" s="16" t="n">
        <v>17.2</v>
      </c>
      <c r="B17" s="20" t="n">
        <v>0.019</v>
      </c>
      <c r="C17" s="20" t="n">
        <v>0.109</v>
      </c>
    </row>
    <row r="18" customFormat="false" ht="15" hidden="false" customHeight="false" outlineLevel="0" collapsed="false">
      <c r="A18" s="16" t="n">
        <v>18.21</v>
      </c>
      <c r="B18" s="20" t="n">
        <v>0.075</v>
      </c>
      <c r="C18" s="20" t="n">
        <v>0.252</v>
      </c>
    </row>
    <row r="19" customFormat="false" ht="15" hidden="false" customHeight="false" outlineLevel="0" collapsed="false">
      <c r="A19" s="16" t="n">
        <v>19.22</v>
      </c>
      <c r="B19" s="20" t="n">
        <v>0.298</v>
      </c>
      <c r="C19" s="20" t="n">
        <v>0.536</v>
      </c>
    </row>
    <row r="20" customFormat="false" ht="15" hidden="false" customHeight="false" outlineLevel="0" collapsed="false">
      <c r="A20" s="16" t="n">
        <v>20.23</v>
      </c>
      <c r="B20" s="20" t="n">
        <v>1</v>
      </c>
      <c r="C20" s="20" t="n">
        <v>1</v>
      </c>
    </row>
    <row r="21" customFormat="false" ht="15" hidden="false" customHeight="false" outlineLevel="0" collapsed="false">
      <c r="A21" s="16" t="n">
        <v>21.24</v>
      </c>
      <c r="B21" s="20" t="n">
        <v>0.322</v>
      </c>
      <c r="C21" s="20" t="n">
        <v>0.552</v>
      </c>
    </row>
    <row r="22" customFormat="false" ht="15" hidden="false" customHeight="false" outlineLevel="0" collapsed="false">
      <c r="A22" s="16" t="n">
        <v>22.25</v>
      </c>
      <c r="B22" s="20" t="n">
        <v>0.097</v>
      </c>
      <c r="C22" s="20" t="n">
        <v>0.293</v>
      </c>
    </row>
    <row r="23" customFormat="false" ht="15" hidden="false" customHeight="false" outlineLevel="0" collapsed="false">
      <c r="A23" s="16" t="n">
        <v>23.26</v>
      </c>
      <c r="B23" s="20" t="n">
        <v>0.032</v>
      </c>
      <c r="C23" s="20" t="n">
        <v>0.153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12"/>
  </cols>
  <sheetData>
    <row r="1" customFormat="false" ht="16.15" hidden="false" customHeight="false" outlineLevel="0" collapsed="false">
      <c r="A1" s="2" t="s">
        <v>223</v>
      </c>
    </row>
    <row r="3" customFormat="false" ht="15" hidden="false" customHeight="false" outlineLevel="0" collapsed="false">
      <c r="A3" s="5" t="s">
        <v>224</v>
      </c>
      <c r="B3" s="5" t="s">
        <v>225</v>
      </c>
      <c r="C3" s="5" t="s">
        <v>226</v>
      </c>
      <c r="D3" s="5" t="s">
        <v>227</v>
      </c>
      <c r="E3" s="5" t="s">
        <v>228</v>
      </c>
    </row>
    <row r="4" customFormat="false" ht="15" hidden="false" customHeight="false" outlineLevel="0" collapsed="false">
      <c r="A4" s="18" t="s">
        <v>229</v>
      </c>
      <c r="B4" s="24" t="n">
        <f aca="false">DDM!B6/(1+0.095)^1+DDM!C6/(1+0.095)^2+DDM!D6/(1+0.095)^3+DDM!E6/(1+0.095)^4+DDM!F6/(1+0.095)^5+DDM!F6*(1+0.04)/(0.095-0.04)/(1+0.095)^5</f>
        <v>25.3501900270339</v>
      </c>
      <c r="C4" s="24" t="n">
        <f aca="false">DDM!B6/(1+0.095)^1+DDM!C6/(1+0.095)^2+DDM!D6/(1+0.095)^3+DDM!E6/(1+0.095)^4+DDM!F6/(1+0.095)^5+DDM!F6*(1+0.045)/(0.095-0.045)/(1+0.095)^5</f>
        <v>27.4535935057975</v>
      </c>
      <c r="D4" s="24" t="n">
        <f aca="false">DDM!B6/(1+0.095)^1+DDM!C6/(1+0.095)^2+DDM!D6/(1+0.095)^3+DDM!E6/(1+0.095)^4+DDM!F6/(1+0.095)^5+DDM!F6*(1+0.05)/(0.095-0.05)/(1+0.095)^5</f>
        <v>30.0244199798419</v>
      </c>
      <c r="E4" s="24" t="n">
        <f aca="false">DDM!B6/(1+0.095)^1+DDM!C6/(1+0.095)^2+DDM!D6/(1+0.095)^3+DDM!E6/(1+0.095)^4+DDM!F6/(1+0.095)^5+DDM!F6*(1+0.055)/(0.095-0.055)/(1+0.095)^5</f>
        <v>33.2379530723975</v>
      </c>
    </row>
    <row r="5" customFormat="false" ht="15" hidden="false" customHeight="false" outlineLevel="0" collapsed="false">
      <c r="A5" s="18" t="s">
        <v>230</v>
      </c>
      <c r="B5" s="24" t="n">
        <f aca="false">DDM!B6/(1+0.103)^1+DDM!C6/(1+0.103)^2+DDM!D6/(1+0.103)^3+DDM!E6/(1+0.103)^4+DDM!F6/(1+0.103)^5+DDM!F6*(1+0.04)/(0.103-0.04)/(1+0.103)^5</f>
        <v>22.0746063270759</v>
      </c>
      <c r="C5" s="24" t="n">
        <f aca="false">DDM!B6/(1+0.103)^1+DDM!C6/(1+0.103)^2+DDM!D6/(1+0.103)^3+DDM!E6/(1+0.103)^4+DDM!F6/(1+0.103)^5+DDM!F6*(1+0.045)/(0.103-0.045)/(1+0.103)^5</f>
        <v>23.6121985214017</v>
      </c>
      <c r="D5" s="24" t="n">
        <f aca="false">DDM!B6/(1+0.103)^1+DDM!C6/(1+0.103)^2+DDM!D6/(1+0.103)^3+DDM!E6/(1+0.103)^4+DDM!F6/(1+0.103)^5+DDM!F6*(1+0.05)/(0.103-0.05)/(1+0.103)^5</f>
        <v>25.4399024505059</v>
      </c>
      <c r="E5" s="24" t="n">
        <f aca="false">DDM!B6/(1+0.103)^1+DDM!C6/(1+0.103)^2+DDM!D6/(1+0.103)^3+DDM!E6/(1+0.103)^4+DDM!F6/(1+0.103)^5+DDM!F6*(1+0.055)/(0.103-0.055)/(1+0.103)^5</f>
        <v>27.6483780315068</v>
      </c>
    </row>
    <row r="6" customFormat="false" ht="15" hidden="false" customHeight="false" outlineLevel="0" collapsed="false">
      <c r="A6" s="18" t="s">
        <v>231</v>
      </c>
      <c r="B6" s="24" t="n">
        <f aca="false">DDM!B6/(1+0.11)^1+DDM!C6/(1+0.11)^2+DDM!D6/(1+0.11)^3+DDM!E6/(1+0.11)^4+DDM!F6/(1+0.11)^5+DDM!F6*(1+0.04)/(0.11-0.04)/(1+0.11)^5</f>
        <v>19.8237893372757</v>
      </c>
      <c r="C6" s="24" t="n">
        <f aca="false">DDM!B6/(1+0.11)^1+DDM!C6/(1+0.11)^2+DDM!D6/(1+0.11)^3+DDM!E6/(1+0.11)^4+DDM!F6/(1+0.11)^5+DDM!F6*(1+0.045)/(0.11-0.045)/(1+0.11)^5</f>
        <v>21.0277393248584</v>
      </c>
      <c r="D6" s="24" t="n">
        <f aca="false">DDM!B6/(1+0.11)^1+DDM!C6/(1+0.11)^2+DDM!D6/(1+0.11)^3+DDM!E6/(1+0.11)^4+DDM!F6/(1+0.11)^5+DDM!F6*(1+0.05)/(0.11-0.05)/(1+0.11)^5</f>
        <v>22.4323476437049</v>
      </c>
      <c r="E6" s="24" t="n">
        <f aca="false">DDM!B6/(1+0.11)^1+DDM!C6/(1+0.11)^2+DDM!D6/(1+0.11)^3+DDM!E6/(1+0.11)^4+DDM!F6/(1+0.11)^5+DDM!F6*(1+0.055)/(0.11-0.055)/(1+0.11)^5</f>
        <v>24.0923392932508</v>
      </c>
    </row>
    <row r="8" customFormat="false" ht="15" hidden="false" customHeight="false" outlineLevel="0" collapsed="false">
      <c r="A8" s="9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2"/>
  </cols>
  <sheetData>
    <row r="1" customFormat="false" ht="16.15" hidden="false" customHeight="false" outlineLevel="0" collapsed="false">
      <c r="A1" s="2" t="s">
        <v>233</v>
      </c>
    </row>
    <row r="3" customFormat="false" ht="15" hidden="false" customHeight="false" outlineLevel="0" collapsed="false">
      <c r="A3" s="5" t="s">
        <v>234</v>
      </c>
      <c r="B3" s="5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113</v>
      </c>
      <c r="I3" s="5" t="s">
        <v>114</v>
      </c>
    </row>
    <row r="4" customFormat="false" ht="15" hidden="false" customHeight="false" outlineLevel="0" collapsed="false">
      <c r="A4" s="6" t="s">
        <v>129</v>
      </c>
      <c r="B4" s="7" t="n">
        <f aca="false">'Income Statement'!B9</f>
        <v>1.927</v>
      </c>
      <c r="C4" s="7" t="n">
        <f aca="false">'Income Statement'!C9</f>
        <v>2.25</v>
      </c>
      <c r="D4" s="7" t="n">
        <f aca="false">'Income Statement'!D9</f>
        <v>2.523</v>
      </c>
      <c r="E4" s="7" t="n">
        <f aca="false">DDM!B4</f>
        <v>2.74471790371113</v>
      </c>
      <c r="F4" s="7" t="n">
        <f aca="false">DDM!C4</f>
        <v>2.95715399322969</v>
      </c>
      <c r="G4" s="7" t="n">
        <f aca="false">DDM!D4</f>
        <v>3.15507361663114</v>
      </c>
      <c r="H4" s="7" t="n">
        <f aca="false">DDM!E4</f>
        <v>3.34964383102119</v>
      </c>
      <c r="I4" s="7" t="n">
        <f aca="false">DDM!F4</f>
        <v>3.53870122267018</v>
      </c>
    </row>
    <row r="5" customFormat="false" ht="15" hidden="false" customHeight="false" outlineLevel="0" collapsed="false">
      <c r="A5" s="6" t="s">
        <v>131</v>
      </c>
      <c r="B5" s="16" t="n">
        <v>0.79</v>
      </c>
      <c r="C5" s="16" t="n">
        <v>0.9</v>
      </c>
      <c r="D5" s="16" t="n">
        <v>1.05</v>
      </c>
      <c r="E5" s="7" t="n">
        <f aca="false">DDM!B6</f>
        <v>1.18022869859579</v>
      </c>
      <c r="F5" s="7" t="n">
        <f aca="false">DDM!C6</f>
        <v>1.30114775702106</v>
      </c>
      <c r="G5" s="7" t="n">
        <f aca="false">DDM!D6</f>
        <v>1.41978312748401</v>
      </c>
      <c r="H5" s="7" t="n">
        <f aca="false">DDM!E6</f>
        <v>1.54083616226975</v>
      </c>
      <c r="I5" s="7" t="n">
        <f aca="false">DDM!F6</f>
        <v>1.66318957465499</v>
      </c>
    </row>
    <row r="6" customFormat="false" ht="15" hidden="false" customHeight="false" outlineLevel="0" collapsed="false">
      <c r="A6" s="6" t="s">
        <v>235</v>
      </c>
      <c r="B6" s="7" t="n">
        <f aca="false">'Balance Sheet'!B12</f>
        <v>13.1038114343029</v>
      </c>
      <c r="C6" s="7" t="n">
        <f aca="false">'Balance Sheet'!C12</f>
        <v>15.030591775326</v>
      </c>
      <c r="D6" s="7" t="n">
        <f aca="false">'Balance Sheet'!D12</f>
        <v>16.5496489468405</v>
      </c>
      <c r="E6" s="7" t="n">
        <f aca="false">'Balance Sheet'!E12</f>
        <v>18.1141381519559</v>
      </c>
      <c r="F6" s="7" t="n">
        <f aca="false">'Balance Sheet'!F12</f>
        <v>19.7701443881645</v>
      </c>
      <c r="G6" s="7" t="n">
        <f aca="false">'Balance Sheet'!G12</f>
        <v>21.5054348773116</v>
      </c>
      <c r="H6" s="7" t="n">
        <f aca="false">'Balance Sheet'!H12</f>
        <v>23.3142425460631</v>
      </c>
      <c r="I6" s="7" t="n">
        <f aca="false">'Balance Sheet'!I12</f>
        <v>25.1897541940783</v>
      </c>
    </row>
    <row r="7" customFormat="false" ht="15" hidden="false" customHeight="false" outlineLevel="0" collapsed="false">
      <c r="A7" s="6" t="s">
        <v>124</v>
      </c>
      <c r="E7" s="8" t="n">
        <f aca="false">'Driver Build'!E13</f>
        <v>0.158362264105092</v>
      </c>
      <c r="F7" s="8" t="n">
        <f aca="false">'Driver Build'!F13</f>
        <v>0.156115084935183</v>
      </c>
      <c r="G7" s="8" t="n">
        <f aca="false">'Driver Build'!G13</f>
        <v>0.152878465803634</v>
      </c>
      <c r="H7" s="8" t="n">
        <f aca="false">'Driver Build'!H13</f>
        <v>0.149472018701958</v>
      </c>
      <c r="I7" s="8" t="n">
        <f aca="false">'Driver Build'!I13</f>
        <v>0.145913799294877</v>
      </c>
    </row>
    <row r="8" customFormat="false" ht="15" hidden="false" customHeight="false" outlineLevel="0" collapsed="false">
      <c r="A8" s="6" t="s">
        <v>236</v>
      </c>
      <c r="E8" s="8" t="n">
        <f aca="false">DDM!B5</f>
        <v>0.43</v>
      </c>
      <c r="F8" s="8" t="n">
        <f aca="false">DDM!C5</f>
        <v>0.44</v>
      </c>
      <c r="G8" s="8" t="n">
        <f aca="false">DDM!D5</f>
        <v>0.45</v>
      </c>
      <c r="H8" s="8" t="n">
        <f aca="false">DDM!E5</f>
        <v>0.46</v>
      </c>
      <c r="I8" s="8" t="n">
        <f aca="false">DDM!F5</f>
        <v>0.47</v>
      </c>
    </row>
    <row r="9" customFormat="false" ht="15" hidden="false" customHeight="false" outlineLevel="0" collapsed="false">
      <c r="A9" s="6" t="s">
        <v>237</v>
      </c>
      <c r="B9" s="14" t="n">
        <f aca="false">Assumptions!$B$4/B4</f>
        <v>10.4981837052413</v>
      </c>
      <c r="C9" s="14" t="n">
        <f aca="false">Assumptions!$B$4/C4</f>
        <v>8.99111111111111</v>
      </c>
      <c r="D9" s="14" t="n">
        <f aca="false">Assumptions!$B$4/D4</f>
        <v>8.01823226317876</v>
      </c>
      <c r="E9" s="14" t="n">
        <f aca="false">Assumptions!$B$4/E4</f>
        <v>7.37052065447127</v>
      </c>
      <c r="F9" s="14" t="n">
        <f aca="false">Assumptions!$B$4/F4</f>
        <v>6.84103703977404</v>
      </c>
      <c r="G9" s="14" t="n">
        <f aca="false">Assumptions!$B$4/G4</f>
        <v>6.4118947632039</v>
      </c>
      <c r="H9" s="14" t="n">
        <f aca="false">Assumptions!$B$4/H4</f>
        <v>6.03944807882233</v>
      </c>
      <c r="I9" s="14" t="n">
        <f aca="false">Assumptions!$B$4/I4</f>
        <v>5.7167866759701</v>
      </c>
    </row>
    <row r="10" customFormat="false" ht="15" hidden="false" customHeight="false" outlineLevel="0" collapsed="false">
      <c r="A10" s="6" t="s">
        <v>238</v>
      </c>
      <c r="B10" s="14" t="n">
        <f aca="false">Assumptions!$B$4/B6</f>
        <v>1.54382563435264</v>
      </c>
      <c r="C10" s="14" t="n">
        <f aca="false">Assumptions!$B$4/C6</f>
        <v>1.34592172433352</v>
      </c>
      <c r="D10" s="14" t="n">
        <f aca="false">Assumptions!$B$4/D6</f>
        <v>1.22238242424242</v>
      </c>
      <c r="E10" s="14" t="n">
        <f aca="false">Assumptions!$B$4/E6</f>
        <v>1.11680720497407</v>
      </c>
      <c r="F10" s="14" t="n">
        <f aca="false">Assumptions!$B$4/F6</f>
        <v>1.023260103862</v>
      </c>
      <c r="G10" s="14" t="n">
        <f aca="false">Assumptions!$B$4/G6</f>
        <v>0.94069243962803</v>
      </c>
      <c r="H10" s="14" t="n">
        <f aca="false">Assumptions!$B$4/H6</f>
        <v>0.867709939966122</v>
      </c>
      <c r="I10" s="14" t="n">
        <f aca="false">Assumptions!$B$4/I6</f>
        <v>0.803104303604351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0"/>
    <col collapsed="false" customWidth="true" hidden="false" outlineLevel="0" max="5" min="5" style="1" width="30"/>
  </cols>
  <sheetData>
    <row r="1" customFormat="false" ht="16.15" hidden="false" customHeight="false" outlineLevel="0" collapsed="false">
      <c r="A1" s="2" t="s">
        <v>239</v>
      </c>
    </row>
    <row r="3" customFormat="false" ht="15" hidden="false" customHeight="false" outlineLevel="0" collapsed="false">
      <c r="A3" s="5" t="s">
        <v>240</v>
      </c>
      <c r="B3" s="5" t="s">
        <v>241</v>
      </c>
      <c r="C3" s="5" t="s">
        <v>242</v>
      </c>
      <c r="D3" s="5" t="s">
        <v>243</v>
      </c>
      <c r="E3" s="5" t="s">
        <v>15</v>
      </c>
    </row>
    <row r="4" customFormat="false" ht="15" hidden="false" customHeight="false" outlineLevel="0" collapsed="false">
      <c r="A4" s="6" t="s">
        <v>244</v>
      </c>
      <c r="B4" s="14" t="n">
        <v>3.5</v>
      </c>
      <c r="C4" s="14" t="n">
        <v>16</v>
      </c>
      <c r="D4" s="15" t="n">
        <v>0.23</v>
      </c>
      <c r="E4" s="9" t="s">
        <v>245</v>
      </c>
    </row>
    <row r="5" customFormat="false" ht="15" hidden="false" customHeight="false" outlineLevel="0" collapsed="false">
      <c r="A5" s="6" t="s">
        <v>246</v>
      </c>
      <c r="B5" s="14" t="n">
        <v>1.4</v>
      </c>
      <c r="C5" s="14" t="n">
        <v>10</v>
      </c>
      <c r="D5" s="15" t="n">
        <v>0.13</v>
      </c>
      <c r="E5" s="9" t="s">
        <v>247</v>
      </c>
    </row>
    <row r="6" customFormat="false" ht="15" hidden="false" customHeight="false" outlineLevel="0" collapsed="false">
      <c r="A6" s="29" t="s">
        <v>248</v>
      </c>
      <c r="B6" s="30" t="n">
        <v>1.2</v>
      </c>
      <c r="C6" s="30" t="n">
        <v>8</v>
      </c>
      <c r="D6" s="31" t="n">
        <v>0.16</v>
      </c>
      <c r="E6" s="32" t="s">
        <v>249</v>
      </c>
    </row>
    <row r="7" customFormat="false" ht="15" hidden="false" customHeight="false" outlineLevel="0" collapsed="false">
      <c r="A7" s="6" t="s">
        <v>250</v>
      </c>
      <c r="B7" s="14" t="n">
        <v>1.6</v>
      </c>
      <c r="C7" s="14" t="n">
        <v>11</v>
      </c>
      <c r="D7" s="15" t="n">
        <v>0.15</v>
      </c>
      <c r="E7" s="9" t="s">
        <v>251</v>
      </c>
    </row>
    <row r="8" customFormat="false" ht="15" hidden="false" customHeight="false" outlineLevel="0" collapsed="false">
      <c r="A8" s="6" t="s">
        <v>252</v>
      </c>
      <c r="B8" s="14" t="n">
        <v>1.1</v>
      </c>
      <c r="C8" s="14" t="n">
        <v>9</v>
      </c>
      <c r="D8" s="15" t="n">
        <v>0.12</v>
      </c>
      <c r="E8" s="9" t="s">
        <v>253</v>
      </c>
    </row>
    <row r="9" customFormat="false" ht="15" hidden="false" customHeight="false" outlineLevel="0" collapsed="false">
      <c r="A9" s="6" t="s">
        <v>254</v>
      </c>
      <c r="B9" s="14" t="n">
        <v>1</v>
      </c>
      <c r="C9" s="14" t="n">
        <v>8</v>
      </c>
      <c r="D9" s="15" t="n">
        <v>0.12</v>
      </c>
      <c r="E9" s="9" t="s">
        <v>255</v>
      </c>
    </row>
    <row r="10" customFormat="false" ht="15" hidden="false" customHeight="false" outlineLevel="0" collapsed="false">
      <c r="A10" s="6" t="s">
        <v>256</v>
      </c>
      <c r="B10" s="14" t="n">
        <v>2</v>
      </c>
      <c r="C10" s="14" t="n">
        <v>14</v>
      </c>
      <c r="D10" s="15" t="n">
        <v>0.16</v>
      </c>
      <c r="E10" s="9" t="s">
        <v>257</v>
      </c>
    </row>
    <row r="11" customFormat="false" ht="15" hidden="false" customHeight="false" outlineLevel="0" collapsed="false">
      <c r="A11" s="6" t="s">
        <v>258</v>
      </c>
      <c r="B11" s="14" t="n">
        <v>0.9</v>
      </c>
      <c r="C11" s="14" t="n">
        <v>8</v>
      </c>
      <c r="D11" s="15" t="n">
        <v>0.11</v>
      </c>
      <c r="E11" s="9" t="s">
        <v>259</v>
      </c>
    </row>
    <row r="12" customFormat="false" ht="15" hidden="false" customHeight="false" outlineLevel="0" collapsed="false">
      <c r="A12" s="6" t="s">
        <v>260</v>
      </c>
      <c r="B12" s="14" t="n">
        <v>1</v>
      </c>
      <c r="C12" s="14" t="n">
        <v>6</v>
      </c>
      <c r="D12" s="15" t="n">
        <v>0.18</v>
      </c>
      <c r="E12" s="9" t="s">
        <v>261</v>
      </c>
    </row>
    <row r="13" customFormat="false" ht="15" hidden="false" customHeight="false" outlineLevel="0" collapsed="false">
      <c r="A13" s="6" t="s">
        <v>262</v>
      </c>
      <c r="B13" s="14" t="n">
        <v>1.4</v>
      </c>
      <c r="C13" s="14" t="n">
        <v>9</v>
      </c>
      <c r="D13" s="15" t="n">
        <v>0.18</v>
      </c>
      <c r="E13" s="9" t="s">
        <v>261</v>
      </c>
    </row>
    <row r="15" customFormat="false" ht="15" hidden="false" customHeight="false" outlineLevel="0" collapsed="false">
      <c r="A15" s="9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2"/>
  </cols>
  <sheetData>
    <row r="1" customFormat="false" ht="16.15" hidden="false" customHeight="false" outlineLevel="0" collapsed="false">
      <c r="A1" s="2" t="s">
        <v>264</v>
      </c>
    </row>
    <row r="3" customFormat="false" ht="15" hidden="false" customHeight="false" outlineLevel="0" collapsed="false">
      <c r="A3" s="5" t="s">
        <v>106</v>
      </c>
      <c r="B3" s="5" t="s">
        <v>265</v>
      </c>
      <c r="C3" s="5" t="s">
        <v>266</v>
      </c>
      <c r="D3" s="5" t="s">
        <v>267</v>
      </c>
      <c r="E3" s="5" t="s">
        <v>268</v>
      </c>
      <c r="F3" s="5" t="s">
        <v>269</v>
      </c>
    </row>
    <row r="4" customFormat="false" ht="15" hidden="false" customHeight="false" outlineLevel="0" collapsed="false">
      <c r="A4" s="6" t="s">
        <v>270</v>
      </c>
      <c r="B4" s="6" t="s">
        <v>271</v>
      </c>
      <c r="C4" s="15" t="n">
        <f aca="false">'Balance Sheet'!C4/'Balance Sheet'!B4-1</f>
        <v>0.135070921985816</v>
      </c>
      <c r="D4" s="15" t="n">
        <f aca="false">'Balance Sheet'!D4/'Balance Sheet'!C4-1</f>
        <v>0.16625011715455</v>
      </c>
      <c r="E4" s="15" t="n">
        <f aca="false">'Balance Sheet'!E4/'Balance Sheet'!D4-1</f>
        <v>0.0900000000000001</v>
      </c>
      <c r="F4" s="15" t="n">
        <f aca="false">'Balance Sheet'!F4/'Balance Sheet'!E4-1</f>
        <v>0.085</v>
      </c>
    </row>
    <row r="5" customFormat="false" ht="15" hidden="false" customHeight="false" outlineLevel="0" collapsed="false">
      <c r="A5" s="6" t="s">
        <v>272</v>
      </c>
      <c r="B5" s="6" t="s">
        <v>271</v>
      </c>
      <c r="C5" s="15" t="n">
        <f aca="false">'Balance Sheet'!C6/'Balance Sheet'!B6-1</f>
        <v>0.114225454545455</v>
      </c>
      <c r="D5" s="15" t="n">
        <f aca="false">'Balance Sheet'!D6/'Balance Sheet'!C6-1</f>
        <v>0.0825979400284584</v>
      </c>
      <c r="E5" s="15" t="n">
        <f aca="false">'Balance Sheet'!E6/'Balance Sheet'!D6-1</f>
        <v>0.08000096466609</v>
      </c>
      <c r="F5" s="15" t="n">
        <f aca="false">'Balance Sheet'!F6/'Balance Sheet'!E6-1</f>
        <v>0.0749988137074016</v>
      </c>
    </row>
    <row r="6" customFormat="false" ht="15" hidden="false" customHeight="false" outlineLevel="0" collapsed="false">
      <c r="A6" s="6" t="s">
        <v>273</v>
      </c>
      <c r="B6" s="8" t="n">
        <f aca="false">'Driver Build'!B5</f>
        <v>0.029</v>
      </c>
      <c r="C6" s="8" t="n">
        <f aca="false">'Driver Build'!C5</f>
        <v>0.0285</v>
      </c>
      <c r="D6" s="8" t="n">
        <f aca="false">'Driver Build'!D5</f>
        <v>0.0288</v>
      </c>
      <c r="E6" s="8" t="n">
        <f aca="false">'Driver Build'!E5</f>
        <v>0.028</v>
      </c>
      <c r="F6" s="8" t="n">
        <f aca="false">'Driver Build'!F5</f>
        <v>0.0275</v>
      </c>
    </row>
    <row r="7" customFormat="false" ht="15" hidden="false" customHeight="false" outlineLevel="0" collapsed="false">
      <c r="A7" s="6" t="s">
        <v>274</v>
      </c>
      <c r="B7" s="6" t="s">
        <v>271</v>
      </c>
      <c r="C7" s="15" t="n">
        <f aca="false">'Income Statement'!C4/'Income Statement'!B4-1</f>
        <v>0.072289156626506</v>
      </c>
      <c r="D7" s="15" t="n">
        <f aca="false">'Income Statement'!D4/'Income Statement'!C4-1</f>
        <v>0.0898876404494382</v>
      </c>
      <c r="E7" s="15" t="n">
        <f aca="false">'Income Statement'!E4/'Income Statement'!D4-1</f>
        <v>0.0721649484536082</v>
      </c>
      <c r="F7" s="15" t="n">
        <f aca="false">'Income Statement'!F4/'Income Statement'!E4-1</f>
        <v>0.0576923076923077</v>
      </c>
    </row>
    <row r="8" customFormat="false" ht="15" hidden="false" customHeight="false" outlineLevel="0" collapsed="false">
      <c r="A8" s="6" t="s">
        <v>275</v>
      </c>
      <c r="B8" s="6" t="s">
        <v>271</v>
      </c>
      <c r="C8" s="15" t="n">
        <f aca="false">'Income Statement'!C5/'Income Statement'!B5-1</f>
        <v>0.125</v>
      </c>
      <c r="D8" s="15" t="n">
        <f aca="false">'Income Statement'!D5/'Income Statement'!C5-1</f>
        <v>0.185185185185185</v>
      </c>
      <c r="E8" s="15" t="n">
        <f aca="false">'Income Statement'!E5/'Income Statement'!D5-1</f>
        <v>0.140625</v>
      </c>
      <c r="F8" s="15" t="n">
        <f aca="false">'Income Statement'!F5/'Income Statement'!E5-1</f>
        <v>0.10958904109589</v>
      </c>
    </row>
    <row r="9" customFormat="false" ht="15" hidden="false" customHeight="false" outlineLevel="0" collapsed="false">
      <c r="A9" s="6" t="s">
        <v>276</v>
      </c>
      <c r="B9" s="6" t="s">
        <v>271</v>
      </c>
      <c r="C9" s="15" t="n">
        <f aca="false">'Income Statement'!C7/'Income Statement'!B7-1</f>
        <v>0.0901639344262295</v>
      </c>
      <c r="D9" s="15" t="n">
        <f aca="false">'Income Statement'!D7/'Income Statement'!C7-1</f>
        <v>0.120300751879699</v>
      </c>
      <c r="E9" s="15" t="n">
        <f aca="false">'Income Statement'!E7/'Income Statement'!D7-1</f>
        <v>0.0838926174496644</v>
      </c>
      <c r="F9" s="15" t="n">
        <f aca="false">'Income Statement'!F7/'Income Statement'!E7-1</f>
        <v>0.068111455108359</v>
      </c>
    </row>
    <row r="10" customFormat="false" ht="15" hidden="false" customHeight="false" outlineLevel="0" collapsed="false">
      <c r="A10" s="6" t="s">
        <v>277</v>
      </c>
      <c r="B10" s="6" t="s">
        <v>271</v>
      </c>
      <c r="C10" s="20" t="n">
        <v>0.023</v>
      </c>
      <c r="D10" s="20" t="n">
        <v>0.02</v>
      </c>
      <c r="E10" s="20" t="n">
        <v>0.103</v>
      </c>
      <c r="F10" s="20" t="n">
        <v>0.065</v>
      </c>
    </row>
    <row r="11" customFormat="false" ht="15" hidden="false" customHeight="false" outlineLevel="0" collapsed="false">
      <c r="A11" s="6" t="s">
        <v>278</v>
      </c>
      <c r="B11" s="8" t="n">
        <f aca="false">'Driver Build'!B6</f>
        <v>0.33</v>
      </c>
      <c r="C11" s="8" t="n">
        <f aca="false">'Driver Build'!C6</f>
        <v>0.31</v>
      </c>
      <c r="D11" s="8" t="n">
        <f aca="false">'Driver Build'!D6</f>
        <v>0.296</v>
      </c>
      <c r="E11" s="8" t="n">
        <f aca="false">'Driver Build'!E6</f>
        <v>0.3</v>
      </c>
      <c r="F11" s="8" t="n">
        <f aca="false">'Driver Build'!F6</f>
        <v>0.3</v>
      </c>
    </row>
    <row r="12" customFormat="false" ht="15" hidden="false" customHeight="false" outlineLevel="0" collapsed="false">
      <c r="A12" s="6" t="s">
        <v>118</v>
      </c>
      <c r="B12" s="21" t="n">
        <f aca="false">'Driver Build'!B7</f>
        <v>55</v>
      </c>
      <c r="C12" s="21" t="n">
        <f aca="false">'Driver Build'!C7</f>
        <v>51</v>
      </c>
      <c r="D12" s="21" t="n">
        <f aca="false">'Driver Build'!D7</f>
        <v>37</v>
      </c>
      <c r="E12" s="21" t="n">
        <f aca="false">'Driver Build'!E7</f>
        <v>42</v>
      </c>
      <c r="F12" s="21" t="n">
        <f aca="false">'Driver Build'!F7</f>
        <v>44</v>
      </c>
    </row>
    <row r="13" customFormat="false" ht="15" hidden="false" customHeight="false" outlineLevel="0" collapsed="false">
      <c r="A13" s="6" t="s">
        <v>279</v>
      </c>
      <c r="B13" s="6" t="s">
        <v>271</v>
      </c>
      <c r="C13" s="15" t="n">
        <f aca="false">'Driver Build'!C4/'Driver Build'!B4-1</f>
        <v>0.160029865604779</v>
      </c>
      <c r="D13" s="15" t="n">
        <f aca="false">'Driver Build'!D4/'Driver Build'!C4-1</f>
        <v>0.116820424801545</v>
      </c>
      <c r="E13" s="15" t="n">
        <f aca="false">'Driver Build'!E4/'Driver Build'!D4-1</f>
        <v>0.085</v>
      </c>
      <c r="F13" s="15" t="n">
        <f aca="false">'Driver Build'!F4/'Driver Build'!E4-1</f>
        <v>0.075</v>
      </c>
    </row>
    <row r="14" customFormat="false" ht="15" hidden="false" customHeight="false" outlineLevel="0" collapsed="false">
      <c r="A14" s="6" t="s">
        <v>280</v>
      </c>
      <c r="B14" s="6" t="s">
        <v>271</v>
      </c>
      <c r="C14" s="20" t="n">
        <v>0.16</v>
      </c>
      <c r="D14" s="20" t="n">
        <v>0.16</v>
      </c>
      <c r="E14" s="8" t="n">
        <f aca="false">'Driver Build'!E13</f>
        <v>0.158362264105092</v>
      </c>
      <c r="F14" s="8" t="n">
        <f aca="false">'Driver Build'!F13</f>
        <v>0.156115084935183</v>
      </c>
    </row>
    <row r="15" customFormat="false" ht="15" hidden="false" customHeight="false" outlineLevel="0" collapsed="false">
      <c r="A15" s="6" t="s">
        <v>281</v>
      </c>
      <c r="B15" s="6" t="s">
        <v>271</v>
      </c>
      <c r="C15" s="15" t="n">
        <f aca="false">'Driver Build'!C4/(('Balance Sheet'!C5+'Balance Sheet'!B5)/2)</f>
        <v>0.0222687248873664</v>
      </c>
      <c r="D15" s="15" t="n">
        <f aca="false">'Driver Build'!D4/(('Balance Sheet'!D5+'Balance Sheet'!C5)/2)</f>
        <v>0.0214690780112594</v>
      </c>
      <c r="E15" s="15" t="n">
        <f aca="false">'Driver Build'!E4/(('Balance Sheet'!E5+'Balance Sheet'!D5)/2)</f>
        <v>0.0208531812622338</v>
      </c>
      <c r="F15" s="15" t="n">
        <f aca="false">'Driver Build'!F4/(('Balance Sheet'!F5+'Balance Sheet'!E5)/2)</f>
        <v>0.0206986130453098</v>
      </c>
    </row>
    <row r="16" customFormat="false" ht="15" hidden="false" customHeight="false" outlineLevel="0" collapsed="false">
      <c r="A16" s="6" t="s">
        <v>282</v>
      </c>
      <c r="B16" s="21" t="n">
        <f aca="false">'Driver Build'!B4</f>
        <v>8036</v>
      </c>
      <c r="C16" s="21" t="n">
        <f aca="false">'Driver Build'!C4</f>
        <v>9322</v>
      </c>
      <c r="D16" s="21" t="n">
        <f aca="false">'Driver Build'!D4</f>
        <v>10411</v>
      </c>
      <c r="E16" s="21" t="n">
        <f aca="false">'Driver Build'!E4</f>
        <v>11295.935</v>
      </c>
      <c r="F16" s="21" t="n">
        <f aca="false">'Driver Build'!F4</f>
        <v>12143.130125</v>
      </c>
    </row>
    <row r="17" customFormat="false" ht="15" hidden="false" customHeight="false" outlineLevel="0" collapsed="false">
      <c r="A17" s="6" t="s">
        <v>283</v>
      </c>
      <c r="B17" s="23" t="n">
        <f aca="false">'Driver Build'!B4-Assumptions!$B$7</f>
        <v>7686</v>
      </c>
      <c r="C17" s="23" t="n">
        <f aca="false">'Driver Build'!C4-Assumptions!$B$7</f>
        <v>8972</v>
      </c>
      <c r="D17" s="23" t="n">
        <f aca="false">'Driver Build'!D4-Assumptions!$B$7</f>
        <v>10061</v>
      </c>
      <c r="E17" s="23" t="n">
        <f aca="false">'Driver Build'!E4-Assumptions!$B$7</f>
        <v>10945.935</v>
      </c>
      <c r="F17" s="23" t="n">
        <f aca="false">'Driver Build'!F4-Assumptions!$B$7</f>
        <v>11793.130125</v>
      </c>
    </row>
    <row r="19" customFormat="false" ht="15" hidden="false" customHeight="false" outlineLevel="0" collapsed="false">
      <c r="A19" s="9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2"/>
  </cols>
  <sheetData>
    <row r="1" customFormat="false" ht="16.15" hidden="false" customHeight="false" outlineLevel="0" collapsed="false">
      <c r="A1" s="2" t="s">
        <v>285</v>
      </c>
    </row>
    <row r="3" customFormat="false" ht="15" hidden="false" customHeight="false" outlineLevel="0" collapsed="false">
      <c r="A3" s="5" t="s">
        <v>184</v>
      </c>
      <c r="B3" s="5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113</v>
      </c>
      <c r="I3" s="5" t="s">
        <v>114</v>
      </c>
    </row>
    <row r="4" customFormat="false" ht="15" hidden="false" customHeight="false" outlineLevel="0" collapsed="false">
      <c r="A4" s="6" t="s">
        <v>188</v>
      </c>
      <c r="B4" s="21" t="n">
        <f aca="false">'Income Statement'!B7</f>
        <v>12200</v>
      </c>
      <c r="C4" s="21" t="n">
        <f aca="false">'Income Statement'!C7</f>
        <v>13300</v>
      </c>
      <c r="D4" s="21" t="n">
        <f aca="false">'Income Statement'!D7</f>
        <v>14900</v>
      </c>
      <c r="E4" s="21" t="n">
        <f aca="false">'Income Statement'!E7</f>
        <v>16150</v>
      </c>
      <c r="F4" s="21" t="n">
        <f aca="false">'Income Statement'!F7</f>
        <v>17250</v>
      </c>
      <c r="G4" s="21" t="n">
        <f aca="false">'Income Statement'!G7</f>
        <v>18300</v>
      </c>
      <c r="H4" s="21" t="n">
        <f aca="false">'Income Statement'!H7</f>
        <v>19350</v>
      </c>
      <c r="I4" s="21" t="n">
        <f aca="false">'Income Statement'!I7</f>
        <v>20350</v>
      </c>
    </row>
    <row r="5" customFormat="false" ht="15" hidden="false" customHeight="false" outlineLevel="0" collapsed="false">
      <c r="A5" s="6" t="s">
        <v>143</v>
      </c>
      <c r="B5" s="21" t="n">
        <f aca="false">'Income Statement'!B8</f>
        <v>8036</v>
      </c>
      <c r="C5" s="21" t="n">
        <f aca="false">'Income Statement'!C8</f>
        <v>9322</v>
      </c>
      <c r="D5" s="21" t="n">
        <f aca="false">'Income Statement'!D8</f>
        <v>10411</v>
      </c>
      <c r="E5" s="21" t="n">
        <f aca="false">'Income Statement'!E8</f>
        <v>11295.935</v>
      </c>
      <c r="F5" s="21" t="n">
        <f aca="false">'Income Statement'!F8</f>
        <v>12143.130125</v>
      </c>
      <c r="G5" s="21" t="n">
        <f aca="false">'Income Statement'!G8</f>
        <v>12932.433583125</v>
      </c>
      <c r="H5" s="21" t="n">
        <f aca="false">'Income Statement'!H8</f>
        <v>13708.3795981125</v>
      </c>
      <c r="I5" s="21" t="n">
        <f aca="false">'Income Statement'!I8</f>
        <v>14462.3404760087</v>
      </c>
    </row>
    <row r="6" customFormat="false" ht="15" hidden="false" customHeight="false" outlineLevel="0" collapsed="false">
      <c r="A6" s="6" t="s">
        <v>194</v>
      </c>
      <c r="B6" s="21" t="n">
        <f aca="false">'Balance Sheet'!B5</f>
        <v>386849</v>
      </c>
      <c r="C6" s="21" t="n">
        <f aca="false">'Balance Sheet'!C5</f>
        <v>450379</v>
      </c>
      <c r="D6" s="21" t="n">
        <f aca="false">'Balance Sheet'!D5</f>
        <v>519481</v>
      </c>
      <c r="E6" s="21" t="n">
        <f aca="false">'Balance Sheet'!E5</f>
        <v>563896.6255</v>
      </c>
      <c r="F6" s="21" t="n">
        <f aca="false">'Balance Sheet'!F5</f>
        <v>609431.278009125</v>
      </c>
      <c r="G6" s="21" t="n">
        <f aca="false">'Balance Sheet'!G5</f>
        <v>655748.055137819</v>
      </c>
      <c r="H6" s="21" t="n">
        <f aca="false">'Balance Sheet'!H5</f>
        <v>702470.104066388</v>
      </c>
      <c r="I6" s="21" t="n">
        <f aca="false">'Balance Sheet'!I5</f>
        <v>749184.365986803</v>
      </c>
    </row>
    <row r="7" customFormat="false" ht="15" hidden="false" customHeight="false" outlineLevel="0" collapsed="false">
      <c r="A7" s="6" t="s">
        <v>286</v>
      </c>
      <c r="B7" s="21" t="n">
        <f aca="false">'Balance Sheet'!B4</f>
        <v>282000</v>
      </c>
      <c r="C7" s="21" t="n">
        <f aca="false">'Balance Sheet'!C4</f>
        <v>320090</v>
      </c>
      <c r="D7" s="21" t="n">
        <f aca="false">'Balance Sheet'!D4</f>
        <v>373305</v>
      </c>
      <c r="E7" s="21" t="n">
        <f aca="false">'Balance Sheet'!E4</f>
        <v>406902.45</v>
      </c>
      <c r="F7" s="21" t="n">
        <f aca="false">'Balance Sheet'!F4</f>
        <v>441489.15825</v>
      </c>
      <c r="G7" s="21" t="n">
        <f aca="false">'Balance Sheet'!G4</f>
        <v>476808.29091</v>
      </c>
      <c r="H7" s="21" t="n">
        <f aca="false">'Balance Sheet'!H4</f>
        <v>512568.91272825</v>
      </c>
      <c r="I7" s="21" t="n">
        <f aca="false">'Balance Sheet'!I4</f>
        <v>548448.736619227</v>
      </c>
    </row>
    <row r="8" customFormat="false" ht="15" hidden="false" customHeight="false" outlineLevel="0" collapsed="false">
      <c r="A8" s="6" t="s">
        <v>287</v>
      </c>
      <c r="B8" s="21" t="n">
        <f aca="false">'Balance Sheet'!B6</f>
        <v>275000</v>
      </c>
      <c r="C8" s="21" t="n">
        <f aca="false">'Balance Sheet'!C6</f>
        <v>306412</v>
      </c>
      <c r="D8" s="21" t="n">
        <f aca="false">'Balance Sheet'!D6</f>
        <v>331721</v>
      </c>
      <c r="E8" s="21" t="n">
        <f aca="false">'Balance Sheet'!E6</f>
        <v>358259</v>
      </c>
      <c r="F8" s="21" t="n">
        <f aca="false">'Balance Sheet'!F6</f>
        <v>385128</v>
      </c>
      <c r="G8" s="21" t="n">
        <f aca="false">'Balance Sheet'!G6</f>
        <v>412087</v>
      </c>
      <c r="H8" s="21" t="n">
        <f aca="false">'Balance Sheet'!H6</f>
        <v>440933</v>
      </c>
      <c r="I8" s="21" t="n">
        <f aca="false">'Balance Sheet'!I6</f>
        <v>469594</v>
      </c>
    </row>
    <row r="9" customFormat="false" ht="15" hidden="false" customHeight="false" outlineLevel="0" collapsed="false">
      <c r="A9" s="6" t="s">
        <v>196</v>
      </c>
      <c r="B9" s="21" t="n">
        <f aca="false">'Balance Sheet'!B7</f>
        <v>52258</v>
      </c>
      <c r="C9" s="21" t="n">
        <f aca="false">'Balance Sheet'!C7</f>
        <v>59942</v>
      </c>
      <c r="D9" s="21" t="n">
        <f aca="false">'Balance Sheet'!D7</f>
        <v>66000</v>
      </c>
      <c r="E9" s="21" t="n">
        <f aca="false">'Balance Sheet'!E7</f>
        <v>72239.18295</v>
      </c>
      <c r="F9" s="21" t="n">
        <f aca="false">'Balance Sheet'!F7</f>
        <v>78843.33582</v>
      </c>
      <c r="G9" s="21" t="n">
        <f aca="false">'Balance Sheet'!G7</f>
        <v>85763.6742907188</v>
      </c>
      <c r="H9" s="21" t="n">
        <f aca="false">'Balance Sheet'!H7</f>
        <v>92977.1992736995</v>
      </c>
      <c r="I9" s="21" t="n">
        <f aca="false">'Balance Sheet'!I7</f>
        <v>100456.739725984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2026-07-09T20:36:39Z</dcterms:created>
  <dc:creator>openpyxl</dc:creator>
  <dc:description/>
  <dc:language>en-US</dc:language>
  <cp:lastModifiedBy/>
  <dcterms:modified xsi:type="dcterms:W3CDTF">2026-07-09T20:36:39Z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