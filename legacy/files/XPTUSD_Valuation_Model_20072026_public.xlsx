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Fair-Value Anchors" sheetId="5" state="visible" r:id="rId7"/>
    <sheet name="Pt-Gold Ratio" sheetId="6" state="visible" r:id="rId8"/>
    <sheet name="Platinum Balance" sheetId="7" state="visible" r:id="rId9"/>
    <sheet name="Supply &amp; Cost Curve" sheetId="8" state="visible" r:id="rId10"/>
    <sheet name="Demand Segments" sheetId="9" state="visible" r:id="rId11"/>
    <sheet name="Technical" sheetId="10" state="visible" r:id="rId12"/>
    <sheet name="Monte Carlo" sheetId="11" state="visible" r:id="rId13"/>
    <sheet name="Sensitivity" sheetId="12" state="visible" r:id="rId14"/>
    <sheet name="Step 0 Calibration" sheetId="13" state="visible" r:id="rId15"/>
    <sheet name="Peer &amp; Sector" sheetId="14" state="visible" r:id="rId16"/>
    <sheet name="Sweep Register" sheetId="15" state="visible" r:id="rId17"/>
    <sheet name="Sourc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<sst xmlns="http://schemas.openxmlformats.org/spreadsheetml/2006/main" count="521" uniqueCount="446">
  <si>
    <t xml:space="preserve">Testahil · Independent Valuation Study — Educational Analysis · Platinum (XPT/USD) · Not investment advice</t>
  </si>
  <si>
    <t xml:space="preserve">Combined 1 / 3 / 12-month edition · anchor 20 Jul 2026 close $1,608.37/oz</t>
  </si>
  <si>
    <t xml:space="preserve">•  This workbook is an educational valuation exercise and an expression of personal analytical opinion — not investment advice, not a recommendation, not directed at any reader's objectives or needs.</t>
  </si>
  <si>
    <t xml:space="preserve">•  The preparer is not licensed by any securities or commodities regulator, provides no consultancy, manages no money, solicits no funds and accepts no clients.</t>
  </si>
  <si>
    <t xml:space="preserve">•  A commodity has no income statement, balance sheet, cash-flow statement, per-share metrics or WACC, so the standard template's company sheets are a justified N/A here; their metal analogues are the Platinum Balance, Supply &amp; Cost Curve and Demand Segments sheets.</t>
  </si>
  <si>
    <t xml:space="preserve">•  The Assumptions sheet is the single input layer: blue = input; black = formula; green = cross-sheet link. Change an input and the linked sheets recalculate.</t>
  </si>
  <si>
    <t xml:space="preserve">•  Monte Carlo percentiles are computed engine outputs (mc_v3 carry-anchored YZ-HAR-t: 50,000 paths, seed 42, ν = Gaussian, width_cal = 0.853 — a PROVISIONAL single-instrument self-fit, flagged) pasted as values and labelled as such; they are not spreadsheet formulas.</t>
  </si>
  <si>
    <t xml:space="preserve">•  Step 0 verdict is PARITY under the scale-normalized carry-anchored gate — the engine ties, and does not beat, the carry-anchored random walk on platinum's history; metals remain the weakest calibration in the system (gold self-fit; silver borrows gold's).</t>
  </si>
  <si>
    <t xml:space="preserve">•  All figures are model outputs presented as ranges and probability distributions; no single number is a forecast or a price target.</t>
  </si>
  <si>
    <t xml:space="preserve">•  The preparer may hold, and may in the future take or dispose of, a position in the instrument discussed.</t>
  </si>
  <si>
    <t xml:space="preserve">Summary — every read at a glance (US$/oz)</t>
  </si>
  <si>
    <t xml:space="preserve">Read</t>
  </si>
  <si>
    <t xml:space="preserve">1 month</t>
  </si>
  <si>
    <t xml:space="preserve">3 months</t>
  </si>
  <si>
    <t xml:space="preserve">12 months</t>
  </si>
  <si>
    <t xml:space="preserve">Note</t>
  </si>
  <si>
    <t xml:space="preserve">MC median (predicted)</t>
  </si>
  <si>
    <t xml:space="preserve">MC p5</t>
  </si>
  <si>
    <t xml:space="preserve">MC p95</t>
  </si>
  <si>
    <t xml:space="preserve">Spot</t>
  </si>
  <si>
    <t xml:space="preserve">Pt/Au ratio</t>
  </si>
  <si>
    <t xml:space="preserve">Pt/Pd ratio</t>
  </si>
  <si>
    <t xml:space="preserve">Fair-value zone (lo / centre / hi)</t>
  </si>
  <si>
    <t xml:space="preserve">Verdict</t>
  </si>
  <si>
    <t xml:space="preserve">Fairly valued — spot ~1.6% below the weighted centre; two-sided cone; 12-mo drift = carry only</t>
  </si>
  <si>
    <t xml:space="preserve">Fundamental Valuation — anchor synthesis (fair value NOW, undated)</t>
  </si>
  <si>
    <t xml:space="preserve">Anchor</t>
  </si>
  <si>
    <t xml:space="preserve">Weight</t>
  </si>
  <si>
    <t xml:space="preserve">Base (US$/oz)</t>
  </si>
  <si>
    <t xml:space="preserve">Pt/Au ratio (5y mean × gold)</t>
  </si>
  <si>
    <t xml:space="preserve">primary relative lens; still cheap vs gold</t>
  </si>
  <si>
    <t xml:space="preserve">Analyst consensus (fresh vintage)</t>
  </si>
  <si>
    <t xml:space="preserve">UBS 1,700–1,800; stale 2,222 excluded from base</t>
  </si>
  <si>
    <t xml:space="preserve">Supply/demand balance</t>
  </si>
  <si>
    <t xml:space="preserve">floor-builder: 4th deficit, 11 weeks cover</t>
  </si>
  <si>
    <t xml:space="preserve">Cost curve (AISC + margin)</t>
  </si>
  <si>
    <t xml:space="preserve">AISC 1,006; incentive 2,300–2,500</t>
  </si>
  <si>
    <t xml:space="preserve">Real-rate carry</t>
  </si>
  <si>
    <t xml:space="preserve">— (tilt)</t>
  </si>
  <si>
    <t xml:space="preserve">timing switch, not a level</t>
  </si>
  <si>
    <t xml:space="preserve">Weighted fair-value centre</t>
  </si>
  <si>
    <t xml:space="preserve">ties to Assumptions zone centre (rounding)</t>
  </si>
  <si>
    <t xml:space="preserve">Assumptions — single input layer (blue = input)</t>
  </si>
  <si>
    <t xml:space="preserve">Input</t>
  </si>
  <si>
    <t xml:space="preserve">Value</t>
  </si>
  <si>
    <t xml:space="preserve">Source / note</t>
  </si>
  <si>
    <t xml:space="preserve">Spot platinum (US$/oz)</t>
  </si>
  <si>
    <t xml:space="preserve">20 Jul 2026 close, attached daily history (post data-quality gate)</t>
  </si>
  <si>
    <t xml:space="preserve">Gold spot (US$/oz)</t>
  </si>
  <si>
    <t xml:space="preserve">Fri 17 Jul 2026 close — one-session mismatch vs the Mon 20 Jul anchor, stated; 20-Jul vendor prints ~4,000–4,030 → centre +0.3%</t>
  </si>
  <si>
    <t xml:space="preserve">Palladium spot (US$/oz)</t>
  </si>
  <si>
    <t xml:space="preserve">spot 17 Jul 2026</t>
  </si>
  <si>
    <t xml:space="preserve">— Pt/Au ratio anchors —</t>
  </si>
  <si>
    <t xml:space="preserve">attached 2011–26 series; post-2016 = modern regime</t>
  </si>
  <si>
    <t xml:space="preserve">2-year average ratio</t>
  </si>
  <si>
    <t xml:space="preserve">recent regime — maps to ~spot</t>
  </si>
  <si>
    <t xml:space="preserve">5-year average ratio</t>
  </si>
  <si>
    <t xml:space="preserve">the mean-reversion case</t>
  </si>
  <si>
    <t xml:space="preserve">Post-2016 average ratio</t>
  </si>
  <si>
    <t xml:space="preserve">full modern regime — bull anchor</t>
  </si>
  <si>
    <t xml:space="preserve">— Consensus targets —</t>
  </si>
  <si>
    <t xml:space="preserve">two vintages, $500 apart</t>
  </si>
  <si>
    <t xml:space="preserve">UBS end-2026</t>
  </si>
  <si>
    <t xml:space="preserve">29 Jun 2026, post-crash (spot $1,618)</t>
  </si>
  <si>
    <t xml:space="preserve">UBS mid-2027</t>
  </si>
  <si>
    <t xml:space="preserve">29 Jun 2026</t>
  </si>
  <si>
    <t xml:space="preserve">LBMA 2026 survey average</t>
  </si>
  <si>
    <t xml:space="preserve">20 Jan 2026 — set at the record; stale-high</t>
  </si>
  <si>
    <t xml:space="preserve">Valterra LT planning low</t>
  </si>
  <si>
    <t xml:space="preserve">Feb 2026 — greenfield incentive, excluded from base</t>
  </si>
  <si>
    <t xml:space="preserve">Valterra LT planning high</t>
  </si>
  <si>
    <t xml:space="preserve">Feb 2026</t>
  </si>
  <si>
    <t xml:space="preserve">— Supply / demand (koz, WPIC Q1-26) —</t>
  </si>
  <si>
    <t xml:space="preserve">WPIC Platinum Quarterly, 18 May 2026 (Metals Focus)</t>
  </si>
  <si>
    <t xml:space="preserve">2026f total supply</t>
  </si>
  <si>
    <t xml:space="preserve">+2% YoY</t>
  </si>
  <si>
    <t xml:space="preserve">2026f mine supply</t>
  </si>
  <si>
    <t xml:space="preserve">South Africa 4,005 (~72%)</t>
  </si>
  <si>
    <t xml:space="preserve">2026f recycling</t>
  </si>
  <si>
    <t xml:space="preserve">+9% — the elastic leg</t>
  </si>
  <si>
    <t xml:space="preserve">2026f total demand</t>
  </si>
  <si>
    <t xml:space="preserve">−9% YoY</t>
  </si>
  <si>
    <t xml:space="preserve">2026f balance (deficit)</t>
  </si>
  <si>
    <t xml:space="preserve">4th consecutive deficit</t>
  </si>
  <si>
    <t xml:space="preserve">Above-ground stocks end-26f (koz)</t>
  </si>
  <si>
    <t xml:space="preserve">≈ 11 weeks of demand cover — thinnest on record</t>
  </si>
  <si>
    <t xml:space="preserve">— Cost &amp; carry —</t>
  </si>
  <si>
    <t xml:space="preserve">AISC 2026f (US$/oz)</t>
  </si>
  <si>
    <t xml:space="preserve">S&amp;P Global, +7.7% YoY</t>
  </si>
  <si>
    <t xml:space="preserve">Real 10Y TIPS (%)</t>
  </si>
  <si>
    <t xml:space="preserve">18-Jul-2026 close (Treasury est. via TipsWatch) — ~18-yr high; path 1.99 (12-May, FRED) → 2.07 (3-Jun, TE) → 2.31</t>
  </si>
  <si>
    <t xml:space="preserve">MC carry rf (%)</t>
  </si>
  <si>
    <t xml:space="preserve">Fed funds midpoint held; FOMC 16–17 Jun 2026, statement 17 Jun; q = 0</t>
  </si>
  <si>
    <t xml:space="preserve">— Fair-value zone (computed §1.5) —</t>
  </si>
  <si>
    <t xml:space="preserve">weights 30/30/20/20 ratio/consensus/balance/cost — house judgment, Driver Ledger</t>
  </si>
  <si>
    <t xml:space="preserve">Zone low</t>
  </si>
  <si>
    <t xml:space="preserve">weighted bear</t>
  </si>
  <si>
    <t xml:space="preserve">Zone centre</t>
  </si>
  <si>
    <t xml:space="preserve">weighted base</t>
  </si>
  <si>
    <t xml:space="preserve">Zone high</t>
  </si>
  <si>
    <t xml:space="preserve">weighted bull</t>
  </si>
  <si>
    <t xml:space="preserve">Fair-Value Anchors — five lenses (US$/oz)</t>
  </si>
  <si>
    <t xml:space="preserve">Anchor / scenario</t>
  </si>
  <si>
    <t xml:space="preserve">Implied Pt</t>
  </si>
  <si>
    <t xml:space="preserve">Basis</t>
  </si>
  <si>
    <t xml:space="preserve">Pt/Au @ 2-year mean</t>
  </si>
  <si>
    <t xml:space="preserve">gold × ratio</t>
  </si>
  <si>
    <t xml:space="preserve">recent regime ≈ spot</t>
  </si>
  <si>
    <t xml:space="preserve">Pt/Au @ today</t>
  </si>
  <si>
    <t xml:space="preserve">spot</t>
  </si>
  <si>
    <t xml:space="preserve">12th pctile of post-2016</t>
  </si>
  <si>
    <t xml:space="preserve">Pt/Au @ 5-year mean</t>
  </si>
  <si>
    <t xml:space="preserve">the mean-reversion case — BASE</t>
  </si>
  <si>
    <t xml:space="preserve">Pt/Au @ post-2016 mean</t>
  </si>
  <si>
    <t xml:space="preserve">bull anchor</t>
  </si>
  <si>
    <t xml:space="preserve">Consensus — UBS end-26</t>
  </si>
  <si>
    <t xml:space="preserve">2026 target</t>
  </si>
  <si>
    <t xml:space="preserve">fresh, post-crash</t>
  </si>
  <si>
    <t xml:space="preserve">Consensus — blend (BASE)</t>
  </si>
  <si>
    <t xml:space="preserve">fresh vintage</t>
  </si>
  <si>
    <t xml:space="preserve">base consensus anchor 1,750</t>
  </si>
  <si>
    <t xml:space="preserve">Consensus — LBMA survey</t>
  </si>
  <si>
    <t xml:space="preserve">2026 survey</t>
  </si>
  <si>
    <t xml:space="preserve">stale-high (set at record)</t>
  </si>
  <si>
    <t xml:space="preserve">Cost floor — AISC</t>
  </si>
  <si>
    <t xml:space="preserve">marginal cost</t>
  </si>
  <si>
    <t xml:space="preserve">deep-bear bound; tested 2018–24</t>
  </si>
  <si>
    <t xml:space="preserve">Incentive price — Valterra</t>
  </si>
  <si>
    <t xml:space="preserve">greenfield sanction</t>
  </si>
  <si>
    <t xml:space="preserve">long-run ceiling logic</t>
  </si>
  <si>
    <t xml:space="preserve">Weighted fair-value zone</t>
  </si>
  <si>
    <t xml:space="preserve">synthesis</t>
  </si>
  <si>
    <t xml:space="preserve">centre = Assumptions!B29</t>
  </si>
  <si>
    <t xml:space="preserve">Pt/Au Ratio — platinum's primary relative lens</t>
  </si>
  <si>
    <t xml:space="preserve">Item</t>
  </si>
  <si>
    <t xml:space="preserve">Current ratio (Pt ÷ Au)</t>
  </si>
  <si>
    <t xml:space="preserve">live from Assumptions</t>
  </si>
  <si>
    <t xml:space="preserve">2-year average</t>
  </si>
  <si>
    <t xml:space="preserve">recent regime</t>
  </si>
  <si>
    <t xml:space="preserve">5-year average</t>
  </si>
  <si>
    <t xml:space="preserve">mean-reversion anchor</t>
  </si>
  <si>
    <t xml:space="preserve">Post-2016 average</t>
  </si>
  <si>
    <t xml:space="preserve">modern regime</t>
  </si>
  <si>
    <t xml:space="preserve">Full-history average (2011–26)</t>
  </si>
  <si>
    <t xml:space="preserve">a fossil — pre-2015 premium era</t>
  </si>
  <si>
    <t xml:space="preserve">April 2025 trough</t>
  </si>
  <si>
    <t xml:space="preserve">platinum cheapest ever vs gold</t>
  </si>
  <si>
    <t xml:space="preserve">2011 peak</t>
  </si>
  <si>
    <t xml:space="preserve">the old premium world</t>
  </si>
  <si>
    <t xml:space="preserve">Percentile of today (post-2016)</t>
  </si>
  <si>
    <t xml:space="preserve">still historically cheap</t>
  </si>
  <si>
    <t xml:space="preserve">Pt/Pd cross</t>
  </si>
  <si>
    <t xml:space="preserve">first premium since 2017 — the crux driver</t>
  </si>
  <si>
    <t xml:space="preserve">Implied Pt @ current gold, 5y mean</t>
  </si>
  <si>
    <t xml:space="preserve">+14% vs spot</t>
  </si>
  <si>
    <t xml:space="preserve">Implied Pt if gold $4,742 @ 5y mean</t>
  </si>
  <si>
    <t xml:space="preserve">LBMA gold consensus × ratio held</t>
  </si>
  <si>
    <t xml:space="preserve">Platinum Balance — the commodity's financial statements (koz)</t>
  </si>
  <si>
    <t xml:space="preserve">WPIC Platinum Quarterly Q1 2026 (18 May 2026; research by Metals Focus)</t>
  </si>
  <si>
    <t xml:space="preserve">Line (koz)</t>
  </si>
  <si>
    <t xml:space="preserve">2023</t>
  </si>
  <si>
    <t xml:space="preserve">2024</t>
  </si>
  <si>
    <t xml:space="preserve">2025</t>
  </si>
  <si>
    <t xml:space="preserve">2026f</t>
  </si>
  <si>
    <t xml:space="preserve">South Africa</t>
  </si>
  <si>
    <t xml:space="preserve">Zimbabwe</t>
  </si>
  <si>
    <t xml:space="preserve">Russia</t>
  </si>
  <si>
    <t xml:space="preserve">North America</t>
  </si>
  <si>
    <t xml:space="preserve">Other</t>
  </si>
  <si>
    <t xml:space="preserve">Rounding / unallocated (ties to WPIC print)</t>
  </si>
  <si>
    <t xml:space="preserve">Total mine supply</t>
  </si>
  <si>
    <t xml:space="preserve">Recycling</t>
  </si>
  <si>
    <t xml:space="preserve">TOTAL SUPPLY</t>
  </si>
  <si>
    <t xml:space="preserve">Automotive</t>
  </si>
  <si>
    <t xml:space="preserve">Jewellery</t>
  </si>
  <si>
    <t xml:space="preserve">Industrial</t>
  </si>
  <si>
    <t xml:space="preserve">  of which hydrogen (memo)</t>
  </si>
  <si>
    <t xml:space="preserve">Investment</t>
  </si>
  <si>
    <t xml:space="preserve">TOTAL DEMAND</t>
  </si>
  <si>
    <t xml:space="preserve">BALANCE (supply − demand)</t>
  </si>
  <si>
    <t xml:space="preserve">Above-ground stocks (year-end)</t>
  </si>
  <si>
    <t xml:space="preserve">Weeks of demand cover (WPIC-stated)</t>
  </si>
  <si>
    <t xml:space="preserve">Four consecutive deficits ≈ 3.3 Moz drawn from stocks; cover 34 → 11 weeks (WPIC-stated; simple AGS ÷ same-year demand × 52 gives ~28/20/13/12 — definitional difference stated, dual-framing rule). Computed balances −798/−1,032 (2023/24) vs WPIC-printed −799/−1,033: 1 koz of print rounding, stated. Hydrogen is a memo line inside Industrial (not double-counted).</t>
  </si>
  <si>
    <t xml:space="preserve">Supply structure &amp; the cost curve</t>
  </si>
  <si>
    <t xml:space="preserve">South Africa share of mine supply</t>
  </si>
  <si>
    <t xml:space="preserve">72% — the most concentrated major metal</t>
  </si>
  <si>
    <t xml:space="preserve">Spot ÷ AISC</t>
  </si>
  <si>
    <t xml:space="preserve">first sustained margin in a decade (2018–24 ≈ 1×)</t>
  </si>
  <si>
    <t xml:space="preserve">Incentive price (greenfield)</t>
  </si>
  <si>
    <t xml:space="preserve">Valterra planning range 2,300–2,500</t>
  </si>
  <si>
    <t xml:space="preserve">SA electricity cost since 2008</t>
  </si>
  <si>
    <t xml:space="preserve">&gt;+900%</t>
  </si>
  <si>
    <t xml:space="preserve">structural cost inflation (Reuters/MarketScreener, Feb-2026)</t>
  </si>
  <si>
    <t xml:space="preserve">Projects surviving from the 2005–10 boom</t>
  </si>
  <si>
    <t xml:space="preserve">2 of 20</t>
  </si>
  <si>
    <t xml:space="preserve">why supply cannot respond for years</t>
  </si>
  <si>
    <t xml:space="preserve">Valterra 2026 guidance (PGM M&amp;C)</t>
  </si>
  <si>
    <t xml:space="preserve">3.0–3.4 Moz</t>
  </si>
  <si>
    <t xml:space="preserve">unchanged at Q2-26; Amandelbult +116% post-flood</t>
  </si>
  <si>
    <t xml:space="preserve">Recycling 2026f (koz)</t>
  </si>
  <si>
    <t xml:space="preserve">the only elastic supply leg</t>
  </si>
  <si>
    <t xml:space="preserve">Demand Segments — platinum's four legs (2026f)</t>
  </si>
  <si>
    <t xml:space="preserve">Segment</t>
  </si>
  <si>
    <t xml:space="preserve">2026f (koz)</t>
  </si>
  <si>
    <t xml:space="preserve">Share</t>
  </si>
  <si>
    <t xml:space="preserve">YoY</t>
  </si>
  <si>
    <t xml:space="preserve">Driver / swing</t>
  </si>
  <si>
    <t xml:space="preserve">−2%</t>
  </si>
  <si>
    <t xml:space="preserve">ICE+hybrid volumes; reverse Pt-for-Pd substitution — THE crux</t>
  </si>
  <si>
    <t xml:space="preserve">−12%</t>
  </si>
  <si>
    <t xml:space="preserve">China fabrication −42% Q1-26; VAT-rebate removal 1-Nov-25</t>
  </si>
  <si>
    <t xml:space="preserve">+9%</t>
  </si>
  <si>
    <t xml:space="preserve">chem 612 · glass 377 · medical 332 · H2 69 — the quiet grower</t>
  </si>
  <si>
    <t xml:space="preserve">−54%</t>
  </si>
  <si>
    <t xml:space="preserve">bars +27% (China 13t vs &lt;1t 2019) vs ETF −100, exchange −100</t>
  </si>
  <si>
    <t xml:space="preserve">Technical indicators</t>
  </si>
  <si>
    <t xml:space="preserve">Computed from XPT/USD daily history (04 Jan 2011 – 20 Jul 2026, 4,032 sessions post-clean)</t>
  </si>
  <si>
    <t xml:space="preserve">Indicator</t>
  </si>
  <si>
    <t xml:space="preserve">Reading</t>
  </si>
  <si>
    <t xml:space="preserve">Signal</t>
  </si>
  <si>
    <t xml:space="preserve">Close</t>
  </si>
  <si>
    <t xml:space="preserve">—</t>
  </si>
  <si>
    <t xml:space="preserve">SMA 20</t>
  </si>
  <si>
    <t xml:space="preserve">price -0.2% vs SMA20 — reclaimed</t>
  </si>
  <si>
    <t xml:space="preserve">SMA 50</t>
  </si>
  <si>
    <t xml:space="preserve">price -8.5% vs SMA50 — falling</t>
  </si>
  <si>
    <t xml:space="preserve">SMA 200</t>
  </si>
  <si>
    <t xml:space="preserve">price -16.5% vs SMA200</t>
  </si>
  <si>
    <t xml:space="preserve">50/200 stack</t>
  </si>
  <si>
    <t xml:space="preserve">death-cross</t>
  </si>
  <si>
    <t xml:space="preserve">both falling — post-halving structure</t>
  </si>
  <si>
    <t xml:space="preserve">RSI(14)</t>
  </si>
  <si>
    <t xml:space="preserve">neutral, off the June oversold</t>
  </si>
  <si>
    <t xml:space="preserve">MACD line / signal</t>
  </si>
  <si>
    <t xml:space="preserve">-37 / -46</t>
  </si>
  <si>
    <t xml:space="preserve">negative</t>
  </si>
  <si>
    <t xml:space="preserve">MACD histogram</t>
  </si>
  <si>
    <t xml:space="preserve">positive but fading (was +17)</t>
  </si>
  <si>
    <t xml:space="preserve">Avg daily range (30d)</t>
  </si>
  <si>
    <t xml:space="preserve">high-volatility tape</t>
  </si>
  <si>
    <t xml:space="preserve">52-week high (close)</t>
  </si>
  <si>
    <t xml:space="preserve">23 Jan 2026 record</t>
  </si>
  <si>
    <t xml:space="preserve">52-week low (close)</t>
  </si>
  <si>
    <t xml:space="preserve">31 Jul 2025</t>
  </si>
  <si>
    <t xml:space="preserve">Support</t>
  </si>
  <si>
    <t xml:space="preserve">1,540 → 1,500 → 1,348</t>
  </si>
  <si>
    <t xml:space="preserve">June–July floor → round → Feb-2021 shelf</t>
  </si>
  <si>
    <t xml:space="preserve">Resistance</t>
  </si>
  <si>
    <t xml:space="preserve">1,758 → 1,990</t>
  </si>
  <si>
    <t xml:space="preserve">SMA50 → May-2026 recovery high</t>
  </si>
  <si>
    <t xml:space="preserve">Monte Carlo — mc_v3 carry-anchored YZ-HAR-t, 50k paths, seed 42 (engine outputs pasted as values)</t>
  </si>
  <si>
    <t xml:space="preserve">Width: gap-aware Yang-Zhang + log-HAR(1/5/22), bias-corrected, 0.8 shrink; drift = ln(1+3.63%)·h/252, q=0; ν=Gaussian, width_cal=0.853 (PROVISIONAL self-fit); no signal, no factor drift.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</si>
  <si>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</si>
  <si>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</si>
  <si>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</si>
  <si>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</si>
  <si>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</si>
  <si>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</si>
  <si>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mean</t>
  </si>
  <si>
    <t xml:space="preserve">T+21 (1 month)</t>
  </si>
  <si>
    <t xml:space="preserve">T+63 (3 months)</t>
  </si>
  <si>
    <t xml:space="preserve">T+252 (12 months)</t>
  </si>
  <si>
    <t xml:space="preserve">Ledger-convention cohorts (graded rows)</t>
  </si>
  <si>
    <t xml:space="preserve">ann. fwd vol</t>
  </si>
  <si>
    <t xml:space="preserve">T+20 (grade 17 Aug 26)</t>
  </si>
  <si>
    <t xml:space="preserve">T+60 (grade 12 Oct 26)</t>
  </si>
  <si>
    <t xml:space="preserve">Zone vs spot</t>
  </si>
  <si>
    <t xml:space="preserve">T+63</t>
  </si>
  <si>
    <t xml:space="preserve">T+252</t>
  </si>
  <si>
    <t xml:space="preserve">below −20%</t>
  </si>
  <si>
    <t xml:space="preserve">−20…−10%</t>
  </si>
  <si>
    <t xml:space="preserve">−10…−5%</t>
  </si>
  <si>
    <t xml:space="preserve">±5%</t>
  </si>
  <si>
    <t xml:space="preserve">+5…+10%</t>
  </si>
  <si>
    <t xml:space="preserve">+10…+20%</t>
  </si>
  <si>
    <t xml:space="preserve">above +20%</t>
  </si>
  <si>
    <t xml:space="preserve">Touch (level hit at least once)</t>
  </si>
  <si>
    <t xml:space="preserve">by T+20</t>
  </si>
  <si>
    <t xml:space="preserve">by T+60</t>
  </si>
  <si>
    <t xml:space="preserve">by T+252</t>
  </si>
  <si>
    <t xml:space="preserve">$1,750</t>
  </si>
  <si>
    <t xml:space="preserve">$1,990 (May high)</t>
  </si>
  <si>
    <t xml:space="preserve">$2,222 (stale consensus)</t>
  </si>
  <si>
    <t xml:space="preserve">$2,925 (record)</t>
  </si>
  <si>
    <t xml:space="preserve">$1,540 (floor)</t>
  </si>
  <si>
    <t xml:space="preserve">$1,348 (2021 shelf)</t>
  </si>
  <si>
    <t xml:space="preserve">$1,006 (AISC)</t>
  </si>
  <si>
    <t xml:space="preserve">Sensitivity (stated, not adopted): under the gold+silver-trained LONO shape (ν=20, width 1.035) the T+63 90% band widens to 1,161–2,278.</t>
  </si>
  <si>
    <t xml:space="preserve">Ledger cohort fields (anchored at publication; graded later; append-only)</t>
  </si>
  <si>
    <t xml:space="preserve">instrument / cycle_no</t>
  </si>
  <si>
    <t xml:space="preserve">XPTUSD / 1</t>
  </si>
  <si>
    <t xml:space="preserve">anchor_date / anchor_price</t>
  </si>
  <si>
    <t xml:space="preserve">2026-07-20 / 1,608.37</t>
  </si>
  <si>
    <t xml:space="preserve">grade_date T+20 / T+60 (projected)</t>
  </si>
  <si>
    <t xml:space="preserve">2026-08-17 / 2026-10-12</t>
  </si>
  <si>
    <t xml:space="preserve">Mon–Fri weekmask; actual grading counts real trading rows</t>
  </si>
  <si>
    <t xml:space="preserve">touch T+20  +5/+10/−5/−10%</t>
  </si>
  <si>
    <t xml:space="preserve">53% / 26% / 49% / 21%</t>
  </si>
  <si>
    <t xml:space="preserve">touch T+60  +5/+10/−5/−10%</t>
  </si>
  <si>
    <t xml:space="preserve">73% / 53% / 69% / 46%</t>
  </si>
  <si>
    <t xml:space="preserve">anchor_vol (ann., HAR) T+20 / T+60</t>
  </si>
  <si>
    <t xml:space="preserve">33.6% / 34.0%</t>
  </si>
  <si>
    <t xml:space="preserve">forward, width_cal applied</t>
  </si>
  <si>
    <t xml:space="preserve">status</t>
  </si>
  <si>
    <t xml:space="preserve">NOT anchored to the live site — publication is a separate, explicitly-requested step (house rule).</t>
  </si>
  <si>
    <t xml:space="preserve">Sensitivity — platinum fair value = gold × Pt/Au ratio (US$/oz)</t>
  </si>
  <si>
    <t xml:space="preserve">Rows: Pt/Au ratio. Columns: gold price.</t>
  </si>
  <si>
    <t xml:space="preserve">ratio \ gold</t>
  </si>
  <si>
    <t xml:space="preserve">Today: gold ~$3,972, ratio 0.405× → ≈ spot. Bull = joint move (gold up + ratio re-rates); the two dimensions are NOT independent — reverse substitution pins the ratio (§1.7 of the study).</t>
  </si>
  <si>
    <t xml:space="preserve">Step 0 — calibration gate (current house basis)</t>
  </si>
  <si>
    <t xml:space="preserve">Walk-forward h=60, non-overlapping, scale-normalized CRPS vs a CARRY-ANCHORED lognormal RW; robust verdict across bootstrap blocks {2,3,4}; production chain (reproduction check passed against the live gold registry).</t>
  </si>
  <si>
    <t xml:space="preserve">Windows (full history / last-5y)</t>
  </si>
  <si>
    <t xml:space="preserve">62 (2012–2026) / 20</t>
  </si>
  <si>
    <t xml:space="preserve">ADOPTED config (provisional self-fit)</t>
  </si>
  <si>
    <t xml:space="preserve">ν = Gaussian (sentinel 250), width_cal = 0.853 (MLE scale 0.790, clip floor 0.85 active)</t>
  </si>
  <si>
    <t xml:space="preserve">Self-fit skill &amp; CI (block 2)</t>
  </si>
  <si>
    <t xml:space="preserve">-0.0004  [-0.009, +0.009] — PARITY</t>
  </si>
  <si>
    <t xml:space="preserve">De-circularized LONO (gold+silver-trained)</t>
  </si>
  <si>
    <t xml:space="preserve">-0.0114  [-0.032, +0.009] — PARITY</t>
  </si>
  <si>
    <t xml:space="preserve">Borrowed live METALS (Gaussian/1.0)</t>
  </si>
  <si>
    <t xml:space="preserve">-0.0094  [-0.030, +0.010] — PARITY</t>
  </si>
  <si>
    <t xml:space="preserve">Coverage 50/80/90 (self-fit)</t>
  </si>
  <si>
    <t xml:space="preserve">48% / 81% / 93.5% vs 50/80/90 — mildly over-covered</t>
  </si>
  <si>
    <t xml:space="preserve">PIT mean</t>
  </si>
  <si>
    <t xml:space="preserve">0.489 — centred; no drift blemish under the carry anchor</t>
  </si>
  <si>
    <t xml:space="preserve">Reproduction check (gold, live registry)</t>
  </si>
  <si>
    <t xml:space="preserve">EXACT: 67 windows, +0.0035, CI[−0.005,+0.013], PARITY</t>
  </si>
  <si>
    <t xml:space="preserve">PARITY — the engine ties the carry-anchored RW; platinum does NOT arrive failing. PROVISIONAL single-name fit, flagged circular; pooled 3-metal fit (ν≈20, 0.965, 148 windows) is the likely future config.</t>
  </si>
  <si>
    <t xml:space="preserve">Peer &amp; Sector — the investable platinum complex</t>
  </si>
  <si>
    <t xml:space="preserve">Cohort</t>
  </si>
  <si>
    <t xml:space="preserve">Names</t>
  </si>
  <si>
    <t xml:space="preserve">Character</t>
  </si>
  <si>
    <t xml:space="preserve">SA primary producers</t>
  </si>
  <si>
    <t xml:space="preserve">Valterra (ex-Amplats), Impala, Sibanye-Stillwater, Northam</t>
  </si>
  <si>
    <t xml:space="preserve">levered to spot &amp; ZAR; AISC ~$1,000; payouts over projects</t>
  </si>
  <si>
    <t xml:space="preserve">Zimbabwe / other</t>
  </si>
  <si>
    <t xml:space="preserve">Zimplats, Tharisa</t>
  </si>
  <si>
    <t xml:space="preserve">expansion optionality, political discount</t>
  </si>
  <si>
    <t xml:space="preserve">Russian by-product</t>
  </si>
  <si>
    <t xml:space="preserve">Norilsk Nickel</t>
  </si>
  <si>
    <t xml:space="preserve">~12% of supply; sanctions-shadowed</t>
  </si>
  <si>
    <t xml:space="preserve">Physical ETFs</t>
  </si>
  <si>
    <t xml:space="preserve">PPLT (~$1.8bn AUM), PLTM</t>
  </si>
  <si>
    <t xml:space="preserve">direct bullion; 2026f ETF line −100 koz</t>
  </si>
  <si>
    <t xml:space="preserve">New venue</t>
  </si>
  <si>
    <t xml:space="preserve">GFEX platinum futures (Guangzhou)</t>
  </si>
  <si>
    <t xml:space="preserve">China's first PGM derivatives; published stockpiles</t>
  </si>
  <si>
    <t xml:space="preserve">Platinum (this study)</t>
  </si>
  <si>
    <t xml:space="preserve">the metal itself — no leverage, no balance sheet, no counterparty</t>
  </si>
  <si>
    <t xml:space="preserve">Step 2A Information Sweep — four metal rings, validated (engine/research_sweep.py: 0 errors)</t>
  </si>
  <si>
    <t xml:space="preserve">ID</t>
  </si>
  <si>
    <t xml:space="preserve">Ring</t>
  </si>
  <si>
    <t xml:space="preserve">Category</t>
  </si>
  <si>
    <t xml:space="preserve">Class</t>
  </si>
  <si>
    <t xml:space="preserve">Headline</t>
  </si>
  <si>
    <t xml:space="preserve">Date</t>
  </si>
  <si>
    <t xml:space="preserve">F01</t>
  </si>
  <si>
    <t xml:space="preserve">GLOBAL_MACRO</t>
  </si>
  <si>
    <t xml:space="preserve">real rates &amp; USD</t>
  </si>
  <si>
    <t xml:space="preserve">S</t>
  </si>
  <si>
    <t xml:space="preserve">10Y TIPS real yield ~2.31% at the 18-Jul-2026 close (Treasury estimate via TipsWatch) — the highest 10-year real yield in ~18 years; rising path 1.99% (12-May, FRED) -&gt; 2.07% (3-Jun, TE) -&gt; 2.31%; firm dollar; hawkish 2026 repricing after hot CPI</t>
  </si>
  <si>
    <t xml:space="preserve">2026-07-18</t>
  </si>
  <si>
    <t xml:space="preserve">F02</t>
  </si>
  <si>
    <t xml:space="preserve">central-bank policy path</t>
  </si>
  <si>
    <t xml:space="preserve">Fed funds midpoint 3.63% held at the 16–17-Jun-2026 FOMC (statement 17 Jun; 3.50–3.75%); market pricing leans to hikes near-term, easing expected 2027</t>
  </si>
  <si>
    <t xml:space="preserve">2026-06-17</t>
  </si>
  <si>
    <t xml:space="preserve">F03</t>
  </si>
  <si>
    <t xml:space="preserve">official-sector behavior</t>
  </si>
  <si>
    <t xml:space="preserve">WPIC reports PGMs 'fundamentally key' to China's 15th Five-Year Plan (AI/hydrogen) and frames platinum as a strategic metal — an INDUSTRY-COUNCIL characterization: China's official strategic-minerals catalogue is undisclosed and its reconstructed 2016/2021 lists carry NO PGMs; no central bank holds platinum reserves in size</t>
  </si>
  <si>
    <t xml:space="preserve">2026-07-17</t>
  </si>
  <si>
    <t xml:space="preserve">F04</t>
  </si>
  <si>
    <t xml:space="preserve">SUPPLY</t>
  </si>
  <si>
    <t xml:space="preserve">mine production</t>
  </si>
  <si>
    <t xml:space="preserve">D</t>
  </si>
  <si>
    <t xml:space="preserve">WPIC Q1-2026 Quarterly: 2026f mine supply 5,551 koz flat (SA 4,005, Zim 508, Ru 646, NA 201, other 192); total supply 7,377 koz (+2%)</t>
  </si>
  <si>
    <t xml:space="preserve">2026-05-18</t>
  </si>
  <si>
    <t xml:space="preserve">F05</t>
  </si>
  <si>
    <t xml:space="preserve">recycling</t>
  </si>
  <si>
    <t xml:space="preserve">Recycling 1,826 koz 2026f (+9%): autocat 1,365, jewellery 373, industrial 88; recyclers working-capital-constrained at higher prices</t>
  </si>
  <si>
    <t xml:space="preserve">F06</t>
  </si>
  <si>
    <t xml:space="preserve">disruptions</t>
  </si>
  <si>
    <t xml:space="preserve">Valterra Q2-2026: PGM M&amp;C +1% YoY, Amandelbult +116% post-flood recovery, FY guidance unchanged 3.0–3.4 Moz; miners favour payouts over projects (S&amp;P AISC 2026f $1,006/oz, +7.7%; SA electricity +900% since 2008); Valterra long-term planning $2,300–2,500</t>
  </si>
  <si>
    <t xml:space="preserve">F07</t>
  </si>
  <si>
    <t xml:space="preserve">DEMAND</t>
  </si>
  <si>
    <t xml:space="preserve">industrial demand</t>
  </si>
  <si>
    <t xml:space="preserve">Industrial 2,238 koz 2026f (+9%): chemical 612, glass 377, medical 332, electrical 119, petroleum 132, hydrogen 69 (from 22 in 2023; WPIC sees PEM electrolyser demand &gt;500 koz p.a. within 10 years)</t>
  </si>
  <si>
    <t xml:space="preserve">F08</t>
  </si>
  <si>
    <t xml:space="preserve">Automotive 2,959 koz 2026f (−2%); Pt-for-Pd substitution (~700 koz embedded) flips: Pt now at a ~1.30× PREMIUM to Pd — reverse-substitution incentive live, but platform lock-in (~15% of models/yr, ~7-yr cycles) makes it slow</t>
  </si>
  <si>
    <t xml:space="preserve">F09</t>
  </si>
  <si>
    <t xml:space="preserve">jewelry / consumer demand</t>
  </si>
  <si>
    <t xml:space="preserve">Jewellery 1,958 koz 2026f (−12%); China fabrication −42% YoY in Q1-2026 on price shock, weak sentiment, destocking and the 1-Nov-2025 removal of the 13% VAT rebate</t>
  </si>
  <si>
    <t xml:space="preserve">F10</t>
  </si>
  <si>
    <t xml:space="preserve">investment / ETF flows</t>
  </si>
  <si>
    <t xml:space="preserve">Investment 519 koz 2026f: bars &amp; coins 533 (+27%), China ≥500g bars 185, ETF −100, exchange stocks −100; China bar market grew &lt;1t (2019) → ~13t (2025)</t>
  </si>
  <si>
    <t xml:space="preserve">F11</t>
  </si>
  <si>
    <t xml:space="preserve">official-sector purchases</t>
  </si>
  <si>
    <t xml:space="preserve">NEG</t>
  </si>
  <si>
    <t xml:space="preserve">Negative search — nothing found (searched 'central bank platinum reserves purchases 2026', 'Gokhran platinum purchases 2026'; only China strategic-mineral classification and the historic Russian palladium precedent surfaced — no quantified official platinum buying)</t>
  </si>
  <si>
    <t xml:space="preserve">2026-07-20</t>
  </si>
  <si>
    <t xml:space="preserve">F12</t>
  </si>
  <si>
    <t xml:space="preserve">MARKET_STRUCTURE</t>
  </si>
  <si>
    <t xml:space="preserve">positioning (COT)</t>
  </si>
  <si>
    <t xml:space="preserve">C</t>
  </si>
  <si>
    <t xml:space="preserve">NYMEX managed-money net long ~+8.3k contracts (14-Jul-2026) — modestly long, far off extremes; palladium net short −6.2k</t>
  </si>
  <si>
    <t xml:space="preserve">2026-07-14</t>
  </si>
  <si>
    <t xml:space="preserve">F13</t>
  </si>
  <si>
    <t xml:space="preserve">forward curve / lease rates</t>
  </si>
  <si>
    <t xml:space="preserve">Lease rates 'sky-high' through 2025 (physical squeeze; episodic spot backwardation in squeezes); elevated in Q1-2026 constraining bar fabrication, easing late-Q1 and 'falling' by late-June — the tightness premium partially unwound</t>
  </si>
  <si>
    <t xml:space="preserve">2026-06-29</t>
  </si>
  <si>
    <t xml:space="preserve">F14</t>
  </si>
  <si>
    <t xml:space="preserve">regulatory treatment (e.g. Basel III)</t>
  </si>
  <si>
    <t xml:space="preserve">GFEX (Guangzhou) launched China's first platinum/palladium futures with stockpile publication — new price-discovery + transparency venue; US 2025 tariff-related dislocations have eased (UBS); China VAT-rebate removal (1-Nov-2025) reshaped jewellery flows</t>
  </si>
  <si>
    <t xml:space="preserve">F15</t>
  </si>
  <si>
    <t xml:space="preserve">Forward anchors: UBS $1,700 (Sep/Dec-26) &amp; $1,800 (Mar/Jun-27, 29-Jun-2026, spot $1,618); LBMA survey avg $2,222 (20-Jan-2026 — set at the record, stale-high); TE palladium model $1,554 12-mo</t>
  </si>
  <si>
    <t xml:space="preserve">F16</t>
  </si>
  <si>
    <t xml:space="preserve">Negative search — nothing found (searched 'authoritative fair Pt/Au ratio level' — no market-standard neutral exists; house uses the post-2016-regime distribution of the attached series)</t>
  </si>
  <si>
    <t xml:space="preserve">F17</t>
  </si>
  <si>
    <t xml:space="preserve">Negative search — nothing found (searched 'platinum holder yield / dividend' — none exists; lease rate is a borrow cost to users, not a holder yield)</t>
  </si>
  <si>
    <t xml:space="preserve">F18</t>
  </si>
  <si>
    <t xml:space="preserve">Negative search — nothing found (searched 'market-implied weighting of commodity fair-value anchors' — none exists; weights are a stated house judgment)</t>
  </si>
  <si>
    <t xml:space="preserve">Driver gate:</t>
  </si>
  <si>
    <t xml:space="preserve">BOTTOM_UP</t>
  </si>
  <si>
    <t xml:space="preserve">2026 supply/demand balance (deficit 297 koz; AGS 1,747 koz ≈ 11 weeks)</t>
  </si>
  <si>
    <t xml:space="preserve">F04,F05,F07,F08,F09,F10</t>
  </si>
  <si>
    <t xml:space="preserve">Analyst-consensus forward anchor ($1,700–1,800 fresh; $2,222 stale-high)</t>
  </si>
  <si>
    <t xml:space="preserve">AISC cost floor $1,006/oz; incentive range $2,300–2,500</t>
  </si>
  <si>
    <t xml:space="preserve">TOP_DOWN</t>
  </si>
  <si>
    <t xml:space="preserve">Pt/Au neutral-ratio band (0.36–0.46, base = 5y mean 0.461… computed 0.461→base 1,831)</t>
  </si>
  <si>
    <t xml:space="preserve">F16,F15</t>
  </si>
  <si>
    <t xml:space="preserve">q_annual = 0 (no holder yield; METALS-profile precedent)</t>
  </si>
  <si>
    <t xml:space="preserve">F17,F02</t>
  </si>
  <si>
    <t xml:space="preserve">Anchor weights 30/30/20/20 (ratio/consensus/balance/cost; carry = tilt)</t>
  </si>
  <si>
    <t xml:space="preserve">Sources &amp; about</t>
  </si>
  <si>
    <t xml:space="preserve">•  WPIC Platinum Quarterly Q1 2026 (18 May 2026; research by Metals Focus) — supply/demand balance, above-ground stocks, lease-rate &amp; China commentary. platinuminvestment.com</t>
  </si>
  <si>
    <t xml:space="preserve">•  WPIC/Mining Weekly (17 Jul 2026) — China 15th Five-Year Plan (WPIC characterization; the official strategic-minerals catalogue is undisclosed and reconstructed lists carry no PGMs — Swedish National China Centre, 2026), GFEX, China bar market &lt;1t (2019) → ~13t (2025).</t>
  </si>
  <si>
    <t xml:space="preserve">•  UBS platinum note via Yahoo Finance (29 Jun 2026) — $1,700 Sep/Dec-26, $1,800 Mar/Jun-27; surplus risk; falling lease rates.</t>
  </si>
  <si>
    <t xml:space="preserve">•  LBMA 2026 Precious Metals Forecast Survey via Kitco (20 Jan 2026) — platinum average $2,222 (stale-high, set at the record); gold $4,742.</t>
  </si>
  <si>
    <t xml:space="preserve">•  Valterra Platinum Q2-2026 production report via Reuters/TradingView (17 Jul 2026) — output, guidance, realized prices ($1,966 Q2 avg).</t>
  </si>
  <si>
    <t xml:space="preserve">•  Reuters via MarketScreener (11 Feb 2026) — payouts over projects; S&amp;P Global AISC 2026f $1,006/oz (+7.7%); $2,300–2,500 planning range; SA electricity +900% since 2008.</t>
  </si>
  <si>
    <t xml:space="preserve">•  WPIC Perspectives (24 Jan 2024) — Pt-for-Pd substitution ~700 koz embedded; ~15% of models/yr; ~7-year platform lock-in.</t>
  </si>
  <si>
    <t xml:space="preserve">•  CFTC COT via metalcharts.org (14 Jul 2026) — managed money net long +8.3k (Pt), −6.2k (Pd).</t>
  </si>
  <si>
    <t xml:space="preserve">•  10Y TIPS real yield 2.31% at the 18-Jul-2026 close (US Treasury estimate via TipsWatch, 19-Jul-2026); rising path 1.99% (FRED DFII10, 12-May) → 2.07% (TradingEconomics, 3-Jun) → 2.31% — an ~18-year high. Fed funds midpoint 3.63%; FOMC 16–17 Jun 2026, statement 17 Jun (federalreserve.gov).</t>
  </si>
  <si>
    <t xml:space="preserve">•  Spot cross-section Fri 17 Jul 2026 (Fortune/quote pages): gold $3,972, palladium $1,239, silver $55 — one-session mismatch vs the Mon 20 Jul platinum anchor, stated. 30-Jan-2026 crash catalyst: the surprise Warsh Fed-chair nomination (Fortune/NBC, 31-Jan-2026 — gold −11.4% settle basis, silver −31.4%); the Strait of Hormuz war began 28-Feb-2026 (Brent to $126) — it POST-dates the crash and supported Q1 prices (Wikipedia timeline).</t>
  </si>
  <si>
    <t xml:space="preserve">•  Attached XPT/USD daily OHLC history (Investing.com export), 04 Jan 2011 – 20 Jul 2026; Step 0.0 data-quality gate applied (9 placeholder rows dropped; no corporate-action repairs; 260.0 rows/yr = metals Mon–Fri calendar).</t>
  </si>
  <si>
    <t xml:space="preserve">•  Monte Carlo: engine/mc_v3.py carry-anchored YZ-HAR-t; 50,000 paths, seed 42; ν=Gaussian (sentinel), width_cal=0.853 — PROVISIONAL single-instrument self-fit, flagged; Step 0 PARITY.</t>
  </si>
  <si>
    <t xml:space="preserve">•  Educational analysis under the Testahil Standing Research Protocol; not investment advice; no ratings, no price targets — fair-value ranges and distributions only.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</si>
</sst>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0.000"/>
    <numFmt numFmtId="168" formatCode="0.00"/>
    <numFmt numFmtId="169" formatCode="0%"/>
    <numFmt numFmtId="170" formatCode="0.00\x"/>
    <numFmt numFmtId="171" formatCode="#,##0.0"/>
    <numFmt numFmtId="172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3A36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1C3A36"/>
      <name val="Arial"/>
      <family val="0"/>
      <charset val="1"/>
    </font>
    <font>
      <sz val="10"/>
      <color rgb="FF008000"/>
      <name val="Arial"/>
      <family val="0"/>
      <charset val="1"/>
    </font>
    <font>
      <sz val="11"/>
      <name val="Cambria"/>
      <family val="0"/>
      <charset val="1"/>
    </font>
    <font>
      <sz val="9"/>
      <color rgb="FF6E7B77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0EE"/>
        <bgColor rgb="FFF6F1E6"/>
      </patternFill>
    </fill>
    <fill>
      <patternFill patternType="solid">
        <fgColor rgb="FFF6F1E6"/>
        <bgColor rgb="FFEAF0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</row>
    <row r="4" customFormat="false" ht="30" hidden="false" customHeight="true" outlineLevel="0" collapsed="false">
      <c r="A4" s="3" t="s">
        <v>3</v>
      </c>
    </row>
    <row r="5" customFormat="false" ht="30" hidden="false" customHeight="true" outlineLevel="0" collapsed="false">
      <c r="A5" s="3" t="s">
        <v>4</v>
      </c>
    </row>
    <row r="6" customFormat="false" ht="30" hidden="false" customHeight="true" outlineLevel="0" collapsed="false">
      <c r="A6" s="3" t="s">
        <v>5</v>
      </c>
    </row>
    <row r="7" customFormat="false" ht="30" hidden="false" customHeight="true" outlineLevel="0" collapsed="false">
      <c r="A7" s="3" t="s">
        <v>6</v>
      </c>
    </row>
    <row r="8" customFormat="false" ht="30" hidden="false" customHeight="true" outlineLevel="0" collapsed="false">
      <c r="A8" s="3" t="s">
        <v>7</v>
      </c>
    </row>
    <row r="9" customFormat="false" ht="30" hidden="false" customHeight="true" outlineLevel="0" collapsed="false">
      <c r="A9" s="3" t="s">
        <v>8</v>
      </c>
    </row>
    <row r="10" customFormat="false" ht="30" hidden="false" customHeight="true" outlineLevel="0" collapsed="false">
      <c r="A10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4" t="s">
        <v>10</v>
      </c>
    </row>
    <row r="2" customFormat="false" ht="15" hidden="false" customHeight="false" outlineLevel="0" collapsed="false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7" t="n">
        <f aca="false">'Monte Carlo'!D4</f>
        <v>1613.09</v>
      </c>
      <c r="C3" s="7" t="n">
        <f aca="false">'Monte Carlo'!D5</f>
        <v>1624.63</v>
      </c>
      <c r="D3" s="7" t="n">
        <f aca="false">'Monte Carlo'!D6</f>
        <v>1668.58</v>
      </c>
    </row>
    <row r="4" customFormat="false" ht="15" hidden="false" customHeight="false" outlineLevel="0" collapsed="false">
      <c r="A4" s="6" t="s">
        <v>17</v>
      </c>
      <c r="B4" s="7" t="n">
        <f aca="false">'Monte Carlo'!B4</f>
        <v>1376.57</v>
      </c>
      <c r="C4" s="7" t="n">
        <f aca="false">'Monte Carlo'!B5</f>
        <v>1228.74</v>
      </c>
      <c r="D4" s="7" t="n">
        <f aca="false">'Monte Carlo'!B6</f>
        <v>961.14</v>
      </c>
    </row>
    <row r="5" customFormat="false" ht="15" hidden="false" customHeight="false" outlineLevel="0" collapsed="false">
      <c r="A5" s="6" t="s">
        <v>18</v>
      </c>
      <c r="B5" s="7" t="n">
        <f aca="false">'Monte Carlo'!F4</f>
        <v>1890.7</v>
      </c>
      <c r="C5" s="7" t="n">
        <f aca="false">'Monte Carlo'!F5</f>
        <v>2152.39</v>
      </c>
      <c r="D5" s="7" t="n">
        <f aca="false">'Monte Carlo'!F6</f>
        <v>2896.85</v>
      </c>
    </row>
    <row r="6" customFormat="false" ht="15" hidden="false" customHeight="false" outlineLevel="0" collapsed="false">
      <c r="A6" s="6" t="s">
        <v>19</v>
      </c>
      <c r="B6" s="8" t="n">
        <f aca="false">Assumptions!$B$3</f>
        <v>1608.37</v>
      </c>
    </row>
    <row r="7" customFormat="false" ht="15" hidden="false" customHeight="false" outlineLevel="0" collapsed="false">
      <c r="A7" s="6" t="s">
        <v>20</v>
      </c>
      <c r="B7" s="9" t="n">
        <f aca="false">Assumptions!$B$3/Assumptions!$B$4</f>
        <v>0.404926988922457</v>
      </c>
    </row>
    <row r="8" customFormat="false" ht="15" hidden="false" customHeight="false" outlineLevel="0" collapsed="false">
      <c r="A8" s="6" t="s">
        <v>21</v>
      </c>
      <c r="B8" s="10" t="n">
        <f aca="false">Assumptions!$B$3/Assumptions!$B$5</f>
        <v>1.2981194511703</v>
      </c>
    </row>
    <row r="9" customFormat="false" ht="15" hidden="false" customHeight="false" outlineLevel="0" collapsed="false">
      <c r="A9" s="6" t="s">
        <v>22</v>
      </c>
      <c r="B9" s="7" t="n">
        <f aca="false">Assumptions!$B$28</f>
        <v>1310</v>
      </c>
      <c r="C9" s="7" t="n">
        <f aca="false">Assumptions!$B$29</f>
        <v>1634.33</v>
      </c>
      <c r="D9" s="7" t="n">
        <f aca="false">Assumptions!$B$30</f>
        <v>2138.6</v>
      </c>
    </row>
    <row r="10" customFormat="false" ht="15" hidden="false" customHeight="true" outlineLevel="0" collapsed="false">
      <c r="A10" s="6" t="s">
        <v>23</v>
      </c>
      <c r="B10" s="11" t="s">
        <v>24</v>
      </c>
      <c r="C10" s="11"/>
      <c r="D10" s="11"/>
      <c r="E10" s="11"/>
    </row>
  </sheetData>
  <mergeCells count="1"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15</v>
      </c>
    </row>
    <row r="3" customFormat="false" ht="15" hidden="false" customHeight="false" outlineLevel="0" collapsed="false">
      <c r="A3" s="6" t="s">
        <v>29</v>
      </c>
      <c r="B3" s="12" t="n">
        <v>0.3</v>
      </c>
      <c r="C3" s="7" t="n">
        <f aca="false">'Fair-Value Anchors'!B5</f>
        <v>1831.092</v>
      </c>
      <c r="D3" s="13" t="s">
        <v>30</v>
      </c>
    </row>
    <row r="4" customFormat="false" ht="15" hidden="false" customHeight="false" outlineLevel="0" collapsed="false">
      <c r="A4" s="6" t="s">
        <v>31</v>
      </c>
      <c r="B4" s="12" t="n">
        <v>0.3</v>
      </c>
      <c r="C4" s="7" t="n">
        <f aca="false">'Fair-Value Anchors'!B8</f>
        <v>1750</v>
      </c>
      <c r="D4" s="13" t="s">
        <v>32</v>
      </c>
    </row>
    <row r="5" customFormat="false" ht="15" hidden="false" customHeight="false" outlineLevel="0" collapsed="false">
      <c r="A5" s="6" t="s">
        <v>33</v>
      </c>
      <c r="B5" s="12" t="n">
        <v>0.2</v>
      </c>
      <c r="C5" s="14" t="n">
        <v>1500</v>
      </c>
      <c r="D5" s="13" t="s">
        <v>34</v>
      </c>
    </row>
    <row r="6" customFormat="false" ht="15" hidden="false" customHeight="false" outlineLevel="0" collapsed="false">
      <c r="A6" s="6" t="s">
        <v>35</v>
      </c>
      <c r="B6" s="12" t="n">
        <v>0.2</v>
      </c>
      <c r="C6" s="14" t="n">
        <v>1300</v>
      </c>
      <c r="D6" s="13" t="s">
        <v>36</v>
      </c>
    </row>
    <row r="7" customFormat="false" ht="15" hidden="false" customHeight="false" outlineLevel="0" collapsed="false">
      <c r="A7" s="6" t="s">
        <v>37</v>
      </c>
      <c r="B7" s="12" t="n">
        <v>0</v>
      </c>
      <c r="C7" s="6" t="s">
        <v>38</v>
      </c>
      <c r="D7" s="13" t="s">
        <v>39</v>
      </c>
    </row>
    <row r="8" customFormat="false" ht="15" hidden="false" customHeight="false" outlineLevel="0" collapsed="false">
      <c r="A8" s="15" t="s">
        <v>40</v>
      </c>
      <c r="B8" s="16" t="n">
        <f aca="false">SUM(B3:B7)</f>
        <v>1</v>
      </c>
      <c r="C8" s="17" t="n">
        <f aca="false">SUMPRODUCT(B3:B6,C3:C6)</f>
        <v>1634.3276</v>
      </c>
      <c r="D8" s="1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4" t="s">
        <v>42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45</v>
      </c>
    </row>
    <row r="3" customFormat="false" ht="15" hidden="false" customHeight="false" outlineLevel="0" collapsed="false">
      <c r="A3" s="6" t="s">
        <v>46</v>
      </c>
      <c r="B3" s="14" t="n">
        <v>1608.37</v>
      </c>
      <c r="C3" s="13" t="s">
        <v>47</v>
      </c>
    </row>
    <row r="4" customFormat="false" ht="22.35" hidden="false" customHeight="false" outlineLevel="0" collapsed="false">
      <c r="A4" s="6" t="s">
        <v>48</v>
      </c>
      <c r="B4" s="14" t="n">
        <v>3972</v>
      </c>
      <c r="C4" s="13" t="s">
        <v>49</v>
      </c>
    </row>
    <row r="5" customFormat="false" ht="15" hidden="false" customHeight="false" outlineLevel="0" collapsed="false">
      <c r="A5" s="6" t="s">
        <v>50</v>
      </c>
      <c r="B5" s="14" t="n">
        <v>1239</v>
      </c>
      <c r="C5" s="13" t="s">
        <v>51</v>
      </c>
    </row>
    <row r="6" customFormat="false" ht="15" hidden="false" customHeight="false" outlineLevel="0" collapsed="false">
      <c r="A6" s="19" t="s">
        <v>52</v>
      </c>
      <c r="C6" s="13" t="s">
        <v>53</v>
      </c>
    </row>
    <row r="7" customFormat="false" ht="15" hidden="false" customHeight="false" outlineLevel="0" collapsed="false">
      <c r="A7" s="6" t="s">
        <v>54</v>
      </c>
      <c r="B7" s="20" t="n">
        <v>0.3883</v>
      </c>
      <c r="C7" s="13" t="s">
        <v>55</v>
      </c>
    </row>
    <row r="8" customFormat="false" ht="15" hidden="false" customHeight="false" outlineLevel="0" collapsed="false">
      <c r="A8" s="6" t="s">
        <v>56</v>
      </c>
      <c r="B8" s="20" t="n">
        <v>0.461</v>
      </c>
      <c r="C8" s="13" t="s">
        <v>57</v>
      </c>
    </row>
    <row r="9" customFormat="false" ht="15" hidden="false" customHeight="false" outlineLevel="0" collapsed="false">
      <c r="A9" s="6" t="s">
        <v>58</v>
      </c>
      <c r="B9" s="20" t="n">
        <v>0.5697</v>
      </c>
      <c r="C9" s="13" t="s">
        <v>59</v>
      </c>
    </row>
    <row r="10" customFormat="false" ht="15" hidden="false" customHeight="false" outlineLevel="0" collapsed="false">
      <c r="A10" s="19" t="s">
        <v>60</v>
      </c>
      <c r="C10" s="13" t="s">
        <v>61</v>
      </c>
    </row>
    <row r="11" customFormat="false" ht="15" hidden="false" customHeight="false" outlineLevel="0" collapsed="false">
      <c r="A11" s="6" t="s">
        <v>62</v>
      </c>
      <c r="B11" s="14" t="n">
        <v>1700</v>
      </c>
      <c r="C11" s="13" t="s">
        <v>63</v>
      </c>
    </row>
    <row r="12" customFormat="false" ht="15" hidden="false" customHeight="false" outlineLevel="0" collapsed="false">
      <c r="A12" s="6" t="s">
        <v>64</v>
      </c>
      <c r="B12" s="14" t="n">
        <v>1800</v>
      </c>
      <c r="C12" s="13" t="s">
        <v>65</v>
      </c>
    </row>
    <row r="13" customFormat="false" ht="15" hidden="false" customHeight="false" outlineLevel="0" collapsed="false">
      <c r="A13" s="6" t="s">
        <v>66</v>
      </c>
      <c r="B13" s="14" t="n">
        <v>2222</v>
      </c>
      <c r="C13" s="13" t="s">
        <v>67</v>
      </c>
    </row>
    <row r="14" customFormat="false" ht="15" hidden="false" customHeight="false" outlineLevel="0" collapsed="false">
      <c r="A14" s="6" t="s">
        <v>68</v>
      </c>
      <c r="B14" s="14" t="n">
        <v>2300</v>
      </c>
      <c r="C14" s="13" t="s">
        <v>69</v>
      </c>
    </row>
    <row r="15" customFormat="false" ht="15" hidden="false" customHeight="false" outlineLevel="0" collapsed="false">
      <c r="A15" s="6" t="s">
        <v>70</v>
      </c>
      <c r="B15" s="14" t="n">
        <v>2500</v>
      </c>
      <c r="C15" s="13" t="s">
        <v>71</v>
      </c>
    </row>
    <row r="16" customFormat="false" ht="15" hidden="false" customHeight="false" outlineLevel="0" collapsed="false">
      <c r="A16" s="19" t="s">
        <v>72</v>
      </c>
      <c r="C16" s="13" t="s">
        <v>73</v>
      </c>
    </row>
    <row r="17" customFormat="false" ht="15" hidden="false" customHeight="false" outlineLevel="0" collapsed="false">
      <c r="A17" s="6" t="s">
        <v>74</v>
      </c>
      <c r="B17" s="14" t="n">
        <v>7377</v>
      </c>
      <c r="C17" s="13" t="s">
        <v>75</v>
      </c>
    </row>
    <row r="18" customFormat="false" ht="15" hidden="false" customHeight="false" outlineLevel="0" collapsed="false">
      <c r="A18" s="6" t="s">
        <v>76</v>
      </c>
      <c r="B18" s="14" t="n">
        <v>5551</v>
      </c>
      <c r="C18" s="13" t="s">
        <v>77</v>
      </c>
    </row>
    <row r="19" customFormat="false" ht="15" hidden="false" customHeight="false" outlineLevel="0" collapsed="false">
      <c r="A19" s="6" t="s">
        <v>78</v>
      </c>
      <c r="B19" s="14" t="n">
        <v>1826</v>
      </c>
      <c r="C19" s="13" t="s">
        <v>79</v>
      </c>
    </row>
    <row r="20" customFormat="false" ht="15" hidden="false" customHeight="false" outlineLevel="0" collapsed="false">
      <c r="A20" s="6" t="s">
        <v>80</v>
      </c>
      <c r="B20" s="14" t="n">
        <v>7674</v>
      </c>
      <c r="C20" s="13" t="s">
        <v>81</v>
      </c>
    </row>
    <row r="21" customFormat="false" ht="15" hidden="false" customHeight="false" outlineLevel="0" collapsed="false">
      <c r="A21" s="6" t="s">
        <v>82</v>
      </c>
      <c r="B21" s="14" t="n">
        <v>-297</v>
      </c>
      <c r="C21" s="13" t="s">
        <v>83</v>
      </c>
    </row>
    <row r="22" customFormat="false" ht="15" hidden="false" customHeight="false" outlineLevel="0" collapsed="false">
      <c r="A22" s="6" t="s">
        <v>84</v>
      </c>
      <c r="B22" s="14" t="n">
        <v>1747</v>
      </c>
      <c r="C22" s="13" t="s">
        <v>85</v>
      </c>
    </row>
    <row r="23" customFormat="false" ht="15" hidden="false" customHeight="false" outlineLevel="0" collapsed="false">
      <c r="A23" s="19" t="s">
        <v>86</v>
      </c>
    </row>
    <row r="24" customFormat="false" ht="15" hidden="false" customHeight="false" outlineLevel="0" collapsed="false">
      <c r="A24" s="6" t="s">
        <v>87</v>
      </c>
      <c r="B24" s="14" t="n">
        <v>1006</v>
      </c>
      <c r="C24" s="13" t="s">
        <v>88</v>
      </c>
    </row>
    <row r="25" customFormat="false" ht="22.35" hidden="false" customHeight="false" outlineLevel="0" collapsed="false">
      <c r="A25" s="6" t="s">
        <v>89</v>
      </c>
      <c r="B25" s="20" t="n">
        <v>2.31</v>
      </c>
      <c r="C25" s="13" t="s">
        <v>90</v>
      </c>
    </row>
    <row r="26" customFormat="false" ht="15" hidden="false" customHeight="false" outlineLevel="0" collapsed="false">
      <c r="A26" s="6" t="s">
        <v>91</v>
      </c>
      <c r="B26" s="20" t="n">
        <v>3.63</v>
      </c>
      <c r="C26" s="13" t="s">
        <v>92</v>
      </c>
    </row>
    <row r="27" customFormat="false" ht="15" hidden="false" customHeight="false" outlineLevel="0" collapsed="false">
      <c r="A27" s="19" t="s">
        <v>93</v>
      </c>
      <c r="C27" s="13" t="s">
        <v>94</v>
      </c>
    </row>
    <row r="28" customFormat="false" ht="15" hidden="false" customHeight="false" outlineLevel="0" collapsed="false">
      <c r="A28" s="6" t="s">
        <v>95</v>
      </c>
      <c r="B28" s="14" t="n">
        <v>1310</v>
      </c>
      <c r="C28" s="13" t="s">
        <v>96</v>
      </c>
    </row>
    <row r="29" customFormat="false" ht="15" hidden="false" customHeight="false" outlineLevel="0" collapsed="false">
      <c r="A29" s="6" t="s">
        <v>97</v>
      </c>
      <c r="B29" s="14" t="n">
        <v>1634.33</v>
      </c>
      <c r="C29" s="13" t="s">
        <v>98</v>
      </c>
    </row>
    <row r="30" customFormat="false" ht="15" hidden="false" customHeight="false" outlineLevel="0" collapsed="false">
      <c r="A30" s="6" t="s">
        <v>99</v>
      </c>
      <c r="B30" s="14" t="n">
        <v>2138.6</v>
      </c>
      <c r="C30" s="1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 t="s">
        <v>101</v>
      </c>
    </row>
    <row r="2" customFormat="false" ht="15" hidden="false" customHeight="false" outlineLevel="0" collapsed="false">
      <c r="A2" s="5" t="s">
        <v>102</v>
      </c>
      <c r="B2" s="5" t="s">
        <v>103</v>
      </c>
      <c r="C2" s="5" t="s">
        <v>104</v>
      </c>
      <c r="D2" s="5" t="s">
        <v>15</v>
      </c>
    </row>
    <row r="3" customFormat="false" ht="15" hidden="false" customHeight="false" outlineLevel="0" collapsed="false">
      <c r="A3" s="6" t="s">
        <v>105</v>
      </c>
      <c r="B3" s="7" t="n">
        <f aca="false">Assumptions!$B$4*Assumptions!$B$7</f>
        <v>1542.3276</v>
      </c>
      <c r="C3" s="6" t="s">
        <v>106</v>
      </c>
      <c r="D3" s="13" t="s">
        <v>107</v>
      </c>
    </row>
    <row r="4" customFormat="false" ht="15" hidden="false" customHeight="false" outlineLevel="0" collapsed="false">
      <c r="A4" s="6" t="s">
        <v>108</v>
      </c>
      <c r="B4" s="7" t="n">
        <f aca="false">Assumptions!$B$3</f>
        <v>1608.37</v>
      </c>
      <c r="C4" s="6" t="s">
        <v>109</v>
      </c>
      <c r="D4" s="13" t="s">
        <v>110</v>
      </c>
    </row>
    <row r="5" customFormat="false" ht="15" hidden="false" customHeight="false" outlineLevel="0" collapsed="false">
      <c r="A5" s="6" t="s">
        <v>111</v>
      </c>
      <c r="B5" s="7" t="n">
        <f aca="false">Assumptions!$B$4*Assumptions!$B$8</f>
        <v>1831.092</v>
      </c>
      <c r="C5" s="6" t="s">
        <v>106</v>
      </c>
      <c r="D5" s="13" t="s">
        <v>112</v>
      </c>
    </row>
    <row r="6" customFormat="false" ht="15" hidden="false" customHeight="false" outlineLevel="0" collapsed="false">
      <c r="A6" s="6" t="s">
        <v>113</v>
      </c>
      <c r="B6" s="7" t="n">
        <f aca="false">Assumptions!$B$4*Assumptions!$B$9</f>
        <v>2262.8484</v>
      </c>
      <c r="C6" s="6" t="s">
        <v>106</v>
      </c>
      <c r="D6" s="13" t="s">
        <v>114</v>
      </c>
    </row>
    <row r="7" customFormat="false" ht="15" hidden="false" customHeight="false" outlineLevel="0" collapsed="false">
      <c r="A7" s="6" t="s">
        <v>115</v>
      </c>
      <c r="B7" s="7" t="n">
        <f aca="false">Assumptions!$B$11</f>
        <v>1700</v>
      </c>
      <c r="C7" s="6" t="s">
        <v>116</v>
      </c>
      <c r="D7" s="13" t="s">
        <v>117</v>
      </c>
    </row>
    <row r="8" customFormat="false" ht="15" hidden="false" customHeight="false" outlineLevel="0" collapsed="false">
      <c r="A8" s="6" t="s">
        <v>118</v>
      </c>
      <c r="B8" s="7" t="n">
        <f aca="false">(Assumptions!$B$11+Assumptions!$B$12)/2</f>
        <v>1750</v>
      </c>
      <c r="C8" s="6" t="s">
        <v>119</v>
      </c>
      <c r="D8" s="13" t="s">
        <v>120</v>
      </c>
    </row>
    <row r="9" customFormat="false" ht="15" hidden="false" customHeight="false" outlineLevel="0" collapsed="false">
      <c r="A9" s="6" t="s">
        <v>121</v>
      </c>
      <c r="B9" s="7" t="n">
        <f aca="false">Assumptions!$B$13</f>
        <v>2222</v>
      </c>
      <c r="C9" s="6" t="s">
        <v>122</v>
      </c>
      <c r="D9" s="13" t="s">
        <v>123</v>
      </c>
    </row>
    <row r="10" customFormat="false" ht="15" hidden="false" customHeight="false" outlineLevel="0" collapsed="false">
      <c r="A10" s="6" t="s">
        <v>124</v>
      </c>
      <c r="B10" s="7" t="n">
        <f aca="false">Assumptions!$B$24</f>
        <v>1006</v>
      </c>
      <c r="C10" s="6" t="s">
        <v>125</v>
      </c>
      <c r="D10" s="13" t="s">
        <v>126</v>
      </c>
    </row>
    <row r="11" customFormat="false" ht="15" hidden="false" customHeight="false" outlineLevel="0" collapsed="false">
      <c r="A11" s="6" t="s">
        <v>127</v>
      </c>
      <c r="B11" s="7" t="n">
        <f aca="false">(Assumptions!$B$14+Assumptions!$B$15)/2</f>
        <v>2400</v>
      </c>
      <c r="C11" s="6" t="s">
        <v>128</v>
      </c>
      <c r="D11" s="13" t="s">
        <v>129</v>
      </c>
    </row>
    <row r="12" customFormat="false" ht="15" hidden="false" customHeight="false" outlineLevel="0" collapsed="false">
      <c r="A12" s="6" t="s">
        <v>130</v>
      </c>
      <c r="B12" s="7" t="str">
        <f aca="false">Assumptions!$B$28&amp;" – "&amp;Assumptions!$B$30</f>
        <v>1310 – 2138.6</v>
      </c>
      <c r="C12" s="6" t="s">
        <v>131</v>
      </c>
      <c r="D12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4" t="s">
        <v>133</v>
      </c>
    </row>
    <row r="2" customFormat="false" ht="15" hidden="false" customHeight="false" outlineLevel="0" collapsed="false">
      <c r="A2" s="5" t="s">
        <v>134</v>
      </c>
      <c r="B2" s="5" t="s">
        <v>44</v>
      </c>
      <c r="C2" s="5" t="s">
        <v>15</v>
      </c>
    </row>
    <row r="3" customFormat="false" ht="15" hidden="false" customHeight="false" outlineLevel="0" collapsed="false">
      <c r="A3" s="6" t="s">
        <v>135</v>
      </c>
      <c r="B3" s="21" t="n">
        <f aca="false">Assumptions!$B$3/Assumptions!$B$4</f>
        <v>0.404926988922457</v>
      </c>
      <c r="C3" s="13" t="s">
        <v>136</v>
      </c>
    </row>
    <row r="4" customFormat="false" ht="15" hidden="false" customHeight="false" outlineLevel="0" collapsed="false">
      <c r="A4" s="6" t="s">
        <v>137</v>
      </c>
      <c r="B4" s="22" t="n">
        <v>0.3883</v>
      </c>
      <c r="C4" s="13" t="s">
        <v>138</v>
      </c>
    </row>
    <row r="5" customFormat="false" ht="15" hidden="false" customHeight="false" outlineLevel="0" collapsed="false">
      <c r="A5" s="6" t="s">
        <v>139</v>
      </c>
      <c r="B5" s="22" t="n">
        <v>0.461</v>
      </c>
      <c r="C5" s="13" t="s">
        <v>140</v>
      </c>
    </row>
    <row r="6" customFormat="false" ht="15" hidden="false" customHeight="false" outlineLevel="0" collapsed="false">
      <c r="A6" s="6" t="s">
        <v>141</v>
      </c>
      <c r="B6" s="22" t="n">
        <v>0.5697</v>
      </c>
      <c r="C6" s="13" t="s">
        <v>142</v>
      </c>
    </row>
    <row r="7" customFormat="false" ht="15" hidden="false" customHeight="false" outlineLevel="0" collapsed="false">
      <c r="A7" s="6" t="s">
        <v>143</v>
      </c>
      <c r="B7" s="22" t="n">
        <v>0.7133</v>
      </c>
      <c r="C7" s="13" t="s">
        <v>144</v>
      </c>
    </row>
    <row r="8" customFormat="false" ht="15" hidden="false" customHeight="false" outlineLevel="0" collapsed="false">
      <c r="A8" s="6" t="s">
        <v>145</v>
      </c>
      <c r="B8" s="22" t="n">
        <v>0.2808</v>
      </c>
      <c r="C8" s="13" t="s">
        <v>146</v>
      </c>
    </row>
    <row r="9" customFormat="false" ht="15" hidden="false" customHeight="false" outlineLevel="0" collapsed="false">
      <c r="A9" s="6" t="s">
        <v>147</v>
      </c>
      <c r="B9" s="22" t="n">
        <v>1.3701</v>
      </c>
      <c r="C9" s="13" t="s">
        <v>148</v>
      </c>
    </row>
    <row r="10" customFormat="false" ht="15" hidden="false" customHeight="false" outlineLevel="0" collapsed="false">
      <c r="A10" s="6" t="s">
        <v>149</v>
      </c>
      <c r="B10" s="22" t="n">
        <v>0.128</v>
      </c>
      <c r="C10" s="13" t="s">
        <v>150</v>
      </c>
    </row>
    <row r="11" customFormat="false" ht="15" hidden="false" customHeight="false" outlineLevel="0" collapsed="false">
      <c r="A11" s="6" t="s">
        <v>151</v>
      </c>
      <c r="B11" s="23" t="n">
        <f aca="false">Assumptions!$B$3/Assumptions!$B$5</f>
        <v>1.2981194511703</v>
      </c>
      <c r="C11" s="13" t="s">
        <v>152</v>
      </c>
    </row>
    <row r="12" customFormat="false" ht="15" hidden="false" customHeight="false" outlineLevel="0" collapsed="false">
      <c r="A12" s="6" t="s">
        <v>153</v>
      </c>
      <c r="B12" s="7" t="n">
        <f aca="false">Assumptions!$B$4*Assumptions!$B$8</f>
        <v>1831.092</v>
      </c>
      <c r="C12" s="13" t="s">
        <v>154</v>
      </c>
    </row>
    <row r="13" customFormat="false" ht="15" hidden="false" customHeight="false" outlineLevel="0" collapsed="false">
      <c r="A13" s="6" t="s">
        <v>155</v>
      </c>
      <c r="B13" s="7" t="n">
        <f aca="false">4742*Assumptions!$B$8</f>
        <v>2186.062</v>
      </c>
      <c r="C13" s="13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4" t="s">
        <v>157</v>
      </c>
    </row>
    <row r="2" customFormat="false" ht="15" hidden="false" customHeight="false" outlineLevel="0" collapsed="false">
      <c r="A2" s="24" t="s">
        <v>158</v>
      </c>
    </row>
    <row r="3" customFormat="false" ht="15" hidden="false" customHeight="false" outlineLevel="0" collapsed="false">
      <c r="A3" s="5" t="s">
        <v>159</v>
      </c>
      <c r="B3" s="5" t="s">
        <v>160</v>
      </c>
      <c r="C3" s="5" t="s">
        <v>161</v>
      </c>
      <c r="D3" s="5" t="s">
        <v>162</v>
      </c>
      <c r="E3" s="5" t="s">
        <v>163</v>
      </c>
    </row>
    <row r="4" customFormat="false" ht="15" hidden="false" customHeight="false" outlineLevel="0" collapsed="false">
      <c r="A4" s="6" t="s">
        <v>164</v>
      </c>
      <c r="B4" s="14" t="n">
        <v>3957</v>
      </c>
      <c r="C4" s="14" t="n">
        <v>4133</v>
      </c>
      <c r="D4" s="14" t="n">
        <v>3957</v>
      </c>
      <c r="E4" s="14" t="n">
        <v>4005</v>
      </c>
    </row>
    <row r="5" customFormat="false" ht="15" hidden="false" customHeight="false" outlineLevel="0" collapsed="false">
      <c r="A5" s="6" t="s">
        <v>165</v>
      </c>
      <c r="B5" s="14" t="n">
        <v>507</v>
      </c>
      <c r="C5" s="14" t="n">
        <v>512</v>
      </c>
      <c r="D5" s="14" t="n">
        <v>516</v>
      </c>
      <c r="E5" s="14" t="n">
        <v>508</v>
      </c>
    </row>
    <row r="6" customFormat="false" ht="15" hidden="false" customHeight="false" outlineLevel="0" collapsed="false">
      <c r="A6" s="6" t="s">
        <v>166</v>
      </c>
      <c r="B6" s="14" t="n">
        <v>674</v>
      </c>
      <c r="C6" s="14" t="n">
        <v>677</v>
      </c>
      <c r="D6" s="14" t="n">
        <v>677</v>
      </c>
      <c r="E6" s="14" t="n">
        <v>646</v>
      </c>
    </row>
    <row r="7" customFormat="false" ht="15" hidden="false" customHeight="false" outlineLevel="0" collapsed="false">
      <c r="A7" s="6" t="s">
        <v>167</v>
      </c>
      <c r="B7" s="14" t="n">
        <v>278</v>
      </c>
      <c r="C7" s="14" t="n">
        <v>265</v>
      </c>
      <c r="D7" s="14" t="n">
        <v>212</v>
      </c>
      <c r="E7" s="14" t="n">
        <v>201</v>
      </c>
    </row>
    <row r="8" customFormat="false" ht="15" hidden="false" customHeight="false" outlineLevel="0" collapsed="false">
      <c r="A8" s="6" t="s">
        <v>168</v>
      </c>
      <c r="B8" s="14" t="n">
        <v>190</v>
      </c>
      <c r="C8" s="14" t="n">
        <v>191</v>
      </c>
      <c r="D8" s="14" t="n">
        <v>196</v>
      </c>
      <c r="E8" s="14" t="n">
        <v>192</v>
      </c>
    </row>
    <row r="9" customFormat="false" ht="15" hidden="false" customHeight="false" outlineLevel="0" collapsed="false">
      <c r="A9" s="6" t="s">
        <v>169</v>
      </c>
      <c r="B9" s="14" t="n">
        <v>14</v>
      </c>
      <c r="C9" s="14" t="n">
        <v>9</v>
      </c>
      <c r="D9" s="14" t="n">
        <v>3</v>
      </c>
      <c r="E9" s="14" t="n">
        <v>-1</v>
      </c>
    </row>
    <row r="10" customFormat="false" ht="15" hidden="false" customHeight="false" outlineLevel="0" collapsed="false">
      <c r="A10" s="19" t="s">
        <v>170</v>
      </c>
      <c r="B10" s="25" t="n">
        <f aca="false">SUM(B4:B9)</f>
        <v>5620</v>
      </c>
      <c r="C10" s="25" t="n">
        <f aca="false">SUM(C4:C9)</f>
        <v>5787</v>
      </c>
      <c r="D10" s="25" t="n">
        <f aca="false">SUM(D4:D9)</f>
        <v>5561</v>
      </c>
      <c r="E10" s="25" t="n">
        <f aca="false">SUM(E4:E9)</f>
        <v>5551</v>
      </c>
    </row>
    <row r="11" customFormat="false" ht="15" hidden="false" customHeight="false" outlineLevel="0" collapsed="false">
      <c r="A11" s="6" t="s">
        <v>171</v>
      </c>
      <c r="B11" s="14" t="n">
        <v>1515</v>
      </c>
      <c r="C11" s="14" t="n">
        <v>1536</v>
      </c>
      <c r="D11" s="14" t="n">
        <v>1679</v>
      </c>
      <c r="E11" s="14" t="n">
        <v>1826</v>
      </c>
    </row>
    <row r="12" customFormat="false" ht="15" hidden="false" customHeight="false" outlineLevel="0" collapsed="false">
      <c r="A12" s="19" t="s">
        <v>172</v>
      </c>
      <c r="B12" s="17" t="n">
        <f aca="false">B10+B11</f>
        <v>7135</v>
      </c>
      <c r="C12" s="17" t="n">
        <f aca="false">C10+C11</f>
        <v>7323</v>
      </c>
      <c r="D12" s="17" t="n">
        <f aca="false">D10+D11</f>
        <v>7240</v>
      </c>
      <c r="E12" s="17" t="n">
        <f aca="false">E10+E11</f>
        <v>7377</v>
      </c>
    </row>
    <row r="13" customFormat="false" ht="15" hidden="false" customHeight="false" outlineLevel="0" collapsed="false">
      <c r="A13" s="6" t="s">
        <v>173</v>
      </c>
      <c r="B13" s="14" t="n">
        <v>3204</v>
      </c>
      <c r="C13" s="14" t="n">
        <v>3108</v>
      </c>
      <c r="D13" s="14" t="n">
        <v>3031</v>
      </c>
      <c r="E13" s="14" t="n">
        <v>2959</v>
      </c>
    </row>
    <row r="14" customFormat="false" ht="15" hidden="false" customHeight="false" outlineLevel="0" collapsed="false">
      <c r="A14" s="6" t="s">
        <v>174</v>
      </c>
      <c r="B14" s="14" t="n">
        <v>1849</v>
      </c>
      <c r="C14" s="14" t="n">
        <v>2008</v>
      </c>
      <c r="D14" s="14" t="n">
        <v>2214</v>
      </c>
      <c r="E14" s="14" t="n">
        <v>1958</v>
      </c>
    </row>
    <row r="15" customFormat="false" ht="15" hidden="false" customHeight="false" outlineLevel="0" collapsed="false">
      <c r="A15" s="6" t="s">
        <v>175</v>
      </c>
      <c r="B15" s="14" t="n">
        <v>2491</v>
      </c>
      <c r="C15" s="14" t="n">
        <v>2526</v>
      </c>
      <c r="D15" s="14" t="n">
        <v>2049</v>
      </c>
      <c r="E15" s="14" t="n">
        <v>2238</v>
      </c>
    </row>
    <row r="16" customFormat="false" ht="15" hidden="false" customHeight="false" outlineLevel="0" collapsed="false">
      <c r="A16" s="6" t="s">
        <v>176</v>
      </c>
      <c r="B16" s="14" t="n">
        <v>22</v>
      </c>
      <c r="C16" s="14" t="n">
        <v>40</v>
      </c>
      <c r="D16" s="14" t="n">
        <v>65</v>
      </c>
      <c r="E16" s="14" t="n">
        <v>69</v>
      </c>
    </row>
    <row r="17" customFormat="false" ht="15" hidden="false" customHeight="false" outlineLevel="0" collapsed="false">
      <c r="A17" s="6" t="s">
        <v>177</v>
      </c>
      <c r="B17" s="14" t="n">
        <v>388</v>
      </c>
      <c r="C17" s="14" t="n">
        <v>713</v>
      </c>
      <c r="D17" s="14" t="n">
        <v>1136</v>
      </c>
      <c r="E17" s="14" t="n">
        <v>519</v>
      </c>
    </row>
    <row r="18" customFormat="false" ht="15" hidden="false" customHeight="false" outlineLevel="0" collapsed="false">
      <c r="A18" s="6" t="s">
        <v>169</v>
      </c>
      <c r="B18" s="14" t="n">
        <v>1</v>
      </c>
      <c r="C18" s="14" t="n">
        <v>0</v>
      </c>
      <c r="D18" s="14" t="n">
        <v>1</v>
      </c>
      <c r="E18" s="14" t="n">
        <v>0</v>
      </c>
    </row>
    <row r="19" customFormat="false" ht="15" hidden="false" customHeight="false" outlineLevel="0" collapsed="false">
      <c r="A19" s="19" t="s">
        <v>178</v>
      </c>
      <c r="B19" s="17" t="n">
        <f aca="false">B13+B14+B15+B17+B18</f>
        <v>7933</v>
      </c>
      <c r="C19" s="17" t="n">
        <f aca="false">C13+C14+C15+C17+C18</f>
        <v>8355</v>
      </c>
      <c r="D19" s="17" t="n">
        <f aca="false">D13+D14+D15+D17+D18</f>
        <v>8431</v>
      </c>
      <c r="E19" s="17" t="n">
        <f aca="false">E13+E14+E15+E17+E18</f>
        <v>7674</v>
      </c>
    </row>
    <row r="20" customFormat="false" ht="15" hidden="false" customHeight="false" outlineLevel="0" collapsed="false">
      <c r="A20" s="19" t="s">
        <v>179</v>
      </c>
      <c r="B20" s="17" t="n">
        <f aca="false">B12-B19</f>
        <v>-798</v>
      </c>
      <c r="C20" s="17" t="n">
        <f aca="false">C12-C19</f>
        <v>-1032</v>
      </c>
      <c r="D20" s="17" t="n">
        <f aca="false">D12-D19</f>
        <v>-1191</v>
      </c>
      <c r="E20" s="17" t="n">
        <f aca="false">E12-E19</f>
        <v>-297</v>
      </c>
    </row>
    <row r="21" customFormat="false" ht="15" hidden="false" customHeight="false" outlineLevel="0" collapsed="false">
      <c r="A21" s="6" t="s">
        <v>180</v>
      </c>
      <c r="B21" s="14" t="n">
        <v>4268</v>
      </c>
      <c r="C21" s="14" t="n">
        <v>3235</v>
      </c>
      <c r="D21" s="14" t="n">
        <v>2044</v>
      </c>
      <c r="E21" s="14" t="n">
        <v>1747</v>
      </c>
    </row>
    <row r="22" customFormat="false" ht="15" hidden="false" customHeight="false" outlineLevel="0" collapsed="false">
      <c r="A22" s="6" t="s">
        <v>181</v>
      </c>
      <c r="B22" s="14" t="n">
        <v>34</v>
      </c>
      <c r="C22" s="14" t="n">
        <v>20</v>
      </c>
      <c r="D22" s="14" t="n">
        <v>12</v>
      </c>
      <c r="E22" s="14" t="n">
        <v>11</v>
      </c>
    </row>
    <row r="24" customFormat="false" ht="43.25" hidden="false" customHeight="true" outlineLevel="0" collapsed="false">
      <c r="A24" s="11" t="s">
        <v>182</v>
      </c>
      <c r="B24" s="11"/>
      <c r="C24" s="11"/>
      <c r="D24" s="11"/>
      <c r="E24" s="11"/>
    </row>
  </sheetData>
  <mergeCells count="1"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4" t="s">
        <v>183</v>
      </c>
    </row>
    <row r="2" customFormat="false" ht="15" hidden="false" customHeight="false" outlineLevel="0" collapsed="false">
      <c r="A2" s="5" t="s">
        <v>134</v>
      </c>
      <c r="B2" s="5" t="s">
        <v>44</v>
      </c>
      <c r="C2" s="5" t="s">
        <v>15</v>
      </c>
    </row>
    <row r="3" customFormat="false" ht="15" hidden="false" customHeight="false" outlineLevel="0" collapsed="false">
      <c r="A3" s="6" t="s">
        <v>184</v>
      </c>
      <c r="B3" s="26" t="n">
        <f aca="false">4005/5551</f>
        <v>0.721491623130967</v>
      </c>
      <c r="C3" s="13" t="s">
        <v>185</v>
      </c>
    </row>
    <row r="4" customFormat="false" ht="15" hidden="false" customHeight="false" outlineLevel="0" collapsed="false">
      <c r="A4" s="6" t="s">
        <v>87</v>
      </c>
      <c r="B4" s="7" t="n">
        <f aca="false">Assumptions!$B$24</f>
        <v>1006</v>
      </c>
      <c r="C4" s="13" t="s">
        <v>88</v>
      </c>
    </row>
    <row r="5" customFormat="false" ht="15" hidden="false" customHeight="false" outlineLevel="0" collapsed="false">
      <c r="A5" s="6" t="s">
        <v>186</v>
      </c>
      <c r="B5" s="27" t="n">
        <f aca="false">Assumptions!$B$3/Assumptions!$B$24</f>
        <v>1.5987773359841</v>
      </c>
      <c r="C5" s="13" t="s">
        <v>187</v>
      </c>
    </row>
    <row r="6" customFormat="false" ht="15" hidden="false" customHeight="false" outlineLevel="0" collapsed="false">
      <c r="A6" s="6" t="s">
        <v>188</v>
      </c>
      <c r="B6" s="7" t="n">
        <f aca="false">(Assumptions!$B$14+Assumptions!$B$15)/2</f>
        <v>2400</v>
      </c>
      <c r="C6" s="13" t="s">
        <v>189</v>
      </c>
    </row>
    <row r="7" customFormat="false" ht="15" hidden="false" customHeight="false" outlineLevel="0" collapsed="false">
      <c r="A7" s="6" t="s">
        <v>190</v>
      </c>
      <c r="B7" s="25" t="s">
        <v>191</v>
      </c>
      <c r="C7" s="13" t="s">
        <v>192</v>
      </c>
    </row>
    <row r="8" customFormat="false" ht="15" hidden="false" customHeight="false" outlineLevel="0" collapsed="false">
      <c r="A8" s="6" t="s">
        <v>193</v>
      </c>
      <c r="B8" s="25" t="s">
        <v>194</v>
      </c>
      <c r="C8" s="13" t="s">
        <v>195</v>
      </c>
    </row>
    <row r="9" customFormat="false" ht="15" hidden="false" customHeight="false" outlineLevel="0" collapsed="false">
      <c r="A9" s="6" t="s">
        <v>196</v>
      </c>
      <c r="B9" s="25" t="s">
        <v>197</v>
      </c>
      <c r="C9" s="13" t="s">
        <v>198</v>
      </c>
    </row>
    <row r="10" customFormat="false" ht="15" hidden="false" customHeight="false" outlineLevel="0" collapsed="false">
      <c r="A10" s="6" t="s">
        <v>199</v>
      </c>
      <c r="B10" s="7" t="n">
        <f aca="false">Assumptions!$B$19</f>
        <v>1826</v>
      </c>
      <c r="C10" s="1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4" t="s">
        <v>201</v>
      </c>
    </row>
    <row r="2" customFormat="false" ht="15" hidden="false" customHeight="false" outlineLevel="0" collapsed="false">
      <c r="A2" s="5" t="s">
        <v>202</v>
      </c>
      <c r="B2" s="5" t="s">
        <v>203</v>
      </c>
      <c r="C2" s="5" t="s">
        <v>204</v>
      </c>
      <c r="D2" s="5" t="s">
        <v>205</v>
      </c>
      <c r="E2" s="5" t="s">
        <v>206</v>
      </c>
    </row>
    <row r="3" customFormat="false" ht="15" hidden="false" customHeight="false" outlineLevel="0" collapsed="false">
      <c r="A3" s="6" t="s">
        <v>173</v>
      </c>
      <c r="B3" s="7" t="n">
        <f aca="false">'Platinum Balance'!E13</f>
        <v>2959</v>
      </c>
      <c r="C3" s="28" t="n">
        <f aca="false">B3/'Platinum Balance'!E19</f>
        <v>0.385587698722961</v>
      </c>
      <c r="D3" s="29" t="s">
        <v>207</v>
      </c>
      <c r="E3" s="13" t="s">
        <v>208</v>
      </c>
    </row>
    <row r="4" customFormat="false" ht="15" hidden="false" customHeight="false" outlineLevel="0" collapsed="false">
      <c r="A4" s="6" t="s">
        <v>174</v>
      </c>
      <c r="B4" s="7" t="n">
        <f aca="false">'Platinum Balance'!E14</f>
        <v>1958</v>
      </c>
      <c r="C4" s="28" t="n">
        <f aca="false">B4/'Platinum Balance'!E19</f>
        <v>0.255147250456086</v>
      </c>
      <c r="D4" s="29" t="s">
        <v>209</v>
      </c>
      <c r="E4" s="13" t="s">
        <v>210</v>
      </c>
    </row>
    <row r="5" customFormat="false" ht="15" hidden="false" customHeight="false" outlineLevel="0" collapsed="false">
      <c r="A5" s="6" t="s">
        <v>175</v>
      </c>
      <c r="B5" s="7" t="n">
        <f aca="false">'Platinum Balance'!E15</f>
        <v>2238</v>
      </c>
      <c r="C5" s="28" t="n">
        <f aca="false">B5/'Platinum Balance'!E19</f>
        <v>0.291634089132134</v>
      </c>
      <c r="D5" s="29" t="s">
        <v>211</v>
      </c>
      <c r="E5" s="13" t="s">
        <v>212</v>
      </c>
    </row>
    <row r="6" customFormat="false" ht="15" hidden="false" customHeight="false" outlineLevel="0" collapsed="false">
      <c r="A6" s="6" t="s">
        <v>177</v>
      </c>
      <c r="B6" s="7" t="n">
        <f aca="false">'Platinum Balance'!E17</f>
        <v>519</v>
      </c>
      <c r="C6" s="28" t="n">
        <f aca="false">B6/'Platinum Balance'!E19</f>
        <v>0.0676309616888194</v>
      </c>
      <c r="D6" s="29" t="s">
        <v>213</v>
      </c>
      <c r="E6" s="1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4" t="s">
        <v>215</v>
      </c>
    </row>
    <row r="2" customFormat="false" ht="15" hidden="false" customHeight="false" outlineLevel="0" collapsed="false">
      <c r="A2" s="24" t="s">
        <v>216</v>
      </c>
    </row>
    <row r="3" customFormat="false" ht="15" hidden="false" customHeight="false" outlineLevel="0" collapsed="false">
      <c r="A3" s="5" t="s">
        <v>217</v>
      </c>
      <c r="B3" s="5" t="s">
        <v>218</v>
      </c>
      <c r="C3" s="5" t="s">
        <v>219</v>
      </c>
    </row>
    <row r="4" customFormat="false" ht="15" hidden="false" customHeight="false" outlineLevel="0" collapsed="false">
      <c r="A4" s="6" t="s">
        <v>220</v>
      </c>
      <c r="B4" s="30" t="n">
        <v>1608.37</v>
      </c>
      <c r="C4" s="13" t="s">
        <v>221</v>
      </c>
    </row>
    <row r="5" customFormat="false" ht="15" hidden="false" customHeight="false" outlineLevel="0" collapsed="false">
      <c r="A5" s="6" t="s">
        <v>222</v>
      </c>
      <c r="B5" s="30" t="n">
        <v>1610.97</v>
      </c>
      <c r="C5" s="13" t="s">
        <v>223</v>
      </c>
    </row>
    <row r="6" customFormat="false" ht="15" hidden="false" customHeight="false" outlineLevel="0" collapsed="false">
      <c r="A6" s="6" t="s">
        <v>224</v>
      </c>
      <c r="B6" s="30" t="n">
        <v>1758.02</v>
      </c>
      <c r="C6" s="13" t="s">
        <v>225</v>
      </c>
    </row>
    <row r="7" customFormat="false" ht="15" hidden="false" customHeight="false" outlineLevel="0" collapsed="false">
      <c r="A7" s="6" t="s">
        <v>226</v>
      </c>
      <c r="B7" s="30" t="n">
        <v>1926</v>
      </c>
      <c r="C7" s="13" t="s">
        <v>227</v>
      </c>
    </row>
    <row r="8" customFormat="false" ht="15" hidden="false" customHeight="false" outlineLevel="0" collapsed="false">
      <c r="A8" s="6" t="s">
        <v>228</v>
      </c>
      <c r="B8" s="30" t="s">
        <v>229</v>
      </c>
      <c r="C8" s="13" t="s">
        <v>230</v>
      </c>
    </row>
    <row r="9" customFormat="false" ht="15" hidden="false" customHeight="false" outlineLevel="0" collapsed="false">
      <c r="A9" s="6" t="s">
        <v>231</v>
      </c>
      <c r="B9" s="30" t="n">
        <v>53.52</v>
      </c>
      <c r="C9" s="13" t="s">
        <v>232</v>
      </c>
    </row>
    <row r="10" customFormat="false" ht="15" hidden="false" customHeight="false" outlineLevel="0" collapsed="false">
      <c r="A10" s="6" t="s">
        <v>233</v>
      </c>
      <c r="B10" s="30" t="s">
        <v>234</v>
      </c>
      <c r="C10" s="13" t="s">
        <v>235</v>
      </c>
    </row>
    <row r="11" customFormat="false" ht="15" hidden="false" customHeight="false" outlineLevel="0" collapsed="false">
      <c r="A11" s="6" t="s">
        <v>236</v>
      </c>
      <c r="B11" s="30" t="n">
        <v>9.1</v>
      </c>
      <c r="C11" s="13" t="s">
        <v>237</v>
      </c>
    </row>
    <row r="12" customFormat="false" ht="15" hidden="false" customHeight="false" outlineLevel="0" collapsed="false">
      <c r="A12" s="6" t="s">
        <v>238</v>
      </c>
      <c r="B12" s="31" t="n">
        <v>0.0407</v>
      </c>
      <c r="C12" s="13" t="s">
        <v>239</v>
      </c>
    </row>
    <row r="13" customFormat="false" ht="15" hidden="false" customHeight="false" outlineLevel="0" collapsed="false">
      <c r="A13" s="6" t="s">
        <v>240</v>
      </c>
      <c r="B13" s="30" t="n">
        <v>2772.45</v>
      </c>
      <c r="C13" s="13" t="s">
        <v>241</v>
      </c>
    </row>
    <row r="14" customFormat="false" ht="15" hidden="false" customHeight="false" outlineLevel="0" collapsed="false">
      <c r="A14" s="6" t="s">
        <v>242</v>
      </c>
      <c r="B14" s="30" t="n">
        <v>1293</v>
      </c>
      <c r="C14" s="13" t="s">
        <v>243</v>
      </c>
    </row>
    <row r="15" customFormat="false" ht="15" hidden="false" customHeight="false" outlineLevel="0" collapsed="false">
      <c r="A15" s="6" t="s">
        <v>244</v>
      </c>
      <c r="B15" s="30" t="s">
        <v>245</v>
      </c>
      <c r="C15" s="13" t="s">
        <v>246</v>
      </c>
    </row>
    <row r="16" customFormat="false" ht="15" hidden="false" customHeight="false" outlineLevel="0" collapsed="false">
      <c r="A16" s="6" t="s">
        <v>247</v>
      </c>
      <c r="B16" s="30" t="s">
        <v>248</v>
      </c>
      <c r="C16" s="13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1"/>
  </cols>
  <sheetData>
    <row r="1" customFormat="false" ht="15" hidden="false" customHeight="false" outlineLevel="0" collapsed="false">
      <c r="A1" s="4" t="s">
        <v>250</v>
      </c>
    </row>
    <row r="2" customFormat="false" ht="25.5" hidden="false" customHeight="true" outlineLevel="0" collapsed="false">
      <c r="A2" s="11" t="s">
        <v>251</v>
      </c>
      <c r="B2" s="11"/>
      <c r="C2" s="11"/>
      <c r="D2" s="11"/>
      <c r="E2" s="11"/>
      <c r="F2" s="11"/>
      <c r="G2" s="11"/>
    </row>
    <row r="3" customFormat="false" ht="15" hidden="false" customHeight="false" outlineLevel="0" collapsed="false">
      <c r="A3" s="5" t="s">
        <v>252</v>
      </c>
      <c r="B3" s="5" t="s">
        <v>253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</row>
    <row r="4" customFormat="false" ht="15" hidden="false" customHeight="false" outlineLevel="0" collapsed="false">
      <c r="A4" s="6" t="s">
        <v>259</v>
      </c>
      <c r="B4" s="31" t="n">
        <v>1376.57</v>
      </c>
      <c r="C4" s="31" t="n">
        <v>1511.11</v>
      </c>
      <c r="D4" s="31" t="n">
        <v>1613.09</v>
      </c>
      <c r="E4" s="31" t="n">
        <v>1722.92</v>
      </c>
      <c r="F4" s="31" t="n">
        <v>1890.7</v>
      </c>
      <c r="G4" s="31" t="n">
        <v>1620.83</v>
      </c>
    </row>
    <row r="5" customFormat="false" ht="15" hidden="false" customHeight="false" outlineLevel="0" collapsed="false">
      <c r="A5" s="6" t="s">
        <v>260</v>
      </c>
      <c r="B5" s="31" t="n">
        <v>1228.74</v>
      </c>
      <c r="C5" s="31" t="n">
        <v>1450.35</v>
      </c>
      <c r="D5" s="31" t="n">
        <v>1624.63</v>
      </c>
      <c r="E5" s="31" t="n">
        <v>1818.31</v>
      </c>
      <c r="F5" s="31" t="n">
        <v>2152.39</v>
      </c>
      <c r="G5" s="31" t="n">
        <v>1648.11</v>
      </c>
    </row>
    <row r="6" customFormat="false" ht="15" hidden="false" customHeight="false" outlineLevel="0" collapsed="false">
      <c r="A6" s="6" t="s">
        <v>261</v>
      </c>
      <c r="B6" s="31" t="n">
        <v>961.14</v>
      </c>
      <c r="C6" s="31" t="n">
        <v>1332.64</v>
      </c>
      <c r="D6" s="31" t="n">
        <v>1668.58</v>
      </c>
      <c r="E6" s="31" t="n">
        <v>2085.84</v>
      </c>
      <c r="F6" s="31" t="n">
        <v>2896.85</v>
      </c>
      <c r="G6" s="31" t="n">
        <v>1763.11</v>
      </c>
    </row>
    <row r="8" customFormat="false" ht="15" hidden="false" customHeight="false" outlineLevel="0" collapsed="false">
      <c r="A8" s="19" t="s">
        <v>262</v>
      </c>
    </row>
    <row r="9" customFormat="false" ht="15" hidden="false" customHeight="false" outlineLevel="0" collapsed="false">
      <c r="A9" s="5" t="s">
        <v>252</v>
      </c>
      <c r="B9" s="5" t="s">
        <v>253</v>
      </c>
      <c r="C9" s="5" t="s">
        <v>254</v>
      </c>
      <c r="D9" s="5" t="s">
        <v>255</v>
      </c>
      <c r="E9" s="5" t="s">
        <v>256</v>
      </c>
      <c r="F9" s="5" t="s">
        <v>257</v>
      </c>
      <c r="G9" s="5" t="s">
        <v>263</v>
      </c>
    </row>
    <row r="10" customFormat="false" ht="15" hidden="false" customHeight="false" outlineLevel="0" collapsed="false">
      <c r="A10" s="6" t="s">
        <v>264</v>
      </c>
      <c r="B10" s="31" t="n">
        <v>1381.97</v>
      </c>
      <c r="C10" s="31" t="n">
        <v>1514.01</v>
      </c>
      <c r="D10" s="31" t="n">
        <v>1612.84</v>
      </c>
      <c r="E10" s="31" t="n">
        <v>1718.44</v>
      </c>
      <c r="F10" s="31" t="n">
        <v>1881.84</v>
      </c>
      <c r="G10" s="32" t="n">
        <v>0.3356</v>
      </c>
    </row>
    <row r="11" customFormat="false" ht="15" hidden="false" customHeight="false" outlineLevel="0" collapsed="false">
      <c r="A11" s="6" t="s">
        <v>265</v>
      </c>
      <c r="B11" s="31" t="n">
        <v>1238.91</v>
      </c>
      <c r="C11" s="31" t="n">
        <v>1452.81</v>
      </c>
      <c r="D11" s="31" t="n">
        <v>1623.02</v>
      </c>
      <c r="E11" s="31" t="n">
        <v>1813.36</v>
      </c>
      <c r="F11" s="31" t="n">
        <v>2128.49</v>
      </c>
      <c r="G11" s="32" t="n">
        <v>0.3395</v>
      </c>
    </row>
    <row r="13" customFormat="false" ht="15" hidden="false" customHeight="false" outlineLevel="0" collapsed="false">
      <c r="A13" s="5" t="s">
        <v>266</v>
      </c>
      <c r="B13" s="5" t="s">
        <v>267</v>
      </c>
      <c r="C13" s="5" t="s">
        <v>268</v>
      </c>
    </row>
    <row r="14" customFormat="false" ht="15" hidden="false" customHeight="false" outlineLevel="0" collapsed="false">
      <c r="A14" s="6" t="s">
        <v>269</v>
      </c>
      <c r="B14" s="28" t="n">
        <v>0.0836</v>
      </c>
      <c r="C14" s="28" t="n">
        <v>0.2184</v>
      </c>
    </row>
    <row r="15" customFormat="false" ht="15" hidden="false" customHeight="false" outlineLevel="0" collapsed="false">
      <c r="A15" s="6" t="s">
        <v>270</v>
      </c>
      <c r="B15" s="28" t="n">
        <v>0.1626</v>
      </c>
      <c r="C15" s="28" t="n">
        <v>0.1161</v>
      </c>
    </row>
    <row r="16" customFormat="false" ht="15" hidden="false" customHeight="false" outlineLevel="0" collapsed="false">
      <c r="A16" s="6" t="s">
        <v>271</v>
      </c>
      <c r="B16" s="28" t="n">
        <v>0.1109</v>
      </c>
      <c r="C16" s="28" t="n">
        <v>0.0618</v>
      </c>
    </row>
    <row r="17" customFormat="false" ht="15" hidden="false" customHeight="false" outlineLevel="0" collapsed="false">
      <c r="A17" s="6" t="s">
        <v>272</v>
      </c>
      <c r="B17" s="28" t="n">
        <v>0.2328</v>
      </c>
      <c r="C17" s="28" t="n">
        <v>0.1186</v>
      </c>
    </row>
    <row r="18" customFormat="false" ht="15" hidden="false" customHeight="false" outlineLevel="0" collapsed="false">
      <c r="A18" s="6" t="s">
        <v>273</v>
      </c>
      <c r="B18" s="28" t="n">
        <v>0.1052</v>
      </c>
      <c r="C18" s="28" t="n">
        <v>0.0572</v>
      </c>
    </row>
    <row r="19" customFormat="false" ht="15" hidden="false" customHeight="false" outlineLevel="0" collapsed="false">
      <c r="A19" s="6" t="s">
        <v>274</v>
      </c>
      <c r="B19" s="28" t="n">
        <v>0.1511</v>
      </c>
      <c r="C19" s="28" t="n">
        <v>0.0991</v>
      </c>
    </row>
    <row r="20" customFormat="false" ht="15" hidden="false" customHeight="false" outlineLevel="0" collapsed="false">
      <c r="A20" s="6" t="s">
        <v>275</v>
      </c>
      <c r="B20" s="28" t="n">
        <v>0.1538</v>
      </c>
      <c r="C20" s="28" t="n">
        <v>0.3288</v>
      </c>
    </row>
    <row r="22" customFormat="false" ht="15" hidden="false" customHeight="false" outlineLevel="0" collapsed="false">
      <c r="A22" s="5" t="s">
        <v>276</v>
      </c>
      <c r="B22" s="5" t="s">
        <v>277</v>
      </c>
      <c r="C22" s="5" t="s">
        <v>278</v>
      </c>
      <c r="D22" s="5" t="s">
        <v>279</v>
      </c>
    </row>
    <row r="23" customFormat="false" ht="15" hidden="false" customHeight="false" outlineLevel="0" collapsed="false">
      <c r="A23" s="6" t="s">
        <v>280</v>
      </c>
      <c r="B23" s="28" t="n">
        <v>0.3175</v>
      </c>
      <c r="C23" s="28" t="n">
        <v>0.5784</v>
      </c>
      <c r="D23" s="28" t="n">
        <v>0.7967</v>
      </c>
    </row>
    <row r="24" customFormat="false" ht="15" hidden="false" customHeight="false" outlineLevel="0" collapsed="false">
      <c r="A24" s="6" t="s">
        <v>281</v>
      </c>
      <c r="B24" s="28" t="n">
        <v>0.0183</v>
      </c>
      <c r="C24" s="28" t="n">
        <v>0.1858</v>
      </c>
      <c r="D24" s="28" t="n">
        <v>0.5342</v>
      </c>
    </row>
    <row r="25" customFormat="false" ht="15" hidden="false" customHeight="false" outlineLevel="0" collapsed="false">
      <c r="A25" s="6" t="s">
        <v>282</v>
      </c>
      <c r="B25" s="28" t="n">
        <v>0.0003</v>
      </c>
      <c r="C25" s="28" t="n">
        <v>0.0472</v>
      </c>
      <c r="D25" s="28" t="n">
        <v>0.3488</v>
      </c>
    </row>
    <row r="26" customFormat="false" ht="15" hidden="false" customHeight="false" outlineLevel="0" collapsed="false">
      <c r="A26" s="6" t="s">
        <v>283</v>
      </c>
      <c r="B26" s="28" t="n">
        <v>0</v>
      </c>
      <c r="C26" s="28" t="n">
        <v>0.0003</v>
      </c>
      <c r="D26" s="28" t="n">
        <v>0.0822</v>
      </c>
    </row>
    <row r="27" customFormat="false" ht="15" hidden="false" customHeight="false" outlineLevel="0" collapsed="false">
      <c r="A27" s="6" t="s">
        <v>284</v>
      </c>
      <c r="B27" s="28" t="n">
        <v>0.5463</v>
      </c>
      <c r="C27" s="28" t="n">
        <v>0.722</v>
      </c>
      <c r="D27" s="28" t="n">
        <v>0.851</v>
      </c>
    </row>
    <row r="28" customFormat="false" ht="15" hidden="false" customHeight="false" outlineLevel="0" collapsed="false">
      <c r="A28" s="6" t="s">
        <v>285</v>
      </c>
      <c r="B28" s="28" t="n">
        <v>0.043</v>
      </c>
      <c r="C28" s="28" t="n">
        <v>0.2368</v>
      </c>
      <c r="D28" s="28" t="n">
        <v>0.5361</v>
      </c>
    </row>
    <row r="29" customFormat="false" ht="15" hidden="false" customHeight="false" outlineLevel="0" collapsed="false">
      <c r="A29" s="6" t="s">
        <v>286</v>
      </c>
      <c r="B29" s="28" t="n">
        <v>0</v>
      </c>
      <c r="C29" s="28" t="n">
        <v>0.0032</v>
      </c>
      <c r="D29" s="28" t="n">
        <v>0.1277</v>
      </c>
    </row>
    <row r="31" customFormat="false" ht="22.35" hidden="false" customHeight="true" outlineLevel="0" collapsed="false">
      <c r="A31" s="11" t="s">
        <v>287</v>
      </c>
      <c r="B31" s="11"/>
      <c r="C31" s="11"/>
      <c r="D31" s="11"/>
      <c r="E31" s="11"/>
      <c r="F31" s="11"/>
      <c r="G31" s="11"/>
    </row>
    <row r="33" customFormat="false" ht="15" hidden="false" customHeight="false" outlineLevel="0" collapsed="false">
      <c r="A33" s="33" t="s">
        <v>288</v>
      </c>
      <c r="B33" s="33"/>
      <c r="C33" s="33"/>
      <c r="D33" s="33"/>
      <c r="E33" s="33"/>
      <c r="F33" s="33"/>
      <c r="G33" s="33"/>
    </row>
    <row r="34" customFormat="false" ht="15" hidden="false" customHeight="true" outlineLevel="0" collapsed="false">
      <c r="A34" s="6" t="s">
        <v>289</v>
      </c>
      <c r="B34" s="34" t="s">
        <v>290</v>
      </c>
      <c r="C34" s="34"/>
      <c r="D34" s="34"/>
      <c r="E34" s="34"/>
    </row>
    <row r="35" customFormat="false" ht="15" hidden="false" customHeight="true" outlineLevel="0" collapsed="false">
      <c r="A35" s="6" t="s">
        <v>291</v>
      </c>
      <c r="B35" s="34" t="s">
        <v>292</v>
      </c>
      <c r="C35" s="34"/>
      <c r="D35" s="34"/>
      <c r="E35" s="34"/>
    </row>
    <row r="36" customFormat="false" ht="32.8" hidden="false" customHeight="true" outlineLevel="0" collapsed="false">
      <c r="A36" s="6" t="s">
        <v>293</v>
      </c>
      <c r="B36" s="34" t="s">
        <v>294</v>
      </c>
      <c r="C36" s="34"/>
      <c r="D36" s="34"/>
      <c r="E36" s="34"/>
      <c r="F36" s="11" t="s">
        <v>295</v>
      </c>
      <c r="G36" s="11"/>
    </row>
    <row r="37" customFormat="false" ht="15" hidden="false" customHeight="true" outlineLevel="0" collapsed="false">
      <c r="A37" s="6" t="s">
        <v>296</v>
      </c>
      <c r="B37" s="34" t="s">
        <v>297</v>
      </c>
      <c r="C37" s="34"/>
      <c r="D37" s="34"/>
      <c r="E37" s="34"/>
    </row>
    <row r="38" customFormat="false" ht="15" hidden="false" customHeight="true" outlineLevel="0" collapsed="false">
      <c r="A38" s="6" t="s">
        <v>298</v>
      </c>
      <c r="B38" s="34" t="s">
        <v>299</v>
      </c>
      <c r="C38" s="34"/>
      <c r="D38" s="34"/>
      <c r="E38" s="34"/>
    </row>
    <row r="39" customFormat="false" ht="12.65" hidden="false" customHeight="true" outlineLevel="0" collapsed="false">
      <c r="A39" s="6" t="s">
        <v>300</v>
      </c>
      <c r="B39" s="34" t="s">
        <v>301</v>
      </c>
      <c r="C39" s="34"/>
      <c r="D39" s="34"/>
      <c r="E39" s="34"/>
      <c r="F39" s="11" t="s">
        <v>302</v>
      </c>
      <c r="G39" s="11"/>
    </row>
    <row r="40" customFormat="false" ht="23.85" hidden="false" customHeight="true" outlineLevel="0" collapsed="false">
      <c r="A40" s="6" t="s">
        <v>303</v>
      </c>
      <c r="B40" s="34" t="s">
        <v>304</v>
      </c>
      <c r="C40" s="34"/>
      <c r="D40" s="34"/>
      <c r="E40" s="34"/>
    </row>
  </sheetData>
  <mergeCells count="12">
    <mergeCell ref="A2:G2"/>
    <mergeCell ref="A31:G31"/>
    <mergeCell ref="A33:G33"/>
    <mergeCell ref="B34:E34"/>
    <mergeCell ref="B35:E35"/>
    <mergeCell ref="B36:E36"/>
    <mergeCell ref="F36:G36"/>
    <mergeCell ref="B37:E37"/>
    <mergeCell ref="B38:E38"/>
    <mergeCell ref="B39:E39"/>
    <mergeCell ref="F39:G39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4" t="s">
        <v>305</v>
      </c>
    </row>
    <row r="2" customFormat="false" ht="15" hidden="false" customHeight="false" outlineLevel="0" collapsed="false">
      <c r="A2" s="24" t="s">
        <v>306</v>
      </c>
    </row>
    <row r="3" customFormat="false" ht="15" hidden="false" customHeight="false" outlineLevel="0" collapsed="false">
      <c r="A3" s="5" t="s">
        <v>307</v>
      </c>
      <c r="B3" s="35" t="n">
        <v>3600</v>
      </c>
      <c r="C3" s="35" t="n">
        <v>3972</v>
      </c>
      <c r="D3" s="35" t="n">
        <v>4400</v>
      </c>
      <c r="E3" s="35" t="n">
        <v>4800</v>
      </c>
    </row>
    <row r="4" customFormat="false" ht="15" hidden="false" customHeight="false" outlineLevel="0" collapsed="false">
      <c r="A4" s="22" t="n">
        <v>0.32</v>
      </c>
      <c r="B4" s="25" t="n">
        <f aca="false">B$3*$A4</f>
        <v>1152</v>
      </c>
      <c r="C4" s="25" t="n">
        <f aca="false">C$3*$A4</f>
        <v>1271.04</v>
      </c>
      <c r="D4" s="25" t="n">
        <f aca="false">D$3*$A4</f>
        <v>1408</v>
      </c>
      <c r="E4" s="25" t="n">
        <f aca="false">E$3*$A4</f>
        <v>1536</v>
      </c>
    </row>
    <row r="5" customFormat="false" ht="15" hidden="false" customHeight="false" outlineLevel="0" collapsed="false">
      <c r="A5" s="22" t="n">
        <v>0.36</v>
      </c>
      <c r="B5" s="25" t="n">
        <f aca="false">B$3*$A5</f>
        <v>1296</v>
      </c>
      <c r="C5" s="25" t="n">
        <f aca="false">C$3*$A5</f>
        <v>1429.92</v>
      </c>
      <c r="D5" s="25" t="n">
        <f aca="false">D$3*$A5</f>
        <v>1584</v>
      </c>
      <c r="E5" s="25" t="n">
        <f aca="false">E$3*$A5</f>
        <v>1728</v>
      </c>
    </row>
    <row r="6" customFormat="false" ht="15" hidden="false" customHeight="false" outlineLevel="0" collapsed="false">
      <c r="A6" s="22" t="n">
        <v>0.405</v>
      </c>
      <c r="B6" s="25" t="n">
        <f aca="false">B$3*$A6</f>
        <v>1458</v>
      </c>
      <c r="C6" s="25" t="n">
        <f aca="false">C$3*$A6</f>
        <v>1608.66</v>
      </c>
      <c r="D6" s="25" t="n">
        <f aca="false">D$3*$A6</f>
        <v>1782</v>
      </c>
      <c r="E6" s="25" t="n">
        <f aca="false">E$3*$A6</f>
        <v>1944</v>
      </c>
    </row>
    <row r="7" customFormat="false" ht="15" hidden="false" customHeight="false" outlineLevel="0" collapsed="false">
      <c r="A7" s="22" t="n">
        <v>0.45</v>
      </c>
      <c r="B7" s="25" t="n">
        <f aca="false">B$3*$A7</f>
        <v>1620</v>
      </c>
      <c r="C7" s="25" t="n">
        <f aca="false">C$3*$A7</f>
        <v>1787.4</v>
      </c>
      <c r="D7" s="25" t="n">
        <f aca="false">D$3*$A7</f>
        <v>1980</v>
      </c>
      <c r="E7" s="25" t="n">
        <f aca="false">E$3*$A7</f>
        <v>2160</v>
      </c>
    </row>
    <row r="8" customFormat="false" ht="15" hidden="false" customHeight="false" outlineLevel="0" collapsed="false">
      <c r="A8" s="22" t="n">
        <v>0.5</v>
      </c>
      <c r="B8" s="25" t="n">
        <f aca="false">B$3*$A8</f>
        <v>1800</v>
      </c>
      <c r="C8" s="25" t="n">
        <f aca="false">C$3*$A8</f>
        <v>1986</v>
      </c>
      <c r="D8" s="25" t="n">
        <f aca="false">D$3*$A8</f>
        <v>2200</v>
      </c>
      <c r="E8" s="25" t="n">
        <f aca="false">E$3*$A8</f>
        <v>2400</v>
      </c>
    </row>
    <row r="10" customFormat="false" ht="32.8" hidden="false" customHeight="true" outlineLevel="0" collapsed="false">
      <c r="A10" s="11" t="s">
        <v>308</v>
      </c>
      <c r="B10" s="11"/>
      <c r="C10" s="11"/>
      <c r="D10" s="11"/>
      <c r="E10" s="11"/>
    </row>
  </sheetData>
  <mergeCells count="1"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</cols>
  <sheetData>
    <row r="1" customFormat="false" ht="15" hidden="false" customHeight="false" outlineLevel="0" collapsed="false">
      <c r="A1" s="4" t="s">
        <v>309</v>
      </c>
    </row>
    <row r="2" customFormat="false" ht="25.5" hidden="false" customHeight="true" outlineLevel="0" collapsed="false">
      <c r="A2" s="11" t="s">
        <v>310</v>
      </c>
      <c r="B2" s="11"/>
    </row>
    <row r="3" customFormat="false" ht="13.5" hidden="false" customHeight="true" outlineLevel="0" collapsed="false">
      <c r="A3" s="6" t="s">
        <v>311</v>
      </c>
      <c r="B3" s="3" t="s">
        <v>312</v>
      </c>
    </row>
    <row r="4" customFormat="false" ht="25.5" hidden="false" customHeight="true" outlineLevel="0" collapsed="false">
      <c r="A4" s="6" t="s">
        <v>313</v>
      </c>
      <c r="B4" s="3" t="s">
        <v>314</v>
      </c>
    </row>
    <row r="5" customFormat="false" ht="13.5" hidden="false" customHeight="true" outlineLevel="0" collapsed="false">
      <c r="A5" s="6" t="s">
        <v>315</v>
      </c>
      <c r="B5" s="3" t="s">
        <v>316</v>
      </c>
    </row>
    <row r="6" customFormat="false" ht="13.5" hidden="false" customHeight="true" outlineLevel="0" collapsed="false">
      <c r="A6" s="6" t="s">
        <v>317</v>
      </c>
      <c r="B6" s="3" t="s">
        <v>318</v>
      </c>
    </row>
    <row r="7" customFormat="false" ht="13.5" hidden="false" customHeight="true" outlineLevel="0" collapsed="false">
      <c r="A7" s="6" t="s">
        <v>319</v>
      </c>
      <c r="B7" s="3" t="s">
        <v>320</v>
      </c>
    </row>
    <row r="8" customFormat="false" ht="13.5" hidden="false" customHeight="true" outlineLevel="0" collapsed="false">
      <c r="A8" s="6" t="s">
        <v>321</v>
      </c>
      <c r="B8" s="3" t="s">
        <v>322</v>
      </c>
    </row>
    <row r="9" customFormat="false" ht="13.5" hidden="false" customHeight="true" outlineLevel="0" collapsed="false">
      <c r="A9" s="6" t="s">
        <v>323</v>
      </c>
      <c r="B9" s="3" t="s">
        <v>324</v>
      </c>
    </row>
    <row r="10" customFormat="false" ht="13.5" hidden="false" customHeight="true" outlineLevel="0" collapsed="false">
      <c r="A10" s="6" t="s">
        <v>325</v>
      </c>
      <c r="B10" s="3" t="s">
        <v>326</v>
      </c>
    </row>
    <row r="11" customFormat="false" ht="25.5" hidden="false" customHeight="true" outlineLevel="0" collapsed="false">
      <c r="A11" s="15" t="s">
        <v>23</v>
      </c>
      <c r="B11" s="36" t="s">
        <v>327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4"/>
  </cols>
  <sheetData>
    <row r="1" customFormat="false" ht="15" hidden="false" customHeight="false" outlineLevel="0" collapsed="false">
      <c r="A1" s="4" t="s">
        <v>328</v>
      </c>
    </row>
    <row r="2" customFormat="false" ht="15" hidden="false" customHeight="false" outlineLevel="0" collapsed="false">
      <c r="A2" s="5" t="s">
        <v>329</v>
      </c>
      <c r="B2" s="5" t="s">
        <v>330</v>
      </c>
      <c r="C2" s="5" t="s">
        <v>331</v>
      </c>
    </row>
    <row r="3" customFormat="false" ht="23.85" hidden="false" customHeight="false" outlineLevel="0" collapsed="false">
      <c r="A3" s="6" t="s">
        <v>332</v>
      </c>
      <c r="B3" s="3" t="s">
        <v>333</v>
      </c>
      <c r="C3" s="13" t="s">
        <v>334</v>
      </c>
    </row>
    <row r="4" customFormat="false" ht="15" hidden="false" customHeight="false" outlineLevel="0" collapsed="false">
      <c r="A4" s="6" t="s">
        <v>335</v>
      </c>
      <c r="B4" s="3" t="s">
        <v>336</v>
      </c>
      <c r="C4" s="13" t="s">
        <v>337</v>
      </c>
    </row>
    <row r="5" customFormat="false" ht="15" hidden="false" customHeight="false" outlineLevel="0" collapsed="false">
      <c r="A5" s="6" t="s">
        <v>338</v>
      </c>
      <c r="B5" s="3" t="s">
        <v>339</v>
      </c>
      <c r="C5" s="13" t="s">
        <v>340</v>
      </c>
    </row>
    <row r="6" customFormat="false" ht="15" hidden="false" customHeight="false" outlineLevel="0" collapsed="false">
      <c r="A6" s="6" t="s">
        <v>341</v>
      </c>
      <c r="B6" s="3" t="s">
        <v>342</v>
      </c>
      <c r="C6" s="13" t="s">
        <v>343</v>
      </c>
    </row>
    <row r="7" customFormat="false" ht="15" hidden="false" customHeight="false" outlineLevel="0" collapsed="false">
      <c r="A7" s="6" t="s">
        <v>344</v>
      </c>
      <c r="B7" s="3" t="s">
        <v>345</v>
      </c>
      <c r="C7" s="13" t="s">
        <v>346</v>
      </c>
    </row>
    <row r="8" customFormat="false" ht="22.35" hidden="false" customHeight="false" outlineLevel="0" collapsed="false">
      <c r="A8" s="6" t="s">
        <v>347</v>
      </c>
      <c r="B8" s="3" t="s">
        <v>221</v>
      </c>
      <c r="C8" s="13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25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4" t="s">
        <v>349</v>
      </c>
    </row>
    <row r="2" customFormat="false" ht="15" hidden="false" customHeight="false" outlineLevel="0" collapsed="false">
      <c r="A2" s="5" t="s">
        <v>350</v>
      </c>
      <c r="B2" s="5" t="s">
        <v>351</v>
      </c>
      <c r="C2" s="5" t="s">
        <v>352</v>
      </c>
      <c r="D2" s="5" t="s">
        <v>353</v>
      </c>
      <c r="E2" s="5" t="s">
        <v>354</v>
      </c>
      <c r="F2" s="5" t="s">
        <v>355</v>
      </c>
    </row>
    <row r="3" customFormat="false" ht="24" hidden="false" customHeight="true" outlineLevel="0" collapsed="false">
      <c r="A3" s="6" t="s">
        <v>356</v>
      </c>
      <c r="B3" s="6" t="s">
        <v>357</v>
      </c>
      <c r="C3" s="3" t="s">
        <v>358</v>
      </c>
      <c r="D3" s="6" t="s">
        <v>359</v>
      </c>
      <c r="E3" s="13" t="s">
        <v>360</v>
      </c>
      <c r="F3" s="6" t="s">
        <v>361</v>
      </c>
    </row>
    <row r="4" customFormat="false" ht="24" hidden="false" customHeight="true" outlineLevel="0" collapsed="false">
      <c r="A4" s="6" t="s">
        <v>362</v>
      </c>
      <c r="B4" s="6" t="s">
        <v>357</v>
      </c>
      <c r="C4" s="3" t="s">
        <v>363</v>
      </c>
      <c r="D4" s="6" t="s">
        <v>359</v>
      </c>
      <c r="E4" s="13" t="s">
        <v>364</v>
      </c>
      <c r="F4" s="6" t="s">
        <v>365</v>
      </c>
    </row>
    <row r="5" customFormat="false" ht="24" hidden="false" customHeight="true" outlineLevel="0" collapsed="false">
      <c r="A5" s="6" t="s">
        <v>366</v>
      </c>
      <c r="B5" s="6" t="s">
        <v>357</v>
      </c>
      <c r="C5" s="3" t="s">
        <v>367</v>
      </c>
      <c r="D5" s="6" t="s">
        <v>359</v>
      </c>
      <c r="E5" s="13" t="s">
        <v>368</v>
      </c>
      <c r="F5" s="6" t="s">
        <v>369</v>
      </c>
    </row>
    <row r="6" customFormat="false" ht="24" hidden="false" customHeight="true" outlineLevel="0" collapsed="false">
      <c r="A6" s="6" t="s">
        <v>370</v>
      </c>
      <c r="B6" s="6" t="s">
        <v>371</v>
      </c>
      <c r="C6" s="3" t="s">
        <v>372</v>
      </c>
      <c r="D6" s="6" t="s">
        <v>373</v>
      </c>
      <c r="E6" s="13" t="s">
        <v>374</v>
      </c>
      <c r="F6" s="6" t="s">
        <v>375</v>
      </c>
    </row>
    <row r="7" customFormat="false" ht="24" hidden="false" customHeight="true" outlineLevel="0" collapsed="false">
      <c r="A7" s="6" t="s">
        <v>376</v>
      </c>
      <c r="B7" s="6" t="s">
        <v>371</v>
      </c>
      <c r="C7" s="3" t="s">
        <v>377</v>
      </c>
      <c r="D7" s="6" t="s">
        <v>373</v>
      </c>
      <c r="E7" s="13" t="s">
        <v>378</v>
      </c>
      <c r="F7" s="6" t="s">
        <v>375</v>
      </c>
    </row>
    <row r="8" customFormat="false" ht="24" hidden="false" customHeight="true" outlineLevel="0" collapsed="false">
      <c r="A8" s="6" t="s">
        <v>379</v>
      </c>
      <c r="B8" s="6" t="s">
        <v>371</v>
      </c>
      <c r="C8" s="3" t="s">
        <v>380</v>
      </c>
      <c r="D8" s="6" t="s">
        <v>373</v>
      </c>
      <c r="E8" s="13" t="s">
        <v>381</v>
      </c>
      <c r="F8" s="6" t="s">
        <v>369</v>
      </c>
    </row>
    <row r="9" customFormat="false" ht="24" hidden="false" customHeight="true" outlineLevel="0" collapsed="false">
      <c r="A9" s="6" t="s">
        <v>382</v>
      </c>
      <c r="B9" s="6" t="s">
        <v>383</v>
      </c>
      <c r="C9" s="3" t="s">
        <v>384</v>
      </c>
      <c r="D9" s="6" t="s">
        <v>373</v>
      </c>
      <c r="E9" s="13" t="s">
        <v>385</v>
      </c>
      <c r="F9" s="6" t="s">
        <v>375</v>
      </c>
    </row>
    <row r="10" customFormat="false" ht="24" hidden="false" customHeight="true" outlineLevel="0" collapsed="false">
      <c r="A10" s="6" t="s">
        <v>386</v>
      </c>
      <c r="B10" s="6" t="s">
        <v>383</v>
      </c>
      <c r="C10" s="3" t="s">
        <v>384</v>
      </c>
      <c r="D10" s="6" t="s">
        <v>359</v>
      </c>
      <c r="E10" s="13" t="s">
        <v>387</v>
      </c>
      <c r="F10" s="6" t="s">
        <v>375</v>
      </c>
    </row>
    <row r="11" customFormat="false" ht="24" hidden="false" customHeight="true" outlineLevel="0" collapsed="false">
      <c r="A11" s="6" t="s">
        <v>388</v>
      </c>
      <c r="B11" s="6" t="s">
        <v>383</v>
      </c>
      <c r="C11" s="3" t="s">
        <v>389</v>
      </c>
      <c r="D11" s="6" t="s">
        <v>359</v>
      </c>
      <c r="E11" s="13" t="s">
        <v>390</v>
      </c>
      <c r="F11" s="6" t="s">
        <v>375</v>
      </c>
    </row>
    <row r="12" customFormat="false" ht="24" hidden="false" customHeight="true" outlineLevel="0" collapsed="false">
      <c r="A12" s="6" t="s">
        <v>391</v>
      </c>
      <c r="B12" s="6" t="s">
        <v>383</v>
      </c>
      <c r="C12" s="3" t="s">
        <v>392</v>
      </c>
      <c r="D12" s="6" t="s">
        <v>373</v>
      </c>
      <c r="E12" s="13" t="s">
        <v>393</v>
      </c>
      <c r="F12" s="6" t="s">
        <v>375</v>
      </c>
    </row>
    <row r="13" customFormat="false" ht="24" hidden="false" customHeight="true" outlineLevel="0" collapsed="false">
      <c r="A13" s="6" t="s">
        <v>394</v>
      </c>
      <c r="B13" s="6" t="s">
        <v>383</v>
      </c>
      <c r="C13" s="3" t="s">
        <v>395</v>
      </c>
      <c r="D13" s="6" t="s">
        <v>396</v>
      </c>
      <c r="E13" s="13" t="s">
        <v>397</v>
      </c>
      <c r="F13" s="6" t="s">
        <v>398</v>
      </c>
    </row>
    <row r="14" customFormat="false" ht="24" hidden="false" customHeight="true" outlineLevel="0" collapsed="false">
      <c r="A14" s="6" t="s">
        <v>399</v>
      </c>
      <c r="B14" s="6" t="s">
        <v>400</v>
      </c>
      <c r="C14" s="3" t="s">
        <v>401</v>
      </c>
      <c r="D14" s="6" t="s">
        <v>402</v>
      </c>
      <c r="E14" s="13" t="s">
        <v>403</v>
      </c>
      <c r="F14" s="6" t="s">
        <v>404</v>
      </c>
    </row>
    <row r="15" customFormat="false" ht="24" hidden="false" customHeight="true" outlineLevel="0" collapsed="false">
      <c r="A15" s="6" t="s">
        <v>405</v>
      </c>
      <c r="B15" s="6" t="s">
        <v>400</v>
      </c>
      <c r="C15" s="3" t="s">
        <v>406</v>
      </c>
      <c r="D15" s="6" t="s">
        <v>359</v>
      </c>
      <c r="E15" s="13" t="s">
        <v>407</v>
      </c>
      <c r="F15" s="6" t="s">
        <v>408</v>
      </c>
    </row>
    <row r="16" customFormat="false" ht="24" hidden="false" customHeight="true" outlineLevel="0" collapsed="false">
      <c r="A16" s="6" t="s">
        <v>409</v>
      </c>
      <c r="B16" s="6" t="s">
        <v>400</v>
      </c>
      <c r="C16" s="3" t="s">
        <v>410</v>
      </c>
      <c r="D16" s="6" t="s">
        <v>359</v>
      </c>
      <c r="E16" s="13" t="s">
        <v>411</v>
      </c>
      <c r="F16" s="6" t="s">
        <v>408</v>
      </c>
    </row>
    <row r="17" customFormat="false" ht="24" hidden="false" customHeight="true" outlineLevel="0" collapsed="false">
      <c r="A17" s="6" t="s">
        <v>412</v>
      </c>
      <c r="B17" s="6" t="s">
        <v>400</v>
      </c>
      <c r="C17" s="3" t="s">
        <v>406</v>
      </c>
      <c r="D17" s="6" t="s">
        <v>373</v>
      </c>
      <c r="E17" s="13" t="s">
        <v>413</v>
      </c>
      <c r="F17" s="6" t="s">
        <v>408</v>
      </c>
    </row>
    <row r="18" customFormat="false" ht="24" hidden="false" customHeight="true" outlineLevel="0" collapsed="false">
      <c r="A18" s="6" t="s">
        <v>414</v>
      </c>
      <c r="B18" s="6" t="s">
        <v>400</v>
      </c>
      <c r="C18" s="3" t="s">
        <v>401</v>
      </c>
      <c r="D18" s="6" t="s">
        <v>396</v>
      </c>
      <c r="E18" s="13" t="s">
        <v>415</v>
      </c>
      <c r="F18" s="6" t="s">
        <v>398</v>
      </c>
    </row>
    <row r="19" customFormat="false" ht="24" hidden="false" customHeight="true" outlineLevel="0" collapsed="false">
      <c r="A19" s="6" t="s">
        <v>416</v>
      </c>
      <c r="B19" s="6" t="s">
        <v>357</v>
      </c>
      <c r="C19" s="3" t="s">
        <v>363</v>
      </c>
      <c r="D19" s="6" t="s">
        <v>396</v>
      </c>
      <c r="E19" s="13" t="s">
        <v>417</v>
      </c>
      <c r="F19" s="6" t="s">
        <v>398</v>
      </c>
    </row>
    <row r="20" customFormat="false" ht="24" hidden="false" customHeight="true" outlineLevel="0" collapsed="false">
      <c r="A20" s="6" t="s">
        <v>418</v>
      </c>
      <c r="B20" s="6" t="s">
        <v>383</v>
      </c>
      <c r="C20" s="3" t="s">
        <v>392</v>
      </c>
      <c r="D20" s="6" t="s">
        <v>396</v>
      </c>
      <c r="E20" s="13" t="s">
        <v>419</v>
      </c>
      <c r="F20" s="6" t="s">
        <v>398</v>
      </c>
    </row>
    <row r="21" customFormat="false" ht="15" hidden="false" customHeight="false" outlineLevel="0" collapsed="false">
      <c r="A21" s="19" t="s">
        <v>420</v>
      </c>
    </row>
    <row r="22" customFormat="false" ht="21.75" hidden="false" customHeight="true" outlineLevel="0" collapsed="false">
      <c r="A22" s="6" t="s">
        <v>421</v>
      </c>
      <c r="B22" s="11" t="s">
        <v>422</v>
      </c>
      <c r="C22" s="11"/>
      <c r="D22" s="11"/>
      <c r="E22" s="11"/>
      <c r="F22" s="24" t="s">
        <v>423</v>
      </c>
    </row>
    <row r="23" customFormat="false" ht="21.75" hidden="false" customHeight="true" outlineLevel="0" collapsed="false">
      <c r="A23" s="6" t="s">
        <v>421</v>
      </c>
      <c r="B23" s="11" t="s">
        <v>424</v>
      </c>
      <c r="C23" s="11"/>
      <c r="D23" s="11"/>
      <c r="E23" s="11"/>
      <c r="F23" s="24" t="s">
        <v>412</v>
      </c>
    </row>
    <row r="24" customFormat="false" ht="21.75" hidden="false" customHeight="true" outlineLevel="0" collapsed="false">
      <c r="A24" s="6" t="s">
        <v>421</v>
      </c>
      <c r="B24" s="11" t="s">
        <v>425</v>
      </c>
      <c r="C24" s="11"/>
      <c r="D24" s="11"/>
      <c r="E24" s="11"/>
      <c r="F24" s="24" t="s">
        <v>379</v>
      </c>
    </row>
    <row r="25" customFormat="false" ht="21.75" hidden="false" customHeight="true" outlineLevel="0" collapsed="false">
      <c r="A25" s="6" t="s">
        <v>426</v>
      </c>
      <c r="B25" s="11" t="s">
        <v>427</v>
      </c>
      <c r="C25" s="11"/>
      <c r="D25" s="11"/>
      <c r="E25" s="11"/>
      <c r="F25" s="24" t="s">
        <v>428</v>
      </c>
    </row>
    <row r="26" customFormat="false" ht="21.75" hidden="false" customHeight="true" outlineLevel="0" collapsed="false">
      <c r="A26" s="6" t="s">
        <v>426</v>
      </c>
      <c r="B26" s="11" t="s">
        <v>429</v>
      </c>
      <c r="C26" s="11"/>
      <c r="D26" s="11"/>
      <c r="E26" s="11"/>
      <c r="F26" s="24" t="s">
        <v>430</v>
      </c>
    </row>
    <row r="27" customFormat="false" ht="21.75" hidden="false" customHeight="true" outlineLevel="0" collapsed="false">
      <c r="A27" s="6" t="s">
        <v>426</v>
      </c>
      <c r="B27" s="11" t="s">
        <v>431</v>
      </c>
      <c r="C27" s="11"/>
      <c r="D27" s="11"/>
      <c r="E27" s="11"/>
      <c r="F27" s="24" t="s">
        <v>418</v>
      </c>
    </row>
  </sheetData>
  <mergeCells count="6">
    <mergeCell ref="B22:E22"/>
    <mergeCell ref="B23:E23"/>
    <mergeCell ref="B24:E24"/>
    <mergeCell ref="B25:E25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4" t="s">
        <v>432</v>
      </c>
    </row>
    <row r="2" customFormat="false" ht="25.5" hidden="false" customHeight="true" outlineLevel="0" collapsed="false">
      <c r="A2" s="3" t="s">
        <v>433</v>
      </c>
    </row>
    <row r="3" customFormat="false" ht="25.5" hidden="false" customHeight="true" outlineLevel="0" collapsed="false">
      <c r="A3" s="3" t="s">
        <v>434</v>
      </c>
    </row>
    <row r="4" customFormat="false" ht="25.5" hidden="false" customHeight="true" outlineLevel="0" collapsed="false">
      <c r="A4" s="13" t="s">
        <v>435</v>
      </c>
    </row>
    <row r="5" customFormat="false" ht="25.5" hidden="false" customHeight="true" outlineLevel="0" collapsed="false">
      <c r="A5" s="13" t="s">
        <v>436</v>
      </c>
    </row>
    <row r="6" customFormat="false" ht="25.5" hidden="false" customHeight="true" outlineLevel="0" collapsed="false">
      <c r="A6" s="13" t="s">
        <v>437</v>
      </c>
    </row>
    <row r="7" customFormat="false" ht="25.5" hidden="false" customHeight="true" outlineLevel="0" collapsed="false">
      <c r="A7" s="13" t="s">
        <v>438</v>
      </c>
    </row>
    <row r="8" customFormat="false" ht="25.5" hidden="false" customHeight="true" outlineLevel="0" collapsed="false">
      <c r="A8" s="13" t="s">
        <v>439</v>
      </c>
    </row>
    <row r="9" customFormat="false" ht="25.5" hidden="false" customHeight="true" outlineLevel="0" collapsed="false">
      <c r="A9" s="13" t="s">
        <v>440</v>
      </c>
    </row>
    <row r="10" customFormat="false" ht="25.5" hidden="false" customHeight="true" outlineLevel="0" collapsed="false">
      <c r="A10" s="13" t="s">
        <v>441</v>
      </c>
    </row>
    <row r="11" customFormat="false" ht="25.5" hidden="false" customHeight="true" outlineLevel="0" collapsed="false">
      <c r="A11" s="13" t="s">
        <v>442</v>
      </c>
    </row>
    <row r="12" customFormat="false" ht="25.5" hidden="false" customHeight="true" outlineLevel="0" collapsed="false">
      <c r="A12" s="13" t="s">
        <v>443</v>
      </c>
    </row>
    <row r="13" customFormat="false" ht="25.5" hidden="false" customHeight="true" outlineLevel="0" collapsed="false">
      <c r="A13" s="13" t="s">
        <v>444</v>
      </c>
    </row>
    <row r="14" customFormat="false" ht="25.5" hidden="false" customHeight="true" outlineLevel="0" collapsed="false">
      <c r="A14" s="13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2026-07-20T09:05:15Z</dcterms:created>
  <dc:creator>openpyxl</dc:creator>
  <dc:description/>
  <dc:language>en-US</dc:language>
  <cp:lastModifiedBy/>
  <dcterms:modified xsi:type="dcterms:W3CDTF">2026-07-20T09:05:15Z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