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Fair-Value Anchors" sheetId="5" state="visible" r:id="rId5"/>
    <sheet xmlns:r="http://schemas.openxmlformats.org/officeDocument/2006/relationships" name="Gold-Silver Ratio" sheetId="6" state="visible" r:id="rId6"/>
    <sheet xmlns:r="http://schemas.openxmlformats.org/officeDocument/2006/relationships" name="Silver Balance" sheetId="7" state="visible" r:id="rId7"/>
    <sheet xmlns:r="http://schemas.openxmlformats.org/officeDocument/2006/relationships" name="Demand Segments" sheetId="8" state="visible" r:id="rId8"/>
    <sheet xmlns:r="http://schemas.openxmlformats.org/officeDocument/2006/relationships" name="Technical" sheetId="9" state="visible" r:id="rId9"/>
    <sheet xmlns:r="http://schemas.openxmlformats.org/officeDocument/2006/relationships" name="Monte Carlo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Step 0 Calibration" sheetId="12" state="visible" r:id="rId12"/>
    <sheet xmlns:r="http://schemas.openxmlformats.org/officeDocument/2006/relationships" name="Peer &amp; Sector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$#,##0"/>
    <numFmt numFmtId="166" formatCode="0.0&quot;×&quot;"/>
    <numFmt numFmtId="167" formatCode="0.0%"/>
    <numFmt numFmtId="168" formatCode="#,##0;(#,##0)"/>
    <numFmt numFmtId="169" formatCode="0.000"/>
    <numFmt numFmtId="170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C3A36"/>
      <sz val="14"/>
    </font>
    <font>
      <name val="Arial"/>
      <i val="1"/>
      <color rgb="00896F36"/>
      <sz val="8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1C3A36"/>
      <sz val="10"/>
    </font>
    <font>
      <name val="Arial"/>
      <color rgb="00008000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4ECE9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66" fontId="8" fillId="0" borderId="1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7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3" borderId="0" pivotButton="0" quotePrefix="0" xfId="0"/>
    <xf numFmtId="0" fontId="0" fillId="3" borderId="0" pivotButton="0" quotePrefix="0" xfId="0"/>
    <xf numFmtId="0" fontId="2" fillId="3" borderId="0" pivotButton="0" quotePrefix="0" xfId="0"/>
    <xf numFmtId="166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168" fontId="5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left" vertical="center" wrapText="1"/>
    </xf>
    <xf numFmtId="169" fontId="6" fillId="0" borderId="1" applyAlignment="1" pivotButton="0" quotePrefix="0" xfId="0">
      <alignment horizontal="center" vertical="center" wrapText="1"/>
    </xf>
    <xf numFmtId="170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167" fontId="8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Testahil · Independent Valuation Study — Silver (XAG/USD)</t>
        </is>
      </c>
    </row>
    <row r="2">
      <c r="A2" s="2" t="inlineStr">
        <is>
          <t>Combined 1 / 3 / 12-month edition · educational analysis · not investment advice</t>
        </is>
      </c>
    </row>
    <row r="4" ht="42" customHeight="1">
      <c r="A4" s="3" t="inlineStr">
        <is>
          <t>•  This workbook is an educational valuation model, not investment advice, and not a recommendation to buy, sell or hold silver or any related instrument.</t>
        </is>
      </c>
    </row>
    <row r="5" ht="42" customHeight="1">
      <c r="A5" s="3" t="inlineStr">
        <is>
          <t>•  The preparer is not licensed by any securities or commodities regulator, manages no money, and accepts no clients or fees.</t>
        </is>
      </c>
    </row>
    <row r="6" ht="42" customHeight="1">
      <c r="A6" s="3" t="inlineStr">
        <is>
          <t>•  A commodity has no income statement, balance sheet or cash flows, so the company-style sheets of the standard template are a justified N/A here and are replaced by their metal analogues: Fair-Value Anchors, the Gold-Silver Ratio, and the Silver Balance (supply/demand) sheet, which is the metal's 'financial statements'.</t>
        </is>
      </c>
    </row>
    <row r="7" ht="42" customHeight="1">
      <c r="A7" s="3" t="inlineStr">
        <is>
          <t>•  The Assumptions sheet is the single blue-cell input layer. Every downstream figure links to it, so changing one input (spot, gold, a target ratio, the deficit) reprices the whole model.</t>
        </is>
      </c>
    </row>
    <row r="8" ht="42" customHeight="1">
      <c r="A8" s="3" t="inlineStr">
        <is>
          <t>•  Blue = input; black = formula; green = link from another sheet.</t>
        </is>
      </c>
    </row>
    <row r="9" ht="42" customHeight="1">
      <c r="A9" s="3" t="inlineStr">
        <is>
          <t>•  Monte Carlo percentiles are computed by the YZ-HAR engine (mc_v2.py, 50,000 paths, seed 42) and pasted as values on the Monte Carlo sheet, with the engine parameters documented on Assumptions.</t>
        </is>
      </c>
    </row>
    <row r="10" ht="42" customHeight="1">
      <c r="A10" s="3" t="inlineStr">
        <is>
          <t>•  All figures are model outputs presented as ranges and distributions. Sources: World Silver Survey 2026 (Silver Institute / Metals Focus), LBMA, published analyst research, exchange data.</t>
        </is>
      </c>
    </row>
    <row r="11" ht="42" customHeight="1">
      <c r="A11" s="3" t="inlineStr">
        <is>
          <t>•  The preparer may hold, and may in the future take or dispose of, a position in the instrument discussed.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Summary — every read at a glance (1 / 3 / 12 month)</t>
        </is>
      </c>
    </row>
    <row r="3">
      <c r="A3" s="4" t="inlineStr">
        <is>
          <t>Read</t>
        </is>
      </c>
      <c r="B3" s="4" t="inlineStr">
        <is>
          <t>1 month</t>
        </is>
      </c>
      <c r="C3" s="4" t="inlineStr">
        <is>
          <t>3 months</t>
        </is>
      </c>
      <c r="D3" s="4" t="inlineStr">
        <is>
          <t>12 months</t>
        </is>
      </c>
    </row>
    <row r="4">
      <c r="A4" s="5" t="inlineStr">
        <is>
          <t>MC median</t>
        </is>
      </c>
      <c r="B4" s="6">
        <f>'Monte Carlo'!D4</f>
        <v/>
      </c>
      <c r="C4" s="6">
        <f>'Monte Carlo'!D5</f>
        <v/>
      </c>
      <c r="D4" s="6">
        <f>'Monte Carlo'!D6</f>
        <v/>
      </c>
    </row>
    <row r="5">
      <c r="A5" s="5" t="inlineStr">
        <is>
          <t>MC 5th percentile</t>
        </is>
      </c>
      <c r="B5" s="6">
        <f>'Monte Carlo'!B4</f>
        <v/>
      </c>
      <c r="C5" s="6">
        <f>'Monte Carlo'!B5</f>
        <v/>
      </c>
      <c r="D5" s="6">
        <f>'Monte Carlo'!B6</f>
        <v/>
      </c>
    </row>
    <row r="6">
      <c r="A6" s="5" t="inlineStr">
        <is>
          <t>MC 95th percentile</t>
        </is>
      </c>
      <c r="B6" s="6">
        <f>'Monte Carlo'!F4</f>
        <v/>
      </c>
      <c r="C6" s="6">
        <f>'Monte Carlo'!F5</f>
        <v/>
      </c>
      <c r="D6" s="6">
        <f>'Monte Carlo'!F6</f>
        <v/>
      </c>
    </row>
    <row r="7">
      <c r="A7" s="7" t="inlineStr">
        <is>
          <t>Spot</t>
        </is>
      </c>
      <c r="B7" s="6">
        <f>Assumptions!$B$4</f>
        <v/>
      </c>
    </row>
    <row r="8">
      <c r="A8" s="7" t="inlineStr">
        <is>
          <t>Gold-silver ratio</t>
        </is>
      </c>
      <c r="B8" s="8">
        <f>Assumptions!$B$5/Assumptions!$B$4</f>
        <v/>
      </c>
    </row>
    <row r="9">
      <c r="A9" s="7" t="inlineStr">
        <is>
          <t>Fair-value zone</t>
        </is>
      </c>
      <c r="B9" s="9">
        <f>Assumptions!$B$30</f>
        <v/>
      </c>
      <c r="C9" s="9">
        <f>Assumptions!$B$31</f>
        <v/>
      </c>
      <c r="D9" s="9">
        <f>Assumptions!$B$32</f>
        <v/>
      </c>
    </row>
    <row r="11">
      <c r="A11" s="10" t="inlineStr">
        <is>
          <t>Fundamental fair value neither cheap nor dear; MC centred near spot near-term, tilting up over 12m.</t>
        </is>
      </c>
      <c r="B11" s="11" t="n"/>
      <c r="C11" s="11" t="n"/>
      <c r="D11" s="12" t="n"/>
    </row>
  </sheetData>
  <mergeCells count="2">
    <mergeCell ref="A1:F1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6" customWidth="1" min="3" max="3"/>
  </cols>
  <sheetData>
    <row r="1">
      <c r="A1" s="1" t="inlineStr">
        <is>
          <t>Fundamental Valuation — anchor synthesis</t>
        </is>
      </c>
    </row>
    <row r="3">
      <c r="A3" s="4" t="inlineStr">
        <is>
          <t>Anchor</t>
        </is>
      </c>
      <c r="B3" s="4" t="inlineStr">
        <is>
          <t>Weight</t>
        </is>
      </c>
      <c r="C3" s="4" t="inlineStr">
        <is>
          <t>Contribution</t>
        </is>
      </c>
    </row>
    <row r="4">
      <c r="A4" s="5" t="inlineStr">
        <is>
          <t>Gold-silver ratio (neutral)</t>
        </is>
      </c>
      <c r="B4" s="13" t="n">
        <v>0.35</v>
      </c>
      <c r="C4" s="6">
        <f>'Fair-Value Anchors'!B5</f>
        <v/>
      </c>
    </row>
    <row r="5">
      <c r="A5" s="5" t="inlineStr">
        <is>
          <t>Analyst consensus (median)</t>
        </is>
      </c>
      <c r="B5" s="13" t="n">
        <v>0.25</v>
      </c>
      <c r="C5" s="6">
        <f>'Fair-Value Anchors'!B8</f>
        <v/>
      </c>
    </row>
    <row r="6">
      <c r="A6" s="5" t="inlineStr">
        <is>
          <t>Supply/demand deficit</t>
        </is>
      </c>
      <c r="B6" s="13" t="n">
        <v>0.2</v>
      </c>
      <c r="C6" s="14" t="n">
        <v>60</v>
      </c>
    </row>
    <row r="7">
      <c r="A7" s="5" t="inlineStr">
        <is>
          <t>Real-rate carry</t>
        </is>
      </c>
      <c r="B7" s="13" t="n">
        <v>0.12</v>
      </c>
      <c r="C7" s="5" t="inlineStr">
        <is>
          <t>— (tilt)</t>
        </is>
      </c>
    </row>
    <row r="8">
      <c r="A8" s="5" t="inlineStr">
        <is>
          <t>Cost floor</t>
        </is>
      </c>
      <c r="B8" s="13" t="n">
        <v>0.08</v>
      </c>
      <c r="C8" s="6">
        <f>'Fair-Value Anchors'!B10</f>
        <v/>
      </c>
    </row>
    <row r="9">
      <c r="A9" s="7" t="inlineStr">
        <is>
          <t>Weighted fair-value centre</t>
        </is>
      </c>
      <c r="B9" s="15">
        <f>SUM(B4:B8)</f>
        <v/>
      </c>
      <c r="C9" s="9">
        <f>Assumptions!$B$31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0" customWidth="1" min="3" max="3"/>
  </cols>
  <sheetData>
    <row r="1">
      <c r="A1" s="1" t="inlineStr">
        <is>
          <t>Assumptions — single input layer (blue = input)</t>
        </is>
      </c>
    </row>
    <row r="3">
      <c r="A3" s="4" t="inlineStr">
        <is>
          <t>Input</t>
        </is>
      </c>
      <c r="B3" s="4" t="inlineStr">
        <is>
          <t>Value</t>
        </is>
      </c>
      <c r="C3" s="4" t="inlineStr">
        <is>
          <t>Source / note</t>
        </is>
      </c>
    </row>
    <row r="4">
      <c r="A4" s="5" t="inlineStr">
        <is>
          <t>Spot silver (US$/oz)</t>
        </is>
      </c>
      <c r="B4" s="16" t="n">
        <v>62.425</v>
      </c>
      <c r="C4" s="10" t="inlineStr">
        <is>
          <t>03 Jul 2026 close, attached history</t>
        </is>
      </c>
    </row>
    <row r="5">
      <c r="A5" s="5" t="inlineStr">
        <is>
          <t>Gold spot (US$/oz)</t>
        </is>
      </c>
      <c r="B5" s="14" t="n">
        <v>4020</v>
      </c>
      <c r="C5" s="10" t="inlineStr">
        <is>
          <t>current level (Q2-26), for the ratio</t>
        </is>
      </c>
    </row>
    <row r="6">
      <c r="A6" s="17" t="inlineStr">
        <is>
          <t>— Gold-silver ratio anchors —</t>
        </is>
      </c>
      <c r="B6" s="18" t="n"/>
      <c r="C6" s="19" t="inlineStr"/>
    </row>
    <row r="7">
      <c r="A7" s="5" t="inlineStr">
        <is>
          <t>Bull-compression ratio</t>
        </is>
      </c>
      <c r="B7" s="20" t="n">
        <v>50</v>
      </c>
      <c r="C7" s="10" t="inlineStr">
        <is>
          <t>BofA/Citi thesis</t>
        </is>
      </c>
    </row>
    <row r="8">
      <c r="A8" s="5" t="inlineStr">
        <is>
          <t>Long-run average ratio</t>
        </is>
      </c>
      <c r="B8" s="20" t="n">
        <v>62</v>
      </c>
      <c r="C8" s="10" t="inlineStr">
        <is>
          <t>multi-decade neutral</t>
        </is>
      </c>
    </row>
    <row r="9">
      <c r="A9" s="5" t="inlineStr">
        <is>
          <t>2-year average ratio</t>
        </is>
      </c>
      <c r="B9" s="20" t="n">
        <v>80</v>
      </c>
      <c r="C9" s="10" t="inlineStr">
        <is>
          <t>recent window / UBS drift-to</t>
        </is>
      </c>
    </row>
    <row r="10">
      <c r="A10" s="17" t="inlineStr">
        <is>
          <t>— Consensus targets (2026) —</t>
        </is>
      </c>
      <c r="B10" s="18" t="n"/>
      <c r="C10" s="19" t="inlineStr">
        <is>
          <t>set when silver traded $78–90</t>
        </is>
      </c>
    </row>
    <row r="11">
      <c r="A11" s="5" t="inlineStr">
        <is>
          <t>Consensus low (World Bank)</t>
        </is>
      </c>
      <c r="B11" s="14" t="n">
        <v>70</v>
      </c>
      <c r="C11" s="10" t="inlineStr"/>
    </row>
    <row r="12">
      <c r="A12" s="5" t="inlineStr">
        <is>
          <t>Consensus median (Reuters)</t>
        </is>
      </c>
      <c r="B12" s="16" t="n">
        <v>79.5</v>
      </c>
      <c r="C12" s="10" t="inlineStr">
        <is>
          <t>30-analyst poll</t>
        </is>
      </c>
    </row>
    <row r="13">
      <c r="A13" s="5" t="inlineStr">
        <is>
          <t>Consensus high (Citi)</t>
        </is>
      </c>
      <c r="B13" s="14" t="n">
        <v>110</v>
      </c>
      <c r="C13" s="10" t="inlineStr">
        <is>
          <t>acute-shortage thesis</t>
        </is>
      </c>
    </row>
    <row r="14">
      <c r="A14" s="17" t="inlineStr">
        <is>
          <t>— Supply / demand (Moz) —</t>
        </is>
      </c>
      <c r="B14" s="18" t="n"/>
      <c r="C14" s="19" t="inlineStr">
        <is>
          <t>WSS 2026</t>
        </is>
      </c>
    </row>
    <row r="15">
      <c r="A15" s="5" t="inlineStr">
        <is>
          <t>2026e total demand</t>
        </is>
      </c>
      <c r="B15" s="21" t="n">
        <v>1116</v>
      </c>
      <c r="C15" s="10" t="inlineStr"/>
    </row>
    <row r="16">
      <c r="A16" s="5" t="inlineStr">
        <is>
          <t>2026e mine supply</t>
        </is>
      </c>
      <c r="B16" s="21" t="n">
        <v>850</v>
      </c>
      <c r="C16" s="10" t="inlineStr">
        <is>
          <t>~70% by-product</t>
        </is>
      </c>
    </row>
    <row r="17">
      <c r="A17" s="5" t="inlineStr">
        <is>
          <t>2026e recycling</t>
        </is>
      </c>
      <c r="B17" s="21" t="n">
        <v>196</v>
      </c>
      <c r="C17" s="10" t="inlineStr">
        <is>
          <t>13-yr high</t>
        </is>
      </c>
    </row>
    <row r="18">
      <c r="A18" s="5" t="inlineStr">
        <is>
          <t>2026e PV/solar demand</t>
        </is>
      </c>
      <c r="B18" s="21" t="n">
        <v>151</v>
      </c>
      <c r="C18" s="10" t="inlineStr">
        <is>
          <t>−19% YoY (thrifting)</t>
        </is>
      </c>
    </row>
    <row r="19">
      <c r="A19" s="5" t="inlineStr">
        <is>
          <t>Cumulative deficit since 2021</t>
        </is>
      </c>
      <c r="B19" s="21" t="n">
        <v>808</v>
      </c>
      <c r="C19" s="10" t="inlineStr"/>
    </row>
    <row r="20">
      <c r="A20" s="17" t="inlineStr">
        <is>
          <t>— Cost &amp; carry —</t>
        </is>
      </c>
      <c r="B20" s="18" t="n"/>
      <c r="C20" s="19" t="inlineStr"/>
    </row>
    <row r="21">
      <c r="A21" s="5" t="inlineStr">
        <is>
          <t>Primary AISC low (US$/oz)</t>
        </is>
      </c>
      <c r="B21" s="14" t="n">
        <v>25</v>
      </c>
      <c r="C21" s="10" t="inlineStr"/>
    </row>
    <row r="22">
      <c r="A22" s="5" t="inlineStr">
        <is>
          <t>Primary AISC high (US$/oz)</t>
        </is>
      </c>
      <c r="B22" s="14" t="n">
        <v>31</v>
      </c>
      <c r="C22" s="10" t="inlineStr"/>
    </row>
    <row r="23">
      <c r="A23" s="17" t="inlineStr">
        <is>
          <t>— Monte Carlo engine —</t>
        </is>
      </c>
      <c r="B23" s="18" t="n"/>
      <c r="C23" s="19" t="inlineStr">
        <is>
          <t>mc_v2.py YZ-HAR</t>
        </is>
      </c>
    </row>
    <row r="24">
      <c r="A24" s="5" t="inlineStr">
        <is>
          <t>Forward vol, 3-month (ann)</t>
        </is>
      </c>
      <c r="B24" s="13" t="n">
        <v>0.474</v>
      </c>
      <c r="C24" s="10" t="inlineStr">
        <is>
          <t>YZ-HAR, Step-0 validated</t>
        </is>
      </c>
    </row>
    <row r="25">
      <c r="A25" s="5" t="inlineStr">
        <is>
          <t>Forward vol, 12-month (ann)</t>
        </is>
      </c>
      <c r="B25" s="13" t="n">
        <v>0.443</v>
      </c>
      <c r="C25" s="10" t="inlineStr">
        <is>
          <t>YZ-HAR</t>
        </is>
      </c>
    </row>
    <row r="26">
      <c r="A26" s="5" t="inlineStr">
        <is>
          <t>Net factor drift, 3-month</t>
        </is>
      </c>
      <c r="B26" s="13" t="n">
        <v>0.017</v>
      </c>
      <c r="C26" s="10" t="inlineStr">
        <is>
          <t>near-flat</t>
        </is>
      </c>
    </row>
    <row r="27">
      <c r="A27" s="5" t="inlineStr">
        <is>
          <t>Net factor drift, 12-month</t>
        </is>
      </c>
      <c r="B27" s="13" t="n">
        <v>0.07000000000000001</v>
      </c>
      <c r="C27" s="10" t="inlineStr">
        <is>
          <t>deficit + 2027 easing</t>
        </is>
      </c>
    </row>
    <row r="28">
      <c r="A28" s="5" t="inlineStr">
        <is>
          <t>Paths / seed</t>
        </is>
      </c>
      <c r="B28" s="21" t="n">
        <v>50000</v>
      </c>
      <c r="C28" s="10" t="inlineStr">
        <is>
          <t>seed 42</t>
        </is>
      </c>
    </row>
    <row r="29">
      <c r="A29" s="17" t="inlineStr">
        <is>
          <t>— Fair-value zone —</t>
        </is>
      </c>
      <c r="B29" s="18" t="n"/>
      <c r="C29" s="19" t="inlineStr">
        <is>
          <t>synthesis (§1.5)</t>
        </is>
      </c>
    </row>
    <row r="30">
      <c r="A30" s="5" t="inlineStr">
        <is>
          <t>Fair-value low</t>
        </is>
      </c>
      <c r="B30" s="14" t="n">
        <v>58</v>
      </c>
      <c r="C30" s="10" t="inlineStr"/>
    </row>
    <row r="31">
      <c r="A31" s="5" t="inlineStr">
        <is>
          <t>Fair-value centre</t>
        </is>
      </c>
      <c r="B31" s="14" t="n">
        <v>68</v>
      </c>
      <c r="C31" s="10" t="inlineStr"/>
    </row>
    <row r="32">
      <c r="A32" s="5" t="inlineStr">
        <is>
          <t>Fair-value high</t>
        </is>
      </c>
      <c r="B32" s="14" t="n">
        <v>78</v>
      </c>
      <c r="C32" s="10" t="inlineStr"/>
    </row>
  </sheetData>
  <mergeCells count="7">
    <mergeCell ref="A6"/>
    <mergeCell ref="A1:F1"/>
    <mergeCell ref="A29"/>
    <mergeCell ref="A20"/>
    <mergeCell ref="A10"/>
    <mergeCell ref="A14"/>
    <mergeCell ref="A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34" customWidth="1" min="4" max="4"/>
  </cols>
  <sheetData>
    <row r="1">
      <c r="A1" s="1" t="inlineStr">
        <is>
          <t>Fair-Value Anchors — five lenses (links to Assumptions)</t>
        </is>
      </c>
    </row>
    <row r="3">
      <c r="A3" s="4" t="inlineStr">
        <is>
          <t>Anchor / scenario</t>
        </is>
      </c>
      <c r="B3" s="4" t="inlineStr">
        <is>
          <t>Implied silver</t>
        </is>
      </c>
      <c r="C3" s="4" t="inlineStr">
        <is>
          <t>Basis</t>
        </is>
      </c>
      <c r="D3" s="4" t="inlineStr">
        <is>
          <t>Note</t>
        </is>
      </c>
    </row>
    <row r="4">
      <c r="A4" s="5" t="inlineStr">
        <is>
          <t>Gold-silver ratio @ bull 50×</t>
        </is>
      </c>
      <c r="B4" s="6">
        <f>Assumptions!$B$5/Assumptions!$B$7</f>
        <v/>
      </c>
      <c r="C4" s="5" t="inlineStr">
        <is>
          <t>gold ÷ ratio</t>
        </is>
      </c>
      <c r="D4" s="10" t="inlineStr">
        <is>
          <t>silver re-rated vs gold</t>
        </is>
      </c>
    </row>
    <row r="5">
      <c r="A5" s="5" t="inlineStr">
        <is>
          <t>Gold-silver ratio @ long-run 62×</t>
        </is>
      </c>
      <c r="B5" s="6">
        <f>Assumptions!$B$5/Assumptions!$B$8</f>
        <v/>
      </c>
      <c r="C5" s="5" t="inlineStr">
        <is>
          <t>gold ÷ ratio</t>
        </is>
      </c>
      <c r="D5" s="10" t="inlineStr">
        <is>
          <t>neutral anchor ≈ spot</t>
        </is>
      </c>
    </row>
    <row r="6">
      <c r="A6" s="5" t="inlineStr">
        <is>
          <t>Gold-silver ratio @ 2y-avg 80×</t>
        </is>
      </c>
      <c r="B6" s="6">
        <f>Assumptions!$B$5/Assumptions!$B$9</f>
        <v/>
      </c>
      <c r="C6" s="5" t="inlineStr">
        <is>
          <t>gold ÷ ratio</t>
        </is>
      </c>
      <c r="D6" s="10" t="inlineStr">
        <is>
          <t>silver lags gold</t>
        </is>
      </c>
    </row>
    <row r="7">
      <c r="A7" s="5" t="inlineStr">
        <is>
          <t>Consensus — low</t>
        </is>
      </c>
      <c r="B7" s="6">
        <f>Assumptions!$B$11</f>
        <v/>
      </c>
      <c r="C7" s="5" t="inlineStr">
        <is>
          <t>2026 target</t>
        </is>
      </c>
      <c r="D7" s="10" t="inlineStr">
        <is>
          <t>World Bank / cautious</t>
        </is>
      </c>
    </row>
    <row r="8">
      <c r="A8" s="5" t="inlineStr">
        <is>
          <t>Consensus — median</t>
        </is>
      </c>
      <c r="B8" s="6">
        <f>Assumptions!$B$12</f>
        <v/>
      </c>
      <c r="C8" s="5" t="inlineStr">
        <is>
          <t>2026 target</t>
        </is>
      </c>
      <c r="D8" s="10" t="inlineStr">
        <is>
          <t>Reuters 30-analyst</t>
        </is>
      </c>
    </row>
    <row r="9">
      <c r="A9" s="5" t="inlineStr">
        <is>
          <t>Consensus — high</t>
        </is>
      </c>
      <c r="B9" s="6">
        <f>Assumptions!$B$13</f>
        <v/>
      </c>
      <c r="C9" s="5" t="inlineStr">
        <is>
          <t>2026 target</t>
        </is>
      </c>
      <c r="D9" s="10" t="inlineStr">
        <is>
          <t>Citi acute-shortage</t>
        </is>
      </c>
    </row>
    <row r="10">
      <c r="A10" s="5" t="inlineStr">
        <is>
          <t>Cost floor — AISC low</t>
        </is>
      </c>
      <c r="B10" s="6">
        <f>Assumptions!$B$21</f>
        <v/>
      </c>
      <c r="C10" s="5" t="inlineStr">
        <is>
          <t>marginal cost</t>
        </is>
      </c>
      <c r="D10" s="10" t="inlineStr">
        <is>
          <t>non-binding</t>
        </is>
      </c>
    </row>
    <row r="11">
      <c r="A11" s="5" t="inlineStr">
        <is>
          <t>Cost floor — AISC high</t>
        </is>
      </c>
      <c r="B11" s="6">
        <f>Assumptions!$B$22</f>
        <v/>
      </c>
      <c r="C11" s="5" t="inlineStr">
        <is>
          <t>marginal cost</t>
        </is>
      </c>
      <c r="D11" s="10" t="inlineStr">
        <is>
          <t>deep-bear boundary</t>
        </is>
      </c>
    </row>
    <row r="12">
      <c r="A12" s="7" t="inlineStr">
        <is>
          <t>Weighted fair-value zone</t>
        </is>
      </c>
      <c r="B12" s="22">
        <f>Assumptions!$B$30&amp;" – "&amp;Assumptions!$B$32</f>
        <v/>
      </c>
      <c r="C12" s="7" t="inlineStr">
        <is>
          <t>synthesis</t>
        </is>
      </c>
      <c r="D12" s="10" t="inlineStr">
        <is>
          <t>centre = fair-value centre input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0" customWidth="1" min="3" max="3"/>
  </cols>
  <sheetData>
    <row r="1">
      <c r="A1" s="1" t="inlineStr">
        <is>
          <t>Gold-Silver Ratio — silver’s primary lens</t>
        </is>
      </c>
    </row>
    <row r="3">
      <c r="A3" s="4" t="inlineStr">
        <is>
          <t>Item</t>
        </is>
      </c>
      <c r="B3" s="4" t="inlineStr">
        <is>
          <t>Value</t>
        </is>
      </c>
      <c r="C3" s="4" t="inlineStr">
        <is>
          <t>Note</t>
        </is>
      </c>
    </row>
    <row r="4">
      <c r="A4" s="5" t="inlineStr">
        <is>
          <t>Current ratio (gold ÷ silver)</t>
        </is>
      </c>
      <c r="B4" s="6">
        <f>Assumptions!$B$5/Assumptions!$B$4</f>
        <v/>
      </c>
      <c r="C4" s="10" t="inlineStr">
        <is>
          <t>live from Assumptions</t>
        </is>
      </c>
    </row>
    <row r="5">
      <c r="A5" s="5" t="inlineStr">
        <is>
          <t>Long-run average</t>
        </is>
      </c>
      <c r="B5" s="20" t="n">
        <v>62</v>
      </c>
      <c r="C5" s="10" t="inlineStr">
        <is>
          <t>neutral anchor</t>
        </is>
      </c>
    </row>
    <row r="6">
      <c r="A6" s="5" t="inlineStr">
        <is>
          <t>2-year average</t>
        </is>
      </c>
      <c r="B6" s="20" t="n">
        <v>80</v>
      </c>
      <c r="C6" s="10" t="inlineStr">
        <is>
          <t>silver cheap on this window</t>
        </is>
      </c>
    </row>
    <row r="7">
      <c r="A7" s="5" t="inlineStr">
        <is>
          <t>April 2025 peak</t>
        </is>
      </c>
      <c r="B7" s="20" t="n">
        <v>107</v>
      </c>
      <c r="C7" s="10" t="inlineStr">
        <is>
          <t>silver historically cheapest</t>
        </is>
      </c>
    </row>
    <row r="8">
      <c r="A8" s="5" t="inlineStr">
        <is>
          <t>December 2025 trough</t>
        </is>
      </c>
      <c r="B8" s="20" t="n">
        <v>55</v>
      </c>
      <c r="C8" s="10" t="inlineStr">
        <is>
          <t>silver historically dearest</t>
        </is>
      </c>
    </row>
    <row r="9">
      <c r="A9" s="5" t="inlineStr">
        <is>
          <t>Implied silver @ current gold, long-run ratio</t>
        </is>
      </c>
      <c r="B9" s="6">
        <f>Assumptions!$B$5/62</f>
        <v/>
      </c>
      <c r="C9" s="10" t="inlineStr">
        <is>
          <t>the neutral fair value</t>
        </is>
      </c>
    </row>
    <row r="10">
      <c r="A10" s="5" t="inlineStr">
        <is>
          <t>Implied silver if gold $4,600 @ 60×</t>
        </is>
      </c>
      <c r="B10" s="6">
        <f>4600/60</f>
        <v/>
      </c>
      <c r="C10" s="10" t="inlineStr">
        <is>
          <t>gold reversion drags silver up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Silver Balance — the commodity’s financial statements (Moz)</t>
        </is>
      </c>
    </row>
    <row r="2">
      <c r="A2" s="2" t="inlineStr">
        <is>
          <t>World Silver Survey 2026 (Silver Institute / Metals Focus). 3 years historical + current-year forecast.</t>
        </is>
      </c>
    </row>
    <row r="3">
      <c r="A3" s="4" t="inlineStr">
        <is>
          <t>Line (Moz)</t>
        </is>
      </c>
      <c r="B3" s="4" t="inlineStr">
        <is>
          <t>2024</t>
        </is>
      </c>
      <c r="C3" s="4" t="inlineStr">
        <is>
          <t>2025</t>
        </is>
      </c>
      <c r="D3" s="4" t="inlineStr">
        <is>
          <t>2026e</t>
        </is>
      </c>
    </row>
    <row r="4">
      <c r="A4" s="5" t="inlineStr">
        <is>
          <t>Mine production</t>
        </is>
      </c>
      <c r="B4" s="21" t="n">
        <v>820</v>
      </c>
      <c r="C4" s="21" t="n">
        <v>819</v>
      </c>
      <c r="D4" s="21" t="n">
        <v>850</v>
      </c>
    </row>
    <row r="5">
      <c r="A5" s="5" t="inlineStr">
        <is>
          <t>Recycling</t>
        </is>
      </c>
      <c r="B5" s="21" t="n">
        <v>193</v>
      </c>
      <c r="C5" s="21" t="n">
        <v>198</v>
      </c>
      <c r="D5" s="21" t="n">
        <v>196</v>
      </c>
    </row>
    <row r="6">
      <c r="A6" s="7" t="inlineStr">
        <is>
          <t>Total supply</t>
        </is>
      </c>
      <c r="B6" s="23">
        <f>B4+B5</f>
        <v/>
      </c>
      <c r="C6" s="23">
        <f>C4+C5</f>
        <v/>
      </c>
      <c r="D6" s="23">
        <f>D4+D5</f>
        <v/>
      </c>
    </row>
    <row r="7">
      <c r="A7" s="5" t="inlineStr">
        <is>
          <t>Industrial (total)</t>
        </is>
      </c>
      <c r="B7" s="21" t="n">
        <v>681</v>
      </c>
      <c r="C7" s="21" t="n">
        <v>657</v>
      </c>
      <c r="D7" s="21" t="n">
        <v>640</v>
      </c>
    </row>
    <row r="8">
      <c r="A8" s="5" t="inlineStr">
        <is>
          <t xml:space="preserve">  of which photovoltaics</t>
        </is>
      </c>
      <c r="B8" s="21" t="n">
        <v>198</v>
      </c>
      <c r="C8" s="21" t="n">
        <v>187</v>
      </c>
      <c r="D8" s="21" t="n">
        <v>151</v>
      </c>
    </row>
    <row r="9">
      <c r="A9" s="5" t="inlineStr">
        <is>
          <t>Investment</t>
        </is>
      </c>
      <c r="B9" s="21" t="n">
        <v>168</v>
      </c>
      <c r="C9" s="21" t="n">
        <v>169</v>
      </c>
      <c r="D9" s="21" t="n">
        <v>171</v>
      </c>
    </row>
    <row r="10">
      <c r="A10" s="5" t="inlineStr">
        <is>
          <t>Jewellery</t>
        </is>
      </c>
      <c r="B10" s="21" t="n">
        <v>203</v>
      </c>
      <c r="C10" s="21" t="n">
        <v>196</v>
      </c>
      <c r="D10" s="21" t="n">
        <v>178</v>
      </c>
    </row>
    <row r="11">
      <c r="A11" s="5" t="inlineStr">
        <is>
          <t>Silverware + other</t>
        </is>
      </c>
      <c r="B11" s="21" t="n">
        <v>110</v>
      </c>
      <c r="C11" s="21" t="n">
        <v>113</v>
      </c>
      <c r="D11" s="21" t="n">
        <v>127</v>
      </c>
    </row>
    <row r="12">
      <c r="A12" s="7" t="inlineStr">
        <is>
          <t>Total demand</t>
        </is>
      </c>
      <c r="B12" s="23">
        <f>B7+B9+B10+B11</f>
        <v/>
      </c>
      <c r="C12" s="23">
        <f>C7+C9+C10+C11</f>
        <v/>
      </c>
      <c r="D12" s="23">
        <f>D7+D9+D10+D11</f>
        <v/>
      </c>
    </row>
    <row r="13">
      <c r="A13" s="7" t="inlineStr">
        <is>
          <t>Balance (deficit)</t>
        </is>
      </c>
      <c r="B13" s="24">
        <f>B6-B12</f>
        <v/>
      </c>
      <c r="C13" s="24">
        <f>C6-C12</f>
        <v/>
      </c>
      <c r="D13" s="24">
        <f>D6-D12</f>
        <v/>
      </c>
    </row>
    <row r="15">
      <c r="A15" s="7" t="inlineStr">
        <is>
          <t>Cumulative deficit since 2021 (Moz)</t>
        </is>
      </c>
      <c r="B15" s="25">
        <f>Assumptions!$B$19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36" customWidth="1" min="4" max="4"/>
  </cols>
  <sheetData>
    <row r="1">
      <c r="A1" s="1" t="inlineStr">
        <is>
          <t>Demand Segments — silver’s dual identity</t>
        </is>
      </c>
    </row>
    <row r="3">
      <c r="A3" s="4" t="inlineStr">
        <is>
          <t>Segment</t>
        </is>
      </c>
      <c r="B3" s="4" t="inlineStr">
        <is>
          <t>Share</t>
        </is>
      </c>
      <c r="C3" s="4" t="inlineStr">
        <is>
          <t>2026e (Moz)</t>
        </is>
      </c>
      <c r="D3" s="4" t="inlineStr">
        <is>
          <t>Driver</t>
        </is>
      </c>
    </row>
    <row r="4">
      <c r="A4" s="5" t="inlineStr">
        <is>
          <t>Industrial ex-PV</t>
        </is>
      </c>
      <c r="B4" s="5" t="inlineStr">
        <is>
          <t>~44%</t>
        </is>
      </c>
      <c r="C4" s="25">
        <f>('Silver Balance'!D7-'Silver Balance'!D8)</f>
        <v/>
      </c>
      <c r="D4" s="10" t="inlineStr">
        <is>
          <t>electronics, EVs, AI/data-centre</t>
        </is>
      </c>
    </row>
    <row r="5">
      <c r="A5" s="5" t="inlineStr">
        <is>
          <t>Solar / photovoltaics</t>
        </is>
      </c>
      <c r="B5" s="5" t="inlineStr">
        <is>
          <t>~14%</t>
        </is>
      </c>
      <c r="C5" s="25">
        <f>'Silver Balance'!D8</f>
        <v/>
      </c>
      <c r="D5" s="10" t="inlineStr">
        <is>
          <t>THE swing — thrifting (grams/watt)</t>
        </is>
      </c>
    </row>
    <row r="6">
      <c r="A6" s="5" t="inlineStr">
        <is>
          <t>Investment</t>
        </is>
      </c>
      <c r="B6" s="5" t="inlineStr">
        <is>
          <t>~25%</t>
        </is>
      </c>
      <c r="C6" s="25">
        <f>'Silver Balance'!D9</f>
        <v/>
      </c>
      <c r="D6" s="10" t="inlineStr">
        <is>
          <t>price-sensitive; the mania’s marginal buyer</t>
        </is>
      </c>
    </row>
    <row r="7">
      <c r="A7" s="5" t="inlineStr">
        <is>
          <t>Jewellery</t>
        </is>
      </c>
      <c r="B7" s="5" t="inlineStr">
        <is>
          <t>~16%</t>
        </is>
      </c>
      <c r="C7" s="25">
        <f>'Silver Balance'!D10</f>
        <v/>
      </c>
      <c r="D7" s="10" t="inlineStr">
        <is>
          <t>falling on high prices</t>
        </is>
      </c>
    </row>
    <row r="8">
      <c r="A8" s="5" t="inlineStr">
        <is>
          <t>Silverware + other</t>
        </is>
      </c>
      <c r="B8" s="5" t="inlineStr">
        <is>
          <t>~11%</t>
        </is>
      </c>
      <c r="C8" s="25">
        <f>'Silver Balance'!D11</f>
        <v/>
      </c>
      <c r="D8" s="10" t="inlineStr">
        <is>
          <t>multi-year lows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34" customWidth="1" min="3" max="3"/>
  </cols>
  <sheetData>
    <row r="1">
      <c r="A1" s="1" t="inlineStr">
        <is>
          <t>Technical indicators</t>
        </is>
      </c>
    </row>
    <row r="2">
      <c r="A2" s="2" t="inlineStr">
        <is>
          <t>Computed from XAG/USD daily history to 03 Jul 2026</t>
        </is>
      </c>
    </row>
    <row r="3">
      <c r="A3" s="4" t="inlineStr">
        <is>
          <t>Indicator</t>
        </is>
      </c>
      <c r="B3" s="4" t="inlineStr">
        <is>
          <t>Reading</t>
        </is>
      </c>
      <c r="C3" s="4" t="inlineStr">
        <is>
          <t>Signal</t>
        </is>
      </c>
    </row>
    <row r="4">
      <c r="A4" s="5" t="inlineStr">
        <is>
          <t>Close</t>
        </is>
      </c>
      <c r="B4" s="16" t="n">
        <v>62.425</v>
      </c>
      <c r="C4" s="10" t="inlineStr">
        <is>
          <t>—</t>
        </is>
      </c>
    </row>
    <row r="5">
      <c r="A5" s="5" t="inlineStr">
        <is>
          <t>SMA 20</t>
        </is>
      </c>
      <c r="B5" s="16" t="n">
        <v>63.15</v>
      </c>
      <c r="C5" s="10" t="inlineStr">
        <is>
          <t>price -12.1% vs SMA50</t>
        </is>
      </c>
    </row>
    <row r="6">
      <c r="A6" s="5" t="inlineStr">
        <is>
          <t>SMA 50</t>
        </is>
      </c>
      <c r="B6" s="16" t="n">
        <v>71.04000000000001</v>
      </c>
      <c r="C6" s="10" t="inlineStr">
        <is>
          <t>declining</t>
        </is>
      </c>
    </row>
    <row r="7">
      <c r="A7" s="5" t="inlineStr">
        <is>
          <t>SMA 100</t>
        </is>
      </c>
      <c r="B7" s="16" t="n">
        <v>74.78</v>
      </c>
      <c r="C7" s="10" t="inlineStr"/>
    </row>
    <row r="8">
      <c r="A8" s="5" t="inlineStr">
        <is>
          <t>SMA 200</t>
        </is>
      </c>
      <c r="B8" s="16" t="n">
        <v>70.33</v>
      </c>
      <c r="C8" s="10" t="inlineStr">
        <is>
          <t>price -11.2% vs SMA200</t>
        </is>
      </c>
    </row>
    <row r="9">
      <c r="A9" s="5" t="inlineStr">
        <is>
          <t>MACD line</t>
        </is>
      </c>
      <c r="B9" s="26" t="n">
        <v>-3.373</v>
      </c>
      <c r="C9" s="10" t="inlineStr">
        <is>
          <t>negative</t>
        </is>
      </c>
    </row>
    <row r="10">
      <c r="A10" s="5" t="inlineStr">
        <is>
          <t>MACD signal</t>
        </is>
      </c>
      <c r="B10" s="26" t="n">
        <v>-3.671</v>
      </c>
      <c r="C10" s="10" t="inlineStr"/>
    </row>
    <row r="11">
      <c r="A11" s="5" t="inlineStr">
        <is>
          <t>MACD histogram</t>
        </is>
      </c>
      <c r="B11" s="26" t="n">
        <v>0.298</v>
      </c>
      <c r="C11" s="10" t="inlineStr">
        <is>
          <t>just turned up</t>
        </is>
      </c>
    </row>
    <row r="12">
      <c r="A12" s="5" t="inlineStr">
        <is>
          <t>RSI-14</t>
        </is>
      </c>
      <c r="B12" s="27" t="n">
        <v>43.6</v>
      </c>
      <c r="C12" s="10" t="inlineStr">
        <is>
          <t>neutral, off oversold</t>
        </is>
      </c>
    </row>
    <row r="13">
      <c r="A13" s="5" t="inlineStr">
        <is>
          <t>ATR-14</t>
        </is>
      </c>
      <c r="B13" s="16" t="n">
        <v>3.484</v>
      </c>
      <c r="C13" s="10" t="inlineStr">
        <is>
          <t>5.6% — wide range</t>
        </is>
      </c>
    </row>
    <row r="14">
      <c r="A14" s="5" t="inlineStr">
        <is>
          <t>52-week high</t>
        </is>
      </c>
      <c r="B14" s="16" t="n">
        <v>116.61</v>
      </c>
      <c r="C14" s="10" t="inlineStr">
        <is>
          <t>intraday ATH ~$121–122</t>
        </is>
      </c>
    </row>
    <row r="15">
      <c r="A15" s="5" t="inlineStr">
        <is>
          <t>52-week low</t>
        </is>
      </c>
      <c r="B15" s="16" t="n">
        <v>36.77</v>
      </c>
      <c r="C15" s="10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Monte Carlo — YZ-HAR engine, 50k paths, seed 42 (percentiles pasted as values)</t>
        </is>
      </c>
    </row>
    <row r="2">
      <c r="A2" s="2" t="inlineStr">
        <is>
          <t>Width: gap-aware Yang-Zhang + log-HAR. Shape: Student-t(5). Diffusion drift OFF; +7%/12-mo factor tilt.</t>
        </is>
      </c>
    </row>
    <row r="3">
      <c r="A3" s="4" t="inlineStr">
        <is>
          <t>Horizon</t>
        </is>
      </c>
      <c r="B3" s="4" t="inlineStr">
        <is>
          <t>p5</t>
        </is>
      </c>
      <c r="C3" s="4" t="inlineStr">
        <is>
          <t>p25</t>
        </is>
      </c>
      <c r="D3" s="4" t="inlineStr">
        <is>
          <t>p50</t>
        </is>
      </c>
      <c r="E3" s="4" t="inlineStr">
        <is>
          <t>p75</t>
        </is>
      </c>
      <c r="F3" s="4" t="inlineStr">
        <is>
          <t>p95</t>
        </is>
      </c>
      <c r="G3" s="4" t="inlineStr">
        <is>
          <t>mean</t>
        </is>
      </c>
    </row>
    <row r="4">
      <c r="A4" s="7" t="inlineStr">
        <is>
          <t>T+21 (1 month)</t>
        </is>
      </c>
      <c r="B4" s="16" t="n">
        <v>49.85</v>
      </c>
      <c r="C4" s="16" t="n">
        <v>57.82</v>
      </c>
      <c r="D4" s="16" t="n">
        <v>62.77</v>
      </c>
      <c r="E4" s="16" t="n">
        <v>68.20999999999999</v>
      </c>
      <c r="F4" s="16" t="n">
        <v>78.95</v>
      </c>
      <c r="G4" s="16" t="n">
        <v>63.44</v>
      </c>
    </row>
    <row r="5">
      <c r="A5" s="7" t="inlineStr">
        <is>
          <t>T+63 (3 months)</t>
        </is>
      </c>
      <c r="B5" s="16" t="n">
        <v>43.8</v>
      </c>
      <c r="C5" s="16" t="n">
        <v>55.64</v>
      </c>
      <c r="D5" s="16" t="n">
        <v>63.46</v>
      </c>
      <c r="E5" s="16" t="n">
        <v>72.48999999999999</v>
      </c>
      <c r="F5" s="16" t="n">
        <v>91.79000000000001</v>
      </c>
      <c r="G5" s="16" t="n">
        <v>65.3</v>
      </c>
    </row>
    <row r="6">
      <c r="A6" s="7" t="inlineStr">
        <is>
          <t>T+252 (12 months)</t>
        </is>
      </c>
      <c r="B6" s="16" t="n">
        <v>33.52</v>
      </c>
      <c r="C6" s="16" t="n">
        <v>52.1</v>
      </c>
      <c r="D6" s="16" t="n">
        <v>66.83</v>
      </c>
      <c r="E6" s="16" t="n">
        <v>85.72</v>
      </c>
      <c r="F6" s="16" t="n">
        <v>134.67</v>
      </c>
      <c r="G6" s="16" t="n">
        <v>74.34</v>
      </c>
    </row>
    <row r="8">
      <c r="A8" s="28" t="inlineStr">
        <is>
          <t>Engine parameters</t>
        </is>
      </c>
      <c r="B8" s="18" t="n"/>
      <c r="C8" s="18" t="n"/>
      <c r="D8" s="18" t="n"/>
      <c r="E8" s="18" t="n"/>
      <c r="F8" s="18" t="n"/>
      <c r="G8" s="18" t="n"/>
    </row>
    <row r="9">
      <c r="A9" s="5" t="inlineStr">
        <is>
          <t>Forward vol 3m (ann)</t>
        </is>
      </c>
      <c r="B9" s="29">
        <f>Assumptions!$B$24</f>
        <v/>
      </c>
    </row>
    <row r="10">
      <c r="A10" s="5" t="inlineStr">
        <is>
          <t>Forward vol 12m (ann)</t>
        </is>
      </c>
      <c r="B10" s="29">
        <f>Assumptions!$B$25</f>
        <v/>
      </c>
    </row>
    <row r="11">
      <c r="A11" s="5" t="inlineStr">
        <is>
          <t>Net drift 3m</t>
        </is>
      </c>
      <c r="B11" s="29">
        <f>Assumptions!$B$26</f>
        <v/>
      </c>
    </row>
    <row r="12">
      <c r="A12" s="5" t="inlineStr">
        <is>
          <t>Net drift 12m</t>
        </is>
      </c>
      <c r="B12" s="29">
        <f>Assumptions!$B$27</f>
        <v/>
      </c>
    </row>
    <row r="14">
      <c r="A14" s="4" t="inlineStr">
        <is>
          <t>Zone vs spot</t>
        </is>
      </c>
      <c r="B14" s="4" t="inlineStr">
        <is>
          <t>T+63</t>
        </is>
      </c>
      <c r="C14" s="4" t="inlineStr">
        <is>
          <t>T+252</t>
        </is>
      </c>
    </row>
    <row r="15">
      <c r="A15" s="5" t="inlineStr">
        <is>
          <t>&lt; -20%</t>
        </is>
      </c>
      <c r="B15" s="13" t="n">
        <v>0.124</v>
      </c>
      <c r="C15" s="13" t="n">
        <v>0.218</v>
      </c>
    </row>
    <row r="16">
      <c r="A16" s="5" t="inlineStr">
        <is>
          <t>-20..-10%</t>
        </is>
      </c>
      <c r="B16" s="13" t="n">
        <v>0.142</v>
      </c>
      <c r="C16" s="13" t="n">
        <v>0.1</v>
      </c>
    </row>
    <row r="17">
      <c r="A17" s="5" t="inlineStr">
        <is>
          <t>-10..-5%</t>
        </is>
      </c>
      <c r="B17" s="13" t="n">
        <v>0.09699999999999999</v>
      </c>
      <c r="C17" s="13" t="n">
        <v>0.05400000000000001</v>
      </c>
    </row>
    <row r="18">
      <c r="A18" s="5" t="inlineStr">
        <is>
          <t>-5..+5%</t>
        </is>
      </c>
      <c r="B18" s="13" t="n">
        <v>0.204</v>
      </c>
      <c r="C18" s="13" t="n">
        <v>0.107</v>
      </c>
    </row>
    <row r="19">
      <c r="A19" s="5" t="inlineStr">
        <is>
          <t>+5..+10%</t>
        </is>
      </c>
      <c r="B19" s="13" t="n">
        <v>0.09</v>
      </c>
      <c r="C19" s="13" t="n">
        <v>0.052</v>
      </c>
    </row>
    <row r="20">
      <c r="A20" s="5" t="inlineStr">
        <is>
          <t>+10..+20%</t>
        </is>
      </c>
      <c r="B20" s="13" t="n">
        <v>0.141</v>
      </c>
      <c r="C20" s="13" t="n">
        <v>0.094</v>
      </c>
    </row>
    <row r="21">
      <c r="A21" s="5" t="inlineStr">
        <is>
          <t>&gt; +20%</t>
        </is>
      </c>
      <c r="B21" s="13" t="n">
        <v>0.203</v>
      </c>
      <c r="C21" s="13" t="n">
        <v>0.376</v>
      </c>
    </row>
    <row r="23">
      <c r="A23" s="4" t="inlineStr">
        <is>
          <t>Touch level</t>
        </is>
      </c>
      <c r="B23" s="4" t="inlineStr">
        <is>
          <t>T+63</t>
        </is>
      </c>
      <c r="C23" s="4" t="inlineStr">
        <is>
          <t>T+252</t>
        </is>
      </c>
    </row>
    <row r="24">
      <c r="A24" s="5" t="inlineStr">
        <is>
          <t>$85</t>
        </is>
      </c>
      <c r="B24" s="13" t="n">
        <v>0.148</v>
      </c>
      <c r="C24" s="13" t="n">
        <v>0.448</v>
      </c>
    </row>
    <row r="25">
      <c r="A25" s="5" t="inlineStr">
        <is>
          <t>$78</t>
        </is>
      </c>
      <c r="B25" s="13" t="n">
        <v>0.271</v>
      </c>
      <c r="C25" s="13" t="n">
        <v>0.579</v>
      </c>
    </row>
    <row r="26">
      <c r="A26" s="5" t="inlineStr">
        <is>
          <t>$72</t>
        </is>
      </c>
      <c r="B26" s="13" t="n">
        <v>0.459</v>
      </c>
      <c r="C26" s="13" t="n">
        <v>0.718</v>
      </c>
    </row>
    <row r="27">
      <c r="A27" s="5" t="inlineStr">
        <is>
          <t>$68</t>
        </is>
      </c>
      <c r="B27" s="13" t="n">
        <v>0.637</v>
      </c>
      <c r="C27" s="13" t="n">
        <v>0.8220000000000001</v>
      </c>
    </row>
    <row r="28">
      <c r="A28" s="5" t="inlineStr">
        <is>
          <t>$55</t>
        </is>
      </c>
      <c r="B28" s="13" t="n">
        <v>0.449</v>
      </c>
      <c r="C28" s="13" t="n">
        <v>0.649</v>
      </c>
    </row>
    <row r="29">
      <c r="A29" s="5" t="inlineStr">
        <is>
          <t>$50</t>
        </is>
      </c>
      <c r="B29" s="13" t="n">
        <v>0.232</v>
      </c>
      <c r="C29" s="13" t="n">
        <v>0.465</v>
      </c>
    </row>
    <row r="30">
      <c r="A30" s="5" t="inlineStr">
        <is>
          <t>$45</t>
        </is>
      </c>
      <c r="B30" s="13" t="n">
        <v>0.11</v>
      </c>
      <c r="C30" s="13" t="n">
        <v>0.316</v>
      </c>
    </row>
    <row r="31">
      <c r="A31" s="5" t="inlineStr">
        <is>
          <t>$40</t>
        </is>
      </c>
      <c r="B31" s="13" t="n">
        <v>0.049</v>
      </c>
      <c r="C31" s="13" t="n">
        <v>0.201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Sensitivity — silver fair value = gold ÷ ratio (US$/oz)</t>
        </is>
      </c>
    </row>
    <row r="2">
      <c r="A2" s="2" t="inlineStr">
        <is>
          <t>Rows: gold-silver ratio. Columns: gold price. Live formulas.</t>
        </is>
      </c>
    </row>
    <row r="3">
      <c r="A3" s="30" t="inlineStr">
        <is>
          <t>ratio \ gold</t>
        </is>
      </c>
      <c r="B3" s="31" t="n">
        <v>3500</v>
      </c>
      <c r="C3" s="31" t="n">
        <v>3800</v>
      </c>
      <c r="D3" s="31" t="n">
        <v>4020</v>
      </c>
      <c r="E3" s="31" t="n">
        <v>4300</v>
      </c>
      <c r="F3" s="31" t="n">
        <v>4600</v>
      </c>
      <c r="G3" s="31" t="n">
        <v>5000</v>
      </c>
    </row>
    <row r="4">
      <c r="A4" s="20" t="n">
        <v>50</v>
      </c>
      <c r="B4" s="32">
        <f>B$3/$A4</f>
        <v/>
      </c>
      <c r="C4" s="32">
        <f>C$3/$A4</f>
        <v/>
      </c>
      <c r="D4" s="32">
        <f>D$3/$A4</f>
        <v/>
      </c>
      <c r="E4" s="32">
        <f>E$3/$A4</f>
        <v/>
      </c>
      <c r="F4" s="32">
        <f>F$3/$A4</f>
        <v/>
      </c>
      <c r="G4" s="32">
        <f>G$3/$A4</f>
        <v/>
      </c>
    </row>
    <row r="5">
      <c r="A5" s="20" t="n">
        <v>55</v>
      </c>
      <c r="B5" s="32">
        <f>B$3/$A5</f>
        <v/>
      </c>
      <c r="C5" s="32">
        <f>C$3/$A5</f>
        <v/>
      </c>
      <c r="D5" s="32">
        <f>D$3/$A5</f>
        <v/>
      </c>
      <c r="E5" s="32">
        <f>E$3/$A5</f>
        <v/>
      </c>
      <c r="F5" s="32">
        <f>F$3/$A5</f>
        <v/>
      </c>
      <c r="G5" s="32">
        <f>G$3/$A5</f>
        <v/>
      </c>
    </row>
    <row r="6">
      <c r="A6" s="20" t="n">
        <v>62</v>
      </c>
      <c r="B6" s="32">
        <f>B$3/$A6</f>
        <v/>
      </c>
      <c r="C6" s="32">
        <f>C$3/$A6</f>
        <v/>
      </c>
      <c r="D6" s="32">
        <f>D$3/$A6</f>
        <v/>
      </c>
      <c r="E6" s="32">
        <f>E$3/$A6</f>
        <v/>
      </c>
      <c r="F6" s="32">
        <f>F$3/$A6</f>
        <v/>
      </c>
      <c r="G6" s="32">
        <f>G$3/$A6</f>
        <v/>
      </c>
    </row>
    <row r="7">
      <c r="A7" s="20" t="n">
        <v>70</v>
      </c>
      <c r="B7" s="32">
        <f>B$3/$A7</f>
        <v/>
      </c>
      <c r="C7" s="32">
        <f>C$3/$A7</f>
        <v/>
      </c>
      <c r="D7" s="32">
        <f>D$3/$A7</f>
        <v/>
      </c>
      <c r="E7" s="32">
        <f>E$3/$A7</f>
        <v/>
      </c>
      <c r="F7" s="32">
        <f>F$3/$A7</f>
        <v/>
      </c>
      <c r="G7" s="32">
        <f>G$3/$A7</f>
        <v/>
      </c>
    </row>
    <row r="8">
      <c r="A8" s="20" t="n">
        <v>80</v>
      </c>
      <c r="B8" s="32">
        <f>B$3/$A8</f>
        <v/>
      </c>
      <c r="C8" s="32">
        <f>C$3/$A8</f>
        <v/>
      </c>
      <c r="D8" s="32">
        <f>D$3/$A8</f>
        <v/>
      </c>
      <c r="E8" s="32">
        <f>E$3/$A8</f>
        <v/>
      </c>
      <c r="F8" s="32">
        <f>F$3/$A8</f>
        <v/>
      </c>
      <c r="G8" s="32">
        <f>G$3/$A8</f>
        <v/>
      </c>
    </row>
    <row r="9">
      <c r="A9" s="20" t="n">
        <v>90</v>
      </c>
      <c r="B9" s="32">
        <f>B$3/$A9</f>
        <v/>
      </c>
      <c r="C9" s="32">
        <f>C$3/$A9</f>
        <v/>
      </c>
      <c r="D9" s="32">
        <f>D$3/$A9</f>
        <v/>
      </c>
      <c r="E9" s="32">
        <f>E$3/$A9</f>
        <v/>
      </c>
      <c r="F9" s="32">
        <f>F$3/$A9</f>
        <v/>
      </c>
      <c r="G9" s="32">
        <f>G$3/$A9</f>
        <v/>
      </c>
    </row>
    <row r="11">
      <c r="A11" s="10" t="inlineStr">
        <is>
          <t>Today: gold ~$4,020, ratio ~64× → silver ≈ spot. Upside is a joint move (gold up + ratio compressing).</t>
        </is>
      </c>
      <c r="B11" s="11" t="n"/>
      <c r="C11" s="11" t="n"/>
      <c r="D11" s="11" t="n"/>
      <c r="E11" s="11" t="n"/>
      <c r="F11" s="11" t="n"/>
      <c r="G11" s="12" t="n"/>
    </row>
  </sheetData>
  <mergeCells count="3">
    <mergeCell ref="A2:F2"/>
    <mergeCell ref="A11:G1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34" customWidth="1" min="2" max="2"/>
  </cols>
  <sheetData>
    <row r="1">
      <c r="A1" s="1" t="inlineStr">
        <is>
          <t>Step 0 — calibration backtest (gate: CRPS skill &gt; 0)</t>
        </is>
      </c>
    </row>
    <row r="2">
      <c r="A2" s="2" t="inlineStr">
        <is>
          <t>Rolling h=60 backtest, YZ-HAR engine, diffusion drift OFF, scored vs a zero-drift random-walk cone.</t>
        </is>
      </c>
    </row>
    <row r="3">
      <c r="A3" s="4" t="inlineStr">
        <is>
          <t>Metric</t>
        </is>
      </c>
      <c r="B3" s="4" t="inlineStr">
        <is>
          <t>Result</t>
        </is>
      </c>
    </row>
    <row r="4">
      <c r="A4" s="5" t="inlineStr">
        <is>
          <t>CRPS skill vs RW (non-overlap, mean across phasings)</t>
        </is>
      </c>
      <c r="B4" s="5" t="inlineStr">
        <is>
          <t>+0.0153 (pass, &gt;0)</t>
        </is>
      </c>
    </row>
    <row r="5">
      <c r="A5" s="5" t="inlineStr">
        <is>
          <t>CRPS skill (dense origins, n=1,072)</t>
        </is>
      </c>
      <c r="B5" s="5" t="inlineStr">
        <is>
          <t>+0.0150 · 95% CI [+0.002, +0.025]</t>
        </is>
      </c>
    </row>
    <row r="6">
      <c r="A6" s="5" t="inlineStr">
        <is>
          <t>Fraction of phasings with skill &gt; 0</t>
        </is>
      </c>
      <c r="B6" s="5" t="inlineStr">
        <is>
          <t>93%</t>
        </is>
      </c>
    </row>
    <row r="7">
      <c r="A7" s="5" t="inlineStr">
        <is>
          <t>Winkler interval skill (90% PI)</t>
        </is>
      </c>
      <c r="B7" s="5" t="inlineStr">
        <is>
          <t>+0.067</t>
        </is>
      </c>
    </row>
    <row r="8">
      <c r="A8" s="5" t="inlineStr">
        <is>
          <t>Coverage 50 / 80 / 90% (diagnostic)</t>
        </is>
      </c>
      <c r="B8" s="5" t="inlineStr">
        <is>
          <t>0.50 / 0.83 / 0.89</t>
        </is>
      </c>
    </row>
    <row r="9">
      <c r="A9" s="5" t="inlineStr">
        <is>
          <t>PIT mean / std (diagnostic)</t>
        </is>
      </c>
      <c r="B9" s="5" t="inlineStr">
        <is>
          <t>0.60 / 0.29 (mild right-skew)</t>
        </is>
      </c>
    </row>
    <row r="10">
      <c r="A10" s="5" t="inlineStr">
        <is>
          <t>Secular-drift test</t>
        </is>
      </c>
      <c r="B10" s="5" t="inlineStr">
        <is>
          <t>drift degrades skill (0.0150→0.0071) — zero-drift confirmed</t>
        </is>
      </c>
    </row>
    <row r="11">
      <c r="A11" s="5" t="inlineStr">
        <is>
          <t>Sample span</t>
        </is>
      </c>
      <c r="B11" s="5" t="inlineStr">
        <is>
          <t>2021-01-01 to 2026-07-03 (origins to 2026-04-13)</t>
        </is>
      </c>
    </row>
    <row r="12">
      <c r="A12" s="5" t="inlineStr">
        <is>
          <t>Verdict</t>
        </is>
      </c>
      <c r="B12" s="7" t="inlineStr">
        <is>
          <t>PASS — engine beats the benchmark; proceed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</cols>
  <sheetData>
    <row r="1">
      <c r="A1" s="1" t="inlineStr">
        <is>
          <t>Peer &amp; Sector — the investable silver complex</t>
        </is>
      </c>
    </row>
    <row r="3">
      <c r="A3" s="4" t="inlineStr">
        <is>
          <t>Cohort</t>
        </is>
      </c>
      <c r="B3" s="4" t="inlineStr">
        <is>
          <t>Names</t>
        </is>
      </c>
      <c r="C3" s="4" t="inlineStr">
        <is>
          <t>Character</t>
        </is>
      </c>
    </row>
    <row r="4">
      <c r="A4" s="5" t="inlineStr">
        <is>
          <t>Primary miners</t>
        </is>
      </c>
      <c r="B4" s="5" t="inlineStr">
        <is>
          <t>Fresnillo, Pan American, Hecla, First Majestic, Endeavour</t>
        </is>
      </c>
      <c r="C4" s="10" t="inlineStr">
        <is>
          <t>levered to spot; AISC ~$25–31</t>
        </is>
      </c>
    </row>
    <row r="5">
      <c r="A5" s="5" t="inlineStr">
        <is>
          <t>Diversified / by-product</t>
        </is>
      </c>
      <c r="B5" s="5" t="inlineStr">
        <is>
          <t>Glencore, BHP, Newmont, KGHM</t>
        </is>
      </c>
      <c r="C5" s="10" t="inlineStr">
        <is>
          <t>silver a minor by-product</t>
        </is>
      </c>
    </row>
    <row r="6">
      <c r="A6" s="5" t="inlineStr">
        <is>
          <t>Streamers / royalty</t>
        </is>
      </c>
      <c r="B6" s="5" t="inlineStr">
        <is>
          <t>Wheaton, Franco-Nevada</t>
        </is>
      </c>
      <c r="C6" s="10" t="inlineStr">
        <is>
          <t>fixed-cost streams; lower risk</t>
        </is>
      </c>
    </row>
    <row r="7">
      <c r="A7" s="5" t="inlineStr">
        <is>
          <t>Physical ETFs</t>
        </is>
      </c>
      <c r="B7" s="5" t="inlineStr">
        <is>
          <t>SLV, SIVR, PSLV</t>
        </is>
      </c>
      <c r="C7" s="10" t="inlineStr">
        <is>
          <t>direct bullion</t>
        </is>
      </c>
    </row>
    <row r="8">
      <c r="A8" s="5" t="inlineStr">
        <is>
          <t>Silver (this study)</t>
        </is>
      </c>
      <c r="B8" s="5" t="inlineStr">
        <is>
          <t>—</t>
        </is>
      </c>
      <c r="C8" s="10" t="inlineStr">
        <is>
          <t>the metal itself — no leverage, no counterparty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Sources &amp; about</t>
        </is>
      </c>
    </row>
    <row r="3" ht="30" customHeight="1">
      <c r="A3" s="3" t="inlineStr">
        <is>
          <t>•  World Silver Survey 2026 — Silver Institute / Metals Focus (15 April 2026): supply/demand balance, deficit, PV.</t>
        </is>
      </c>
    </row>
    <row r="4" ht="30" customHeight="1">
      <c r="A4" s="3" t="inlineStr">
        <is>
          <t>•  LBMA precious-metals forecasts and the gold-silver ratio history.</t>
        </is>
      </c>
    </row>
    <row r="5" ht="30" customHeight="1">
      <c r="A5" s="3" t="inlineStr">
        <is>
          <t>•  Published analyst research (Reuters poll, J.P. Morgan, BofA, Citi, UBS, ING, World Bank) for the consensus anchor.</t>
        </is>
      </c>
    </row>
    <row r="6" ht="30" customHeight="1">
      <c r="A6" s="3" t="inlineStr">
        <is>
          <t>•  Company reports for primary-producer AISC (Endeavour, Pan American, Hecla, First Majestic).</t>
        </is>
      </c>
    </row>
    <row r="7" ht="30" customHeight="1">
      <c r="A7" s="3" t="inlineStr">
        <is>
          <t>•  Attached XAG/USD daily OHLC history (01 Jan 2021 – 03 Jul 2026) for technicals and the Monte Carlo engine.</t>
        </is>
      </c>
    </row>
    <row r="8" ht="30" customHeight="1">
      <c r="A8" s="3" t="inlineStr">
        <is>
          <t>•  Monte Carlo: mc_v2.py YZ-HAR engine (gap-aware Yang-Zhang variance + log-HAR; Student-t(5); 50,000 paths, seed 42).</t>
        </is>
      </c>
    </row>
    <row r="9" ht="30" customHeight="1">
      <c r="A9" s="3" t="inlineStr">
        <is>
          <t>•  Educational analysis under the Testahil brand. Not investment advice. The preparer may hold a position.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2026-07-05T13:52:07Z</dcterms:created>
  <dcterms:modified xmlns:dcterms="http://purl.org/dc/terms/" xmlns:xsi="http://www.w3.org/2001/XMLSchema-instance" xsi:type="dcterms:W3CDTF">2026-07-05T13:52:08Z</dcterms:modified>
</cp:coreProperties>
</file>