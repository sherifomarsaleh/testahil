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DDM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<sst xmlns="http://schemas.openxmlformats.org/spreadsheetml/2006/main" count="484" uniqueCount="366">
  <si>
    <t xml:space="preserve">Testahil — Abu Dhabi Islamic Bank – Egypt (EGX: ADIB)</t>
  </si>
  <si>
    <t xml:space="preserve">Companion model · Independent Valuation Study · Educational analysis · Not investment advice</t>
  </si>
  <si>
    <t xml:space="preserve">What this workbook is. A transparent companion to the ADIB-Egypt valuation study. Every blue cell is an input; every</t>
  </si>
  <si>
    <t xml:space="preserve">black cell is a formula; green cells link across sheets. All inputs live on the Assumptions sheet — change one</t>
  </si>
  <si>
    <t xml:space="preserve">(the cost of equity, the terminal ROE, a growth driver)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</si>
  <si>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</si>
  <si>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</si>
  <si>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Currency. EGP millions unless stated; per-share figures in EGP. Spot EGP 46.64 (01 Jul 2026, EGX). Per-share figures use</t>
  </si>
  <si>
    <t xml:space="preserve">1,500mn shares PRO-FORMA: 1,200mn issued at 31-Mar-26 (Q1-26 statements) plus the approved EGP 12bn→15bn cash increase.</t>
  </si>
  <si>
    <t xml:space="preserve">Entity note. This model concerns ADIB-Egypt (EGX: ADIB), the Cairo-listed subsidiary; ADIB Group (ADX: ADIB) is the</t>
  </si>
  <si>
    <t xml:space="preserve">Abu Dhabi-listed parent and majority shareholder — a different security. Historical financials are company disclosure</t>
  </si>
  <si>
    <t xml:space="preserve">(FY2025 statements, Feb 2026; Q1-2026 condensed consolidated statements, May 2026; FY2023 results, Mar 2024). Several</t>
  </si>
  <si>
    <t xml:space="preserve">balance-sheet and income lines are estimated to balance to disclosed totals (marked e).</t>
  </si>
  <si>
    <t xml:space="preserve">Engine note. Monte-Carlo width is the YZ-HAR engine, Student-t(5) innovations, secular drift ON per Step 0. The</t>
  </si>
  <si>
    <t xml:space="preserve">16-factor set is the egx_bank class: structure from the house factor library, magnitudes flagged calibrated=False.</t>
  </si>
  <si>
    <t xml:space="preserve">Sheets: Summary · Fundamental Valuation · Assumptions · DDM · Segments · Relative &amp; Normalized · DCF ·</t>
  </si>
  <si>
    <t xml:space="preserve">Income Statement · Balance Sheet · Cash Flow · Summary Financials · Monte Carlo · Sensitivity · Per-Share &amp; Ratios · Peer &amp; Sector.</t>
  </si>
  <si>
    <t xml:space="preserve">Valuation summary — ADIB-Egypt (EGX: ADIB)</t>
  </si>
  <si>
    <t xml:space="preserve">Four-lens fair value vs spot. Base cases link live; bear/bull are study scenario outputs.</t>
  </si>
  <si>
    <t xml:space="preserve">Bear</t>
  </si>
  <si>
    <t xml:space="preserve">Base</t>
  </si>
  <si>
    <t xml:space="preserve">Bull</t>
  </si>
  <si>
    <t xml:space="preserve">Weight</t>
  </si>
  <si>
    <t xml:space="preserve">Dividend discount (primary)</t>
  </si>
  <si>
    <t xml:space="preserve">Equity DCF (FCFE)</t>
  </si>
  <si>
    <t xml:space="preserve">Relative multiples</t>
  </si>
  <si>
    <t xml:space="preserve">Normalized earnings</t>
  </si>
  <si>
    <t xml:space="preserve">Weighted central</t>
  </si>
  <si>
    <t xml:space="preserve">Spot price (EGP)</t>
  </si>
  <si>
    <t xml:space="preserve">Upside/(downside) to central base</t>
  </si>
  <si>
    <t xml:space="preserve">Read: modestly undervalued; the whole question is how much of a 44% ROE survives disinflation and credit seasoning.</t>
  </si>
  <si>
    <t xml:space="preserve">Fundamental valuation — four lenses, one blend</t>
  </si>
  <si>
    <t xml:space="preserve">Lens</t>
  </si>
  <si>
    <t xml:space="preserve">Trailing P/E at spot</t>
  </si>
  <si>
    <t xml:space="preserve">P/B at spot</t>
  </si>
  <si>
    <t xml:space="preserve">P/E at central fair value (FY26E)</t>
  </si>
  <si>
    <t xml:space="preserve">P/B at central fair value</t>
  </si>
  <si>
    <t xml:space="preserve">Read: modestly undervalued — a 44%-ROE compounder at ~5.6x earnings; the swing factors are how fast the CBE easing compresses returns and the through-cycle cost of risk.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</si>
  <si>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</si>
  <si>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</si>
  <si>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</si>
  <si>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(EGP/share)</t>
  </si>
  <si>
    <t xml:space="preserve">EGX close, 01 Jul 2026 (attached price history)</t>
  </si>
  <si>
    <t xml:space="preserve">Shares outstanding (mn, pro-forma)</t>
  </si>
  <si>
    <t xml:space="preserve">1,200mn issued at 31-Mar-26 (Q1-26 statements) + approved EGP 12→15bn increase</t>
  </si>
  <si>
    <t xml:space="preserve">Study date</t>
  </si>
  <si>
    <t xml:space="preserve">01 Jul 2026</t>
  </si>
  <si>
    <t xml:space="preserve">Equity attributable, FY25 pro-forma (EGP mn)</t>
  </si>
  <si>
    <t xml:space="preserve">34,300e reported basis (ROE 44% on avg) + EGP 3bn approved cash increase</t>
  </si>
  <si>
    <t xml:space="preserve">Total assets, FY25 pro-forma (EGP mn)</t>
  </si>
  <si>
    <t xml:space="preserve">347,000 reported (FY25 results) + 3bn hike cash</t>
  </si>
  <si>
    <t xml:space="preserve">Non-controlling interests, FY25 (EGP mn)</t>
  </si>
  <si>
    <t xml:space="preserve">e</t>
  </si>
  <si>
    <t xml:space="preserve">Customer financing, FY25 (EGP mn)</t>
  </si>
  <si>
    <t xml:space="preserve">FY25 results (+53% YoY)</t>
  </si>
  <si>
    <t xml:space="preserve">VALUATION SCENARIOS</t>
  </si>
  <si>
    <t xml:space="preserve">Cost of equity</t>
  </si>
  <si>
    <t xml:space="preserve">Base ≈ EGP 10yr ~20% + ~0.9β × ~7% premium — an EGP discount rate</t>
  </si>
  <si>
    <t xml:space="preserve">Terminal growth (nominal EGP)</t>
  </si>
  <si>
    <t xml:space="preserve">Terminal (sustainable) ROE</t>
  </si>
  <si>
    <t xml:space="preserve">DIVIDEND POLICY (payout of attributable EPS)</t>
  </si>
  <si>
    <t xml:space="preserve">FY26E</t>
  </si>
  <si>
    <t xml:space="preserve">FY27E</t>
  </si>
  <si>
    <t xml:space="preserve">FY28E</t>
  </si>
  <si>
    <t xml:space="preserve">FY29E</t>
  </si>
  <si>
    <t xml:space="preserve">FY30E</t>
  </si>
  <si>
    <t xml:space="preserve">Payout ratio (cash dividends begin FY27E)</t>
  </si>
  <si>
    <t xml:space="preserve">ADIB-Egypt currently pays no cash dividend; retention funds growth</t>
  </si>
  <si>
    <t xml:space="preserve">RELATIVE &amp; NORMALIZED</t>
  </si>
  <si>
    <t xml:space="preserve">P/B multiple (relative lens)</t>
  </si>
  <si>
    <t xml:space="preserve">CIB ~2.3x at ~38% ROE; EGX banks 1.5–2.5x</t>
  </si>
  <si>
    <t xml:space="preserve">Forward P/E (relative lens)</t>
  </si>
  <si>
    <t xml:space="preserve">EGX bank sector ~5–7x</t>
  </si>
  <si>
    <t xml:space="preserve">Normalized (mid-cycle) EPS (EGP)</t>
  </si>
  <si>
    <t xml:space="preserve">~30% ROE on FY26E book as CBE easing lands</t>
  </si>
  <si>
    <t xml:space="preserve">Justified P/E (normalized lens)</t>
  </si>
  <si>
    <t xml:space="preserve">Quality premium within the EGX bank range</t>
  </si>
  <si>
    <t xml:space="preserve">SYNTHESIS WEIGHTS</t>
  </si>
  <si>
    <t xml:space="preserve">MONTE CARLO — engine parameters</t>
  </si>
  <si>
    <t xml:space="preserve">HAR-projected annualized vol</t>
  </si>
  <si>
    <t xml:space="preserve">Secular 60-day drift (log)</t>
  </si>
  <si>
    <t xml:space="preserve">Net continuous-factor drift (3m)</t>
  </si>
  <si>
    <t xml:space="preserve">Paths</t>
  </si>
  <si>
    <t xml:space="preserve">Seed</t>
  </si>
  <si>
    <t xml:space="preserve">Horizon (sessions)</t>
  </si>
  <si>
    <t xml:space="preserve">FORECAST DRIVERS (FY26E–FY30E)</t>
  </si>
  <si>
    <t xml:space="preserve">Total revenue growth</t>
  </si>
  <si>
    <t xml:space="preserve">FY25 revenue +31%; fades with CBE cuts</t>
  </si>
  <si>
    <t xml:space="preserve">Cost-to-income ratio</t>
  </si>
  <si>
    <t xml:space="preserve">Customer-financing growth</t>
  </si>
  <si>
    <t xml:space="preserve">Cost of risk (avg financing)</t>
  </si>
  <si>
    <t xml:space="preserve">Egyptian through-cycle CoR well above today's</t>
  </si>
  <si>
    <t xml:space="preserve">Effective tax rate</t>
  </si>
  <si>
    <t xml:space="preserve">Non-controlling profit (EGP mn)</t>
  </si>
  <si>
    <t xml:space="preserve">Treasury &amp; investment growth</t>
  </si>
  <si>
    <t xml:space="preserve">Financing / deposits ratio</t>
  </si>
  <si>
    <t xml:space="preserve">Other-assets growth</t>
  </si>
  <si>
    <t xml:space="preserve">Other-liabilities &amp; due-to-banks growth</t>
  </si>
  <si>
    <t xml:space="preserve">NCI growth</t>
  </si>
  <si>
    <t xml:space="preserve">Required equity / assets (FCFE lens)</t>
  </si>
  <si>
    <t xml:space="preserve">10.3% — the FY25 attributable-equity intensity</t>
  </si>
  <si>
    <t xml:space="preserve">Dividend discount — the primary lens</t>
  </si>
  <si>
    <t xml:space="preserve">Multi-stage DDM on distributable earnings, adapted to a zero-payout compounder: dividends begin FY27E; the terminal is a justified P/B on the retained book. Valuation date 01 Jul 2026.</t>
  </si>
  <si>
    <t xml:space="preserve">FY25</t>
  </si>
  <si>
    <t xml:space="preserve">Attributable EPS (EGP)</t>
  </si>
  <si>
    <t xml:space="preserve">Payout ratio</t>
  </si>
  <si>
    <t xml:space="preserve">Dividend per share (EGP)</t>
  </si>
  <si>
    <t xml:space="preserve">Book value per share (EGP)</t>
  </si>
  <si>
    <t xml:space="preserve">Discount period (years)</t>
  </si>
  <si>
    <t xml:space="preserve">Discount factor</t>
  </si>
  <si>
    <t xml:space="preserve">PV of dividend (EGP)</t>
  </si>
  <si>
    <t xml:space="preserve">Sum, PV of dividends FY26–FY30</t>
  </si>
  <si>
    <t xml:space="preserve">Terminal P/B  =(ROEt − g)/(COE − g)</t>
  </si>
  <si>
    <t xml:space="preserve">Terminal value, end-FY30 (EGP/share)</t>
  </si>
  <si>
    <t xml:space="preserve">PV of terminal value</t>
  </si>
  <si>
    <t xml:space="preserve">DDM fair value (EGP/share)</t>
  </si>
  <si>
    <t xml:space="preserve">Scenario outputs (study §1.1)</t>
  </si>
  <si>
    <t xml:space="preserve">Bear/bull: scenario COE/ROEt/growth sets (Assumptions C13:E15), study compute engine</t>
  </si>
  <si>
    <t xml:space="preserve">Segments — where the franchise earns</t>
  </si>
  <si>
    <t xml:space="preserve">FINANCING MIX (FY25, EGP 159bn) — estimated</t>
  </si>
  <si>
    <t xml:space="preserve">Segment</t>
  </si>
  <si>
    <t xml:space="preserve">Share e</t>
  </si>
  <si>
    <t xml:space="preserve">EGP mn</t>
  </si>
  <si>
    <t xml:space="preserve">Note</t>
  </si>
  <si>
    <t xml:space="preserve">Corporate &amp; syndications</t>
  </si>
  <si>
    <t xml:space="preserve">Large-corporate Islamic finance; ADI Capital deal flow</t>
  </si>
  <si>
    <t xml:space="preserve">Retail &amp; personal finance</t>
  </si>
  <si>
    <t xml:space="preserve">75-branch network; payroll &amp; consumer</t>
  </si>
  <si>
    <t xml:space="preserve">SME &amp; microfinance</t>
  </si>
  <si>
    <t xml:space="preserve">Fast-growing, CBE-mandated segment</t>
  </si>
  <si>
    <t xml:space="preserve">Other</t>
  </si>
  <si>
    <t xml:space="preserve">Subsidiaries: leasing, capital, real estate</t>
  </si>
  <si>
    <t xml:space="preserve">Total</t>
  </si>
  <si>
    <t xml:space="preserve">REVENUE MIX (FY25, EGP 23.6bn)</t>
  </si>
  <si>
    <t xml:space="preserve">Line</t>
  </si>
  <si>
    <t xml:space="preserve">Share</t>
  </si>
  <si>
    <t xml:space="preserve">Net income from funds</t>
  </si>
  <si>
    <t xml:space="preserve">Financing + the large sovereign-securities book</t>
  </si>
  <si>
    <t xml:space="preserve">Fees, commissions &amp; other</t>
  </si>
  <si>
    <t xml:space="preserve">Trade, cards, ADI Capital investment banking</t>
  </si>
  <si>
    <t xml:space="preserve">Splits marked e are preparer estimates; ADIB-Egypt reports segments in the annual financial statements.</t>
  </si>
  <si>
    <t xml:space="preserve">Relative multiples &amp; normalized earnings power</t>
  </si>
  <si>
    <t xml:space="preserve">RELATIVE MULTIPLES</t>
  </si>
  <si>
    <t xml:space="preserve">Relative fair value — blend of the two legs</t>
  </si>
  <si>
    <t xml:space="preserve">   leg 1: P/B × BVPS   ·   leg 2: forward P/E × FY26E EPS</t>
  </si>
  <si>
    <t xml:space="preserve">Normalized-earnings fair value  = mid-cycle EPS × justified P/E</t>
  </si>
  <si>
    <t xml:space="preserve">Context — ADIB-Egypt at spot</t>
  </si>
  <si>
    <t xml:space="preserve">Trailing P/E (FY25 attributable)</t>
  </si>
  <si>
    <t xml:space="preserve">≈5.6x on year-end shares · reported weighted EPS 11.25 → ≈4.1x</t>
  </si>
  <si>
    <t xml:space="preserve">P/B</t>
  </si>
  <si>
    <t xml:space="preserve">FY25 ROE (reported)</t>
  </si>
  <si>
    <t xml:space="preserve">Equity DCF — five years of free cash flow to equity</t>
  </si>
  <si>
    <t xml:space="preserve">FCFE = attributable profit less the equity retained to hold the FY25 capital intensity (equity/assets) through the growth; discounted at the cost of equity (the WACC of an all-equity claim). Its own book path assumes FCFE is distributed.</t>
  </si>
  <si>
    <t xml:space="preserve">Attributable net profit (EGP mn)</t>
  </si>
  <si>
    <t xml:space="preserve">Total assets (EGP mn)</t>
  </si>
  <si>
    <t xml:space="preserve">Δ Total assets (EGP mn)</t>
  </si>
  <si>
    <t xml:space="preserve">Required equity ratio (equity/assets, FY25)</t>
  </si>
  <si>
    <t xml:space="preserve">Equity retained to fund growth  = ratio × ΔTA</t>
  </si>
  <si>
    <t xml:space="preserve">Free cash flow to equity (EGP mn)</t>
  </si>
  <si>
    <t xml:space="preserve">FCFE per share (EGP)</t>
  </si>
  <si>
    <t xml:space="preserve">Discount rate — cost of equity</t>
  </si>
  <si>
    <t xml:space="preserve">The WACC of the equity claim; deposits are operating funding</t>
  </si>
  <si>
    <t xml:space="preserve">BVPS under FCFE distribution (EGP)</t>
  </si>
  <si>
    <t xml:space="preserve">PV of FCFE (EGP/share)</t>
  </si>
  <si>
    <t xml:space="preserve">Sum, PV of FCFE FY26–FY30 (EGP/share)</t>
  </si>
  <si>
    <t xml:space="preserve">Terminal value, end-FY30  = justified P/B × FY30 book</t>
  </si>
  <si>
    <t xml:space="preserve">DCF fair value (EGP/share)</t>
  </si>
  <si>
    <t xml:space="preserve">Scenario outputs (study §1.2)</t>
  </si>
  <si>
    <t xml:space="preserve">Income statement — ADIB-Egypt (consolidated)</t>
  </si>
  <si>
    <t xml:space="preserve">EGP mn. FY23–FY25 as reported / derived to reported totals (e). Sources: FY25 statements Feb-26; FY23 results Mar-24.</t>
  </si>
  <si>
    <t xml:space="preserve">FY23</t>
  </si>
  <si>
    <t xml:space="preserve">FY24</t>
  </si>
  <si>
    <t xml:space="preserve">FY25/FY24 reported; FY23 per results release (e)</t>
  </si>
  <si>
    <t xml:space="preserve">Fees &amp; other operating income</t>
  </si>
  <si>
    <t xml:space="preserve">Total operating income</t>
  </si>
  <si>
    <t xml:space="preserve">Operating expenses</t>
  </si>
  <si>
    <t xml:space="preserve">From C/I 26.0e / 19.0e / 17.2% (reported)</t>
  </si>
  <si>
    <t xml:space="preserve">Provision for impairment</t>
  </si>
  <si>
    <t xml:space="preserve">Profit before tax</t>
  </si>
  <si>
    <t xml:space="preserve">Taxation</t>
  </si>
  <si>
    <t xml:space="preserve">FY25 taxes paid EGP 4.88bn; FY24/FY23 derived (e)</t>
  </si>
  <si>
    <t xml:space="preserve">Profit after tax</t>
  </si>
  <si>
    <t xml:space="preserve">Non-controlling interests</t>
  </si>
  <si>
    <t xml:space="preserve">Attributable net profit</t>
  </si>
  <si>
    <t xml:space="preserve">EPS on current 1,500mn shares (EGP)</t>
  </si>
  <si>
    <t xml:space="preserve">Reported weighted EPS: FY24 14.02, FY25 11.25 (share count rose via capital hikes)</t>
  </si>
  <si>
    <t xml:space="preserve">memo: Cost-to-income</t>
  </si>
  <si>
    <t xml:space="preserve">memo: Cost of risk</t>
  </si>
  <si>
    <t xml:space="preserve">memo: Effective tax rate</t>
  </si>
  <si>
    <t xml:space="preserve">Balance sheet — ADIB-Egypt (consolidated)</t>
  </si>
  <si>
    <t xml:space="preserve">EGP mn. Totals anchored to disclosure (assets 162.3 / 260.5 / 347bn); lines marked e estimated to balance.</t>
  </si>
  <si>
    <t xml:space="preserve">Cash &amp; due from banks</t>
  </si>
  <si>
    <t xml:space="preserve">balancing (e); FY25 incl. 3bn hike cash pro-forma</t>
  </si>
  <si>
    <t xml:space="preserve">Treasury &amp; investment securities</t>
  </si>
  <si>
    <t xml:space="preserve">e — large sovereign book</t>
  </si>
  <si>
    <t xml:space="preserve">Customer financing, net</t>
  </si>
  <si>
    <t xml:space="preserve">reported</t>
  </si>
  <si>
    <t xml:space="preserve">Fixed &amp; other assets</t>
  </si>
  <si>
    <t xml:space="preserve">Total assets</t>
  </si>
  <si>
    <t xml:space="preserve">162.3 / 260.5 / 347bn reported; FY25 shown pro-forma (+3bn)</t>
  </si>
  <si>
    <t xml:space="preserve">Depositors' accounts</t>
  </si>
  <si>
    <t xml:space="preserve">Due to banks, sub-financing &amp; other liab.</t>
  </si>
  <si>
    <t xml:space="preserve">balancing (e); incl. ~US$195mn parent+IFC subordinated Wakala/Murabaha</t>
  </si>
  <si>
    <t xml:space="preserve">Total liabilities</t>
  </si>
  <si>
    <t xml:space="preserve">Paid-in capital</t>
  </si>
  <si>
    <t xml:space="preserve">Issued 12,000 at 31-Dec-25 (Q1-26 stmts); FY25 shown pro-forma the approved 12→15bn increase</t>
  </si>
  <si>
    <t xml:space="preserve">Retained earnings &amp; reserves</t>
  </si>
  <si>
    <t xml:space="preserve">balancing (e)</t>
  </si>
  <si>
    <t xml:space="preserve">Equity attributable to shareholders</t>
  </si>
  <si>
    <t xml:space="preserve">Total equity</t>
  </si>
  <si>
    <t xml:space="preserve">Check: assets − liabilities − equity</t>
  </si>
  <si>
    <t xml:space="preserve">memo: NPL / coverage · capital</t>
  </si>
  <si>
    <t xml:space="preserve">CAR 19.44% (FY25, reported)</t>
  </si>
  <si>
    <t xml:space="preserve">FY25 results; NPL detail in annual report</t>
  </si>
  <si>
    <t xml:space="preserve">Cash flow — bank presentation (derived)</t>
  </si>
  <si>
    <t xml:space="preserve">EGP mn. History from FY24 (FY23 opening stocks estimated). 'Other movements' closes equity FX/reserve items.</t>
  </si>
  <si>
    <t xml:space="preserve">Impairment charge (non-cash)</t>
  </si>
  <si>
    <t xml:space="preserve">Δ Customer financing (gross of impairment)</t>
  </si>
  <si>
    <t xml:space="preserve">Δ Depositors' accounts</t>
  </si>
  <si>
    <t xml:space="preserve">Δ Due to banks &amp; other liabilities</t>
  </si>
  <si>
    <t xml:space="preserve">Δ Fixed &amp; other assets</t>
  </si>
  <si>
    <t xml:space="preserve">Net cash from operating activities</t>
  </si>
  <si>
    <t xml:space="preserve">Δ Treasury &amp; investment securities</t>
  </si>
  <si>
    <t xml:space="preserve">Net cash from investing activities</t>
  </si>
  <si>
    <t xml:space="preserve">Dividends paid</t>
  </si>
  <si>
    <t xml:space="preserve">No cash dividends paid to date</t>
  </si>
  <si>
    <t xml:space="preserve">Capital increase / equity &amp; reserve movements</t>
  </si>
  <si>
    <t xml:space="preserve">FY25 includes the EGP 3bn cash capital increase</t>
  </si>
  <si>
    <t xml:space="preserve">Net cash from financing activities</t>
  </si>
  <si>
    <t xml:space="preserve">Net change in cash</t>
  </si>
  <si>
    <t xml:space="preserve">Cash &amp; due from banks, opening</t>
  </si>
  <si>
    <t xml:space="preserve">Cash &amp; due from banks, closing</t>
  </si>
  <si>
    <t xml:space="preserve">Check vs balance sheet</t>
  </si>
  <si>
    <t xml:space="preserve">Summary financials — all cells link to the statement sheets</t>
  </si>
  <si>
    <t xml:space="preserve">EPS, current shares (EGP)</t>
  </si>
  <si>
    <t xml:space="preserve">Equity attributable</t>
  </si>
  <si>
    <t xml:space="preserve">Cost-to-income</t>
  </si>
  <si>
    <t xml:space="preserve">Monte Carlo — the §3 probabilistic price map</t>
  </si>
  <si>
    <t xml:space="preserve">YZ-HAR width · Student-t(5) innovations · secular drift ON (Step-0 winner) · 16 factors (egx_bank) · 50,000 paths · seed 42.</t>
  </si>
  <si>
    <t xml:space="preserve">Paths diffuse from spot; the §1 value gap is deliberately kept out of the drift (lens independence).</t>
  </si>
  <si>
    <t xml:space="preserve">ENGINE PARAMETERS</t>
  </si>
  <si>
    <t xml:space="preserve">Anchor (spot, EGP)</t>
  </si>
  <si>
    <t xml:space="preserve">Simulated annualized path vol (incl. events)</t>
  </si>
  <si>
    <t xml:space="preserve">Expected discrete-event drift (Σ p×impact)</t>
  </si>
  <si>
    <t xml:space="preserve">Paths / seed / horizon</t>
  </si>
  <si>
    <t xml:space="preserve">50,000 / 42 / 60</t>
  </si>
  <si>
    <t xml:space="preserve">CONTINUOUS FACTORS (7) — egx_bank class; magnitudes calibrated=False</t>
  </si>
  <si>
    <t xml:space="preserve">Factor</t>
  </si>
  <si>
    <t xml:space="preserve">Dir.</t>
  </si>
  <si>
    <t xml:space="preserve">3m drift</t>
  </si>
  <si>
    <t xml:space="preserve">3m vol</t>
  </si>
  <si>
    <t xml:space="preserve">Channel</t>
  </si>
  <si>
    <t xml:space="preserve">CBE policy-rate path</t>
  </si>
  <si>
    <t xml:space="preserve">+</t>
  </si>
  <si>
    <t xml:space="preserve">NIM on the T-bill &amp; repricing book vs funding cost</t>
  </si>
  <si>
    <t xml:space="preserve">EGP/USD rate</t>
  </si>
  <si>
    <t xml:space="preserve">FX position gains, dollarization, nominal repricing</t>
  </si>
  <si>
    <t xml:space="preserve">Inflation (CPI)</t>
  </si>
  <si>
    <t xml:space="preserve">nominal financing growth, fee income</t>
  </si>
  <si>
    <t xml:space="preserve">EGX30 &amp; foreign flows</t>
  </si>
  <si>
    <t xml:space="preserve">index weight, EM/frontier flows</t>
  </si>
  <si>
    <t xml:space="preserve">Private-sector credit growth</t>
  </si>
  <si>
    <t xml:space="preserve">financing-book expansion as crowding-out unwinds</t>
  </si>
  <si>
    <t xml:space="preserve">Easing-cycle NIM compression</t>
  </si>
  <si>
    <t xml:space="preserve">-</t>
  </si>
  <si>
    <t xml:space="preserve">CBE cuts reprice the asset book down</t>
  </si>
  <si>
    <t xml:space="preserve">Positioning / valuation drag after the run</t>
  </si>
  <si>
    <t xml:space="preserve">profit-taking pressure after a 12-month double</t>
  </si>
  <si>
    <t xml:space="preserve">DISCRETE EVENTS (9)</t>
  </si>
  <si>
    <t xml:space="preserve">Event</t>
  </si>
  <si>
    <t xml:space="preserve">Tier</t>
  </si>
  <si>
    <t xml:space="preserve">Prob.</t>
  </si>
  <si>
    <t xml:space="preserve">Mean</t>
  </si>
  <si>
    <t xml:space="preserve">Spread</t>
  </si>
  <si>
    <t xml:space="preserve">Geopolitical / regional security shock</t>
  </si>
  <si>
    <t xml:space="preserve">M</t>
  </si>
  <si>
    <t xml:space="preserve">risk premium, deposit-flight tail</t>
  </si>
  <si>
    <t xml:space="preserve">Asset-quality / NPL-cycle shift</t>
  </si>
  <si>
    <t xml:space="preserve">ECL regime after +53% book growth</t>
  </si>
  <si>
    <t xml:space="preserve">Sovereign rating / T-bill yield regime</t>
  </si>
  <si>
    <t xml:space="preserve">large government-securities book</t>
  </si>
  <si>
    <t xml:space="preserve">EGP step-devaluation</t>
  </si>
  <si>
    <t xml:space="preserve">FX gains &amp; nominal repricing for banks</t>
  </si>
  <si>
    <t xml:space="preserve">Capital / dividend-policy change</t>
  </si>
  <si>
    <t xml:space="preserve">first cash dividend vs further retention</t>
  </si>
  <si>
    <t xml:space="preserve">Earnings surprise (NIM / ECL / fees)</t>
  </si>
  <si>
    <t xml:space="preserve">E</t>
  </si>
  <si>
    <t xml:space="preserve">quarterly print</t>
  </si>
  <si>
    <t xml:space="preserve">M&amp;A / capital action</t>
  </si>
  <si>
    <t xml:space="preserve">group support, stake moves</t>
  </si>
  <si>
    <t xml:space="preserve">Rights issue / dilution overhang</t>
  </si>
  <si>
    <t xml:space="preserve">further capital hike to fund growth</t>
  </si>
  <si>
    <t xml:space="preserve">Non-recurring ECL release / one-off</t>
  </si>
  <si>
    <t xml:space="preserve">normalize per COMI rule</t>
  </si>
  <si>
    <t xml:space="preserve">PERCENTILE MAP (EGP/share) — engine output, mc_v2 run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</si>
  <si>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</si>
  <si>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</si>
  <si>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</si>
  <si>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</si>
  <si>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</si>
  <si>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</si>
  <si>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</si>
  <si>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</si>
  <si>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LEVEL-TOUCH LADDER — P(touch by horizon)</t>
  </si>
  <si>
    <t xml:space="preserve">Level (EGP)</t>
  </si>
  <si>
    <t xml:space="preserve">T+20</t>
  </si>
  <si>
    <t xml:space="preserve">T+60</t>
  </si>
  <si>
    <t xml:space="preserve">PROBABILITY ZONES AT T+60</t>
  </si>
  <si>
    <t xml:space="preserve">Zone</t>
  </si>
  <si>
    <t xml:space="preserve">Range (EGP)</t>
  </si>
  <si>
    <t xml:space="preserve">Deep downside</t>
  </si>
  <si>
    <t xml:space="preserve">&lt; 38</t>
  </si>
  <si>
    <t xml:space="preserve">Lower band</t>
  </si>
  <si>
    <t xml:space="preserve">38 – 44</t>
  </si>
  <si>
    <t xml:space="preserve">Around spot</t>
  </si>
  <si>
    <t xml:space="preserve">44 – 50</t>
  </si>
  <si>
    <t xml:space="preserve">Upper band</t>
  </si>
  <si>
    <t xml:space="preserve">50 – 56</t>
  </si>
  <si>
    <t xml:space="preserve">Strong upside</t>
  </si>
  <si>
    <t xml:space="preserve">&gt; 56</t>
  </si>
  <si>
    <t xml:space="preserve">DDM sensitivity — cost of equity × terminal ROE</t>
  </si>
  <si>
    <t xml:space="preserve">Live formulas. Dividend path and book value held at base; the grid varies the discount rate and the terminal P/B.</t>
  </si>
  <si>
    <t xml:space="preserve">COE \ terminal ROE</t>
  </si>
  <si>
    <t xml:space="preserve">Spot 46.64 sits inside the grid — around a ~26% COE on a 26–28% terminal ROE, or ~23% on 24%.</t>
  </si>
  <si>
    <t xml:space="preserve">Per-share &amp; ratios</t>
  </si>
  <si>
    <t xml:space="preserve">EPS, current 1,500mn shares (EGP)</t>
  </si>
  <si>
    <t xml:space="preserve">DPS declared (EGP)</t>
  </si>
  <si>
    <t xml:space="preserve">No cash dividends to date; growth funded by retention + capital hikes</t>
  </si>
  <si>
    <t xml:space="preserve">BVPS (EGP)</t>
  </si>
  <si>
    <t xml:space="preserve">ROE (avg attributable equity)</t>
  </si>
  <si>
    <t xml:space="preserve">Reported ROE 44% (FY25) uses the company basis; model ROE is on avg attributable equity</t>
  </si>
  <si>
    <t xml:space="preserve">ROAA</t>
  </si>
  <si>
    <t xml:space="preserve">P/E at spot</t>
  </si>
  <si>
    <t xml:space="preserve">Dividend yield at spot</t>
  </si>
  <si>
    <t xml:space="preserve">Peer set &amp; sector structure</t>
  </si>
  <si>
    <t xml:space="preserve">ADIB-EGYPT VS THE EGYPTIAN BANK COMPLEX (approximate mid-2026 marks)</t>
  </si>
  <si>
    <t xml:space="preserve">Metric</t>
  </si>
  <si>
    <t xml:space="preserve">EGX banks (typ.)</t>
  </si>
  <si>
    <t xml:space="preserve">ADIB-Egypt</t>
  </si>
  <si>
    <t xml:space="preserve">Premium</t>
  </si>
  <si>
    <t xml:space="preserve">P/E (trailing)</t>
  </si>
  <si>
    <t xml:space="preserve">5–7x</t>
  </si>
  <si>
    <t xml:space="preserve">1.5–2.5x</t>
  </si>
  <si>
    <t xml:space="preserve">ROE</t>
  </si>
  <si>
    <t xml:space="preserve">30–40%</t>
  </si>
  <si>
    <t xml:space="preserve">~25–30%</t>
  </si>
  <si>
    <t xml:space="preserve">CAR</t>
  </si>
  <si>
    <t xml:space="preserve">~18–20%</t>
  </si>
  <si>
    <t xml:space="preserve">PEERS — roles in the comparison</t>
  </si>
  <si>
    <t xml:space="preserve">Peer</t>
  </si>
  <si>
    <t xml:space="preserve">Role</t>
  </si>
  <si>
    <t xml:space="preserve">Commercial International Bank (CIB)</t>
  </si>
  <si>
    <t xml:space="preserve">Egypt's private-sector benchmark — ~2.3x book, ~38% ROE; the quality yardstick</t>
  </si>
  <si>
    <t xml:space="preserve">QNB Alahli</t>
  </si>
  <si>
    <t xml:space="preserve">Foreign-owned scale peer; corporate-led, similar T-bill carry economics</t>
  </si>
  <si>
    <t xml:space="preserve">Faisal Islamic Bank of Egypt</t>
  </si>
  <si>
    <t xml:space="preserve">The listed Islamic incumbent — the direct Shariah comparison, cheaper and slower-growing</t>
  </si>
  <si>
    <t xml:space="preserve">Banque du Caire / Baraka</t>
  </si>
  <si>
    <t xml:space="preserve">State &amp; Islamic mid-tier context; Banque du Caire FY25 profit +30%</t>
  </si>
  <si>
    <t xml:space="preserve">PRINCIPAL RISKS</t>
  </si>
  <si>
    <t xml:space="preserve">Disinflation &amp; CBE easing compress the T-bill carry and NIM that produced a 44% ROE</t>
  </si>
  <si>
    <t xml:space="preserve">Credit seasoning after +53% financing growth in a single year; today's benign CoR is a boom-cycle reading</t>
  </si>
  <si>
    <t xml:space="preserve">EGP regime risk — a further step-devaluation cuts USD value even as EGP earnings reprice up</t>
  </si>
  <si>
    <t xml:space="preserve">Sovereign concentration: the securities book ties the bank to Egypt's fiscal path and IMF program</t>
  </si>
  <si>
    <t xml:space="preserve">Dilution: growth has been funded by repeated capital increases (12→15bn in 2025); more may follow</t>
  </si>
  <si>
    <t xml:space="preserve">Free-float, liquidity and majority control (ADIB Group) — minority-shareholder considerations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</si>
</sst>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0.0\x"/>
    <numFmt numFmtId="168" formatCode="#,##0;\(#,##0\);\-"/>
    <numFmt numFmtId="169" formatCode="0.00%"/>
    <numFmt numFmtId="170" formatCode="0%"/>
    <numFmt numFmtId="171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B5E5E"/>
      <name val="Arial"/>
      <family val="0"/>
      <charset val="1"/>
    </font>
    <font>
      <b val="true"/>
      <sz val="10"/>
      <color rgb="FF1B5E5E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5E5E"/>
        <bgColor rgb="FF008080"/>
      </patternFill>
    </fill>
    <fill>
      <patternFill patternType="solid">
        <fgColor rgb="FFEA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5E5E"/>
      <rgbColor rgb="FFC0C0C0"/>
      <rgbColor rgb="FF808080"/>
      <rgbColor rgb="FF9999FF"/>
      <rgbColor rgb="FF993366"/>
      <rgbColor rgb="FFFFFFCC"/>
      <rgbColor rgb="FFEA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 t="s">
        <v>11</v>
      </c>
    </row>
    <row r="14" customFormat="false" ht="15" hidden="false" customHeight="false" outlineLevel="0" collapsed="false">
      <c r="A14" s="3" t="s">
        <v>12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3" t="s">
        <v>14</v>
      </c>
    </row>
    <row r="17" customFormat="false" ht="15" hidden="false" customHeight="false" outlineLevel="0" collapsed="false">
      <c r="A17" s="3" t="s">
        <v>15</v>
      </c>
    </row>
    <row r="18" customFormat="false" ht="15" hidden="false" customHeight="false" outlineLevel="0" collapsed="false">
      <c r="A18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1"/>
  </cols>
  <sheetData>
    <row r="1" customFormat="false" ht="16.15" hidden="false" customHeight="false" outlineLevel="0" collapsed="false">
      <c r="A1" s="1" t="s">
        <v>17</v>
      </c>
    </row>
    <row r="2" customFormat="false" ht="15" hidden="false" customHeight="false" outlineLevel="0" collapsed="false">
      <c r="A2" s="4" t="s">
        <v>18</v>
      </c>
    </row>
    <row r="3" customFormat="false" ht="15" hidden="false" customHeight="false" outlineLevel="0" collapsed="false">
      <c r="A3" s="5"/>
      <c r="B3" s="5" t="s">
        <v>19</v>
      </c>
      <c r="C3" s="5" t="s">
        <v>20</v>
      </c>
      <c r="D3" s="5" t="s">
        <v>21</v>
      </c>
      <c r="E3" s="5" t="s">
        <v>22</v>
      </c>
    </row>
    <row r="4" customFormat="false" ht="15" hidden="false" customHeight="false" outlineLevel="0" collapsed="false">
      <c r="A4" s="3" t="s">
        <v>23</v>
      </c>
      <c r="B4" s="6" t="n">
        <v>26.4</v>
      </c>
      <c r="C4" s="7" t="n">
        <f aca="false">DDM!C16</f>
        <v>53.7714179516119</v>
      </c>
      <c r="D4" s="6" t="n">
        <v>113.4</v>
      </c>
      <c r="E4" s="8" t="n">
        <f aca="false">Assumptions!$B$27</f>
        <v>0.4</v>
      </c>
    </row>
    <row r="5" customFormat="false" ht="15" hidden="false" customHeight="false" outlineLevel="0" collapsed="false">
      <c r="A5" s="3" t="s">
        <v>24</v>
      </c>
      <c r="B5" s="6" t="n">
        <v>31.3</v>
      </c>
      <c r="C5" s="7" t="n">
        <f aca="false">DCF!C19</f>
        <v>54.3562823093462</v>
      </c>
      <c r="D5" s="6" t="n">
        <v>97.4</v>
      </c>
      <c r="E5" s="8" t="n">
        <f aca="false">Assumptions!$B$28</f>
        <v>0.2</v>
      </c>
    </row>
    <row r="6" customFormat="false" ht="15" hidden="false" customHeight="false" outlineLevel="0" collapsed="false">
      <c r="A6" s="3" t="s">
        <v>25</v>
      </c>
      <c r="B6" s="6" t="n">
        <v>42.2</v>
      </c>
      <c r="C6" s="7" t="n">
        <f aca="false">'Relative &amp; Normalized'!C4</f>
        <v>56.2999584583333</v>
      </c>
      <c r="D6" s="6" t="n">
        <v>71.7</v>
      </c>
      <c r="E6" s="8" t="n">
        <f aca="false">Assumptions!$B$29</f>
        <v>0.15</v>
      </c>
    </row>
    <row r="7" customFormat="false" ht="15" hidden="false" customHeight="false" outlineLevel="0" collapsed="false">
      <c r="A7" s="3" t="s">
        <v>26</v>
      </c>
      <c r="B7" s="6" t="n">
        <v>33.8</v>
      </c>
      <c r="C7" s="7" t="n">
        <f aca="false">'Relative &amp; Normalized'!C6</f>
        <v>54</v>
      </c>
      <c r="D7" s="6" t="n">
        <v>78.8</v>
      </c>
      <c r="E7" s="8" t="n">
        <f aca="false">Assumptions!$B$30</f>
        <v>0.25</v>
      </c>
    </row>
    <row r="8" customFormat="false" ht="15" hidden="false" customHeight="false" outlineLevel="0" collapsed="false">
      <c r="A8" s="9" t="s">
        <v>27</v>
      </c>
      <c r="B8" s="10" t="n">
        <f aca="false">SUMPRODUCT(B4:B7,$E$4:$E$7)</f>
        <v>31.6</v>
      </c>
      <c r="C8" s="10" t="n">
        <f aca="false">SUMPRODUCT(C4:C7,$E$4:$E$7)</f>
        <v>54.324817411264</v>
      </c>
      <c r="D8" s="10" t="n">
        <f aca="false">SUMPRODUCT(D4:D7,$E$4:$E$7)</f>
        <v>95.295</v>
      </c>
    </row>
    <row r="10" customFormat="false" ht="15" hidden="false" customHeight="false" outlineLevel="0" collapsed="false">
      <c r="A10" s="3" t="s">
        <v>28</v>
      </c>
      <c r="C10" s="7" t="n">
        <f aca="false">Assumptions!$B$4</f>
        <v>46.64</v>
      </c>
    </row>
    <row r="11" customFormat="false" ht="15" hidden="false" customHeight="false" outlineLevel="0" collapsed="false">
      <c r="A11" s="9" t="s">
        <v>29</v>
      </c>
      <c r="C11" s="11" t="n">
        <f aca="false">C8/C10-1</f>
        <v>0.164768812419897</v>
      </c>
    </row>
    <row r="13" customFormat="false" ht="15" hidden="false" customHeight="false" outlineLevel="0" collapsed="false">
      <c r="A13" s="4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5" min="3" style="0" width="11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31</v>
      </c>
    </row>
    <row r="3" customFormat="false" ht="15" hidden="false" customHeight="false" outlineLevel="0" collapsed="false">
      <c r="A3" s="5" t="s">
        <v>32</v>
      </c>
      <c r="B3" s="5" t="s">
        <v>22</v>
      </c>
      <c r="C3" s="5" t="s">
        <v>19</v>
      </c>
      <c r="D3" s="5" t="s">
        <v>20</v>
      </c>
      <c r="E3" s="5" t="s">
        <v>21</v>
      </c>
    </row>
    <row r="4" customFormat="false" ht="15" hidden="false" customHeight="false" outlineLevel="0" collapsed="false">
      <c r="A4" s="3" t="s">
        <v>23</v>
      </c>
      <c r="B4" s="8" t="n">
        <f aca="false">Assumptions!$B$27</f>
        <v>0.4</v>
      </c>
      <c r="C4" s="6" t="n">
        <v>26.4</v>
      </c>
      <c r="D4" s="7" t="n">
        <f aca="false">DDM!C16</f>
        <v>53.7714179516119</v>
      </c>
      <c r="E4" s="6" t="n">
        <v>113.4</v>
      </c>
    </row>
    <row r="5" customFormat="false" ht="15" hidden="false" customHeight="false" outlineLevel="0" collapsed="false">
      <c r="A5" s="3" t="s">
        <v>24</v>
      </c>
      <c r="B5" s="8" t="n">
        <f aca="false">Assumptions!$B$28</f>
        <v>0.2</v>
      </c>
      <c r="C5" s="6" t="n">
        <v>31.3</v>
      </c>
      <c r="D5" s="7" t="n">
        <f aca="false">DCF!C19</f>
        <v>54.3562823093462</v>
      </c>
      <c r="E5" s="6" t="n">
        <v>97.4</v>
      </c>
    </row>
    <row r="6" customFormat="false" ht="15" hidden="false" customHeight="false" outlineLevel="0" collapsed="false">
      <c r="A6" s="3" t="s">
        <v>25</v>
      </c>
      <c r="B6" s="8" t="n">
        <f aca="false">Assumptions!$B$29</f>
        <v>0.15</v>
      </c>
      <c r="C6" s="6" t="n">
        <v>42.2</v>
      </c>
      <c r="D6" s="7" t="n">
        <f aca="false">'Relative &amp; Normalized'!C4</f>
        <v>56.2999584583333</v>
      </c>
      <c r="E6" s="6" t="n">
        <v>71.7</v>
      </c>
    </row>
    <row r="7" customFormat="false" ht="15" hidden="false" customHeight="false" outlineLevel="0" collapsed="false">
      <c r="A7" s="3" t="s">
        <v>26</v>
      </c>
      <c r="B7" s="8" t="n">
        <f aca="false">Assumptions!$B$30</f>
        <v>0.25</v>
      </c>
      <c r="C7" s="6" t="n">
        <v>33.8</v>
      </c>
      <c r="D7" s="7" t="n">
        <f aca="false">'Relative &amp; Normalized'!C6</f>
        <v>54</v>
      </c>
      <c r="E7" s="6" t="n">
        <v>78.8</v>
      </c>
    </row>
    <row r="8" customFormat="false" ht="15" hidden="false" customHeight="false" outlineLevel="0" collapsed="false">
      <c r="A8" s="9" t="s">
        <v>27</v>
      </c>
      <c r="B8" s="11" t="n">
        <f aca="false">SUM(B4:B7)</f>
        <v>1</v>
      </c>
      <c r="C8" s="10" t="n">
        <f aca="false">SUMPRODUCT(C4:C7,$B$4:$B$7)</f>
        <v>31.6</v>
      </c>
      <c r="D8" s="10" t="n">
        <f aca="false">SUMPRODUCT(D4:D7,$B$4:$B$7)</f>
        <v>54.324817411264</v>
      </c>
      <c r="E8" s="10" t="n">
        <f aca="false">SUMPRODUCT(E4:E7,$B$4:$B$7)</f>
        <v>95.295</v>
      </c>
    </row>
    <row r="10" customFormat="false" ht="15" hidden="false" customHeight="false" outlineLevel="0" collapsed="false">
      <c r="A10" s="3" t="s">
        <v>28</v>
      </c>
      <c r="D10" s="7" t="n">
        <f aca="false">Assumptions!$B$4</f>
        <v>46.64</v>
      </c>
    </row>
    <row r="11" customFormat="false" ht="15" hidden="false" customHeight="false" outlineLevel="0" collapsed="false">
      <c r="A11" s="9" t="s">
        <v>29</v>
      </c>
      <c r="D11" s="11" t="n">
        <f aca="false">D8/D10-1</f>
        <v>0.164768812419897</v>
      </c>
    </row>
    <row r="13" customFormat="false" ht="15" hidden="false" customHeight="false" outlineLevel="0" collapsed="false">
      <c r="A13" s="3" t="s">
        <v>33</v>
      </c>
      <c r="D13" s="12" t="n">
        <f aca="false">Assumptions!$B$4/'Income Statement'!D14</f>
        <v>5.55767397521449</v>
      </c>
    </row>
    <row r="14" customFormat="false" ht="15" hidden="false" customHeight="false" outlineLevel="0" collapsed="false">
      <c r="A14" s="3" t="s">
        <v>34</v>
      </c>
      <c r="D14" s="12" t="n">
        <f aca="false">Assumptions!$B$4/DDM!D7</f>
        <v>1.87560321715818</v>
      </c>
    </row>
    <row r="15" customFormat="false" ht="15" hidden="false" customHeight="false" outlineLevel="0" collapsed="false">
      <c r="A15" s="3" t="s">
        <v>35</v>
      </c>
      <c r="D15" s="12" t="n">
        <f aca="false">D8/'Income Statement'!E14</f>
        <v>5.16099017539531</v>
      </c>
    </row>
    <row r="16" customFormat="false" ht="15" hidden="false" customHeight="false" outlineLevel="0" collapsed="false">
      <c r="A16" s="3" t="s">
        <v>36</v>
      </c>
      <c r="D16" s="12" t="n">
        <f aca="false">D8/DDM!D7</f>
        <v>2.18464413182027</v>
      </c>
    </row>
    <row r="18" customFormat="false" ht="15" hidden="false" customHeight="false" outlineLevel="0" collapsed="false">
      <c r="A18" s="4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7" min="3" style="0" width="11"/>
    <col collapsed="false" customWidth="true" hidden="false" outlineLevel="0" max="8" min="8" style="0" width="34"/>
  </cols>
  <sheetData>
    <row r="1" customFormat="false" ht="16.15" hidden="false" customHeight="false" outlineLevel="0" collapsed="false">
      <c r="A1" s="1" t="s">
        <v>38</v>
      </c>
    </row>
    <row r="2" customFormat="false" ht="15" hidden="false" customHeight="false" outlineLevel="0" collapsed="false">
      <c r="A2" s="4" t="s">
        <v>39</v>
      </c>
    </row>
    <row r="3" customFormat="false" ht="15" hidden="false" customHeight="false" outlineLevel="0" collapsed="false">
      <c r="A3" s="13" t="s">
        <v>40</v>
      </c>
    </row>
    <row r="4" customFormat="false" ht="15" hidden="false" customHeight="false" outlineLevel="0" collapsed="false">
      <c r="A4" s="3" t="s">
        <v>41</v>
      </c>
      <c r="B4" s="6" t="n">
        <v>46.64</v>
      </c>
      <c r="H4" s="4" t="s">
        <v>42</v>
      </c>
    </row>
    <row r="5" customFormat="false" ht="15" hidden="false" customHeight="false" outlineLevel="0" collapsed="false">
      <c r="A5" s="3" t="s">
        <v>43</v>
      </c>
      <c r="B5" s="14" t="n">
        <v>1500</v>
      </c>
      <c r="H5" s="4" t="s">
        <v>44</v>
      </c>
    </row>
    <row r="6" customFormat="false" ht="15" hidden="false" customHeight="false" outlineLevel="0" collapsed="false">
      <c r="A6" s="3" t="s">
        <v>45</v>
      </c>
      <c r="B6" s="15" t="s">
        <v>46</v>
      </c>
    </row>
    <row r="7" customFormat="false" ht="15" hidden="false" customHeight="false" outlineLevel="0" collapsed="false">
      <c r="A7" s="3" t="s">
        <v>47</v>
      </c>
      <c r="B7" s="14" t="n">
        <v>37300</v>
      </c>
      <c r="H7" s="4" t="s">
        <v>48</v>
      </c>
    </row>
    <row r="8" customFormat="false" ht="15" hidden="false" customHeight="false" outlineLevel="0" collapsed="false">
      <c r="A8" s="3" t="s">
        <v>49</v>
      </c>
      <c r="B8" s="14" t="n">
        <v>350000</v>
      </c>
      <c r="H8" s="4" t="s">
        <v>50</v>
      </c>
    </row>
    <row r="9" customFormat="false" ht="15" hidden="false" customHeight="false" outlineLevel="0" collapsed="false">
      <c r="A9" s="3" t="s">
        <v>51</v>
      </c>
      <c r="B9" s="14" t="n">
        <v>500</v>
      </c>
      <c r="H9" s="4" t="s">
        <v>52</v>
      </c>
    </row>
    <row r="10" customFormat="false" ht="15" hidden="false" customHeight="false" outlineLevel="0" collapsed="false">
      <c r="A10" s="3" t="s">
        <v>53</v>
      </c>
      <c r="B10" s="14" t="n">
        <v>159000</v>
      </c>
      <c r="H10" s="4" t="s">
        <v>54</v>
      </c>
    </row>
    <row r="12" customFormat="false" ht="15" hidden="false" customHeight="false" outlineLevel="0" collapsed="false">
      <c r="A12" s="13" t="s">
        <v>55</v>
      </c>
      <c r="C12" s="5" t="s">
        <v>19</v>
      </c>
      <c r="D12" s="5" t="s">
        <v>20</v>
      </c>
      <c r="E12" s="5" t="s">
        <v>21</v>
      </c>
    </row>
    <row r="13" customFormat="false" ht="15" hidden="false" customHeight="false" outlineLevel="0" collapsed="false">
      <c r="A13" s="3" t="s">
        <v>56</v>
      </c>
      <c r="C13" s="16" t="n">
        <v>0.26</v>
      </c>
      <c r="D13" s="16" t="n">
        <v>0.23</v>
      </c>
      <c r="E13" s="16" t="n">
        <v>0.2</v>
      </c>
      <c r="H13" s="4" t="s">
        <v>57</v>
      </c>
    </row>
    <row r="14" customFormat="false" ht="15" hidden="false" customHeight="false" outlineLevel="0" collapsed="false">
      <c r="A14" s="3" t="s">
        <v>58</v>
      </c>
      <c r="C14" s="16" t="n">
        <v>0.1</v>
      </c>
      <c r="D14" s="16" t="n">
        <v>0.11</v>
      </c>
      <c r="E14" s="16" t="n">
        <v>0.12</v>
      </c>
    </row>
    <row r="15" customFormat="false" ht="15" hidden="false" customHeight="false" outlineLevel="0" collapsed="false">
      <c r="A15" s="3" t="s">
        <v>59</v>
      </c>
      <c r="C15" s="16" t="n">
        <v>0.24</v>
      </c>
      <c r="D15" s="16" t="n">
        <v>0.28</v>
      </c>
      <c r="E15" s="16" t="n">
        <v>0.32</v>
      </c>
    </row>
    <row r="17" customFormat="false" ht="15" hidden="false" customHeight="false" outlineLevel="0" collapsed="false">
      <c r="A17" s="13" t="s">
        <v>60</v>
      </c>
      <c r="C17" s="5" t="s">
        <v>61</v>
      </c>
      <c r="D17" s="5" t="s">
        <v>62</v>
      </c>
      <c r="E17" s="5" t="s">
        <v>63</v>
      </c>
      <c r="F17" s="5" t="s">
        <v>64</v>
      </c>
      <c r="G17" s="5" t="s">
        <v>65</v>
      </c>
    </row>
    <row r="18" customFormat="false" ht="15" hidden="false" customHeight="false" outlineLevel="0" collapsed="false">
      <c r="A18" s="3" t="s">
        <v>66</v>
      </c>
      <c r="C18" s="16" t="n">
        <v>0</v>
      </c>
      <c r="D18" s="16" t="n">
        <v>0.1</v>
      </c>
      <c r="E18" s="16" t="n">
        <v>0.15</v>
      </c>
      <c r="F18" s="16" t="n">
        <v>0.2</v>
      </c>
      <c r="G18" s="16" t="n">
        <v>0.25</v>
      </c>
      <c r="H18" s="4" t="s">
        <v>67</v>
      </c>
    </row>
    <row r="20" customFormat="false" ht="15" hidden="false" customHeight="false" outlineLevel="0" collapsed="false">
      <c r="A20" s="13" t="s">
        <v>68</v>
      </c>
    </row>
    <row r="21" customFormat="false" ht="15" hidden="false" customHeight="false" outlineLevel="0" collapsed="false">
      <c r="A21" s="3" t="s">
        <v>69</v>
      </c>
      <c r="B21" s="17" t="n">
        <v>2.2</v>
      </c>
      <c r="H21" s="4" t="s">
        <v>70</v>
      </c>
    </row>
    <row r="22" customFormat="false" ht="15" hidden="false" customHeight="false" outlineLevel="0" collapsed="false">
      <c r="A22" s="3" t="s">
        <v>71</v>
      </c>
      <c r="B22" s="17" t="n">
        <v>5.5</v>
      </c>
      <c r="H22" s="4" t="s">
        <v>72</v>
      </c>
    </row>
    <row r="23" customFormat="false" ht="15" hidden="false" customHeight="false" outlineLevel="0" collapsed="false">
      <c r="A23" s="3" t="s">
        <v>73</v>
      </c>
      <c r="B23" s="6" t="n">
        <v>9</v>
      </c>
      <c r="H23" s="4" t="s">
        <v>74</v>
      </c>
    </row>
    <row r="24" customFormat="false" ht="15" hidden="false" customHeight="false" outlineLevel="0" collapsed="false">
      <c r="A24" s="3" t="s">
        <v>75</v>
      </c>
      <c r="B24" s="17" t="n">
        <v>6</v>
      </c>
      <c r="H24" s="4" t="s">
        <v>76</v>
      </c>
    </row>
    <row r="26" customFormat="false" ht="15" hidden="false" customHeight="false" outlineLevel="0" collapsed="false">
      <c r="A26" s="13" t="s">
        <v>77</v>
      </c>
    </row>
    <row r="27" customFormat="false" ht="15" hidden="false" customHeight="false" outlineLevel="0" collapsed="false">
      <c r="A27" s="3" t="s">
        <v>23</v>
      </c>
      <c r="B27" s="16" t="n">
        <v>0.4</v>
      </c>
    </row>
    <row r="28" customFormat="false" ht="15" hidden="false" customHeight="false" outlineLevel="0" collapsed="false">
      <c r="A28" s="3" t="s">
        <v>24</v>
      </c>
      <c r="B28" s="16" t="n">
        <v>0.2</v>
      </c>
    </row>
    <row r="29" customFormat="false" ht="15" hidden="false" customHeight="false" outlineLevel="0" collapsed="false">
      <c r="A29" s="3" t="s">
        <v>25</v>
      </c>
      <c r="B29" s="16" t="n">
        <v>0.15</v>
      </c>
    </row>
    <row r="30" customFormat="false" ht="15" hidden="false" customHeight="false" outlineLevel="0" collapsed="false">
      <c r="A30" s="3" t="s">
        <v>26</v>
      </c>
      <c r="B30" s="16" t="n">
        <v>0.25</v>
      </c>
    </row>
    <row r="32" customFormat="false" ht="15" hidden="false" customHeight="false" outlineLevel="0" collapsed="false">
      <c r="A32" s="13" t="s">
        <v>78</v>
      </c>
    </row>
    <row r="33" customFormat="false" ht="15" hidden="false" customHeight="false" outlineLevel="0" collapsed="false">
      <c r="A33" s="3" t="s">
        <v>79</v>
      </c>
      <c r="B33" s="16" t="n">
        <v>0.432067520863674</v>
      </c>
    </row>
    <row r="34" customFormat="false" ht="15" hidden="false" customHeight="false" outlineLevel="0" collapsed="false">
      <c r="A34" s="3" t="s">
        <v>80</v>
      </c>
      <c r="B34" s="16" t="n">
        <v>0.109498219994024</v>
      </c>
    </row>
    <row r="35" customFormat="false" ht="15" hidden="false" customHeight="false" outlineLevel="0" collapsed="false">
      <c r="A35" s="3" t="s">
        <v>81</v>
      </c>
      <c r="B35" s="16" t="n">
        <v>0.035</v>
      </c>
    </row>
    <row r="36" customFormat="false" ht="15" hidden="false" customHeight="false" outlineLevel="0" collapsed="false">
      <c r="A36" s="3" t="s">
        <v>82</v>
      </c>
      <c r="B36" s="14" t="n">
        <v>50000</v>
      </c>
    </row>
    <row r="37" customFormat="false" ht="15" hidden="false" customHeight="false" outlineLevel="0" collapsed="false">
      <c r="A37" s="3" t="s">
        <v>83</v>
      </c>
      <c r="B37" s="14" t="n">
        <v>42</v>
      </c>
    </row>
    <row r="38" customFormat="false" ht="15" hidden="false" customHeight="false" outlineLevel="0" collapsed="false">
      <c r="A38" s="3" t="s">
        <v>84</v>
      </c>
      <c r="B38" s="14" t="n">
        <v>60</v>
      </c>
    </row>
    <row r="40" customFormat="false" ht="15" hidden="false" customHeight="false" outlineLevel="0" collapsed="false">
      <c r="A40" s="13" t="s">
        <v>85</v>
      </c>
      <c r="C40" s="5" t="s">
        <v>61</v>
      </c>
      <c r="D40" s="5" t="s">
        <v>62</v>
      </c>
      <c r="E40" s="5" t="s">
        <v>63</v>
      </c>
      <c r="F40" s="5" t="s">
        <v>64</v>
      </c>
      <c r="G40" s="5" t="s">
        <v>65</v>
      </c>
    </row>
    <row r="41" customFormat="false" ht="15" hidden="false" customHeight="false" outlineLevel="0" collapsed="false">
      <c r="A41" s="3" t="s">
        <v>86</v>
      </c>
      <c r="C41" s="16" t="n">
        <v>0.235</v>
      </c>
      <c r="D41" s="16" t="n">
        <v>0.195</v>
      </c>
      <c r="E41" s="16" t="n">
        <v>0.175</v>
      </c>
      <c r="F41" s="16" t="n">
        <v>0.155</v>
      </c>
      <c r="G41" s="16" t="n">
        <v>0.135</v>
      </c>
      <c r="H41" s="4" t="s">
        <v>87</v>
      </c>
    </row>
    <row r="42" customFormat="false" ht="15" hidden="false" customHeight="false" outlineLevel="0" collapsed="false">
      <c r="A42" s="3" t="s">
        <v>88</v>
      </c>
      <c r="C42" s="16" t="n">
        <v>0.18</v>
      </c>
      <c r="D42" s="16" t="n">
        <v>0.185</v>
      </c>
      <c r="E42" s="16" t="n">
        <v>0.19</v>
      </c>
      <c r="F42" s="16" t="n">
        <v>0.195</v>
      </c>
      <c r="G42" s="16" t="n">
        <v>0.2</v>
      </c>
    </row>
    <row r="43" customFormat="false" ht="15" hidden="false" customHeight="false" outlineLevel="0" collapsed="false">
      <c r="A43" s="3" t="s">
        <v>89</v>
      </c>
      <c r="C43" s="16" t="n">
        <v>0.3</v>
      </c>
      <c r="D43" s="16" t="n">
        <v>0.25</v>
      </c>
      <c r="E43" s="16" t="n">
        <v>0.2</v>
      </c>
      <c r="F43" s="16" t="n">
        <v>0.18</v>
      </c>
      <c r="G43" s="16" t="n">
        <v>0.15</v>
      </c>
    </row>
    <row r="44" customFormat="false" ht="15" hidden="false" customHeight="false" outlineLevel="0" collapsed="false">
      <c r="A44" s="3" t="s">
        <v>90</v>
      </c>
      <c r="C44" s="18" t="n">
        <v>0.011</v>
      </c>
      <c r="D44" s="18" t="n">
        <v>0.011</v>
      </c>
      <c r="E44" s="18" t="n">
        <v>0.01</v>
      </c>
      <c r="F44" s="18" t="n">
        <v>0.01</v>
      </c>
      <c r="G44" s="18" t="n">
        <v>0.009</v>
      </c>
      <c r="H44" s="4" t="s">
        <v>91</v>
      </c>
    </row>
    <row r="45" customFormat="false" ht="15" hidden="false" customHeight="false" outlineLevel="0" collapsed="false">
      <c r="A45" s="3" t="s">
        <v>92</v>
      </c>
      <c r="C45" s="16" t="n">
        <v>0.275</v>
      </c>
      <c r="D45" s="16" t="n">
        <v>0.278</v>
      </c>
      <c r="E45" s="16" t="n">
        <v>0.28</v>
      </c>
      <c r="F45" s="16" t="n">
        <v>0.28</v>
      </c>
      <c r="G45" s="16" t="n">
        <v>0.28</v>
      </c>
    </row>
    <row r="46" customFormat="false" ht="15" hidden="false" customHeight="false" outlineLevel="0" collapsed="false">
      <c r="A46" s="3" t="s">
        <v>93</v>
      </c>
      <c r="C46" s="14" t="n">
        <v>80</v>
      </c>
      <c r="D46" s="14" t="n">
        <v>90</v>
      </c>
      <c r="E46" s="14" t="n">
        <v>100</v>
      </c>
      <c r="F46" s="14" t="n">
        <v>110</v>
      </c>
      <c r="G46" s="14" t="n">
        <v>120</v>
      </c>
    </row>
    <row r="47" customFormat="false" ht="15" hidden="false" customHeight="false" outlineLevel="0" collapsed="false">
      <c r="A47" s="3" t="s">
        <v>94</v>
      </c>
      <c r="C47" s="16" t="n">
        <v>0.28</v>
      </c>
      <c r="D47" s="16" t="n">
        <v>0.24</v>
      </c>
      <c r="E47" s="16" t="n">
        <v>0.2</v>
      </c>
      <c r="F47" s="16" t="n">
        <v>0.17</v>
      </c>
      <c r="G47" s="16" t="n">
        <v>0.15</v>
      </c>
    </row>
    <row r="48" customFormat="false" ht="15" hidden="false" customHeight="false" outlineLevel="0" collapsed="false">
      <c r="A48" s="3" t="s">
        <v>95</v>
      </c>
      <c r="B48" s="16" t="n">
        <v>0.57</v>
      </c>
    </row>
    <row r="49" customFormat="false" ht="15" hidden="false" customHeight="false" outlineLevel="0" collapsed="false">
      <c r="A49" s="3" t="s">
        <v>96</v>
      </c>
      <c r="B49" s="16" t="n">
        <v>0.1</v>
      </c>
    </row>
    <row r="50" customFormat="false" ht="15" hidden="false" customHeight="false" outlineLevel="0" collapsed="false">
      <c r="A50" s="3" t="s">
        <v>97</v>
      </c>
      <c r="B50" s="16" t="n">
        <v>0.1</v>
      </c>
    </row>
    <row r="51" customFormat="false" ht="15" hidden="false" customHeight="false" outlineLevel="0" collapsed="false">
      <c r="A51" s="3" t="s">
        <v>98</v>
      </c>
      <c r="B51" s="16" t="n">
        <v>0.1</v>
      </c>
    </row>
    <row r="52" customFormat="false" ht="15" hidden="false" customHeight="false" outlineLevel="0" collapsed="false">
      <c r="A52" s="3" t="s">
        <v>99</v>
      </c>
      <c r="B52" s="19" t="n">
        <f aca="false">B7/B8</f>
        <v>0.106571428571429</v>
      </c>
      <c r="H52" s="4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6"/>
    <col collapsed="false" customWidth="true" hidden="false" outlineLevel="0" max="9" min="3" style="0" width="12"/>
    <col collapsed="false" customWidth="true" hidden="false" outlineLevel="0" max="11" min="11" style="0" width="36"/>
  </cols>
  <sheetData>
    <row r="1" customFormat="false" ht="16.1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4" t="s">
        <v>102</v>
      </c>
    </row>
    <row r="3" customFormat="false" ht="15" hidden="false" customHeight="false" outlineLevel="0" collapsed="false">
      <c r="A3" s="5"/>
      <c r="B3" s="5"/>
      <c r="C3" s="5"/>
      <c r="D3" s="5" t="s">
        <v>103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</row>
    <row r="4" customFormat="false" ht="15" hidden="false" customHeight="false" outlineLevel="0" collapsed="false">
      <c r="A4" s="3" t="s">
        <v>104</v>
      </c>
      <c r="D4" s="7" t="n">
        <f aca="false">'Income Statement'!D14</f>
        <v>8.392</v>
      </c>
      <c r="E4" s="7" t="n">
        <f aca="false">'Income Statement'!E14</f>
        <v>10.5260455</v>
      </c>
      <c r="F4" s="7" t="n">
        <f aca="false">'Income Statement'!F14</f>
        <v>12.3719281380667</v>
      </c>
      <c r="G4" s="7" t="n">
        <f aca="false">'Income Statement'!G14</f>
        <v>14.4806084081333</v>
      </c>
      <c r="H4" s="7" t="n">
        <f aca="false">'Income Statement'!H14</f>
        <v>16.5688188113237</v>
      </c>
      <c r="I4" s="7" t="n">
        <f aca="false">'Income Statement'!I14</f>
        <v>18.8222117234392</v>
      </c>
    </row>
    <row r="5" customFormat="false" ht="15" hidden="false" customHeight="false" outlineLevel="0" collapsed="false">
      <c r="A5" s="3" t="s">
        <v>105</v>
      </c>
      <c r="E5" s="8" t="n">
        <f aca="false">Assumptions!C18</f>
        <v>0</v>
      </c>
      <c r="F5" s="8" t="n">
        <f aca="false">Assumptions!D18</f>
        <v>0.1</v>
      </c>
      <c r="G5" s="8" t="n">
        <f aca="false">Assumptions!E18</f>
        <v>0.15</v>
      </c>
      <c r="H5" s="8" t="n">
        <f aca="false">Assumptions!F18</f>
        <v>0.2</v>
      </c>
      <c r="I5" s="8" t="n">
        <f aca="false">Assumptions!G18</f>
        <v>0.25</v>
      </c>
    </row>
    <row r="6" customFormat="false" ht="15" hidden="false" customHeight="false" outlineLevel="0" collapsed="false">
      <c r="A6" s="9" t="s">
        <v>106</v>
      </c>
      <c r="E6" s="10" t="n">
        <f aca="false">E4*E5</f>
        <v>0</v>
      </c>
      <c r="F6" s="10" t="n">
        <f aca="false">F4*F5</f>
        <v>1.23719281380667</v>
      </c>
      <c r="G6" s="10" t="n">
        <f aca="false">G4*G5</f>
        <v>2.17209126122</v>
      </c>
      <c r="H6" s="10" t="n">
        <f aca="false">H4*H5</f>
        <v>3.31376376226473</v>
      </c>
      <c r="I6" s="10" t="n">
        <f aca="false">I4*I5</f>
        <v>4.7055529308598</v>
      </c>
    </row>
    <row r="7" customFormat="false" ht="15" hidden="false" customHeight="false" outlineLevel="0" collapsed="false">
      <c r="A7" s="3" t="s">
        <v>107</v>
      </c>
      <c r="D7" s="7" t="n">
        <f aca="false">Assumptions!$B$7/Assumptions!$B$5</f>
        <v>24.8666666666667</v>
      </c>
      <c r="E7" s="20" t="n">
        <f aca="false">D7+E4-E6</f>
        <v>35.3927121666667</v>
      </c>
      <c r="F7" s="20" t="n">
        <f aca="false">E7+F4-F6</f>
        <v>46.5274474909267</v>
      </c>
      <c r="G7" s="20" t="n">
        <f aca="false">F7+G4-G6</f>
        <v>58.83596463784</v>
      </c>
      <c r="H7" s="20" t="n">
        <f aca="false">G7+H4-H6</f>
        <v>72.091019686899</v>
      </c>
      <c r="I7" s="20" t="n">
        <f aca="false">H7+I4-I6</f>
        <v>86.2076784794784</v>
      </c>
    </row>
    <row r="8" customFormat="false" ht="15" hidden="false" customHeight="false" outlineLevel="0" collapsed="false">
      <c r="A8" s="3" t="s">
        <v>108</v>
      </c>
      <c r="E8" s="6" t="n">
        <v>0.5</v>
      </c>
      <c r="F8" s="20" t="n">
        <f aca="false">E8+1</f>
        <v>1.5</v>
      </c>
      <c r="G8" s="20" t="n">
        <f aca="false">F8+1</f>
        <v>2.5</v>
      </c>
      <c r="H8" s="20" t="n">
        <f aca="false">G8+1</f>
        <v>3.5</v>
      </c>
      <c r="I8" s="20" t="n">
        <f aca="false">H8+1</f>
        <v>4.5</v>
      </c>
    </row>
    <row r="9" customFormat="false" ht="15" hidden="false" customHeight="false" outlineLevel="0" collapsed="false">
      <c r="A9" s="3" t="s">
        <v>109</v>
      </c>
      <c r="E9" s="20" t="n">
        <f aca="false">1/(1+Assumptions!$D$13)^E8</f>
        <v>0.901669634667432</v>
      </c>
      <c r="F9" s="20" t="n">
        <f aca="false">1/(1+Assumptions!$D$13)^F8</f>
        <v>0.733064743632059</v>
      </c>
      <c r="G9" s="20" t="n">
        <f aca="false">1/(1+Assumptions!$D$13)^G8</f>
        <v>0.595987596448828</v>
      </c>
      <c r="H9" s="20" t="n">
        <f aca="false">1/(1+Assumptions!$D$13)^H8</f>
        <v>0.484542761340511</v>
      </c>
      <c r="I9" s="20" t="n">
        <f aca="false">1/(1+Assumptions!$D$13)^I8</f>
        <v>0.393937204341879</v>
      </c>
    </row>
    <row r="10" customFormat="false" ht="15" hidden="false" customHeight="false" outlineLevel="0" collapsed="false">
      <c r="A10" s="3" t="s">
        <v>110</v>
      </c>
      <c r="E10" s="20" t="n">
        <f aca="false">E6*E9</f>
        <v>0</v>
      </c>
      <c r="F10" s="20" t="n">
        <f aca="false">F6*F9</f>
        <v>0.90694243287661</v>
      </c>
      <c r="G10" s="20" t="n">
        <f aca="false">G6*G9</f>
        <v>1.29453945004201</v>
      </c>
      <c r="H10" s="20" t="n">
        <f aca="false">H6*H9</f>
        <v>1.60566024379787</v>
      </c>
      <c r="I10" s="20" t="n">
        <f aca="false">I6*I9</f>
        <v>1.85369236646564</v>
      </c>
    </row>
    <row r="12" customFormat="false" ht="15" hidden="false" customHeight="false" outlineLevel="0" collapsed="false">
      <c r="A12" s="3" t="s">
        <v>111</v>
      </c>
      <c r="C12" s="10" t="n">
        <f aca="false">SUM(E10:I10)</f>
        <v>5.66083449318214</v>
      </c>
    </row>
    <row r="13" customFormat="false" ht="15" hidden="false" customHeight="false" outlineLevel="0" collapsed="false">
      <c r="A13" s="3" t="s">
        <v>112</v>
      </c>
      <c r="C13" s="12" t="n">
        <f aca="false">(Assumptions!$D$15-Assumptions!$D$14)/(Assumptions!$D$13-Assumptions!$D$14)</f>
        <v>1.41666666666667</v>
      </c>
    </row>
    <row r="14" customFormat="false" ht="15" hidden="false" customHeight="false" outlineLevel="0" collapsed="false">
      <c r="A14" s="3" t="s">
        <v>113</v>
      </c>
      <c r="C14" s="20" t="n">
        <f aca="false">C13*I7</f>
        <v>122.127544512594</v>
      </c>
    </row>
    <row r="15" customFormat="false" ht="15" hidden="false" customHeight="false" outlineLevel="0" collapsed="false">
      <c r="A15" s="3" t="s">
        <v>114</v>
      </c>
      <c r="C15" s="20" t="n">
        <f aca="false">C14*I9</f>
        <v>48.1105834584298</v>
      </c>
    </row>
    <row r="16" customFormat="false" ht="15" hidden="false" customHeight="false" outlineLevel="0" collapsed="false">
      <c r="A16" s="9" t="s">
        <v>115</v>
      </c>
      <c r="C16" s="10" t="n">
        <f aca="false">C12+C15</f>
        <v>53.7714179516119</v>
      </c>
    </row>
    <row r="18" customFormat="false" ht="15" hidden="false" customHeight="false" outlineLevel="0" collapsed="false">
      <c r="A18" s="2" t="s">
        <v>116</v>
      </c>
      <c r="C18" s="5" t="s">
        <v>19</v>
      </c>
      <c r="D18" s="5" t="s">
        <v>20</v>
      </c>
      <c r="E18" s="5" t="s">
        <v>21</v>
      </c>
    </row>
    <row r="19" customFormat="false" ht="15" hidden="false" customHeight="false" outlineLevel="0" collapsed="false">
      <c r="C19" s="6" t="n">
        <v>26.4</v>
      </c>
      <c r="D19" s="20" t="n">
        <f aca="false">C16</f>
        <v>53.7714179516119</v>
      </c>
      <c r="E19" s="6" t="n">
        <v>113.4</v>
      </c>
      <c r="K19" s="4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54"/>
  </cols>
  <sheetData>
    <row r="1" customFormat="false" ht="16.15" hidden="false" customHeight="false" outlineLevel="0" collapsed="false">
      <c r="A1" s="1" t="s">
        <v>118</v>
      </c>
    </row>
    <row r="3" customFormat="false" ht="15" hidden="false" customHeight="false" outlineLevel="0" collapsed="false">
      <c r="A3" s="13" t="s">
        <v>119</v>
      </c>
    </row>
    <row r="4" customFormat="false" ht="15" hidden="false" customHeight="false" outlineLevel="0" collapsed="false">
      <c r="A4" s="5" t="s">
        <v>120</v>
      </c>
      <c r="B4" s="5" t="s">
        <v>121</v>
      </c>
      <c r="C4" s="5" t="s">
        <v>122</v>
      </c>
      <c r="D4" s="5" t="s">
        <v>123</v>
      </c>
    </row>
    <row r="5" customFormat="false" ht="15" hidden="false" customHeight="false" outlineLevel="0" collapsed="false">
      <c r="A5" s="3" t="s">
        <v>124</v>
      </c>
      <c r="B5" s="16" t="n">
        <v>0.55</v>
      </c>
      <c r="C5" s="21" t="n">
        <f aca="false">B5*Assumptions!$B$10</f>
        <v>87450</v>
      </c>
      <c r="D5" s="4" t="s">
        <v>125</v>
      </c>
    </row>
    <row r="6" customFormat="false" ht="15" hidden="false" customHeight="false" outlineLevel="0" collapsed="false">
      <c r="A6" s="3" t="s">
        <v>126</v>
      </c>
      <c r="B6" s="16" t="n">
        <v>0.3</v>
      </c>
      <c r="C6" s="21" t="n">
        <f aca="false">B6*Assumptions!$B$10</f>
        <v>47700</v>
      </c>
      <c r="D6" s="4" t="s">
        <v>127</v>
      </c>
    </row>
    <row r="7" customFormat="false" ht="15" hidden="false" customHeight="false" outlineLevel="0" collapsed="false">
      <c r="A7" s="3" t="s">
        <v>128</v>
      </c>
      <c r="B7" s="16" t="n">
        <v>0.1</v>
      </c>
      <c r="C7" s="21" t="n">
        <f aca="false">B7*Assumptions!$B$10</f>
        <v>15900</v>
      </c>
      <c r="D7" s="4" t="s">
        <v>129</v>
      </c>
    </row>
    <row r="8" customFormat="false" ht="15" hidden="false" customHeight="false" outlineLevel="0" collapsed="false">
      <c r="A8" s="3" t="s">
        <v>130</v>
      </c>
      <c r="B8" s="16" t="n">
        <v>0.05</v>
      </c>
      <c r="C8" s="21" t="n">
        <f aca="false">B8*Assumptions!$B$10</f>
        <v>7950</v>
      </c>
      <c r="D8" s="4" t="s">
        <v>131</v>
      </c>
    </row>
    <row r="9" customFormat="false" ht="15" hidden="false" customHeight="false" outlineLevel="0" collapsed="false">
      <c r="A9" s="9" t="s">
        <v>132</v>
      </c>
      <c r="B9" s="11" t="n">
        <f aca="false">SUM(B5:B8)</f>
        <v>1</v>
      </c>
      <c r="C9" s="22" t="n">
        <f aca="false">SUM(C5:C8)</f>
        <v>159000</v>
      </c>
    </row>
    <row r="11" customFormat="false" ht="15" hidden="false" customHeight="false" outlineLevel="0" collapsed="false">
      <c r="A11" s="13" t="s">
        <v>133</v>
      </c>
    </row>
    <row r="12" customFormat="false" ht="15" hidden="false" customHeight="false" outlineLevel="0" collapsed="false">
      <c r="A12" s="5" t="s">
        <v>134</v>
      </c>
      <c r="B12" s="5" t="s">
        <v>135</v>
      </c>
      <c r="C12" s="5" t="s">
        <v>122</v>
      </c>
      <c r="D12" s="5" t="s">
        <v>123</v>
      </c>
    </row>
    <row r="13" customFormat="false" ht="15" hidden="false" customHeight="false" outlineLevel="0" collapsed="false">
      <c r="A13" s="3" t="s">
        <v>136</v>
      </c>
      <c r="B13" s="16" t="n">
        <v>0.854</v>
      </c>
      <c r="C13" s="21" t="n">
        <f aca="false">B13*'Income Statement'!$D$6</f>
        <v>20154.4</v>
      </c>
      <c r="D13" s="4" t="s">
        <v>137</v>
      </c>
    </row>
    <row r="14" customFormat="false" ht="15" hidden="false" customHeight="false" outlineLevel="0" collapsed="false">
      <c r="A14" s="3" t="s">
        <v>138</v>
      </c>
      <c r="B14" s="16" t="n">
        <v>0.146</v>
      </c>
      <c r="C14" s="21" t="n">
        <f aca="false">B14*'Income Statement'!$D$6</f>
        <v>3445.6</v>
      </c>
      <c r="D14" s="4" t="s">
        <v>139</v>
      </c>
    </row>
    <row r="16" customFormat="false" ht="15" hidden="false" customHeight="false" outlineLevel="0" collapsed="false">
      <c r="A16" s="4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4" min="2" style="0" width="12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141</v>
      </c>
    </row>
    <row r="3" customFormat="false" ht="15" hidden="false" customHeight="false" outlineLevel="0" collapsed="false">
      <c r="A3" s="13" t="s">
        <v>142</v>
      </c>
    </row>
    <row r="4" customFormat="false" ht="15" hidden="false" customHeight="false" outlineLevel="0" collapsed="false">
      <c r="A4" s="9" t="s">
        <v>143</v>
      </c>
      <c r="C4" s="10" t="n">
        <f aca="false">(Assumptions!$B$21*DDM!$D$7+Assumptions!$B$22*'Income Statement'!$E$14)/2</f>
        <v>56.2999584583333</v>
      </c>
    </row>
    <row r="5" customFormat="false" ht="15" hidden="false" customHeight="false" outlineLevel="0" collapsed="false">
      <c r="A5" s="4" t="s">
        <v>144</v>
      </c>
      <c r="B5" s="20" t="n">
        <f aca="false">Assumptions!$B$21*DDM!$D$7</f>
        <v>54.7066666666667</v>
      </c>
      <c r="C5" s="20" t="n">
        <f aca="false">Assumptions!$B$22*'Income Statement'!$E$14</f>
        <v>57.89325025</v>
      </c>
    </row>
    <row r="6" customFormat="false" ht="15" hidden="false" customHeight="false" outlineLevel="0" collapsed="false">
      <c r="A6" s="9" t="s">
        <v>145</v>
      </c>
      <c r="C6" s="10" t="n">
        <f aca="false">Assumptions!$B$23*Assumptions!$B$24</f>
        <v>54</v>
      </c>
    </row>
    <row r="8" customFormat="false" ht="15" hidden="false" customHeight="false" outlineLevel="0" collapsed="false">
      <c r="A8" s="2" t="s">
        <v>146</v>
      </c>
    </row>
    <row r="9" customFormat="false" ht="15" hidden="false" customHeight="false" outlineLevel="0" collapsed="false">
      <c r="A9" s="3" t="s">
        <v>147</v>
      </c>
      <c r="C9" s="12" t="n">
        <f aca="false">Assumptions!$B$4/'Income Statement'!$D$14</f>
        <v>5.55767397521449</v>
      </c>
      <c r="K9" s="4" t="s">
        <v>148</v>
      </c>
    </row>
    <row r="10" customFormat="false" ht="15" hidden="false" customHeight="false" outlineLevel="0" collapsed="false">
      <c r="A10" s="3" t="s">
        <v>149</v>
      </c>
      <c r="C10" s="12" t="n">
        <f aca="false">Assumptions!$B$4/DDM!$D$7</f>
        <v>1.87560321715818</v>
      </c>
    </row>
    <row r="11" customFormat="false" ht="15" hidden="false" customHeight="false" outlineLevel="0" collapsed="false">
      <c r="A11" s="3" t="s">
        <v>150</v>
      </c>
      <c r="C11" s="16" t="n">
        <v>0.44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6"/>
    <col collapsed="false" customWidth="true" hidden="false" outlineLevel="0" max="9" min="3" style="0" width="12"/>
    <col collapsed="false" customWidth="true" hidden="false" outlineLevel="0" max="11" min="11" style="0" width="38"/>
  </cols>
  <sheetData>
    <row r="1" customFormat="false" ht="16.1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4" t="s">
        <v>152</v>
      </c>
    </row>
    <row r="3" customFormat="false" ht="15" hidden="false" customHeight="false" outlineLevel="0" collapsed="false">
      <c r="A3" s="5"/>
      <c r="B3" s="5"/>
      <c r="C3" s="5"/>
      <c r="D3" s="5" t="s">
        <v>103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</row>
    <row r="4" customFormat="false" ht="15" hidden="false" customHeight="false" outlineLevel="0" collapsed="false">
      <c r="A4" s="3" t="s">
        <v>153</v>
      </c>
      <c r="E4" s="23" t="n">
        <f aca="false">'Income Statement'!E13</f>
        <v>15789.06825</v>
      </c>
      <c r="F4" s="23" t="n">
        <f aca="false">'Income Statement'!F13</f>
        <v>18557.8922071</v>
      </c>
      <c r="G4" s="23" t="n">
        <f aca="false">'Income Statement'!G13</f>
        <v>21720.9126122</v>
      </c>
      <c r="H4" s="23" t="n">
        <f aca="false">'Income Statement'!H13</f>
        <v>24853.2282169855</v>
      </c>
      <c r="I4" s="23" t="n">
        <f aca="false">'Income Statement'!I13</f>
        <v>28233.3175851588</v>
      </c>
    </row>
    <row r="5" customFormat="false" ht="15" hidden="false" customHeight="false" outlineLevel="0" collapsed="false">
      <c r="A5" s="3" t="s">
        <v>154</v>
      </c>
      <c r="D5" s="23" t="n">
        <f aca="false">'Balance Sheet'!D8</f>
        <v>350000</v>
      </c>
      <c r="E5" s="23" t="n">
        <f aca="false">'Balance Sheet'!E8</f>
        <v>453890.647197368</v>
      </c>
      <c r="F5" s="23" t="n">
        <f aca="false">'Balance Sheet'!F8</f>
        <v>565067.644920601</v>
      </c>
      <c r="G5" s="23" t="n">
        <f aca="false">'Balance Sheet'!G8</f>
        <v>678387.015377813</v>
      </c>
      <c r="H5" s="23" t="n">
        <f aca="false">'Balance Sheet'!H8</f>
        <v>800798.694267191</v>
      </c>
      <c r="I5" s="23" t="n">
        <f aca="false">'Balance Sheet'!I8</f>
        <v>923332.793666586</v>
      </c>
    </row>
    <row r="6" customFormat="false" ht="15" hidden="false" customHeight="false" outlineLevel="0" collapsed="false">
      <c r="A6" s="3" t="s">
        <v>155</v>
      </c>
      <c r="E6" s="21" t="n">
        <f aca="false">E5-D5</f>
        <v>103890.647197368</v>
      </c>
      <c r="F6" s="21" t="n">
        <f aca="false">F5-E5</f>
        <v>111176.997723232</v>
      </c>
      <c r="G6" s="21" t="n">
        <f aca="false">G5-F5</f>
        <v>113319.370457212</v>
      </c>
      <c r="H6" s="21" t="n">
        <f aca="false">H5-G5</f>
        <v>122411.678889378</v>
      </c>
      <c r="I6" s="21" t="n">
        <f aca="false">I5-H5</f>
        <v>122534.099399395</v>
      </c>
    </row>
    <row r="7" customFormat="false" ht="15" hidden="false" customHeight="false" outlineLevel="0" collapsed="false">
      <c r="A7" s="3" t="s">
        <v>156</v>
      </c>
      <c r="C7" s="8" t="n">
        <f aca="false">Assumptions!$B$52</f>
        <v>0.106571428571429</v>
      </c>
    </row>
    <row r="8" customFormat="false" ht="15" hidden="false" customHeight="false" outlineLevel="0" collapsed="false">
      <c r="A8" s="3" t="s">
        <v>157</v>
      </c>
      <c r="E8" s="21" t="n">
        <f aca="false">$C$7*E6</f>
        <v>11071.7746870338</v>
      </c>
      <c r="F8" s="21" t="n">
        <f aca="false">$C$7*F6</f>
        <v>11848.2914716473</v>
      </c>
      <c r="G8" s="21" t="n">
        <f aca="false">$C$7*G6</f>
        <v>12076.60719444</v>
      </c>
      <c r="H8" s="21" t="n">
        <f aca="false">$C$7*H6</f>
        <v>13045.587493068</v>
      </c>
      <c r="I8" s="21" t="n">
        <f aca="false">$C$7*I6</f>
        <v>13058.634021707</v>
      </c>
    </row>
    <row r="9" customFormat="false" ht="15" hidden="false" customHeight="false" outlineLevel="0" collapsed="false">
      <c r="A9" s="9" t="s">
        <v>158</v>
      </c>
      <c r="E9" s="22" t="n">
        <f aca="false">MAX(E4-E8,0)</f>
        <v>4717.29356296616</v>
      </c>
      <c r="F9" s="22" t="n">
        <f aca="false">MAX(F4-F8,0)</f>
        <v>6709.60073545269</v>
      </c>
      <c r="G9" s="22" t="n">
        <f aca="false">MAX(G4-G8,0)</f>
        <v>9644.30541775996</v>
      </c>
      <c r="H9" s="22" t="n">
        <f aca="false">MAX(H4-H8,0)</f>
        <v>11807.6407239175</v>
      </c>
      <c r="I9" s="22" t="n">
        <f aca="false">MAX(I4-I8,0)</f>
        <v>15174.6835634518</v>
      </c>
    </row>
    <row r="10" customFormat="false" ht="15" hidden="false" customHeight="false" outlineLevel="0" collapsed="false">
      <c r="A10" s="9" t="s">
        <v>159</v>
      </c>
      <c r="E10" s="10" t="n">
        <f aca="false">E9/Assumptions!$B$5</f>
        <v>3.14486237531078</v>
      </c>
      <c r="F10" s="10" t="n">
        <f aca="false">F9/Assumptions!$B$5</f>
        <v>4.47306715696846</v>
      </c>
      <c r="G10" s="10" t="n">
        <f aca="false">G9/Assumptions!$B$5</f>
        <v>6.42953694517331</v>
      </c>
      <c r="H10" s="10" t="n">
        <f aca="false">H9/Assumptions!$B$5</f>
        <v>7.87176048261168</v>
      </c>
      <c r="I10" s="10" t="n">
        <f aca="false">I9/Assumptions!$B$5</f>
        <v>10.1164557089679</v>
      </c>
    </row>
    <row r="11" customFormat="false" ht="15" hidden="false" customHeight="false" outlineLevel="0" collapsed="false">
      <c r="A11" s="3" t="s">
        <v>160</v>
      </c>
      <c r="C11" s="8" t="n">
        <f aca="false">Assumptions!$D$13</f>
        <v>0.23</v>
      </c>
      <c r="K11" s="4" t="s">
        <v>161</v>
      </c>
    </row>
    <row r="12" customFormat="false" ht="15" hidden="false" customHeight="false" outlineLevel="0" collapsed="false">
      <c r="A12" s="3" t="s">
        <v>162</v>
      </c>
      <c r="D12" s="7" t="n">
        <f aca="false">DDM!D7</f>
        <v>24.8666666666667</v>
      </c>
      <c r="E12" s="20" t="n">
        <f aca="false">D12+'Income Statement'!E14-E10</f>
        <v>32.2478497913559</v>
      </c>
      <c r="F12" s="20" t="n">
        <f aca="false">E12+'Income Statement'!F14-F10</f>
        <v>40.1467107724541</v>
      </c>
      <c r="G12" s="20" t="n">
        <f aca="false">F12+'Income Statement'!G14-G10</f>
        <v>48.1977822354141</v>
      </c>
      <c r="H12" s="20" t="n">
        <f aca="false">G12+'Income Statement'!H14-H10</f>
        <v>56.8948405641261</v>
      </c>
      <c r="I12" s="20" t="n">
        <f aca="false">H12+'Income Statement'!I14-I10</f>
        <v>65.6005965785974</v>
      </c>
    </row>
    <row r="13" customFormat="false" ht="15" hidden="false" customHeight="false" outlineLevel="0" collapsed="false">
      <c r="A13" s="3" t="s">
        <v>109</v>
      </c>
      <c r="E13" s="20" t="n">
        <f aca="false">1/(1+$C$11)^DDM!E8</f>
        <v>0.901669634667432</v>
      </c>
      <c r="F13" s="20" t="n">
        <f aca="false">1/(1+$C$11)^DDM!F8</f>
        <v>0.733064743632059</v>
      </c>
      <c r="G13" s="20" t="n">
        <f aca="false">1/(1+$C$11)^DDM!G8</f>
        <v>0.595987596448828</v>
      </c>
      <c r="H13" s="20" t="n">
        <f aca="false">1/(1+$C$11)^DDM!H8</f>
        <v>0.484542761340511</v>
      </c>
      <c r="I13" s="20" t="n">
        <f aca="false">1/(1+$C$11)^DDM!I8</f>
        <v>0.393937204341879</v>
      </c>
    </row>
    <row r="14" customFormat="false" ht="15" hidden="false" customHeight="false" outlineLevel="0" collapsed="false">
      <c r="A14" s="9" t="s">
        <v>163</v>
      </c>
      <c r="E14" s="10" t="n">
        <f aca="false">E10*E13</f>
        <v>2.83562690902582</v>
      </c>
      <c r="F14" s="10" t="n">
        <f aca="false">F10*F13</f>
        <v>3.27904782867207</v>
      </c>
      <c r="G14" s="10" t="n">
        <f aca="false">G10*G13</f>
        <v>3.83192427023278</v>
      </c>
      <c r="H14" s="10" t="n">
        <f aca="false">H10*H13</f>
        <v>3.81420456085578</v>
      </c>
      <c r="I14" s="10" t="n">
        <f aca="false">I10*I13</f>
        <v>3.98524827983924</v>
      </c>
    </row>
    <row r="16" customFormat="false" ht="15" hidden="false" customHeight="false" outlineLevel="0" collapsed="false">
      <c r="A16" s="3" t="s">
        <v>164</v>
      </c>
      <c r="C16" s="10" t="n">
        <f aca="false">SUM(E14:I14)</f>
        <v>17.7460518486257</v>
      </c>
    </row>
    <row r="17" customFormat="false" ht="15" hidden="false" customHeight="false" outlineLevel="0" collapsed="false">
      <c r="A17" s="3" t="s">
        <v>165</v>
      </c>
      <c r="C17" s="20" t="n">
        <f aca="false">DDM!C13*I12</f>
        <v>92.9341784863464</v>
      </c>
    </row>
    <row r="18" customFormat="false" ht="15" hidden="false" customHeight="false" outlineLevel="0" collapsed="false">
      <c r="A18" s="3" t="s">
        <v>114</v>
      </c>
      <c r="C18" s="20" t="n">
        <f aca="false">C17*I13</f>
        <v>36.6102304607205</v>
      </c>
    </row>
    <row r="19" customFormat="false" ht="15" hidden="false" customHeight="false" outlineLevel="0" collapsed="false">
      <c r="A19" s="9" t="s">
        <v>166</v>
      </c>
      <c r="C19" s="10" t="n">
        <f aca="false">C16+C18</f>
        <v>54.3562823093462</v>
      </c>
    </row>
    <row r="21" customFormat="false" ht="15" hidden="false" customHeight="false" outlineLevel="0" collapsed="false">
      <c r="A21" s="2" t="s">
        <v>167</v>
      </c>
      <c r="C21" s="5" t="s">
        <v>19</v>
      </c>
      <c r="D21" s="5" t="s">
        <v>20</v>
      </c>
      <c r="E21" s="5" t="s">
        <v>21</v>
      </c>
    </row>
    <row r="22" customFormat="false" ht="15" hidden="false" customHeight="false" outlineLevel="0" collapsed="false">
      <c r="C22" s="6" t="n">
        <v>31.3</v>
      </c>
      <c r="D22" s="20" t="n">
        <f aca="false">C19</f>
        <v>54.3562823093462</v>
      </c>
      <c r="E22" s="6" t="n">
        <v>97.4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2"/>
    <col collapsed="false" customWidth="true" hidden="false" outlineLevel="0" max="11" min="11" style="0" width="38"/>
  </cols>
  <sheetData>
    <row r="1" customFormat="false" ht="16.1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4" t="s">
        <v>169</v>
      </c>
    </row>
    <row r="3" customFormat="false" ht="15" hidden="false" customHeight="false" outlineLevel="0" collapsed="false">
      <c r="A3" s="5"/>
      <c r="B3" s="5" t="s">
        <v>170</v>
      </c>
      <c r="C3" s="5" t="s">
        <v>171</v>
      </c>
      <c r="D3" s="5" t="s">
        <v>103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</row>
    <row r="4" customFormat="false" ht="15" hidden="false" customHeight="false" outlineLevel="0" collapsed="false">
      <c r="A4" s="3" t="s">
        <v>136</v>
      </c>
      <c r="B4" s="14" t="n">
        <v>8900</v>
      </c>
      <c r="C4" s="14" t="n">
        <v>15252</v>
      </c>
      <c r="D4" s="14" t="n">
        <v>20152</v>
      </c>
      <c r="E4" s="21" t="n">
        <f aca="false">D4*(1+Assumptions!C41)</f>
        <v>24887.72</v>
      </c>
      <c r="F4" s="21" t="n">
        <f aca="false">E4*(1+Assumptions!D41)</f>
        <v>29740.8254</v>
      </c>
      <c r="G4" s="21" t="n">
        <f aca="false">F4*(1+Assumptions!E41)</f>
        <v>34945.469845</v>
      </c>
      <c r="H4" s="21" t="n">
        <f aca="false">G4*(1+Assumptions!F41)</f>
        <v>40362.017670975</v>
      </c>
      <c r="I4" s="21" t="n">
        <f aca="false">H4*(1+Assumptions!G41)</f>
        <v>45810.8900565566</v>
      </c>
      <c r="K4" s="4" t="s">
        <v>172</v>
      </c>
    </row>
    <row r="5" customFormat="false" ht="15" hidden="false" customHeight="false" outlineLevel="0" collapsed="false">
      <c r="A5" s="3" t="s">
        <v>173</v>
      </c>
      <c r="B5" s="14" t="n">
        <v>2000</v>
      </c>
      <c r="C5" s="14" t="n">
        <v>2758</v>
      </c>
      <c r="D5" s="14" t="n">
        <v>3448</v>
      </c>
      <c r="E5" s="21" t="n">
        <f aca="false">D5*(1+Assumptions!C41)</f>
        <v>4258.28</v>
      </c>
      <c r="F5" s="21" t="n">
        <f aca="false">E5*(1+Assumptions!D41)</f>
        <v>5088.6446</v>
      </c>
      <c r="G5" s="21" t="n">
        <f aca="false">F5*(1+Assumptions!E41)</f>
        <v>5979.157405</v>
      </c>
      <c r="H5" s="21" t="n">
        <f aca="false">G5*(1+Assumptions!F41)</f>
        <v>6905.926802775</v>
      </c>
      <c r="I5" s="21" t="n">
        <f aca="false">H5*(1+Assumptions!G41)</f>
        <v>7838.22692114963</v>
      </c>
    </row>
    <row r="6" customFormat="false" ht="15" hidden="false" customHeight="false" outlineLevel="0" collapsed="false">
      <c r="A6" s="9" t="s">
        <v>174</v>
      </c>
      <c r="B6" s="22" t="n">
        <f aca="false">B4+B5</f>
        <v>10900</v>
      </c>
      <c r="C6" s="22" t="n">
        <f aca="false">C4+C5</f>
        <v>18010</v>
      </c>
      <c r="D6" s="22" t="n">
        <f aca="false">D4+D5</f>
        <v>23600</v>
      </c>
      <c r="E6" s="22" t="n">
        <f aca="false">E4+E5</f>
        <v>29146</v>
      </c>
      <c r="F6" s="22" t="n">
        <f aca="false">F4+F5</f>
        <v>34829.47</v>
      </c>
      <c r="G6" s="22" t="n">
        <f aca="false">G4+G5</f>
        <v>40924.62725</v>
      </c>
      <c r="H6" s="22" t="n">
        <f aca="false">H4+H5</f>
        <v>47267.94447375</v>
      </c>
      <c r="I6" s="22" t="n">
        <f aca="false">I4+I5</f>
        <v>53649.1169777063</v>
      </c>
    </row>
    <row r="7" customFormat="false" ht="15" hidden="false" customHeight="false" outlineLevel="0" collapsed="false">
      <c r="A7" s="3" t="s">
        <v>175</v>
      </c>
      <c r="B7" s="14" t="n">
        <v>-2830</v>
      </c>
      <c r="C7" s="14" t="n">
        <v>-3420</v>
      </c>
      <c r="D7" s="14" t="n">
        <v>-4060</v>
      </c>
      <c r="E7" s="21" t="n">
        <f aca="false">-Assumptions!C42*E6</f>
        <v>-5246.28</v>
      </c>
      <c r="F7" s="21" t="n">
        <f aca="false">-Assumptions!D42*F6</f>
        <v>-6443.45195</v>
      </c>
      <c r="G7" s="21" t="n">
        <f aca="false">-Assumptions!E42*G6</f>
        <v>-7775.6791775</v>
      </c>
      <c r="H7" s="21" t="n">
        <f aca="false">-Assumptions!F42*H6</f>
        <v>-9217.24917238125</v>
      </c>
      <c r="I7" s="21" t="n">
        <f aca="false">-Assumptions!G42*I6</f>
        <v>-10729.8233955413</v>
      </c>
      <c r="K7" s="4" t="s">
        <v>176</v>
      </c>
    </row>
    <row r="8" customFormat="false" ht="15" hidden="false" customHeight="false" outlineLevel="0" collapsed="false">
      <c r="A8" s="3" t="s">
        <v>177</v>
      </c>
      <c r="B8" s="14" t="n">
        <v>-1470</v>
      </c>
      <c r="C8" s="14" t="n">
        <v>-2180</v>
      </c>
      <c r="D8" s="14" t="n">
        <v>-1940</v>
      </c>
      <c r="E8" s="21" t="n">
        <f aca="false">-Assumptions!C44*(('Balance Sheet'!D6+'Balance Sheet'!E6)/2)</f>
        <v>-2011.35</v>
      </c>
      <c r="F8" s="21" t="n">
        <f aca="false">-Assumptions!D44*(('Balance Sheet'!E6+'Balance Sheet'!F6)/2)</f>
        <v>-2557.9125</v>
      </c>
      <c r="G8" s="21" t="n">
        <f aca="false">-Assumptions!E44*(('Balance Sheet'!F6+'Balance Sheet'!G6)/2)</f>
        <v>-2842.125</v>
      </c>
      <c r="H8" s="21" t="n">
        <f aca="false">-Assumptions!F44*(('Balance Sheet'!G6+'Balance Sheet'!H6)/2)</f>
        <v>-3379.545</v>
      </c>
      <c r="I8" s="21" t="n">
        <f aca="false">-Assumptions!G44*(('Balance Sheet'!H6+'Balance Sheet'!I6)/2)</f>
        <v>-3539.685825</v>
      </c>
    </row>
    <row r="9" customFormat="false" ht="15" hidden="false" customHeight="false" outlineLevel="0" collapsed="false">
      <c r="A9" s="9" t="s">
        <v>178</v>
      </c>
      <c r="B9" s="22" t="n">
        <f aca="false">B6+B7+B8</f>
        <v>6600</v>
      </c>
      <c r="C9" s="22" t="n">
        <f aca="false">C6+C7+C8</f>
        <v>12410</v>
      </c>
      <c r="D9" s="22" t="n">
        <f aca="false">D6+D7+D8</f>
        <v>17600</v>
      </c>
      <c r="E9" s="22" t="n">
        <f aca="false">E6+E7+E8</f>
        <v>21888.37</v>
      </c>
      <c r="F9" s="22" t="n">
        <f aca="false">F6+F7+F8</f>
        <v>25828.10555</v>
      </c>
      <c r="G9" s="22" t="n">
        <f aca="false">G6+G7+G8</f>
        <v>30306.8230725</v>
      </c>
      <c r="H9" s="22" t="n">
        <f aca="false">H6+H7+H8</f>
        <v>34671.1503013688</v>
      </c>
      <c r="I9" s="22" t="n">
        <f aca="false">I6+I7+I8</f>
        <v>39379.607757165</v>
      </c>
    </row>
    <row r="10" customFormat="false" ht="15" hidden="false" customHeight="false" outlineLevel="0" collapsed="false">
      <c r="A10" s="3" t="s">
        <v>179</v>
      </c>
      <c r="B10" s="14" t="n">
        <v>-1810</v>
      </c>
      <c r="C10" s="14" t="n">
        <v>-3290</v>
      </c>
      <c r="D10" s="14" t="n">
        <v>-4880</v>
      </c>
      <c r="E10" s="21" t="n">
        <f aca="false">-Assumptions!C45*E9</f>
        <v>-6019.30175</v>
      </c>
      <c r="F10" s="21" t="n">
        <f aca="false">-Assumptions!D45*F9</f>
        <v>-7180.2133429</v>
      </c>
      <c r="G10" s="21" t="n">
        <f aca="false">-Assumptions!E45*G9</f>
        <v>-8485.9104603</v>
      </c>
      <c r="H10" s="21" t="n">
        <f aca="false">-Assumptions!F45*H9</f>
        <v>-9707.92208438325</v>
      </c>
      <c r="I10" s="21" t="n">
        <f aca="false">-Assumptions!G45*I9</f>
        <v>-11026.2901720062</v>
      </c>
      <c r="K10" s="4" t="s">
        <v>180</v>
      </c>
    </row>
    <row r="11" customFormat="false" ht="15" hidden="false" customHeight="false" outlineLevel="0" collapsed="false">
      <c r="A11" s="9" t="s">
        <v>181</v>
      </c>
      <c r="B11" s="22" t="n">
        <f aca="false">B9+B10</f>
        <v>4790</v>
      </c>
      <c r="C11" s="22" t="n">
        <f aca="false">C9+C10</f>
        <v>9120</v>
      </c>
      <c r="D11" s="22" t="n">
        <f aca="false">D9+D10</f>
        <v>12720</v>
      </c>
      <c r="E11" s="22" t="n">
        <f aca="false">E9+E10</f>
        <v>15869.06825</v>
      </c>
      <c r="F11" s="22" t="n">
        <f aca="false">F9+F10</f>
        <v>18647.8922071</v>
      </c>
      <c r="G11" s="22" t="n">
        <f aca="false">G9+G10</f>
        <v>21820.9126122</v>
      </c>
      <c r="H11" s="22" t="n">
        <f aca="false">H9+H10</f>
        <v>24963.2282169855</v>
      </c>
      <c r="I11" s="22" t="n">
        <f aca="false">I9+I10</f>
        <v>28353.3175851588</v>
      </c>
    </row>
    <row r="12" customFormat="false" ht="15" hidden="false" customHeight="false" outlineLevel="0" collapsed="false">
      <c r="A12" s="3" t="s">
        <v>182</v>
      </c>
      <c r="B12" s="14" t="n">
        <v>-90</v>
      </c>
      <c r="C12" s="14" t="n">
        <v>-112</v>
      </c>
      <c r="D12" s="14" t="n">
        <v>-132</v>
      </c>
      <c r="E12" s="21" t="n">
        <f aca="false">-Assumptions!C46</f>
        <v>-80</v>
      </c>
      <c r="F12" s="21" t="n">
        <f aca="false">-Assumptions!D46</f>
        <v>-90</v>
      </c>
      <c r="G12" s="21" t="n">
        <f aca="false">-Assumptions!E46</f>
        <v>-100</v>
      </c>
      <c r="H12" s="21" t="n">
        <f aca="false">-Assumptions!F46</f>
        <v>-110</v>
      </c>
      <c r="I12" s="21" t="n">
        <f aca="false">-Assumptions!G46</f>
        <v>-120</v>
      </c>
    </row>
    <row r="13" customFormat="false" ht="15" hidden="false" customHeight="false" outlineLevel="0" collapsed="false">
      <c r="A13" s="9" t="s">
        <v>183</v>
      </c>
      <c r="B13" s="22" t="n">
        <f aca="false">B11+B12</f>
        <v>4700</v>
      </c>
      <c r="C13" s="22" t="n">
        <f aca="false">C11+C12</f>
        <v>9008</v>
      </c>
      <c r="D13" s="22" t="n">
        <f aca="false">D11+D12</f>
        <v>12588</v>
      </c>
      <c r="E13" s="22" t="n">
        <f aca="false">E11+E12</f>
        <v>15789.06825</v>
      </c>
      <c r="F13" s="22" t="n">
        <f aca="false">F11+F12</f>
        <v>18557.8922071</v>
      </c>
      <c r="G13" s="22" t="n">
        <f aca="false">G11+G12</f>
        <v>21720.9126122</v>
      </c>
      <c r="H13" s="22" t="n">
        <f aca="false">H11+H12</f>
        <v>24853.2282169855</v>
      </c>
      <c r="I13" s="22" t="n">
        <f aca="false">I11+I12</f>
        <v>28233.3175851588</v>
      </c>
    </row>
    <row r="14" customFormat="false" ht="15" hidden="false" customHeight="false" outlineLevel="0" collapsed="false">
      <c r="A14" s="9" t="s">
        <v>184</v>
      </c>
      <c r="B14" s="10" t="n">
        <f aca="false">B13/Assumptions!$B$5</f>
        <v>3.13333333333333</v>
      </c>
      <c r="C14" s="10" t="n">
        <f aca="false">C13/Assumptions!$B$5</f>
        <v>6.00533333333333</v>
      </c>
      <c r="D14" s="10" t="n">
        <f aca="false">D13/Assumptions!$B$5</f>
        <v>8.392</v>
      </c>
      <c r="E14" s="10" t="n">
        <f aca="false">E13/Assumptions!$B$5</f>
        <v>10.5260455</v>
      </c>
      <c r="F14" s="10" t="n">
        <f aca="false">F13/Assumptions!$B$5</f>
        <v>12.3719281380667</v>
      </c>
      <c r="G14" s="10" t="n">
        <f aca="false">G13/Assumptions!$B$5</f>
        <v>14.4806084081333</v>
      </c>
      <c r="H14" s="10" t="n">
        <f aca="false">H13/Assumptions!$B$5</f>
        <v>16.5688188113237</v>
      </c>
      <c r="I14" s="10" t="n">
        <f aca="false">I13/Assumptions!$B$5</f>
        <v>18.8222117234392</v>
      </c>
      <c r="K14" s="4" t="s">
        <v>185</v>
      </c>
    </row>
    <row r="16" customFormat="false" ht="15" hidden="false" customHeight="false" outlineLevel="0" collapsed="false">
      <c r="A16" s="3" t="s">
        <v>186</v>
      </c>
      <c r="B16" s="19" t="n">
        <f aca="false">-B7/B6</f>
        <v>0.259633027522936</v>
      </c>
      <c r="C16" s="19" t="n">
        <f aca="false">-C7/C6</f>
        <v>0.189894503053859</v>
      </c>
      <c r="D16" s="19" t="n">
        <f aca="false">-D7/D6</f>
        <v>0.172033898305085</v>
      </c>
      <c r="E16" s="19" t="n">
        <f aca="false">-E7/E6</f>
        <v>0.18</v>
      </c>
      <c r="F16" s="19" t="n">
        <f aca="false">-F7/F6</f>
        <v>0.185</v>
      </c>
      <c r="G16" s="19" t="n">
        <f aca="false">-G7/G6</f>
        <v>0.19</v>
      </c>
      <c r="H16" s="19" t="n">
        <f aca="false">-H7/H6</f>
        <v>0.195</v>
      </c>
      <c r="I16" s="19" t="n">
        <f aca="false">-I7/I6</f>
        <v>0.2</v>
      </c>
    </row>
    <row r="17" customFormat="false" ht="15" hidden="false" customHeight="false" outlineLevel="0" collapsed="false">
      <c r="A17" s="3" t="s">
        <v>187</v>
      </c>
      <c r="C17" s="24" t="n">
        <f aca="false">-C8/(('Balance Sheet'!B6+'Balance Sheet'!C6)/2)</f>
        <v>0.0254375729288215</v>
      </c>
      <c r="D17" s="24" t="n">
        <f aca="false">-D8/(('Balance Sheet'!C6+'Balance Sheet'!D6)/2)</f>
        <v>0.0147304479878512</v>
      </c>
      <c r="E17" s="24" t="n">
        <f aca="false">-E8/(('Balance Sheet'!D6+'Balance Sheet'!E6)/2)</f>
        <v>0.011</v>
      </c>
      <c r="F17" s="24" t="n">
        <f aca="false">-F8/(('Balance Sheet'!E6+'Balance Sheet'!F6)/2)</f>
        <v>0.011</v>
      </c>
      <c r="G17" s="24" t="n">
        <f aca="false">-G8/(('Balance Sheet'!F6+'Balance Sheet'!G6)/2)</f>
        <v>0.01</v>
      </c>
      <c r="H17" s="24" t="n">
        <f aca="false">-H8/(('Balance Sheet'!G6+'Balance Sheet'!H6)/2)</f>
        <v>0.01</v>
      </c>
      <c r="I17" s="24" t="n">
        <f aca="false">-I8/(('Balance Sheet'!H6+'Balance Sheet'!I6)/2)</f>
        <v>0.009</v>
      </c>
    </row>
    <row r="18" customFormat="false" ht="15" hidden="false" customHeight="false" outlineLevel="0" collapsed="false">
      <c r="A18" s="3" t="s">
        <v>188</v>
      </c>
      <c r="B18" s="19" t="n">
        <f aca="false">-B10/B9</f>
        <v>0.274242424242424</v>
      </c>
      <c r="C18" s="19" t="n">
        <f aca="false">-C10/C9</f>
        <v>0.265108783239323</v>
      </c>
      <c r="D18" s="19" t="n">
        <f aca="false">-D10/D9</f>
        <v>0.277272727272727</v>
      </c>
      <c r="E18" s="19" t="n">
        <f aca="false">-E10/E9</f>
        <v>0.275</v>
      </c>
      <c r="F18" s="19" t="n">
        <f aca="false">-F10/F9</f>
        <v>0.278</v>
      </c>
      <c r="G18" s="19" t="n">
        <f aca="false">-G10/G9</f>
        <v>0.28</v>
      </c>
      <c r="H18" s="19" t="n">
        <f aca="false">-H10/H9</f>
        <v>0.28</v>
      </c>
      <c r="I18" s="19" t="n">
        <f aca="false">-I10/I9</f>
        <v>0.28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9" min="2" style="0" width="12"/>
    <col collapsed="false" customWidth="true" hidden="false" outlineLevel="0" max="11" min="11" style="0" width="40"/>
  </cols>
  <sheetData>
    <row r="1" customFormat="false" ht="16.1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4" t="s">
        <v>190</v>
      </c>
    </row>
    <row r="3" customFormat="false" ht="15" hidden="false" customHeight="false" outlineLevel="0" collapsed="false">
      <c r="A3" s="5"/>
      <c r="B3" s="5" t="s">
        <v>170</v>
      </c>
      <c r="C3" s="5" t="s">
        <v>171</v>
      </c>
      <c r="D3" s="5" t="s">
        <v>103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</row>
    <row r="4" customFormat="false" ht="15" hidden="false" customHeight="false" outlineLevel="0" collapsed="false">
      <c r="A4" s="3" t="s">
        <v>191</v>
      </c>
      <c r="B4" s="14" t="n">
        <v>22300</v>
      </c>
      <c r="C4" s="14" t="n">
        <v>32100</v>
      </c>
      <c r="D4" s="14" t="n">
        <v>41000</v>
      </c>
      <c r="E4" s="21" t="n">
        <f aca="false">E12+E18-SUM(E5:E7)</f>
        <v>56990.6471973684</v>
      </c>
      <c r="F4" s="21" t="n">
        <f aca="false">F12+F18-SUM(F5:F7)</f>
        <v>72384.6449206006</v>
      </c>
      <c r="G4" s="21" t="n">
        <f aca="false">G12+G18-SUM(G5:G7)</f>
        <v>88377.4153778127</v>
      </c>
      <c r="H4" s="21" t="n">
        <f aca="false">H12+H18-SUM(H5:H7)</f>
        <v>108318.662267191</v>
      </c>
      <c r="I4" s="21" t="n">
        <f aca="false">I12+I18-SUM(I5:I7)</f>
        <v>127712.806866586</v>
      </c>
      <c r="K4" s="4" t="s">
        <v>192</v>
      </c>
    </row>
    <row r="5" customFormat="false" ht="15" hidden="false" customHeight="false" outlineLevel="0" collapsed="false">
      <c r="A5" s="3" t="s">
        <v>193</v>
      </c>
      <c r="B5" s="14" t="n">
        <v>65000</v>
      </c>
      <c r="C5" s="14" t="n">
        <v>115000</v>
      </c>
      <c r="D5" s="14" t="n">
        <v>140000</v>
      </c>
      <c r="E5" s="21" t="n">
        <f aca="false">D5*(1+Assumptions!C47)</f>
        <v>179200</v>
      </c>
      <c r="F5" s="21" t="n">
        <f aca="false">E5*(1+Assumptions!D47)</f>
        <v>222208</v>
      </c>
      <c r="G5" s="21" t="n">
        <f aca="false">F5*(1+Assumptions!E47)</f>
        <v>266649.6</v>
      </c>
      <c r="H5" s="21" t="n">
        <f aca="false">G5*(1+Assumptions!F47)</f>
        <v>311980.032</v>
      </c>
      <c r="I5" s="21" t="n">
        <f aca="false">H5*(1+Assumptions!G47)</f>
        <v>358777.0368</v>
      </c>
      <c r="K5" s="4" t="s">
        <v>194</v>
      </c>
    </row>
    <row r="6" customFormat="false" ht="15" hidden="false" customHeight="false" outlineLevel="0" collapsed="false">
      <c r="A6" s="3" t="s">
        <v>195</v>
      </c>
      <c r="B6" s="14" t="n">
        <v>67000</v>
      </c>
      <c r="C6" s="14" t="n">
        <v>104400</v>
      </c>
      <c r="D6" s="14" t="n">
        <v>159000</v>
      </c>
      <c r="E6" s="21" t="n">
        <f aca="false">D6*(1+Assumptions!C43)</f>
        <v>206700</v>
      </c>
      <c r="F6" s="21" t="n">
        <f aca="false">E6*(1+Assumptions!D43)</f>
        <v>258375</v>
      </c>
      <c r="G6" s="21" t="n">
        <f aca="false">F6*(1+Assumptions!E43)</f>
        <v>310050</v>
      </c>
      <c r="H6" s="21" t="n">
        <f aca="false">G6*(1+Assumptions!F43)</f>
        <v>365859</v>
      </c>
      <c r="I6" s="21" t="n">
        <f aca="false">H6*(1+Assumptions!G43)</f>
        <v>420737.85</v>
      </c>
      <c r="K6" s="4" t="s">
        <v>196</v>
      </c>
    </row>
    <row r="7" customFormat="false" ht="15" hidden="false" customHeight="false" outlineLevel="0" collapsed="false">
      <c r="A7" s="3" t="s">
        <v>197</v>
      </c>
      <c r="B7" s="14" t="n">
        <v>8000</v>
      </c>
      <c r="C7" s="14" t="n">
        <v>9000</v>
      </c>
      <c r="D7" s="14" t="n">
        <v>10000</v>
      </c>
      <c r="E7" s="21" t="n">
        <f aca="false">D7*(1+Assumptions!$B$49)</f>
        <v>11000</v>
      </c>
      <c r="F7" s="21" t="n">
        <f aca="false">E7*(1+Assumptions!$B$49)</f>
        <v>12100</v>
      </c>
      <c r="G7" s="21" t="n">
        <f aca="false">F7*(1+Assumptions!$B$49)</f>
        <v>13310</v>
      </c>
      <c r="H7" s="21" t="n">
        <f aca="false">G7*(1+Assumptions!$B$49)</f>
        <v>14641</v>
      </c>
      <c r="I7" s="21" t="n">
        <f aca="false">H7*(1+Assumptions!$B$49)</f>
        <v>16105.1</v>
      </c>
      <c r="K7" s="4" t="s">
        <v>52</v>
      </c>
    </row>
    <row r="8" customFormat="false" ht="15" hidden="false" customHeight="false" outlineLevel="0" collapsed="false">
      <c r="A8" s="9" t="s">
        <v>198</v>
      </c>
      <c r="B8" s="22" t="n">
        <f aca="false">SUM(B4:B7)</f>
        <v>162300</v>
      </c>
      <c r="C8" s="22" t="n">
        <f aca="false">SUM(C4:C7)</f>
        <v>260500</v>
      </c>
      <c r="D8" s="22" t="n">
        <f aca="false">SUM(D4:D7)</f>
        <v>350000</v>
      </c>
      <c r="E8" s="22" t="n">
        <f aca="false">SUM(E4:E7)</f>
        <v>453890.647197368</v>
      </c>
      <c r="F8" s="22" t="n">
        <f aca="false">SUM(F4:F7)</f>
        <v>565067.644920601</v>
      </c>
      <c r="G8" s="22" t="n">
        <f aca="false">SUM(G4:G7)</f>
        <v>678387.015377813</v>
      </c>
      <c r="H8" s="22" t="n">
        <f aca="false">SUM(H4:H7)</f>
        <v>800798.694267191</v>
      </c>
      <c r="I8" s="22" t="n">
        <f aca="false">SUM(I4:I7)</f>
        <v>923332.793666586</v>
      </c>
      <c r="K8" s="4" t="s">
        <v>199</v>
      </c>
    </row>
    <row r="10" customFormat="false" ht="15" hidden="false" customHeight="false" outlineLevel="0" collapsed="false">
      <c r="A10" s="3" t="s">
        <v>200</v>
      </c>
      <c r="B10" s="14" t="n">
        <v>127000</v>
      </c>
      <c r="C10" s="14" t="n">
        <v>200000</v>
      </c>
      <c r="D10" s="14" t="n">
        <v>278000</v>
      </c>
      <c r="E10" s="21" t="n">
        <f aca="false">E6/Assumptions!$B$48</f>
        <v>362631.578947368</v>
      </c>
      <c r="F10" s="21" t="n">
        <f aca="false">F6/Assumptions!$B$48</f>
        <v>453289.473684211</v>
      </c>
      <c r="G10" s="21" t="n">
        <f aca="false">G6/Assumptions!$B$48</f>
        <v>543947.368421053</v>
      </c>
      <c r="H10" s="21" t="n">
        <f aca="false">H6/Assumptions!$B$48</f>
        <v>641857.894736842</v>
      </c>
      <c r="I10" s="21" t="n">
        <f aca="false">I6/Assumptions!$B$48</f>
        <v>738136.578947368</v>
      </c>
      <c r="K10" s="4" t="s">
        <v>196</v>
      </c>
    </row>
    <row r="11" customFormat="false" ht="15" hidden="false" customHeight="false" outlineLevel="0" collapsed="false">
      <c r="A11" s="3" t="s">
        <v>201</v>
      </c>
      <c r="B11" s="14" t="n">
        <v>20100</v>
      </c>
      <c r="C11" s="14" t="n">
        <v>37100</v>
      </c>
      <c r="D11" s="14" t="n">
        <v>34200</v>
      </c>
      <c r="E11" s="21" t="n">
        <f aca="false">D11*(1+Assumptions!$B$50)</f>
        <v>37620</v>
      </c>
      <c r="F11" s="21" t="n">
        <f aca="false">E11*(1+Assumptions!$B$50)</f>
        <v>41382</v>
      </c>
      <c r="G11" s="21" t="n">
        <f aca="false">F11*(1+Assumptions!$B$50)</f>
        <v>45520.2</v>
      </c>
      <c r="H11" s="21" t="n">
        <f aca="false">G11*(1+Assumptions!$B$50)</f>
        <v>50072.22</v>
      </c>
      <c r="I11" s="21" t="n">
        <f aca="false">H11*(1+Assumptions!$B$50)</f>
        <v>55079.442</v>
      </c>
      <c r="K11" s="4" t="s">
        <v>202</v>
      </c>
    </row>
    <row r="12" customFormat="false" ht="15" hidden="false" customHeight="false" outlineLevel="0" collapsed="false">
      <c r="A12" s="9" t="s">
        <v>203</v>
      </c>
      <c r="B12" s="22" t="n">
        <f aca="false">B10+B11</f>
        <v>147100</v>
      </c>
      <c r="C12" s="22" t="n">
        <f aca="false">C10+C11</f>
        <v>237100</v>
      </c>
      <c r="D12" s="22" t="n">
        <f aca="false">D10+D11</f>
        <v>312200</v>
      </c>
      <c r="E12" s="22" t="n">
        <f aca="false">E10+E11</f>
        <v>400251.578947368</v>
      </c>
      <c r="F12" s="22" t="n">
        <f aca="false">F10+F11</f>
        <v>494671.473684211</v>
      </c>
      <c r="G12" s="22" t="n">
        <f aca="false">G10+G11</f>
        <v>589467.568421053</v>
      </c>
      <c r="H12" s="22" t="n">
        <f aca="false">H10+H11</f>
        <v>691930.114736842</v>
      </c>
      <c r="I12" s="22" t="n">
        <f aca="false">I10+I11</f>
        <v>793216.020947369</v>
      </c>
    </row>
    <row r="14" customFormat="false" ht="15" hidden="false" customHeight="false" outlineLevel="0" collapsed="false">
      <c r="A14" s="3" t="s">
        <v>204</v>
      </c>
      <c r="B14" s="14" t="n">
        <v>6000</v>
      </c>
      <c r="C14" s="14" t="n">
        <v>12000</v>
      </c>
      <c r="D14" s="14" t="n">
        <v>15000</v>
      </c>
      <c r="E14" s="21" t="n">
        <f aca="false">D14</f>
        <v>15000</v>
      </c>
      <c r="F14" s="21" t="n">
        <f aca="false">E14</f>
        <v>15000</v>
      </c>
      <c r="G14" s="21" t="n">
        <f aca="false">F14</f>
        <v>15000</v>
      </c>
      <c r="H14" s="21" t="n">
        <f aca="false">G14</f>
        <v>15000</v>
      </c>
      <c r="I14" s="21" t="n">
        <f aca="false">H14</f>
        <v>15000</v>
      </c>
      <c r="K14" s="4" t="s">
        <v>205</v>
      </c>
    </row>
    <row r="15" customFormat="false" ht="15" hidden="false" customHeight="false" outlineLevel="0" collapsed="false">
      <c r="A15" s="3" t="s">
        <v>206</v>
      </c>
      <c r="B15" s="14" t="n">
        <v>8900</v>
      </c>
      <c r="C15" s="14" t="n">
        <v>11000</v>
      </c>
      <c r="D15" s="14" t="n">
        <v>22300</v>
      </c>
      <c r="E15" s="21" t="n">
        <f aca="false">D15+'Income Statement'!E13-Assumptions!C18*'Income Statement'!E14*Assumptions!$B$5</f>
        <v>38089.06825</v>
      </c>
      <c r="F15" s="21" t="n">
        <f aca="false">E15+'Income Statement'!F13-Assumptions!D18*'Income Statement'!F14*Assumptions!$B$5</f>
        <v>54791.17123639</v>
      </c>
      <c r="G15" s="21" t="n">
        <f aca="false">F15+'Income Statement'!G13-Assumptions!E18*'Income Statement'!G14*Assumptions!$B$5</f>
        <v>73253.94695676</v>
      </c>
      <c r="H15" s="21" t="n">
        <f aca="false">G15+'Income Statement'!H13-Assumptions!F18*'Income Statement'!H14*Assumptions!$B$5</f>
        <v>93136.5295303484</v>
      </c>
      <c r="I15" s="21" t="n">
        <f aca="false">H15+'Income Statement'!I13-Assumptions!G18*'Income Statement'!I14*Assumptions!$B$5</f>
        <v>114311.517719217</v>
      </c>
      <c r="K15" s="4" t="s">
        <v>207</v>
      </c>
    </row>
    <row r="16" customFormat="false" ht="15" hidden="false" customHeight="false" outlineLevel="0" collapsed="false">
      <c r="A16" s="9" t="s">
        <v>208</v>
      </c>
      <c r="B16" s="22" t="n">
        <f aca="false">B14+B15</f>
        <v>14900</v>
      </c>
      <c r="C16" s="22" t="n">
        <f aca="false">C14+C15</f>
        <v>23000</v>
      </c>
      <c r="D16" s="22" t="n">
        <f aca="false">D14+D15</f>
        <v>37300</v>
      </c>
      <c r="E16" s="22" t="n">
        <f aca="false">E14+E15</f>
        <v>53089.06825</v>
      </c>
      <c r="F16" s="22" t="n">
        <f aca="false">F14+F15</f>
        <v>69791.17123639</v>
      </c>
      <c r="G16" s="22" t="n">
        <f aca="false">G14+G15</f>
        <v>88253.94695676</v>
      </c>
      <c r="H16" s="22" t="n">
        <f aca="false">H14+H15</f>
        <v>108136.529530348</v>
      </c>
      <c r="I16" s="22" t="n">
        <f aca="false">I14+I15</f>
        <v>129311.517719217</v>
      </c>
    </row>
    <row r="17" customFormat="false" ht="15" hidden="false" customHeight="false" outlineLevel="0" collapsed="false">
      <c r="A17" s="3" t="s">
        <v>182</v>
      </c>
      <c r="B17" s="14" t="n">
        <v>300</v>
      </c>
      <c r="C17" s="14" t="n">
        <v>400</v>
      </c>
      <c r="D17" s="14" t="n">
        <v>500</v>
      </c>
      <c r="E17" s="21" t="n">
        <f aca="false">D17*(1+Assumptions!$B$51)</f>
        <v>550</v>
      </c>
      <c r="F17" s="21" t="n">
        <f aca="false">E17*(1+Assumptions!$B$51)</f>
        <v>605</v>
      </c>
      <c r="G17" s="21" t="n">
        <f aca="false">F17*(1+Assumptions!$B$51)</f>
        <v>665.5</v>
      </c>
      <c r="H17" s="21" t="n">
        <f aca="false">G17*(1+Assumptions!$B$51)</f>
        <v>732.05</v>
      </c>
      <c r="I17" s="21" t="n">
        <f aca="false">H17*(1+Assumptions!$B$51)</f>
        <v>805.255</v>
      </c>
      <c r="K17" s="4" t="s">
        <v>52</v>
      </c>
    </row>
    <row r="18" customFormat="false" ht="15" hidden="false" customHeight="false" outlineLevel="0" collapsed="false">
      <c r="A18" s="9" t="s">
        <v>209</v>
      </c>
      <c r="B18" s="22" t="n">
        <f aca="false">B16+B17</f>
        <v>15200</v>
      </c>
      <c r="C18" s="22" t="n">
        <f aca="false">C16+C17</f>
        <v>23400</v>
      </c>
      <c r="D18" s="22" t="n">
        <f aca="false">D16+D17</f>
        <v>37800</v>
      </c>
      <c r="E18" s="22" t="n">
        <f aca="false">E16+E17</f>
        <v>53639.06825</v>
      </c>
      <c r="F18" s="22" t="n">
        <f aca="false">F16+F17</f>
        <v>70396.17123639</v>
      </c>
      <c r="G18" s="22" t="n">
        <f aca="false">G16+G17</f>
        <v>88919.44695676</v>
      </c>
      <c r="H18" s="22" t="n">
        <f aca="false">H16+H17</f>
        <v>108868.579530348</v>
      </c>
      <c r="I18" s="22" t="n">
        <f aca="false">I16+I17</f>
        <v>130116.772719218</v>
      </c>
    </row>
    <row r="20" customFormat="false" ht="15" hidden="false" customHeight="false" outlineLevel="0" collapsed="false">
      <c r="A20" s="4" t="s">
        <v>210</v>
      </c>
      <c r="B20" s="25" t="n">
        <f aca="false">B8-B12-B18</f>
        <v>0</v>
      </c>
      <c r="C20" s="25" t="n">
        <f aca="false">C8-C12-C18</f>
        <v>0</v>
      </c>
      <c r="D20" s="25" t="n">
        <f aca="false">D8-D12-D18</f>
        <v>0</v>
      </c>
      <c r="E20" s="25" t="n">
        <f aca="false">E8-E12-E18</f>
        <v>0</v>
      </c>
      <c r="F20" s="25" t="n">
        <f aca="false">F8-F12-F18</f>
        <v>0</v>
      </c>
      <c r="G20" s="25" t="n">
        <f aca="false">G8-G12-G18</f>
        <v>0</v>
      </c>
      <c r="H20" s="25" t="n">
        <f aca="false">H8-H12-H18</f>
        <v>0</v>
      </c>
      <c r="I20" s="25" t="n">
        <f aca="false">I8-I12-I18</f>
        <v>0</v>
      </c>
    </row>
    <row r="22" customFormat="false" ht="15" hidden="false" customHeight="false" outlineLevel="0" collapsed="false">
      <c r="A22" s="3" t="s">
        <v>211</v>
      </c>
      <c r="B22" s="3" t="s">
        <v>212</v>
      </c>
      <c r="K22" s="4" t="s">
        <v>213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2"/>
    <col collapsed="false" customWidth="true" hidden="false" outlineLevel="0" max="11" min="11" style="0" width="36"/>
  </cols>
  <sheetData>
    <row r="1" customFormat="false" ht="16.15" hidden="false" customHeight="false" outlineLevel="0" collapsed="false">
      <c r="A1" s="1" t="s">
        <v>214</v>
      </c>
    </row>
    <row r="2" customFormat="false" ht="15" hidden="false" customHeight="false" outlineLevel="0" collapsed="false">
      <c r="A2" s="4" t="s">
        <v>215</v>
      </c>
    </row>
    <row r="3" customFormat="false" ht="15" hidden="false" customHeight="false" outlineLevel="0" collapsed="false">
      <c r="A3" s="5"/>
      <c r="B3" s="5" t="s">
        <v>170</v>
      </c>
      <c r="C3" s="5" t="s">
        <v>171</v>
      </c>
      <c r="D3" s="5" t="s">
        <v>103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</row>
    <row r="4" customFormat="false" ht="15" hidden="false" customHeight="false" outlineLevel="0" collapsed="false">
      <c r="A4" s="3" t="s">
        <v>181</v>
      </c>
      <c r="C4" s="21" t="n">
        <f aca="false">'Income Statement'!C11</f>
        <v>9120</v>
      </c>
      <c r="D4" s="21" t="n">
        <f aca="false">'Income Statement'!D11</f>
        <v>12720</v>
      </c>
      <c r="E4" s="21" t="n">
        <f aca="false">'Income Statement'!E11</f>
        <v>15869.06825</v>
      </c>
      <c r="F4" s="21" t="n">
        <f aca="false">'Income Statement'!F11</f>
        <v>18647.8922071</v>
      </c>
      <c r="G4" s="21" t="n">
        <f aca="false">'Income Statement'!G11</f>
        <v>21820.9126122</v>
      </c>
      <c r="H4" s="21" t="n">
        <f aca="false">'Income Statement'!H11</f>
        <v>24963.2282169855</v>
      </c>
      <c r="I4" s="21" t="n">
        <f aca="false">'Income Statement'!I11</f>
        <v>28353.3175851588</v>
      </c>
    </row>
    <row r="5" customFormat="false" ht="15" hidden="false" customHeight="false" outlineLevel="0" collapsed="false">
      <c r="A5" s="3" t="s">
        <v>216</v>
      </c>
      <c r="C5" s="21" t="n">
        <f aca="false">-'Income Statement'!C8</f>
        <v>2180</v>
      </c>
      <c r="D5" s="21" t="n">
        <f aca="false">-'Income Statement'!D8</f>
        <v>1940</v>
      </c>
      <c r="E5" s="21" t="n">
        <f aca="false">-'Income Statement'!E8</f>
        <v>2011.35</v>
      </c>
      <c r="F5" s="21" t="n">
        <f aca="false">-'Income Statement'!F8</f>
        <v>2557.9125</v>
      </c>
      <c r="G5" s="21" t="n">
        <f aca="false">-'Income Statement'!G8</f>
        <v>2842.125</v>
      </c>
      <c r="H5" s="21" t="n">
        <f aca="false">-'Income Statement'!H8</f>
        <v>3379.545</v>
      </c>
      <c r="I5" s="21" t="n">
        <f aca="false">-'Income Statement'!I8</f>
        <v>3539.685825</v>
      </c>
    </row>
    <row r="6" customFormat="false" ht="15" hidden="false" customHeight="false" outlineLevel="0" collapsed="false">
      <c r="A6" s="3" t="s">
        <v>217</v>
      </c>
      <c r="C6" s="21" t="n">
        <f aca="false">-('Balance Sheet'!C6-'Balance Sheet'!B6)+'Income Statement'!C8</f>
        <v>-39580</v>
      </c>
      <c r="D6" s="21" t="n">
        <f aca="false">-('Balance Sheet'!D6-'Balance Sheet'!C6)+'Income Statement'!D8</f>
        <v>-56540</v>
      </c>
      <c r="E6" s="21" t="n">
        <f aca="false">-('Balance Sheet'!E6-'Balance Sheet'!D6)+'Income Statement'!E8</f>
        <v>-49711.35</v>
      </c>
      <c r="F6" s="21" t="n">
        <f aca="false">-('Balance Sheet'!F6-'Balance Sheet'!E6)+'Income Statement'!F8</f>
        <v>-54232.9125</v>
      </c>
      <c r="G6" s="21" t="n">
        <f aca="false">-('Balance Sheet'!G6-'Balance Sheet'!F6)+'Income Statement'!G8</f>
        <v>-54517.125</v>
      </c>
      <c r="H6" s="21" t="n">
        <f aca="false">-('Balance Sheet'!H6-'Balance Sheet'!G6)+'Income Statement'!H8</f>
        <v>-59188.545</v>
      </c>
      <c r="I6" s="21" t="n">
        <f aca="false">-('Balance Sheet'!I6-'Balance Sheet'!H6)+'Income Statement'!I8</f>
        <v>-58418.535825</v>
      </c>
    </row>
    <row r="7" customFormat="false" ht="15" hidden="false" customHeight="false" outlineLevel="0" collapsed="false">
      <c r="A7" s="3" t="s">
        <v>218</v>
      </c>
      <c r="C7" s="21" t="n">
        <f aca="false">'Balance Sheet'!C10-'Balance Sheet'!B10</f>
        <v>73000</v>
      </c>
      <c r="D7" s="21" t="n">
        <f aca="false">'Balance Sheet'!D10-'Balance Sheet'!C10</f>
        <v>78000</v>
      </c>
      <c r="E7" s="21" t="n">
        <f aca="false">'Balance Sheet'!E10-'Balance Sheet'!D10</f>
        <v>84631.5789473684</v>
      </c>
      <c r="F7" s="21" t="n">
        <f aca="false">'Balance Sheet'!F10-'Balance Sheet'!E10</f>
        <v>90657.8947368421</v>
      </c>
      <c r="G7" s="21" t="n">
        <f aca="false">'Balance Sheet'!G10-'Balance Sheet'!F10</f>
        <v>90657.8947368421</v>
      </c>
      <c r="H7" s="21" t="n">
        <f aca="false">'Balance Sheet'!H10-'Balance Sheet'!G10</f>
        <v>97910.5263157894</v>
      </c>
      <c r="I7" s="21" t="n">
        <f aca="false">'Balance Sheet'!I10-'Balance Sheet'!H10</f>
        <v>96278.6842105263</v>
      </c>
    </row>
    <row r="8" customFormat="false" ht="15" hidden="false" customHeight="false" outlineLevel="0" collapsed="false">
      <c r="A8" s="3" t="s">
        <v>219</v>
      </c>
      <c r="C8" s="21" t="n">
        <f aca="false">'Balance Sheet'!C11-'Balance Sheet'!B11</f>
        <v>17000</v>
      </c>
      <c r="D8" s="21" t="n">
        <f aca="false">'Balance Sheet'!D11-'Balance Sheet'!C11</f>
        <v>-2900</v>
      </c>
      <c r="E8" s="21" t="n">
        <f aca="false">'Balance Sheet'!E11-'Balance Sheet'!D11</f>
        <v>3420</v>
      </c>
      <c r="F8" s="21" t="n">
        <f aca="false">'Balance Sheet'!F11-'Balance Sheet'!E11</f>
        <v>3762</v>
      </c>
      <c r="G8" s="21" t="n">
        <f aca="false">'Balance Sheet'!G11-'Balance Sheet'!F11</f>
        <v>4138.2</v>
      </c>
      <c r="H8" s="21" t="n">
        <f aca="false">'Balance Sheet'!H11-'Balance Sheet'!G11</f>
        <v>4552.02</v>
      </c>
      <c r="I8" s="21" t="n">
        <f aca="false">'Balance Sheet'!I11-'Balance Sheet'!H11</f>
        <v>5007.22200000001</v>
      </c>
    </row>
    <row r="9" customFormat="false" ht="15" hidden="false" customHeight="false" outlineLevel="0" collapsed="false">
      <c r="A9" s="3" t="s">
        <v>220</v>
      </c>
      <c r="C9" s="21" t="n">
        <f aca="false">-('Balance Sheet'!C7-'Balance Sheet'!B7)</f>
        <v>-1000</v>
      </c>
      <c r="D9" s="21" t="n">
        <f aca="false">-('Balance Sheet'!D7-'Balance Sheet'!C7)</f>
        <v>-1000</v>
      </c>
      <c r="E9" s="21" t="n">
        <f aca="false">-('Balance Sheet'!E7-'Balance Sheet'!D7)</f>
        <v>-1000</v>
      </c>
      <c r="F9" s="21" t="n">
        <f aca="false">-('Balance Sheet'!F7-'Balance Sheet'!E7)</f>
        <v>-1100</v>
      </c>
      <c r="G9" s="21" t="n">
        <f aca="false">-('Balance Sheet'!G7-'Balance Sheet'!F7)</f>
        <v>-1210</v>
      </c>
      <c r="H9" s="21" t="n">
        <f aca="false">-('Balance Sheet'!H7-'Balance Sheet'!G7)</f>
        <v>-1331</v>
      </c>
      <c r="I9" s="21" t="n">
        <f aca="false">-('Balance Sheet'!I7-'Balance Sheet'!H7)</f>
        <v>-1464.1</v>
      </c>
    </row>
    <row r="10" customFormat="false" ht="15" hidden="false" customHeight="false" outlineLevel="0" collapsed="false">
      <c r="A10" s="9" t="s">
        <v>221</v>
      </c>
      <c r="C10" s="22" t="n">
        <f aca="false">SUM(C4:C9)</f>
        <v>60720</v>
      </c>
      <c r="D10" s="22" t="n">
        <f aca="false">SUM(D4:D9)</f>
        <v>32220</v>
      </c>
      <c r="E10" s="22" t="n">
        <f aca="false">SUM(E4:E9)</f>
        <v>55220.6471973684</v>
      </c>
      <c r="F10" s="22" t="n">
        <f aca="false">SUM(F4:F9)</f>
        <v>60292.7869439421</v>
      </c>
      <c r="G10" s="22" t="n">
        <f aca="false">SUM(G4:G9)</f>
        <v>63732.0073490421</v>
      </c>
      <c r="H10" s="22" t="n">
        <f aca="false">SUM(H4:H9)</f>
        <v>70285.7745327749</v>
      </c>
      <c r="I10" s="22" t="n">
        <f aca="false">SUM(I4:I9)</f>
        <v>73296.2737956851</v>
      </c>
    </row>
    <row r="12" customFormat="false" ht="15" hidden="false" customHeight="false" outlineLevel="0" collapsed="false">
      <c r="A12" s="3" t="s">
        <v>222</v>
      </c>
      <c r="C12" s="21" t="n">
        <f aca="false">-('Balance Sheet'!C5-'Balance Sheet'!B5)</f>
        <v>-50000</v>
      </c>
      <c r="D12" s="21" t="n">
        <f aca="false">-('Balance Sheet'!D5-'Balance Sheet'!C5)</f>
        <v>-25000</v>
      </c>
      <c r="E12" s="21" t="n">
        <f aca="false">-('Balance Sheet'!E5-'Balance Sheet'!D5)</f>
        <v>-39200</v>
      </c>
      <c r="F12" s="21" t="n">
        <f aca="false">-('Balance Sheet'!F5-'Balance Sheet'!E5)</f>
        <v>-43008</v>
      </c>
      <c r="G12" s="21" t="n">
        <f aca="false">-('Balance Sheet'!G5-'Balance Sheet'!F5)</f>
        <v>-44441.6</v>
      </c>
      <c r="H12" s="21" t="n">
        <f aca="false">-('Balance Sheet'!H5-'Balance Sheet'!G5)</f>
        <v>-45330.432</v>
      </c>
      <c r="I12" s="21" t="n">
        <f aca="false">-('Balance Sheet'!I5-'Balance Sheet'!H5)</f>
        <v>-46797.0047999999</v>
      </c>
    </row>
    <row r="13" customFormat="false" ht="15" hidden="false" customHeight="false" outlineLevel="0" collapsed="false">
      <c r="A13" s="9" t="s">
        <v>223</v>
      </c>
      <c r="C13" s="22" t="n">
        <f aca="false">C12</f>
        <v>-50000</v>
      </c>
      <c r="D13" s="22" t="n">
        <f aca="false">D12</f>
        <v>-25000</v>
      </c>
      <c r="E13" s="22" t="n">
        <f aca="false">E12</f>
        <v>-39200</v>
      </c>
      <c r="F13" s="22" t="n">
        <f aca="false">F12</f>
        <v>-43008</v>
      </c>
      <c r="G13" s="22" t="n">
        <f aca="false">G12</f>
        <v>-44441.6</v>
      </c>
      <c r="H13" s="22" t="n">
        <f aca="false">H12</f>
        <v>-45330.432</v>
      </c>
      <c r="I13" s="22" t="n">
        <f aca="false">I12</f>
        <v>-46797.0047999999</v>
      </c>
    </row>
    <row r="15" customFormat="false" ht="15" hidden="false" customHeight="false" outlineLevel="0" collapsed="false">
      <c r="A15" s="3" t="s">
        <v>224</v>
      </c>
      <c r="C15" s="14" t="n">
        <v>0</v>
      </c>
      <c r="D15" s="14" t="n">
        <v>0</v>
      </c>
      <c r="E15" s="21" t="n">
        <f aca="false">-Assumptions!C18*'Income Statement'!E14*Assumptions!$B$5</f>
        <v>-0</v>
      </c>
      <c r="F15" s="21" t="n">
        <f aca="false">-Assumptions!D18*'Income Statement'!F14*Assumptions!$B$5</f>
        <v>-1855.78922071</v>
      </c>
      <c r="G15" s="21" t="n">
        <f aca="false">-Assumptions!E18*'Income Statement'!G14*Assumptions!$B$5</f>
        <v>-3258.13689183</v>
      </c>
      <c r="H15" s="21" t="n">
        <f aca="false">-Assumptions!F18*'Income Statement'!H14*Assumptions!$B$5</f>
        <v>-4970.6456433971</v>
      </c>
      <c r="I15" s="21" t="n">
        <f aca="false">-Assumptions!G18*'Income Statement'!I14*Assumptions!$B$5</f>
        <v>-7058.3293962897</v>
      </c>
      <c r="K15" s="4" t="s">
        <v>225</v>
      </c>
    </row>
    <row r="16" customFormat="false" ht="15" hidden="false" customHeight="false" outlineLevel="0" collapsed="false">
      <c r="A16" s="3" t="s">
        <v>226</v>
      </c>
      <c r="C16" s="21" t="n">
        <f aca="false">('Balance Sheet'!C18-'Balance Sheet'!B18)-'Income Statement'!C11-C15</f>
        <v>-920</v>
      </c>
      <c r="D16" s="21" t="n">
        <f aca="false">('Balance Sheet'!D18-'Balance Sheet'!C18)-'Income Statement'!D11-D15</f>
        <v>1680</v>
      </c>
      <c r="E16" s="21" t="n">
        <f aca="false">('Balance Sheet'!E18-'Balance Sheet'!D18)-'Income Statement'!E11-E15</f>
        <v>-30.0000000000018</v>
      </c>
      <c r="F16" s="21" t="n">
        <f aca="false">('Balance Sheet'!F18-'Balance Sheet'!E18)-'Income Statement'!F11-F15</f>
        <v>-35.0000000000084</v>
      </c>
      <c r="G16" s="21" t="n">
        <f aca="false">('Balance Sheet'!G18-'Balance Sheet'!F18)-'Income Statement'!G11-G15</f>
        <v>-39.4999999999932</v>
      </c>
      <c r="H16" s="21" t="n">
        <f aca="false">('Balance Sheet'!H18-'Balance Sheet'!G18)-'Income Statement'!H11-H15</f>
        <v>-43.4499999999989</v>
      </c>
      <c r="I16" s="21" t="n">
        <f aca="false">('Balance Sheet'!I18-'Balance Sheet'!H18)-'Income Statement'!I11-I15</f>
        <v>-46.7949999999973</v>
      </c>
      <c r="K16" s="4" t="s">
        <v>227</v>
      </c>
    </row>
    <row r="17" customFormat="false" ht="15" hidden="false" customHeight="false" outlineLevel="0" collapsed="false">
      <c r="A17" s="9" t="s">
        <v>228</v>
      </c>
      <c r="C17" s="22" t="n">
        <f aca="false">C15+C16</f>
        <v>-920</v>
      </c>
      <c r="D17" s="22" t="n">
        <f aca="false">D15+D16</f>
        <v>1680</v>
      </c>
      <c r="E17" s="22" t="n">
        <f aca="false">E15+E16</f>
        <v>-30.0000000000018</v>
      </c>
      <c r="F17" s="22" t="n">
        <f aca="false">F15+F16</f>
        <v>-1890.78922071001</v>
      </c>
      <c r="G17" s="22" t="n">
        <f aca="false">G15+G16</f>
        <v>-3297.63689182999</v>
      </c>
      <c r="H17" s="22" t="n">
        <f aca="false">H15+H16</f>
        <v>-5014.0956433971</v>
      </c>
      <c r="I17" s="22" t="n">
        <f aca="false">I15+I16</f>
        <v>-7105.1243962897</v>
      </c>
    </row>
    <row r="18" customFormat="false" ht="15" hidden="false" customHeight="false" outlineLevel="0" collapsed="false">
      <c r="A18" s="9" t="s">
        <v>229</v>
      </c>
      <c r="C18" s="22" t="n">
        <f aca="false">C10+C13+C17</f>
        <v>9800</v>
      </c>
      <c r="D18" s="22" t="n">
        <f aca="false">D10+D13+D17</f>
        <v>8900</v>
      </c>
      <c r="E18" s="22" t="n">
        <f aca="false">E10+E13+E17</f>
        <v>15990.6471973684</v>
      </c>
      <c r="F18" s="22" t="n">
        <f aca="false">F10+F13+F17</f>
        <v>15393.9977232321</v>
      </c>
      <c r="G18" s="22" t="n">
        <f aca="false">G10+G13+G17</f>
        <v>15992.7704572122</v>
      </c>
      <c r="H18" s="22" t="n">
        <f aca="false">H10+H13+H17</f>
        <v>19941.2468893779</v>
      </c>
      <c r="I18" s="22" t="n">
        <f aca="false">I10+I13+I17</f>
        <v>19394.1445993955</v>
      </c>
    </row>
    <row r="19" customFormat="false" ht="15" hidden="false" customHeight="false" outlineLevel="0" collapsed="false">
      <c r="A19" s="3" t="s">
        <v>230</v>
      </c>
      <c r="C19" s="23" t="n">
        <f aca="false">'Balance Sheet'!B4</f>
        <v>22300</v>
      </c>
      <c r="D19" s="23" t="n">
        <f aca="false">'Balance Sheet'!C4</f>
        <v>32100</v>
      </c>
      <c r="E19" s="23" t="n">
        <f aca="false">'Balance Sheet'!D4</f>
        <v>41000</v>
      </c>
      <c r="F19" s="23" t="n">
        <f aca="false">'Balance Sheet'!E4</f>
        <v>56990.6471973684</v>
      </c>
      <c r="G19" s="23" t="n">
        <f aca="false">'Balance Sheet'!F4</f>
        <v>72384.6449206006</v>
      </c>
      <c r="H19" s="23" t="n">
        <f aca="false">'Balance Sheet'!G4</f>
        <v>88377.4153778127</v>
      </c>
      <c r="I19" s="23" t="n">
        <f aca="false">'Balance Sheet'!H4</f>
        <v>108318.662267191</v>
      </c>
    </row>
    <row r="20" customFormat="false" ht="15" hidden="false" customHeight="false" outlineLevel="0" collapsed="false">
      <c r="A20" s="9" t="s">
        <v>231</v>
      </c>
      <c r="C20" s="22" t="n">
        <f aca="false">C19+C18</f>
        <v>32100</v>
      </c>
      <c r="D20" s="22" t="n">
        <f aca="false">D19+D18</f>
        <v>41000</v>
      </c>
      <c r="E20" s="22" t="n">
        <f aca="false">E19+E18</f>
        <v>56990.6471973684</v>
      </c>
      <c r="F20" s="22" t="n">
        <f aca="false">F19+F18</f>
        <v>72384.6449206006</v>
      </c>
      <c r="G20" s="22" t="n">
        <f aca="false">G19+G18</f>
        <v>88377.4153778128</v>
      </c>
      <c r="H20" s="22" t="n">
        <f aca="false">H19+H18</f>
        <v>108318.662267191</v>
      </c>
      <c r="I20" s="22" t="n">
        <f aca="false">I19+I18</f>
        <v>127712.806866586</v>
      </c>
    </row>
    <row r="21" customFormat="false" ht="15" hidden="false" customHeight="false" outlineLevel="0" collapsed="false">
      <c r="A21" s="4" t="s">
        <v>232</v>
      </c>
      <c r="C21" s="25" t="n">
        <f aca="false">C20-'Balance Sheet'!C4</f>
        <v>0</v>
      </c>
      <c r="D21" s="25" t="n">
        <f aca="false">D20-'Balance Sheet'!D4</f>
        <v>0</v>
      </c>
      <c r="E21" s="25" t="n">
        <f aca="false">E20-'Balance Sheet'!E4</f>
        <v>0</v>
      </c>
      <c r="F21" s="25" t="n">
        <f aca="false">F20-'Balance Sheet'!F4</f>
        <v>0</v>
      </c>
      <c r="G21" s="25" t="n">
        <f aca="false">G20-'Balance Sheet'!G4</f>
        <v>0</v>
      </c>
      <c r="H21" s="25" t="n">
        <f aca="false">H20-'Balance Sheet'!H4</f>
        <v>0</v>
      </c>
      <c r="I21" s="25" t="n">
        <f aca="false">I20-'Balance Sheet'!I4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9" min="2" style="0" width="12"/>
  </cols>
  <sheetData>
    <row r="1" customFormat="false" ht="16.15" hidden="false" customHeight="false" outlineLevel="0" collapsed="false">
      <c r="A1" s="1" t="s">
        <v>233</v>
      </c>
    </row>
    <row r="3" customFormat="false" ht="15" hidden="false" customHeight="false" outlineLevel="0" collapsed="false">
      <c r="A3" s="5"/>
      <c r="B3" s="5" t="s">
        <v>170</v>
      </c>
      <c r="C3" s="5" t="s">
        <v>171</v>
      </c>
      <c r="D3" s="5" t="s">
        <v>103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</row>
    <row r="4" customFormat="false" ht="15" hidden="false" customHeight="false" outlineLevel="0" collapsed="false">
      <c r="A4" s="3" t="s">
        <v>174</v>
      </c>
      <c r="B4" s="23" t="n">
        <f aca="false">'Income Statement'!B6</f>
        <v>10900</v>
      </c>
      <c r="C4" s="23" t="n">
        <f aca="false">'Income Statement'!C6</f>
        <v>18010</v>
      </c>
      <c r="D4" s="23" t="n">
        <f aca="false">'Income Statement'!D6</f>
        <v>23600</v>
      </c>
      <c r="E4" s="23" t="n">
        <f aca="false">'Income Statement'!E6</f>
        <v>29146</v>
      </c>
      <c r="F4" s="23" t="n">
        <f aca="false">'Income Statement'!F6</f>
        <v>34829.47</v>
      </c>
      <c r="G4" s="23" t="n">
        <f aca="false">'Income Statement'!G6</f>
        <v>40924.62725</v>
      </c>
      <c r="H4" s="23" t="n">
        <f aca="false">'Income Statement'!H6</f>
        <v>47267.94447375</v>
      </c>
      <c r="I4" s="23" t="n">
        <f aca="false">'Income Statement'!I6</f>
        <v>53649.1169777063</v>
      </c>
    </row>
    <row r="5" customFormat="false" ht="15" hidden="false" customHeight="false" outlineLevel="0" collapsed="false">
      <c r="A5" s="3" t="s">
        <v>175</v>
      </c>
      <c r="B5" s="23" t="n">
        <f aca="false">'Income Statement'!B7</f>
        <v>-2830</v>
      </c>
      <c r="C5" s="23" t="n">
        <f aca="false">'Income Statement'!C7</f>
        <v>-3420</v>
      </c>
      <c r="D5" s="23" t="n">
        <f aca="false">'Income Statement'!D7</f>
        <v>-4060</v>
      </c>
      <c r="E5" s="23" t="n">
        <f aca="false">'Income Statement'!E7</f>
        <v>-5246.28</v>
      </c>
      <c r="F5" s="23" t="n">
        <f aca="false">'Income Statement'!F7</f>
        <v>-6443.45195</v>
      </c>
      <c r="G5" s="23" t="n">
        <f aca="false">'Income Statement'!G7</f>
        <v>-7775.6791775</v>
      </c>
      <c r="H5" s="23" t="n">
        <f aca="false">'Income Statement'!H7</f>
        <v>-9217.24917238125</v>
      </c>
      <c r="I5" s="23" t="n">
        <f aca="false">'Income Statement'!I7</f>
        <v>-10729.8233955413</v>
      </c>
    </row>
    <row r="6" customFormat="false" ht="15" hidden="false" customHeight="false" outlineLevel="0" collapsed="false">
      <c r="A6" s="3" t="s">
        <v>177</v>
      </c>
      <c r="B6" s="23" t="n">
        <f aca="false">'Income Statement'!B8</f>
        <v>-1470</v>
      </c>
      <c r="C6" s="23" t="n">
        <f aca="false">'Income Statement'!C8</f>
        <v>-2180</v>
      </c>
      <c r="D6" s="23" t="n">
        <f aca="false">'Income Statement'!D8</f>
        <v>-1940</v>
      </c>
      <c r="E6" s="23" t="n">
        <f aca="false">'Income Statement'!E8</f>
        <v>-2011.35</v>
      </c>
      <c r="F6" s="23" t="n">
        <f aca="false">'Income Statement'!F8</f>
        <v>-2557.9125</v>
      </c>
      <c r="G6" s="23" t="n">
        <f aca="false">'Income Statement'!G8</f>
        <v>-2842.125</v>
      </c>
      <c r="H6" s="23" t="n">
        <f aca="false">'Income Statement'!H8</f>
        <v>-3379.545</v>
      </c>
      <c r="I6" s="23" t="n">
        <f aca="false">'Income Statement'!I8</f>
        <v>-3539.685825</v>
      </c>
    </row>
    <row r="7" customFormat="false" ht="15" hidden="false" customHeight="false" outlineLevel="0" collapsed="false">
      <c r="A7" s="3" t="s">
        <v>178</v>
      </c>
      <c r="B7" s="23" t="n">
        <f aca="false">'Income Statement'!B9</f>
        <v>6600</v>
      </c>
      <c r="C7" s="23" t="n">
        <f aca="false">'Income Statement'!C9</f>
        <v>12410</v>
      </c>
      <c r="D7" s="23" t="n">
        <f aca="false">'Income Statement'!D9</f>
        <v>17600</v>
      </c>
      <c r="E7" s="23" t="n">
        <f aca="false">'Income Statement'!E9</f>
        <v>21888.37</v>
      </c>
      <c r="F7" s="23" t="n">
        <f aca="false">'Income Statement'!F9</f>
        <v>25828.10555</v>
      </c>
      <c r="G7" s="23" t="n">
        <f aca="false">'Income Statement'!G9</f>
        <v>30306.8230725</v>
      </c>
      <c r="H7" s="23" t="n">
        <f aca="false">'Income Statement'!H9</f>
        <v>34671.1503013688</v>
      </c>
      <c r="I7" s="23" t="n">
        <f aca="false">'Income Statement'!I9</f>
        <v>39379.607757165</v>
      </c>
    </row>
    <row r="8" customFormat="false" ht="15" hidden="false" customHeight="false" outlineLevel="0" collapsed="false">
      <c r="A8" s="3" t="s">
        <v>183</v>
      </c>
      <c r="B8" s="23" t="n">
        <f aca="false">'Income Statement'!B13</f>
        <v>4700</v>
      </c>
      <c r="C8" s="23" t="n">
        <f aca="false">'Income Statement'!C13</f>
        <v>9008</v>
      </c>
      <c r="D8" s="23" t="n">
        <f aca="false">'Income Statement'!D13</f>
        <v>12588</v>
      </c>
      <c r="E8" s="23" t="n">
        <f aca="false">'Income Statement'!E13</f>
        <v>15789.06825</v>
      </c>
      <c r="F8" s="23" t="n">
        <f aca="false">'Income Statement'!F13</f>
        <v>18557.8922071</v>
      </c>
      <c r="G8" s="23" t="n">
        <f aca="false">'Income Statement'!G13</f>
        <v>21720.9126122</v>
      </c>
      <c r="H8" s="23" t="n">
        <f aca="false">'Income Statement'!H13</f>
        <v>24853.2282169855</v>
      </c>
      <c r="I8" s="23" t="n">
        <f aca="false">'Income Statement'!I13</f>
        <v>28233.3175851588</v>
      </c>
    </row>
    <row r="9" customFormat="false" ht="15" hidden="false" customHeight="false" outlineLevel="0" collapsed="false">
      <c r="A9" s="3" t="s">
        <v>234</v>
      </c>
      <c r="B9" s="7" t="n">
        <f aca="false">'Income Statement'!B14</f>
        <v>3.13333333333333</v>
      </c>
      <c r="C9" s="7" t="n">
        <f aca="false">'Income Statement'!C14</f>
        <v>6.00533333333333</v>
      </c>
      <c r="D9" s="7" t="n">
        <f aca="false">'Income Statement'!D14</f>
        <v>8.392</v>
      </c>
      <c r="E9" s="7" t="n">
        <f aca="false">'Income Statement'!E14</f>
        <v>10.5260455</v>
      </c>
      <c r="F9" s="7" t="n">
        <f aca="false">'Income Statement'!F14</f>
        <v>12.3719281380667</v>
      </c>
      <c r="G9" s="7" t="n">
        <f aca="false">'Income Statement'!G14</f>
        <v>14.4806084081333</v>
      </c>
      <c r="H9" s="7" t="n">
        <f aca="false">'Income Statement'!H14</f>
        <v>16.5688188113237</v>
      </c>
      <c r="I9" s="7" t="n">
        <f aca="false">'Income Statement'!I14</f>
        <v>18.8222117234392</v>
      </c>
    </row>
    <row r="10" customFormat="false" ht="15" hidden="false" customHeight="false" outlineLevel="0" collapsed="false">
      <c r="A10" s="3" t="s">
        <v>198</v>
      </c>
      <c r="B10" s="23" t="n">
        <f aca="false">'Balance Sheet'!B8</f>
        <v>162300</v>
      </c>
      <c r="C10" s="23" t="n">
        <f aca="false">'Balance Sheet'!C8</f>
        <v>260500</v>
      </c>
      <c r="D10" s="23" t="n">
        <f aca="false">'Balance Sheet'!D8</f>
        <v>350000</v>
      </c>
      <c r="E10" s="23" t="n">
        <f aca="false">'Balance Sheet'!E8</f>
        <v>453890.647197368</v>
      </c>
      <c r="F10" s="23" t="n">
        <f aca="false">'Balance Sheet'!F8</f>
        <v>565067.644920601</v>
      </c>
      <c r="G10" s="23" t="n">
        <f aca="false">'Balance Sheet'!G8</f>
        <v>678387.015377813</v>
      </c>
      <c r="H10" s="23" t="n">
        <f aca="false">'Balance Sheet'!H8</f>
        <v>800798.694267191</v>
      </c>
      <c r="I10" s="23" t="n">
        <f aca="false">'Balance Sheet'!I8</f>
        <v>923332.793666586</v>
      </c>
    </row>
    <row r="11" customFormat="false" ht="15" hidden="false" customHeight="false" outlineLevel="0" collapsed="false">
      <c r="A11" s="3" t="s">
        <v>195</v>
      </c>
      <c r="B11" s="23" t="n">
        <f aca="false">'Balance Sheet'!B6</f>
        <v>67000</v>
      </c>
      <c r="C11" s="23" t="n">
        <f aca="false">'Balance Sheet'!C6</f>
        <v>104400</v>
      </c>
      <c r="D11" s="23" t="n">
        <f aca="false">'Balance Sheet'!D6</f>
        <v>159000</v>
      </c>
      <c r="E11" s="23" t="n">
        <f aca="false">'Balance Sheet'!E6</f>
        <v>206700</v>
      </c>
      <c r="F11" s="23" t="n">
        <f aca="false">'Balance Sheet'!F6</f>
        <v>258375</v>
      </c>
      <c r="G11" s="23" t="n">
        <f aca="false">'Balance Sheet'!G6</f>
        <v>310050</v>
      </c>
      <c r="H11" s="23" t="n">
        <f aca="false">'Balance Sheet'!H6</f>
        <v>365859</v>
      </c>
      <c r="I11" s="23" t="n">
        <f aca="false">'Balance Sheet'!I6</f>
        <v>420737.85</v>
      </c>
    </row>
    <row r="12" customFormat="false" ht="15" hidden="false" customHeight="false" outlineLevel="0" collapsed="false">
      <c r="A12" s="3" t="s">
        <v>200</v>
      </c>
      <c r="B12" s="23" t="n">
        <f aca="false">'Balance Sheet'!B10</f>
        <v>127000</v>
      </c>
      <c r="C12" s="23" t="n">
        <f aca="false">'Balance Sheet'!C10</f>
        <v>200000</v>
      </c>
      <c r="D12" s="23" t="n">
        <f aca="false">'Balance Sheet'!D10</f>
        <v>278000</v>
      </c>
      <c r="E12" s="23" t="n">
        <f aca="false">'Balance Sheet'!E10</f>
        <v>362631.578947368</v>
      </c>
      <c r="F12" s="23" t="n">
        <f aca="false">'Balance Sheet'!F10</f>
        <v>453289.473684211</v>
      </c>
      <c r="G12" s="23" t="n">
        <f aca="false">'Balance Sheet'!G10</f>
        <v>543947.368421053</v>
      </c>
      <c r="H12" s="23" t="n">
        <f aca="false">'Balance Sheet'!H10</f>
        <v>641857.894736842</v>
      </c>
      <c r="I12" s="23" t="n">
        <f aca="false">'Balance Sheet'!I10</f>
        <v>738136.578947368</v>
      </c>
    </row>
    <row r="13" customFormat="false" ht="15" hidden="false" customHeight="false" outlineLevel="0" collapsed="false">
      <c r="A13" s="3" t="s">
        <v>235</v>
      </c>
      <c r="B13" s="23" t="n">
        <f aca="false">'Balance Sheet'!B16</f>
        <v>14900</v>
      </c>
      <c r="C13" s="23" t="n">
        <f aca="false">'Balance Sheet'!C16</f>
        <v>23000</v>
      </c>
      <c r="D13" s="23" t="n">
        <f aca="false">'Balance Sheet'!D16</f>
        <v>37300</v>
      </c>
      <c r="E13" s="23" t="n">
        <f aca="false">'Balance Sheet'!E16</f>
        <v>53089.06825</v>
      </c>
      <c r="F13" s="23" t="n">
        <f aca="false">'Balance Sheet'!F16</f>
        <v>69791.17123639</v>
      </c>
      <c r="G13" s="23" t="n">
        <f aca="false">'Balance Sheet'!G16</f>
        <v>88253.94695676</v>
      </c>
      <c r="H13" s="23" t="n">
        <f aca="false">'Balance Sheet'!H16</f>
        <v>108136.529530348</v>
      </c>
      <c r="I13" s="23" t="n">
        <f aca="false">'Balance Sheet'!I16</f>
        <v>129311.517719217</v>
      </c>
    </row>
    <row r="14" customFormat="false" ht="15" hidden="false" customHeight="false" outlineLevel="0" collapsed="false">
      <c r="A14" s="3" t="s">
        <v>236</v>
      </c>
      <c r="B14" s="8" t="n">
        <f aca="false">'Income Statement'!B16</f>
        <v>0.259633027522936</v>
      </c>
      <c r="C14" s="8" t="n">
        <f aca="false">'Income Statement'!C16</f>
        <v>0.189894503053859</v>
      </c>
      <c r="D14" s="8" t="n">
        <f aca="false">'Income Statement'!D16</f>
        <v>0.172033898305085</v>
      </c>
      <c r="E14" s="8" t="n">
        <f aca="false">'Income Statement'!E16</f>
        <v>0.18</v>
      </c>
      <c r="F14" s="8" t="n">
        <f aca="false">'Income Statement'!F16</f>
        <v>0.185</v>
      </c>
      <c r="G14" s="8" t="n">
        <f aca="false">'Income Statement'!G16</f>
        <v>0.19</v>
      </c>
      <c r="H14" s="8" t="n">
        <f aca="false">'Income Statement'!H16</f>
        <v>0.195</v>
      </c>
      <c r="I14" s="8" t="n">
        <f aca="false">'Income Statement'!I16</f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1"/>
    <col collapsed="false" customWidth="true" hidden="false" outlineLevel="0" max="7" min="7" style="0" width="40"/>
  </cols>
  <sheetData>
    <row r="1" customFormat="false" ht="16.15" hidden="false" customHeight="false" outlineLevel="0" collapsed="false">
      <c r="A1" s="1" t="s">
        <v>237</v>
      </c>
    </row>
    <row r="2" customFormat="false" ht="15" hidden="false" customHeight="false" outlineLevel="0" collapsed="false">
      <c r="A2" s="4" t="s">
        <v>238</v>
      </c>
    </row>
    <row r="3" customFormat="false" ht="15" hidden="false" customHeight="false" outlineLevel="0" collapsed="false">
      <c r="A3" s="4" t="s">
        <v>239</v>
      </c>
    </row>
    <row r="5" customFormat="false" ht="15" hidden="false" customHeight="false" outlineLevel="0" collapsed="false">
      <c r="A5" s="13" t="s">
        <v>240</v>
      </c>
    </row>
    <row r="6" customFormat="false" ht="15" hidden="false" customHeight="false" outlineLevel="0" collapsed="false">
      <c r="A6" s="3" t="s">
        <v>241</v>
      </c>
      <c r="C6" s="7" t="n">
        <f aca="false">Assumptions!$B$4</f>
        <v>46.64</v>
      </c>
    </row>
    <row r="7" customFormat="false" ht="15" hidden="false" customHeight="false" outlineLevel="0" collapsed="false">
      <c r="A7" s="3" t="s">
        <v>79</v>
      </c>
      <c r="C7" s="8" t="n">
        <f aca="false">Assumptions!$B$33</f>
        <v>0.432067520863674</v>
      </c>
    </row>
    <row r="8" customFormat="false" ht="15" hidden="false" customHeight="false" outlineLevel="0" collapsed="false">
      <c r="A8" s="3" t="s">
        <v>242</v>
      </c>
      <c r="C8" s="16" t="n">
        <v>0.492548470635939</v>
      </c>
    </row>
    <row r="9" customFormat="false" ht="15" hidden="false" customHeight="false" outlineLevel="0" collapsed="false">
      <c r="A9" s="3" t="s">
        <v>80</v>
      </c>
      <c r="C9" s="8" t="n">
        <f aca="false">Assumptions!$B$34</f>
        <v>0.109498219994024</v>
      </c>
    </row>
    <row r="10" customFormat="false" ht="15" hidden="false" customHeight="false" outlineLevel="0" collapsed="false">
      <c r="A10" s="3" t="s">
        <v>81</v>
      </c>
      <c r="C10" s="8" t="n">
        <f aca="false">Assumptions!$B$35</f>
        <v>0.035</v>
      </c>
    </row>
    <row r="11" customFormat="false" ht="15" hidden="false" customHeight="false" outlineLevel="0" collapsed="false">
      <c r="A11" s="3" t="s">
        <v>243</v>
      </c>
      <c r="C11" s="16" t="n">
        <v>-0.018</v>
      </c>
    </row>
    <row r="12" customFormat="false" ht="15" hidden="false" customHeight="false" outlineLevel="0" collapsed="false">
      <c r="A12" s="3" t="s">
        <v>244</v>
      </c>
      <c r="C12" s="15" t="s">
        <v>245</v>
      </c>
    </row>
    <row r="14" customFormat="false" ht="15" hidden="false" customHeight="false" outlineLevel="0" collapsed="false">
      <c r="A14" s="13" t="s">
        <v>246</v>
      </c>
    </row>
    <row r="15" customFormat="false" ht="15" hidden="false" customHeight="false" outlineLevel="0" collapsed="false">
      <c r="A15" s="5" t="s">
        <v>247</v>
      </c>
      <c r="B15" s="5" t="s">
        <v>248</v>
      </c>
      <c r="C15" s="5" t="s">
        <v>249</v>
      </c>
      <c r="D15" s="5" t="s">
        <v>250</v>
      </c>
      <c r="E15" s="5"/>
      <c r="F15" s="5"/>
      <c r="G15" s="5" t="s">
        <v>251</v>
      </c>
    </row>
    <row r="16" customFormat="false" ht="15" hidden="false" customHeight="false" outlineLevel="0" collapsed="false">
      <c r="A16" s="3" t="s">
        <v>252</v>
      </c>
      <c r="B16" s="26" t="s">
        <v>253</v>
      </c>
      <c r="C16" s="16" t="n">
        <v>0.02</v>
      </c>
      <c r="D16" s="16" t="n">
        <v>0.04</v>
      </c>
      <c r="G16" s="4" t="s">
        <v>254</v>
      </c>
    </row>
    <row r="17" customFormat="false" ht="15" hidden="false" customHeight="false" outlineLevel="0" collapsed="false">
      <c r="A17" s="3" t="s">
        <v>255</v>
      </c>
      <c r="B17" s="26" t="s">
        <v>253</v>
      </c>
      <c r="C17" s="16" t="n">
        <v>0.01</v>
      </c>
      <c r="D17" s="16" t="n">
        <v>0.06</v>
      </c>
      <c r="G17" s="4" t="s">
        <v>256</v>
      </c>
    </row>
    <row r="18" customFormat="false" ht="15" hidden="false" customHeight="false" outlineLevel="0" collapsed="false">
      <c r="A18" s="3" t="s">
        <v>257</v>
      </c>
      <c r="B18" s="26" t="s">
        <v>253</v>
      </c>
      <c r="C18" s="16" t="n">
        <v>0.01</v>
      </c>
      <c r="D18" s="16" t="n">
        <v>0.04</v>
      </c>
      <c r="G18" s="4" t="s">
        <v>258</v>
      </c>
    </row>
    <row r="19" customFormat="false" ht="15" hidden="false" customHeight="false" outlineLevel="0" collapsed="false">
      <c r="A19" s="3" t="s">
        <v>259</v>
      </c>
      <c r="B19" s="26" t="s">
        <v>253</v>
      </c>
      <c r="C19" s="16" t="n">
        <v>0.015</v>
      </c>
      <c r="D19" s="16" t="n">
        <v>0.07</v>
      </c>
      <c r="G19" s="4" t="s">
        <v>260</v>
      </c>
    </row>
    <row r="20" customFormat="false" ht="15" hidden="false" customHeight="false" outlineLevel="0" collapsed="false">
      <c r="A20" s="3" t="s">
        <v>261</v>
      </c>
      <c r="B20" s="26" t="s">
        <v>253</v>
      </c>
      <c r="C20" s="16" t="n">
        <v>0.01</v>
      </c>
      <c r="D20" s="16" t="n">
        <v>0.04</v>
      </c>
      <c r="G20" s="4" t="s">
        <v>262</v>
      </c>
    </row>
    <row r="21" customFormat="false" ht="15" hidden="false" customHeight="false" outlineLevel="0" collapsed="false">
      <c r="A21" s="3" t="s">
        <v>263</v>
      </c>
      <c r="B21" s="26" t="s">
        <v>264</v>
      </c>
      <c r="C21" s="16" t="n">
        <v>-0.02</v>
      </c>
      <c r="D21" s="16" t="n">
        <v>0.05</v>
      </c>
      <c r="G21" s="4" t="s">
        <v>265</v>
      </c>
    </row>
    <row r="22" customFormat="false" ht="15" hidden="false" customHeight="false" outlineLevel="0" collapsed="false">
      <c r="A22" s="3" t="s">
        <v>266</v>
      </c>
      <c r="B22" s="26" t="s">
        <v>264</v>
      </c>
      <c r="C22" s="16" t="n">
        <v>-0.01</v>
      </c>
      <c r="D22" s="16" t="n">
        <v>0.05</v>
      </c>
      <c r="G22" s="4" t="s">
        <v>267</v>
      </c>
    </row>
    <row r="24" customFormat="false" ht="15" hidden="false" customHeight="false" outlineLevel="0" collapsed="false">
      <c r="A24" s="13" t="s">
        <v>268</v>
      </c>
    </row>
    <row r="25" customFormat="false" ht="15" hidden="false" customHeight="false" outlineLevel="0" collapsed="false">
      <c r="A25" s="5" t="s">
        <v>269</v>
      </c>
      <c r="B25" s="5" t="s">
        <v>270</v>
      </c>
      <c r="C25" s="5" t="s">
        <v>271</v>
      </c>
      <c r="D25" s="5" t="s">
        <v>272</v>
      </c>
      <c r="E25" s="5" t="s">
        <v>273</v>
      </c>
      <c r="F25" s="5"/>
      <c r="G25" s="5" t="s">
        <v>251</v>
      </c>
    </row>
    <row r="26" customFormat="false" ht="15" hidden="false" customHeight="false" outlineLevel="0" collapsed="false">
      <c r="A26" s="3" t="s">
        <v>274</v>
      </c>
      <c r="B26" s="26" t="s">
        <v>275</v>
      </c>
      <c r="C26" s="16" t="n">
        <v>0.3</v>
      </c>
      <c r="D26" s="16" t="n">
        <v>-0.1</v>
      </c>
      <c r="E26" s="16" t="n">
        <v>0.05</v>
      </c>
      <c r="G26" s="4" t="s">
        <v>276</v>
      </c>
    </row>
    <row r="27" customFormat="false" ht="15" hidden="false" customHeight="false" outlineLevel="0" collapsed="false">
      <c r="A27" s="3" t="s">
        <v>277</v>
      </c>
      <c r="B27" s="26" t="s">
        <v>275</v>
      </c>
      <c r="C27" s="16" t="n">
        <v>0.3</v>
      </c>
      <c r="D27" s="16" t="n">
        <v>-0.06</v>
      </c>
      <c r="E27" s="16" t="n">
        <v>0.04</v>
      </c>
      <c r="G27" s="4" t="s">
        <v>278</v>
      </c>
    </row>
    <row r="28" customFormat="false" ht="15" hidden="false" customHeight="false" outlineLevel="0" collapsed="false">
      <c r="A28" s="3" t="s">
        <v>279</v>
      </c>
      <c r="B28" s="26" t="s">
        <v>275</v>
      </c>
      <c r="C28" s="16" t="n">
        <v>0.3</v>
      </c>
      <c r="D28" s="16" t="n">
        <v>0.02</v>
      </c>
      <c r="E28" s="16" t="n">
        <v>0.05</v>
      </c>
      <c r="G28" s="4" t="s">
        <v>280</v>
      </c>
    </row>
    <row r="29" customFormat="false" ht="15" hidden="false" customHeight="false" outlineLevel="0" collapsed="false">
      <c r="A29" s="3" t="s">
        <v>281</v>
      </c>
      <c r="B29" s="26" t="s">
        <v>275</v>
      </c>
      <c r="C29" s="16" t="n">
        <v>0.25</v>
      </c>
      <c r="D29" s="16" t="n">
        <v>0.03</v>
      </c>
      <c r="E29" s="16" t="n">
        <v>0.05</v>
      </c>
      <c r="G29" s="4" t="s">
        <v>282</v>
      </c>
    </row>
    <row r="30" customFormat="false" ht="15" hidden="false" customHeight="false" outlineLevel="0" collapsed="false">
      <c r="A30" s="3" t="s">
        <v>283</v>
      </c>
      <c r="B30" s="26" t="s">
        <v>275</v>
      </c>
      <c r="C30" s="16" t="n">
        <v>0.25</v>
      </c>
      <c r="D30" s="16" t="n">
        <v>0.02</v>
      </c>
      <c r="E30" s="16" t="n">
        <v>0.05</v>
      </c>
      <c r="G30" s="4" t="s">
        <v>284</v>
      </c>
    </row>
    <row r="31" customFormat="false" ht="15" hidden="false" customHeight="false" outlineLevel="0" collapsed="false">
      <c r="A31" s="3" t="s">
        <v>285</v>
      </c>
      <c r="B31" s="26" t="s">
        <v>286</v>
      </c>
      <c r="C31" s="16" t="n">
        <v>0.5</v>
      </c>
      <c r="D31" s="16" t="n">
        <v>0.02</v>
      </c>
      <c r="E31" s="16" t="n">
        <v>0.06</v>
      </c>
      <c r="G31" s="4" t="s">
        <v>287</v>
      </c>
    </row>
    <row r="32" customFormat="false" ht="15" hidden="false" customHeight="false" outlineLevel="0" collapsed="false">
      <c r="A32" s="3" t="s">
        <v>288</v>
      </c>
      <c r="B32" s="26" t="s">
        <v>286</v>
      </c>
      <c r="C32" s="16" t="n">
        <v>0.3</v>
      </c>
      <c r="D32" s="16" t="n">
        <v>0.03</v>
      </c>
      <c r="E32" s="16" t="n">
        <v>0.06</v>
      </c>
      <c r="G32" s="4" t="s">
        <v>289</v>
      </c>
    </row>
    <row r="33" customFormat="false" ht="15" hidden="false" customHeight="false" outlineLevel="0" collapsed="false">
      <c r="A33" s="3" t="s">
        <v>290</v>
      </c>
      <c r="B33" s="26" t="s">
        <v>286</v>
      </c>
      <c r="C33" s="16" t="n">
        <v>0.25</v>
      </c>
      <c r="D33" s="16" t="n">
        <v>-0.03</v>
      </c>
      <c r="E33" s="16" t="n">
        <v>0.04</v>
      </c>
      <c r="G33" s="4" t="s">
        <v>291</v>
      </c>
    </row>
    <row r="34" customFormat="false" ht="15" hidden="false" customHeight="false" outlineLevel="0" collapsed="false">
      <c r="A34" s="3" t="s">
        <v>292</v>
      </c>
      <c r="B34" s="26" t="s">
        <v>286</v>
      </c>
      <c r="C34" s="16" t="n">
        <v>0.3</v>
      </c>
      <c r="D34" s="16" t="n">
        <v>0</v>
      </c>
      <c r="E34" s="16" t="n">
        <v>0.05</v>
      </c>
      <c r="G34" s="4" t="s">
        <v>293</v>
      </c>
    </row>
    <row r="36" customFormat="false" ht="15" hidden="false" customHeight="false" outlineLevel="0" collapsed="false">
      <c r="A36" s="13" t="s">
        <v>294</v>
      </c>
    </row>
    <row r="37" customFormat="false" ht="15" hidden="false" customHeight="false" outlineLevel="0" collapsed="false">
      <c r="A37" s="5" t="s">
        <v>295</v>
      </c>
      <c r="B37" s="5" t="s">
        <v>296</v>
      </c>
      <c r="C37" s="5" t="s">
        <v>297</v>
      </c>
      <c r="D37" s="5" t="s">
        <v>298</v>
      </c>
      <c r="E37" s="5" t="s">
        <v>299</v>
      </c>
      <c r="F37" s="5" t="s">
        <v>300</v>
      </c>
    </row>
    <row r="38" customFormat="false" ht="15" hidden="false" customHeight="false" outlineLevel="0" collapsed="false">
      <c r="A38" s="3" t="s">
        <v>301</v>
      </c>
      <c r="B38" s="6" t="n">
        <v>38.5</v>
      </c>
      <c r="C38" s="6" t="n">
        <v>44.5</v>
      </c>
      <c r="D38" s="6" t="n">
        <v>48.2</v>
      </c>
      <c r="E38" s="6" t="n">
        <v>52.2</v>
      </c>
      <c r="F38" s="6" t="n">
        <v>59.7</v>
      </c>
    </row>
    <row r="39" customFormat="false" ht="15" hidden="false" customHeight="false" outlineLevel="0" collapsed="false">
      <c r="A39" s="3" t="s">
        <v>302</v>
      </c>
      <c r="B39" s="6" t="n">
        <v>35.3</v>
      </c>
      <c r="C39" s="6" t="n">
        <v>44.7</v>
      </c>
      <c r="D39" s="6" t="n">
        <v>51.5</v>
      </c>
      <c r="E39" s="6" t="n">
        <v>59.3</v>
      </c>
      <c r="F39" s="6" t="n">
        <v>74.4</v>
      </c>
    </row>
    <row r="41" customFormat="false" ht="15" hidden="false" customHeight="false" outlineLevel="0" collapsed="false">
      <c r="A41" s="13" t="s">
        <v>303</v>
      </c>
    </row>
    <row r="42" customFormat="false" ht="15" hidden="false" customHeight="false" outlineLevel="0" collapsed="false">
      <c r="A42" s="5" t="s">
        <v>304</v>
      </c>
      <c r="B42" s="5" t="s">
        <v>305</v>
      </c>
      <c r="C42" s="5" t="s">
        <v>306</v>
      </c>
    </row>
    <row r="43" customFormat="false" ht="15" hidden="false" customHeight="false" outlineLevel="0" collapsed="false">
      <c r="A43" s="20" t="n">
        <v>55</v>
      </c>
      <c r="B43" s="27" t="n">
        <v>0.21</v>
      </c>
      <c r="C43" s="27" t="n">
        <v>0.55</v>
      </c>
    </row>
    <row r="44" customFormat="false" ht="15" hidden="false" customHeight="false" outlineLevel="0" collapsed="false">
      <c r="A44" s="20" t="n">
        <v>52</v>
      </c>
      <c r="B44" s="27" t="n">
        <v>0.39</v>
      </c>
      <c r="C44" s="27" t="n">
        <v>0.7</v>
      </c>
    </row>
    <row r="45" customFormat="false" ht="15" hidden="false" customHeight="false" outlineLevel="0" collapsed="false">
      <c r="A45" s="20" t="n">
        <v>50</v>
      </c>
      <c r="B45" s="27" t="n">
        <v>0.57</v>
      </c>
      <c r="C45" s="27" t="n">
        <v>0.81</v>
      </c>
    </row>
    <row r="46" customFormat="false" ht="15" hidden="false" customHeight="false" outlineLevel="0" collapsed="false">
      <c r="A46" s="20" t="n">
        <v>48</v>
      </c>
      <c r="B46" s="27" t="n">
        <v>0.78</v>
      </c>
      <c r="C46" s="27" t="n">
        <v>0.91</v>
      </c>
    </row>
    <row r="47" customFormat="false" ht="15" hidden="false" customHeight="false" outlineLevel="0" collapsed="false">
      <c r="A47" s="20" t="n">
        <v>45</v>
      </c>
      <c r="B47" s="27" t="n">
        <v>0.56</v>
      </c>
      <c r="C47" s="27" t="n">
        <v>0.68</v>
      </c>
    </row>
    <row r="48" customFormat="false" ht="15" hidden="false" customHeight="false" outlineLevel="0" collapsed="false">
      <c r="A48" s="20" t="n">
        <v>42</v>
      </c>
      <c r="B48" s="27" t="n">
        <v>0.25</v>
      </c>
      <c r="C48" s="27" t="n">
        <v>0.42</v>
      </c>
    </row>
    <row r="49" customFormat="false" ht="15" hidden="false" customHeight="false" outlineLevel="0" collapsed="false">
      <c r="A49" s="20" t="n">
        <v>40</v>
      </c>
      <c r="B49" s="27" t="n">
        <v>0.14</v>
      </c>
      <c r="C49" s="27" t="n">
        <v>0.29</v>
      </c>
    </row>
    <row r="50" customFormat="false" ht="15" hidden="false" customHeight="false" outlineLevel="0" collapsed="false">
      <c r="A50" s="20" t="n">
        <v>38</v>
      </c>
      <c r="B50" s="27" t="n">
        <v>0.07</v>
      </c>
      <c r="C50" s="27" t="n">
        <v>0.19</v>
      </c>
    </row>
    <row r="52" customFormat="false" ht="15" hidden="false" customHeight="false" outlineLevel="0" collapsed="false">
      <c r="A52" s="13" t="s">
        <v>307</v>
      </c>
    </row>
    <row r="53" customFormat="false" ht="15" hidden="false" customHeight="false" outlineLevel="0" collapsed="false">
      <c r="A53" s="5" t="s">
        <v>308</v>
      </c>
      <c r="B53" s="5" t="s">
        <v>309</v>
      </c>
      <c r="C53" s="5" t="s">
        <v>271</v>
      </c>
    </row>
    <row r="54" customFormat="false" ht="15" hidden="false" customHeight="false" outlineLevel="0" collapsed="false">
      <c r="A54" s="3" t="s">
        <v>310</v>
      </c>
      <c r="B54" s="26" t="s">
        <v>311</v>
      </c>
      <c r="C54" s="27" t="n">
        <v>0.08</v>
      </c>
    </row>
    <row r="55" customFormat="false" ht="15" hidden="false" customHeight="false" outlineLevel="0" collapsed="false">
      <c r="A55" s="3" t="s">
        <v>312</v>
      </c>
      <c r="B55" s="26" t="s">
        <v>313</v>
      </c>
      <c r="C55" s="27" t="n">
        <v>0.14</v>
      </c>
    </row>
    <row r="56" customFormat="false" ht="15" hidden="false" customHeight="false" outlineLevel="0" collapsed="false">
      <c r="A56" s="3" t="s">
        <v>314</v>
      </c>
      <c r="B56" s="26" t="s">
        <v>315</v>
      </c>
      <c r="C56" s="27" t="n">
        <v>0.22</v>
      </c>
    </row>
    <row r="57" customFormat="false" ht="15" hidden="false" customHeight="false" outlineLevel="0" collapsed="false">
      <c r="A57" s="3" t="s">
        <v>316</v>
      </c>
      <c r="B57" s="26" t="s">
        <v>317</v>
      </c>
      <c r="C57" s="27" t="n">
        <v>0.21</v>
      </c>
    </row>
    <row r="58" customFormat="false" ht="15" hidden="false" customHeight="false" outlineLevel="0" collapsed="false">
      <c r="A58" s="3" t="s">
        <v>318</v>
      </c>
      <c r="B58" s="26" t="s">
        <v>319</v>
      </c>
      <c r="C58" s="27" t="n">
        <v>0.34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7" min="3" style="0" width="11"/>
  </cols>
  <sheetData>
    <row r="1" customFormat="false" ht="16.1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4" t="s">
        <v>321</v>
      </c>
    </row>
    <row r="5" customFormat="false" ht="15" hidden="false" customHeight="false" outlineLevel="0" collapsed="false">
      <c r="B5" s="9" t="s">
        <v>322</v>
      </c>
      <c r="C5" s="16" t="n">
        <v>0.22</v>
      </c>
      <c r="D5" s="16" t="n">
        <v>0.25</v>
      </c>
      <c r="E5" s="16" t="n">
        <v>0.28</v>
      </c>
      <c r="F5" s="16" t="n">
        <v>0.31</v>
      </c>
      <c r="G5" s="16" t="n">
        <v>0.34</v>
      </c>
    </row>
    <row r="6" customFormat="false" ht="15" hidden="false" customHeight="false" outlineLevel="0" collapsed="false">
      <c r="B6" s="16" t="n">
        <v>0.2</v>
      </c>
      <c r="C6" s="28" t="n">
        <f aca="false">DDM!$E$6/(1+$B6)^DDM!$E$8+DDM!$F$6/(1+$B6)^DDM!$F$8+DDM!$G$6/(1+$B6)^DDM!$G$8+DDM!$H$6/(1+$B6)^DDM!$H$8+DDM!$I$6/(1+$B6)^DDM!$I$8+((C$5-Assumptions!$D$14)/($B6-Assumptions!$D$14))*DDM!$I$7/(1+$B6)^DDM!$I$8</f>
        <v>52.5256011549815</v>
      </c>
      <c r="D6" s="28" t="n">
        <f aca="false">DDM!$E$6/(1+$B6)^DDM!$E$8+DDM!$F$6/(1+$B6)^DDM!$F$8+DDM!$G$6/(1+$B6)^DDM!$G$8+DDM!$H$6/(1+$B6)^DDM!$H$8+DDM!$I$6/(1+$B6)^DDM!$I$8+((D$5-Assumptions!$D$14)/($B6-Assumptions!$D$14))*DDM!$I$7/(1+$B6)^DDM!$I$8</f>
        <v>65.1761418500055</v>
      </c>
      <c r="E6" s="28" t="n">
        <f aca="false">DDM!$E$6/(1+$B6)^DDM!$E$8+DDM!$F$6/(1+$B6)^DDM!$F$8+DDM!$G$6/(1+$B6)^DDM!$G$8+DDM!$H$6/(1+$B6)^DDM!$H$8+DDM!$I$6/(1+$B6)^DDM!$I$8+((E$5-Assumptions!$D$14)/($B6-Assumptions!$D$14))*DDM!$I$7/(1+$B6)^DDM!$I$8</f>
        <v>77.8266825450294</v>
      </c>
      <c r="F6" s="28" t="n">
        <f aca="false">DDM!$E$6/(1+$B6)^DDM!$E$8+DDM!$F$6/(1+$B6)^DDM!$F$8+DDM!$G$6/(1+$B6)^DDM!$G$8+DDM!$H$6/(1+$B6)^DDM!$H$8+DDM!$I$6/(1+$B6)^DDM!$I$8+((F$5-Assumptions!$D$14)/($B6-Assumptions!$D$14))*DDM!$I$7/(1+$B6)^DDM!$I$8</f>
        <v>90.4772232400533</v>
      </c>
      <c r="G6" s="28" t="n">
        <f aca="false">DDM!$E$6/(1+$B6)^DDM!$E$8+DDM!$F$6/(1+$B6)^DDM!$F$8+DDM!$G$6/(1+$B6)^DDM!$G$8+DDM!$H$6/(1+$B6)^DDM!$H$8+DDM!$I$6/(1+$B6)^DDM!$I$8+((G$5-Assumptions!$D$14)/($B6-Assumptions!$D$14))*DDM!$I$7/(1+$B6)^DDM!$I$8</f>
        <v>103.127763935077</v>
      </c>
    </row>
    <row r="7" customFormat="false" ht="15" hidden="false" customHeight="false" outlineLevel="0" collapsed="false">
      <c r="B7" s="16" t="n">
        <v>0.23</v>
      </c>
      <c r="C7" s="28" t="n">
        <f aca="false">DDM!$E$6/(1+$B7)^DDM!$E$8+DDM!$F$6/(1+$B7)^DDM!$F$8+DDM!$G$6/(1+$B7)^DDM!$G$8+DDM!$H$6/(1+$B7)^DDM!$H$8+DDM!$I$6/(1+$B7)^DDM!$I$8+((C$5-Assumptions!$D$14)/($B7-Assumptions!$D$14))*DDM!$I$7/(1+$B7)^DDM!$I$8</f>
        <v>36.7912120251073</v>
      </c>
      <c r="D7" s="28" t="n">
        <f aca="false">DDM!$E$6/(1+$B7)^DDM!$E$8+DDM!$F$6/(1+$B7)^DDM!$F$8+DDM!$G$6/(1+$B7)^DDM!$G$8+DDM!$H$6/(1+$B7)^DDM!$H$8+DDM!$I$6/(1+$B7)^DDM!$I$8+((D$5-Assumptions!$D$14)/($B7-Assumptions!$D$14))*DDM!$I$7/(1+$B7)^DDM!$I$8</f>
        <v>45.2813149883596</v>
      </c>
      <c r="E7" s="28" t="n">
        <f aca="false">DDM!$E$6/(1+$B7)^DDM!$E$8+DDM!$F$6/(1+$B7)^DDM!$F$8+DDM!$G$6/(1+$B7)^DDM!$G$8+DDM!$H$6/(1+$B7)^DDM!$H$8+DDM!$I$6/(1+$B7)^DDM!$I$8+((E$5-Assumptions!$D$14)/($B7-Assumptions!$D$14))*DDM!$I$7/(1+$B7)^DDM!$I$8</f>
        <v>53.7714179516119</v>
      </c>
      <c r="F7" s="28" t="n">
        <f aca="false">DDM!$E$6/(1+$B7)^DDM!$E$8+DDM!$F$6/(1+$B7)^DDM!$F$8+DDM!$G$6/(1+$B7)^DDM!$G$8+DDM!$H$6/(1+$B7)^DDM!$H$8+DDM!$I$6/(1+$B7)^DDM!$I$8+((F$5-Assumptions!$D$14)/($B7-Assumptions!$D$14))*DDM!$I$7/(1+$B7)^DDM!$I$8</f>
        <v>62.2615209148642</v>
      </c>
      <c r="G7" s="28" t="n">
        <f aca="false">DDM!$E$6/(1+$B7)^DDM!$E$8+DDM!$F$6/(1+$B7)^DDM!$F$8+DDM!$G$6/(1+$B7)^DDM!$G$8+DDM!$H$6/(1+$B7)^DDM!$H$8+DDM!$I$6/(1+$B7)^DDM!$I$8+((G$5-Assumptions!$D$14)/($B7-Assumptions!$D$14))*DDM!$I$7/(1+$B7)^DDM!$I$8</f>
        <v>70.7516238781165</v>
      </c>
    </row>
    <row r="8" customFormat="false" ht="15" hidden="false" customHeight="false" outlineLevel="0" collapsed="false">
      <c r="B8" s="16" t="n">
        <v>0.26</v>
      </c>
      <c r="C8" s="28" t="n">
        <f aca="false">DDM!$E$6/(1+$B8)^DDM!$E$8+DDM!$F$6/(1+$B8)^DDM!$F$8+DDM!$G$6/(1+$B8)^DDM!$G$8+DDM!$H$6/(1+$B8)^DDM!$H$8+DDM!$I$6/(1+$B8)^DDM!$I$8+((C$5-Assumptions!$D$14)/($B8-Assumptions!$D$14))*DDM!$I$7/(1+$B8)^DDM!$I$8</f>
        <v>27.5775622269095</v>
      </c>
      <c r="D8" s="28" t="n">
        <f aca="false">DDM!$E$6/(1+$B8)^DDM!$E$8+DDM!$F$6/(1+$B8)^DDM!$F$8+DDM!$G$6/(1+$B8)^DDM!$G$8+DDM!$H$6/(1+$B8)^DDM!$H$8+DDM!$I$6/(1+$B8)^DDM!$I$8+((D$5-Assumptions!$D$14)/($B8-Assumptions!$D$14))*DDM!$I$7/(1+$B8)^DDM!$I$8</f>
        <v>33.6716470185486</v>
      </c>
      <c r="E8" s="28" t="n">
        <f aca="false">DDM!$E$6/(1+$B8)^DDM!$E$8+DDM!$F$6/(1+$B8)^DDM!$F$8+DDM!$G$6/(1+$B8)^DDM!$G$8+DDM!$H$6/(1+$B8)^DDM!$H$8+DDM!$I$6/(1+$B8)^DDM!$I$8+((E$5-Assumptions!$D$14)/($B8-Assumptions!$D$14))*DDM!$I$7/(1+$B8)^DDM!$I$8</f>
        <v>39.7657318101878</v>
      </c>
      <c r="F8" s="28" t="n">
        <f aca="false">DDM!$E$6/(1+$B8)^DDM!$E$8+DDM!$F$6/(1+$B8)^DDM!$F$8+DDM!$G$6/(1+$B8)^DDM!$G$8+DDM!$H$6/(1+$B8)^DDM!$H$8+DDM!$I$6/(1+$B8)^DDM!$I$8+((F$5-Assumptions!$D$14)/($B8-Assumptions!$D$14))*DDM!$I$7/(1+$B8)^DDM!$I$8</f>
        <v>45.859816601827</v>
      </c>
      <c r="G8" s="28" t="n">
        <f aca="false">DDM!$E$6/(1+$B8)^DDM!$E$8+DDM!$F$6/(1+$B8)^DDM!$F$8+DDM!$G$6/(1+$B8)^DDM!$G$8+DDM!$H$6/(1+$B8)^DDM!$H$8+DDM!$I$6/(1+$B8)^DDM!$I$8+((G$5-Assumptions!$D$14)/($B8-Assumptions!$D$14))*DDM!$I$7/(1+$B8)^DDM!$I$8</f>
        <v>51.9539013934661</v>
      </c>
    </row>
    <row r="9" customFormat="false" ht="15" hidden="false" customHeight="false" outlineLevel="0" collapsed="false">
      <c r="B9" s="16" t="n">
        <v>0.29</v>
      </c>
      <c r="C9" s="28" t="n">
        <f aca="false">DDM!$E$6/(1+$B9)^DDM!$E$8+DDM!$F$6/(1+$B9)^DDM!$F$8+DDM!$G$6/(1+$B9)^DDM!$G$8+DDM!$H$6/(1+$B9)^DDM!$H$8+DDM!$I$6/(1+$B9)^DDM!$I$8+((C$5-Assumptions!$D$14)/($B9-Assumptions!$D$14))*DDM!$I$7/(1+$B9)^DDM!$I$8</f>
        <v>21.5987455084429</v>
      </c>
      <c r="D9" s="28" t="n">
        <f aca="false">DDM!$E$6/(1+$B9)^DDM!$E$8+DDM!$F$6/(1+$B9)^DDM!$F$8+DDM!$G$6/(1+$B9)^DDM!$G$8+DDM!$H$6/(1+$B9)^DDM!$H$8+DDM!$I$6/(1+$B9)^DDM!$I$8+((D$5-Assumptions!$D$14)/($B9-Assumptions!$D$14))*DDM!$I$7/(1+$B9)^DDM!$I$8</f>
        <v>26.1669023165402</v>
      </c>
      <c r="E9" s="28" t="n">
        <f aca="false">DDM!$E$6/(1+$B9)^DDM!$E$8+DDM!$F$6/(1+$B9)^DDM!$F$8+DDM!$G$6/(1+$B9)^DDM!$G$8+DDM!$H$6/(1+$B9)^DDM!$H$8+DDM!$I$6/(1+$B9)^DDM!$I$8+((E$5-Assumptions!$D$14)/($B9-Assumptions!$D$14))*DDM!$I$7/(1+$B9)^DDM!$I$8</f>
        <v>30.7350591246376</v>
      </c>
      <c r="F9" s="28" t="n">
        <f aca="false">DDM!$E$6/(1+$B9)^DDM!$E$8+DDM!$F$6/(1+$B9)^DDM!$F$8+DDM!$G$6/(1+$B9)^DDM!$G$8+DDM!$H$6/(1+$B9)^DDM!$H$8+DDM!$I$6/(1+$B9)^DDM!$I$8+((F$5-Assumptions!$D$14)/($B9-Assumptions!$D$14))*DDM!$I$7/(1+$B9)^DDM!$I$8</f>
        <v>35.3032159327349</v>
      </c>
      <c r="G9" s="28" t="n">
        <f aca="false">DDM!$E$6/(1+$B9)^DDM!$E$8+DDM!$F$6/(1+$B9)^DDM!$F$8+DDM!$G$6/(1+$B9)^DDM!$G$8+DDM!$H$6/(1+$B9)^DDM!$H$8+DDM!$I$6/(1+$B9)^DDM!$I$8+((G$5-Assumptions!$D$14)/($B9-Assumptions!$D$14))*DDM!$I$7/(1+$B9)^DDM!$I$8</f>
        <v>39.8713727408322</v>
      </c>
    </row>
    <row r="10" customFormat="false" ht="15" hidden="false" customHeight="false" outlineLevel="0" collapsed="false">
      <c r="B10" s="16" t="n">
        <v>0.32</v>
      </c>
      <c r="C10" s="28" t="n">
        <f aca="false">DDM!$E$6/(1+$B10)^DDM!$E$8+DDM!$F$6/(1+$B10)^DDM!$F$8+DDM!$G$6/(1+$B10)^DDM!$G$8+DDM!$H$6/(1+$B10)^DDM!$H$8+DDM!$I$6/(1+$B10)^DDM!$I$8+((C$5-Assumptions!$D$14)/($B10-Assumptions!$D$14))*DDM!$I$7/(1+$B10)^DDM!$I$8</f>
        <v>17.4499452114257</v>
      </c>
      <c r="D10" s="28" t="n">
        <f aca="false">DDM!$E$6/(1+$B10)^DDM!$E$8+DDM!$F$6/(1+$B10)^DDM!$F$8+DDM!$G$6/(1+$B10)^DDM!$G$8+DDM!$H$6/(1+$B10)^DDM!$H$8+DDM!$I$6/(1+$B10)^DDM!$I$8+((D$5-Assumptions!$D$14)/($B10-Assumptions!$D$14))*DDM!$I$7/(1+$B10)^DDM!$I$8</f>
        <v>20.9806809983356</v>
      </c>
      <c r="E10" s="28" t="n">
        <f aca="false">DDM!$E$6/(1+$B10)^DDM!$E$8+DDM!$F$6/(1+$B10)^DDM!$F$8+DDM!$G$6/(1+$B10)^DDM!$G$8+DDM!$H$6/(1+$B10)^DDM!$H$8+DDM!$I$6/(1+$B10)^DDM!$I$8+((E$5-Assumptions!$D$14)/($B10-Assumptions!$D$14))*DDM!$I$7/(1+$B10)^DDM!$I$8</f>
        <v>24.5114167852454</v>
      </c>
      <c r="F10" s="28" t="n">
        <f aca="false">DDM!$E$6/(1+$B10)^DDM!$E$8+DDM!$F$6/(1+$B10)^DDM!$F$8+DDM!$G$6/(1+$B10)^DDM!$G$8+DDM!$H$6/(1+$B10)^DDM!$H$8+DDM!$I$6/(1+$B10)^DDM!$I$8+((F$5-Assumptions!$D$14)/($B10-Assumptions!$D$14))*DDM!$I$7/(1+$B10)^DDM!$I$8</f>
        <v>28.0421525721552</v>
      </c>
      <c r="G10" s="28" t="n">
        <f aca="false">DDM!$E$6/(1+$B10)^DDM!$E$8+DDM!$F$6/(1+$B10)^DDM!$F$8+DDM!$G$6/(1+$B10)^DDM!$G$8+DDM!$H$6/(1+$B10)^DDM!$H$8+DDM!$I$6/(1+$B10)^DDM!$I$8+((G$5-Assumptions!$D$14)/($B10-Assumptions!$D$14))*DDM!$I$7/(1+$B10)^DDM!$I$8</f>
        <v>31.5728883590651</v>
      </c>
    </row>
    <row r="12" customFormat="false" ht="15" hidden="false" customHeight="false" outlineLevel="0" collapsed="false">
      <c r="A12" s="4" t="s">
        <v>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1"/>
    <col collapsed="false" customWidth="true" hidden="false" outlineLevel="0" max="11" min="11" style="0" width="42"/>
  </cols>
  <sheetData>
    <row r="1" customFormat="false" ht="16.15" hidden="false" customHeight="false" outlineLevel="0" collapsed="false">
      <c r="A1" s="1" t="s">
        <v>324</v>
      </c>
    </row>
    <row r="3" customFormat="false" ht="15" hidden="false" customHeight="false" outlineLevel="0" collapsed="false">
      <c r="A3" s="5"/>
      <c r="B3" s="5" t="s">
        <v>170</v>
      </c>
      <c r="C3" s="5" t="s">
        <v>171</v>
      </c>
      <c r="D3" s="5" t="s">
        <v>103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</row>
    <row r="4" customFormat="false" ht="15" hidden="false" customHeight="false" outlineLevel="0" collapsed="false">
      <c r="A4" s="3" t="s">
        <v>325</v>
      </c>
      <c r="B4" s="7" t="n">
        <f aca="false">'Income Statement'!B14</f>
        <v>3.13333333333333</v>
      </c>
      <c r="C4" s="7" t="n">
        <f aca="false">'Income Statement'!C14</f>
        <v>6.00533333333333</v>
      </c>
      <c r="D4" s="7" t="n">
        <f aca="false">'Income Statement'!D14</f>
        <v>8.392</v>
      </c>
      <c r="E4" s="7" t="n">
        <f aca="false">'Income Statement'!E14</f>
        <v>10.5260455</v>
      </c>
      <c r="F4" s="7" t="n">
        <f aca="false">'Income Statement'!F14</f>
        <v>12.3719281380667</v>
      </c>
      <c r="G4" s="7" t="n">
        <f aca="false">'Income Statement'!G14</f>
        <v>14.4806084081333</v>
      </c>
      <c r="H4" s="7" t="n">
        <f aca="false">'Income Statement'!H14</f>
        <v>16.5688188113237</v>
      </c>
      <c r="I4" s="7" t="n">
        <f aca="false">'Income Statement'!I14</f>
        <v>18.8222117234392</v>
      </c>
    </row>
    <row r="5" customFormat="false" ht="15" hidden="false" customHeight="false" outlineLevel="0" collapsed="false">
      <c r="A5" s="3" t="s">
        <v>326</v>
      </c>
      <c r="B5" s="6" t="n">
        <v>0</v>
      </c>
      <c r="C5" s="6" t="n">
        <v>0</v>
      </c>
      <c r="D5" s="6" t="n">
        <v>0</v>
      </c>
      <c r="E5" s="20" t="n">
        <f aca="false">'Income Statement'!E14*Assumptions!C18</f>
        <v>0</v>
      </c>
      <c r="F5" s="20" t="n">
        <f aca="false">'Income Statement'!F14*Assumptions!D18</f>
        <v>1.23719281380667</v>
      </c>
      <c r="G5" s="20" t="n">
        <f aca="false">'Income Statement'!G14*Assumptions!E18</f>
        <v>2.17209126122</v>
      </c>
      <c r="H5" s="20" t="n">
        <f aca="false">'Income Statement'!H14*Assumptions!F18</f>
        <v>3.31376376226473</v>
      </c>
      <c r="I5" s="20" t="n">
        <f aca="false">'Income Statement'!I14*Assumptions!G18</f>
        <v>4.7055529308598</v>
      </c>
      <c r="K5" s="4" t="s">
        <v>327</v>
      </c>
    </row>
    <row r="6" customFormat="false" ht="15" hidden="false" customHeight="false" outlineLevel="0" collapsed="false">
      <c r="A6" s="3" t="s">
        <v>328</v>
      </c>
      <c r="B6" s="20" t="n">
        <f aca="false">'Balance Sheet'!B16/Assumptions!$B$5</f>
        <v>9.93333333333333</v>
      </c>
      <c r="C6" s="20" t="n">
        <f aca="false">'Balance Sheet'!C16/Assumptions!$B$5</f>
        <v>15.3333333333333</v>
      </c>
      <c r="D6" s="7" t="n">
        <f aca="false">DDM!D7</f>
        <v>24.8666666666667</v>
      </c>
      <c r="E6" s="7" t="n">
        <f aca="false">DDM!E7</f>
        <v>35.3927121666667</v>
      </c>
      <c r="F6" s="7" t="n">
        <f aca="false">DDM!F7</f>
        <v>46.5274474909267</v>
      </c>
      <c r="G6" s="7" t="n">
        <f aca="false">DDM!G7</f>
        <v>58.83596463784</v>
      </c>
      <c r="H6" s="7" t="n">
        <f aca="false">DDM!H7</f>
        <v>72.091019686899</v>
      </c>
      <c r="I6" s="7" t="n">
        <f aca="false">DDM!I7</f>
        <v>86.2076784794784</v>
      </c>
    </row>
    <row r="7" customFormat="false" ht="15" hidden="false" customHeight="false" outlineLevel="0" collapsed="false">
      <c r="A7" s="3" t="s">
        <v>105</v>
      </c>
      <c r="E7" s="19" t="n">
        <f aca="false">E5/E4</f>
        <v>0</v>
      </c>
      <c r="F7" s="19" t="n">
        <f aca="false">F5/F4</f>
        <v>0.1</v>
      </c>
      <c r="G7" s="19" t="n">
        <f aca="false">G5/G4</f>
        <v>0.15</v>
      </c>
      <c r="H7" s="19" t="n">
        <f aca="false">H5/H4</f>
        <v>0.2</v>
      </c>
      <c r="I7" s="19" t="n">
        <f aca="false">I5/I4</f>
        <v>0.25</v>
      </c>
    </row>
    <row r="8" customFormat="false" ht="15" hidden="false" customHeight="false" outlineLevel="0" collapsed="false">
      <c r="A8" s="3" t="s">
        <v>329</v>
      </c>
      <c r="C8" s="19" t="n">
        <f aca="false">'Income Statement'!C13/(('Balance Sheet'!B16+'Balance Sheet'!C16)/2)</f>
        <v>0.475356200527705</v>
      </c>
      <c r="D8" s="19" t="n">
        <f aca="false">'Income Statement'!D13/(('Balance Sheet'!C16+'Balance Sheet'!D16)/2)</f>
        <v>0.417512437810945</v>
      </c>
      <c r="E8" s="19" t="n">
        <f aca="false">'Income Statement'!E13/(('Balance Sheet'!D16+'Balance Sheet'!E16)/2)</f>
        <v>0.349357915856158</v>
      </c>
      <c r="F8" s="19" t="n">
        <f aca="false">'Income Statement'!F13/(('Balance Sheet'!E16+'Balance Sheet'!F16)/2)</f>
        <v>0.302048438132405</v>
      </c>
      <c r="G8" s="19" t="n">
        <f aca="false">'Income Statement'!G13/(('Balance Sheet'!F16+'Balance Sheet'!G16)/2)</f>
        <v>0.274869769601544</v>
      </c>
      <c r="H8" s="19" t="n">
        <f aca="false">'Income Statement'!H13/(('Balance Sheet'!G16+'Balance Sheet'!H16)/2)</f>
        <v>0.253100136641472</v>
      </c>
      <c r="I8" s="19" t="n">
        <f aca="false">'Income Statement'!I13/(('Balance Sheet'!H16+'Balance Sheet'!I16)/2)</f>
        <v>0.237806273095897</v>
      </c>
      <c r="K8" s="4" t="s">
        <v>330</v>
      </c>
    </row>
    <row r="9" customFormat="false" ht="15" hidden="false" customHeight="false" outlineLevel="0" collapsed="false">
      <c r="A9" s="3" t="s">
        <v>331</v>
      </c>
      <c r="C9" s="19" t="n">
        <f aca="false">'Income Statement'!C11/(('Balance Sheet'!B8+'Balance Sheet'!C8)/2)</f>
        <v>0.0431409649952696</v>
      </c>
      <c r="D9" s="19" t="n">
        <f aca="false">'Income Statement'!D11/(('Balance Sheet'!C8+'Balance Sheet'!D8)/2)</f>
        <v>0.0416707616707617</v>
      </c>
      <c r="E9" s="19" t="n">
        <f aca="false">'Income Statement'!E11/(('Balance Sheet'!D8+'Balance Sheet'!E8)/2)</f>
        <v>0.0394806639567829</v>
      </c>
      <c r="F9" s="19" t="n">
        <f aca="false">'Income Statement'!F11/(('Balance Sheet'!E8+'Balance Sheet'!F8)/2)</f>
        <v>0.0366018753688911</v>
      </c>
      <c r="G9" s="19" t="n">
        <f aca="false">'Income Statement'!G11/(('Balance Sheet'!F8+'Balance Sheet'!G8)/2)</f>
        <v>0.0350972388602625</v>
      </c>
      <c r="H9" s="19" t="n">
        <f aca="false">'Income Statement'!H11/(('Balance Sheet'!G8+'Balance Sheet'!H8)/2)</f>
        <v>0.0337526627714333</v>
      </c>
      <c r="I9" s="19" t="n">
        <f aca="false">'Income Statement'!I11/(('Balance Sheet'!H8+'Balance Sheet'!I8)/2)</f>
        <v>0.0328899713085547</v>
      </c>
    </row>
    <row r="10" customFormat="false" ht="15" hidden="false" customHeight="false" outlineLevel="0" collapsed="false">
      <c r="A10" s="3" t="s">
        <v>236</v>
      </c>
      <c r="B10" s="8" t="n">
        <f aca="false">'Income Statement'!B16</f>
        <v>0.259633027522936</v>
      </c>
      <c r="C10" s="8" t="n">
        <f aca="false">'Income Statement'!C16</f>
        <v>0.189894503053859</v>
      </c>
      <c r="D10" s="8" t="n">
        <f aca="false">'Income Statement'!D16</f>
        <v>0.172033898305085</v>
      </c>
      <c r="E10" s="8" t="n">
        <f aca="false">'Income Statement'!E16</f>
        <v>0.18</v>
      </c>
      <c r="F10" s="8" t="n">
        <f aca="false">'Income Statement'!F16</f>
        <v>0.185</v>
      </c>
      <c r="G10" s="8" t="n">
        <f aca="false">'Income Statement'!G16</f>
        <v>0.19</v>
      </c>
      <c r="H10" s="8" t="n">
        <f aca="false">'Income Statement'!H16</f>
        <v>0.195</v>
      </c>
      <c r="I10" s="8" t="n">
        <f aca="false">'Income Statement'!I16</f>
        <v>0.2</v>
      </c>
    </row>
    <row r="11" customFormat="false" ht="15" hidden="false" customHeight="false" outlineLevel="0" collapsed="false">
      <c r="A11" s="3" t="s">
        <v>332</v>
      </c>
      <c r="B11" s="12" t="n">
        <f aca="false">Assumptions!$B$4/B4</f>
        <v>14.8851063829787</v>
      </c>
      <c r="C11" s="12" t="n">
        <f aca="false">Assumptions!$B$4/C4</f>
        <v>7.7664298401421</v>
      </c>
      <c r="D11" s="12" t="n">
        <f aca="false">Assumptions!$B$4/D4</f>
        <v>5.55767397521449</v>
      </c>
      <c r="E11" s="12" t="n">
        <f aca="false">Assumptions!$B$4/E4</f>
        <v>4.43091377478845</v>
      </c>
      <c r="F11" s="12" t="n">
        <f aca="false">Assumptions!$B$4/F4</f>
        <v>3.76982467724617</v>
      </c>
      <c r="G11" s="12" t="n">
        <f aca="false">Assumptions!$B$4/G4</f>
        <v>3.22085914386054</v>
      </c>
      <c r="H11" s="12" t="n">
        <f aca="false">Assumptions!$B$4/H4</f>
        <v>2.81492606872644</v>
      </c>
      <c r="I11" s="12" t="n">
        <f aca="false">Assumptions!$B$4/I4</f>
        <v>2.47792346007454</v>
      </c>
    </row>
    <row r="12" customFormat="false" ht="15" hidden="false" customHeight="false" outlineLevel="0" collapsed="false">
      <c r="A12" s="3" t="s">
        <v>34</v>
      </c>
      <c r="B12" s="12" t="n">
        <f aca="false">Assumptions!$B$4/B6</f>
        <v>4.69530201342282</v>
      </c>
      <c r="C12" s="12" t="n">
        <f aca="false">Assumptions!$B$4/C6</f>
        <v>3.04173913043478</v>
      </c>
      <c r="D12" s="12" t="n">
        <f aca="false">Assumptions!$B$4/D6</f>
        <v>1.87560321715818</v>
      </c>
      <c r="E12" s="12" t="n">
        <f aca="false">Assumptions!$B$4/E6</f>
        <v>1.31778541809311</v>
      </c>
      <c r="F12" s="12" t="n">
        <f aca="false">Assumptions!$B$4/F6</f>
        <v>1.00241905617314</v>
      </c>
      <c r="G12" s="12" t="n">
        <f aca="false">Assumptions!$B$4/G6</f>
        <v>0.792712421511039</v>
      </c>
      <c r="H12" s="12" t="n">
        <f aca="false">Assumptions!$B$4/H6</f>
        <v>0.646959915431407</v>
      </c>
      <c r="I12" s="12" t="n">
        <f aca="false">Assumptions!$B$4/I6</f>
        <v>0.541019092761008</v>
      </c>
    </row>
    <row r="13" customFormat="false" ht="15" hidden="false" customHeight="false" outlineLevel="0" collapsed="false">
      <c r="A13" s="3" t="s">
        <v>333</v>
      </c>
      <c r="B13" s="19" t="n">
        <f aca="false">B5/Assumptions!$B$4</f>
        <v>0</v>
      </c>
      <c r="C13" s="19" t="n">
        <f aca="false">C5/Assumptions!$B$4</f>
        <v>0</v>
      </c>
      <c r="D13" s="19" t="n">
        <f aca="false">D5/Assumptions!$B$4</f>
        <v>0</v>
      </c>
      <c r="E13" s="19" t="n">
        <f aca="false">E5/Assumptions!$B$4</f>
        <v>0</v>
      </c>
      <c r="F13" s="19" t="n">
        <f aca="false">F5/Assumptions!$B$4</f>
        <v>0.0265264325430246</v>
      </c>
      <c r="G13" s="19" t="n">
        <f aca="false">G5/Assumptions!$B$4</f>
        <v>0.0465714249832761</v>
      </c>
      <c r="H13" s="19" t="n">
        <f aca="false">H5/Assumptions!$B$4</f>
        <v>0.0710498233761736</v>
      </c>
      <c r="I13" s="19" t="n">
        <f aca="false">I5/Assumptions!$B$4</f>
        <v>0.10089092904931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5"/>
    <col collapsed="false" customWidth="true" hidden="false" outlineLevel="0" max="4" min="4" style="0" width="13"/>
    <col collapsed="false" customWidth="true" hidden="false" outlineLevel="0" max="5" min="5" style="0" width="56"/>
  </cols>
  <sheetData>
    <row r="1" customFormat="false" ht="16.15" hidden="false" customHeight="false" outlineLevel="0" collapsed="false">
      <c r="A1" s="1" t="s">
        <v>334</v>
      </c>
    </row>
    <row r="3" customFormat="false" ht="15" hidden="false" customHeight="false" outlineLevel="0" collapsed="false">
      <c r="A3" s="13" t="s">
        <v>335</v>
      </c>
    </row>
    <row r="4" customFormat="false" ht="15" hidden="false" customHeight="false" outlineLevel="0" collapsed="false">
      <c r="A4" s="5" t="s">
        <v>336</v>
      </c>
      <c r="B4" s="5" t="s">
        <v>337</v>
      </c>
      <c r="C4" s="5" t="s">
        <v>338</v>
      </c>
      <c r="D4" s="5" t="s">
        <v>339</v>
      </c>
      <c r="E4" s="5"/>
    </row>
    <row r="5" customFormat="false" ht="15" hidden="false" customHeight="false" outlineLevel="0" collapsed="false">
      <c r="A5" s="3" t="s">
        <v>340</v>
      </c>
      <c r="B5" s="29" t="s">
        <v>341</v>
      </c>
      <c r="C5" s="12" t="n">
        <f aca="false">Assumptions!$B$4/'Income Statement'!$D$14</f>
        <v>5.55767397521449</v>
      </c>
    </row>
    <row r="6" customFormat="false" ht="15" hidden="false" customHeight="false" outlineLevel="0" collapsed="false">
      <c r="A6" s="3" t="s">
        <v>149</v>
      </c>
      <c r="B6" s="29" t="s">
        <v>342</v>
      </c>
      <c r="C6" s="12" t="n">
        <f aca="false">Assumptions!$B$4/DDM!$D$7</f>
        <v>1.87560321715818</v>
      </c>
    </row>
    <row r="7" customFormat="false" ht="15" hidden="false" customHeight="false" outlineLevel="0" collapsed="false">
      <c r="A7" s="3" t="s">
        <v>343</v>
      </c>
      <c r="B7" s="29" t="s">
        <v>344</v>
      </c>
      <c r="C7" s="16" t="n">
        <v>0.44</v>
      </c>
    </row>
    <row r="8" customFormat="false" ht="15" hidden="false" customHeight="false" outlineLevel="0" collapsed="false">
      <c r="A8" s="3" t="s">
        <v>236</v>
      </c>
      <c r="B8" s="29" t="s">
        <v>345</v>
      </c>
      <c r="C8" s="16" t="n">
        <v>0.172</v>
      </c>
    </row>
    <row r="9" customFormat="false" ht="15" hidden="false" customHeight="false" outlineLevel="0" collapsed="false">
      <c r="A9" s="3" t="s">
        <v>346</v>
      </c>
      <c r="B9" s="29" t="s">
        <v>347</v>
      </c>
      <c r="C9" s="16" t="n">
        <v>0.1944</v>
      </c>
    </row>
    <row r="11" customFormat="false" ht="15" hidden="false" customHeight="false" outlineLevel="0" collapsed="false">
      <c r="A11" s="13" t="s">
        <v>348</v>
      </c>
    </row>
    <row r="12" customFormat="false" ht="15" hidden="false" customHeight="false" outlineLevel="0" collapsed="false">
      <c r="A12" s="5" t="s">
        <v>349</v>
      </c>
      <c r="B12" s="5"/>
      <c r="C12" s="5"/>
      <c r="D12" s="5"/>
      <c r="E12" s="5" t="s">
        <v>350</v>
      </c>
    </row>
    <row r="13" customFormat="false" ht="15" hidden="false" customHeight="false" outlineLevel="0" collapsed="false">
      <c r="A13" s="3" t="s">
        <v>351</v>
      </c>
      <c r="E13" s="4" t="s">
        <v>352</v>
      </c>
    </row>
    <row r="14" customFormat="false" ht="15" hidden="false" customHeight="false" outlineLevel="0" collapsed="false">
      <c r="A14" s="3" t="s">
        <v>353</v>
      </c>
      <c r="E14" s="4" t="s">
        <v>354</v>
      </c>
    </row>
    <row r="15" customFormat="false" ht="15" hidden="false" customHeight="false" outlineLevel="0" collapsed="false">
      <c r="A15" s="3" t="s">
        <v>355</v>
      </c>
      <c r="E15" s="4" t="s">
        <v>356</v>
      </c>
    </row>
    <row r="16" customFormat="false" ht="15" hidden="false" customHeight="false" outlineLevel="0" collapsed="false">
      <c r="A16" s="3" t="s">
        <v>357</v>
      </c>
      <c r="E16" s="4" t="s">
        <v>358</v>
      </c>
    </row>
    <row r="18" customFormat="false" ht="15" hidden="false" customHeight="false" outlineLevel="0" collapsed="false">
      <c r="A18" s="13" t="s">
        <v>359</v>
      </c>
    </row>
    <row r="19" customFormat="false" ht="15" hidden="false" customHeight="false" outlineLevel="0" collapsed="false">
      <c r="A19" s="4" t="s">
        <v>360</v>
      </c>
    </row>
    <row r="20" customFormat="false" ht="15" hidden="false" customHeight="false" outlineLevel="0" collapsed="false">
      <c r="A20" s="4" t="s">
        <v>361</v>
      </c>
    </row>
    <row r="21" customFormat="false" ht="15" hidden="false" customHeight="false" outlineLevel="0" collapsed="false">
      <c r="A21" s="4" t="s">
        <v>362</v>
      </c>
    </row>
    <row r="22" customFormat="false" ht="15" hidden="false" customHeight="false" outlineLevel="0" collapsed="false">
      <c r="A22" s="4" t="s">
        <v>363</v>
      </c>
    </row>
    <row r="23" customFormat="false" ht="15" hidden="false" customHeight="false" outlineLevel="0" collapsed="false">
      <c r="A23" s="4" t="s">
        <v>364</v>
      </c>
    </row>
    <row r="24" customFormat="false" ht="15" hidden="false" customHeight="false" outlineLevel="0" collapsed="false">
      <c r="A24" s="4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2026-07-03T17:25:32Z</dcterms:created>
  <dc:creator>openpyxl</dc:creator>
  <dc:description/>
  <dc:language>en-US</dc:language>
  <cp:lastModifiedBy/>
  <dcterms:modified xsi:type="dcterms:W3CDTF">2026-07-03T17:25:32Z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