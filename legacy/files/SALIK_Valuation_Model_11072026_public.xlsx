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Beta &amp; Cost of Capital" sheetId="5" state="visible" r:id="rId5"/>
    <sheet xmlns:r="http://schemas.openxmlformats.org/officeDocument/2006/relationships" name="Concession &amp; Unit Econ" sheetId="6" state="visible" r:id="rId6"/>
    <sheet xmlns:r="http://schemas.openxmlformats.org/officeDocument/2006/relationships" name="Revenue &amp; FY25 Bridge" sheetId="7" state="visible" r:id="rId7"/>
    <sheet xmlns:r="http://schemas.openxmlformats.org/officeDocument/2006/relationships" name="Relative &amp; Normalized" sheetId="8" state="visible" r:id="rId8"/>
    <sheet xmlns:r="http://schemas.openxmlformats.org/officeDocument/2006/relationships" name="DCF" sheetId="9" state="visible" r:id="rId9"/>
    <sheet xmlns:r="http://schemas.openxmlformats.org/officeDocument/2006/relationships" name="Income Statement" sheetId="10" state="visible" r:id="rId10"/>
    <sheet xmlns:r="http://schemas.openxmlformats.org/officeDocument/2006/relationships" name="Balance Sheet" sheetId="11" state="visible" r:id="rId11"/>
    <sheet xmlns:r="http://schemas.openxmlformats.org/officeDocument/2006/relationships" name="Cash Flow" sheetId="12" state="visible" r:id="rId12"/>
    <sheet xmlns:r="http://schemas.openxmlformats.org/officeDocument/2006/relationships" name="Summary Financials" sheetId="13" state="visible" r:id="rId13"/>
    <sheet xmlns:r="http://schemas.openxmlformats.org/officeDocument/2006/relationships" name="Monte Carlo" sheetId="14" state="visible" r:id="rId14"/>
    <sheet xmlns:r="http://schemas.openxmlformats.org/officeDocument/2006/relationships" name="Sensitivity" sheetId="15" state="visible" r:id="rId15"/>
    <sheet xmlns:r="http://schemas.openxmlformats.org/officeDocument/2006/relationships" name="Per-Share &amp; Ratios" sheetId="16" state="visible" r:id="rId16"/>
    <sheet xmlns:r="http://schemas.openxmlformats.org/officeDocument/2006/relationships" name="Peer &amp; Sweep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AED &quot;#,##0.00"/>
    <numFmt numFmtId="165" formatCode="0.0%"/>
    <numFmt numFmtId="166" formatCode="0.000"/>
    <numFmt numFmtId="167" formatCode="#,##0.0"/>
    <numFmt numFmtId="168" formatCode="0.00&quot;x&quot;"/>
    <numFmt numFmtId="169" formatCode="0.0000"/>
    <numFmt numFmtId="170" formatCode="0.0"/>
    <numFmt numFmtId="171" formatCode="0.000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1C3A36"/>
      <sz val="9.5"/>
    </font>
    <font>
      <b val="1"/>
      <color rgb="001C3A36"/>
      <sz val="10"/>
    </font>
    <font>
      <b val="1"/>
      <color rgb="000B4EA2"/>
    </font>
    <font>
      <b val="1"/>
      <color rgb="001C3A36"/>
    </font>
    <font>
      <i val="1"/>
      <color rgb="006E7B77"/>
      <sz val="8.5"/>
    </font>
    <font>
      <i val="1"/>
      <color rgb="006E7B77"/>
      <sz val="8"/>
    </font>
    <font>
      <b val="1"/>
      <color rgb="008C4A32"/>
    </font>
    <font>
      <i val="1"/>
      <color rgb="006E7B77"/>
    </font>
    <font>
      <b val="1"/>
      <color rgb="001C3A36"/>
      <sz val="12"/>
    </font>
    <font>
      <sz val="8.5"/>
    </font>
    <font>
      <sz val="8"/>
    </font>
    <font>
      <color rgb="006E7B77"/>
      <sz val="8"/>
    </font>
  </fonts>
  <fills count="6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DCE5E2"/>
      </patternFill>
    </fill>
    <fill>
      <patternFill patternType="solid">
        <fgColor rgb="00C0A45F"/>
      </patternFill>
    </fill>
    <fill>
      <patternFill patternType="solid">
        <fgColor rgb="00E8DDC4"/>
      </patternFill>
    </fill>
  </fills>
  <borders count="3">
    <border>
      <left/>
      <right/>
      <top/>
      <bottom/>
      <diagonal/>
    </border>
    <border>
      <top style="medium">
        <color rgb="001C3A36"/>
      </top>
    </border>
    <border>
      <bottom style="thin">
        <color rgb="00D5DDDB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/>
    </xf>
    <xf numFmtId="0" fontId="3" fillId="3" borderId="0" pivotButton="0" quotePrefix="0" xfId="0"/>
    <xf numFmtId="0" fontId="2" fillId="3" borderId="0" applyAlignment="1" pivotButton="0" quotePrefix="0" xfId="0">
      <alignment/>
    </xf>
    <xf numFmtId="0" fontId="0" fillId="3" borderId="0" pivotButton="0" quotePrefix="0" xfId="0"/>
    <xf numFmtId="164" fontId="4" fillId="0" borderId="0" pivotButton="0" quotePrefix="0" xfId="0"/>
    <xf numFmtId="3" fontId="4" fillId="0" borderId="0" pivotButton="0" quotePrefix="0" xfId="0"/>
    <xf numFmtId="3" fontId="0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5" fillId="4" borderId="1" pivotButton="0" quotePrefix="0" xfId="0"/>
    <xf numFmtId="2" fontId="5" fillId="4" borderId="1" pivotButton="0" quotePrefix="0" xfId="0"/>
    <xf numFmtId="165" fontId="0" fillId="4" borderId="1" pivotButton="0" quotePrefix="0" xfId="0"/>
    <xf numFmtId="0" fontId="0" fillId="4" borderId="1" pivotButton="0" quotePrefix="0" xfId="0"/>
    <xf numFmtId="165" fontId="5" fillId="0" borderId="0" pivotButton="0" quotePrefix="0" xfId="0"/>
    <xf numFmtId="0" fontId="6" fillId="0" borderId="0" pivotButton="0" quotePrefix="0" xfId="0"/>
    <xf numFmtId="0" fontId="5" fillId="4" borderId="0" pivotButton="0" quotePrefix="0" xfId="0"/>
    <xf numFmtId="2" fontId="5" fillId="4" borderId="0" pivotButton="0" quotePrefix="0" xfId="0"/>
    <xf numFmtId="0" fontId="2" fillId="0" borderId="0" pivotButton="0" quotePrefix="0" xfId="0"/>
    <xf numFmtId="10" fontId="4" fillId="0" borderId="0" pivotButton="0" quotePrefix="0" xfId="0"/>
    <xf numFmtId="0" fontId="7" fillId="0" borderId="0" pivotButton="0" quotePrefix="0" xfId="0"/>
    <xf numFmtId="166" fontId="4" fillId="0" borderId="0" pivotButton="0" quotePrefix="0" xfId="0"/>
    <xf numFmtId="10" fontId="0" fillId="0" borderId="0" pivotButton="0" quotePrefix="0" xfId="0"/>
    <xf numFmtId="10" fontId="5" fillId="4" borderId="0" pivotButton="0" quotePrefix="0" xfId="0"/>
    <xf numFmtId="167" fontId="0" fillId="0" borderId="0" pivotButton="0" quotePrefix="0" xfId="0"/>
    <xf numFmtId="167" fontId="4" fillId="0" borderId="0" pivotButton="0" quotePrefix="0" xfId="0"/>
    <xf numFmtId="168" fontId="4" fillId="0" borderId="0" pivotButton="0" quotePrefix="0" xfId="0"/>
    <xf numFmtId="0" fontId="5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166" fontId="0" fillId="4" borderId="0" pivotButton="0" quotePrefix="0" xfId="0"/>
    <xf numFmtId="2" fontId="0" fillId="4" borderId="0" pivotButton="0" quotePrefix="0" xfId="0"/>
    <xf numFmtId="165" fontId="0" fillId="4" borderId="0" pivotButton="0" quotePrefix="0" xfId="0"/>
    <xf numFmtId="166" fontId="0" fillId="0" borderId="0" pivotButton="0" quotePrefix="0" xfId="0"/>
    <xf numFmtId="169" fontId="4" fillId="0" borderId="0" pivotButton="0" quotePrefix="0" xfId="0"/>
    <xf numFmtId="166" fontId="5" fillId="4" borderId="0" pivotButton="0" quotePrefix="0" xfId="0"/>
    <xf numFmtId="10" fontId="0" fillId="4" borderId="0" pivotButton="0" quotePrefix="0" xfId="0"/>
    <xf numFmtId="165" fontId="5" fillId="4" borderId="0" pivotButton="0" quotePrefix="0" xfId="0"/>
    <xf numFmtId="167" fontId="5" fillId="0" borderId="0" pivotButton="0" quotePrefix="0" xfId="0"/>
    <xf numFmtId="3" fontId="8" fillId="0" borderId="0" pivotButton="0" quotePrefix="0" xfId="0"/>
    <xf numFmtId="169" fontId="0" fillId="0" borderId="0" pivotButton="0" quotePrefix="0" xfId="0"/>
    <xf numFmtId="164" fontId="0" fillId="0" borderId="0" pivotButton="0" quotePrefix="0" xfId="0"/>
    <xf numFmtId="167" fontId="0" fillId="4" borderId="0" pivotButton="0" quotePrefix="0" xfId="0"/>
    <xf numFmtId="167" fontId="9" fillId="0" borderId="0" pivotButton="0" quotePrefix="0" xfId="0"/>
    <xf numFmtId="170" fontId="0" fillId="0" borderId="0" pivotButton="0" quotePrefix="0" xfId="0"/>
    <xf numFmtId="168" fontId="0" fillId="0" borderId="0" pivotButton="0" quotePrefix="0" xfId="0"/>
    <xf numFmtId="167" fontId="5" fillId="0" borderId="2" pivotButton="0" quotePrefix="0" xfId="0"/>
    <xf numFmtId="167" fontId="0" fillId="4" borderId="1" pivotButton="0" quotePrefix="0" xfId="0"/>
    <xf numFmtId="164" fontId="10" fillId="4" borderId="0" pivotButton="0" quotePrefix="0" xfId="0"/>
    <xf numFmtId="169" fontId="5" fillId="0" borderId="0" pivotButton="0" quotePrefix="0" xfId="0"/>
    <xf numFmtId="171" fontId="0" fillId="0" borderId="0" pivotButton="0" quotePrefix="0" xfId="0"/>
    <xf numFmtId="10" fontId="5" fillId="0" borderId="0" pivotButton="0" quotePrefix="0" xfId="0"/>
    <xf numFmtId="2" fontId="5" fillId="0" borderId="0" pivotButton="0" quotePrefix="0" xfId="0"/>
    <xf numFmtId="2" fontId="0" fillId="5" borderId="0" pivotButton="0" quotePrefix="0" xfId="0"/>
    <xf numFmtId="164" fontId="0" fillId="4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3" customWidth="1" min="1" max="1"/>
    <col width="118" customWidth="1" min="2" max="2"/>
  </cols>
  <sheetData>
    <row r="1" ht="20" customHeight="1">
      <c r="A1" s="1" t="inlineStr">
        <is>
          <t>SALIK COMPANY PJSC (DFM: SALIK) — Testahil valuation model · 11 July 2026</t>
        </is>
      </c>
      <c r="B1" s="2" t="n"/>
    </row>
    <row r="3">
      <c r="B3" s="3" t="inlineStr"/>
    </row>
    <row r="4">
      <c r="A4" s="4" t="inlineStr">
        <is>
          <t>WHAT THIS IS</t>
        </is>
      </c>
      <c r="B4" s="5" t="inlineStr"/>
    </row>
    <row r="5">
      <c r="B5" s="3" t="inlineStr">
        <is>
          <t>An educational valuation exercise published free of charge by Testahil. It is NOT investment advice, NOT a</t>
        </is>
      </c>
    </row>
    <row r="6">
      <c r="B6" s="3" t="inlineStr">
        <is>
          <t>recommendation, and NOT a price target. The preparer is not licensed by any securities regulator.</t>
        </is>
      </c>
    </row>
    <row r="7">
      <c r="B7" s="3" t="inlineStr">
        <is>
          <t>Every output is a RANGE or a DISTRIBUTION because no single number should be relied on.</t>
        </is>
      </c>
    </row>
    <row r="8">
      <c r="B8" s="3" t="inlineStr"/>
    </row>
    <row r="9">
      <c r="A9" s="4" t="inlineStr">
        <is>
          <t>HOW TO USE THIS FILE</t>
        </is>
      </c>
      <c r="B9" s="5" t="inlineStr"/>
    </row>
    <row r="10">
      <c r="B10" s="3" t="inlineStr">
        <is>
          <t>BLUE cells are the only hard-coded inputs. Everything else is a live formula. Change a blue cell and the</t>
        </is>
      </c>
    </row>
    <row r="11">
      <c r="B11" s="3" t="inlineStr">
        <is>
          <t>DCF, the lenses, the football field and the sensitivity grids all recalculate.</t>
        </is>
      </c>
    </row>
    <row r="12">
      <c r="B12" s="3" t="inlineStr">
        <is>
          <t>The Assumptions sheet is the single source of truth for every driver.</t>
        </is>
      </c>
    </row>
    <row r="13">
      <c r="B13" s="3" t="inlineStr"/>
    </row>
    <row r="14">
      <c r="A14" s="4" t="inlineStr">
        <is>
          <t>WHAT IS COMPANY-SOURCED AND WHAT IS OURS</t>
        </is>
      </c>
      <c r="B14" s="5" t="inlineStr"/>
    </row>
    <row r="15">
      <c r="B15" s="3" t="inlineStr">
        <is>
          <t>SOURCED (Salik earnings releases, AR2024, Dubai Media Office, DFM filings): all FY2023-FY2025 and Q1-2026</t>
        </is>
      </c>
    </row>
    <row r="16">
      <c r="B16" s="3" t="inlineStr">
        <is>
          <t>line items; the concession terms; the dividends declared; the credit ratings; the toll tariffs.</t>
        </is>
      </c>
    </row>
    <row r="17">
      <c r="B17" s="3" t="inlineStr">
        <is>
          <t>OURS (judgment, flagged throughout): the FY2026-FY2030 trip, tariff, margin and ancillary paths; the cost of</t>
        </is>
      </c>
    </row>
    <row r="18">
      <c r="B18" s="3" t="inlineStr">
        <is>
          <t>capital; terminal growth; the peer multiple band; the Monte-Carlo horizon.</t>
        </is>
      </c>
    </row>
    <row r="19">
      <c r="B19" s="3" t="inlineStr"/>
    </row>
    <row r="20">
      <c r="A20" s="4" t="inlineStr">
        <is>
          <t>THE ONE THING TO UNDERSTAND BEFORE READING ANY NUMBER</t>
        </is>
      </c>
      <c r="B20" s="5" t="inlineStr"/>
    </row>
    <row r="21">
      <c r="B21" s="3" t="inlineStr">
        <is>
          <t>Our weighted central fair value is AED 4.62 against a spot of AED 5.70.</t>
        </is>
      </c>
    </row>
    <row r="22">
      <c r="B22" s="3" t="inlineStr">
        <is>
          <t>That gap is NOT an earnings disagreement. Our FY2026E EPS is within 1.4% of FY2025 actual and ABOVE the</t>
        </is>
      </c>
    </row>
    <row r="23">
      <c r="B23" s="3" t="inlineStr">
        <is>
          <t>Q1-2026 run-rate. The gap is a COST-OF-EQUITY disagreement — and unlike v1, we can now MEASURE it.</t>
        </is>
      </c>
    </row>
    <row r="24">
      <c r="B24" s="3" t="inlineStr"/>
    </row>
    <row r="25">
      <c r="B25" s="3" t="inlineStr">
        <is>
          <t>v1 of this study defaulted beta to 1.00 because a DFMGI regression failed a sample-size gate (n=19).</t>
        </is>
      </c>
    </row>
    <row r="26">
      <c r="B26" s="3" t="inlineStr">
        <is>
          <t>v2 rebuilt the market portfolio from the 14 UAE names the MC engine itself uses, and the regression now</t>
        </is>
      </c>
    </row>
    <row r="27">
      <c r="B27" s="3" t="inlineStr">
        <is>
          <t>PASSES: weekly beta 0.637, n=195, t=6.1, R2 16.2%.</t>
        </is>
      </c>
    </row>
    <row r="28">
      <c r="B28" s="3" t="inlineStr">
        <is>
          <t>We publish the Blume-adjusted 0.76 (conservative). Fair value moved AED 3.67 -&gt; 4.49.</t>
        </is>
      </c>
    </row>
    <row r="29">
      <c r="B29" s="3" t="inlineStr"/>
    </row>
    <row r="30">
      <c r="B30" s="3" t="inlineStr">
        <is>
          <t>AND THE CRUX: SALIK's beta was 0.47 BEFORE the war and 1.00 DURING it.</t>
        </is>
      </c>
    </row>
    <row r="31">
      <c r="B31" s="3" t="inlineStr">
        <is>
          <t>Spot implies 0.52 — inside our measured 95% CI, and almost exactly the</t>
        </is>
      </c>
    </row>
    <row r="32">
      <c r="B32" s="3" t="inlineStr">
        <is>
          <t>PRE-WAR reading. The same war that cut Q1 traffic 7.7% also DOUBLED the beta. It attacks the numerator</t>
        </is>
      </c>
    </row>
    <row r="33">
      <c r="B33" s="3" t="inlineStr">
        <is>
          <t>AND the denominator. At spot, the market is pricing both to reverse. See sheet 5.</t>
        </is>
      </c>
    </row>
    <row r="34">
      <c r="B34" s="3" t="inlineStr"/>
    </row>
    <row r="35">
      <c r="A35" s="4" t="inlineStr">
        <is>
          <t>THE OTHER FINDING — TWO GROWTH ENGINES (sheet 6)</t>
        </is>
      </c>
      <c r="B35" s="5" t="inlineStr"/>
    </row>
    <row r="36">
      <c r="B36" s="3" t="inlineStr">
        <is>
          <t>The 8 gates Salik was HANDED at the IPO earn 32% ROIC. The 2 gates the RTA SOLD it in</t>
        </is>
      </c>
    </row>
    <row r="37">
      <c r="B37" s="3" t="inlineStr">
        <is>
          <t>2024 earn 9.5% — against a 8.1% WACC. Growth by ACQUIRING gates is not free</t>
        </is>
      </c>
    </row>
    <row r="38">
      <c r="B38" s="3" t="inlineStr">
        <is>
          <t>growth, and the RTA — grantor, regulator, 75.1% shareholder — is the vendor. Our DCF models ZERO new gates.</t>
        </is>
      </c>
    </row>
    <row r="39">
      <c r="B39" s="3" t="inlineStr"/>
    </row>
    <row r="40">
      <c r="A40" s="4" t="inlineStr">
        <is>
          <t>AND ONE MORE (sheet 7)</t>
        </is>
      </c>
      <c r="B40" s="5" t="inlineStr"/>
    </row>
    <row r="41">
      <c r="B41" s="3" t="inlineStr">
        <is>
          <t>84% of FY2025's +35.1% toll-revenue growth came from TWO one-off events:</t>
        </is>
      </c>
    </row>
    <row r="42">
      <c r="B42" s="3" t="inlineStr">
        <is>
          <t>the gate count going 8-&gt;10, and the tariff going flat-&gt;variable. Only 12% was organic. FY2026 has neither.</t>
        </is>
      </c>
    </row>
    <row r="43">
      <c r="B43" s="3" t="inlineStr"/>
    </row>
    <row r="44">
      <c r="A44" s="4" t="inlineStr">
        <is>
          <t>CALIBRATION</t>
        </is>
      </c>
      <c r="B44" s="5" t="inlineStr"/>
    </row>
    <row r="45">
      <c r="B45" s="3" t="inlineStr">
        <is>
          <t>the calibration back-test (5-yr walk-forward, h=60, carry-anchored benchmark): 11 non-overlapping windows,</t>
        </is>
      </c>
    </row>
    <row r="46">
      <c r="B46" s="3" t="inlineStr">
        <is>
          <t>verdict PARITY, robust across bootstrap block sizes 2/3/4. SALIK listed 29-Sep-2022, so the panel is short.</t>
        </is>
      </c>
    </row>
    <row r="47">
      <c r="B47" s="3" t="inlineStr">
        <is>
          <t>The cone is OVER-covered (every realised outcome fell inside the 90% band). Treat the bands as generous.</t>
        </is>
      </c>
    </row>
    <row r="48">
      <c r="B48" s="3" t="inlineStr"/>
    </row>
    <row r="49">
      <c r="B49" s="3" t="inlineStr">
        <is>
          <t>Full disclosure &amp; disclaimer: see the Word study.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0" customHeight="1">
      <c r="A1" s="1" t="inlineStr">
        <is>
          <t>SUMMARY — every read at a glance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4" t="inlineStr">
        <is>
          <t>ANCHOR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t="inlineStr">
        <is>
          <t>Spot (10 Jul 2026 close)</t>
        </is>
      </c>
      <c r="B4" s="7" t="n">
        <v>5.7</v>
      </c>
    </row>
    <row r="5">
      <c r="A5" t="inlineStr">
        <is>
          <t>Shares outstanding (mn)</t>
        </is>
      </c>
      <c r="B5" s="8" t="n">
        <v>7500</v>
      </c>
    </row>
    <row r="6">
      <c r="A6" t="inlineStr">
        <is>
          <t>Market cap (AED mn)</t>
        </is>
      </c>
      <c r="B6" s="8" t="n">
        <v>42750</v>
      </c>
    </row>
    <row r="7">
      <c r="A7" t="inlineStr">
        <is>
          <t>Net debt, Q1-2026 (AED mn)</t>
        </is>
      </c>
      <c r="B7" s="9" t="n">
        <v>4226.4</v>
      </c>
    </row>
    <row r="8">
      <c r="A8" t="inlineStr">
        <is>
          <t>Enterprise value (AED mn)</t>
        </is>
      </c>
      <c r="B8" s="9">
        <f>B6+B7</f>
        <v/>
      </c>
    </row>
    <row r="9">
      <c r="A9" t="inlineStr">
        <is>
          <t>Free float</t>
        </is>
      </c>
      <c r="B9" s="10" t="n">
        <v>0.249</v>
      </c>
    </row>
    <row r="11">
      <c r="A11" s="4" t="inlineStr">
        <is>
          <t>FUNDAMENTAL LENSES — AED per share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1" t="inlineStr">
        <is>
          <t>Lens</t>
        </is>
      </c>
      <c r="B12" s="11" t="inlineStr">
        <is>
          <t>Bear</t>
        </is>
      </c>
      <c r="C12" s="11" t="inlineStr">
        <is>
          <t>Central</t>
        </is>
      </c>
      <c r="D12" s="11" t="inlineStr">
        <is>
          <t>Bull</t>
        </is>
      </c>
      <c r="E12" s="11" t="inlineStr">
        <is>
          <t>Weight</t>
        </is>
      </c>
      <c r="F12" s="11" t="inlineStr">
        <is>
          <t>Contribution</t>
        </is>
      </c>
    </row>
    <row r="13">
      <c r="A13" t="inlineStr">
        <is>
          <t>FCFF DCF (primary)</t>
        </is>
      </c>
      <c r="B13" s="12" t="n">
        <v>2.860313429953388</v>
      </c>
      <c r="C13" s="12" t="n">
        <v>4.48990907496593</v>
      </c>
      <c r="D13" s="12" t="n">
        <v>8.154532733849404</v>
      </c>
      <c r="E13" s="13" t="n">
        <v>0.45</v>
      </c>
      <c r="F13" s="12">
        <f>C13*E13</f>
        <v/>
      </c>
    </row>
    <row r="14">
      <c r="A14" t="inlineStr">
        <is>
          <t>Normalized earnings</t>
        </is>
      </c>
      <c r="B14" s="12" t="n">
        <v>4.171735818507722</v>
      </c>
      <c r="C14" s="12" t="n">
        <v>5.441394545879637</v>
      </c>
      <c r="D14" s="12" t="n">
        <v>6.665708318702556</v>
      </c>
      <c r="E14" s="13" t="n">
        <v>0.2</v>
      </c>
      <c r="F14" s="12">
        <f>C14*E14</f>
        <v/>
      </c>
    </row>
    <row r="15">
      <c r="A15" t="inlineStr">
        <is>
          <t>Relative — P/E (=1/yield)</t>
        </is>
      </c>
      <c r="B15" s="12" t="n">
        <v>4.077330688184276</v>
      </c>
      <c r="C15" s="12" t="n">
        <v>4.89279682582113</v>
      </c>
      <c r="D15" s="12" t="n">
        <v>5.708262963457985</v>
      </c>
      <c r="E15" s="13" t="n">
        <v>0.2</v>
      </c>
      <c r="F15" s="12">
        <f>C15*E15</f>
        <v/>
      </c>
    </row>
    <row r="16">
      <c r="A16" t="inlineStr">
        <is>
          <t>Dividend discount (floor)</t>
        </is>
      </c>
      <c r="B16" s="12" t="n">
        <v>2.55263847162518</v>
      </c>
      <c r="C16" s="12" t="n">
        <v>3.546883077699654</v>
      </c>
      <c r="D16" s="12" t="n">
        <v>6.069082537503166</v>
      </c>
      <c r="E16" s="13" t="n">
        <v>0.15</v>
      </c>
      <c r="F16" s="12">
        <f>C16*E16</f>
        <v/>
      </c>
    </row>
    <row r="17">
      <c r="A17" s="14" t="inlineStr">
        <is>
          <t>WEIGHTED CENTRAL</t>
        </is>
      </c>
      <c r="B17" s="15">
        <f>SUMPRODUCT(B13:B16,$E$13:$E$16)</f>
        <v/>
      </c>
      <c r="C17" s="15">
        <f>SUMPRODUCT(C13:C16,$E$13:$E$16)</f>
        <v/>
      </c>
      <c r="D17" s="15">
        <f>SUMPRODUCT(D13:D16,$E$13:$E$16)</f>
        <v/>
      </c>
      <c r="E17" s="16">
        <f>SUM(E13:E16)</f>
        <v/>
      </c>
      <c r="F17" s="17" t="n"/>
    </row>
    <row r="18">
      <c r="A18" t="inlineStr">
        <is>
          <t>Spot</t>
        </is>
      </c>
      <c r="C18" s="12">
        <f>B4</f>
        <v/>
      </c>
    </row>
    <row r="19">
      <c r="A19" s="11" t="inlineStr">
        <is>
          <t>Weighted central vs spot</t>
        </is>
      </c>
      <c r="C19" s="18">
        <f>C17/C18-1</f>
        <v/>
      </c>
    </row>
    <row r="20">
      <c r="A20" t="inlineStr">
        <is>
          <t>Sanity check — concession ends 2071, no perpetuity</t>
        </is>
      </c>
      <c r="C20" s="12" t="n">
        <v>4.043132664963421</v>
      </c>
      <c r="D20" s="19" t="inlineStr">
        <is>
          <t>NOT weighted — a nice-to-know</t>
        </is>
      </c>
    </row>
    <row r="22">
      <c r="A22" s="4" t="inlineStr">
        <is>
          <t>MONTE CARLO — engine v3, carry-anchored YZ-HAR-t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11" t="inlineStr">
        <is>
          <t>Horizon</t>
        </is>
      </c>
      <c r="B23" s="11" t="inlineStr">
        <is>
          <t>5%</t>
        </is>
      </c>
      <c r="C23" s="11" t="inlineStr">
        <is>
          <t>25%</t>
        </is>
      </c>
      <c r="D23" s="11" t="inlineStr">
        <is>
          <t>Median</t>
        </is>
      </c>
      <c r="E23" s="11" t="inlineStr">
        <is>
          <t>75%</t>
        </is>
      </c>
      <c r="F23" s="11" t="inlineStr">
        <is>
          <t>95%</t>
        </is>
      </c>
      <c r="G23" s="11" t="inlineStr">
        <is>
          <t>P(up)</t>
        </is>
      </c>
      <c r="H23" s="11" t="inlineStr">
        <is>
          <t>90% band</t>
        </is>
      </c>
    </row>
    <row r="24">
      <c r="A24" t="inlineStr">
        <is>
          <t>T+20 · 7 Aug 2026</t>
        </is>
      </c>
      <c r="B24" s="12" t="n">
        <v>4.942360287004691</v>
      </c>
      <c r="C24" s="12" t="n">
        <v>5.395648906024762</v>
      </c>
      <c r="D24" s="12" t="n">
        <v>5.696395527102544</v>
      </c>
      <c r="E24" s="12" t="n">
        <v>6.019074225836805</v>
      </c>
      <c r="F24" s="12" t="n">
        <v>6.571265835489415</v>
      </c>
      <c r="G24" s="13" t="n">
        <v>0.49658</v>
      </c>
      <c r="H24" s="13" t="n">
        <v>0.285772903242934</v>
      </c>
    </row>
    <row r="25">
      <c r="A25" t="inlineStr">
        <is>
          <t>T+60 · 2 Oct 2026</t>
        </is>
      </c>
      <c r="B25" s="12" t="n">
        <v>4.422738926314676</v>
      </c>
      <c r="C25" s="12" t="n">
        <v>5.169143176269719</v>
      </c>
      <c r="D25" s="12" t="n">
        <v>5.692234039171935</v>
      </c>
      <c r="E25" s="12" t="n">
        <v>6.277836727219701</v>
      </c>
      <c r="F25" s="12" t="n">
        <v>7.337618811513881</v>
      </c>
      <c r="G25" s="13" t="n">
        <v>0.49588</v>
      </c>
      <c r="H25" s="13" t="n">
        <v>0.5113824359998604</v>
      </c>
    </row>
    <row r="26">
      <c r="A26" s="19" t="inlineStr">
        <is>
          <t>the calibration back-test verdict: PARITY (robust, blocks 2/3/4) · 11 windows · cone OVER-covered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0" customHeight="1">
      <c r="A1" s="1" t="inlineStr">
        <is>
          <t>FUNDAMENTAL VALUATION — the four lenses, and what drives each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11" t="inlineStr">
        <is>
          <t>LENS</t>
        </is>
      </c>
      <c r="B3" s="11" t="inlineStr">
        <is>
          <t>Bear</t>
        </is>
      </c>
      <c r="C3" s="11" t="inlineStr">
        <is>
          <t>Central</t>
        </is>
      </c>
      <c r="D3" s="11" t="inlineStr">
        <is>
          <t>Bull</t>
        </is>
      </c>
      <c r="E3" s="11" t="inlineStr">
        <is>
          <t>Weight</t>
        </is>
      </c>
      <c r="F3" s="11" t="inlineStr">
        <is>
          <t>What it is most sensitive to</t>
        </is>
      </c>
    </row>
    <row r="4">
      <c r="A4" t="inlineStr">
        <is>
          <t>FCFF DCF (primary)</t>
        </is>
      </c>
      <c r="B4" s="12" t="n">
        <v>2.860313429953388</v>
      </c>
      <c r="C4" s="12" t="n">
        <v>4.48990907496593</v>
      </c>
      <c r="D4" s="12" t="n">
        <v>8.154532733849404</v>
      </c>
      <c r="E4" s="13" t="n">
        <v>0.45</v>
      </c>
      <c r="F4" t="inlineStr">
        <is>
          <t>Beta -&gt; WACC. See Sensitivity.</t>
        </is>
      </c>
    </row>
    <row r="5">
      <c r="A5" t="inlineStr">
        <is>
          <t>Normalized earnings power</t>
        </is>
      </c>
      <c r="B5" s="12" t="n">
        <v>4.171735818507722</v>
      </c>
      <c r="C5" s="12" t="n">
        <v>5.441394545879637</v>
      </c>
      <c r="D5" s="12" t="n">
        <v>6.665708318702556</v>
      </c>
      <c r="E5" s="13" t="n">
        <v>0.2</v>
      </c>
      <c r="F5" t="inlineStr">
        <is>
          <t>The multiple applied to a non-conflict year.</t>
        </is>
      </c>
    </row>
    <row r="6">
      <c r="A6" t="inlineStr">
        <is>
          <t>Relative — P/E (= 1/yield)</t>
        </is>
      </c>
      <c r="B6" s="12" t="n">
        <v>4.077330688184276</v>
      </c>
      <c r="C6" s="12" t="n">
        <v>4.89279682582113</v>
      </c>
      <c r="D6" s="12" t="n">
        <v>5.708262963457985</v>
      </c>
      <c r="E6" s="13" t="n">
        <v>0.2</v>
      </c>
      <c r="F6" t="inlineStr">
        <is>
          <t>The peer P/E band. 100% payout -&gt; P/E = 1/yield.</t>
        </is>
      </c>
    </row>
    <row r="7">
      <c r="A7" t="inlineStr">
        <is>
          <t>Dividend discount (floor)</t>
        </is>
      </c>
      <c r="B7" s="12" t="n">
        <v>2.55263847162518</v>
      </c>
      <c r="C7" s="12" t="n">
        <v>3.546883077699654</v>
      </c>
      <c r="D7" s="12" t="n">
        <v>6.069082537503166</v>
      </c>
      <c r="E7" s="13" t="n">
        <v>0.15</v>
      </c>
      <c r="F7" t="inlineStr">
        <is>
          <t>Ke - g. Structurally a FLOOR: see note below.</t>
        </is>
      </c>
    </row>
    <row r="8">
      <c r="A8" s="20" t="inlineStr">
        <is>
          <t>WEIGHTED</t>
        </is>
      </c>
      <c r="B8" s="21">
        <f>SUMPRODUCT(B4:B7,$E$4:$E$7)</f>
        <v/>
      </c>
      <c r="C8" s="21">
        <f>SUMPRODUCT(C4:C7,$E$4:$E$7)</f>
        <v/>
      </c>
      <c r="D8" s="21">
        <f>SUMPRODUCT(D4:D7,$E$4:$E$7)</f>
        <v/>
      </c>
    </row>
    <row r="10">
      <c r="A10" s="11" t="inlineStr">
        <is>
          <t>WHY THE DDM IS ONLY A FLOOR FOR SALIK</t>
        </is>
      </c>
    </row>
    <row r="11">
      <c r="A11" s="22" t="inlineStr">
        <is>
          <t>Salik pays out 100% of NET PROFIT — not 100% of free cash flow.</t>
        </is>
      </c>
    </row>
    <row r="12">
      <c r="A12" s="22" t="inlineStr">
        <is>
          <t>D&amp;A is AED 146mn/yr (concession intangible AED 6,934mn / 49 yrs).</t>
        </is>
      </c>
    </row>
    <row r="13">
      <c r="A13" s="22" t="inlineStr">
        <is>
          <t>Capex is ~AED 30mn/yr — the RTA bears 100% of the road capex and maintenance.</t>
        </is>
      </c>
    </row>
    <row r="14">
      <c r="A14" s="22" t="inlineStr">
        <is>
          <t>That leaves ~AED 116mn/yr of cash the dividend never sees. It deleverages the</t>
        </is>
      </c>
    </row>
    <row r="15">
      <c r="A15" s="22" t="inlineStr">
        <is>
          <t>balance sheet and accrues to equity as a rising share of a constant EV. A DDM cannot see it.</t>
        </is>
      </c>
    </row>
    <row r="16">
      <c r="A16" s="22" t="inlineStr">
        <is>
          <t>This is not a modelling quirk; it is the whole point of an asset-light concession.</t>
        </is>
      </c>
    </row>
    <row r="18">
      <c r="A18" s="11" t="inlineStr">
        <is>
          <t>THE FINITE-LIFE CHECK (nice-to-know, NOT weighted)</t>
        </is>
      </c>
    </row>
    <row r="19">
      <c r="A19" t="inlineStr">
        <is>
          <t>Concession expires 2071. Valuing FY2031-2071 as a growing annuity with NO terminal value:</t>
        </is>
      </c>
    </row>
    <row r="20">
      <c r="A20" t="inlineStr">
        <is>
          <t>Fair value on a finite 2071 life</t>
        </is>
      </c>
      <c r="B20" s="12" t="n">
        <v>4.043132664963421</v>
      </c>
    </row>
    <row r="21">
      <c r="A21" t="inlineStr">
        <is>
          <t>Fair value on a perpetuity (the headline DCF)</t>
        </is>
      </c>
      <c r="B21" s="12" t="n">
        <v>4.48990907496593</v>
      </c>
    </row>
    <row r="22">
      <c r="A22" t="inlineStr">
        <is>
          <t>The perpetuity assumption is worth</t>
        </is>
      </c>
      <c r="B22" s="13">
        <f>B21/B20-1</f>
        <v/>
      </c>
    </row>
    <row r="23">
      <c r="A23" s="19" t="inlineStr">
        <is>
          <t>Read: only ~7% of the DCF depends on assuming the concession is renewed. The 45 remaining</t>
        </is>
      </c>
    </row>
    <row r="24">
      <c r="A24" s="19" t="inlineStr">
        <is>
          <t>years already capture essentially all of the perpetuity's value. Finite life is NOT the crux.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30" customWidth="1" min="7" max="7"/>
  </cols>
  <sheetData>
    <row r="1" ht="20" customHeight="1">
      <c r="A1" s="1" t="inlineStr">
        <is>
          <t>ASSUMPTIONS — blue cells are the ONLY hard-coded inputs in this workbook</t>
        </is>
      </c>
      <c r="B1" s="2" t="n"/>
      <c r="C1" s="2" t="n"/>
      <c r="D1" s="2" t="n"/>
      <c r="E1" s="2" t="n"/>
      <c r="F1" s="2" t="n"/>
      <c r="G1" s="2" t="n"/>
    </row>
    <row r="3">
      <c r="A3" s="4" t="inlineStr">
        <is>
          <t>ANCHOR</t>
        </is>
      </c>
      <c r="B3" s="6" t="n"/>
      <c r="C3" s="6" t="n"/>
      <c r="D3" s="6" t="n"/>
      <c r="E3" s="6" t="n"/>
      <c r="F3" s="6" t="n"/>
      <c r="G3" s="6" t="n"/>
    </row>
    <row r="4">
      <c r="A4" t="inlineStr">
        <is>
          <t>Spot, AED</t>
        </is>
      </c>
      <c r="B4" s="7" t="n">
        <v>5.7</v>
      </c>
    </row>
    <row r="5">
      <c r="A5" t="inlineStr">
        <is>
          <t>Shares outstanding, mn</t>
        </is>
      </c>
      <c r="B5" s="8" t="n">
        <v>7500</v>
      </c>
    </row>
    <row r="6">
      <c r="A6" t="inlineStr">
        <is>
          <t>Net debt (Q1-2026 reported), AED mn</t>
        </is>
      </c>
      <c r="B6" s="8" t="n">
        <v>4226.4</v>
      </c>
    </row>
    <row r="7">
      <c r="A7" t="inlineStr">
        <is>
          <t>Corporate tax rate (UAE)</t>
        </is>
      </c>
      <c r="B7" s="23" t="n">
        <v>0.09</v>
      </c>
    </row>
    <row r="8">
      <c r="A8" s="4" t="inlineStr">
        <is>
          <t>COST OF CAPITAL — bottom-up</t>
        </is>
      </c>
      <c r="B8" s="6" t="n"/>
      <c r="C8" s="6" t="n"/>
      <c r="D8" s="6" t="n"/>
      <c r="E8" s="6" t="n"/>
      <c r="F8" s="6" t="n"/>
      <c r="G8" s="6" t="n"/>
    </row>
    <row r="9">
      <c r="A9" t="inlineStr">
        <is>
          <t>Risk-free rate, AED 10Y</t>
        </is>
      </c>
      <c r="B9" s="23" t="n">
        <v>0.047</v>
      </c>
      <c r="G9" s="24" t="inlineStr">
        <is>
          <t>UST10Y 4.56% (10-Jul-26) + the UAE MoF's OWN 14bp AED-over-UST pricing spread (May-2026</t>
        </is>
      </c>
    </row>
    <row r="10">
      <c r="G10" s="24" t="inlineStr">
        <is>
          <t>T-Bond auction, YTM 4.03% Sep-27 / 4.30% Jan-31). DERIVED, not a screen quote —</t>
        </is>
      </c>
    </row>
    <row r="11">
      <c r="G11" s="24" t="inlineStr">
        <is>
          <t>no free live AED 10Y exists. NOT a UST shortcut: the peg does not equate the curves.</t>
        </is>
      </c>
    </row>
    <row r="12">
      <c r="A12" t="inlineStr">
        <is>
          <t>ERP — rating-based (Damodaran)</t>
        </is>
      </c>
      <c r="B12" s="23" t="n">
        <v>0.0487</v>
      </c>
      <c r="G12" s="24" t="inlineStr">
        <is>
          <t>ctryprem.html, "Last updated: January 5, 2026". UAE Aa2: CRP 0.64% + mature 4.23%.</t>
        </is>
      </c>
    </row>
    <row r="13">
      <c r="A13" t="inlineStr">
        <is>
          <t>ERP — CDS-based (Damodaran)</t>
        </is>
      </c>
      <c r="B13" s="23" t="n">
        <v>0.0493</v>
      </c>
      <c r="G13" s="24" t="inlineStr">
        <is>
          <t>Same file, Abu Dhabi row (sovereign CDS 0.46%) — the only UAE CDS quoted. Proxy, flagged.</t>
        </is>
      </c>
    </row>
    <row r="14">
      <c r="A14" t="inlineStr">
        <is>
          <t>Equity beta — PUBLISHED</t>
        </is>
      </c>
      <c r="B14" s="25" t="n">
        <v>0.758</v>
      </c>
      <c r="G14" s="24" t="inlineStr">
        <is>
          <t>MEASURED, not assumed. Weekly regression vs a 14-name equal-weighted UAE market portfolio</t>
        </is>
      </c>
    </row>
    <row r="15">
      <c r="G15" s="24" t="inlineStr">
        <is>
          <t>(both exchanges): beta=0.637, n=195, SE=0.104, t=6.1, R2=16.2%. Gate: PASS.</t>
        </is>
      </c>
    </row>
    <row r="16">
      <c r="G16" s="24" t="inlineStr">
        <is>
          <t>Published figure is Blume-adjusted (2/3 raw + 1/3 x 1.0) = 0.758 — the CONSERVATIVE direction for a low-beta name. Full detail on sheet 5.</t>
        </is>
      </c>
    </row>
    <row r="17">
      <c r="A17" t="inlineStr">
        <is>
          <t>Cost of debt, pre-tax</t>
        </is>
      </c>
      <c r="B17" s="23" t="n">
        <v>0.055</v>
      </c>
      <c r="G17" s="24" t="inlineStr">
        <is>
          <t>Triangulated: (a) Q1-26 net finance cost annualised / avg net debt = 5.77%; (b) AED rf 4.70%</t>
        </is>
      </c>
    </row>
    <row r="18">
      <c r="G18" s="24" t="inlineStr">
        <is>
          <t>+ 83bp (ENBD's inaugural AED bond over UAE Treasuries, a comparable A-rated UAE credit)</t>
        </is>
      </c>
    </row>
    <row r="19">
      <c r="G19" s="24" t="inlineStr">
        <is>
          <t xml:space="preserve">  -&gt; 5.53%; (c) 3M EIBOR 3.76% + 150-175bp IG term margin = 5.26-5.51%.</t>
        </is>
      </c>
    </row>
    <row r="20">
      <c r="A20" t="inlineStr">
        <is>
          <t>Terminal growth g</t>
        </is>
      </c>
      <c r="B20" s="23" t="n">
        <v>0.025</v>
      </c>
      <c r="G20" s="24" t="inlineStr">
        <is>
          <t>Conservative. Dubai population 4.0mn -&gt; 5.8mn by 2040 (2040 Urban Master Plan) is ~2.5%/yr</t>
        </is>
      </c>
    </row>
    <row r="21">
      <c r="G21" s="24" t="inlineStr">
        <is>
          <t>on its own, before any tariff escalation. Sensitised 1.5%-3.5%.</t>
        </is>
      </c>
    </row>
    <row r="22">
      <c r="A22" t="inlineStr">
        <is>
          <t>Cost of equity (rating ERP)</t>
        </is>
      </c>
      <c r="B22" s="26">
        <f>B9+B14*B12</f>
        <v/>
      </c>
    </row>
    <row r="23">
      <c r="A23" t="inlineStr">
        <is>
          <t>Cost of equity (CDS ERP)</t>
        </is>
      </c>
      <c r="B23" s="26">
        <f>B9+B14*B13</f>
        <v/>
      </c>
    </row>
    <row r="24">
      <c r="A24" t="inlineStr">
        <is>
          <t>After-tax cost of debt</t>
        </is>
      </c>
      <c r="B24" s="26">
        <f>B17*(1-B7)</f>
        <v/>
      </c>
    </row>
    <row r="25">
      <c r="A25" t="inlineStr">
        <is>
          <t>Weight of equity</t>
        </is>
      </c>
      <c r="B25" s="13">
        <f>B4*B5/(B4*B5+B6)</f>
        <v/>
      </c>
    </row>
    <row r="26">
      <c r="A26" t="inlineStr">
        <is>
          <t>Weight of debt</t>
        </is>
      </c>
      <c r="B26" s="13">
        <f>B6/(B4*B5+B6)</f>
        <v/>
      </c>
    </row>
    <row r="27">
      <c r="A27" s="11" t="inlineStr">
        <is>
          <t>WACC (rating ERP) — PRIMARY</t>
        </is>
      </c>
      <c r="B27" s="27">
        <f>B22*B25+B24*B26</f>
        <v/>
      </c>
    </row>
    <row r="28">
      <c r="A28" t="inlineStr">
        <is>
          <t>WACC (CDS ERP)</t>
        </is>
      </c>
      <c r="B28" s="26">
        <f>B23*B25+B24*B26</f>
        <v/>
      </c>
    </row>
    <row r="30">
      <c r="A30" s="4" t="inlineStr">
        <is>
          <t>CONCESSION — the contract (AR2024 + IPO prospectus + RTA confirmation 3-Apr-2024)</t>
        </is>
      </c>
      <c r="B30" s="6" t="n"/>
      <c r="C30" s="6" t="n"/>
      <c r="D30" s="6" t="n"/>
      <c r="E30" s="6" t="n"/>
      <c r="F30" s="6" t="n"/>
      <c r="G30" s="6" t="n"/>
    </row>
    <row r="31">
      <c r="A31" t="inlineStr">
        <is>
          <t>Concession term, years</t>
        </is>
      </c>
      <c r="B31" s="8" t="n">
        <v>49</v>
      </c>
      <c r="G31" s="24" t="inlineStr">
        <is>
          <t>Effective 1-Jul-2022, expires 2071.</t>
        </is>
      </c>
    </row>
    <row r="32">
      <c r="A32" t="inlineStr">
        <is>
          <t>Upfront paid — the 8 original gates, AED mn</t>
        </is>
      </c>
      <c r="B32" s="8" t="n">
        <v>4200</v>
      </c>
      <c r="G32" s="24" t="inlineStr">
        <is>
          <t>Debt-funded.</t>
        </is>
      </c>
    </row>
    <row r="33">
      <c r="A33" t="inlineStr">
        <is>
          <t>Upfront paid — the 2 new gates (Nov-24), AED mn</t>
        </is>
      </c>
      <c r="B33" s="8" t="n">
        <v>2734</v>
      </c>
      <c r="G33" s="24" t="inlineStr">
        <is>
          <t>Semi-annual instalments to RTA.</t>
        </is>
      </c>
    </row>
    <row r="34">
      <c r="A34" t="inlineStr">
        <is>
          <t>Concession intangible, gross AED mn</t>
        </is>
      </c>
      <c r="B34" s="9">
        <f>B32+B33</f>
        <v/>
      </c>
    </row>
    <row r="35">
      <c r="A35" t="inlineStr">
        <is>
          <t>Straight-line amortisation, AED mn/yr</t>
        </is>
      </c>
      <c r="B35" s="28">
        <f>B34/B31</f>
        <v/>
      </c>
      <c r="G35" s="24" t="inlineStr">
        <is>
          <t>Reconciles to the D&amp;A derived from Q1-26 (AED 145mn/yr).</t>
        </is>
      </c>
    </row>
    <row r="36">
      <c r="A36" t="inlineStr">
        <is>
          <t>Concession fee — CURRENT, % of TOLL revenue</t>
        </is>
      </c>
      <c r="B36" s="23" t="n">
        <v>0.225</v>
      </c>
      <c r="G36" s="24" t="inlineStr">
        <is>
          <t>Cut 25.0% -&gt; 22.5% on 1-Apr-2024.</t>
        </is>
      </c>
    </row>
    <row r="37">
      <c r="A37" t="inlineStr">
        <is>
          <t>Concession fee — CAP</t>
        </is>
      </c>
      <c r="B37" s="23" t="n">
        <v>0.25</v>
      </c>
      <c r="G37" s="24" t="inlineStr">
        <is>
          <t>If a higher-than-standard tariff rise IS approved, the fee rises.</t>
        </is>
      </c>
    </row>
    <row r="38">
      <c r="A38" t="inlineStr">
        <is>
          <t>Concession fee — FLOOR</t>
        </is>
      </c>
      <c r="B38" s="23" t="n">
        <v>0.15</v>
      </c>
      <c r="G38" s="24" t="inlineStr">
        <is>
          <t>If a tariff rise is REJECTED, the RTA CUTS the fee instead.</t>
        </is>
      </c>
    </row>
    <row r="39">
      <c r="G39" s="24" t="inlineStr">
        <is>
          <t>This is a two-sided contractual inflation hedge. It is the reason the 25%-&gt;22.5% cut happened.</t>
        </is>
      </c>
    </row>
    <row r="40">
      <c r="A40" t="inlineStr">
        <is>
          <t>Fee base</t>
        </is>
      </c>
      <c r="G40" s="24" t="inlineStr">
        <is>
          <t>TOLL USAGE REVENUE ONLY. Fines, tag fees and ancillary are 100% retained by Salik.</t>
        </is>
      </c>
    </row>
    <row r="42">
      <c r="A42" s="4" t="inlineStr">
        <is>
          <t>FORWARD DRIVERS — the preparer's judgment, logged to the our forecast-assumptions log</t>
        </is>
      </c>
      <c r="B42" s="6" t="n"/>
      <c r="C42" s="6" t="n"/>
      <c r="D42" s="6" t="n"/>
      <c r="E42" s="6" t="n"/>
      <c r="F42" s="6" t="n"/>
      <c r="G42" s="6" t="n"/>
    </row>
    <row r="43">
      <c r="A43" s="11" t="inlineStr">
        <is>
          <t>Year</t>
        </is>
      </c>
      <c r="B43" s="11" t="n">
        <v>2026</v>
      </c>
      <c r="C43" s="11" t="n">
        <v>2027</v>
      </c>
      <c r="D43" s="11" t="n">
        <v>2028</v>
      </c>
      <c r="E43" s="11" t="n">
        <v>2029</v>
      </c>
      <c r="F43" s="11" t="n">
        <v>2030</v>
      </c>
    </row>
    <row r="44">
      <c r="A44" t="inlineStr">
        <is>
          <t>Chargeable trips, mn</t>
        </is>
      </c>
      <c r="B44" s="29" t="n">
        <v>595.135</v>
      </c>
      <c r="C44" s="29" t="n">
        <v>621.916075</v>
      </c>
      <c r="D44" s="29" t="n">
        <v>646.792718</v>
      </c>
      <c r="E44" s="29" t="n">
        <v>669.43046313</v>
      </c>
      <c r="F44" s="29" t="n">
        <v>689.5133770239</v>
      </c>
      <c r="G44" s="24" t="inlineStr">
        <is>
          <t>FY26 = Q1 actual 145.7 + Q2 at 85% of Q2-25 + Q3 at 95% + Q4 at 100%. Company guides recovery from Q3.</t>
        </is>
      </c>
    </row>
    <row r="45">
      <c r="A45" t="inlineStr">
        <is>
          <t>Effective realised toll, AED/chargeable trip</t>
        </is>
      </c>
      <c r="B45" s="25" t="n">
        <v>4.293067947838024</v>
      </c>
      <c r="C45" s="25" t="n">
        <v>4.357463967055594</v>
      </c>
      <c r="D45" s="25" t="n">
        <v>4.422825926561427</v>
      </c>
      <c r="E45" s="25" t="n">
        <v>4.489168315459848</v>
      </c>
      <c r="F45" s="25" t="n">
        <v>4.556505840191746</v>
      </c>
      <c r="G45" s="24" t="inlineStr">
        <is>
          <t>FY26 = Q1-26 realised 4.293, REBUILT bottom-up: 53.7mn x AED6 + 75.9mn x AED4 = AED 625.8mn vs 625.5 reported.</t>
        </is>
      </c>
    </row>
    <row r="46">
      <c r="A46" t="inlineStr">
        <is>
          <t>Fines, AED/chargeable trip</t>
        </is>
      </c>
      <c r="B46" s="25" t="n">
        <v>0.47</v>
      </c>
      <c r="C46" s="25" t="n">
        <v>0.47</v>
      </c>
      <c r="D46" s="25" t="n">
        <v>0.47</v>
      </c>
      <c r="E46" s="25" t="n">
        <v>0.47</v>
      </c>
      <c r="F46" s="25" t="n">
        <v>0.47</v>
      </c>
      <c r="G46" s="24" t="inlineStr">
        <is>
          <t>Q1-26 realised 0.474.</t>
        </is>
      </c>
    </row>
    <row r="47">
      <c r="A47" t="inlineStr">
        <is>
          <t>Tag activation fees, AED mn</t>
        </is>
      </c>
      <c r="B47" s="29" t="n">
        <v>49.3</v>
      </c>
      <c r="C47" s="29" t="n">
        <v>51.8</v>
      </c>
      <c r="D47" s="29" t="n">
        <v>54.4</v>
      </c>
      <c r="E47" s="29" t="n">
        <v>57.1</v>
      </c>
      <c r="F47" s="29" t="n">
        <v>59.9</v>
      </c>
      <c r="G47" s="24" t="inlineStr">
        <is>
          <t>Q1-26 x4; +5%/yr on registered active vehicles.</t>
        </is>
      </c>
    </row>
    <row r="48">
      <c r="A48" t="inlineStr">
        <is>
          <t>Ancillary revenue, AED mn</t>
        </is>
      </c>
      <c r="B48" s="29" t="n">
        <v>44</v>
      </c>
      <c r="C48" s="29" t="n">
        <v>61.6</v>
      </c>
      <c r="D48" s="29" t="n">
        <v>86.2</v>
      </c>
      <c r="E48" s="29" t="n">
        <v>116.4</v>
      </c>
      <c r="F48" s="29" t="n">
        <v>151.3</v>
      </c>
      <c r="G48" s="24" t="inlineStr">
        <is>
          <t>Q1-26 AED 8.0mn (+147% YoY). DXB (10-yr), Parkonic, Valtrans, Liva, ENOC, Schneider/Vcharge. A story, not a number yet.</t>
        </is>
      </c>
    </row>
    <row r="49">
      <c r="A49" t="inlineStr">
        <is>
          <t>Other revenue, AED mn</t>
        </is>
      </c>
      <c r="B49" s="29" t="n">
        <v>56</v>
      </c>
      <c r="C49" s="29" t="n">
        <v>57.1</v>
      </c>
      <c r="D49" s="29" t="n">
        <v>58.3</v>
      </c>
      <c r="E49" s="29" t="n">
        <v>59.4</v>
      </c>
      <c r="F49" s="29" t="n">
        <v>60.6</v>
      </c>
      <c r="G49" s="24" t="inlineStr">
        <is>
          <t>Q1-26 residual x4.</t>
        </is>
      </c>
    </row>
    <row r="50">
      <c r="A50" t="inlineStr">
        <is>
          <t>Other opex, % of revenue</t>
        </is>
      </c>
      <c r="B50" s="23" t="n">
        <v>0.11</v>
      </c>
      <c r="C50" s="23" t="n">
        <v>0.109</v>
      </c>
      <c r="D50" s="23" t="n">
        <v>0.108</v>
      </c>
      <c r="E50" s="23" t="n">
        <v>0.107</v>
      </c>
      <c r="F50" s="23" t="n">
        <v>0.105</v>
      </c>
      <c r="G50" s="24" t="inlineStr">
        <is>
          <t>Q1-26 realised 11.1% (EBITDA back-out net of the concession fee).</t>
        </is>
      </c>
    </row>
    <row r="51">
      <c r="A51" t="inlineStr">
        <is>
          <t>D&amp;A, AED mn</t>
        </is>
      </c>
      <c r="B51" s="29" t="n">
        <v>146</v>
      </c>
      <c r="C51" s="29" t="n">
        <v>146</v>
      </c>
      <c r="D51" s="29" t="n">
        <v>146</v>
      </c>
      <c r="E51" s="29" t="n">
        <v>146</v>
      </c>
      <c r="F51" s="29" t="n">
        <v>146</v>
      </c>
      <c r="G51" s="24" t="inlineStr">
        <is>
          <t>Concession amortisation + tolling kit. Ties to 6,900/49 = 140.8.</t>
        </is>
      </c>
    </row>
    <row r="52">
      <c r="A52" t="inlineStr">
        <is>
          <t>Capex, % of revenue</t>
        </is>
      </c>
      <c r="B52" s="23" t="n">
        <v>0.01</v>
      </c>
      <c r="C52" s="23" t="n">
        <v>0.01</v>
      </c>
      <c r="D52" s="23" t="n">
        <v>0.01</v>
      </c>
      <c r="E52" s="23" t="n">
        <v>0.01</v>
      </c>
      <c r="F52" s="23" t="n">
        <v>0.01</v>
      </c>
      <c r="G52" s="24" t="inlineStr">
        <is>
          <t>Q1-26 capex was ~AED 6mn. The RTA bears ALL road capex.</t>
        </is>
      </c>
    </row>
    <row r="53">
      <c r="A53" t="inlineStr">
        <is>
          <t>Change in working capital, AED mn</t>
        </is>
      </c>
      <c r="B53" s="29" t="n">
        <v>0</v>
      </c>
      <c r="C53" s="29" t="n">
        <v>0</v>
      </c>
      <c r="D53" s="29" t="n">
        <v>0</v>
      </c>
      <c r="E53" s="29" t="n">
        <v>0</v>
      </c>
      <c r="F53" s="29" t="n">
        <v>0</v>
      </c>
      <c r="G53" s="24" t="inlineStr">
        <is>
          <t>ZERO. The AED -846mn negative NWC is a permanent prepaid-wallet float, not a recurring source. Conservative.</t>
        </is>
      </c>
    </row>
    <row r="54">
      <c r="A54" t="inlineStr">
        <is>
          <t>Net debt, AED mn</t>
        </is>
      </c>
      <c r="B54" s="8" t="n">
        <v>4500</v>
      </c>
      <c r="C54" s="8" t="n">
        <v>4383.809927681365</v>
      </c>
      <c r="D54" s="8" t="n">
        <v>4267.619855362732</v>
      </c>
      <c r="E54" s="8" t="n">
        <v>4151.429783044097</v>
      </c>
      <c r="F54" s="8" t="n">
        <v>4035.239710725463</v>
      </c>
      <c r="G54" s="24" t="inlineStr">
        <is>
          <t>Deleveraging comes from D&amp;A-above-capex, not retained earnings.</t>
        </is>
      </c>
    </row>
    <row r="55">
      <c r="A55" t="inlineStr">
        <is>
          <t>Effective rate on net debt</t>
        </is>
      </c>
      <c r="B55" s="23" t="n">
        <v>0.056</v>
      </c>
      <c r="C55" s="23" t="n">
        <v>0.056</v>
      </c>
      <c r="D55" s="23" t="n">
        <v>0.056</v>
      </c>
      <c r="E55" s="23" t="n">
        <v>0.056</v>
      </c>
      <c r="F55" s="23" t="n">
        <v>0.056</v>
      </c>
      <c r="G55" s="24" t="inlineStr">
        <is>
          <t>Q1-26 implied 5.77% on average net debt.</t>
        </is>
      </c>
    </row>
    <row r="57">
      <c r="A57" s="4" t="inlineStr">
        <is>
          <t>PEER MULTIPLE BAND (relative lens)</t>
        </is>
      </c>
      <c r="B57" s="6" t="n"/>
      <c r="C57" s="6" t="n"/>
      <c r="D57" s="6" t="n"/>
      <c r="E57" s="6" t="n"/>
      <c r="F57" s="6" t="n"/>
      <c r="G57" s="6" t="n"/>
    </row>
    <row r="58">
      <c r="A58" t="inlineStr">
        <is>
          <t>P/E — low</t>
        </is>
      </c>
      <c r="B58" s="30" t="n">
        <v>20</v>
      </c>
      <c r="G58" s="24" t="inlineStr">
        <is>
          <t>Implied dividend yield 5.0%</t>
        </is>
      </c>
    </row>
    <row r="59">
      <c r="A59" t="inlineStr">
        <is>
          <t>P/E — mid</t>
        </is>
      </c>
      <c r="B59" s="30" t="n">
        <v>24</v>
      </c>
      <c r="G59" s="24" t="inlineStr">
        <is>
          <t>Implied yield 4.2% — Parkin (Dubai RTA 49-yr parking concession) trades ~24.9x</t>
        </is>
      </c>
    </row>
    <row r="60">
      <c r="A60" t="inlineStr">
        <is>
          <t>P/E — high</t>
        </is>
      </c>
      <c r="B60" s="30" t="n">
        <v>28</v>
      </c>
      <c r="G60" s="24" t="inlineStr">
        <is>
          <t>Implied yield 3.6% — a premium to Parkin</t>
        </is>
      </c>
    </row>
    <row r="61">
      <c r="A61" s="19" t="inlineStr">
        <is>
          <t>100% payout =&gt; P/E and dividend yield are the SAME multiple. We run ONE, not two.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60" customWidth="1" min="7" max="7"/>
  </cols>
  <sheetData>
    <row r="1" ht="20" customHeight="1">
      <c r="A1" s="1" t="inlineStr">
        <is>
          <t>BETA — MEASURED, NOT ASSUMED. This is the fix to v1 of this study.</t>
        </is>
      </c>
      <c r="B1" s="2" t="n"/>
      <c r="C1" s="2" t="n"/>
      <c r="D1" s="2" t="n"/>
      <c r="E1" s="2" t="n"/>
      <c r="F1" s="2" t="n"/>
      <c r="G1" s="2" t="n"/>
    </row>
    <row r="3">
      <c r="A3" s="4" t="inlineStr">
        <is>
          <t>WHY v1 GOT THIS WRONG, AND WHAT WE DID ABOUT IT</t>
        </is>
      </c>
      <c r="B3" s="6" t="n"/>
      <c r="C3" s="6" t="n"/>
      <c r="D3" s="6" t="n"/>
      <c r="E3" s="6" t="n"/>
      <c r="F3" s="6" t="n"/>
      <c r="G3" s="6" t="n"/>
    </row>
    <row r="4">
      <c r="A4" s="22" t="inlineStr">
        <is>
          <t>v1 regressed SALIK against the DFM General Index and could only obtain 19 sessions of DFMGI history.</t>
        </is>
      </c>
    </row>
    <row r="5">
      <c r="A5" s="22" t="inlineStr">
        <is>
          <t>n=19 &lt; the 24-observation usability floor, so the gate FAILED and our standing rule forced beta = 1.00.</t>
        </is>
      </c>
    </row>
    <row r="6">
      <c r="A6" s="22" t="inlineStr">
        <is>
          <t>That single fallback drove the whole answer: it put fair value at AED 3.67 and the study at -27% vs spot.</t>
        </is>
      </c>
    </row>
    <row r="7">
      <c r="A7" s="22" t="inlineStr">
        <is>
          <t>THE FIX: a market portfolio does not have to be an exchange index. We rebuilt one from the 14 UAE names</t>
        </is>
      </c>
    </row>
    <row r="8">
      <c r="A8" s="22" t="inlineStr">
        <is>
          <t>the Testahil MC engine itself uses to calibrate this market — equal-weighted, spanning BOTH exchanges,</t>
        </is>
      </c>
    </row>
    <row r="9">
      <c r="A9" s="22" t="inlineStr">
        <is>
          <t>every constituent through the same the data-quality check. The regression now PASSES comfortably.</t>
        </is>
      </c>
    </row>
    <row r="11">
      <c r="A11" s="4" t="inlineStr">
        <is>
          <t>THE 14-NAME UAE MARKET PORTFOLIO (equal-weighted)</t>
        </is>
      </c>
      <c r="B11" s="6" t="n"/>
      <c r="C11" s="6" t="n"/>
      <c r="D11" s="6" t="n"/>
      <c r="E11" s="6" t="n"/>
      <c r="F11" s="6" t="n"/>
      <c r="G11" s="6" t="n"/>
    </row>
    <row r="12">
      <c r="A12" t="inlineStr">
        <is>
          <t>ADCB, ADIB, ADNOCGAS, AGTHIA, ALDAR, ALPHADHABI, DIB, EAND, EMAAR, EMAARDEV, ENBD, FAB, IHC, TWOPOINTZERO</t>
        </is>
      </c>
    </row>
    <row r="14">
      <c r="A14" s="31" t="inlineStr">
        <is>
          <t>Specification</t>
        </is>
      </c>
      <c r="B14" s="31" t="inlineStr">
        <is>
          <t>n</t>
        </is>
      </c>
      <c r="C14" s="31" t="inlineStr">
        <is>
          <t>beta</t>
        </is>
      </c>
      <c r="D14" s="31" t="inlineStr">
        <is>
          <t>SE</t>
        </is>
      </c>
      <c r="E14" s="31" t="inlineStr">
        <is>
          <t>t</t>
        </is>
      </c>
      <c r="F14" s="31" t="inlineStr">
        <is>
          <t>R^2</t>
        </is>
      </c>
      <c r="G14" s="31" t="inlineStr">
        <is>
          <t>Usability test</t>
        </is>
      </c>
    </row>
    <row r="15">
      <c r="A15" s="32" t="inlineStr">
        <is>
          <t>WEEKLY log returns, full history since IPO</t>
        </is>
      </c>
      <c r="B15" s="33" t="n">
        <v>195</v>
      </c>
      <c r="C15" s="34" t="n">
        <v>0.6365897772612503</v>
      </c>
      <c r="D15" s="34" t="n">
        <v>0.10432885700031</v>
      </c>
      <c r="E15" s="35" t="n">
        <v>6.101761253450318</v>
      </c>
      <c r="F15" s="36" t="n">
        <v>0.1617132840098248</v>
      </c>
      <c r="G15" s="32" t="inlineStr">
        <is>
          <t>PASS</t>
        </is>
      </c>
    </row>
    <row r="16">
      <c r="A16" t="inlineStr">
        <is>
          <t>DAILY log returns, full history since IPO</t>
        </is>
      </c>
      <c r="B16" s="9" t="n">
        <v>940</v>
      </c>
      <c r="C16" s="37" t="n">
        <v>0.5780630673576426</v>
      </c>
      <c r="D16" s="37" t="n">
        <v>0.05161537222251809</v>
      </c>
      <c r="E16" s="12" t="n">
        <v>11.19943618473902</v>
      </c>
      <c r="F16" s="13" t="n">
        <v>0.1179463443329231</v>
      </c>
      <c r="G16" t="inlineStr">
        <is>
          <t>PASS</t>
        </is>
      </c>
    </row>
    <row r="17">
      <c r="A17" t="inlineStr">
        <is>
          <t>WEEKLY, PRE-WAR only (to 27-Feb-2026)</t>
        </is>
      </c>
      <c r="B17" s="9" t="n">
        <v>177</v>
      </c>
      <c r="C17" s="37" t="n">
        <v>0.4745216237193624</v>
      </c>
      <c r="D17" s="37" t="n">
        <v>0.1195501552894313</v>
      </c>
      <c r="E17" s="12" t="n">
        <v>3.969226326561801</v>
      </c>
      <c r="F17" s="13" t="n">
        <v>0.08259168907288095</v>
      </c>
      <c r="G17" t="inlineStr">
        <is>
          <t>PASS</t>
        </is>
      </c>
    </row>
    <row r="18">
      <c r="A18" t="inlineStr">
        <is>
          <t>WEEKLY, WAR PERIOD only (from 28-Feb-2026)</t>
        </is>
      </c>
      <c r="B18" s="9" t="n">
        <v>18</v>
      </c>
      <c r="C18" s="37" t="n">
        <v>1.000877798860938</v>
      </c>
      <c r="D18" s="37" t="n">
        <v>0.2511475359031113</v>
      </c>
      <c r="E18" s="12" t="n">
        <v>3.985218470337931</v>
      </c>
      <c r="F18" s="13" t="n">
        <v>0.4981488948528385</v>
      </c>
      <c r="G18" t="inlineStr">
        <is>
          <t>FAIL (n&lt;24)</t>
        </is>
      </c>
    </row>
    <row r="20">
      <c r="A20" s="19" t="inlineStr">
        <is>
          <t>THE WAR DOUBLED THE BETA: 0.475 pre-war -&gt; 1.001 during. That is what a crisis does —</t>
        </is>
      </c>
    </row>
    <row r="21">
      <c r="A21" s="19" t="inlineStr">
        <is>
          <t>correlations go to one. It also explains v1's 0.89: that 19-session window sat INSIDE the war.</t>
        </is>
      </c>
    </row>
    <row r="23">
      <c r="A23" s="4" t="inlineStr">
        <is>
          <t>PUBLISHED BETA</t>
        </is>
      </c>
      <c r="B23" s="6" t="n"/>
      <c r="C23" s="6" t="n"/>
      <c r="D23" s="6" t="n"/>
      <c r="E23" s="6" t="n"/>
      <c r="F23" s="6" t="n"/>
      <c r="G23" s="6" t="n"/>
    </row>
    <row r="24">
      <c r="A24" t="inlineStr">
        <is>
          <t>Raw measured weekly beta</t>
        </is>
      </c>
      <c r="B24" s="38" t="n">
        <v>0.6366000000000001</v>
      </c>
    </row>
    <row r="25">
      <c r="A25" t="inlineStr">
        <is>
          <t>Blume weight on 1.0 (the convention)</t>
        </is>
      </c>
      <c r="B25" s="10" t="n">
        <v>0.3333333333333333</v>
      </c>
    </row>
    <row r="26">
      <c r="A26" s="11" t="inlineStr">
        <is>
          <t>PUBLISHED BETA (Blume-adjusted)</t>
        </is>
      </c>
      <c r="B26" s="39">
        <f>B24*(1-B25)+1*B25</f>
        <v/>
      </c>
    </row>
    <row r="27">
      <c r="A27" s="19" t="inlineStr">
        <is>
          <t>For a LOW-beta stock the Blume shrink RAISES the discount rate and LOWERS fair value.</t>
        </is>
      </c>
    </row>
    <row r="28">
      <c r="A28" s="19" t="inlineStr">
        <is>
          <t>It is therefore the CONSERVATIVE choice, and we make it deliberately.</t>
        </is>
      </c>
    </row>
    <row r="30">
      <c r="A30" s="4" t="inlineStr">
        <is>
          <t>THE VOLATILITY PARADOX, RESOLVED</t>
        </is>
      </c>
      <c r="B30" s="6" t="n"/>
      <c r="C30" s="6" t="n"/>
      <c r="D30" s="6" t="n"/>
      <c r="E30" s="6" t="n"/>
      <c r="F30" s="6" t="n"/>
      <c r="G30" s="6" t="n"/>
    </row>
    <row r="31">
      <c r="A31" t="inlineStr">
        <is>
          <t>SALIK annualised vol (daily)</t>
        </is>
      </c>
      <c r="B31" s="13" t="n">
        <v>0.2580918865556126</v>
      </c>
      <c r="G31" s="24" t="inlineStr">
        <is>
          <t>HIGH. Not a sleepy utility.</t>
        </is>
      </c>
    </row>
    <row r="32">
      <c r="A32" t="inlineStr">
        <is>
          <t>UAE market portfolio vol</t>
        </is>
      </c>
      <c r="B32" s="13" t="n">
        <v>0.1533350261184412</v>
      </c>
      <c r="G32" s="24" t="inlineStr"/>
    </row>
    <row r="33">
      <c r="A33" t="inlineStr">
        <is>
          <t>Correlation</t>
        </is>
      </c>
      <c r="B33" s="37" t="n">
        <v>0.3434331730234039</v>
      </c>
      <c r="G33" s="24" t="inlineStr">
        <is>
          <t>LOW.</t>
        </is>
      </c>
    </row>
    <row r="34">
      <c r="A34" t="inlineStr">
        <is>
          <t>Share of SALIK variance that is IDIOSYNCRATIC</t>
        </is>
      </c>
      <c r="B34" s="13" t="n">
        <v>0.8820536556670767</v>
      </c>
      <c r="G34" s="24" t="inlineStr">
        <is>
          <t>THE resolution: a 26%-vol stock CAN carry a 0.64 beta because ~9/10 of its risk is its own.</t>
        </is>
      </c>
    </row>
    <row r="35">
      <c r="A35" t="inlineStr">
        <is>
          <t>Asset (unlevered) beta</t>
        </is>
      </c>
      <c r="B35" s="37" t="n">
        <v>0.5840458185427677</v>
      </c>
      <c r="G35" s="24" t="inlineStr">
        <is>
          <t>Barely levered, so the asset beta and the equity beta are nearly the same number.</t>
        </is>
      </c>
    </row>
    <row r="37">
      <c r="A37" s="31" t="inlineStr">
        <is>
          <t>Beta</t>
        </is>
      </c>
      <c r="B37" s="31" t="inlineStr">
        <is>
          <t>Cost of equity</t>
        </is>
      </c>
      <c r="C37" s="31" t="inlineStr">
        <is>
          <t>WACC</t>
        </is>
      </c>
      <c r="D37" s="31" t="inlineStr">
        <is>
          <t>Fair value AED</t>
        </is>
      </c>
      <c r="E37" s="31" t="inlineStr">
        <is>
          <t>vs spot</t>
        </is>
      </c>
      <c r="F37" s="31" t="inlineStr">
        <is>
          <t>What this beta IS</t>
        </is>
      </c>
      <c r="G37" s="6" t="n"/>
    </row>
    <row r="38">
      <c r="A38" s="37" t="n">
        <v>1</v>
      </c>
      <c r="B38" s="26" t="n">
        <v>0.09570000000000001</v>
      </c>
      <c r="C38" s="26" t="n">
        <v>0.09159293432446931</v>
      </c>
      <c r="D38" s="12" t="n">
        <v>3.664777305254132</v>
      </c>
      <c r="E38" s="13" t="n">
        <v>-0.3570566131133103</v>
      </c>
      <c r="F38" t="inlineStr">
        <is>
          <t>what v1 used, on a FAILED gate — void</t>
        </is>
      </c>
    </row>
    <row r="39">
      <c r="A39" s="37" t="n">
        <v>0.841</v>
      </c>
      <c r="B39" s="26" t="n">
        <v>0.0879567</v>
      </c>
      <c r="C39" s="26" t="n">
        <v>0.08454628802973409</v>
      </c>
      <c r="D39" s="12" t="n">
        <v>4.173364796358668</v>
      </c>
      <c r="E39" s="13" t="n">
        <v>-0.2678307374809354</v>
      </c>
      <c r="F39" t="inlineStr">
        <is>
          <t>upper bound of the 95% CI on the measured beta</t>
        </is>
      </c>
    </row>
    <row r="40">
      <c r="A40" s="34" t="n">
        <v>0.76</v>
      </c>
      <c r="B40" s="40" t="n">
        <v>0.084012</v>
      </c>
      <c r="C40" s="40" t="n">
        <v>0.08095648708713311</v>
      </c>
      <c r="D40" s="35" t="n">
        <v>4.48179144105502</v>
      </c>
      <c r="E40" s="36" t="n">
        <v>-0.2137207998149088</v>
      </c>
      <c r="F40" s="32" t="inlineStr">
        <is>
          <t>PUBLISHED — Blume-adjusted (2/3 x 0.637 + 1/3 x 1.0)</t>
        </is>
      </c>
    </row>
    <row r="41">
      <c r="A41" s="37" t="n">
        <v>0.64</v>
      </c>
      <c r="B41" s="26" t="n">
        <v>0.078168</v>
      </c>
      <c r="C41" s="26" t="n">
        <v>0.07563826346846501</v>
      </c>
      <c r="D41" s="12" t="n">
        <v>5.019220741328796</v>
      </c>
      <c r="E41" s="13" t="n">
        <v>-0.1194349576616147</v>
      </c>
      <c r="F41" t="inlineStr">
        <is>
          <t>RAW measured weekly beta, n=195, t=6.10</t>
        </is>
      </c>
    </row>
    <row r="42">
      <c r="A42" s="37" t="n">
        <v>0.47</v>
      </c>
      <c r="B42" s="26" t="n">
        <v>0.06988900000000001</v>
      </c>
      <c r="C42" s="26" t="n">
        <v>0.06810411334201856</v>
      </c>
      <c r="D42" s="12" t="n">
        <v>6.007890351760305</v>
      </c>
      <c r="E42" s="13" t="n">
        <v>0.05401585118601848</v>
      </c>
      <c r="F42" t="inlineStr">
        <is>
          <t>measured PRE-WAR only (n=177) — the peacetime beta</t>
        </is>
      </c>
    </row>
    <row r="43">
      <c r="A43" s="37" t="n">
        <v>0.432</v>
      </c>
      <c r="B43" s="26" t="n">
        <v>0.0680384</v>
      </c>
      <c r="C43" s="26" t="n">
        <v>0.06642000919610698</v>
      </c>
      <c r="D43" s="12" t="n">
        <v>6.278121852617101</v>
      </c>
      <c r="E43" s="13" t="n">
        <v>0.1014248864240528</v>
      </c>
      <c r="F43" t="inlineStr">
        <is>
          <t>lower bound of the 95% CI on the measured beta</t>
        </is>
      </c>
    </row>
    <row r="45">
      <c r="A45" t="inlineStr">
        <is>
          <t>Spot implies beta</t>
        </is>
      </c>
      <c r="B45" s="12" t="n">
        <v>0.5172484240402384</v>
      </c>
      <c r="C45" t="inlineStr">
        <is>
          <t>INSIDE the measured 95% CI</t>
        </is>
      </c>
    </row>
    <row r="46">
      <c r="A46" t="inlineStr">
        <is>
          <t>Measured 95% CI on beta</t>
        </is>
      </c>
      <c r="B46" s="12" t="n">
        <v>0.4321052175406428</v>
      </c>
      <c r="C46" s="12" t="n">
        <v>0.8410743369818579</v>
      </c>
    </row>
    <row r="47">
      <c r="A47" s="19" t="inlineStr">
        <is>
          <t>THE CRUX: spot implies a beta almost exactly equal to SALIK's PRE-WAR beta.</t>
        </is>
      </c>
    </row>
    <row r="48">
      <c r="A48" s="19" t="inlineStr">
        <is>
          <t>The market is pricing Salik as though the war is already over. It may be right.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50" customWidth="1" min="7" max="7"/>
  </cols>
  <sheetData>
    <row r="1" ht="20" customHeight="1">
      <c r="A1" s="1" t="inlineStr">
        <is>
          <t>THE CONCESSION — and the two growth engines, only one of which is free</t>
        </is>
      </c>
      <c r="B1" s="2" t="n"/>
      <c r="C1" s="2" t="n"/>
      <c r="D1" s="2" t="n"/>
      <c r="E1" s="2" t="n"/>
      <c r="F1" s="2" t="n"/>
      <c r="G1" s="2" t="n"/>
    </row>
    <row r="3">
      <c r="A3" s="4" t="inlineStr">
        <is>
          <t>THE TARIFF MECHANISM (this is what protects the margin)</t>
        </is>
      </c>
      <c r="B3" s="6" t="n"/>
      <c r="C3" s="6" t="n"/>
      <c r="D3" s="6" t="n"/>
      <c r="E3" s="6" t="n"/>
      <c r="F3" s="6" t="n"/>
      <c r="G3" s="6" t="n"/>
    </row>
    <row r="4">
      <c r="A4" s="22" t="inlineStr">
        <is>
          <t>Salik may RECOMMEND an annual toll increase under an inflation-linked formula.</t>
        </is>
      </c>
    </row>
    <row r="5">
      <c r="A5" s="22" t="inlineStr">
        <is>
          <t>The RTA reviews it; The Executive Council (TEC) decides.</t>
        </is>
      </c>
    </row>
    <row r="6">
      <c r="A6" s="22" t="inlineStr">
        <is>
          <t>If the TEC REJECTS the increase -&gt; the RTA COMPENSATES Salik by CUTTING the concession fee.</t>
        </is>
      </c>
    </row>
    <row r="7">
      <c r="A7" s="22" t="inlineStr">
        <is>
          <t>If a higher-than-standard increase IS approved -&gt; the concession fee RISES.</t>
        </is>
      </c>
    </row>
    <row r="8">
      <c r="A8" s="22" t="inlineStr">
        <is>
          <t>Bounded: the fee cannot exceed 25% of toll revenue, nor fall below 15%.</t>
        </is>
      </c>
    </row>
    <row r="9">
      <c r="A9" s="22" t="inlineStr">
        <is>
          <t>It already fired: 25.0% -&gt; 22.5% effective 1-Apr-2024 (RTA confirmation, 3-Apr-2024).</t>
        </is>
      </c>
    </row>
    <row r="10">
      <c r="A10" s="22" t="inlineStr">
        <is>
          <t>Salik is hedged on BOTH sides of the inflation question. That is unusual, and it is contractual.</t>
        </is>
      </c>
    </row>
    <row r="12">
      <c r="A12" s="4" t="inlineStr">
        <is>
          <t>THE CUSHION, IN REAL MONEY</t>
        </is>
      </c>
      <c r="B12" s="6" t="n"/>
      <c r="C12" s="6" t="n"/>
      <c r="D12" s="6" t="n"/>
      <c r="E12" s="6" t="n"/>
      <c r="F12" s="6" t="n"/>
      <c r="G12" s="6" t="n"/>
    </row>
    <row r="13">
      <c r="A13" t="inlineStr">
        <is>
          <t>Concession fee today</t>
        </is>
      </c>
      <c r="B13" s="23" t="n">
        <v>0.225</v>
      </c>
    </row>
    <row r="14">
      <c r="A14" t="inlineStr">
        <is>
          <t>Contractual FLOOR</t>
        </is>
      </c>
      <c r="B14" s="23" t="n">
        <v>0.15</v>
      </c>
    </row>
    <row r="15">
      <c r="A15" t="inlineStr">
        <is>
          <t>Headroom, pp</t>
        </is>
      </c>
      <c r="B15" s="26">
        <f>B13-B14</f>
        <v/>
      </c>
    </row>
    <row r="16">
      <c r="A16" t="inlineStr">
        <is>
          <t>FY2026E toll usage revenue, AED mn</t>
        </is>
      </c>
      <c r="B16" s="28" t="n">
        <v>2554.954993136582</v>
      </c>
    </row>
    <row r="17">
      <c r="A17" t="inlineStr">
        <is>
          <t>Value of the headroom, AED mn/yr</t>
        </is>
      </c>
      <c r="B17" s="28">
        <f>B15*B16</f>
        <v/>
      </c>
    </row>
    <row r="18">
      <c r="A18" t="inlineStr">
        <is>
          <t>FY2026E EBITDA, AED mn</t>
        </is>
      </c>
      <c r="B18" s="28" t="n">
        <v>2078.218690185828</v>
      </c>
    </row>
    <row r="19">
      <c r="A19" s="11" t="inlineStr">
        <is>
          <t>Headroom as % of FY2026E EBITDA</t>
        </is>
      </c>
      <c r="B19" s="36">
        <f>B17/B18</f>
        <v/>
      </c>
    </row>
    <row r="21">
      <c r="A21" s="4" t="inlineStr">
        <is>
          <t>TWO GROWTH ENGINES — AND ONLY ONE OF THEM IS FREE</t>
        </is>
      </c>
      <c r="B21" s="6" t="n"/>
      <c r="C21" s="6" t="n"/>
      <c r="D21" s="6" t="n"/>
      <c r="E21" s="6" t="n"/>
      <c r="F21" s="6" t="n"/>
      <c r="G21" s="6" t="n"/>
    </row>
    <row r="22">
      <c r="A22" s="11" t="inlineStr"/>
      <c r="B22" s="11" t="inlineStr">
        <is>
          <t>The ORIGINAL 8 gates</t>
        </is>
      </c>
      <c r="C22" s="11" t="inlineStr">
        <is>
          <t>The 2 gates the RTA SOLD Salik</t>
        </is>
      </c>
    </row>
    <row r="23">
      <c r="A23" t="inlineStr">
        <is>
          <t>When</t>
        </is>
      </c>
      <c r="B23" t="inlineStr">
        <is>
          <t>Handed over at the Sep-2022 IPO</t>
        </is>
      </c>
      <c r="C23" t="inlineStr">
        <is>
          <t>Bought 24-Nov-2024</t>
        </is>
      </c>
    </row>
    <row r="24">
      <c r="A24" t="inlineStr">
        <is>
          <t>Price paid to the RTA, AED mn</t>
        </is>
      </c>
      <c r="B24" s="9" t="n">
        <v>4200</v>
      </c>
      <c r="C24" s="9" t="n">
        <v>2734</v>
      </c>
    </row>
    <row r="25">
      <c r="A25" t="inlineStr">
        <is>
          <t xml:space="preserve"> of which Business Bay Crossing</t>
        </is>
      </c>
      <c r="C25" s="9" t="n">
        <v>2265</v>
      </c>
    </row>
    <row r="26">
      <c r="A26" t="inlineStr">
        <is>
          <t xml:space="preserve"> of which Al Safa South</t>
        </is>
      </c>
      <c r="C26" s="9" t="n">
        <v>469</v>
      </c>
    </row>
    <row r="27">
      <c r="A27" t="inlineStr">
        <is>
          <t>Incremental chargeable trips, mn</t>
        </is>
      </c>
      <c r="B27" s="28" t="n">
        <v>498.1</v>
      </c>
      <c r="C27" s="28" t="n">
        <v>111</v>
      </c>
    </row>
    <row r="28">
      <c r="A28" t="inlineStr">
        <is>
          <t>Incremental toll revenue, AED mn</t>
        </is>
      </c>
      <c r="B28" s="28" t="n">
        <v>1992.5</v>
      </c>
      <c r="C28" s="28" t="n">
        <v>474.1511500547645</v>
      </c>
    </row>
    <row r="29">
      <c r="A29" t="inlineStr">
        <is>
          <t>less concession fee @22.5%</t>
        </is>
      </c>
      <c r="C29" s="28" t="n">
        <v>-106.684008762322</v>
      </c>
    </row>
    <row r="30">
      <c r="A30" t="inlineStr">
        <is>
          <t>less incremental opex @5%</t>
        </is>
      </c>
      <c r="C30" s="28" t="n">
        <v>-23.70755750273823</v>
      </c>
    </row>
    <row r="31">
      <c r="A31" t="inlineStr">
        <is>
          <t>EBITDA, AED mn</t>
        </is>
      </c>
      <c r="B31" s="28" t="n">
        <v>1579.1</v>
      </c>
      <c r="C31" s="28" t="n">
        <v>343.7595837897042</v>
      </c>
    </row>
    <row r="32">
      <c r="A32" t="inlineStr">
        <is>
          <t>Amortisation life, years</t>
        </is>
      </c>
      <c r="B32" s="12" t="n">
        <v>49</v>
      </c>
      <c r="C32" s="12" t="n">
        <v>46.67</v>
      </c>
    </row>
    <row r="33">
      <c r="A33" t="inlineStr">
        <is>
          <t>less D&amp;A, AED mn</t>
        </is>
      </c>
      <c r="B33" s="28" t="n">
        <v>-85.71428571428571</v>
      </c>
      <c r="C33" s="28" t="n">
        <v>-58.58152989072209</v>
      </c>
    </row>
    <row r="34">
      <c r="A34" t="inlineStr">
        <is>
          <t>NOPAT (x 0.91), AED mn</t>
        </is>
      </c>
      <c r="B34" s="28" t="n">
        <v>1353.855116134562</v>
      </c>
      <c r="C34" s="28" t="n">
        <v>259.5120290480737</v>
      </c>
    </row>
    <row r="35">
      <c r="A35" t="inlineStr">
        <is>
          <t>Invested capital, AED mn</t>
        </is>
      </c>
      <c r="B35" s="9" t="n">
        <v>4200</v>
      </c>
      <c r="C35" s="9" t="n">
        <v>2700</v>
      </c>
    </row>
    <row r="36">
      <c r="A36" s="20" t="inlineStr">
        <is>
          <t>RETURN ON INVESTED CAPITAL</t>
        </is>
      </c>
      <c r="B36" s="41" t="n">
        <v>0.3223464562225147</v>
      </c>
      <c r="C36" s="41" t="n">
        <v>0.09492027397515498</v>
      </c>
    </row>
    <row r="37">
      <c r="A37" t="inlineStr">
        <is>
          <t>... against a WACC of</t>
        </is>
      </c>
      <c r="B37" s="26" t="n">
        <v>0.08086785002682198</v>
      </c>
      <c r="C37" s="26" t="n">
        <v>0.08086785002682198</v>
      </c>
    </row>
    <row r="38">
      <c r="A38" s="20" t="inlineStr">
        <is>
          <t>SPREAD</t>
        </is>
      </c>
      <c r="B38" s="41" t="n">
        <v>0.2414786061956927</v>
      </c>
      <c r="C38" s="41" t="n">
        <v>0.014052423948333</v>
      </c>
    </row>
    <row r="39">
      <c r="A39" t="inlineStr">
        <is>
          <t>Value created by the 2-gate deal, AED mn</t>
        </is>
      </c>
      <c r="B39" s="9" t="n">
        <v>475.0877766875169</v>
      </c>
    </row>
    <row r="40">
      <c r="A40" s="19" t="inlineStr">
        <is>
          <t>THE FINDING. The RTA priced the first 8 gates to make an IPO work. It priced the next 2</t>
        </is>
      </c>
    </row>
    <row r="41">
      <c r="A41" s="19" t="inlineStr">
        <is>
          <t>at FAIR VALUE. The RTA is grantor, regulator, 75.1% shareholder AND vendor — and Salik's</t>
        </is>
      </c>
    </row>
    <row r="42">
      <c r="A42" s="19" t="inlineStr">
        <is>
          <t>Chairman is its Director-General. Growth by ACQUIRING gates is NOT free growth.</t>
        </is>
      </c>
    </row>
    <row r="44">
      <c r="A44" s="4" t="inlineStr">
        <is>
          <t>ROBUSTNESS — does the finding survive the assumption box?</t>
        </is>
      </c>
      <c r="B44" s="6" t="n"/>
      <c r="C44" s="6" t="n"/>
      <c r="D44" s="6" t="n"/>
      <c r="E44" s="6" t="n"/>
      <c r="F44" s="6" t="n"/>
      <c r="G44" s="6" t="n"/>
    </row>
    <row r="45">
      <c r="A45" s="11" t="inlineStr">
        <is>
          <t>gate-trip figure \ incremental opex</t>
        </is>
      </c>
      <c r="B45" s="18" t="n">
        <v>0</v>
      </c>
      <c r="C45" s="18" t="n">
        <v>0.05</v>
      </c>
      <c r="D45" s="18" t="n">
        <v>0.11</v>
      </c>
    </row>
    <row r="46">
      <c r="A46" s="42" t="n">
        <v>111</v>
      </c>
      <c r="B46" s="13" t="n">
        <v>0.1028112313004995</v>
      </c>
      <c r="C46" s="36" t="n">
        <v>0.09492027397515498</v>
      </c>
      <c r="D46" s="13" t="n">
        <v>0.08545112518474161</v>
      </c>
    </row>
    <row r="47">
      <c r="A47" s="42" t="n">
        <v>119.1</v>
      </c>
      <c r="B47" s="13" t="n">
        <v>0.1117184728396427</v>
      </c>
      <c r="C47" s="13" t="n">
        <v>0.1032528547698373</v>
      </c>
      <c r="D47" s="13" t="n">
        <v>0.09309411308607095</v>
      </c>
    </row>
    <row r="48">
      <c r="A48" s="19" t="inlineStr">
        <is>
          <t>Range 8.5% - 11.2% vs a WACC of 8.09%. RED = below the cost of capital. In NO corner is it near 31%.</t>
        </is>
      </c>
    </row>
    <row r="50">
      <c r="A50" s="4" t="inlineStr">
        <is>
          <t>THE RTA INSTALMENT — the claim that sits in FRONT of the dividend</t>
        </is>
      </c>
      <c r="B50" s="6" t="n"/>
      <c r="C50" s="6" t="n"/>
      <c r="D50" s="6" t="n"/>
      <c r="E50" s="6" t="n"/>
      <c r="F50" s="6" t="n"/>
      <c r="G50" s="6" t="n"/>
    </row>
    <row r="51">
      <c r="A51" s="19" t="inlineStr">
        <is>
          <t>AR2024 CFO Review: 'an annual installment of AED 455.7 million paid semi-annually over six years'</t>
        </is>
      </c>
    </row>
    <row r="52">
      <c r="A52" s="19" t="inlineStr">
        <is>
          <t>455.7 x 6 = AED 2,734.2mn = the gate valuation EXACTLY. Last instalment: Nov-2030.</t>
        </is>
      </c>
    </row>
    <row r="53">
      <c r="A53" s="19" t="inlineStr">
        <is>
          <t>IT IS ALREADY IN NET DEBT (company: net debt 3,163.3 -&gt; 5,198.6 in Q4-24 "mainly due to</t>
        </is>
      </c>
    </row>
    <row r="54">
      <c r="A54" s="19" t="inlineStr">
        <is>
          <t>the payable of the concessionary rights to RTA"). So the DCF does NOT double-count it.</t>
        </is>
      </c>
    </row>
    <row r="55">
      <c r="A55" s="11" t="inlineStr">
        <is>
          <t>AED mn</t>
        </is>
      </c>
      <c r="B55" s="11" t="inlineStr">
        <is>
          <t>FY2026E</t>
        </is>
      </c>
      <c r="C55" s="11" t="inlineStr">
        <is>
          <t>FY2027E</t>
        </is>
      </c>
      <c r="D55" s="11" t="inlineStr">
        <is>
          <t>FY2028E</t>
        </is>
      </c>
      <c r="E55" s="11" t="inlineStr">
        <is>
          <t>FY2029E</t>
        </is>
      </c>
      <c r="F55" s="11" t="inlineStr">
        <is>
          <t>FY2030E</t>
        </is>
      </c>
    </row>
    <row r="56">
      <c r="A56" t="inlineStr">
        <is>
          <t>Operating cash (post tax &amp; interest)</t>
        </is>
      </c>
      <c r="B56" s="9" t="n">
        <v>1645.189080387737</v>
      </c>
      <c r="C56" s="9" t="n">
        <v>1773.174999145953</v>
      </c>
      <c r="D56" s="9" t="n">
        <v>1903.971583096578</v>
      </c>
      <c r="E56" s="9" t="n">
        <v>2035.10309784549</v>
      </c>
      <c r="F56" s="9" t="n">
        <v>2168.199952210779</v>
      </c>
    </row>
    <row r="57">
      <c r="A57" t="inlineStr">
        <is>
          <t>less: dividend (100% of net profit)</t>
        </is>
      </c>
      <c r="B57" s="9" t="n">
        <v>-1528.999008069103</v>
      </c>
      <c r="C57" s="9" t="n">
        <v>-1658.871677768154</v>
      </c>
      <c r="D57" s="9" t="n">
        <v>-1791.574685258094</v>
      </c>
      <c r="E57" s="9" t="n">
        <v>-1924.596809743913</v>
      </c>
      <c r="F57" s="9" t="n">
        <v>-2059.541906706937</v>
      </c>
    </row>
    <row r="58">
      <c r="A58" s="11" t="inlineStr">
        <is>
          <t>RETAINED WEDGE (= D&amp;A less capex)</t>
        </is>
      </c>
      <c r="B58" s="9" t="n">
        <v>116.1900723186341</v>
      </c>
      <c r="C58" s="9" t="n">
        <v>114.3033213777987</v>
      </c>
      <c r="D58" s="9" t="n">
        <v>112.3968978384844</v>
      </c>
      <c r="E58" s="9" t="n">
        <v>110.5062881015774</v>
      </c>
      <c r="F58" s="9" t="n">
        <v>108.6580455038415</v>
      </c>
    </row>
    <row r="59">
      <c r="A59" t="inlineStr">
        <is>
          <t>less: RTA instalment</t>
        </is>
      </c>
      <c r="B59" s="9" t="n">
        <v>-455.7</v>
      </c>
      <c r="C59" s="9" t="n">
        <v>-455.7</v>
      </c>
      <c r="D59" s="9" t="n">
        <v>-455.7</v>
      </c>
      <c r="E59" s="9" t="n">
        <v>-455.7</v>
      </c>
      <c r="F59" s="9" t="n">
        <v>-455.7</v>
      </c>
    </row>
    <row r="60">
      <c r="A60" s="11" t="inlineStr">
        <is>
          <t>CASH SURPLUS / (DEFICIT)</t>
        </is>
      </c>
      <c r="B60" s="43" t="n">
        <v>-339.5099276813659</v>
      </c>
      <c r="C60" s="43" t="n">
        <v>-341.3966786222013</v>
      </c>
      <c r="D60" s="43" t="n">
        <v>-343.3031021615156</v>
      </c>
      <c r="E60" s="43" t="n">
        <v>-345.1937118984226</v>
      </c>
      <c r="F60" s="43" t="n">
        <v>-347.0419544961584</v>
      </c>
    </row>
    <row r="61">
      <c r="A61" t="inlineStr">
        <is>
          <t>Payout that would SELF-FUND the instalments</t>
        </is>
      </c>
      <c r="B61" s="13" t="n">
        <v>0.7779528136449768</v>
      </c>
    </row>
    <row r="62">
      <c r="A62" t="inlineStr">
        <is>
          <t>... DPS at that payout</t>
        </is>
      </c>
      <c r="B62" s="44" t="n">
        <v>0.1585985440516983</v>
      </c>
    </row>
    <row r="63">
      <c r="A63" t="inlineStr">
        <is>
          <t>... and the DDM value</t>
        </is>
      </c>
      <c r="B63" s="45" t="n">
        <v>2.759307669966201</v>
      </c>
    </row>
    <row r="64">
      <c r="A64" s="19" t="inlineStr">
        <is>
          <t>With a 100% payout the retained wedge is ALWAYS D&amp;A - capex, at ANY profit level. So the</t>
        </is>
      </c>
    </row>
    <row r="65">
      <c r="A65" s="19" t="inlineStr">
        <is>
          <t>AED ~340mn/yr gap is STRUCTURAL until Nov-2030, funded off the balance sheet.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0" customHeight="1">
      <c r="A1" s="1" t="inlineStr">
        <is>
          <t>REVENUE BUILD — and what ACTUALLY drove FY2025's +35.1%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4" t="inlineStr">
        <is>
          <t>THE FY2025 TOLL-REVENUE BRIDGE — 88% of the growth cannot repeat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11" t="inlineStr">
        <is>
          <t>Component</t>
        </is>
      </c>
      <c r="B4" s="11" t="inlineStr">
        <is>
          <t>AED mn</t>
        </is>
      </c>
      <c r="C4" s="11" t="inlineStr">
        <is>
          <t>Share of growth</t>
        </is>
      </c>
      <c r="D4" s="11" t="inlineStr">
        <is>
          <t>Can it repeat?</t>
        </is>
      </c>
    </row>
    <row r="5">
      <c r="A5" t="inlineStr">
        <is>
          <t>FY2024 toll revenue (8 gates, flat AED 4.000)</t>
        </is>
      </c>
      <c r="B5" s="28" t="n">
        <v>1992.5</v>
      </c>
      <c r="D5" t="inlineStr"/>
    </row>
    <row r="6">
      <c r="A6" t="inlineStr">
        <is>
          <t>+ organic trip growth (30.0mn x AED 4.000)</t>
        </is>
      </c>
      <c r="B6" s="28" t="n">
        <v>120.0060228869705</v>
      </c>
      <c r="C6" s="13" t="n">
        <v>0.1627200310331803</v>
      </c>
      <c r="D6" t="inlineStr">
        <is>
          <t>YES - this is the real business</t>
        </is>
      </c>
    </row>
    <row r="7">
      <c r="A7" t="inlineStr">
        <is>
          <t>+ TWO NEW GATES (111.0mn x AED 4.000)</t>
        </is>
      </c>
      <c r="B7" s="28" t="n">
        <v>444.0222846817908</v>
      </c>
      <c r="C7" s="13" t="n">
        <v>0.6020641148227672</v>
      </c>
      <c r="D7" t="inlineStr">
        <is>
          <t>NO - the gate count went 8-&gt;10 once</t>
        </is>
      </c>
    </row>
    <row r="8">
      <c r="A8" t="inlineStr">
        <is>
          <t>+ VARIABLE PRICING (639.1mn x AED +0.272)</t>
        </is>
      </c>
      <c r="B8" s="28" t="n">
        <v>173.4716924312383</v>
      </c>
      <c r="C8" s="13" t="n">
        <v>0.235215854144052</v>
      </c>
      <c r="D8" t="inlineStr">
        <is>
          <t>NO - the tariff went flat-&gt;variable once</t>
        </is>
      </c>
    </row>
    <row r="9">
      <c r="A9" t="inlineStr">
        <is>
          <t>FY2025 toll revenue (REBUILT)</t>
        </is>
      </c>
      <c r="B9" s="28" t="n">
        <v>2730</v>
      </c>
      <c r="D9" t="inlineStr"/>
    </row>
    <row r="10">
      <c r="A10" s="32" t="inlineStr">
        <is>
          <t>FY2025 toll revenue (REPORTED)</t>
        </is>
      </c>
      <c r="B10" s="46" t="n">
        <v>2730</v>
      </c>
      <c r="C10" s="40">
        <f>B9/B10-1</f>
        <v/>
      </c>
      <c r="D10" s="32" t="inlineStr">
        <is>
          <t>rebuild error -&gt;</t>
        </is>
      </c>
    </row>
    <row r="11">
      <c r="A11" s="11" t="inlineStr">
        <is>
          <t>ONE-OFF SHARE OF THE GROWTH (new gates + variable pricing)</t>
        </is>
      </c>
      <c r="C11" s="41">
        <f>(B7+B8)/(B10-B5)</f>
        <v/>
      </c>
    </row>
    <row r="12">
      <c r="A12" s="11" t="inlineStr">
        <is>
          <t>ORGANIC SHARE OF THE GROWTH</t>
        </is>
      </c>
      <c r="C12" s="13">
        <f>B6/(B10-B5)</f>
        <v/>
      </c>
    </row>
    <row r="13">
      <c r="A13" s="19" t="inlineStr">
        <is>
          <t>Anyone extrapolating 35% growth from FY2025 is extrapolating an artefact.</t>
        </is>
      </c>
    </row>
    <row r="15">
      <c r="A15" s="4" t="inlineStr">
        <is>
          <t>THE ELASTICITY TEST — variable pricing raised the price 6.8%. What did it cost?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11" t="inlineStr"/>
      <c r="B16" s="11" t="inlineStr">
        <is>
          <t>FY2024</t>
        </is>
      </c>
      <c r="C16" s="11" t="inlineStr">
        <is>
          <t>FY2025 (ex-new-gates)</t>
        </is>
      </c>
      <c r="D16" s="11" t="inlineStr">
        <is>
          <t>Change</t>
        </is>
      </c>
    </row>
    <row r="17">
      <c r="A17" t="inlineStr">
        <is>
          <t>Chargeable trips on the SAME 8 gates, mn</t>
        </is>
      </c>
      <c r="B17" s="28" t="n">
        <v>498.1</v>
      </c>
      <c r="C17" s="28" t="n">
        <v>528.1</v>
      </c>
      <c r="D17" s="13">
        <f>C17/B17-1</f>
        <v/>
      </c>
    </row>
    <row r="18">
      <c r="A18" t="inlineStr">
        <is>
          <t>Effective realised toll, AED</t>
        </is>
      </c>
      <c r="B18" s="37" t="n">
        <v>4.000200762899016</v>
      </c>
      <c r="C18" s="37" t="n">
        <v>4.271631982475355</v>
      </c>
      <c r="D18" s="13">
        <f>C18/B18-1</f>
        <v/>
      </c>
    </row>
    <row r="19">
      <c r="A19" s="32" t="inlineStr">
        <is>
          <t>Implied demand response</t>
        </is>
      </c>
      <c r="B19" s="32" t="n"/>
      <c r="C19" s="32" t="n"/>
      <c r="D19" s="32" t="inlineStr">
        <is>
          <t>NONE</t>
        </is>
      </c>
    </row>
    <row r="20">
      <c r="A20" s="19" t="inlineStr">
        <is>
          <t>Price +6.8%, volume +4.4% on the SAME gates. ZERO demand destruction. Dubai's tolled</t>
        </is>
      </c>
    </row>
    <row r="21">
      <c r="A21" s="19" t="inlineStr">
        <is>
          <t>commute is price-INELASTIC — a tariff rise is nearly pure margin. The strongest bull fact.</t>
        </is>
      </c>
    </row>
    <row r="22">
      <c r="A22" s="19" t="inlineStr">
        <is>
          <t>It also explains the free 01:00-06:00 window: pricing did NOT reduce congestion, so the RTA</t>
        </is>
      </c>
    </row>
    <row r="23">
      <c r="A23" s="19" t="inlineStr">
        <is>
          <t>had to buy the reduction another way. The RTA's objective was never the revenue.</t>
        </is>
      </c>
    </row>
    <row r="25">
      <c r="A25" s="4" t="inlineStr">
        <is>
          <t>THE FORWARD REVENUE BUILD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11" t="inlineStr">
        <is>
          <t>AED mn unless stated</t>
        </is>
      </c>
      <c r="B26" s="11" t="inlineStr">
        <is>
          <t>FY2023</t>
        </is>
      </c>
      <c r="C26" s="11" t="inlineStr">
        <is>
          <t>FY2024</t>
        </is>
      </c>
      <c r="D26" s="11" t="inlineStr">
        <is>
          <t>FY2025</t>
        </is>
      </c>
      <c r="E26" s="11" t="inlineStr">
        <is>
          <t>FY2026E</t>
        </is>
      </c>
      <c r="F26" s="11" t="inlineStr">
        <is>
          <t>FY2027E</t>
        </is>
      </c>
      <c r="G26" s="11" t="inlineStr">
        <is>
          <t>FY2028E</t>
        </is>
      </c>
      <c r="H26" s="11" t="inlineStr">
        <is>
          <t>FY2029E</t>
        </is>
      </c>
      <c r="I26" s="11" t="inlineStr">
        <is>
          <t>FY2030E</t>
        </is>
      </c>
    </row>
    <row r="27">
      <c r="A27" t="inlineStr">
        <is>
          <t>Chargeable trips, mn</t>
        </is>
      </c>
      <c r="B27" s="28" t="n">
        <v>461.4</v>
      </c>
      <c r="C27" s="28" t="n">
        <v>498.1</v>
      </c>
      <c r="D27" s="28" t="n">
        <v>639.1</v>
      </c>
      <c r="E27" s="28" t="n">
        <v>595.135</v>
      </c>
      <c r="F27" s="28" t="n">
        <v>621.916075</v>
      </c>
      <c r="G27" s="28" t="n">
        <v>646.792718</v>
      </c>
      <c r="H27" s="28" t="n">
        <v>669.43046313</v>
      </c>
      <c r="I27" s="28" t="n">
        <v>689.5133770239</v>
      </c>
    </row>
    <row r="28">
      <c r="A28" t="inlineStr">
        <is>
          <t>Effective realised toll, AED/trip</t>
        </is>
      </c>
      <c r="B28" s="37" t="n">
        <v>4.000650195058518</v>
      </c>
      <c r="C28" s="37" t="n">
        <v>4.000200762899016</v>
      </c>
      <c r="D28" s="37" t="n">
        <v>4.271631982475355</v>
      </c>
      <c r="E28" s="37" t="n">
        <v>4.293067947838024</v>
      </c>
      <c r="F28" s="37" t="n">
        <v>4.357463967055594</v>
      </c>
      <c r="G28" s="37" t="n">
        <v>4.422825926561427</v>
      </c>
      <c r="H28" s="37" t="n">
        <v>4.489168315459848</v>
      </c>
      <c r="I28" s="37" t="n">
        <v>4.556505840191746</v>
      </c>
    </row>
    <row r="29">
      <c r="A29" t="inlineStr">
        <is>
          <t>Toll usage fees</t>
        </is>
      </c>
      <c r="B29" s="28" t="n">
        <v>1845.9</v>
      </c>
      <c r="C29" s="28" t="n">
        <v>1992.5</v>
      </c>
      <c r="D29" s="28" t="n">
        <v>2730</v>
      </c>
      <c r="E29" s="28" t="n">
        <v>2554.954993136582</v>
      </c>
      <c r="F29" s="28" t="n">
        <v>2709.976887345144</v>
      </c>
      <c r="G29" s="28" t="n">
        <v>2860.651602281534</v>
      </c>
      <c r="H29" s="28" t="n">
        <v>3005.186024486808</v>
      </c>
      <c r="I29" s="28" t="n">
        <v>3141.771729299734</v>
      </c>
    </row>
    <row r="30">
      <c r="A30" t="inlineStr">
        <is>
          <t>Fines (NO concession fee - 1.34x the EBITDA)</t>
        </is>
      </c>
      <c r="B30" s="28" t="n">
        <v>224.1</v>
      </c>
      <c r="C30" s="28" t="n">
        <v>236.1</v>
      </c>
      <c r="D30" s="28" t="n">
        <v>280.6</v>
      </c>
      <c r="E30" s="28" t="n">
        <v>276.737775</v>
      </c>
      <c r="F30" s="28" t="n">
        <v>289.190974875</v>
      </c>
      <c r="G30" s="28" t="n">
        <v>300.75861387</v>
      </c>
      <c r="H30" s="28" t="n">
        <v>311.28516535545</v>
      </c>
      <c r="I30" s="28" t="n">
        <v>320.6237203161135</v>
      </c>
    </row>
    <row r="31">
      <c r="A31" t="inlineStr">
        <is>
          <t>Tag activation fees</t>
        </is>
      </c>
      <c r="E31" s="28" t="n">
        <v>49.3</v>
      </c>
      <c r="F31" s="28" t="n">
        <v>51.8</v>
      </c>
      <c r="G31" s="28" t="n">
        <v>54.4</v>
      </c>
      <c r="H31" s="28" t="n">
        <v>57.1</v>
      </c>
      <c r="I31" s="28" t="n">
        <v>59.9</v>
      </c>
    </row>
    <row r="32">
      <c r="A32" t="inlineStr">
        <is>
          <t>Ancillary</t>
        </is>
      </c>
      <c r="E32" s="28" t="n">
        <v>44</v>
      </c>
      <c r="F32" s="28" t="n">
        <v>61.6</v>
      </c>
      <c r="G32" s="28" t="n">
        <v>86.2</v>
      </c>
      <c r="H32" s="28" t="n">
        <v>116.4</v>
      </c>
      <c r="I32" s="28" t="n">
        <v>151.3</v>
      </c>
    </row>
    <row r="33">
      <c r="A33" t="inlineStr">
        <is>
          <t>Other</t>
        </is>
      </c>
      <c r="B33" s="47">
        <f>B35-B29-B30</f>
        <v/>
      </c>
      <c r="C33" s="47">
        <f>C35-C29-C30</f>
        <v/>
      </c>
      <c r="D33" s="47">
        <f>D35-D29-D30</f>
        <v/>
      </c>
      <c r="E33" s="28" t="n">
        <v>56</v>
      </c>
      <c r="F33" s="28" t="n">
        <v>57.1</v>
      </c>
      <c r="G33" s="28" t="n">
        <v>58.3</v>
      </c>
      <c r="H33" s="28" t="n">
        <v>59.4</v>
      </c>
      <c r="I33" s="28" t="n">
        <v>60.6</v>
      </c>
    </row>
    <row r="34">
      <c r="A34" s="11" t="inlineStr">
        <is>
          <t>TOTAL REVENUE (build)</t>
        </is>
      </c>
      <c r="B34" s="42">
        <f>SUM(B29:B33)</f>
        <v/>
      </c>
      <c r="C34" s="42">
        <f>SUM(C29:C33)</f>
        <v/>
      </c>
      <c r="D34" s="42">
        <f>SUM(D29:D33)</f>
        <v/>
      </c>
      <c r="E34" s="42">
        <f>SUM(E29:E33)</f>
        <v/>
      </c>
      <c r="F34" s="42">
        <f>SUM(F29:F33)</f>
        <v/>
      </c>
      <c r="G34" s="42">
        <f>SUM(G29:G33)</f>
        <v/>
      </c>
      <c r="H34" s="42">
        <f>SUM(H29:H33)</f>
        <v/>
      </c>
      <c r="I34" s="42">
        <f>SUM(I29:I33)</f>
        <v/>
      </c>
    </row>
    <row r="35">
      <c r="A35" t="inlineStr">
        <is>
          <t>Reported / forecast revenue</t>
        </is>
      </c>
      <c r="B35" s="28" t="n">
        <v>2109</v>
      </c>
      <c r="C35" s="28" t="n">
        <v>2292</v>
      </c>
      <c r="D35" s="28" t="n">
        <v>3096.9</v>
      </c>
      <c r="E35" s="28" t="n">
        <v>2980.992768136583</v>
      </c>
      <c r="F35" s="28" t="n">
        <v>3169.667862220144</v>
      </c>
      <c r="G35" s="28" t="n">
        <v>3360.310216151534</v>
      </c>
      <c r="H35" s="28" t="n">
        <v>3549.371189842258</v>
      </c>
      <c r="I35" s="28" t="n">
        <v>3734.195449615847</v>
      </c>
    </row>
    <row r="36">
      <c r="A36" t="inlineStr">
        <is>
          <t>Delta (must be 0)</t>
        </is>
      </c>
      <c r="B36" s="48">
        <f>B35-B34</f>
        <v/>
      </c>
      <c r="C36" s="48">
        <f>C35-C34</f>
        <v/>
      </c>
      <c r="D36" s="48">
        <f>D35-D34</f>
        <v/>
      </c>
      <c r="E36" s="48">
        <f>E35-E34</f>
        <v/>
      </c>
      <c r="F36" s="48">
        <f>F35-F34</f>
        <v/>
      </c>
      <c r="G36" s="48">
        <f>G35-G34</f>
        <v/>
      </c>
      <c r="H36" s="48">
        <f>H35-H34</f>
        <v/>
      </c>
      <c r="I36" s="48">
        <f>I35-I34</f>
        <v/>
      </c>
    </row>
    <row r="37">
      <c r="A37" s="19" t="inlineStr">
        <is>
          <t>FY23-25 tag/ancillary are not separately disclosed; shown as a live residual (italic).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0" customHeight="1">
      <c r="A1" s="1" t="inlineStr">
        <is>
          <t>RELATIVE &amp; NORMALIZED — one earnings multiple, and a non-conflict year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4" t="inlineStr">
        <is>
          <t>WHY EV/EBITDA IS NOT USED AS A VALUE DRIVER HERE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22" t="inlineStr">
        <is>
          <t>The RTA bears 100% of Salik's road capex and maintenance. Salik converts ~90% of EBITDA to free cash flow.</t>
        </is>
      </c>
    </row>
    <row r="5">
      <c r="A5" s="22" t="inlineStr">
        <is>
          <t>A conventional toll road converts ~50-60%. An EV/EBITDA multiple drawn from that peer set would understate</t>
        </is>
      </c>
    </row>
    <row r="6">
      <c r="A6" s="22" t="inlineStr">
        <is>
          <t>Salik by construction. We DISCLOSE the multiple below; we do not value on it.</t>
        </is>
      </c>
    </row>
    <row r="8">
      <c r="A8" t="inlineStr">
        <is>
          <t>EV at spot, AED mn</t>
        </is>
      </c>
      <c r="B8" s="9" t="n">
        <v>46976.4</v>
      </c>
    </row>
    <row r="9">
      <c r="A9" t="inlineStr">
        <is>
          <t>EV / FY2026E EBITDA</t>
        </is>
      </c>
      <c r="B9" s="49" t="n">
        <v>22.60416587620984</v>
      </c>
    </row>
    <row r="10">
      <c r="A10" t="inlineStr">
        <is>
          <t>EV / FY2026E FCFF</t>
        </is>
      </c>
      <c r="B10" s="49" t="n">
        <v>25.06064147221045</v>
      </c>
    </row>
    <row r="11">
      <c r="A11" t="inlineStr">
        <is>
          <t>FCFF / EBITDA conversion</t>
        </is>
      </c>
      <c r="B11" s="13" t="n">
        <v>0.9019787422949818</v>
      </c>
    </row>
    <row r="13">
      <c r="A13" s="4" t="inlineStr">
        <is>
          <t>THE ONE MULTIPLE WE DO USE: P/E — and it IS the dividend yield (100% payout)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11" t="inlineStr"/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</row>
    <row r="15">
      <c r="A15" t="inlineStr">
        <is>
          <t>Peer P/E</t>
        </is>
      </c>
      <c r="B15" s="30" t="n">
        <v>20</v>
      </c>
      <c r="C15" s="30" t="n">
        <v>24</v>
      </c>
      <c r="D15" s="30" t="n">
        <v>28</v>
      </c>
    </row>
    <row r="16">
      <c r="A16" t="inlineStr">
        <is>
          <t>Implied dividend yield</t>
        </is>
      </c>
      <c r="B16" s="13">
        <f>1/B15</f>
        <v/>
      </c>
      <c r="C16" s="13">
        <f>1/C15</f>
        <v/>
      </c>
      <c r="D16" s="13">
        <f>1/D15</f>
        <v/>
      </c>
    </row>
    <row r="17">
      <c r="A17" t="inlineStr">
        <is>
          <t>FY2026E EPS = DPS, AED</t>
        </is>
      </c>
      <c r="B17" s="44" t="n">
        <v>0.2038665344092138</v>
      </c>
    </row>
    <row r="18">
      <c r="A18" s="11" t="inlineStr">
        <is>
          <t>Fair value, AED/share</t>
        </is>
      </c>
      <c r="B18" s="35">
        <f>B15*$B$17</f>
        <v/>
      </c>
      <c r="C18" s="35">
        <f>C15*$B$17</f>
        <v/>
      </c>
      <c r="D18" s="35">
        <f>D15*$B$17</f>
        <v/>
      </c>
    </row>
    <row r="20">
      <c r="A20" t="inlineStr">
        <is>
          <t>SALIK at spot — P/E on FY2025 actual</t>
        </is>
      </c>
      <c r="B20" s="49" t="n">
        <v>27.52027809965238</v>
      </c>
    </row>
    <row r="21">
      <c r="A21" t="inlineStr">
        <is>
          <t>SALIK at spot — P/E on our FY2026E</t>
        </is>
      </c>
      <c r="B21" s="49" t="n">
        <v>27.95946875988288</v>
      </c>
    </row>
    <row r="22">
      <c r="A22" t="inlineStr">
        <is>
          <t>SALIK trailing dividend yield (declared)</t>
        </is>
      </c>
      <c r="B22" s="13" t="n">
        <v>0.03885730994152047</v>
      </c>
    </row>
    <row r="23">
      <c r="A23" t="inlineStr">
        <is>
          <t>Parkin (DFM) — RTA 49-yr parking concession, ~100% payout</t>
        </is>
      </c>
      <c r="B23" s="49" t="n">
        <v>24.9</v>
      </c>
    </row>
    <row r="24">
      <c r="A24" t="inlineStr">
        <is>
          <t>Parkin dividend yield</t>
        </is>
      </c>
      <c r="B24" s="13" t="n">
        <v>0.042</v>
      </c>
    </row>
    <row r="25">
      <c r="A25" s="19" t="inlineStr">
        <is>
          <t>Parkin figures as at Apr-2026 (investing.com quoting the company). Flagged as ~3 months stale.</t>
        </is>
      </c>
    </row>
    <row r="27">
      <c r="A27" s="4" t="inlineStr">
        <is>
          <t>NORMALIZED EARNINGS POWER — what does a NON-conflict year earn?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t="inlineStr">
        <is>
          <t>Chargeable trips, mn (FY25 +2% underlying)</t>
        </is>
      </c>
      <c r="B28" s="28" t="n">
        <v>651.8820000000001</v>
      </c>
    </row>
    <row r="29">
      <c r="A29" t="inlineStr">
        <is>
          <t>Revenue, AED mn</t>
        </is>
      </c>
      <c r="B29" s="28" t="n">
        <v>3254.258259972547</v>
      </c>
    </row>
    <row r="30">
      <c r="A30" t="inlineStr">
        <is>
          <t>EBITDA, AED mn</t>
        </is>
      </c>
      <c r="B30" s="28" t="n">
        <v>2266.610764381744</v>
      </c>
    </row>
    <row r="31">
      <c r="A31" t="inlineStr">
        <is>
          <t>EBITDA margin</t>
        </is>
      </c>
      <c r="B31" s="13" t="n">
        <v>0.6965061108582282</v>
      </c>
    </row>
    <row r="32">
      <c r="A32" t="inlineStr">
        <is>
          <t>Net profit, AED mn</t>
        </is>
      </c>
      <c r="B32" s="28" t="n">
        <v>1700.435795587387</v>
      </c>
    </row>
    <row r="33">
      <c r="A33" t="inlineStr">
        <is>
          <t>Normalized EPS = DPS, AED</t>
        </is>
      </c>
      <c r="B33" s="44" t="n">
        <v>0.2267247727449849</v>
      </c>
    </row>
    <row r="34">
      <c r="A34" t="inlineStr">
        <is>
          <t>vs our FY2026E net profit</t>
        </is>
      </c>
      <c r="B34" s="13" t="n">
        <v>0.1121235439745527</v>
      </c>
    </row>
    <row r="35">
      <c r="A35" t="inlineStr">
        <is>
          <t>P/E applied (mid of the band)</t>
        </is>
      </c>
      <c r="B35" s="49" t="n">
        <v>24</v>
      </c>
    </row>
    <row r="36">
      <c r="A36" t="inlineStr">
        <is>
          <t>Fair value, AED/share</t>
        </is>
      </c>
      <c r="B36" s="21" t="n">
        <v>5.441394545879637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</cols>
  <sheetData>
    <row r="1" ht="20" customHeight="1">
      <c r="A1" s="1" t="inlineStr">
        <is>
          <t>DCF — the FULL FCFF waterfall, no step skipped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11" t="inlineStr">
        <is>
          <t>AED mn</t>
        </is>
      </c>
      <c r="B3" s="11" t="n">
        <v>2026</v>
      </c>
      <c r="C3" s="11" t="n">
        <v>2027</v>
      </c>
      <c r="D3" s="11" t="n">
        <v>2028</v>
      </c>
      <c r="E3" s="11" t="n">
        <v>2029</v>
      </c>
      <c r="F3" s="11" t="n">
        <v>2030</v>
      </c>
    </row>
    <row r="4">
      <c r="A4" t="inlineStr">
        <is>
          <t>Revenue</t>
        </is>
      </c>
      <c r="B4" s="28" t="n">
        <v>2980.992768136583</v>
      </c>
      <c r="C4" s="28" t="n">
        <v>3169.667862220144</v>
      </c>
      <c r="D4" s="28" t="n">
        <v>3360.310216151534</v>
      </c>
      <c r="E4" s="28" t="n">
        <v>3549.371189842258</v>
      </c>
      <c r="F4" s="28" t="n">
        <v>3734.195449615847</v>
      </c>
    </row>
    <row r="5">
      <c r="A5" t="inlineStr">
        <is>
          <t>less: concession fee (22.5% of TOLL revenue)</t>
        </is>
      </c>
      <c r="B5" s="28" t="n">
        <v>-574.8648734557311</v>
      </c>
      <c r="C5" s="28" t="n">
        <v>-609.7447996526574</v>
      </c>
      <c r="D5" s="28" t="n">
        <v>-643.6466105133452</v>
      </c>
      <c r="E5" s="28" t="n">
        <v>-676.1668555095318</v>
      </c>
      <c r="F5" s="28" t="n">
        <v>-706.89863909244</v>
      </c>
    </row>
    <row r="6">
      <c r="A6" t="inlineStr">
        <is>
          <t>less: other opex</t>
        </is>
      </c>
      <c r="B6" s="28" t="n">
        <v>-327.9092044950241</v>
      </c>
      <c r="C6" s="28" t="n">
        <v>-345.4937969819957</v>
      </c>
      <c r="D6" s="28" t="n">
        <v>-362.9135033443657</v>
      </c>
      <c r="E6" s="28" t="n">
        <v>-379.7827173131216</v>
      </c>
      <c r="F6" s="28" t="n">
        <v>-392.090522209664</v>
      </c>
    </row>
    <row r="7">
      <c r="A7" s="11" t="inlineStr">
        <is>
          <t>EBITDA</t>
        </is>
      </c>
      <c r="B7" s="50" t="n">
        <v>2078.218690185828</v>
      </c>
      <c r="C7" s="50" t="n">
        <v>2214.429265585491</v>
      </c>
      <c r="D7" s="50" t="n">
        <v>2353.750102293823</v>
      </c>
      <c r="E7" s="50" t="n">
        <v>2493.421617019604</v>
      </c>
      <c r="F7" s="50" t="n">
        <v>2635.206288313743</v>
      </c>
    </row>
    <row r="8">
      <c r="A8" t="inlineStr">
        <is>
          <t xml:space="preserve">  EBITDA margin</t>
        </is>
      </c>
      <c r="B8" s="13" t="n">
        <v>0.6971565689120814</v>
      </c>
      <c r="C8" s="13" t="n">
        <v>0.6986313272692327</v>
      </c>
      <c r="D8" s="13" t="n">
        <v>0.700456193294411</v>
      </c>
      <c r="E8" s="13" t="n">
        <v>0.7024967194626993</v>
      </c>
      <c r="F8" s="13" t="n">
        <v>0.7056958651119448</v>
      </c>
    </row>
    <row r="9">
      <c r="A9" t="inlineStr">
        <is>
          <t>less: D&amp;A</t>
        </is>
      </c>
      <c r="B9" s="28" t="n">
        <v>-146</v>
      </c>
      <c r="C9" s="28" t="n">
        <v>-146</v>
      </c>
      <c r="D9" s="28" t="n">
        <v>-146</v>
      </c>
      <c r="E9" s="28" t="n">
        <v>-146</v>
      </c>
      <c r="F9" s="28" t="n">
        <v>-146</v>
      </c>
    </row>
    <row r="10">
      <c r="A10" s="11" t="inlineStr">
        <is>
          <t>EBIT</t>
        </is>
      </c>
      <c r="B10" s="50" t="n">
        <v>1932.218690185828</v>
      </c>
      <c r="C10" s="50" t="n">
        <v>2068.429265585491</v>
      </c>
      <c r="D10" s="50" t="n">
        <v>2207.750102293823</v>
      </c>
      <c r="E10" s="50" t="n">
        <v>2347.421617019604</v>
      </c>
      <c r="F10" s="50" t="n">
        <v>2489.206288313743</v>
      </c>
    </row>
    <row r="11">
      <c r="A11" t="inlineStr">
        <is>
          <t>less: tax @ 9%</t>
        </is>
      </c>
      <c r="B11" s="28" t="n">
        <v>-173.8996821167245</v>
      </c>
      <c r="C11" s="28" t="n">
        <v>-186.1586339026941</v>
      </c>
      <c r="D11" s="28" t="n">
        <v>-198.697509206444</v>
      </c>
      <c r="E11" s="28" t="n">
        <v>-211.2679455317644</v>
      </c>
      <c r="F11" s="28" t="n">
        <v>-224.0285659482369</v>
      </c>
    </row>
    <row r="12">
      <c r="A12" s="11" t="inlineStr">
        <is>
          <t>NOPAT</t>
        </is>
      </c>
      <c r="B12" s="50" t="n">
        <v>1758.319008069103</v>
      </c>
      <c r="C12" s="50" t="n">
        <v>1882.270631682796</v>
      </c>
      <c r="D12" s="50" t="n">
        <v>2009.052593087379</v>
      </c>
      <c r="E12" s="50" t="n">
        <v>2136.15367148784</v>
      </c>
      <c r="F12" s="50" t="n">
        <v>2265.177722365506</v>
      </c>
    </row>
    <row r="13">
      <c r="A13" t="inlineStr">
        <is>
          <t>add back: D&amp;A</t>
        </is>
      </c>
      <c r="B13" s="28" t="n">
        <v>146</v>
      </c>
      <c r="C13" s="28" t="n">
        <v>146</v>
      </c>
      <c r="D13" s="28" t="n">
        <v>146</v>
      </c>
      <c r="E13" s="28" t="n">
        <v>146</v>
      </c>
      <c r="F13" s="28" t="n">
        <v>146</v>
      </c>
    </row>
    <row r="14">
      <c r="A14" t="inlineStr">
        <is>
          <t>less: capex</t>
        </is>
      </c>
      <c r="B14" s="28" t="n">
        <v>-29.80992768136582</v>
      </c>
      <c r="C14" s="28" t="n">
        <v>-31.69667862220144</v>
      </c>
      <c r="D14" s="28" t="n">
        <v>-33.60310216151534</v>
      </c>
      <c r="E14" s="28" t="n">
        <v>-35.49371189842258</v>
      </c>
      <c r="F14" s="28" t="n">
        <v>-37.34195449615847</v>
      </c>
    </row>
    <row r="15">
      <c r="A15" t="inlineStr">
        <is>
          <t>less: change in working capital</t>
        </is>
      </c>
      <c r="B15" s="28" t="n">
        <v>-0</v>
      </c>
      <c r="C15" s="28" t="n">
        <v>-0</v>
      </c>
      <c r="D15" s="28" t="n">
        <v>-0</v>
      </c>
      <c r="E15" s="28" t="n">
        <v>-0</v>
      </c>
      <c r="F15" s="28" t="n">
        <v>-0</v>
      </c>
    </row>
    <row r="16">
      <c r="A16" s="11" t="inlineStr">
        <is>
          <t>FCFF</t>
        </is>
      </c>
      <c r="B16" s="50" t="n">
        <v>1874.509080387737</v>
      </c>
      <c r="C16" s="50" t="n">
        <v>1996.573953060595</v>
      </c>
      <c r="D16" s="50" t="n">
        <v>2121.449490925863</v>
      </c>
      <c r="E16" s="50" t="n">
        <v>2246.659959589417</v>
      </c>
      <c r="F16" s="50" t="n">
        <v>2373.835767869348</v>
      </c>
    </row>
    <row r="17">
      <c r="A17" t="inlineStr">
        <is>
          <t>Discount factor @ WACC</t>
        </is>
      </c>
      <c r="B17" s="44">
        <f>1/(1+Assumptions!$B$27)^1</f>
        <v/>
      </c>
      <c r="C17" s="44">
        <f>1/(1+Assumptions!$B$27)^2</f>
        <v/>
      </c>
      <c r="D17" s="44">
        <f>1/(1+Assumptions!$B$27)^3</f>
        <v/>
      </c>
      <c r="E17" s="44">
        <f>1/(1+Assumptions!$B$27)^4</f>
        <v/>
      </c>
      <c r="F17" s="44">
        <f>1/(1+Assumptions!$B$27)^5</f>
        <v/>
      </c>
    </row>
    <row r="18">
      <c r="A18" s="11" t="inlineStr">
        <is>
          <t>PV of FCFF</t>
        </is>
      </c>
      <c r="B18" s="50">
        <f>B16*B17</f>
        <v/>
      </c>
      <c r="C18" s="50">
        <f>C16*C17</f>
        <v/>
      </c>
      <c r="D18" s="50">
        <f>D16*D17</f>
        <v/>
      </c>
      <c r="E18" s="50">
        <f>E16*E17</f>
        <v/>
      </c>
      <c r="F18" s="50">
        <f>F16*F17</f>
        <v/>
      </c>
    </row>
    <row r="19">
      <c r="A19" s="11" t="inlineStr">
        <is>
          <t>Sum of PV(FCFF), FY26-30</t>
        </is>
      </c>
      <c r="B19" s="28">
        <f>SUM(B18:F18)</f>
        <v/>
      </c>
    </row>
    <row r="20">
      <c r="A20" t="inlineStr">
        <is>
          <t>Terminal value = FCFF(2030) x (1+g) / (WACC - g)</t>
        </is>
      </c>
      <c r="B20" s="28">
        <f>F16*(1+Assumptions!$B$20)/(Assumptions!$B$27-Assumptions!$B$20)</f>
        <v/>
      </c>
    </row>
    <row r="21">
      <c r="A21" t="inlineStr">
        <is>
          <t>PV of terminal value</t>
        </is>
      </c>
      <c r="B21" s="28">
        <f>B20*F17</f>
        <v/>
      </c>
    </row>
    <row r="22">
      <c r="A22" t="inlineStr">
        <is>
          <t>Terminal value as % of EV</t>
        </is>
      </c>
      <c r="B22" s="13">
        <f>B21/B23</f>
        <v/>
      </c>
    </row>
    <row r="23">
      <c r="A23" s="11" t="inlineStr">
        <is>
          <t>ENTERPRISE VALUE</t>
        </is>
      </c>
      <c r="B23" s="51">
        <f>B19+B21</f>
        <v/>
      </c>
    </row>
    <row r="24">
      <c r="A24" t="inlineStr">
        <is>
          <t>less: net debt (Q1-2026 reported)</t>
        </is>
      </c>
      <c r="B24" s="28" t="n">
        <v>-4226.4</v>
      </c>
    </row>
    <row r="25">
      <c r="A25" s="11" t="inlineStr">
        <is>
          <t>EQUITY VALUE</t>
        </is>
      </c>
      <c r="B25" s="28">
        <f>B23+B24</f>
        <v/>
      </c>
    </row>
    <row r="26">
      <c r="A26" t="inlineStr">
        <is>
          <t>Shares outstanding, mn</t>
        </is>
      </c>
      <c r="B26" s="9" t="n">
        <v>7500</v>
      </c>
    </row>
    <row r="27">
      <c r="A27" s="11" t="inlineStr">
        <is>
          <t>FAIR VALUE, AED / SHARE</t>
        </is>
      </c>
      <c r="B27" s="52">
        <f>B25/B26</f>
        <v/>
      </c>
    </row>
    <row r="28">
      <c r="A28" t="inlineStr">
        <is>
          <t>Spot</t>
        </is>
      </c>
      <c r="B28" s="45" t="n">
        <v>5.7</v>
      </c>
    </row>
    <row r="29">
      <c r="A29" t="inlineStr">
        <is>
          <t>vs spot</t>
        </is>
      </c>
      <c r="B29" s="13">
        <f>B27/B28-1</f>
        <v/>
      </c>
    </row>
    <row r="31">
      <c r="A31" t="inlineStr">
        <is>
          <t>Bear case (see Sensitivity for the drivers)</t>
        </is>
      </c>
      <c r="B31" s="45" t="n">
        <v>2.860313429953388</v>
      </c>
    </row>
    <row r="32">
      <c r="A32" t="inlineStr">
        <is>
          <t>Bull case</t>
        </is>
      </c>
      <c r="B32" s="45" t="n">
        <v>8.154532733849404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0" customHeight="1">
      <c r="A1" s="1" t="inlineStr">
        <is>
          <t>INCOME STATEMENT — 3 historical (company-sourced) + 5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>
      <c r="A3" s="11" t="inlineStr">
        <is>
          <t>AED mn</t>
        </is>
      </c>
      <c r="B3" s="11" t="inlineStr">
        <is>
          <t>FY2023</t>
        </is>
      </c>
      <c r="C3" s="11" t="inlineStr">
        <is>
          <t>FY2024</t>
        </is>
      </c>
      <c r="D3" s="11" t="inlineStr">
        <is>
          <t>FY2025</t>
        </is>
      </c>
      <c r="E3" s="11" t="inlineStr">
        <is>
          <t>FY2026E</t>
        </is>
      </c>
      <c r="F3" s="11" t="inlineStr">
        <is>
          <t>FY2027E</t>
        </is>
      </c>
      <c r="G3" s="11" t="inlineStr">
        <is>
          <t>FY2028E</t>
        </is>
      </c>
      <c r="H3" s="11" t="inlineStr">
        <is>
          <t>FY2029E</t>
        </is>
      </c>
      <c r="I3" s="11" t="inlineStr">
        <is>
          <t>FY2030E</t>
        </is>
      </c>
    </row>
    <row r="4">
      <c r="A4" s="11" t="inlineStr">
        <is>
          <t>Revenue</t>
        </is>
      </c>
      <c r="B4" s="42" t="n">
        <v>2109</v>
      </c>
      <c r="C4" s="42" t="n">
        <v>2292</v>
      </c>
      <c r="D4" s="42" t="n">
        <v>3096.9</v>
      </c>
      <c r="E4" s="42" t="n">
        <v>2980.992768136583</v>
      </c>
      <c r="F4" s="42" t="n">
        <v>3169.667862220144</v>
      </c>
      <c r="G4" s="42" t="n">
        <v>3360.310216151534</v>
      </c>
      <c r="H4" s="42" t="n">
        <v>3549.371189842258</v>
      </c>
      <c r="I4" s="42" t="n">
        <v>3734.195449615847</v>
      </c>
    </row>
    <row r="5">
      <c r="A5" t="inlineStr">
        <is>
          <t>Concession fee to RTA</t>
        </is>
      </c>
      <c r="B5" s="28" t="n">
        <v>-461.2</v>
      </c>
      <c r="C5" s="28" t="n">
        <v>-460.6</v>
      </c>
      <c r="D5" s="28" t="n">
        <v>-614.3</v>
      </c>
      <c r="E5" s="28" t="n">
        <v>-574.8648734557311</v>
      </c>
      <c r="F5" s="28" t="n">
        <v>-609.7447996526574</v>
      </c>
      <c r="G5" s="28" t="n">
        <v>-643.6466105133452</v>
      </c>
      <c r="H5" s="28" t="n">
        <v>-676.1668555095318</v>
      </c>
      <c r="I5" s="28" t="n">
        <v>-706.89863909244</v>
      </c>
    </row>
    <row r="6">
      <c r="A6" t="inlineStr">
        <is>
          <t>Other operating costs</t>
        </is>
      </c>
      <c r="B6" s="28" t="n">
        <v>-257.7000000000001</v>
      </c>
      <c r="C6" s="28" t="n">
        <v>-252.3000000000001</v>
      </c>
      <c r="D6" s="28" t="n">
        <v>-338.7</v>
      </c>
      <c r="E6" s="28" t="n">
        <v>-327.9092044950241</v>
      </c>
      <c r="F6" s="28" t="n">
        <v>-345.4937969819957</v>
      </c>
      <c r="G6" s="28" t="n">
        <v>-362.9135033443657</v>
      </c>
      <c r="H6" s="28" t="n">
        <v>-379.7827173131216</v>
      </c>
      <c r="I6" s="28" t="n">
        <v>-392.090522209664</v>
      </c>
    </row>
    <row r="7">
      <c r="A7" s="11" t="inlineStr">
        <is>
          <t>EBITDA</t>
        </is>
      </c>
      <c r="B7" s="42" t="n">
        <v>1390.1</v>
      </c>
      <c r="C7" s="42" t="n">
        <v>1579.1</v>
      </c>
      <c r="D7" s="42" t="n">
        <v>2143.9</v>
      </c>
      <c r="E7" s="42" t="n">
        <v>2078.218690185828</v>
      </c>
      <c r="F7" s="42" t="n">
        <v>2214.429265585491</v>
      </c>
      <c r="G7" s="42" t="n">
        <v>2353.750102293823</v>
      </c>
      <c r="H7" s="42" t="n">
        <v>2493.421617019604</v>
      </c>
      <c r="I7" s="42" t="n">
        <v>2635.206288313743</v>
      </c>
    </row>
    <row r="8">
      <c r="A8" t="inlineStr">
        <is>
          <t xml:space="preserve">  EBITDA margin</t>
        </is>
      </c>
      <c r="B8" s="13" t="n">
        <v>0.6591275486012328</v>
      </c>
      <c r="C8" s="13" t="n">
        <v>0.6889616055846421</v>
      </c>
      <c r="D8" s="13" t="n">
        <v>0.6922729180793697</v>
      </c>
      <c r="E8" s="13" t="n">
        <v>0.6971565689120814</v>
      </c>
      <c r="F8" s="13" t="n">
        <v>0.6986313272692327</v>
      </c>
      <c r="G8" s="13" t="n">
        <v>0.700456193294411</v>
      </c>
      <c r="H8" s="13" t="n">
        <v>0.7024967194626993</v>
      </c>
      <c r="I8" s="13" t="n">
        <v>0.7056958651119448</v>
      </c>
    </row>
    <row r="9">
      <c r="A9" t="inlineStr">
        <is>
          <t>D&amp;A</t>
        </is>
      </c>
      <c r="B9" s="28" t="n">
        <v>-146</v>
      </c>
      <c r="C9" s="28" t="n">
        <v>-146</v>
      </c>
      <c r="D9" s="28" t="n">
        <v>-146</v>
      </c>
      <c r="E9" s="28" t="n">
        <v>-146</v>
      </c>
      <c r="F9" s="28" t="n">
        <v>-146</v>
      </c>
      <c r="G9" s="28" t="n">
        <v>-146</v>
      </c>
      <c r="H9" s="28" t="n">
        <v>-146</v>
      </c>
      <c r="I9" s="28" t="n">
        <v>-146</v>
      </c>
    </row>
    <row r="10">
      <c r="A10" s="11" t="inlineStr">
        <is>
          <t>EBIT</t>
        </is>
      </c>
      <c r="B10" s="42" t="n">
        <v>1244.1</v>
      </c>
      <c r="C10" s="42" t="n">
        <v>1433.1</v>
      </c>
      <c r="D10" s="42" t="n">
        <v>1997.9</v>
      </c>
      <c r="E10" s="42" t="n">
        <v>1932.218690185828</v>
      </c>
      <c r="F10" s="42" t="n">
        <v>2068.429265585491</v>
      </c>
      <c r="G10" s="42" t="n">
        <v>2207.750102293823</v>
      </c>
      <c r="H10" s="42" t="n">
        <v>2347.421617019604</v>
      </c>
      <c r="I10" s="42" t="n">
        <v>2489.206288313743</v>
      </c>
    </row>
    <row r="11">
      <c r="A11" t="inlineStr">
        <is>
          <t>Net finance costs</t>
        </is>
      </c>
      <c r="D11" s="28" t="n">
        <v>-290.9</v>
      </c>
      <c r="E11" s="28" t="n">
        <v>-252</v>
      </c>
      <c r="F11" s="28" t="n">
        <v>-245.4933559501565</v>
      </c>
      <c r="G11" s="28" t="n">
        <v>-238.986711900313</v>
      </c>
      <c r="H11" s="28" t="n">
        <v>-232.4800678504695</v>
      </c>
      <c r="I11" s="28" t="n">
        <v>-225.9734238006259</v>
      </c>
    </row>
    <row r="12">
      <c r="A12" s="11" t="inlineStr">
        <is>
          <t>Profit before tax</t>
        </is>
      </c>
      <c r="C12" s="42" t="n">
        <v>1279.7</v>
      </c>
      <c r="D12" s="42" t="n">
        <v>1707</v>
      </c>
      <c r="E12" s="42" t="n">
        <v>1680.218690185828</v>
      </c>
      <c r="F12" s="42" t="n">
        <v>1822.935909635334</v>
      </c>
      <c r="G12" s="42" t="n">
        <v>1968.76339039351</v>
      </c>
      <c r="H12" s="42" t="n">
        <v>2114.941549169135</v>
      </c>
      <c r="I12" s="42" t="n">
        <v>2263.232864513117</v>
      </c>
    </row>
    <row r="13">
      <c r="A13" t="inlineStr">
        <is>
          <t>Tax (UAE CT, 9% from 2024)</t>
        </is>
      </c>
      <c r="B13" s="28" t="n">
        <v>0</v>
      </c>
      <c r="C13" s="28" t="n">
        <v>-115.2</v>
      </c>
      <c r="D13" s="28" t="n">
        <v>-153.6</v>
      </c>
      <c r="E13" s="28" t="n">
        <v>-151.2196821167245</v>
      </c>
      <c r="F13" s="28" t="n">
        <v>-164.0642318671801</v>
      </c>
      <c r="G13" s="28" t="n">
        <v>-177.1887051354159</v>
      </c>
      <c r="H13" s="28" t="n">
        <v>-190.3447394252221</v>
      </c>
      <c r="I13" s="28" t="n">
        <v>-203.6909578061806</v>
      </c>
    </row>
    <row r="14">
      <c r="A14" s="11" t="inlineStr">
        <is>
          <t>NET PROFIT</t>
        </is>
      </c>
      <c r="B14" s="42" t="n">
        <v>1098</v>
      </c>
      <c r="C14" s="42" t="n">
        <v>1164.5</v>
      </c>
      <c r="D14" s="42" t="n">
        <v>1553.4</v>
      </c>
      <c r="E14" s="42" t="n">
        <v>1528.999008069103</v>
      </c>
      <c r="F14" s="42" t="n">
        <v>1658.871677768154</v>
      </c>
      <c r="G14" s="42" t="n">
        <v>1791.574685258094</v>
      </c>
      <c r="H14" s="42" t="n">
        <v>1924.596809743913</v>
      </c>
      <c r="I14" s="42" t="n">
        <v>2059.541906706937</v>
      </c>
    </row>
    <row r="15">
      <c r="A15" t="inlineStr">
        <is>
          <t xml:space="preserve">  net margin</t>
        </is>
      </c>
      <c r="B15" s="13" t="n">
        <v>0.5206258890469416</v>
      </c>
      <c r="C15" s="13" t="n">
        <v>0.5080715532286213</v>
      </c>
      <c r="D15" s="13" t="n">
        <v>0.5015983725661145</v>
      </c>
      <c r="E15" s="13" t="n">
        <v>0.5129160407272239</v>
      </c>
      <c r="F15" s="13" t="n">
        <v>0.5233582034069095</v>
      </c>
      <c r="G15" s="13" t="n">
        <v>0.5331575271374596</v>
      </c>
      <c r="H15" s="13" t="n">
        <v>0.5422359924630611</v>
      </c>
      <c r="I15" s="13" t="n">
        <v>0.5515356479047745</v>
      </c>
    </row>
    <row r="16">
      <c r="A16" s="11" t="inlineStr">
        <is>
          <t>EPS, AED</t>
        </is>
      </c>
      <c r="B16" s="53" t="n">
        <v>0.1464</v>
      </c>
      <c r="C16" s="53" t="n">
        <v>0.1552666666666667</v>
      </c>
      <c r="D16" s="53" t="n">
        <v>0.20712</v>
      </c>
      <c r="E16" s="53" t="n">
        <v>0.2038665344092138</v>
      </c>
      <c r="F16" s="53" t="n">
        <v>0.2211828903690872</v>
      </c>
      <c r="G16" s="53" t="n">
        <v>0.2388766247010792</v>
      </c>
      <c r="H16" s="53" t="n">
        <v>0.256612907965855</v>
      </c>
      <c r="I16" s="53" t="n">
        <v>0.2746055875609249</v>
      </c>
    </row>
    <row r="17">
      <c r="A17" t="inlineStr">
        <is>
          <t>DPS, AED (100% payout)</t>
        </is>
      </c>
      <c r="B17" s="44" t="n">
        <v>0.1464</v>
      </c>
      <c r="C17" s="44" t="n">
        <v>0.1552666666666667</v>
      </c>
      <c r="D17" s="44" t="n">
        <v>0.2214866666666667</v>
      </c>
      <c r="E17" s="44" t="n">
        <v>0.2038665344092138</v>
      </c>
      <c r="F17" s="44" t="n">
        <v>0.2211828903690872</v>
      </c>
      <c r="G17" s="44" t="n">
        <v>0.2388766247010792</v>
      </c>
      <c r="H17" s="44" t="n">
        <v>0.256612907965855</v>
      </c>
      <c r="I17" s="44" t="n">
        <v>0.2746055875609249</v>
      </c>
    </row>
    <row r="19">
      <c r="A19" s="19" t="inlineStr">
        <is>
          <t>FY23/24 D&amp;A and FY23 net finance are DERIVED (EBITDA-EBIT-NPBT identity), not disclosed lines.</t>
        </is>
      </c>
    </row>
    <row r="20">
      <c r="A20" s="19" t="inlineStr">
        <is>
          <t>FY2025 DPS AED 0.2215 exceeds FY2025 EPS AED 0.2071: the H2 dividend covered 100% of H2 net</t>
        </is>
      </c>
    </row>
    <row r="21">
      <c r="A21" s="19" t="inlineStr">
        <is>
          <t>profit (AED 782.5mn) PLUS exceptional gains of AED 107.8mn. Both framings are stated.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20" customHeight="1">
      <c r="A1" s="1" t="inlineStr">
        <is>
          <t>BALANCE SHEET — sourced anchors, derived bridge (flagged)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11" t="inlineStr">
        <is>
          <t>AED mn</t>
        </is>
      </c>
      <c r="B3" s="11" t="inlineStr">
        <is>
          <t>FY2024</t>
        </is>
      </c>
      <c r="C3" s="11" t="inlineStr">
        <is>
          <t>FY2025</t>
        </is>
      </c>
      <c r="D3" s="11" t="inlineStr">
        <is>
          <t>Q1-2026</t>
        </is>
      </c>
    </row>
    <row r="4">
      <c r="A4" s="11" t="inlineStr">
        <is>
          <t>Total assets [SOURCED]</t>
        </is>
      </c>
      <c r="B4" s="28" t="n">
        <v>7980</v>
      </c>
      <c r="C4" s="28" t="n">
        <v>7870</v>
      </c>
    </row>
    <row r="5">
      <c r="A5" t="inlineStr">
        <is>
          <t xml:space="preserve">  of which: concession intangible, gross</t>
        </is>
      </c>
      <c r="B5" s="28" t="n">
        <v>6900</v>
      </c>
      <c r="C5" s="28" t="n">
        <v>6900</v>
      </c>
      <c r="D5" s="28" t="n">
        <v>6900</v>
      </c>
    </row>
    <row r="6">
      <c r="A6" t="inlineStr">
        <is>
          <t xml:space="preserve">  less accumulated amortisation (derived)</t>
        </is>
      </c>
      <c r="B6" s="28" t="n">
        <v>-352</v>
      </c>
      <c r="C6" s="28" t="n">
        <v>-498</v>
      </c>
      <c r="D6" s="28" t="n">
        <v>-534</v>
      </c>
    </row>
    <row r="7">
      <c r="A7" t="inlineStr">
        <is>
          <t xml:space="preserve">  concession intangible, net (derived)</t>
        </is>
      </c>
      <c r="B7" s="28" t="n">
        <v>6548</v>
      </c>
      <c r="C7" s="28" t="n">
        <v>6402</v>
      </c>
      <c r="D7" s="28" t="n">
        <v>6366</v>
      </c>
    </row>
    <row r="8">
      <c r="A8" s="11" t="inlineStr">
        <is>
          <t>Net debt [SOURCED]</t>
        </is>
      </c>
      <c r="B8" s="28" t="n">
        <v>5198.6</v>
      </c>
      <c r="C8" s="28" t="n">
        <v>4799.2</v>
      </c>
      <c r="D8" s="28" t="n">
        <v>4226.4</v>
      </c>
    </row>
    <row r="9">
      <c r="A9" s="11" t="inlineStr">
        <is>
          <t>Net working capital [SOURCED]</t>
        </is>
      </c>
      <c r="B9" s="28" t="n">
        <v>-536.8</v>
      </c>
      <c r="C9" s="28" t="n">
        <v>-674</v>
      </c>
      <c r="D9" s="28" t="n">
        <v>-846</v>
      </c>
    </row>
    <row r="10">
      <c r="A10" s="11" t="inlineStr">
        <is>
          <t>Net debt / EBITDA (T12M) [SOURCED]</t>
        </is>
      </c>
      <c r="B10" s="49" t="n">
        <v>3.29</v>
      </c>
      <c r="C10" s="49" t="n">
        <v>2.24</v>
      </c>
      <c r="D10" s="49" t="n">
        <v>1.98</v>
      </c>
    </row>
    <row r="11">
      <c r="A11" t="inlineStr">
        <is>
          <t>Debt covenant</t>
        </is>
      </c>
      <c r="B11" s="49" t="n">
        <v>5</v>
      </c>
      <c r="C11" s="49" t="n">
        <v>5</v>
      </c>
      <c r="D11" s="49" t="n">
        <v>5</v>
      </c>
    </row>
    <row r="12">
      <c r="A12" t="inlineStr">
        <is>
          <t>Headroom to covenant</t>
        </is>
      </c>
      <c r="B12" s="49" t="n">
        <v>1.71</v>
      </c>
      <c r="C12" s="49" t="n">
        <v>2.76</v>
      </c>
      <c r="D12" s="49" t="n">
        <v>3.02</v>
      </c>
    </row>
    <row r="14">
      <c r="A14" s="19" t="inlineStr">
        <is>
          <t>HONEST FLAG. Salik does not publish a full quarterly balance sheet in its earnings release.</t>
        </is>
      </c>
    </row>
    <row r="15">
      <c r="A15" s="19" t="inlineStr">
        <is>
          <t>Total assets, net debt, NWC and leverage ARE disclosed. Equity, gross debt and cash are NOT.</t>
        </is>
      </c>
    </row>
    <row r="16">
      <c r="A16" s="19" t="inlineStr">
        <is>
          <t>The intangible bridge above is DERIVED from the AED 4.2bn + AED 2.7bn upfront payments and a</t>
        </is>
      </c>
    </row>
    <row r="17">
      <c r="A17" s="19" t="inlineStr">
        <is>
          <t>49-year straight line. It reconciles to the D&amp;A implied by Q1-2026 (AED 145mn/yr vs 141 modelled).</t>
        </is>
      </c>
    </row>
    <row r="18">
      <c r="A18" s="19" t="inlineStr">
        <is>
          <t>The DCF uses NET DEBT (disclosed) and never needs book equity, so nothing in the valuation</t>
        </is>
      </c>
    </row>
    <row r="19">
      <c r="A19" s="19" t="inlineStr">
        <is>
          <t>depends on a derived line. Logged to the our forecast-assumptions log.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0" customHeight="1">
      <c r="A1" s="1" t="inlineStr">
        <is>
          <t>CASH FLOW — why FCF exceeds EBITDA in some quarters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11" t="inlineStr">
        <is>
          <t>AED mn</t>
        </is>
      </c>
      <c r="B3" s="11" t="inlineStr">
        <is>
          <t>FY2024</t>
        </is>
      </c>
      <c r="C3" s="11" t="inlineStr">
        <is>
          <t>FY2025</t>
        </is>
      </c>
      <c r="D3" s="11" t="inlineStr">
        <is>
          <t>Q1-2026</t>
        </is>
      </c>
      <c r="E3" s="11" t="inlineStr">
        <is>
          <t>FY2026E</t>
        </is>
      </c>
      <c r="F3" s="11" t="inlineStr">
        <is>
          <t>FY2027E</t>
        </is>
      </c>
      <c r="G3" s="11" t="inlineStr">
        <is>
          <t>FY2028E</t>
        </is>
      </c>
      <c r="H3" s="11" t="inlineStr">
        <is>
          <t>FY2029E</t>
        </is>
      </c>
    </row>
    <row r="4">
      <c r="A4" t="inlineStr">
        <is>
          <t>EBITDA</t>
        </is>
      </c>
      <c r="B4" s="28" t="n">
        <v>1579.1</v>
      </c>
      <c r="C4" s="28" t="n">
        <v>2143.9</v>
      </c>
      <c r="D4" s="28" t="n">
        <v>507.2</v>
      </c>
      <c r="E4" s="28" t="n">
        <v>2078.218690185828</v>
      </c>
      <c r="F4" s="28" t="n">
        <v>2214.429265585491</v>
      </c>
      <c r="G4" s="28" t="n">
        <v>2353.750102293823</v>
      </c>
      <c r="H4" s="28" t="n">
        <v>2493.421617019604</v>
      </c>
    </row>
    <row r="5">
      <c r="A5" t="inlineStr">
        <is>
          <t>less: cash tax</t>
        </is>
      </c>
      <c r="B5" s="28" t="n">
        <v>-115.2</v>
      </c>
      <c r="C5" s="28" t="n">
        <v>-153.6</v>
      </c>
      <c r="D5" s="28" t="n">
        <v>-36.5</v>
      </c>
      <c r="E5" s="28" t="n">
        <v>-151.2196821167245</v>
      </c>
      <c r="F5" s="28" t="n">
        <v>-164.0642318671801</v>
      </c>
      <c r="G5" s="28" t="n">
        <v>-177.1887051354159</v>
      </c>
      <c r="H5" s="28" t="n">
        <v>-190.3447394252221</v>
      </c>
    </row>
    <row r="6">
      <c r="A6" t="inlineStr">
        <is>
          <t>+/- change in working capital</t>
        </is>
      </c>
      <c r="D6" s="28" t="n">
        <v>172</v>
      </c>
      <c r="E6" s="28" t="n">
        <v>0</v>
      </c>
      <c r="F6" s="28" t="n">
        <v>0</v>
      </c>
      <c r="G6" s="28" t="n">
        <v>0</v>
      </c>
      <c r="H6" s="28" t="n">
        <v>0</v>
      </c>
    </row>
    <row r="7">
      <c r="A7" t="inlineStr">
        <is>
          <t>less: capex</t>
        </is>
      </c>
      <c r="D7" s="28" t="n">
        <v>-6.2</v>
      </c>
      <c r="E7" s="28" t="n">
        <v>-29.80992768136582</v>
      </c>
      <c r="F7" s="28" t="n">
        <v>-31.69667862220144</v>
      </c>
      <c r="G7" s="28" t="n">
        <v>-33.60310216151534</v>
      </c>
      <c r="H7" s="28" t="n">
        <v>-35.49371189842258</v>
      </c>
    </row>
    <row r="8">
      <c r="A8" s="11" t="inlineStr">
        <is>
          <t>FREE CASH FLOW [FY24 &amp; Q1-26 SOURCED]</t>
        </is>
      </c>
      <c r="B8" s="28" t="n">
        <v>1457.3</v>
      </c>
      <c r="D8" s="28" t="n">
        <v>636.5</v>
      </c>
      <c r="E8" s="28" t="n">
        <v>1874.509080387737</v>
      </c>
      <c r="F8" s="28" t="n">
        <v>1996.573953060595</v>
      </c>
      <c r="G8" s="28" t="n">
        <v>2121.449490925863</v>
      </c>
      <c r="H8" s="28" t="n">
        <v>2246.659959589417</v>
      </c>
    </row>
    <row r="9">
      <c r="A9" t="inlineStr">
        <is>
          <t>FCF margin</t>
        </is>
      </c>
      <c r="B9" s="13" t="n">
        <v>0.636</v>
      </c>
      <c r="D9" s="13" t="n">
        <v>0.873</v>
      </c>
      <c r="E9" s="13" t="n">
        <v>0.6288204052100039</v>
      </c>
      <c r="F9" s="13" t="n">
        <v>0.6299000525758955</v>
      </c>
      <c r="G9" s="13" t="n">
        <v>0.6313254891554322</v>
      </c>
      <c r="H9" s="13" t="n">
        <v>0.6329740789069919</v>
      </c>
    </row>
    <row r="10">
      <c r="A10" t="inlineStr">
        <is>
          <t>Dividends paid</t>
        </is>
      </c>
      <c r="B10" s="28" t="n">
        <v>-1094.7</v>
      </c>
      <c r="D10" s="28" t="n">
        <v>0</v>
      </c>
      <c r="E10" s="28" t="n">
        <v>-1528.999008069103</v>
      </c>
      <c r="F10" s="28" t="n">
        <v>-1658.871677768154</v>
      </c>
      <c r="G10" s="28" t="n">
        <v>-1791.574685258094</v>
      </c>
      <c r="H10" s="28" t="n">
        <v>-1924.596809743913</v>
      </c>
    </row>
    <row r="12">
      <c r="A12" s="19" t="inlineStr">
        <is>
          <t>Q1-2026 FCF (AED 636.5mn) EXCEEDED EBITDA (AED 507.2mn). That is not an error: the negative</t>
        </is>
      </c>
    </row>
    <row r="13">
      <c r="A13" s="19" t="inlineStr">
        <is>
          <t>working capital deepened by AED 172mn (prepaid e-wallet float grows; the RTA toll-rights</t>
        </is>
      </c>
    </row>
    <row r="14">
      <c r="A14" s="19" t="inlineStr">
        <is>
          <t>instalment falls in other quarters). Our DCF sets dWC to ZERO, which is deliberately conservative.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0" customHeight="1">
      <c r="A1" s="1" t="inlineStr">
        <is>
          <t>SUMMARY FINANCIALS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>
      <c r="A3" s="11" t="inlineStr">
        <is>
          <t>AED mn</t>
        </is>
      </c>
      <c r="B3" s="11" t="inlineStr">
        <is>
          <t>FY2023</t>
        </is>
      </c>
      <c r="C3" s="11" t="inlineStr">
        <is>
          <t>FY2024</t>
        </is>
      </c>
      <c r="D3" s="11" t="inlineStr">
        <is>
          <t>FY2025</t>
        </is>
      </c>
      <c r="E3" s="11" t="inlineStr">
        <is>
          <t>FY2026E</t>
        </is>
      </c>
      <c r="F3" s="11" t="inlineStr">
        <is>
          <t>FY2027E</t>
        </is>
      </c>
      <c r="G3" s="11" t="inlineStr">
        <is>
          <t>FY2028E</t>
        </is>
      </c>
      <c r="H3" s="11" t="inlineStr">
        <is>
          <t>FY2029E</t>
        </is>
      </c>
      <c r="I3" s="11" t="inlineStr">
        <is>
          <t>FY2030E</t>
        </is>
      </c>
    </row>
    <row r="4">
      <c r="A4" t="inlineStr">
        <is>
          <t>Revenue</t>
        </is>
      </c>
      <c r="B4" s="9" t="n">
        <v>2109</v>
      </c>
      <c r="C4" s="9" t="n">
        <v>2292</v>
      </c>
      <c r="D4" s="9" t="n">
        <v>3096.9</v>
      </c>
      <c r="E4" s="9" t="n">
        <v>2980.992768136583</v>
      </c>
      <c r="F4" s="9" t="n">
        <v>3169.667862220144</v>
      </c>
      <c r="G4" s="9" t="n">
        <v>3360.310216151534</v>
      </c>
      <c r="H4" s="9" t="n">
        <v>3549.371189842258</v>
      </c>
      <c r="I4" s="9" t="n">
        <v>3734.195449615847</v>
      </c>
    </row>
    <row r="5">
      <c r="A5" s="11" t="inlineStr">
        <is>
          <t>EBITDA</t>
        </is>
      </c>
      <c r="B5" s="9" t="n">
        <v>1390.1</v>
      </c>
      <c r="C5" s="9" t="n">
        <v>1579.1</v>
      </c>
      <c r="D5" s="9" t="n">
        <v>2143.9</v>
      </c>
      <c r="E5" s="9" t="n">
        <v>2078.218690185828</v>
      </c>
      <c r="F5" s="9" t="n">
        <v>2214.429265585491</v>
      </c>
      <c r="G5" s="9" t="n">
        <v>2353.750102293823</v>
      </c>
      <c r="H5" s="9" t="n">
        <v>2493.421617019604</v>
      </c>
      <c r="I5" s="9" t="n">
        <v>2635.206288313743</v>
      </c>
    </row>
    <row r="6">
      <c r="A6" t="inlineStr">
        <is>
          <t>EBITDA margin</t>
        </is>
      </c>
      <c r="B6" s="13" t="n">
        <v>0.6591275486012328</v>
      </c>
      <c r="C6" s="13" t="n">
        <v>0.6889616055846421</v>
      </c>
      <c r="D6" s="13" t="n">
        <v>0.6922729180793697</v>
      </c>
      <c r="E6" s="13" t="n">
        <v>0.6971565689120814</v>
      </c>
      <c r="F6" s="13" t="n">
        <v>0.6986313272692327</v>
      </c>
      <c r="G6" s="13" t="n">
        <v>0.700456193294411</v>
      </c>
      <c r="H6" s="13" t="n">
        <v>0.7024967194626993</v>
      </c>
      <c r="I6" s="13" t="n">
        <v>0.7056958651119448</v>
      </c>
    </row>
    <row r="7">
      <c r="A7" s="11" t="inlineStr">
        <is>
          <t>Net profit</t>
        </is>
      </c>
      <c r="B7" s="9" t="n">
        <v>1098</v>
      </c>
      <c r="C7" s="9" t="n">
        <v>1164.5</v>
      </c>
      <c r="D7" s="9" t="n">
        <v>1553.4</v>
      </c>
      <c r="E7" s="9" t="n">
        <v>1528.999008069103</v>
      </c>
      <c r="F7" s="9" t="n">
        <v>1658.871677768154</v>
      </c>
      <c r="G7" s="9" t="n">
        <v>1791.574685258094</v>
      </c>
      <c r="H7" s="9" t="n">
        <v>1924.596809743913</v>
      </c>
      <c r="I7" s="9" t="n">
        <v>2059.541906706937</v>
      </c>
    </row>
    <row r="8">
      <c r="A8" t="inlineStr">
        <is>
          <t>FCFF</t>
        </is>
      </c>
      <c r="E8" s="9" t="n">
        <v>1874.509080387737</v>
      </c>
      <c r="F8" s="9" t="n">
        <v>1996.573953060595</v>
      </c>
      <c r="G8" s="9" t="n">
        <v>2121.449490925863</v>
      </c>
      <c r="H8" s="9" t="n">
        <v>2246.659959589417</v>
      </c>
      <c r="I8" s="9" t="n">
        <v>2373.835767869348</v>
      </c>
    </row>
    <row r="9">
      <c r="A9" t="inlineStr">
        <is>
          <t>EPS, AED</t>
        </is>
      </c>
      <c r="B9" s="37" t="n">
        <v>0.1464</v>
      </c>
      <c r="C9" s="37" t="n">
        <v>0.1552666666666667</v>
      </c>
      <c r="D9" s="37" t="n">
        <v>0.20712</v>
      </c>
      <c r="E9" s="37" t="n">
        <v>0.2038665344092138</v>
      </c>
      <c r="F9" s="37" t="n">
        <v>0.2211828903690872</v>
      </c>
      <c r="G9" s="37" t="n">
        <v>0.2388766247010792</v>
      </c>
      <c r="H9" s="37" t="n">
        <v>0.256612907965855</v>
      </c>
      <c r="I9" s="37" t="n">
        <v>0.2746055875609249</v>
      </c>
    </row>
    <row r="10">
      <c r="A10" t="inlineStr">
        <is>
          <t>Chargeable trips, mn</t>
        </is>
      </c>
      <c r="B10" s="28" t="n">
        <v>461.4</v>
      </c>
      <c r="C10" s="28" t="n">
        <v>498.1</v>
      </c>
      <c r="D10" s="28" t="n">
        <v>639.1</v>
      </c>
      <c r="E10" s="28" t="n">
        <v>595.135</v>
      </c>
      <c r="F10" s="28" t="n">
        <v>621.916075</v>
      </c>
      <c r="G10" s="28" t="n">
        <v>646.792718</v>
      </c>
      <c r="H10" s="28" t="n">
        <v>669.43046313</v>
      </c>
      <c r="I10" s="28" t="n">
        <v>689.5133770239</v>
      </c>
    </row>
    <row r="11">
      <c r="A11" t="inlineStr">
        <is>
          <t>Revenue growth</t>
        </is>
      </c>
      <c r="C11" s="13" t="n">
        <v>0.0868</v>
      </c>
      <c r="D11" s="13" t="n">
        <v>0.3512</v>
      </c>
      <c r="E11" s="13" t="n">
        <v>-0.03742685648985034</v>
      </c>
      <c r="F11" s="13" t="n">
        <v>0.06329270439709989</v>
      </c>
      <c r="G11" s="13" t="n">
        <v>0.0601458456274524</v>
      </c>
      <c r="H11" s="13" t="n">
        <v>0.05626295238516699</v>
      </c>
      <c r="I11" s="13" t="n">
        <v>0.05207239533090458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20" customHeight="1">
      <c r="A1" s="1" t="inlineStr">
        <is>
          <t>MONTE CARLO — engine v3 "carry-anchored YZ-HAR-t", read live from the repo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4" t="inlineStr">
        <is>
          <t>ENGINE CONFIG (our calibration engine is the single source of truth)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t="inlineStr">
        <is>
          <t>Market profile</t>
        </is>
      </c>
      <c r="B4" t="inlineStr">
        <is>
          <t>UAE (ADX/DFM)</t>
        </is>
      </c>
    </row>
    <row r="5">
      <c r="A5" t="inlineStr">
        <is>
          <t>Tail parameter nu (fitted, per-market)</t>
        </is>
      </c>
      <c r="B5" s="48" t="n">
        <v>10</v>
      </c>
    </row>
    <row r="6">
      <c r="A6" t="inlineStr">
        <is>
          <t>Cone-width calibration (fitted)</t>
        </is>
      </c>
      <c r="B6" s="37" t="n">
        <v>1.049</v>
      </c>
    </row>
    <row r="7">
      <c r="A7" t="inlineStr">
        <is>
          <t>Signal active?</t>
        </is>
      </c>
      <c r="B7" t="inlineStr">
        <is>
          <t>NO — carry-only (ablated OFF on evidence)</t>
        </is>
      </c>
    </row>
    <row r="8">
      <c r="A8" t="inlineStr">
        <is>
          <t>Carry: risk-free (Fed/CBUAE, AED is pegged)</t>
        </is>
      </c>
      <c r="B8" s="26" t="n">
        <v>0.0363</v>
      </c>
    </row>
    <row r="9">
      <c r="A9" t="inlineStr">
        <is>
          <t>Carry: dividend yield q (trailing declared DPS / spot)</t>
        </is>
      </c>
      <c r="B9" s="26" t="n">
        <v>0.03885730994152047</v>
      </c>
    </row>
    <row r="10">
      <c r="A10" t="inlineStr">
        <is>
          <t>Drift over 60 sessions = [ln(1+rf) - ln(1+q)] x 60/252</t>
        </is>
      </c>
      <c r="B10" s="54" t="n">
        <v>-0.0005868312968127896</v>
      </c>
    </row>
    <row r="11">
      <c r="A11" t="inlineStr">
        <is>
          <t>Paths</t>
        </is>
      </c>
      <c r="B11" s="9" t="n">
        <v>50000</v>
      </c>
    </row>
    <row r="12">
      <c r="A12" t="inlineStr">
        <is>
          <t>Seed</t>
        </is>
      </c>
      <c r="B12" s="9" t="n">
        <v>42</v>
      </c>
    </row>
    <row r="13">
      <c r="A13" s="19" t="inlineStr">
        <is>
          <t>nu is WEAKLY IDENTIFIED. Never quote it as precise: the (nu, the cone-width calibration) PAIR is what is</t>
        </is>
      </c>
    </row>
    <row r="14">
      <c r="A14" s="19" t="inlineStr">
        <is>
          <t>fitted, and the honest object is the cone they jointly produce.</t>
        </is>
      </c>
    </row>
    <row r="16">
      <c r="A16" s="4" t="inlineStr">
        <is>
          <t>THE PROBABILITY READ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11" t="inlineStr">
        <is>
          <t>Statement</t>
        </is>
      </c>
      <c r="B17" s="11" t="inlineStr">
        <is>
          <t>T+20 · 7 Aug 2026</t>
        </is>
      </c>
      <c r="C17" s="11" t="inlineStr">
        <is>
          <t>T+60 · 2 Oct 2026</t>
        </is>
      </c>
    </row>
    <row r="18">
      <c r="A18" t="inlineStr">
        <is>
          <t>Median (the engine's central price)</t>
        </is>
      </c>
      <c r="B18" s="12" t="n">
        <v>5.696395527102544</v>
      </c>
      <c r="C18" s="12" t="n">
        <v>5.692234039171935</v>
      </c>
    </row>
    <row r="19">
      <c r="A19" t="inlineStr">
        <is>
          <t>P(price above today's AED 5.70)</t>
        </is>
      </c>
      <c r="B19" s="13" t="n">
        <v>0.49658</v>
      </c>
      <c r="C19" s="13" t="n">
        <v>0.49588</v>
      </c>
    </row>
    <row r="20">
      <c r="A20" t="inlineStr">
        <is>
          <t>5th percentile — a bad-but-not-extreme outcome</t>
        </is>
      </c>
      <c r="B20" s="12" t="n">
        <v>4.942360287004691</v>
      </c>
      <c r="C20" s="12" t="n">
        <v>4.422738926314676</v>
      </c>
    </row>
    <row r="21">
      <c r="A21" t="inlineStr">
        <is>
          <t>95th percentile</t>
        </is>
      </c>
      <c r="B21" s="12" t="n">
        <v>6.571265835489415</v>
      </c>
      <c r="C21" s="12" t="n">
        <v>7.337618811513881</v>
      </c>
    </row>
    <row r="22">
      <c r="A22" t="inlineStr">
        <is>
          <t>Width of the 90% band, % of spot</t>
        </is>
      </c>
      <c r="B22" s="13" t="n">
        <v>0.285772903242934</v>
      </c>
      <c r="C22" s="13" t="n">
        <v>0.5113824359998604</v>
      </c>
    </row>
    <row r="24">
      <c r="A24" s="31" t="inlineStr">
        <is>
          <t>Percentile</t>
        </is>
      </c>
      <c r="B24" s="31" t="inlineStr">
        <is>
          <t>T+20 AED</t>
        </is>
      </c>
      <c r="C24" s="31" t="inlineStr">
        <is>
          <t>T+60 AED</t>
        </is>
      </c>
      <c r="D24" s="31" t="inlineStr">
        <is>
          <t>T+60 vs spot</t>
        </is>
      </c>
      <c r="E24" s="6" t="n"/>
      <c r="F24" s="6" t="n"/>
      <c r="G24" s="6" t="n"/>
      <c r="H24" s="6" t="n"/>
      <c r="I24" s="6" t="n"/>
    </row>
    <row r="25">
      <c r="A25" t="inlineStr">
        <is>
          <t>5%</t>
        </is>
      </c>
      <c r="B25" s="12" t="n">
        <v>4.942360287004691</v>
      </c>
      <c r="C25" s="12" t="n">
        <v>4.422738926314676</v>
      </c>
      <c r="D25" s="13">
        <f>C25/5.7-1</f>
        <v/>
      </c>
    </row>
    <row r="26">
      <c r="A26" t="inlineStr">
        <is>
          <t>10%</t>
        </is>
      </c>
      <c r="B26" s="12" t="n">
        <v>5.120686960399397</v>
      </c>
      <c r="C26" s="12" t="n">
        <v>4.710304533332987</v>
      </c>
      <c r="D26" s="13">
        <f>C26/5.7-1</f>
        <v/>
      </c>
    </row>
    <row r="27">
      <c r="A27" t="inlineStr">
        <is>
          <t>25%</t>
        </is>
      </c>
      <c r="B27" s="12" t="n">
        <v>5.395648906024762</v>
      </c>
      <c r="C27" s="12" t="n">
        <v>5.169143176269719</v>
      </c>
      <c r="D27" s="13">
        <f>C27/5.7-1</f>
        <v/>
      </c>
    </row>
    <row r="28">
      <c r="A28" t="inlineStr">
        <is>
          <t>50%</t>
        </is>
      </c>
      <c r="B28" s="12" t="n">
        <v>5.696395527102544</v>
      </c>
      <c r="C28" s="12" t="n">
        <v>5.692234039171935</v>
      </c>
      <c r="D28" s="13">
        <f>C28/5.7-1</f>
        <v/>
      </c>
    </row>
    <row r="29">
      <c r="A29" t="inlineStr">
        <is>
          <t>75%</t>
        </is>
      </c>
      <c r="B29" s="12" t="n">
        <v>6.019074225836805</v>
      </c>
      <c r="C29" s="12" t="n">
        <v>6.277836727219701</v>
      </c>
      <c r="D29" s="13">
        <f>C29/5.7-1</f>
        <v/>
      </c>
    </row>
    <row r="30">
      <c r="A30" t="inlineStr">
        <is>
          <t>90%</t>
        </is>
      </c>
      <c r="B30" s="12" t="n">
        <v>6.348231241475554</v>
      </c>
      <c r="C30" s="12" t="n">
        <v>6.900871550279022</v>
      </c>
      <c r="D30" s="13">
        <f>C30/5.7-1</f>
        <v/>
      </c>
    </row>
    <row r="31">
      <c r="A31" t="inlineStr">
        <is>
          <t>95%</t>
        </is>
      </c>
      <c r="B31" s="12" t="n">
        <v>6.571265835489415</v>
      </c>
      <c r="C31" s="12" t="n">
        <v>7.337618811513881</v>
      </c>
      <c r="D31" s="13">
        <f>C31/5.7-1</f>
        <v/>
      </c>
    </row>
    <row r="33">
      <c r="A33" s="31" t="inlineStr">
        <is>
          <t>Level, AED</t>
        </is>
      </c>
      <c r="B33" s="31" t="inlineStr">
        <is>
          <t>vs spot</t>
        </is>
      </c>
      <c r="C33" s="31" t="inlineStr">
        <is>
          <t>Probability</t>
        </is>
      </c>
      <c r="D33" s="6" t="n"/>
      <c r="E33" s="6" t="n"/>
      <c r="F33" s="6" t="n"/>
      <c r="G33" s="6" t="n"/>
      <c r="H33" s="6" t="n"/>
      <c r="I33" s="6" t="n"/>
    </row>
    <row r="34">
      <c r="A34" s="12" t="n">
        <v>4.5</v>
      </c>
      <c r="B34" s="13">
        <f>A34/5.7-1</f>
        <v/>
      </c>
      <c r="C34" s="13" t="n">
        <v>0.09855</v>
      </c>
    </row>
    <row r="35">
      <c r="A35" s="12" t="n">
        <v>5</v>
      </c>
      <c r="B35" s="13">
        <f>A35/5.7-1</f>
        <v/>
      </c>
      <c r="C35" s="13" t="n">
        <v>0.3323</v>
      </c>
    </row>
    <row r="36">
      <c r="A36" s="12" t="n">
        <v>5.25</v>
      </c>
      <c r="B36" s="13">
        <f>A36/5.7-1</f>
        <v/>
      </c>
      <c r="C36" s="13" t="n">
        <v>0.51975</v>
      </c>
    </row>
    <row r="37">
      <c r="A37" s="12" t="n">
        <v>5.5</v>
      </c>
      <c r="B37" s="13">
        <f>A37/5.7-1</f>
        <v/>
      </c>
      <c r="C37" s="13" t="n">
        <v>0.74665</v>
      </c>
    </row>
    <row r="38">
      <c r="A38" s="12" t="n">
        <v>6</v>
      </c>
      <c r="B38" s="13">
        <f>A38/5.7-1</f>
        <v/>
      </c>
      <c r="C38" s="13" t="n">
        <v>0.6671</v>
      </c>
    </row>
    <row r="39">
      <c r="A39" s="12" t="n">
        <v>6.25</v>
      </c>
      <c r="B39" s="13">
        <f>A39/5.7-1</f>
        <v/>
      </c>
      <c r="C39" s="13" t="n">
        <v>0.47205</v>
      </c>
    </row>
    <row r="40">
      <c r="A40" s="12" t="n">
        <v>6.5</v>
      </c>
      <c r="B40" s="13">
        <f>A40/5.7-1</f>
        <v/>
      </c>
      <c r="C40" s="13" t="n">
        <v>0.32365</v>
      </c>
    </row>
    <row r="41">
      <c r="A41" s="12" t="n">
        <v>7</v>
      </c>
      <c r="B41" s="13">
        <f>A41/5.7-1</f>
        <v/>
      </c>
      <c r="C41" s="13" t="n">
        <v>0.14315</v>
      </c>
    </row>
    <row r="43">
      <c r="A43" s="4" t="inlineStr">
        <is>
          <t>CALIBRATION BACK-TEST (the pass/fail check; full numbers publish to the public Ledger, not to the study)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A44" t="inlineStr">
        <is>
          <t>Windows (h=60, non-overlapping)</t>
        </is>
      </c>
      <c r="B44" s="9" t="n">
        <v>11</v>
      </c>
    </row>
    <row r="45">
      <c r="A45" t="inlineStr">
        <is>
          <t>Verdict</t>
        </is>
      </c>
      <c r="B45" t="inlineStr">
        <is>
          <t>PARITY — robust across bootstrap blocks 2/3/4</t>
        </is>
      </c>
    </row>
    <row r="46">
      <c r="A46" t="inlineStr">
        <is>
          <t>Market panel (UAE) verdict</t>
        </is>
      </c>
      <c r="B46" t="inlineStr">
        <is>
          <t>PARITY</t>
        </is>
      </c>
    </row>
    <row r="47">
      <c r="A47" t="inlineStr">
        <is>
          <t>Coverage 50 / 80 / 90</t>
        </is>
      </c>
      <c r="B47" t="inlineStr">
        <is>
          <t>0.55 / 0.91 / 1.00</t>
        </is>
      </c>
    </row>
    <row r="48">
      <c r="A48" t="inlineStr">
        <is>
          <t>Cone width vs the carry-anchored RW benchmark</t>
        </is>
      </c>
      <c r="B48" s="49" t="n">
        <v>1.258</v>
      </c>
    </row>
    <row r="49">
      <c r="A49" s="19" t="inlineStr">
        <is>
          <t>cov90 = 1.00: EVERY realised outcome fell inside the 90% band. The cone is OVER-covered.</t>
        </is>
      </c>
    </row>
    <row r="50">
      <c r="A50" s="19" t="inlineStr">
        <is>
          <t>Read the bands as GENEROUS, not tight. This is the known open item in the engine.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0" customHeight="1">
      <c r="A1" s="1" t="inlineStr">
        <is>
          <t>SENSITIVITY — read the beta grid FIRST. It is the whole study.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4" t="inlineStr">
        <is>
          <t>FAIR VALUE ACROSS BETA x TERMINAL GROWTH — AED/share (gold cells reach spot AED 5.70)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11" t="inlineStr">
        <is>
          <t>beta \ terminal g</t>
        </is>
      </c>
      <c r="B4" s="55" t="n">
        <v>0.015</v>
      </c>
      <c r="C4" s="55" t="n">
        <v>0.02</v>
      </c>
      <c r="D4" s="55" t="n">
        <v>0.025</v>
      </c>
      <c r="E4" s="55" t="n">
        <v>0.03</v>
      </c>
      <c r="F4" s="55" t="n">
        <v>0.035</v>
      </c>
    </row>
    <row r="5">
      <c r="A5" s="56" t="n">
        <v>1</v>
      </c>
      <c r="B5" s="12" t="n">
        <v>3.22772875649869</v>
      </c>
      <c r="C5" s="12" t="n">
        <v>3.430991449797242</v>
      </c>
      <c r="D5" s="12" t="n">
        <v>3.664777305254132</v>
      </c>
      <c r="E5" s="12" t="n">
        <v>3.936519763691701</v>
      </c>
      <c r="F5" s="12" t="n">
        <v>4.25627925140709</v>
      </c>
    </row>
    <row r="6">
      <c r="A6" s="56" t="n">
        <v>0.9</v>
      </c>
      <c r="B6" s="12" t="n">
        <v>3.466048091163209</v>
      </c>
      <c r="C6" s="12" t="n">
        <v>3.699804275976428</v>
      </c>
      <c r="D6" s="12" t="n">
        <v>3.971165370468029</v>
      </c>
      <c r="E6" s="12" t="n">
        <v>4.289999516252187</v>
      </c>
      <c r="F6" s="12" t="n">
        <v>4.669958573135471</v>
      </c>
    </row>
    <row r="7">
      <c r="A7" s="56" t="n">
        <v>0.8</v>
      </c>
      <c r="B7" s="12" t="n">
        <v>3.735649951988591</v>
      </c>
      <c r="C7" s="12" t="n">
        <v>4.00669026816589</v>
      </c>
      <c r="D7" s="12" t="n">
        <v>4.324680859652601</v>
      </c>
      <c r="E7" s="12" t="n">
        <v>4.702977774933315</v>
      </c>
      <c r="F7" s="12" t="n">
        <v>5.160533653496573</v>
      </c>
    </row>
    <row r="8">
      <c r="A8" s="56" t="n">
        <v>0.76</v>
      </c>
      <c r="B8" s="12" t="n">
        <v>3.853662796985723</v>
      </c>
      <c r="C8" s="12" t="n">
        <v>4.141965765549846</v>
      </c>
      <c r="D8" s="12" t="n">
        <v>4.48179144105502</v>
      </c>
      <c r="E8" s="12" t="n">
        <v>4.888306500960674</v>
      </c>
      <c r="F8" s="12" t="n">
        <v>5.383278073901125</v>
      </c>
    </row>
    <row r="9">
      <c r="A9" s="56" t="n">
        <v>0.64</v>
      </c>
      <c r="B9" s="12" t="n">
        <v>4.249206292352877</v>
      </c>
      <c r="C9" s="12" t="n">
        <v>4.599614375846243</v>
      </c>
      <c r="D9" s="12" t="n">
        <v>5.019220741328796</v>
      </c>
      <c r="E9" s="21" t="n">
        <v>5.530768897228613</v>
      </c>
      <c r="F9" s="12" t="n">
        <v>6.16819550172326</v>
      </c>
    </row>
    <row r="10">
      <c r="A10" s="56" t="n">
        <v>0.5</v>
      </c>
      <c r="B10" s="12" t="n">
        <v>4.808584312228596</v>
      </c>
      <c r="C10" s="12" t="n">
        <v>5.258212511280487</v>
      </c>
      <c r="D10" s="21" t="n">
        <v>5.809031588032719</v>
      </c>
      <c r="E10" s="12" t="n">
        <v>6.499533095376553</v>
      </c>
      <c r="F10" s="12" t="n">
        <v>7.390565514020322</v>
      </c>
    </row>
    <row r="12">
      <c r="A12" s="19" t="inlineStr">
        <is>
          <t>PUBLISHED beta 0.758 = Blume-adjusted. RAW MEASURED weekly beta 0.637 (n=195, t=6.1, R2 16.2%) — the gate PASSES. See sheet 5.</t>
        </is>
      </c>
    </row>
    <row r="13">
      <c r="A13" s="19" t="inlineStr">
        <is>
          <t>PRE-WAR beta 0.475. WAR-PERIOD beta 1.001. The war DOUBLED it.</t>
        </is>
      </c>
    </row>
    <row r="14">
      <c r="A14" s="19" t="inlineStr">
        <is>
          <t>Spot implies beta 0.52 — INSIDE the measured 95% CI [0.43,0.84], and almost exactly the PRE-WAR reading. That is the crux.</t>
        </is>
      </c>
    </row>
    <row r="16">
      <c r="A16" s="31" t="inlineStr">
        <is>
          <t>Beta</t>
        </is>
      </c>
      <c r="B16" s="31" t="inlineStr">
        <is>
          <t>Cost of equity</t>
        </is>
      </c>
      <c r="C16" s="31" t="inlineStr">
        <is>
          <t>WACC</t>
        </is>
      </c>
      <c r="D16" s="31" t="inlineStr">
        <is>
          <t>Fair value AED</t>
        </is>
      </c>
      <c r="E16" s="31" t="inlineStr">
        <is>
          <t>vs spot</t>
        </is>
      </c>
      <c r="F16" s="31" t="inlineStr">
        <is>
          <t>What this beta means</t>
        </is>
      </c>
      <c r="G16" s="6" t="n"/>
      <c r="H16" s="6" t="n"/>
      <c r="I16" s="6" t="n"/>
    </row>
    <row r="17">
      <c r="A17" s="12" t="n">
        <v>1</v>
      </c>
      <c r="B17" s="26" t="n">
        <v>0.09570000000000001</v>
      </c>
      <c r="C17" s="26" t="n">
        <v>0.09159293432446931</v>
      </c>
      <c r="D17" s="12" t="n">
        <v>3.664777305254132</v>
      </c>
      <c r="E17" s="13" t="n">
        <v>-0.3570566131133103</v>
      </c>
      <c r="F17" t="inlineStr">
        <is>
          <t>what v1 used, on a FAILED gate — void</t>
        </is>
      </c>
    </row>
    <row r="18">
      <c r="A18" s="12" t="n">
        <v>0.841</v>
      </c>
      <c r="B18" s="26" t="n">
        <v>0.0879567</v>
      </c>
      <c r="C18" s="26" t="n">
        <v>0.08454628802973409</v>
      </c>
      <c r="D18" s="12" t="n">
        <v>4.173364796358668</v>
      </c>
      <c r="E18" s="13" t="n">
        <v>-0.2678307374809354</v>
      </c>
      <c r="F18" t="inlineStr">
        <is>
          <t>upper bound of the 95% CI on the measured beta</t>
        </is>
      </c>
    </row>
    <row r="19">
      <c r="A19" s="12" t="n">
        <v>0.76</v>
      </c>
      <c r="B19" s="26" t="n">
        <v>0.084012</v>
      </c>
      <c r="C19" s="26" t="n">
        <v>0.08095648708713311</v>
      </c>
      <c r="D19" s="12" t="n">
        <v>4.48179144105502</v>
      </c>
      <c r="E19" s="13" t="n">
        <v>-0.2137207998149088</v>
      </c>
      <c r="F19" t="inlineStr">
        <is>
          <t>PUBLISHED — Blume-adjusted (2/3 x 0.637 + 1/3 x 1.0)</t>
        </is>
      </c>
    </row>
    <row r="20">
      <c r="A20" s="12" t="n">
        <v>0.64</v>
      </c>
      <c r="B20" s="26" t="n">
        <v>0.078168</v>
      </c>
      <c r="C20" s="26" t="n">
        <v>0.07563826346846501</v>
      </c>
      <c r="D20" s="12" t="n">
        <v>5.019220741328796</v>
      </c>
      <c r="E20" s="13" t="n">
        <v>-0.1194349576616147</v>
      </c>
      <c r="F20" t="inlineStr">
        <is>
          <t>RAW measured weekly beta, n=195, t=6.10</t>
        </is>
      </c>
    </row>
    <row r="21">
      <c r="A21" s="12" t="n">
        <v>0.47</v>
      </c>
      <c r="B21" s="26" t="n">
        <v>0.06988900000000001</v>
      </c>
      <c r="C21" s="26" t="n">
        <v>0.06810411334201856</v>
      </c>
      <c r="D21" s="12" t="n">
        <v>6.007890351760305</v>
      </c>
      <c r="E21" s="13" t="n">
        <v>0.05401585118601848</v>
      </c>
      <c r="F21" t="inlineStr">
        <is>
          <t>measured PRE-WAR only (n=177) — the peacetime beta</t>
        </is>
      </c>
    </row>
    <row r="22">
      <c r="A22" s="12" t="n">
        <v>0.432</v>
      </c>
      <c r="B22" s="26" t="n">
        <v>0.0680384</v>
      </c>
      <c r="C22" s="26" t="n">
        <v>0.06642000919610698</v>
      </c>
      <c r="D22" s="12" t="n">
        <v>6.278121852617101</v>
      </c>
      <c r="E22" s="13" t="n">
        <v>0.1014248864240528</v>
      </c>
      <c r="F22" t="inlineStr">
        <is>
          <t>lower bound of the 95% CI on the measured beta</t>
        </is>
      </c>
    </row>
    <row r="24">
      <c r="A24" s="4" t="inlineStr">
        <is>
          <t>WACC x TERMINAL g (beta held at our 1.00)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11" t="inlineStr">
        <is>
          <t>WACC \ g</t>
        </is>
      </c>
      <c r="B25" s="55" t="n">
        <v>0.015</v>
      </c>
      <c r="C25" s="55" t="n">
        <v>0.02</v>
      </c>
      <c r="D25" s="55" t="n">
        <v>0.025</v>
      </c>
      <c r="E25" s="55" t="n">
        <v>0.03</v>
      </c>
      <c r="F25" s="55" t="n">
        <v>0.035</v>
      </c>
    </row>
    <row r="26">
      <c r="A26" s="55" t="n">
        <v>0.06586785002682198</v>
      </c>
      <c r="B26" s="12" t="n">
        <v>5.191930116410504</v>
      </c>
      <c r="C26" s="12" t="n">
        <v>5.717456099635123</v>
      </c>
      <c r="D26" s="12" t="n">
        <v>6.37157362434766</v>
      </c>
      <c r="E26" s="12" t="n">
        <v>7.208059906658824</v>
      </c>
      <c r="F26" s="12" t="n">
        <v>8.315535675307492</v>
      </c>
    </row>
    <row r="27">
      <c r="A27" s="55" t="n">
        <v>0.07336785002682197</v>
      </c>
      <c r="B27" s="12" t="n">
        <v>4.440073180150167</v>
      </c>
      <c r="C27" s="12" t="n">
        <v>4.822820073859202</v>
      </c>
      <c r="D27" s="12" t="n">
        <v>5.284699468495354</v>
      </c>
      <c r="E27" s="12" t="n">
        <v>5.853081582161964</v>
      </c>
      <c r="F27" s="12" t="n">
        <v>6.569603900001928</v>
      </c>
    </row>
    <row r="28">
      <c r="A28" s="55" t="n">
        <v>0.08086785002682197</v>
      </c>
      <c r="B28" s="12" t="n">
        <v>3.859730603031654</v>
      </c>
      <c r="C28" s="12" t="n">
        <v>4.148936779565259</v>
      </c>
      <c r="D28" s="57" t="n">
        <v>4.489909074965931</v>
      </c>
      <c r="E28" s="12" t="n">
        <v>4.897912372310049</v>
      </c>
      <c r="F28" s="12" t="n">
        <v>5.39486758196432</v>
      </c>
    </row>
    <row r="29">
      <c r="A29" s="55" t="n">
        <v>0.08836785002682196</v>
      </c>
      <c r="B29" s="12" t="n">
        <v>3.398294026389069</v>
      </c>
      <c r="C29" s="12" t="n">
        <v>3.62314712519168</v>
      </c>
      <c r="D29" s="12" t="n">
        <v>3.88348400618154</v>
      </c>
      <c r="E29" s="12" t="n">
        <v>4.188423674642626</v>
      </c>
      <c r="F29" s="12" t="n">
        <v>4.550502551130234</v>
      </c>
    </row>
    <row r="30">
      <c r="A30" s="55" t="n">
        <v>0.09586785002682195</v>
      </c>
      <c r="B30" s="12" t="n">
        <v>3.022671876592323</v>
      </c>
      <c r="C30" s="12" t="n">
        <v>3.201523543487705</v>
      </c>
      <c r="D30" s="12" t="n">
        <v>3.405612559452897</v>
      </c>
      <c r="E30" s="12" t="n">
        <v>3.640686193237265</v>
      </c>
      <c r="F30" s="12" t="n">
        <v>3.914380155106294</v>
      </c>
    </row>
    <row r="32">
      <c r="A32" s="4" t="inlineStr">
        <is>
          <t>SEPARATE STRESS: the FY2026 traffic trough (the derived/judgment driver)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t="inlineStr">
        <is>
          <t>Q2-26 trips at 75% of Q2-25</t>
        </is>
      </c>
      <c r="B33" s="45" t="n">
        <v>4.054480135328383</v>
      </c>
    </row>
    <row r="34">
      <c r="A34" t="inlineStr">
        <is>
          <t>Q2-26 trips at 80% of Q2-25</t>
        </is>
      </c>
      <c r="B34" s="45" t="n">
        <v>4.236597709033435</v>
      </c>
    </row>
    <row r="35">
      <c r="A35" t="inlineStr">
        <is>
          <t>Q2-26 trips at 85% of Q2-25</t>
        </is>
      </c>
      <c r="B35" s="45" t="n">
        <v>4.418715282738489</v>
      </c>
    </row>
    <row r="36">
      <c r="A36" t="inlineStr">
        <is>
          <t>Q2-26 trips at 90% of Q2-25</t>
        </is>
      </c>
      <c r="B36" s="45" t="n">
        <v>4.600832856443541</v>
      </c>
    </row>
    <row r="37">
      <c r="A37" t="inlineStr">
        <is>
          <t>Q2-26 trips at 95% of Q2-25</t>
        </is>
      </c>
      <c r="B37" s="45" t="n">
        <v>4.782950430148593</v>
      </c>
    </row>
    <row r="38">
      <c r="A38" s="19" t="inlineStr">
        <is>
          <t>Even a 25% Q2-2026 trip collapse moves fair value LESS than a single 0.10 step in beta does.</t>
        </is>
      </c>
    </row>
    <row r="39">
      <c r="A39" s="19" t="inlineStr">
        <is>
          <t>That is the finding: this is a discount-rate story, not a traffic story.</t>
        </is>
      </c>
    </row>
    <row r="41">
      <c r="A41" s="4" t="inlineStr">
        <is>
          <t>THE 0.80 BETA FLOOR — a challenged standing rule, priced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t="inlineStr">
        <is>
          <t>A fact-check asserted that Testahil mandates a 0.80 beta floor and that our 0.76 is a breach.</t>
        </is>
      </c>
    </row>
    <row r="43">
      <c r="A43" t="inlineStr">
        <is>
          <t>The our published research standards says the OPPOSITE: attempt the regression; fall back to 1.0 ONLY</t>
        </is>
      </c>
    </row>
    <row r="44">
      <c r="A44" t="inlineStr">
        <is>
          <t>on a usability-gate FAILURE (n&gt;=24, R2&gt;=5%, SE&lt;|b|). Ours passes all three. our cost-of-capital module has</t>
        </is>
      </c>
    </row>
    <row r="45">
      <c r="A45" t="inlineStr">
        <is>
          <t>NO floor. The 0.8-1.3 band belongs to the EFG-Hermes portable lessons, and the standing rule on</t>
        </is>
      </c>
    </row>
    <row r="46">
      <c r="A46" t="inlineStr">
        <is>
          <t>those is: adopt EFG's machinery, NOT their optimistic assumptions. We priced it anyway:</t>
        </is>
      </c>
    </row>
    <row r="47">
      <c r="A47" s="11" t="inlineStr">
        <is>
          <t>Beta</t>
        </is>
      </c>
      <c r="B47" s="11" t="inlineStr">
        <is>
          <t>WACC</t>
        </is>
      </c>
      <c r="C47" s="11" t="inlineStr">
        <is>
          <t>Fair value</t>
        </is>
      </c>
      <c r="D47" s="11" t="inlineStr">
        <is>
          <t>vs spot</t>
        </is>
      </c>
      <c r="E47" s="11" t="inlineStr">
        <is>
          <t>Conclusion</t>
        </is>
      </c>
    </row>
    <row r="48">
      <c r="A48" s="34" t="n">
        <v>0.758</v>
      </c>
      <c r="B48" s="40" t="n">
        <v>0.08086785002682198</v>
      </c>
      <c r="C48" s="58" t="n">
        <v>4.48990907496593</v>
      </c>
      <c r="D48" s="36" t="n">
        <v>-0.2122966535147491</v>
      </c>
      <c r="E48" s="32" t="inlineStr">
        <is>
          <t>PUBLISHED (Blume on a measured 0.637)</t>
        </is>
      </c>
    </row>
    <row r="49">
      <c r="A49" s="37" t="n">
        <v>0.8</v>
      </c>
      <c r="B49" s="26" t="n">
        <v>0.08272922829335583</v>
      </c>
      <c r="C49" s="45" t="n">
        <v>4.324680859652601</v>
      </c>
      <c r="D49" s="13" t="n">
        <v>-0.2412840597100701</v>
      </c>
      <c r="E49" t="inlineStr">
        <is>
          <t>the demanded floor — CONCLUSION UNCHANGED</t>
        </is>
      </c>
    </row>
    <row r="51">
      <c r="A51" s="4" t="inlineStr">
        <is>
          <t>WHAT IF THE RTA KEEPS SELLING SALIK GATES? (the fade in returns on capital)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</row>
    <row r="52">
      <c r="A52" s="19" t="inlineStr">
        <is>
          <t>Our base DCF models ZERO new gates. But if incremental capital only earns 9.5%, the terminal</t>
        </is>
      </c>
    </row>
    <row r="53">
      <c r="A53" s="19" t="inlineStr">
        <is>
          <t>cannot assume perpetual excess returns. Priced:</t>
        </is>
      </c>
    </row>
    <row r="54">
      <c r="A54" s="11" t="inlineStr">
        <is>
          <t>Scenario</t>
        </is>
      </c>
      <c r="B54" s="11" t="inlineStr">
        <is>
          <t>Fair value</t>
        </is>
      </c>
      <c r="C54" s="11" t="inlineStr">
        <is>
          <t>vs base</t>
        </is>
      </c>
    </row>
    <row r="55">
      <c r="A55" t="inlineStr">
        <is>
          <t>a new gate every 3 yrs @ 9.5% ROIC</t>
        </is>
      </c>
      <c r="B55" s="45" t="n">
        <v>3.586989576038331</v>
      </c>
      <c r="C55" s="13" t="n">
        <v>-0.2010997291597604</v>
      </c>
    </row>
    <row r="56">
      <c r="A56" t="inlineStr">
        <is>
          <t>a new gate every 5 yrs @ 9.5% ROIC</t>
        </is>
      </c>
      <c r="B56" s="45" t="n">
        <v>3.94815737560937</v>
      </c>
      <c r="C56" s="13" t="n">
        <v>-0.1206598374958564</v>
      </c>
    </row>
    <row r="57">
      <c r="A57" t="inlineStr">
        <is>
          <t>a new gate every 8 yrs @ 9.5% ROIC</t>
        </is>
      </c>
      <c r="B57" s="45" t="n">
        <v>4.15131426286808</v>
      </c>
      <c r="C57" s="13" t="n">
        <v>-0.07541239843491021</v>
      </c>
    </row>
    <row r="58">
      <c r="A58" s="32" t="inlineStr">
        <is>
          <t>NO new gates (our base case)</t>
        </is>
      </c>
      <c r="B58" s="58" t="n">
        <v>4.48990907496593</v>
      </c>
      <c r="C58" s="32" t="n"/>
    </row>
    <row r="60">
      <c r="A60" s="4" t="inlineStr">
        <is>
          <t>THE WORKING-CAPITAL FLOAT — an objection, quantified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</row>
    <row r="61">
      <c r="A61" s="19" t="inlineStr">
        <is>
          <t>Objection: dWC=0 during a revenue CONTRACTION is optimistic, because a shrinking prepaid</t>
        </is>
      </c>
    </row>
    <row r="62">
      <c r="A62" s="19" t="inlineStr">
        <is>
          <t>e-wallet float is a USE of cash. The mechanism is right. The magnitude is not:</t>
        </is>
      </c>
    </row>
    <row r="63">
      <c r="A63" s="11" t="inlineStr">
        <is>
          <t>If FY2026 revenue is...</t>
        </is>
      </c>
      <c r="B63" s="11" t="inlineStr">
        <is>
          <t>NWC (scaled)</t>
        </is>
      </c>
      <c r="C63" s="11" t="inlineStr">
        <is>
          <t>dWC — cash use</t>
        </is>
      </c>
      <c r="D63" s="11" t="inlineStr">
        <is>
          <t>Fair value</t>
        </is>
      </c>
      <c r="E63" s="11" t="inlineStr">
        <is>
          <t>vs base</t>
        </is>
      </c>
    </row>
    <row r="64">
      <c r="A64" t="inlineStr">
        <is>
          <t>revenue as modelled (-3.6%)</t>
        </is>
      </c>
      <c r="B64" s="28" t="n">
        <v>-648.7742987258409</v>
      </c>
      <c r="C64" s="28" t="n">
        <v>25.22570127415906</v>
      </c>
      <c r="D64" s="45" t="n">
        <v>4.486797291377889</v>
      </c>
      <c r="E64" s="26" t="n">
        <v>-0.0006930616046082472</v>
      </c>
    </row>
    <row r="65">
      <c r="A65" t="inlineStr">
        <is>
          <t>revenue -10%</t>
        </is>
      </c>
      <c r="B65" s="28" t="n">
        <v>-583.8968688532568</v>
      </c>
      <c r="C65" s="28" t="n">
        <v>90.10313114674318</v>
      </c>
      <c r="D65" s="45" t="n">
        <v>4.478794163166799</v>
      </c>
      <c r="E65" s="26" t="n">
        <v>-0.002475531600651837</v>
      </c>
    </row>
    <row r="66">
      <c r="A66" t="inlineStr">
        <is>
          <t>revenue -20%</t>
        </is>
      </c>
      <c r="B66" s="28" t="n">
        <v>-519.0194389806727</v>
      </c>
      <c r="C66" s="28" t="n">
        <v>154.9805610193273</v>
      </c>
      <c r="D66" s="45" t="n">
        <v>4.470791034955707</v>
      </c>
      <c r="E66" s="26" t="n">
        <v>-0.004258001596695649</v>
      </c>
    </row>
    <row r="68">
      <c r="A68" s="19" t="inlineStr">
        <is>
          <t>Even a 20% revenue collapse moves fair value &lt;0.5%. AND the one contraction quarter we have</t>
        </is>
      </c>
    </row>
    <row r="69">
      <c r="A69" s="19" t="inlineStr">
        <is>
          <t>CONTRADICTS the mechanism: Q1-26 revenue FELL 3.0% and the float DEEPENED by AED 172mn.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 ht="20" customHeight="1">
      <c r="A1" s="1" t="inlineStr">
        <is>
          <t>PER-SHARE &amp; RATIOS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11" t="inlineStr"/>
      <c r="B3" s="11" t="inlineStr">
        <is>
          <t>FY2024</t>
        </is>
      </c>
      <c r="C3" s="11" t="inlineStr">
        <is>
          <t>FY2025</t>
        </is>
      </c>
      <c r="D3" s="11" t="inlineStr">
        <is>
          <t>FY2026E</t>
        </is>
      </c>
      <c r="E3" s="11" t="inlineStr">
        <is>
          <t>FY2027E</t>
        </is>
      </c>
      <c r="F3" s="11" t="inlineStr">
        <is>
          <t>FY2028E</t>
        </is>
      </c>
      <c r="G3" s="11" t="inlineStr">
        <is>
          <t>FY2029E</t>
        </is>
      </c>
      <c r="H3" s="11" t="inlineStr">
        <is>
          <t>FY2030E</t>
        </is>
      </c>
    </row>
    <row r="4">
      <c r="A4" t="inlineStr">
        <is>
          <t>EPS, AED</t>
        </is>
      </c>
      <c r="B4" s="44" t="n">
        <v>0.1552666666666667</v>
      </c>
      <c r="C4" s="44" t="n">
        <v>0.20712</v>
      </c>
      <c r="D4" s="44" t="n">
        <v>0.2038665344092138</v>
      </c>
      <c r="E4" s="44" t="n">
        <v>0.2211828903690872</v>
      </c>
      <c r="F4" s="44" t="n">
        <v>0.2388766247010792</v>
      </c>
      <c r="G4" s="44" t="n">
        <v>0.256612907965855</v>
      </c>
      <c r="H4" s="44" t="n">
        <v>0.2746055875609249</v>
      </c>
    </row>
    <row r="5">
      <c r="A5" t="inlineStr">
        <is>
          <t>DPS, AED</t>
        </is>
      </c>
      <c r="B5" s="44" t="n">
        <v>0.1552666666666667</v>
      </c>
      <c r="C5" s="44" t="n">
        <v>0.2214866666666667</v>
      </c>
      <c r="D5" s="44" t="n">
        <v>0.2038665344092138</v>
      </c>
      <c r="E5" s="44" t="n">
        <v>0.2211828903690872</v>
      </c>
      <c r="F5" s="44" t="n">
        <v>0.2388766247010792</v>
      </c>
      <c r="G5" s="44" t="n">
        <v>0.256612907965855</v>
      </c>
      <c r="H5" s="44" t="n">
        <v>0.2746055875609249</v>
      </c>
    </row>
    <row r="6">
      <c r="A6" t="inlineStr">
        <is>
          <t>FCFF per share, AED</t>
        </is>
      </c>
      <c r="D6" s="44" t="n">
        <v>0.2499345440516983</v>
      </c>
      <c r="E6" s="44" t="n">
        <v>0.2662098604080793</v>
      </c>
      <c r="F6" s="44" t="n">
        <v>0.2828599321234485</v>
      </c>
      <c r="G6" s="44" t="n">
        <v>0.299554661278589</v>
      </c>
      <c r="H6" s="44" t="n">
        <v>0.3165114357159131</v>
      </c>
    </row>
    <row r="7">
      <c r="A7" t="inlineStr">
        <is>
          <t>P/E at spot AED 5.70</t>
        </is>
      </c>
      <c r="B7" s="49" t="n">
        <v>36.71103477887505</v>
      </c>
      <c r="C7" s="49" t="n">
        <v>27.52027809965238</v>
      </c>
      <c r="D7" s="49" t="n">
        <v>27.95946875988288</v>
      </c>
      <c r="E7" s="49" t="n">
        <v>25.77052859056335</v>
      </c>
      <c r="F7" s="49" t="n">
        <v>23.86169013871807</v>
      </c>
      <c r="G7" s="49" t="n">
        <v>22.21244459284349</v>
      </c>
      <c r="H7" s="49" t="n">
        <v>20.75704303990311</v>
      </c>
    </row>
    <row r="8">
      <c r="A8" t="inlineStr">
        <is>
          <t>Dividend yield at spot</t>
        </is>
      </c>
      <c r="B8" s="13" t="n">
        <v>0.02723976608187135</v>
      </c>
      <c r="C8" s="13" t="n">
        <v>0.03885730994152047</v>
      </c>
      <c r="D8" s="13" t="n">
        <v>0.03576605866828311</v>
      </c>
      <c r="E8" s="13" t="n">
        <v>0.03880401585422583</v>
      </c>
      <c r="F8" s="13" t="n">
        <v>0.04190817977211916</v>
      </c>
      <c r="G8" s="13" t="n">
        <v>0.04501980841506228</v>
      </c>
      <c r="H8" s="13" t="n">
        <v>0.0481764188703377</v>
      </c>
    </row>
    <row r="9">
      <c r="A9" t="inlineStr">
        <is>
          <t>EBITDA margin</t>
        </is>
      </c>
      <c r="B9" s="13" t="n">
        <v>0.6889616055846421</v>
      </c>
      <c r="C9" s="13" t="n">
        <v>0.6922729180793697</v>
      </c>
      <c r="D9" s="13" t="n">
        <v>0.6971565689120814</v>
      </c>
      <c r="E9" s="13" t="n">
        <v>0.6986313272692327</v>
      </c>
      <c r="F9" s="13" t="n">
        <v>0.700456193294411</v>
      </c>
      <c r="G9" s="13" t="n">
        <v>0.7024967194626993</v>
      </c>
      <c r="H9" s="13" t="n">
        <v>0.7056958651119448</v>
      </c>
    </row>
    <row r="10">
      <c r="A10" t="inlineStr">
        <is>
          <t>Net margin</t>
        </is>
      </c>
      <c r="B10" s="13" t="n">
        <v>0.5080715532286213</v>
      </c>
      <c r="C10" s="13" t="n">
        <v>0.5015983725661145</v>
      </c>
      <c r="D10" s="13" t="n">
        <v>0.5129160407272239</v>
      </c>
      <c r="E10" s="13" t="n">
        <v>0.5233582034069095</v>
      </c>
      <c r="F10" s="13" t="n">
        <v>0.5331575271374596</v>
      </c>
      <c r="G10" s="13" t="n">
        <v>0.5422359924630611</v>
      </c>
      <c r="H10" s="13" t="n">
        <v>0.5515356479047745</v>
      </c>
    </row>
    <row r="11">
      <c r="A11" t="inlineStr">
        <is>
          <t>FCFF / EBITDA conversion</t>
        </is>
      </c>
      <c r="D11" s="13" t="n">
        <v>0.9019787422949818</v>
      </c>
      <c r="E11" s="13" t="n">
        <v>0.9016201077584227</v>
      </c>
      <c r="F11" s="13" t="n">
        <v>0.9013061704632224</v>
      </c>
      <c r="G11" s="13" t="n">
        <v>0.9010349249618113</v>
      </c>
      <c r="H11" s="13" t="n">
        <v>0.9008159165362173</v>
      </c>
    </row>
    <row r="12">
      <c r="A12" t="inlineStr">
        <is>
          <t>Net debt / EBITDA</t>
        </is>
      </c>
      <c r="B12" s="49" t="n">
        <v>3.29</v>
      </c>
      <c r="C12" s="49" t="n">
        <v>2.24</v>
      </c>
      <c r="D12" s="49" t="n">
        <v>2.165315912733719</v>
      </c>
      <c r="E12" s="49" t="n">
        <v>1.97965678823446</v>
      </c>
      <c r="F12" s="49" t="n">
        <v>1.813115101388107</v>
      </c>
      <c r="G12" s="49" t="n">
        <v>1.664952992589483</v>
      </c>
      <c r="H12" s="49" t="n">
        <v>1.531280389174995</v>
      </c>
    </row>
    <row r="14">
      <c r="A14" s="11" t="inlineStr">
        <is>
          <t>DUAL FRAMING — the FY2025 dividend</t>
        </is>
      </c>
    </row>
    <row r="15">
      <c r="A15" t="inlineStr">
        <is>
          <t>On NET PROFIT (AED 1,553.4mn):</t>
        </is>
      </c>
      <c r="B15" s="44" t="n">
        <v>0.20712</v>
      </c>
      <c r="C15" t="inlineStr">
        <is>
          <t>yield</t>
        </is>
      </c>
      <c r="D15" s="13" t="n">
        <v>0.03633684210526315</v>
      </c>
    </row>
    <row r="16">
      <c r="A16" t="inlineStr">
        <is>
          <t>On DECLARED dividends (incl. AED 107.8mn exceptional gains):</t>
        </is>
      </c>
      <c r="B16" s="44" t="n">
        <v>0.2214866666666667</v>
      </c>
      <c r="C16" t="inlineStr">
        <is>
          <t>yield</t>
        </is>
      </c>
      <c r="D16" s="13" t="n">
        <v>0.03885730994152047</v>
      </c>
    </row>
    <row r="17">
      <c r="A17" s="19" t="inlineStr">
        <is>
          <t>Both are true. We state both everywhere the figure appears.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13" customWidth="1" min="3" max="3"/>
    <col width="60" customWidth="1" min="4" max="4"/>
    <col width="52" customWidth="1" min="5" max="5"/>
  </cols>
  <sheetData>
    <row r="1" ht="20" customHeight="1">
      <c r="A1" s="1" t="inlineStr">
        <is>
          <t>PEER SET, AND THE RESEARCH REGISTER</t>
        </is>
      </c>
      <c r="B1" s="2" t="n"/>
      <c r="C1" s="2" t="n"/>
      <c r="D1" s="2" t="n"/>
      <c r="E1" s="2" t="n"/>
    </row>
    <row r="3">
      <c r="A3" s="4" t="inlineStr">
        <is>
          <t>PEER SET</t>
        </is>
      </c>
      <c r="B3" s="6" t="n"/>
      <c r="C3" s="6" t="n"/>
      <c r="D3" s="6" t="n"/>
      <c r="E3" s="6" t="n"/>
    </row>
    <row r="4">
      <c r="A4" s="11" t="inlineStr">
        <is>
          <t>Name</t>
        </is>
      </c>
      <c r="B4" s="11" t="inlineStr">
        <is>
          <t>P/E</t>
        </is>
      </c>
      <c r="C4" s="11" t="inlineStr">
        <is>
          <t>Div yield</t>
        </is>
      </c>
      <c r="D4" s="11" t="inlineStr">
        <is>
          <t>As at</t>
        </is>
      </c>
    </row>
    <row r="5">
      <c r="A5" t="inlineStr">
        <is>
          <t>Parkin (DFM) — RTA 49-yr parking concession, Dubai</t>
        </is>
      </c>
      <c r="B5" s="49" t="n">
        <v>24.9</v>
      </c>
      <c r="C5" s="13" t="n">
        <v>0.042</v>
      </c>
      <c r="D5" t="inlineStr">
        <is>
          <t>Apr-2026</t>
        </is>
      </c>
    </row>
    <row r="6">
      <c r="A6" t="inlineStr">
        <is>
          <t>SALIK at spot — on our FY2026E</t>
        </is>
      </c>
      <c r="B6" s="49" t="n">
        <v>27.95946875988288</v>
      </c>
      <c r="C6" s="13" t="n">
        <v>0.03576605866828311</v>
      </c>
      <c r="D6" t="inlineStr">
        <is>
          <t>10-Jul-2026</t>
        </is>
      </c>
    </row>
    <row r="7">
      <c r="A7" t="inlineStr">
        <is>
          <t>SALIK at spot — on FY2025 actual</t>
        </is>
      </c>
      <c r="B7" s="49" t="n">
        <v>27.52027809965238</v>
      </c>
      <c r="C7" s="13" t="n">
        <v>0.03885730994152047</v>
      </c>
      <c r="D7" t="inlineStr">
        <is>
          <t>10-Jul-2026</t>
        </is>
      </c>
    </row>
    <row r="8">
      <c r="A8" t="inlineStr">
        <is>
          <t>Global toll-road concessions — indicative range</t>
        </is>
      </c>
      <c r="D8" t="inlineStr">
        <is>
          <t>indicative 18-24x</t>
        </is>
      </c>
    </row>
    <row r="9">
      <c r="A9" t="inlineStr">
        <is>
          <t>Dubai utilities (DEWA, Empower) — indicative range</t>
        </is>
      </c>
      <c r="D9" t="inlineStr">
        <is>
          <t>indicative 15-19x</t>
        </is>
      </c>
    </row>
    <row r="10">
      <c r="A10" s="19" t="inlineStr">
        <is>
          <t>Parkin is the only true structural comparable: same emirate, same grantor (RTA), same</t>
        </is>
      </c>
    </row>
    <row r="11">
      <c r="A11" s="19" t="inlineStr">
        <is>
          <t>49-year term, same ~100% payout, same Dubai Investment Fund parent. It trades at ~24.9x.</t>
        </is>
      </c>
    </row>
    <row r="13">
      <c r="A13" s="4" t="inlineStr">
        <is>
          <t>RESEARCH REGISTER — four rings, run BEFORE any driver was set</t>
        </is>
      </c>
      <c r="B13" s="6" t="n"/>
      <c r="C13" s="6" t="n"/>
      <c r="D13" s="6" t="n"/>
      <c r="E13" s="6" t="n"/>
    </row>
    <row r="14">
      <c r="A14" s="11" t="inlineStr">
        <is>
          <t>Ring</t>
        </is>
      </c>
      <c r="B14" s="11" t="inlineStr">
        <is>
          <t>Mandatory category</t>
        </is>
      </c>
      <c r="C14" s="11" t="inlineStr">
        <is>
          <t>Cls</t>
        </is>
      </c>
      <c r="D14" s="11" t="inlineStr">
        <is>
          <t>Finding</t>
        </is>
      </c>
      <c r="E14" s="11" t="inlineStr">
        <is>
          <t>Effect on a driver</t>
        </is>
      </c>
    </row>
    <row r="15">
      <c r="A15" t="inlineStr">
        <is>
          <t>GLOBAL</t>
        </is>
      </c>
      <c r="B15" s="59" t="inlineStr">
        <is>
          <t>rate cycle &amp; FX regime</t>
        </is>
      </c>
      <c r="C15" t="inlineStr">
        <is>
          <t>D</t>
        </is>
      </c>
      <c r="D15" s="60" t="inlineStr">
        <is>
          <t>UST 10Y 4.56%; CBUAE base 3.65%; AED pegged. Fed HIKE priced.</t>
        </is>
      </c>
      <c r="E15" s="61" t="inlineStr">
        <is>
          <t>Anchors rf 4.70% + the MC carry. A hiking cycle RAISES WACC.</t>
        </is>
      </c>
    </row>
    <row r="16">
      <c r="A16" t="inlineStr">
        <is>
          <t>GLOBAL</t>
        </is>
      </c>
      <c r="B16" s="59" t="inlineStr">
        <is>
          <t>commodity complex</t>
        </is>
      </c>
      <c r="C16" t="inlineStr">
        <is>
          <t>C</t>
        </is>
      </c>
      <c r="D16" s="60" t="inlineStr">
        <is>
          <t>Brent ~US$91. IEA: largest oil supply disruption in history.</t>
        </is>
      </c>
      <c r="E16" s="61" t="inlineStr">
        <is>
          <t>Two-sided. Funds Dubai support; raises living costs.</t>
        </is>
      </c>
    </row>
    <row r="17">
      <c r="A17" t="inlineStr">
        <is>
          <t>GLOBAL</t>
        </is>
      </c>
      <c r="B17" s="59" t="inlineStr">
        <is>
          <t>trade / sanctions / supply chains</t>
        </is>
      </c>
      <c r="C17" t="inlineStr">
        <is>
          <t>B</t>
        </is>
      </c>
      <c r="D17" s="60" t="inlineStr">
        <is>
          <t>US-Israel-Iran war from 28-Feb-26. Hormuz 138/day -&gt; &lt;10. Truce "over" 7-Jul, walked back 8-Jul.</t>
        </is>
      </c>
      <c r="E17" s="61" t="inlineStr">
        <is>
          <t>Root cause of the Q1-26 traffic fall. Sets the FY26 trip path.</t>
        </is>
      </c>
    </row>
    <row r="18">
      <c r="A18" t="inlineStr">
        <is>
          <t>GLOBAL</t>
        </is>
      </c>
      <c r="B18" s="59" t="inlineStr">
        <is>
          <t>global sector demand</t>
        </is>
      </c>
      <c r="C18" t="inlineStr">
        <is>
          <t>S</t>
        </is>
      </c>
      <c r="D18" s="60" t="inlineStr">
        <is>
          <t>Emirates 96% of network; flydubai 80%. Travel warnings still live.</t>
        </is>
      </c>
      <c r="E18" s="61" t="inlineStr">
        <is>
          <t>Supports Q3-26 at 95% / Q4-26 at 100% - and caps it.</t>
        </is>
      </c>
    </row>
    <row r="19">
      <c r="A19" t="inlineStr">
        <is>
          <t>COUNTRY</t>
        </is>
      </c>
      <c r="B19" s="59" t="inlineStr">
        <is>
          <t>sovereign macro</t>
        </is>
      </c>
      <c r="C19" t="inlineStr">
        <is>
          <t>D</t>
        </is>
      </c>
      <c r="D19" s="60" t="inlineStr">
        <is>
          <t>UAE MoF: AED prices at UST+14bp. Damodaran UAE Aa2, ERP 4.87% / CDS 4.93%.</t>
        </is>
      </c>
      <c r="E19" s="61" t="inlineStr">
        <is>
          <t>rf 4.70%; ERP 4.87%. Peg rule respected - NOT a UST shortcut.</t>
        </is>
      </c>
    </row>
    <row r="20">
      <c r="A20" t="inlineStr">
        <is>
          <t>COUNTRY</t>
        </is>
      </c>
      <c r="B20" s="59" t="inlineStr">
        <is>
          <t>regulatory environment</t>
        </is>
      </c>
      <c r="C20" t="inlineStr">
        <is>
          <t>B</t>
        </is>
      </c>
      <c r="D20" s="60" t="inlineStr">
        <is>
          <t>Concession fee CUT 25.0%-&gt;22.5% (1-Apr-24). Cap 25% / FLOOR 15%. CT 9%.</t>
        </is>
      </c>
      <c r="E20" s="61" t="inlineStr">
        <is>
          <t>Fee = 22.5% of toll rev. The 15% floor = 9.2% of FY26E EBITDA.</t>
        </is>
      </c>
    </row>
    <row r="21">
      <c r="A21" t="inlineStr">
        <is>
          <t>COUNTRY</t>
        </is>
      </c>
      <c r="B21" s="59" t="inlineStr">
        <is>
          <t>fiscal / political</t>
        </is>
      </c>
      <c r="C21" t="inlineStr">
        <is>
          <t>C</t>
        </is>
      </c>
      <c r="D21" s="60" t="inlineStr">
        <is>
          <t>Dubai AED 2.5bn support package. Reported departure of foreign residents.</t>
        </is>
      </c>
      <c r="E21" s="61" t="inlineStr">
        <is>
          <t>Package supports recovery. Population risk NOT modelled - declared.</t>
        </is>
      </c>
    </row>
    <row r="22">
      <c r="A22" t="inlineStr">
        <is>
          <t>INDUSTRY</t>
        </is>
      </c>
      <c r="B22" s="59" t="inlineStr">
        <is>
          <t>demand &amp; capacity balance</t>
        </is>
      </c>
      <c r="C22" t="inlineStr">
        <is>
          <t>B</t>
        </is>
      </c>
      <c r="D22" s="60" t="inlineStr">
        <is>
          <t>Dubai pop 4.0mn -&gt; 5.8mn by 2040. Trips 4.3% CAGR 2013-23. RTA is ADDING road capacity.</t>
        </is>
      </c>
      <c r="E22" s="61" t="inlineStr">
        <is>
          <t>Underpins 4.5%-&gt;3.0% trend growth and the 2.5% terminal.</t>
        </is>
      </c>
    </row>
    <row r="23">
      <c r="A23" t="inlineStr">
        <is>
          <t>INDUSTRY</t>
        </is>
      </c>
      <c r="B23" s="59" t="inlineStr">
        <is>
          <t>pricing</t>
        </is>
      </c>
      <c r="C23" t="inlineStr">
        <is>
          <t>S</t>
        </is>
      </c>
      <c r="D23" s="60" t="inlineStr">
        <is>
          <t>Variable pricing 31-Jan-25. Realised toll AED 4.000 -&gt; 4.293. Free window = 11% of trips.</t>
        </is>
      </c>
      <c r="E23" s="61" t="inlineStr">
        <is>
          <t>Toll driver: AED 4.293 flat FY26, +1.5%/yr after.</t>
        </is>
      </c>
    </row>
    <row r="24">
      <c r="A24" t="inlineStr">
        <is>
          <t>INDUSTRY</t>
        </is>
      </c>
      <c r="B24" s="59" t="inlineStr">
        <is>
          <t>new entrants (named)</t>
        </is>
      </c>
      <c r="C24" t="inlineStr">
        <is>
          <t>NEG</t>
        </is>
      </c>
      <c r="D24" s="60" t="inlineStr">
        <is>
          <t>NOTHING FOUND - and there cannot be. Exclusive to 2071.</t>
        </is>
      </c>
      <c r="E24" s="61" t="inlineStr">
        <is>
          <t>Evidence of absence, recorded.</t>
        </is>
      </c>
    </row>
    <row r="25">
      <c r="A25" t="inlineStr">
        <is>
          <t>INDUSTRY</t>
        </is>
      </c>
      <c r="B25" s="59" t="inlineStr">
        <is>
          <t>technology substitution</t>
        </is>
      </c>
      <c r="C25" t="inlineStr">
        <is>
          <t>C</t>
        </is>
      </c>
      <c r="D25" s="60" t="inlineStr">
        <is>
          <t>METRO BLUE LINE: AED 20.5bn, 30km, 14 stations, OPENS 2029, 200k-&gt;320k pax/day. Plus Joby air taxis, WeRide robotaxis (live), Etihad Rail, RTA 25%-driverless-by-2030.</t>
        </is>
      </c>
      <c r="E25" s="61" t="inlineStr">
        <is>
          <t>THE material catch. Dated INSIDE the forecast. Why terminal g is capped at 2.5%.</t>
        </is>
      </c>
    </row>
    <row r="26">
      <c r="A26" t="inlineStr">
        <is>
          <t>INDUSTRY</t>
        </is>
      </c>
      <c r="B26" s="59" t="inlineStr">
        <is>
          <t>competitor capacity (named)</t>
        </is>
      </c>
      <c r="C26" t="inlineStr">
        <is>
          <t>NEG</t>
        </is>
      </c>
      <c r="D26" s="60" t="inlineStr">
        <is>
          <t>NOTHING FOUND. Parkin/Dubai Taxi/Mada are RTA spin-offs and complements, not competitors.</t>
        </is>
      </c>
      <c r="E26" s="61" t="inlineStr">
        <is>
          <t>Evidence of absence, recorded.</t>
        </is>
      </c>
    </row>
    <row r="27">
      <c r="A27" t="inlineStr">
        <is>
          <t>COMPANY</t>
        </is>
      </c>
      <c r="B27" s="59" t="inlineStr">
        <is>
          <t>strategic plans &amp; guidance</t>
        </is>
      </c>
      <c r="C27" t="inlineStr">
        <is>
          <t>NEG</t>
        </is>
      </c>
      <c r="D27" s="60" t="inlineStr">
        <is>
          <t>FY2026 guidance WAS cut 11-May-26 but the NUMBERS are in no company-official channel we could reach. 5 searches. We did NOT substitute an aggregator.</t>
        </is>
      </c>
      <c r="E27" s="61" t="inlineStr">
        <is>
          <t>A declared sourcing failure. FY26 built bottom-up instead.</t>
        </is>
      </c>
    </row>
    <row r="28">
      <c r="A28" t="inlineStr">
        <is>
          <t>COMPANY</t>
        </is>
      </c>
      <c r="B28" s="59" t="inlineStr">
        <is>
          <t>regular disclosures</t>
        </is>
      </c>
      <c r="C28" t="inlineStr">
        <is>
          <t>B</t>
        </is>
      </c>
      <c r="D28" s="60" t="inlineStr">
        <is>
          <t>Q1-26: revenue -3.0%, trips -7.7%, EBITDA margin +44bp, ND/EBITDA 1.98x.</t>
        </is>
      </c>
      <c r="E28" s="61" t="inlineStr">
        <is>
          <t>The base for every FY2026 driver.</t>
        </is>
      </c>
    </row>
    <row r="29">
      <c r="A29" t="inlineStr">
        <is>
          <t>COMPANY</t>
        </is>
      </c>
      <c r="B29" s="59" t="inlineStr">
        <is>
          <t>IR communications</t>
        </is>
      </c>
      <c r="C29" t="inlineStr">
        <is>
          <t>B</t>
        </is>
      </c>
      <c r="D29" s="60" t="inlineStr">
        <is>
          <t>Peak/off-peak split REBUILDS toll revenue to +0.05%. Active accounts +7.5% and vehicles +8.4% WHILE trips fell 7.7%.</t>
        </is>
      </c>
      <c r="E29" s="61" t="inlineStr">
        <is>
          <t>Makes the toll driver bottom-up. DECISIVE: utilisation shock, not population shock.</t>
        </is>
      </c>
    </row>
    <row r="30">
      <c r="A30" t="inlineStr">
        <is>
          <t>COMPANY</t>
        </is>
      </c>
      <c r="B30" s="59" t="inlineStr">
        <is>
          <t>one-off base-resetting transactions</t>
        </is>
      </c>
      <c r="C30" t="inlineStr">
        <is>
          <t>B</t>
        </is>
      </c>
      <c r="D30" s="60" t="inlineStr">
        <is>
          <t>2 gates opened 24-Nov-24. AED 2,700mn paid to RTA on top of AED 4,200mn. Earn-outs only if traffic EXCEEDS projections (it does not).</t>
        </is>
      </c>
      <c r="E30" s="61" t="inlineStr">
        <is>
          <t>Sets D&amp;A at AED 146mn/yr. FY2025 is NOT a clean growth comparator.</t>
        </is>
      </c>
    </row>
    <row r="31">
      <c r="A31" t="inlineStr">
        <is>
          <t>COMPANY</t>
        </is>
      </c>
      <c r="B31" s="59" t="inlineStr">
        <is>
          <t>ownership / stake changes</t>
        </is>
      </c>
      <c r="C31" t="inlineStr">
        <is>
          <t>D</t>
        </is>
      </c>
      <c r="D31" s="60" t="inlineStr">
        <is>
          <t>Dubai Investment Fund 75.1%; float 24.9%. NO named stake change since listing - searched specifically per the named-transaction rule.</t>
        </is>
      </c>
      <c r="E31" s="61" t="inlineStr">
        <is>
          <t>Share count exactly 7,500.0mn, confirmed to the dirham by the H2-24 dividend.</t>
        </is>
      </c>
    </row>
    <row r="32">
      <c r="A32" t="inlineStr">
        <is>
          <t>COMPANY</t>
        </is>
      </c>
      <c r="B32" s="59" t="inlineStr">
        <is>
          <t>management &amp; capital actions</t>
        </is>
      </c>
      <c r="C32" t="inlineStr">
        <is>
          <t>D</t>
        </is>
      </c>
      <c r="D32" s="60" t="inlineStr">
        <is>
          <t>100% payout, semi-annual. Fitch A- -&gt; A; Moody's A3. Salik's Chairman is ALSO Director-General of the RTA.</t>
        </is>
      </c>
      <c r="E32" s="61" t="inlineStr">
        <is>
          <t>Sets q=3.886% for the MC carry. Supports Kd 5.5%.</t>
        </is>
      </c>
    </row>
    <row r="33">
      <c r="A33" t="inlineStr">
        <is>
          <t>COMPANY</t>
        </is>
      </c>
      <c r="B33" s="59" t="inlineStr">
        <is>
          <t>official financial statements</t>
        </is>
      </c>
      <c r="C33" t="inlineStr">
        <is>
          <t>D</t>
        </is>
      </c>
      <c r="D33" s="60" t="inlineStr">
        <is>
          <t>FY23-25 audited. FY24 toll rev / trips = EXACTLY AED 4.000. No full quarterly balance sheet published.</t>
        </is>
      </c>
      <c r="E33" s="61" t="inlineStr">
        <is>
          <t>The 3-yr history and the DCF bridge (through NET debt).</t>
        </is>
      </c>
    </row>
    <row r="35">
      <c r="A35" s="19" t="inlineStr">
        <is>
          <t>Class: B = base-case driver | S = scenario/upside | D = data input | C = caveat/risk | NEG = searched, nothing found</t>
        </is>
      </c>
    </row>
    <row r="36">
      <c r="A36" s="19" t="inlineStr">
        <is>
          <t>VALIDATED by our research register: PASS - 4/4 rings, 21 findings, 13 driver-gate rows, 0 errors, 0 warnings.</t>
        </is>
      </c>
    </row>
    <row r="37">
      <c r="A37" s="19" t="inlineStr">
        <is>
          <t>Every MANDATORY category in every ring is CLOSED with a finding or a DATED NEGATIVE SEARCH. The sweep ran BEFORE any driver was set.</t>
        </is>
      </c>
    </row>
    <row r="38">
      <c r="A38" s="19" t="inlineStr">
        <is>
          <t>It caught the Metro Blue Line (2029) - a substitution threat inside the forecast period that we would otherwise have missed.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2026-07-12T17:46:40Z</dcterms:created>
  <dcterms:modified xmlns:dcterms="http://purl.org/dc/terms/" xmlns:xsi="http://www.w3.org/2001/XMLSchema-instance" xsi:type="dcterms:W3CDTF">2026-07-12T17:46:40Z</dcterms:modified>
</cp:coreProperties>
</file>