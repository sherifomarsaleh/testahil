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Holdco NAV" sheetId="5" state="visible" r:id="rId7"/>
    <sheet name="Segments" sheetId="6" state="visible" r:id="rId8"/>
    <sheet name="Relative &amp; Normalized" sheetId="7" state="visible" r:id="rId9"/>
    <sheet name="DCF" sheetId="8" state="visible" r:id="rId10"/>
    <sheet name="Income Statement" sheetId="9" state="visible" r:id="rId11"/>
    <sheet name="Balance Sheet" sheetId="10" state="visible" r:id="rId12"/>
    <sheet name="Cash Flow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<sst xmlns="http://schemas.openxmlformats.org/spreadsheetml/2006/main" count="411" uniqueCount="323">
  <si>
    <t xml:space="preserve">Testahil — Orascom Investment Holding (EGX: OIH) · Companion model</t>
  </si>
  <si>
    <t xml:space="preserve">Companion model · Independent Valuation Study — Educational Analysis · Not investment advice · 03 July 2026</t>
  </si>
  <si>
    <t xml:space="preserve">What this workbook is. A transparent companion to the OIH valuation study. Every blue cell is an input; every black cell is a formula; green cells link across sheets. Change one input (the holdco discount, the OPE platform value, EGP/USD, any single mark) and the whole model reprices.</t>
  </si>
  <si>
    <t xml:space="preserve">What it is not. It is not investment advice, a recommendation, or a price target. Figures are educational estimates presented as ranges. The preparer is not licensed by the Egyptian FRA.</t>
  </si>
  <si>
    <t xml:space="preserve">Entity note. OIH is the Sawiris-family holding company (parent: Orascom TMT Investments S.a r.l.). Its economics are a holdco NAV story, not an earnings story: the crown asset is the Giza Pyramids plateau visitor-services concession (Orascom Pyramids Entertainment + Sound &amp; Light), beside ~US$114m of cash trapped in North Korea (carried at 50% ECL), the 60% Koryolink associate (profits recognized then fully impaired), the Lighthouse Energy renewables fund, and an interest-free EUR/USD shareholder loan owed back to Koryolink.</t>
  </si>
  <si>
    <t xml:space="preserve">Currency. EGP millions unless stated. Audited historicals are the IFRS consolidated statements (KPMG Luxembourg, qualified opinion on Koryolink, DPRK cash and OTL Lebanon), presented in US$ '000 and converted here at the disclosed closing/average rates; FY2024 line items not separately disclosed are estimated to balance to disclosed totals (EAS total assets EGP 9,508m). FY2025E-FY2029E are Testahil estimates.</t>
  </si>
  <si>
    <t xml:space="preserve">Sheets: Summary · Fundamental Valuation · Assumptions · Holdco NAV · Segments · Relative &amp; Normalized · DCF · Income Statement · Balance Sheet · Cash Flow · Summary Financials · Monte Carlo · Sensitivity · Per-Share &amp; Ratios · Peer &amp; Sector</t>
  </si>
  <si>
    <t xml:space="preserve">Valuation summary — Orascom Investment Holding (EGX: OIH)</t>
  </si>
  <si>
    <t xml:space="preserve">Four-lens fair value vs spot. Base linked; bear/bull are scenario inputs.</t>
  </si>
  <si>
    <t xml:space="preserve">Bear</t>
  </si>
  <si>
    <t xml:space="preserve">Base</t>
  </si>
  <si>
    <t xml:space="preserve">Bull</t>
  </si>
  <si>
    <t xml:space="preserve">Weight</t>
  </si>
  <si>
    <t xml:space="preserve">Holdco NAV</t>
  </si>
  <si>
    <t xml:space="preserve">Consolidated DCF</t>
  </si>
  <si>
    <t xml:space="preserve">Relative (P/NAV)</t>
  </si>
  <si>
    <t xml:space="preserve">Normalized earnings</t>
  </si>
  <si>
    <t xml:space="preserve">Weighted central</t>
  </si>
  <si>
    <t xml:space="preserve">Spot price (EGP)</t>
  </si>
  <si>
    <t xml:space="preserve">Upside to central base</t>
  </si>
  <si>
    <t xml:space="preserve">Read: the market trades OIH above its accountable base NAV — the premium is the price of the Pyramids ramp, DPRK optionality and the Sawiris platform. The swing input is the OPE platform value; the tail is the DPRK cash / Koryolink-loan pair.</t>
  </si>
  <si>
    <t xml:space="preserve">Fundamental valuation — the lenses at a glance</t>
  </si>
  <si>
    <t xml:space="preserve">Lens</t>
  </si>
  <si>
    <t xml:space="preserve">Fair value (EGP/sh)</t>
  </si>
  <si>
    <t xml:space="preserve">Basis</t>
  </si>
  <si>
    <t xml:space="preserve">Holdco NAV (primary)</t>
  </si>
  <si>
    <t xml:space="preserve">Asset-by-asset marks, DCF of OPE, less 15% holdco discount</t>
  </si>
  <si>
    <t xml:space="preserve">FCFF of operating business + financial assets at marks</t>
  </si>
  <si>
    <t xml:space="preserve">Peer holdco P/NAV on pre-discount NAV</t>
  </si>
  <si>
    <t xml:space="preserve">Mid-cycle earnings power × justified P/E</t>
  </si>
  <si>
    <t xml:space="preserve">Weighted central (base)</t>
  </si>
  <si>
    <t xml:space="preserve">Two clocks: this weighted figure is the risk-adjusted ~12-month anchor; the DPRK-cash-recovered, OPE-at-maturity NAV is a multi-year ceiling and is never placed beside near-term figures. The Monte Carlo percentiles are the only genuine 3-month numbers in this workbook.</t>
  </si>
  <si>
    <t xml:space="preserve">Assumptions — the single input layer</t>
  </si>
  <si>
    <t xml:space="preserve">All blue cells are inputs. Every other sheet links here.</t>
  </si>
  <si>
    <t xml:space="preserve">ANCHORS</t>
  </si>
  <si>
    <t xml:space="preserve">Spot price (EGP/share)</t>
  </si>
  <si>
    <t xml:space="preserve">Close 01-Jul-2026, uploaded OHLC (investing.com)</t>
  </si>
  <si>
    <t xml:space="preserve">Shares outstanding (m)</t>
  </si>
  <si>
    <t xml:space="preserve">Mubasher/EGX: 5,245,690,620 shares, paid-in EGP 577.0m</t>
  </si>
  <si>
    <t xml:space="preserve">EGP/USD</t>
  </si>
  <si>
    <t xml:space="preserve">Mid-market 02-Jul-2026 (investing.com / Xe / Yahoo)</t>
  </si>
  <si>
    <t xml:space="preserve">WACC — EGP operating business</t>
  </si>
  <si>
    <t xml:space="preserve">CBE corridor ~19-20%, CPI 14.9% Apr-26; EGP cost of equity build-up</t>
  </si>
  <si>
    <t xml:space="preserve">Terminal growth (EGP, nominal)</t>
  </si>
  <si>
    <t xml:space="preserve">Long-run EGP nominal growth, below CPI</t>
  </si>
  <si>
    <t xml:space="preserve">Tax rate</t>
  </si>
  <si>
    <t xml:space="preserve">Egypt corporate rate 22.5%</t>
  </si>
  <si>
    <t xml:space="preserve">HOLDCO NAV — base marks (US$ m unless noted)</t>
  </si>
  <si>
    <t xml:space="preserve">Cash &amp; equivalents (ex-DPRK)</t>
  </si>
  <si>
    <t xml:space="preserve">FY24 IFRS FS (KPMG, 23-Dec-25): cash 45,714k</t>
  </si>
  <si>
    <t xml:space="preserve">DPRK cash — gross</t>
  </si>
  <si>
    <t xml:space="preserve">FY24 IFRS: $106m at Foreign Trade Bank of DPRK + $8m in hand</t>
  </si>
  <si>
    <t xml:space="preserve">DPRK cash — expected credit loss</t>
  </si>
  <si>
    <t xml:space="preserve">Board ECL 50%; KPMG qualified (unable to verify recoverability)</t>
  </si>
  <si>
    <t xml:space="preserve">Koryolink 60% associate — carrying</t>
  </si>
  <si>
    <t xml:space="preserve">FY24 IFRS: equity-accounted, profits recognized then fully impaired</t>
  </si>
  <si>
    <t xml:space="preserve">Lighthouse Energy Fund (FVTPL, L3)</t>
  </si>
  <si>
    <t xml:space="preserve">FY24 IFRS: 28,522k; DCF marks, disc. 7.5-13.5%</t>
  </si>
  <si>
    <t xml:space="preserve">Brazil investment property (Sao Paulo)</t>
  </si>
  <si>
    <t xml:space="preserve">FY22 IFRS carrying 8,166k; discontinued segment — est.</t>
  </si>
  <si>
    <t xml:space="preserve">Trade receivables + other assets, net of payables/provisions/tax</t>
  </si>
  <si>
    <t xml:space="preserve">FY24 IFRS: TR 4.3 + other 12.9 + inv 0.1 - payables 4.9 - provisions ~7.3 - tax ~2.3 - other ~2.8 (est.)</t>
  </si>
  <si>
    <t xml:space="preserve">Loan from Koryolink (interest-free, EUR/USD)</t>
  </si>
  <si>
    <t xml:space="preserve">FY24 IFRS: carrying 90,499k ($86m Aug-22 + EUR30m Dec-24); undisc. ~$116m</t>
  </si>
  <si>
    <t xml:space="preserve">Bank borrowings</t>
  </si>
  <si>
    <t xml:space="preserve">FY24 IFRS: liabilities to banks 8,585k (saib facilities at OPE)</t>
  </si>
  <si>
    <t xml:space="preserve">Lease liabilities</t>
  </si>
  <si>
    <t xml:space="preserve">FY24 IFRS: 8,806k</t>
  </si>
  <si>
    <t xml:space="preserve">OPE + Sound &amp; Light platform (EGP m)</t>
  </si>
  <si>
    <t xml:space="preserve">Standalone OPE/S&amp;L DCF ex-holdco costs; the 15% discount below proxies central costs + governance (never both capitalized costs and a discount)</t>
  </si>
  <si>
    <t xml:space="preserve">Holdco discount</t>
  </si>
  <si>
    <t xml:space="preserve">Conglomerate/complexity + governance + late-filer discount</t>
  </si>
  <si>
    <t xml:space="preserve">RELATIVE &amp; NORMALIZED</t>
  </si>
  <si>
    <t xml:space="preserve">Peer P/NAV multiple</t>
  </si>
  <si>
    <t xml:space="preserve">EGX holdco range ~0.5-0.9x accountable NAV</t>
  </si>
  <si>
    <t xml:space="preserve">EV/EBITDA target (FY27E)</t>
  </si>
  <si>
    <t xml:space="preserve">Tourism-infrastructure concession comps</t>
  </si>
  <si>
    <t xml:space="preserve">Normalized attributable earnings (EGP m)</t>
  </si>
  <si>
    <t xml:space="preserve">Mid-cycle: OPE at ~40% margin + net financial carry, ex-FX/one-offs</t>
  </si>
  <si>
    <t xml:space="preserve">Justified P/E</t>
  </si>
  <si>
    <t xml:space="preserve">Growth concession, holdco wrapper</t>
  </si>
  <si>
    <t xml:space="preserve">SYNTHESIS WEIGHTS</t>
  </si>
  <si>
    <t xml:space="preserve">Holdco NAV weight</t>
  </si>
  <si>
    <t xml:space="preserve">Primary lens</t>
  </si>
  <si>
    <t xml:space="preserve">DCF weight</t>
  </si>
  <si>
    <t xml:space="preserve">Relative weight</t>
  </si>
  <si>
    <t xml:space="preserve">Normalized-earnings weight</t>
  </si>
  <si>
    <t xml:space="preserve">MONTE CARLO (engine outputs — see Monte Carlo sheet)</t>
  </si>
  <si>
    <t xml:space="preserve">Diffusion volatility (annualized)</t>
  </si>
  <si>
    <t xml:space="preserve">YZ-HAR pooled log-HAR on Yang-Zhang proxy, fit 01-Jul-26</t>
  </si>
  <si>
    <t xml:space="preserve">Net 3-month drift (total)</t>
  </si>
  <si>
    <t xml:space="preserve">Secular (expanding mean, drift ON per Step 0) + 16-factor net</t>
  </si>
  <si>
    <t xml:space="preserve">KVOL (calibration multiplier)</t>
  </si>
  <si>
    <t xml:space="preserve">Retired in engine v2 (over-covered, cost CRPS)</t>
  </si>
  <si>
    <t xml:space="preserve">FORECAST DRIVERS (FY25E–FY29E)</t>
  </si>
  <si>
    <t xml:space="preserve">FY25E</t>
  </si>
  <si>
    <t xml:space="preserve">FY26E</t>
  </si>
  <si>
    <t xml:space="preserve">FY27E</t>
  </si>
  <si>
    <t xml:space="preserve">FY28E</t>
  </si>
  <si>
    <t xml:space="preserve">FY29E</t>
  </si>
  <si>
    <t xml:space="preserve">Entertainment revenue — FY25E level (EGP m)</t>
  </si>
  <si>
    <t xml:space="preserve">9M-25 consolidated rev EGP 441m annualized (Arab Finance 31-Dec-25)</t>
  </si>
  <si>
    <t xml:space="preserve">Entertainment revenue growth</t>
  </si>
  <si>
    <t xml:space="preserve">OPE ramp; plateau-area rev EGP 3-3.5bn 2026E, +20-25%/yr (EnterpriseAM 29-Jun-26)</t>
  </si>
  <si>
    <t xml:space="preserve">Other / rental revenue (EGP m)</t>
  </si>
  <si>
    <t xml:space="preserve">Brazil rentals + misc</t>
  </si>
  <si>
    <t xml:space="preserve">Entertainment EBITDA margin</t>
  </si>
  <si>
    <t xml:space="preserve">50-50 state revenue share inside cost base; scale economics</t>
  </si>
  <si>
    <t xml:space="preserve">Holdco &amp; other opex (EGP m)</t>
  </si>
  <si>
    <t xml:space="preserve">Parent costs, listing, legacy entities</t>
  </si>
  <si>
    <t xml:space="preserve">D&amp;A (% of revenue)</t>
  </si>
  <si>
    <t xml:space="preserve">Net finance cost (EGP m)</t>
  </si>
  <si>
    <t xml:space="preserve">KL-loan unwinding + saib facilities, fading; ex-FX</t>
  </si>
  <si>
    <t xml:space="preserve">FX &amp; impairments / one-offs (EGP m)</t>
  </si>
  <si>
    <t xml:space="preserve">FY25E: EGP appreciation losses on net-long USD book + NK ECL top-up (drives 9M-25 EGP -806m)</t>
  </si>
  <si>
    <t xml:space="preserve">Capex (EGP m)</t>
  </si>
  <si>
    <t xml:space="preserve">EGP 500m 2026 completes the ~EGP 2bn build (EnterpriseAM); maintenance thereafter</t>
  </si>
  <si>
    <t xml:space="preserve">Working-capital change (EGP m)</t>
  </si>
  <si>
    <t xml:space="preserve">Holdco NAV (primary lens)</t>
  </si>
  <si>
    <t xml:space="preserve">Each asset marked on the basis that fits it; USD marks converted at EGP/USD; the OPE platform carried at its DCF value.</t>
  </si>
  <si>
    <t xml:space="preserve">Part</t>
  </si>
  <si>
    <t xml:space="preserve">Value (EGP m)</t>
  </si>
  <si>
    <t xml:space="preserve">Carrying</t>
  </si>
  <si>
    <t xml:space="preserve">The DPRK block is deliberately shown net-of-ECL against the full KL loan: the market may treat the pair as a wash; we carry both at audited marks.</t>
  </si>
  <si>
    <t xml:space="preserve">DPRK cash, net of ECL</t>
  </si>
  <si>
    <t xml:space="preserve">Gross × (1 − 50% ECL)</t>
  </si>
  <si>
    <t xml:space="preserve">Koryolink 60% associate</t>
  </si>
  <si>
    <t xml:space="preserve">Carrying (profits fully impaired)</t>
  </si>
  <si>
    <t xml:space="preserve">Lighthouse Energy Fund</t>
  </si>
  <si>
    <t xml:space="preserve">L3 fund mark (DCF)</t>
  </si>
  <si>
    <t xml:space="preserve">Brazil investment property</t>
  </si>
  <si>
    <t xml:space="preserve">Carrying, est.</t>
  </si>
  <si>
    <t xml:space="preserve">Net working capital &amp; other</t>
  </si>
  <si>
    <t xml:space="preserve">Receivables + other − payables/provisions/tax</t>
  </si>
  <si>
    <t xml:space="preserve">OPE + Sound &amp; Light platform</t>
  </si>
  <si>
    <t xml:space="preserve">DCF of the plateau concession</t>
  </si>
  <si>
    <t xml:space="preserve">Loan from Koryolink</t>
  </si>
  <si>
    <t xml:space="preserve">Carrying (interest-free, unwinds to ~$116m)</t>
  </si>
  <si>
    <t xml:space="preserve">Σ NAV (pre-discount)</t>
  </si>
  <si>
    <t xml:space="preserve">  per share (EGP)</t>
  </si>
  <si>
    <t xml:space="preserve">less: holdco discount</t>
  </si>
  <si>
    <t xml:space="preserve">applied</t>
  </si>
  <si>
    <t xml:space="preserve">NAV equity value</t>
  </si>
  <si>
    <t xml:space="preserve">NAV fair value per share (EGP)</t>
  </si>
  <si>
    <t xml:space="preserve">Memo — DPRK cash at full recovery adds (EGP/share)</t>
  </si>
  <si>
    <t xml:space="preserve">Memo — KL loan at undiscounted $116m costs (EGP/share)</t>
  </si>
  <si>
    <t xml:space="preserve">Segments (EGP m)</t>
  </si>
  <si>
    <t xml:space="preserve">IFRS reportable segments: Entertainment (OPE + Sound &amp; Light, Giza plateau) · Other (holdco &amp; equity investments) · GSM-Lebanon (terminated) · Investment property (Brazil, discontinued).</t>
  </si>
  <si>
    <t xml:space="preserve">FY23</t>
  </si>
  <si>
    <t xml:space="preserve">FY24</t>
  </si>
  <si>
    <t xml:space="preserve">Entertainment revenue</t>
  </si>
  <si>
    <t xml:space="preserve">FY23/FY24 split est. from IFRS segment note &amp; receivable mix; entertainment is the bulk of consolidated revenue</t>
  </si>
  <si>
    <t xml:space="preserve">Other / rental revenue</t>
  </si>
  <si>
    <t xml:space="preserve">GSM-Lebanon revenue</t>
  </si>
  <si>
    <t xml:space="preserve">Total revenue</t>
  </si>
  <si>
    <t xml:space="preserve">Plateau concession economics: 2018 protocol with the Supreme Council of Antiquities; strict 50-50 revenue share with the state (state minimum EGP 20m/yr); site ticket revenue stays with the state — OPE monetizes transport (e-buses), F&amp;B, retail leases, events, sponsorship; cumulative investment heading to ~EGP 2bn; plateau-area revenue seen at EGP 3-3.5bn in 2026 (+20-25%/yr), 5m visitors targeted.</t>
  </si>
  <si>
    <t xml:space="preserve">Sources: EnterpriseAM 29-Jun-26; Egyptian Streets 29-Nov-24; Daily News Egypt 09-Oct-23.</t>
  </si>
  <si>
    <t xml:space="preserve">Relative &amp; normalized lenses</t>
  </si>
  <si>
    <t xml:space="preserve">Relative: peer P/NAV × accountable NAV (pre-discount) per share</t>
  </si>
  <si>
    <t xml:space="preserve">Normalized: mid-cycle attributable earnings × justified P/E, per share</t>
  </si>
  <si>
    <t xml:space="preserve">EV/EBITDA cross-read: FY27E EBITDA × target ÷ shares (equity ≈ EV + net fin. assets)</t>
  </si>
  <si>
    <t xml:space="preserve">Normalized earnings anatomy: OPE at maturity margin + net financial carry, excluding FX swings, DPRK ECL noise and Koryolink pass-through.</t>
  </si>
  <si>
    <t xml:space="preserve">Consolidated DCF (FCFF, EGP m) — cross-check lens</t>
  </si>
  <si>
    <t xml:space="preserve">Operating business (OPE-led) FCFF at EGP WACC + net financial assets at marks.</t>
  </si>
  <si>
    <t xml:space="preserve">EBITDA</t>
  </si>
  <si>
    <t xml:space="preserve">less: tax on EBIT</t>
  </si>
  <si>
    <t xml:space="preserve">less: capex</t>
  </si>
  <si>
    <t xml:space="preserve">less: ΔWC</t>
  </si>
  <si>
    <t xml:space="preserve">FCFF</t>
  </si>
  <si>
    <t xml:space="preserve">Discount factor</t>
  </si>
  <si>
    <t xml:space="preserve">PV of FCFF</t>
  </si>
  <si>
    <t xml:space="preserve">Terminal value (FY29E FCFF × (1+g) / (WACC−g))</t>
  </si>
  <si>
    <t xml:space="preserve">PV of terminal value</t>
  </si>
  <si>
    <t xml:space="preserve">Operating EV</t>
  </si>
  <si>
    <t xml:space="preserve">plus: net financial assets at marks (NAV ex-OPE, pre-discount)</t>
  </si>
  <si>
    <t xml:space="preserve">DCF equity value</t>
  </si>
  <si>
    <t xml:space="preserve">DCF fair value per share (EGP)</t>
  </si>
  <si>
    <t xml:space="preserve">WACC 20% (EGP) reflects CBE corridor ~19-20% and an EGP equity build-up; g 6% nominal.</t>
  </si>
  <si>
    <t xml:space="preserve">Income statement (EGP m, consolidated, FY ends Dec)</t>
  </si>
  <si>
    <t xml:space="preserve">FY22–FY24 audited IFRS (US$ ’000 × disclosed avg FX, converted below); FY25E–FY29E Testahil estimates.</t>
  </si>
  <si>
    <t xml:space="preserve">FY22</t>
  </si>
  <si>
    <t xml:space="preserve">Avg FX (EGP per USD)</t>
  </si>
  <si>
    <t xml:space="preserve">IFRS FY23/FY24 FS: avg USD-per-EGP 0.0521 / 0.0326 / 0.0220 inverted</t>
  </si>
  <si>
    <t xml:space="preserve">— audited US$ ’000 (source block) —</t>
  </si>
  <si>
    <t xml:space="preserve">Revenue</t>
  </si>
  <si>
    <t xml:space="preserve">Source: OIH consolidated IFRS FS FY2023 (KPMG 10-Nov-25, incl. FY22 restated) &amp; FY2024 (23-Dec-25), orascomih.com</t>
  </si>
  <si>
    <t xml:space="preserve">Other income</t>
  </si>
  <si>
    <t xml:space="preserve">Purchases, services &amp; other opex</t>
  </si>
  <si>
    <t xml:space="preserve">Personnel cost</t>
  </si>
  <si>
    <t xml:space="preserve">Provisions</t>
  </si>
  <si>
    <t xml:space="preserve">D&amp;A</t>
  </si>
  <si>
    <t xml:space="preserve">Impairment of financial assets</t>
  </si>
  <si>
    <t xml:space="preserve">Finance income</t>
  </si>
  <si>
    <t xml:space="preserve">FVTPL gains/(losses)</t>
  </si>
  <si>
    <t xml:space="preserve">Finance expense</t>
  </si>
  <si>
    <t xml:space="preserve">Net FX differences</t>
  </si>
  <si>
    <t xml:space="preserve">Koryolink share of profit</t>
  </si>
  <si>
    <t xml:space="preserve">Koryolink impairment</t>
  </si>
  <si>
    <t xml:space="preserve">Income tax</t>
  </si>
  <si>
    <t xml:space="preserve">Discontinued operations</t>
  </si>
  <si>
    <t xml:space="preserve">— EGP m (converted / forecast) —</t>
  </si>
  <si>
    <t xml:space="preserve">Opex (purchases, personnel, provisions)</t>
  </si>
  <si>
    <t xml:space="preserve">EBITDA margin</t>
  </si>
  <si>
    <t xml:space="preserve">EBIT</t>
  </si>
  <si>
    <t xml:space="preserve">Impairments &amp; FX (incl. DPRK ECL)</t>
  </si>
  <si>
    <t xml:space="preserve">Net finance result (incl. FVTPL)</t>
  </si>
  <si>
    <t xml:space="preserve">Koryolink share, net of impairment</t>
  </si>
  <si>
    <t xml:space="preserve">PBT</t>
  </si>
  <si>
    <t xml:space="preserve">Net profit / (loss)</t>
  </si>
  <si>
    <t xml:space="preserve">FY25E check: 9M-25 consolidated net loss EGP -806m (Arab Finance/Zawya, 31-Dec-25/02-Jan-26); model FY25E lands in the same zone.</t>
  </si>
  <si>
    <t xml:space="preserve">Balance sheet (EGP m, consolidated, 31 Dec)</t>
  </si>
  <si>
    <t xml:space="preserve">FY22–FY24 audited IFRS (US$ ’000 × closing FX); FY24 lines not separately disclosed are estimated to balance to EAS total assets EGP 9,508m. FY25E–FY29E Testahil.</t>
  </si>
  <si>
    <t xml:space="preserve">Closing FX (EGP per USD)</t>
  </si>
  <si>
    <t xml:space="preserve">— audited US$ ’000 (source block; FY24 P&amp;E, payables split, DTL/tax/provisions est. to balance) —</t>
  </si>
  <si>
    <t xml:space="preserve">Property &amp; equipment (incl. ROU)</t>
  </si>
  <si>
    <t xml:space="preserve">Investment property</t>
  </si>
  <si>
    <t xml:space="preserve">Equity-accounted investees (Koryolink)</t>
  </si>
  <si>
    <t xml:space="preserve">Financial assets at amortized cost (DPRK cash, net)</t>
  </si>
  <si>
    <t xml:space="preserve">Financial assets at FVTPL (Lighthouse)</t>
  </si>
  <si>
    <t xml:space="preserve">Inventories</t>
  </si>
  <si>
    <t xml:space="preserve">Trade receivables</t>
  </si>
  <si>
    <t xml:space="preserve">Other assets</t>
  </si>
  <si>
    <t xml:space="preserve">Cash &amp; cash equivalents</t>
  </si>
  <si>
    <t xml:space="preserve">Borrowings (incl. KL loan &amp; leases)</t>
  </si>
  <si>
    <t xml:space="preserve">Trade payables &amp; other liabilities</t>
  </si>
  <si>
    <t xml:space="preserve">Deferred tax liabilities</t>
  </si>
  <si>
    <t xml:space="preserve">Income tax liabilities</t>
  </si>
  <si>
    <t xml:space="preserve">— EGP m —</t>
  </si>
  <si>
    <t xml:space="preserve">Koryolink (equity-accounted)</t>
  </si>
  <si>
    <t xml:space="preserve">DPRK cash (net of 50% ECL)</t>
  </si>
  <si>
    <t xml:space="preserve">Lighthouse Energy Fund (FVTPL)</t>
  </si>
  <si>
    <t xml:space="preserve">Total assets</t>
  </si>
  <si>
    <t xml:space="preserve">Total liabilities</t>
  </si>
  <si>
    <t xml:space="preserve">Total equity</t>
  </si>
  <si>
    <t xml:space="preserve">Check: assets − liabilities − equity</t>
  </si>
  <si>
    <t xml:space="preserve">FX translation &amp; other equity movements (balancing, est.)</t>
  </si>
  <si>
    <t xml:space="preserve">Source: FY23 IFRS FS incl. FY22 restated (RNS 1069H, 11-Nov-25); FY24 IFRS FS (23-Dec-25); EAS total assets EGP 9,508m end-24 / 9,509m Sep-25 (Zawya 02-Jan-26).</t>
  </si>
  <si>
    <t xml:space="preserve">Cash flow (EGP m, consolidated)</t>
  </si>
  <si>
    <t xml:space="preserve">FY22–FY24 audited IFRS × avg FX; FY25E–FY29E: NP + D&amp;A − capex − ΔWC + financing.</t>
  </si>
  <si>
    <t xml:space="preserve">— audited US$ ’000 —</t>
  </si>
  <si>
    <t xml:space="preserve">Operating cash flow</t>
  </si>
  <si>
    <t xml:space="preserve">Investing cash flow</t>
  </si>
  <si>
    <t xml:space="preserve">Financing cash flow</t>
  </si>
  <si>
    <t xml:space="preserve">Discontinued &amp; FX on cash</t>
  </si>
  <si>
    <t xml:space="preserve">add back: D&amp;A</t>
  </si>
  <si>
    <t xml:space="preserve">add back: non-cash impairments &amp; FX</t>
  </si>
  <si>
    <t xml:space="preserve">Working-capital change</t>
  </si>
  <si>
    <t xml:space="preserve">Capex</t>
  </si>
  <si>
    <t xml:space="preserve">Net borrowings &amp; other financing</t>
  </si>
  <si>
    <t xml:space="preserve">Net change in cash</t>
  </si>
  <si>
    <t xml:space="preserve">Opening cash</t>
  </si>
  <si>
    <t xml:space="preserve">Closing cash</t>
  </si>
  <si>
    <t xml:space="preserve">Source: FY23 IFRS FS incl. FY22 (RNS 1069H); FY24 IFRS FS: CFO −33,650 / CFI −21,126 / CFF +27,833, cash end 45,714 (US$ ’000).</t>
  </si>
  <si>
    <t xml:space="preserve">Summary financials (EGP m) — every cell links to the statement sheets</t>
  </si>
  <si>
    <t xml:space="preserve">Cash (closing)</t>
  </si>
  <si>
    <t xml:space="preserve">Borrowings</t>
  </si>
  <si>
    <t xml:space="preserve">Monte Carlo — engine outputs</t>
  </si>
  <si>
    <t xml:space="preserve">50,000 paths · 16 factors (7 continuous + 9 discrete) · seed 42 · YZ-HAR width, unit-variance t5 innovations, secular drift ON (Step 0). Paths diffuse from spot; the §1 value gap is kept out of the drift.</t>
  </si>
  <si>
    <t xml:space="preserve">Percentile map (EGP/share)</t>
  </si>
  <si>
    <t xml:space="preserve">Horizon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</si>
  <si>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</si>
  <si>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</si>
  <si>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</si>
  <si>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</si>
  <si>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</si>
  <si>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Factor set = egx_holdco adapted to OIH (tourism/DPRK/FX-long); calibrated=False pending red-pen sign-off; net factor contribution +1.9%.</t>
  </si>
  <si>
    <t xml:space="preserve">T+20 sessions</t>
  </si>
  <si>
    <t xml:space="preserve">T+60 sessions</t>
  </si>
  <si>
    <t xml:space="preserve">Inputs (from Assumptions): σ (ann.)</t>
  </si>
  <si>
    <t xml:space="preserve">net 3-month drift</t>
  </si>
  <si>
    <t xml:space="preserve">KVOL (calibration)</t>
  </si>
  <si>
    <t xml:space="preserve">Level-touch ladder</t>
  </si>
  <si>
    <t xml:space="preserve">Level</t>
  </si>
  <si>
    <t xml:space="preserve">T+20</t>
  </si>
  <si>
    <t xml:space="preserve">T+60</t>
  </si>
  <si>
    <t xml:space="preserve">T+60 probability zones</t>
  </si>
  <si>
    <t xml:space="preserve">Zone (EGP)</t>
  </si>
  <si>
    <t xml:space="preserve">Probability</t>
  </si>
  <si>
    <t xml:space="preserve">0.00-1.00</t>
  </si>
  <si>
    <t xml:space="preserve">1.00-1.20</t>
  </si>
  <si>
    <t xml:space="preserve">1.20-1.41</t>
  </si>
  <si>
    <t xml:space="preserve">1.41-1.60</t>
  </si>
  <si>
    <t xml:space="preserve">1.60-1.80</t>
  </si>
  <si>
    <t xml:space="preserve">1.80-2.10</t>
  </si>
  <si>
    <t xml:space="preserve">2.10+</t>
  </si>
  <si>
    <t xml:space="preserve">Sensitivity — NAV fair value per share (EGP)</t>
  </si>
  <si>
    <t xml:space="preserve">Holdco discount (rows) × OPE + S&amp;L platform value (columns, EGP m). All else at base marks.</t>
  </si>
  <si>
    <t xml:space="preserve">Discount \ OPE</t>
  </si>
  <si>
    <t xml:space="preserve">DPRK swing (memo): full recovery of the ECL adds; KL-loan unwinding to $116m costs — see Holdco NAV memo rows.</t>
  </si>
  <si>
    <t xml:space="preserve">Per-share &amp; ratios</t>
  </si>
  <si>
    <t xml:space="preserve">Revenue / share (EGP)</t>
  </si>
  <si>
    <t xml:space="preserve">EPS (EGP)</t>
  </si>
  <si>
    <t xml:space="preserve">Book value / share (EGP)</t>
  </si>
  <si>
    <t xml:space="preserve">P/BV at spot</t>
  </si>
  <si>
    <t xml:space="preserve">NAV / share (base, post-discount)</t>
  </si>
  <si>
    <t xml:space="preserve">P/NAV at spot</t>
  </si>
  <si>
    <t xml:space="preserve">Market cap (EGP m)</t>
  </si>
  <si>
    <t xml:space="preserve">Peer set &amp; sector structure — EGX listed holdcos</t>
  </si>
  <si>
    <t xml:space="preserve">Name (EGX)</t>
  </si>
  <si>
    <t xml:space="preserve">Focus</t>
  </si>
  <si>
    <t xml:space="preserve">Discount narrative</t>
  </si>
  <si>
    <t xml:space="preserve">Comparability to OIH</t>
  </si>
  <si>
    <t xml:space="preserve">OIH — subject</t>
  </si>
  <si>
    <t xml:space="preserve">Pyramids concession, DPRK telecom legacy, renewables fund</t>
  </si>
  <si>
    <t xml:space="preserve">Trades ABOVE accountable NAV on OPE ramp + retail flow</t>
  </si>
  <si>
    <t xml:space="preserve">—</t>
  </si>
  <si>
    <t xml:space="preserve">Qalaa Holdings (CCAP)</t>
  </si>
  <si>
    <t xml:space="preserve">Energy/refining (ERC), infrastructure</t>
  </si>
  <si>
    <t xml:space="preserve">Deep P/NAV discount, leverage at subs</t>
  </si>
  <si>
    <t xml:space="preserve">Closest listed holdco; opposite discount regime</t>
  </si>
  <si>
    <t xml:space="preserve">B Investments (BINV)</t>
  </si>
  <si>
    <t xml:space="preserve">PE-style stakes, consumer &amp; fintech</t>
  </si>
  <si>
    <t xml:space="preserve">Modest discount, cash-rich</t>
  </si>
  <si>
    <t xml:space="preserve">Cleaner book, no concession/DPRK tails</t>
  </si>
  <si>
    <t xml:space="preserve">EK Holding (EKHO)</t>
  </si>
  <si>
    <t xml:space="preserve">Gas, fertilizers, NBFC, USD-quoted</t>
  </si>
  <si>
    <t xml:space="preserve">Near NAV; USD line reduces FX drag</t>
  </si>
  <si>
    <t xml:space="preserve">USD-asset overlap parallels OIH FX-long book</t>
  </si>
  <si>
    <t xml:space="preserve">Odin Investments (ODIN)</t>
  </si>
  <si>
    <t xml:space="preserve">Brokerage-linked micro-holdco</t>
  </si>
  <si>
    <t xml:space="preserve">Illiquid, wide bands</t>
  </si>
  <si>
    <t xml:space="preserve">Size/retail-liquidity comparator only</t>
  </si>
  <si>
    <t xml:space="preserve">Sector structure: EGX holdcos habitually trade at 10–50% P/NAV discounts; OIH is the outlier premium name because its swing asset (the plateau concession) is ramping and its NAV is dominated by hard-to-verify marks (DPRK cash at 50% ECL, an L3 fund, an equity-method associate under sanctions). Key risks: concession terms, EGP path (OIH is net-long USD), DPRK writedown/recovery, late statutory filings (FY23 IFRS authorized Nov-25), governance/related-party flows.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</si>
</sst>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;\(0.00\)"/>
    <numFmt numFmtId="166" formatCode="0.0%;\(0.0%\);\-"/>
    <numFmt numFmtId="167" formatCode="#,##0.0;\(#,##0.0\);\-"/>
    <numFmt numFmtId="168" formatCode="0.00"/>
    <numFmt numFmtId="169" formatCode="#,##0;\(#,##0\);\-"/>
    <numFmt numFmtId="170" formatCode="0.00\x"/>
    <numFmt numFmtId="171" formatCode="0.000"/>
    <numFmt numFmtId="172" formatCode="0.0;\(0.0\);\-"/>
    <numFmt numFmtId="173" formatCode="0.000;\(0.000\)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3A36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777777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C3A36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8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45.75" hidden="false" customHeight="true" outlineLevel="0" collapsed="false">
      <c r="A4" s="4" t="s">
        <v>2</v>
      </c>
    </row>
    <row r="6" customFormat="false" ht="45.75" hidden="false" customHeight="true" outlineLevel="0" collapsed="false">
      <c r="A6" s="4" t="s">
        <v>3</v>
      </c>
    </row>
    <row r="8" customFormat="false" ht="45.75" hidden="false" customHeight="true" outlineLevel="0" collapsed="false">
      <c r="A8" s="4" t="s">
        <v>4</v>
      </c>
    </row>
    <row r="10" customFormat="false" ht="45.75" hidden="false" customHeight="true" outlineLevel="0" collapsed="false">
      <c r="A10" s="4" t="s">
        <v>5</v>
      </c>
    </row>
    <row r="12" customFormat="false" ht="45.75" hidden="false" customHeight="true" outlineLevel="0" collapsed="false">
      <c r="A12" s="4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5" min="2" style="1" width="11"/>
    <col collapsed="false" customWidth="true" hidden="false" outlineLevel="0" max="6" min="6" style="1" width="4"/>
    <col collapsed="false" customWidth="true" hidden="false" outlineLevel="0" max="7" min="7" style="1" width="58"/>
  </cols>
  <sheetData>
    <row r="1" customFormat="false" ht="17.35" hidden="false" customHeight="false" outlineLevel="0" collapsed="false">
      <c r="A1" s="5" t="s">
        <v>7</v>
      </c>
    </row>
    <row r="2" customFormat="false" ht="15" hidden="false" customHeight="false" outlineLevel="0" collapsed="false">
      <c r="A2" s="6" t="s">
        <v>8</v>
      </c>
    </row>
    <row r="3" customFormat="false" ht="15" hidden="false" customHeight="false" outlineLevel="0" collapsed="false">
      <c r="B3" s="7" t="s">
        <v>9</v>
      </c>
      <c r="C3" s="7" t="s">
        <v>10</v>
      </c>
      <c r="D3" s="7" t="s">
        <v>11</v>
      </c>
      <c r="E3" s="7" t="s">
        <v>12</v>
      </c>
    </row>
    <row r="4" customFormat="false" ht="15" hidden="false" customHeight="false" outlineLevel="0" collapsed="false">
      <c r="A4" s="8" t="s">
        <v>13</v>
      </c>
      <c r="B4" s="9" t="n">
        <v>0.55</v>
      </c>
      <c r="C4" s="10" t="n">
        <f aca="false">'Holdco NAV'!C18</f>
        <v>0.813938895550442</v>
      </c>
      <c r="D4" s="9" t="n">
        <v>1.8</v>
      </c>
      <c r="E4" s="11" t="n">
        <f aca="false">Assumptions!$B$32</f>
        <v>0.45</v>
      </c>
    </row>
    <row r="5" customFormat="false" ht="15" hidden="false" customHeight="false" outlineLevel="0" collapsed="false">
      <c r="A5" s="8" t="s">
        <v>14</v>
      </c>
      <c r="B5" s="9" t="n">
        <v>0.45</v>
      </c>
      <c r="C5" s="10" t="n">
        <f aca="false">DCF!B17</f>
        <v>0.477976572572911</v>
      </c>
      <c r="D5" s="9" t="n">
        <v>1.55</v>
      </c>
      <c r="E5" s="11" t="n">
        <f aca="false">Assumptions!$B$33</f>
        <v>0.2</v>
      </c>
    </row>
    <row r="6" customFormat="false" ht="15" hidden="false" customHeight="false" outlineLevel="0" collapsed="false">
      <c r="A6" s="8" t="s">
        <v>15</v>
      </c>
      <c r="B6" s="9" t="n">
        <v>0.5</v>
      </c>
      <c r="C6" s="10" t="n">
        <f aca="false">'Relative &amp; Normalized'!C3</f>
        <v>0.718181378426861</v>
      </c>
      <c r="D6" s="9" t="n">
        <v>1.35</v>
      </c>
      <c r="E6" s="11" t="n">
        <f aca="false">Assumptions!$B$34</f>
        <v>0.15</v>
      </c>
    </row>
    <row r="7" customFormat="false" ht="15" hidden="false" customHeight="false" outlineLevel="0" collapsed="false">
      <c r="A7" s="8" t="s">
        <v>16</v>
      </c>
      <c r="B7" s="9" t="n">
        <v>0.6</v>
      </c>
      <c r="C7" s="10" t="n">
        <f aca="false">'Relative &amp; Normalized'!C5</f>
        <v>1.02941653052315</v>
      </c>
      <c r="D7" s="9" t="n">
        <v>1.9</v>
      </c>
      <c r="E7" s="11" t="n">
        <f aca="false">Assumptions!$B$35</f>
        <v>0.2</v>
      </c>
    </row>
    <row r="8" customFormat="false" ht="15" hidden="false" customHeight="false" outlineLevel="0" collapsed="false">
      <c r="A8" s="12" t="s">
        <v>17</v>
      </c>
      <c r="B8" s="13" t="n">
        <f aca="false">SUMPRODUCT(B4:B7,$E4:$E7)</f>
        <v>0.5325</v>
      </c>
      <c r="C8" s="13" t="n">
        <f aca="false">SUMPRODUCT(C4:C7,$E4:$E7)</f>
        <v>0.775478330380941</v>
      </c>
      <c r="D8" s="13" t="n">
        <f aca="false">SUMPRODUCT(D4:D7,$E4:$E7)</f>
        <v>1.7025</v>
      </c>
    </row>
    <row r="10" customFormat="false" ht="15" hidden="false" customHeight="false" outlineLevel="0" collapsed="false">
      <c r="A10" s="8" t="s">
        <v>18</v>
      </c>
      <c r="C10" s="10" t="n">
        <f aca="false">Assumptions!$B$4</f>
        <v>1.41</v>
      </c>
    </row>
    <row r="11" customFormat="false" ht="15" hidden="false" customHeight="false" outlineLevel="0" collapsed="false">
      <c r="A11" s="8" t="s">
        <v>19</v>
      </c>
      <c r="C11" s="14" t="n">
        <f aca="false">C8/C10-1</f>
        <v>-0.450015368524155</v>
      </c>
    </row>
    <row r="13" customFormat="false" ht="43.5" hidden="false" customHeight="true" outlineLevel="0" collapsed="false">
      <c r="A13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5"/>
    <col collapsed="false" customWidth="true" hidden="false" outlineLevel="0" max="3" min="3" style="1" width="42"/>
    <col collapsed="false" customWidth="true" hidden="false" outlineLevel="0" max="4" min="4" style="1" width="11"/>
    <col collapsed="false" customWidth="true" hidden="false" outlineLevel="0" max="5" min="5" style="1" width="4"/>
    <col collapsed="false" customWidth="true" hidden="false" outlineLevel="0" max="6" min="6" style="1" width="50"/>
  </cols>
  <sheetData>
    <row r="1" customFormat="false" ht="17.35" hidden="false" customHeight="false" outlineLevel="0" collapsed="false">
      <c r="A1" s="5" t="s">
        <v>21</v>
      </c>
    </row>
    <row r="3" customFormat="false" ht="15" hidden="false" customHeight="false" outlineLevel="0" collapsed="false">
      <c r="A3" s="7" t="s">
        <v>22</v>
      </c>
      <c r="B3" s="7" t="s">
        <v>23</v>
      </c>
      <c r="C3" s="7" t="s">
        <v>24</v>
      </c>
      <c r="D3" s="7" t="s">
        <v>12</v>
      </c>
    </row>
    <row r="4" customFormat="false" ht="15" hidden="false" customHeight="false" outlineLevel="0" collapsed="false">
      <c r="A4" s="8" t="s">
        <v>25</v>
      </c>
      <c r="B4" s="10" t="n">
        <f aca="false">'Holdco NAV'!C18</f>
        <v>0.813938895550442</v>
      </c>
      <c r="C4" s="8" t="s">
        <v>26</v>
      </c>
      <c r="D4" s="11" t="n">
        <f aca="false">Assumptions!$B$32</f>
        <v>0.45</v>
      </c>
    </row>
    <row r="5" customFormat="false" ht="15" hidden="false" customHeight="false" outlineLevel="0" collapsed="false">
      <c r="A5" s="8" t="s">
        <v>14</v>
      </c>
      <c r="B5" s="10" t="n">
        <f aca="false">DCF!B17</f>
        <v>0.477976572572911</v>
      </c>
      <c r="C5" s="8" t="s">
        <v>27</v>
      </c>
      <c r="D5" s="11" t="n">
        <f aca="false">Assumptions!$B$33</f>
        <v>0.2</v>
      </c>
    </row>
    <row r="6" customFormat="false" ht="15" hidden="false" customHeight="false" outlineLevel="0" collapsed="false">
      <c r="A6" s="8" t="s">
        <v>15</v>
      </c>
      <c r="B6" s="10" t="n">
        <f aca="false">'Relative &amp; Normalized'!C3</f>
        <v>0.718181378426861</v>
      </c>
      <c r="C6" s="8" t="s">
        <v>28</v>
      </c>
      <c r="D6" s="11" t="n">
        <f aca="false">Assumptions!$B$34</f>
        <v>0.15</v>
      </c>
    </row>
    <row r="7" customFormat="false" ht="15" hidden="false" customHeight="false" outlineLevel="0" collapsed="false">
      <c r="A7" s="8" t="s">
        <v>16</v>
      </c>
      <c r="B7" s="10" t="n">
        <f aca="false">'Relative &amp; Normalized'!C5</f>
        <v>1.02941653052315</v>
      </c>
      <c r="C7" s="8" t="s">
        <v>29</v>
      </c>
      <c r="D7" s="11" t="n">
        <f aca="false">Assumptions!$B$35</f>
        <v>0.2</v>
      </c>
    </row>
    <row r="8" customFormat="false" ht="15" hidden="false" customHeight="false" outlineLevel="0" collapsed="false">
      <c r="A8" s="12" t="s">
        <v>30</v>
      </c>
      <c r="B8" s="13" t="n">
        <f aca="false">SUMPRODUCT(B4:B7,D4:D7)</f>
        <v>0.775478330380941</v>
      </c>
    </row>
    <row r="10" customFormat="false" ht="43.5" hidden="false" customHeight="true" outlineLevel="0" collapsed="false">
      <c r="A10" s="4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13"/>
    <col collapsed="false" customWidth="true" hidden="false" outlineLevel="0" max="7" min="7" style="1" width="4"/>
    <col collapsed="false" customWidth="true" hidden="false" outlineLevel="0" max="8" min="8" style="1" width="60"/>
  </cols>
  <sheetData>
    <row r="1" customFormat="false" ht="17.35" hidden="false" customHeight="false" outlineLevel="0" collapsed="false">
      <c r="A1" s="5" t="s">
        <v>32</v>
      </c>
    </row>
    <row r="2" customFormat="false" ht="15" hidden="false" customHeight="false" outlineLevel="0" collapsed="false">
      <c r="A2" s="6" t="s">
        <v>33</v>
      </c>
    </row>
    <row r="3" customFormat="false" ht="15" hidden="false" customHeight="false" outlineLevel="0" collapsed="false">
      <c r="A3" s="12" t="s">
        <v>34</v>
      </c>
    </row>
    <row r="4" customFormat="false" ht="15" hidden="false" customHeight="false" outlineLevel="0" collapsed="false">
      <c r="A4" s="8" t="s">
        <v>35</v>
      </c>
      <c r="B4" s="9" t="n">
        <v>1.41</v>
      </c>
      <c r="H4" s="15" t="s">
        <v>36</v>
      </c>
    </row>
    <row r="5" customFormat="false" ht="15" hidden="false" customHeight="false" outlineLevel="0" collapsed="false">
      <c r="A5" s="8" t="s">
        <v>37</v>
      </c>
      <c r="B5" s="16" t="n">
        <v>5245.69</v>
      </c>
      <c r="H5" s="15" t="s">
        <v>38</v>
      </c>
    </row>
    <row r="6" customFormat="false" ht="15" hidden="false" customHeight="false" outlineLevel="0" collapsed="false">
      <c r="A6" s="8" t="s">
        <v>39</v>
      </c>
      <c r="B6" s="17" t="n">
        <v>49.09</v>
      </c>
      <c r="H6" s="15" t="s">
        <v>40</v>
      </c>
    </row>
    <row r="7" customFormat="false" ht="15" hidden="false" customHeight="false" outlineLevel="0" collapsed="false">
      <c r="A7" s="8" t="s">
        <v>41</v>
      </c>
      <c r="B7" s="18" t="n">
        <v>0.2</v>
      </c>
      <c r="H7" s="15" t="s">
        <v>42</v>
      </c>
    </row>
    <row r="8" customFormat="false" ht="15" hidden="false" customHeight="false" outlineLevel="0" collapsed="false">
      <c r="A8" s="8" t="s">
        <v>43</v>
      </c>
      <c r="B8" s="18" t="n">
        <v>0.06</v>
      </c>
      <c r="H8" s="15" t="s">
        <v>44</v>
      </c>
    </row>
    <row r="9" customFormat="false" ht="15" hidden="false" customHeight="false" outlineLevel="0" collapsed="false">
      <c r="A9" s="8" t="s">
        <v>45</v>
      </c>
      <c r="B9" s="18" t="n">
        <v>0.225</v>
      </c>
      <c r="H9" s="15" t="s">
        <v>46</v>
      </c>
    </row>
    <row r="11" customFormat="false" ht="15" hidden="false" customHeight="false" outlineLevel="0" collapsed="false">
      <c r="A11" s="12" t="s">
        <v>47</v>
      </c>
    </row>
    <row r="12" customFormat="false" ht="15" hidden="false" customHeight="false" outlineLevel="0" collapsed="false">
      <c r="A12" s="8" t="s">
        <v>48</v>
      </c>
      <c r="B12" s="16" t="n">
        <v>45.7</v>
      </c>
      <c r="H12" s="15" t="s">
        <v>49</v>
      </c>
    </row>
    <row r="13" customFormat="false" ht="15" hidden="false" customHeight="false" outlineLevel="0" collapsed="false">
      <c r="A13" s="8" t="s">
        <v>50</v>
      </c>
      <c r="B13" s="16" t="n">
        <v>113.9</v>
      </c>
      <c r="H13" s="15" t="s">
        <v>51</v>
      </c>
    </row>
    <row r="14" customFormat="false" ht="15" hidden="false" customHeight="false" outlineLevel="0" collapsed="false">
      <c r="A14" s="8" t="s">
        <v>52</v>
      </c>
      <c r="B14" s="18" t="n">
        <v>0.5</v>
      </c>
      <c r="H14" s="15" t="s">
        <v>53</v>
      </c>
    </row>
    <row r="15" customFormat="false" ht="15" hidden="false" customHeight="false" outlineLevel="0" collapsed="false">
      <c r="A15" s="8" t="s">
        <v>54</v>
      </c>
      <c r="B15" s="16" t="n">
        <v>12</v>
      </c>
      <c r="H15" s="15" t="s">
        <v>55</v>
      </c>
    </row>
    <row r="16" customFormat="false" ht="15" hidden="false" customHeight="false" outlineLevel="0" collapsed="false">
      <c r="A16" s="8" t="s">
        <v>56</v>
      </c>
      <c r="B16" s="16" t="n">
        <v>28.5</v>
      </c>
      <c r="H16" s="15" t="s">
        <v>57</v>
      </c>
    </row>
    <row r="17" customFormat="false" ht="15" hidden="false" customHeight="false" outlineLevel="0" collapsed="false">
      <c r="A17" s="8" t="s">
        <v>58</v>
      </c>
      <c r="B17" s="16" t="n">
        <v>8</v>
      </c>
      <c r="H17" s="15" t="s">
        <v>59</v>
      </c>
    </row>
    <row r="18" customFormat="false" ht="15" hidden="false" customHeight="false" outlineLevel="0" collapsed="false">
      <c r="A18" s="8" t="s">
        <v>60</v>
      </c>
      <c r="B18" s="16" t="n">
        <v>0</v>
      </c>
      <c r="H18" s="15" t="s">
        <v>61</v>
      </c>
    </row>
    <row r="19" customFormat="false" ht="15" hidden="false" customHeight="false" outlineLevel="0" collapsed="false">
      <c r="A19" s="8" t="s">
        <v>62</v>
      </c>
      <c r="B19" s="16" t="n">
        <v>-90.5</v>
      </c>
      <c r="H19" s="15" t="s">
        <v>63</v>
      </c>
    </row>
    <row r="20" customFormat="false" ht="15" hidden="false" customHeight="false" outlineLevel="0" collapsed="false">
      <c r="A20" s="8" t="s">
        <v>64</v>
      </c>
      <c r="B20" s="16" t="n">
        <v>-8.6</v>
      </c>
      <c r="H20" s="15" t="s">
        <v>65</v>
      </c>
    </row>
    <row r="21" customFormat="false" ht="15" hidden="false" customHeight="false" outlineLevel="0" collapsed="false">
      <c r="A21" s="8" t="s">
        <v>66</v>
      </c>
      <c r="B21" s="16" t="n">
        <v>-8.8</v>
      </c>
      <c r="H21" s="15" t="s">
        <v>67</v>
      </c>
    </row>
    <row r="22" customFormat="false" ht="15" hidden="false" customHeight="false" outlineLevel="0" collapsed="false">
      <c r="A22" s="8" t="s">
        <v>68</v>
      </c>
      <c r="B22" s="19" t="n">
        <v>2900</v>
      </c>
      <c r="H22" s="15" t="s">
        <v>69</v>
      </c>
    </row>
    <row r="23" customFormat="false" ht="15" hidden="false" customHeight="false" outlineLevel="0" collapsed="false">
      <c r="A23" s="8" t="s">
        <v>70</v>
      </c>
      <c r="B23" s="18" t="n">
        <v>0.15</v>
      </c>
      <c r="H23" s="15" t="s">
        <v>71</v>
      </c>
    </row>
    <row r="25" customFormat="false" ht="15" hidden="false" customHeight="false" outlineLevel="0" collapsed="false">
      <c r="A25" s="12" t="s">
        <v>72</v>
      </c>
    </row>
    <row r="26" customFormat="false" ht="15" hidden="false" customHeight="false" outlineLevel="0" collapsed="false">
      <c r="A26" s="8" t="s">
        <v>73</v>
      </c>
      <c r="B26" s="20" t="n">
        <v>0.75</v>
      </c>
      <c r="H26" s="15" t="s">
        <v>74</v>
      </c>
    </row>
    <row r="27" customFormat="false" ht="15" hidden="false" customHeight="false" outlineLevel="0" collapsed="false">
      <c r="A27" s="8" t="s">
        <v>75</v>
      </c>
      <c r="B27" s="20" t="n">
        <v>9</v>
      </c>
      <c r="H27" s="15" t="s">
        <v>76</v>
      </c>
    </row>
    <row r="28" customFormat="false" ht="15" hidden="false" customHeight="false" outlineLevel="0" collapsed="false">
      <c r="A28" s="8" t="s">
        <v>77</v>
      </c>
      <c r="B28" s="19" t="n">
        <v>450</v>
      </c>
      <c r="H28" s="15" t="s">
        <v>78</v>
      </c>
    </row>
    <row r="29" customFormat="false" ht="15" hidden="false" customHeight="false" outlineLevel="0" collapsed="false">
      <c r="A29" s="8" t="s">
        <v>79</v>
      </c>
      <c r="B29" s="20" t="n">
        <v>12</v>
      </c>
      <c r="H29" s="15" t="s">
        <v>80</v>
      </c>
    </row>
    <row r="31" customFormat="false" ht="15" hidden="false" customHeight="false" outlineLevel="0" collapsed="false">
      <c r="A31" s="12" t="s">
        <v>81</v>
      </c>
    </row>
    <row r="32" customFormat="false" ht="15" hidden="false" customHeight="false" outlineLevel="0" collapsed="false">
      <c r="A32" s="8" t="s">
        <v>82</v>
      </c>
      <c r="B32" s="18" t="n">
        <v>0.45</v>
      </c>
      <c r="H32" s="15" t="s">
        <v>83</v>
      </c>
    </row>
    <row r="33" customFormat="false" ht="15" hidden="false" customHeight="false" outlineLevel="0" collapsed="false">
      <c r="A33" s="8" t="s">
        <v>84</v>
      </c>
      <c r="B33" s="18" t="n">
        <v>0.2</v>
      </c>
    </row>
    <row r="34" customFormat="false" ht="15" hidden="false" customHeight="false" outlineLevel="0" collapsed="false">
      <c r="A34" s="8" t="s">
        <v>85</v>
      </c>
      <c r="B34" s="18" t="n">
        <v>0.15</v>
      </c>
    </row>
    <row r="35" customFormat="false" ht="15" hidden="false" customHeight="false" outlineLevel="0" collapsed="false">
      <c r="A35" s="8" t="s">
        <v>86</v>
      </c>
      <c r="B35" s="18" t="n">
        <v>0.2</v>
      </c>
    </row>
    <row r="37" customFormat="false" ht="15" hidden="false" customHeight="false" outlineLevel="0" collapsed="false">
      <c r="A37" s="12" t="s">
        <v>87</v>
      </c>
    </row>
    <row r="38" customFormat="false" ht="15" hidden="false" customHeight="false" outlineLevel="0" collapsed="false">
      <c r="A38" s="8" t="s">
        <v>88</v>
      </c>
      <c r="B38" s="21" t="n">
        <v>0.3831</v>
      </c>
      <c r="H38" s="15" t="s">
        <v>89</v>
      </c>
    </row>
    <row r="39" customFormat="false" ht="15" hidden="false" customHeight="false" outlineLevel="0" collapsed="false">
      <c r="A39" s="8" t="s">
        <v>90</v>
      </c>
      <c r="B39" s="21" t="n">
        <v>0.1184</v>
      </c>
      <c r="H39" s="15" t="s">
        <v>91</v>
      </c>
    </row>
    <row r="40" customFormat="false" ht="15" hidden="false" customHeight="false" outlineLevel="0" collapsed="false">
      <c r="A40" s="8" t="s">
        <v>92</v>
      </c>
      <c r="B40" s="17" t="n">
        <v>1</v>
      </c>
      <c r="H40" s="15" t="s">
        <v>93</v>
      </c>
    </row>
    <row r="42" customFormat="false" ht="15" hidden="false" customHeight="false" outlineLevel="0" collapsed="false">
      <c r="A42" s="12" t="s">
        <v>94</v>
      </c>
    </row>
    <row r="43" customFormat="false" ht="15" hidden="false" customHeight="false" outlineLevel="0" collapsed="false">
      <c r="B43" s="12" t="s">
        <v>95</v>
      </c>
      <c r="C43" s="12" t="s">
        <v>96</v>
      </c>
      <c r="D43" s="12" t="s">
        <v>97</v>
      </c>
      <c r="E43" s="12" t="s">
        <v>98</v>
      </c>
      <c r="F43" s="12" t="s">
        <v>99</v>
      </c>
    </row>
    <row r="44" customFormat="false" ht="15" hidden="false" customHeight="false" outlineLevel="0" collapsed="false">
      <c r="A44" s="8" t="s">
        <v>100</v>
      </c>
      <c r="B44" s="19" t="n">
        <v>590</v>
      </c>
      <c r="H44" s="15" t="s">
        <v>101</v>
      </c>
    </row>
    <row r="45" customFormat="false" ht="15" hidden="false" customHeight="false" outlineLevel="0" collapsed="false">
      <c r="A45" s="8" t="s">
        <v>102</v>
      </c>
      <c r="C45" s="18" t="n">
        <v>0.9</v>
      </c>
      <c r="D45" s="18" t="n">
        <v>0.45</v>
      </c>
      <c r="E45" s="18" t="n">
        <v>0.3</v>
      </c>
      <c r="F45" s="18" t="n">
        <v>0.22</v>
      </c>
      <c r="H45" s="15" t="s">
        <v>103</v>
      </c>
    </row>
    <row r="46" customFormat="false" ht="15" hidden="false" customHeight="false" outlineLevel="0" collapsed="false">
      <c r="A46" s="8" t="s">
        <v>104</v>
      </c>
      <c r="B46" s="19" t="n">
        <v>20</v>
      </c>
      <c r="C46" s="19" t="n">
        <v>22</v>
      </c>
      <c r="D46" s="19" t="n">
        <v>24</v>
      </c>
      <c r="E46" s="19" t="n">
        <v>26</v>
      </c>
      <c r="F46" s="19" t="n">
        <v>28</v>
      </c>
      <c r="H46" s="15" t="s">
        <v>105</v>
      </c>
    </row>
    <row r="47" customFormat="false" ht="15" hidden="false" customHeight="false" outlineLevel="0" collapsed="false">
      <c r="A47" s="8" t="s">
        <v>106</v>
      </c>
      <c r="B47" s="18" t="n">
        <v>0.18</v>
      </c>
      <c r="C47" s="18" t="n">
        <v>0.32</v>
      </c>
      <c r="D47" s="18" t="n">
        <v>0.38</v>
      </c>
      <c r="E47" s="18" t="n">
        <v>0.42</v>
      </c>
      <c r="F47" s="18" t="n">
        <v>0.44</v>
      </c>
      <c r="H47" s="15" t="s">
        <v>107</v>
      </c>
    </row>
    <row r="48" customFormat="false" ht="15" hidden="false" customHeight="false" outlineLevel="0" collapsed="false">
      <c r="A48" s="8" t="s">
        <v>108</v>
      </c>
      <c r="B48" s="19" t="n">
        <v>-350</v>
      </c>
      <c r="C48" s="19" t="n">
        <v>-380</v>
      </c>
      <c r="D48" s="19" t="n">
        <v>-410</v>
      </c>
      <c r="E48" s="19" t="n">
        <v>-445</v>
      </c>
      <c r="F48" s="19" t="n">
        <v>-480</v>
      </c>
      <c r="H48" s="15" t="s">
        <v>109</v>
      </c>
    </row>
    <row r="49" customFormat="false" ht="15" hidden="false" customHeight="false" outlineLevel="0" collapsed="false">
      <c r="A49" s="8" t="s">
        <v>110</v>
      </c>
      <c r="B49" s="18" t="n">
        <v>0.1</v>
      </c>
      <c r="C49" s="18" t="n">
        <v>0.09</v>
      </c>
      <c r="D49" s="18" t="n">
        <v>0.08</v>
      </c>
      <c r="E49" s="18" t="n">
        <v>0.07</v>
      </c>
      <c r="F49" s="18" t="n">
        <v>0.07</v>
      </c>
    </row>
    <row r="50" customFormat="false" ht="15" hidden="false" customHeight="false" outlineLevel="0" collapsed="false">
      <c r="A50" s="8" t="s">
        <v>111</v>
      </c>
      <c r="B50" s="22" t="n">
        <v>-160</v>
      </c>
      <c r="C50" s="22" t="n">
        <v>-120</v>
      </c>
      <c r="D50" s="22" t="n">
        <v>-80</v>
      </c>
      <c r="E50" s="22" t="n">
        <v>-40</v>
      </c>
      <c r="F50" s="22" t="n">
        <v>0</v>
      </c>
      <c r="H50" s="15" t="s">
        <v>112</v>
      </c>
    </row>
    <row r="51" customFormat="false" ht="15" hidden="false" customHeight="false" outlineLevel="0" collapsed="false">
      <c r="A51" s="8" t="s">
        <v>113</v>
      </c>
      <c r="B51" s="19" t="n">
        <v>-700</v>
      </c>
      <c r="C51" s="19" t="n">
        <v>0</v>
      </c>
      <c r="D51" s="19" t="n">
        <v>0</v>
      </c>
      <c r="E51" s="19" t="n">
        <v>0</v>
      </c>
      <c r="F51" s="19" t="n">
        <v>0</v>
      </c>
      <c r="H51" s="15" t="s">
        <v>114</v>
      </c>
    </row>
    <row r="52" customFormat="false" ht="15" hidden="false" customHeight="false" outlineLevel="0" collapsed="false">
      <c r="A52" s="8" t="s">
        <v>115</v>
      </c>
      <c r="B52" s="19" t="n">
        <v>-450</v>
      </c>
      <c r="C52" s="19" t="n">
        <v>-500</v>
      </c>
      <c r="D52" s="19" t="n">
        <v>-300</v>
      </c>
      <c r="E52" s="19" t="n">
        <v>-200</v>
      </c>
      <c r="F52" s="19" t="n">
        <v>-150</v>
      </c>
      <c r="H52" s="15" t="s">
        <v>116</v>
      </c>
    </row>
    <row r="53" customFormat="false" ht="15" hidden="false" customHeight="false" outlineLevel="0" collapsed="false">
      <c r="A53" s="8" t="s">
        <v>117</v>
      </c>
      <c r="B53" s="19" t="n">
        <v>-30</v>
      </c>
      <c r="C53" s="19" t="n">
        <v>-40</v>
      </c>
      <c r="D53" s="19" t="n">
        <v>-40</v>
      </c>
      <c r="E53" s="19" t="n">
        <v>-35</v>
      </c>
      <c r="F53" s="19" t="n">
        <v>-30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26"/>
    <col collapsed="false" customWidth="true" hidden="false" outlineLevel="0" max="3" min="3" style="1" width="15"/>
    <col collapsed="false" customWidth="true" hidden="false" outlineLevel="0" max="4" min="4" style="1" width="4"/>
    <col collapsed="false" customWidth="true" hidden="false" outlineLevel="0" max="5" min="5" style="1" width="58"/>
  </cols>
  <sheetData>
    <row r="1" customFormat="false" ht="17.35" hidden="false" customHeight="false" outlineLevel="0" collapsed="false">
      <c r="A1" s="5" t="s">
        <v>118</v>
      </c>
    </row>
    <row r="2" customFormat="false" ht="15" hidden="false" customHeight="false" outlineLevel="0" collapsed="false">
      <c r="A2" s="6" t="s">
        <v>119</v>
      </c>
    </row>
    <row r="3" customFormat="false" ht="15" hidden="false" customHeight="false" outlineLevel="0" collapsed="false">
      <c r="A3" s="7" t="s">
        <v>120</v>
      </c>
      <c r="B3" s="7" t="s">
        <v>24</v>
      </c>
      <c r="C3" s="7" t="s">
        <v>121</v>
      </c>
    </row>
    <row r="4" customFormat="false" ht="15" hidden="false" customHeight="false" outlineLevel="0" collapsed="false">
      <c r="A4" s="8" t="s">
        <v>48</v>
      </c>
      <c r="B4" s="8" t="s">
        <v>122</v>
      </c>
      <c r="C4" s="23" t="n">
        <f aca="false">Assumptions!$B$12*Assumptions!$B$6</f>
        <v>2243.413</v>
      </c>
      <c r="E4" s="15" t="s">
        <v>123</v>
      </c>
    </row>
    <row r="5" customFormat="false" ht="15" hidden="false" customHeight="false" outlineLevel="0" collapsed="false">
      <c r="A5" s="8" t="s">
        <v>124</v>
      </c>
      <c r="B5" s="8" t="s">
        <v>125</v>
      </c>
      <c r="C5" s="23" t="n">
        <f aca="false">Assumptions!$B$13*(1-Assumptions!$B$14)*Assumptions!$B$6</f>
        <v>2795.6755</v>
      </c>
    </row>
    <row r="6" customFormat="false" ht="15" hidden="false" customHeight="false" outlineLevel="0" collapsed="false">
      <c r="A6" s="8" t="s">
        <v>126</v>
      </c>
      <c r="B6" s="8" t="s">
        <v>127</v>
      </c>
      <c r="C6" s="23" t="n">
        <f aca="false">Assumptions!$B$15*Assumptions!$B$6</f>
        <v>589.08</v>
      </c>
    </row>
    <row r="7" customFormat="false" ht="15" hidden="false" customHeight="false" outlineLevel="0" collapsed="false">
      <c r="A7" s="8" t="s">
        <v>128</v>
      </c>
      <c r="B7" s="8" t="s">
        <v>129</v>
      </c>
      <c r="C7" s="23" t="n">
        <f aca="false">Assumptions!$B$16*Assumptions!$B$6</f>
        <v>1399.065</v>
      </c>
    </row>
    <row r="8" customFormat="false" ht="15" hidden="false" customHeight="false" outlineLevel="0" collapsed="false">
      <c r="A8" s="8" t="s">
        <v>130</v>
      </c>
      <c r="B8" s="8" t="s">
        <v>131</v>
      </c>
      <c r="C8" s="23" t="n">
        <f aca="false">Assumptions!$B$17*Assumptions!$B$6</f>
        <v>392.72</v>
      </c>
    </row>
    <row r="9" customFormat="false" ht="15" hidden="false" customHeight="false" outlineLevel="0" collapsed="false">
      <c r="A9" s="8" t="s">
        <v>132</v>
      </c>
      <c r="B9" s="8" t="s">
        <v>133</v>
      </c>
      <c r="C9" s="23" t="n">
        <f aca="false">Assumptions!$B$18*Assumptions!$B$6</f>
        <v>0</v>
      </c>
    </row>
    <row r="10" customFormat="false" ht="15" hidden="false" customHeight="false" outlineLevel="0" collapsed="false">
      <c r="A10" s="8" t="s">
        <v>134</v>
      </c>
      <c r="B10" s="8" t="s">
        <v>135</v>
      </c>
      <c r="C10" s="23" t="n">
        <f aca="false">Assumptions!$B$22</f>
        <v>2900</v>
      </c>
    </row>
    <row r="11" customFormat="false" ht="15" hidden="false" customHeight="false" outlineLevel="0" collapsed="false">
      <c r="A11" s="8" t="s">
        <v>136</v>
      </c>
      <c r="B11" s="8" t="s">
        <v>137</v>
      </c>
      <c r="C11" s="23" t="n">
        <f aca="false">Assumptions!$B$19*Assumptions!$B$6</f>
        <v>-4442.645</v>
      </c>
    </row>
    <row r="12" customFormat="false" ht="15" hidden="false" customHeight="false" outlineLevel="0" collapsed="false">
      <c r="A12" s="8" t="s">
        <v>64</v>
      </c>
      <c r="B12" s="8" t="s">
        <v>122</v>
      </c>
      <c r="C12" s="23" t="n">
        <f aca="false">Assumptions!$B$20*Assumptions!$B$6</f>
        <v>-422.174</v>
      </c>
    </row>
    <row r="13" customFormat="false" ht="15" hidden="false" customHeight="false" outlineLevel="0" collapsed="false">
      <c r="A13" s="8" t="s">
        <v>66</v>
      </c>
      <c r="B13" s="8" t="s">
        <v>122</v>
      </c>
      <c r="C13" s="23" t="n">
        <f aca="false">Assumptions!$B$21*Assumptions!$B$6</f>
        <v>-431.992</v>
      </c>
    </row>
    <row r="14" customFormat="false" ht="15" hidden="false" customHeight="false" outlineLevel="0" collapsed="false">
      <c r="A14" s="12" t="s">
        <v>138</v>
      </c>
      <c r="C14" s="24" t="n">
        <f aca="false">SUM(C4:C13)</f>
        <v>5023.1425</v>
      </c>
    </row>
    <row r="15" customFormat="false" ht="15" hidden="false" customHeight="false" outlineLevel="0" collapsed="false">
      <c r="A15" s="8" t="s">
        <v>139</v>
      </c>
      <c r="C15" s="25" t="n">
        <f aca="false">C14/Assumptions!$B$5</f>
        <v>0.957575171235815</v>
      </c>
    </row>
    <row r="16" customFormat="false" ht="15" hidden="false" customHeight="false" outlineLevel="0" collapsed="false">
      <c r="A16" s="8" t="s">
        <v>140</v>
      </c>
      <c r="B16" s="8" t="s">
        <v>141</v>
      </c>
      <c r="C16" s="23" t="n">
        <f aca="false">-C14*Assumptions!$B$23</f>
        <v>-753.471375</v>
      </c>
    </row>
    <row r="17" customFormat="false" ht="15" hidden="false" customHeight="false" outlineLevel="0" collapsed="false">
      <c r="A17" s="12" t="s">
        <v>142</v>
      </c>
      <c r="C17" s="24" t="n">
        <f aca="false">C14+C16</f>
        <v>4269.671125</v>
      </c>
    </row>
    <row r="18" customFormat="false" ht="15" hidden="false" customHeight="false" outlineLevel="0" collapsed="false">
      <c r="A18" s="12" t="s">
        <v>143</v>
      </c>
      <c r="C18" s="13" t="n">
        <f aca="false">C17/Assumptions!$B$5</f>
        <v>0.813938895550442</v>
      </c>
    </row>
    <row r="20" customFormat="false" ht="15" hidden="false" customHeight="false" outlineLevel="0" collapsed="false">
      <c r="A20" s="8" t="s">
        <v>144</v>
      </c>
      <c r="C20" s="25" t="n">
        <f aca="false">Assumptions!$B$13*Assumptions!$B$14*Assumptions!$B$6/Assumptions!$B$5</f>
        <v>0.532947143273812</v>
      </c>
    </row>
    <row r="21" customFormat="false" ht="15" hidden="false" customHeight="false" outlineLevel="0" collapsed="false">
      <c r="A21" s="8" t="s">
        <v>145</v>
      </c>
      <c r="C21" s="25" t="n">
        <f aca="false">-(116-ABS(Assumptions!$B$19))*Assumptions!$B$6/Assumptions!$B$5</f>
        <v>-0.23863304922708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3"/>
    <col collapsed="false" customWidth="true" hidden="false" outlineLevel="0" max="6" min="6" style="1" width="4"/>
    <col collapsed="false" customWidth="true" hidden="false" outlineLevel="0" max="7" min="7" style="1" width="58"/>
  </cols>
  <sheetData>
    <row r="1" customFormat="false" ht="17.35" hidden="false" customHeight="false" outlineLevel="0" collapsed="false">
      <c r="A1" s="5" t="s">
        <v>146</v>
      </c>
    </row>
    <row r="2" customFormat="false" ht="15" hidden="false" customHeight="false" outlineLevel="0" collapsed="false">
      <c r="A2" s="6" t="s">
        <v>147</v>
      </c>
    </row>
    <row r="3" customFormat="false" ht="15" hidden="false" customHeight="false" outlineLevel="0" collapsed="false">
      <c r="B3" s="7" t="s">
        <v>148</v>
      </c>
      <c r="C3" s="7" t="s">
        <v>149</v>
      </c>
      <c r="D3" s="7" t="s">
        <v>95</v>
      </c>
      <c r="E3" s="7" t="s">
        <v>96</v>
      </c>
    </row>
    <row r="4" customFormat="false" ht="15" hidden="false" customHeight="false" outlineLevel="0" collapsed="false">
      <c r="A4" s="8" t="s">
        <v>150</v>
      </c>
      <c r="B4" s="19" t="n">
        <v>150</v>
      </c>
      <c r="C4" s="19" t="n">
        <v>330</v>
      </c>
      <c r="D4" s="23" t="n">
        <f aca="false">'Income Statement'!E23-Assumptions!B$46</f>
        <v>590</v>
      </c>
      <c r="E4" s="23" t="n">
        <f aca="false">'Income Statement'!F23-Assumptions!C$46</f>
        <v>1121</v>
      </c>
      <c r="F4" s="15" t="s">
        <v>151</v>
      </c>
    </row>
    <row r="5" customFormat="false" ht="15" hidden="false" customHeight="false" outlineLevel="0" collapsed="false">
      <c r="A5" s="8" t="s">
        <v>152</v>
      </c>
      <c r="B5" s="19" t="n">
        <v>26</v>
      </c>
      <c r="C5" s="19" t="n">
        <v>28</v>
      </c>
      <c r="D5" s="23" t="n">
        <f aca="false">Assumptions!B$46</f>
        <v>20</v>
      </c>
      <c r="E5" s="23" t="n">
        <f aca="false">Assumptions!C$46</f>
        <v>22</v>
      </c>
    </row>
    <row r="6" customFormat="false" ht="15" hidden="false" customHeight="false" outlineLevel="0" collapsed="false">
      <c r="A6" s="8" t="s">
        <v>153</v>
      </c>
      <c r="B6" s="19" t="n">
        <v>0</v>
      </c>
      <c r="C6" s="19" t="n">
        <v>0</v>
      </c>
      <c r="D6" s="19" t="n">
        <v>0</v>
      </c>
      <c r="E6" s="19" t="n">
        <v>0</v>
      </c>
    </row>
    <row r="7" customFormat="false" ht="15" hidden="false" customHeight="false" outlineLevel="0" collapsed="false">
      <c r="A7" s="12" t="s">
        <v>154</v>
      </c>
      <c r="B7" s="26" t="n">
        <f aca="false">'Income Statement'!C23</f>
        <v>176.47518</v>
      </c>
      <c r="C7" s="26" t="n">
        <f aca="false">'Income Statement'!D23</f>
        <v>357.82785</v>
      </c>
      <c r="D7" s="26" t="n">
        <f aca="false">'Income Statement'!E23</f>
        <v>610</v>
      </c>
      <c r="E7" s="26" t="n">
        <f aca="false">'Income Statement'!F23</f>
        <v>1143</v>
      </c>
    </row>
    <row r="9" customFormat="false" ht="15" hidden="false" customHeight="false" outlineLevel="0" collapsed="false">
      <c r="A9" s="8" t="s">
        <v>106</v>
      </c>
      <c r="D9" s="27" t="n">
        <f aca="false">Assumptions!B$47</f>
        <v>0.18</v>
      </c>
      <c r="E9" s="27" t="n">
        <f aca="false">Assumptions!C$47</f>
        <v>0.32</v>
      </c>
    </row>
    <row r="11" customFormat="false" ht="57.75" hidden="false" customHeight="true" outlineLevel="0" collapsed="false">
      <c r="A11" s="4" t="s">
        <v>155</v>
      </c>
    </row>
    <row r="12" customFormat="false" ht="15" hidden="false" customHeight="false" outlineLevel="0" collapsed="false">
      <c r="A12" s="15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3" min="2" style="1" width="15"/>
    <col collapsed="false" customWidth="true" hidden="false" outlineLevel="0" max="4" min="4" style="1" width="4"/>
    <col collapsed="false" customWidth="true" hidden="false" outlineLevel="0" max="5" min="5" style="1" width="58"/>
  </cols>
  <sheetData>
    <row r="1" customFormat="false" ht="17.35" hidden="false" customHeight="false" outlineLevel="0" collapsed="false">
      <c r="A1" s="5" t="s">
        <v>157</v>
      </c>
    </row>
    <row r="3" customFormat="false" ht="15" hidden="false" customHeight="false" outlineLevel="0" collapsed="false">
      <c r="A3" s="8" t="s">
        <v>158</v>
      </c>
      <c r="C3" s="13" t="n">
        <f aca="false">Assumptions!$B$26*'Holdco NAV'!C14/Assumptions!$B$5</f>
        <v>0.718181378426861</v>
      </c>
    </row>
    <row r="5" customFormat="false" ht="15" hidden="false" customHeight="false" outlineLevel="0" collapsed="false">
      <c r="A5" s="8" t="s">
        <v>159</v>
      </c>
      <c r="C5" s="13" t="n">
        <f aca="false">Assumptions!$B$28*Assumptions!$B$29/Assumptions!$B$5</f>
        <v>1.02941653052315</v>
      </c>
    </row>
    <row r="7" customFormat="false" ht="15" hidden="false" customHeight="false" outlineLevel="0" collapsed="false">
      <c r="A7" s="8" t="s">
        <v>160</v>
      </c>
      <c r="C7" s="25" t="n">
        <f aca="false">('Income Statement'!F26*Assumptions!$B$27+DCF!B15)/Assumptions!$B$5</f>
        <v>0.405975667643342</v>
      </c>
    </row>
    <row r="9" customFormat="false" ht="15" hidden="false" customHeight="false" outlineLevel="0" collapsed="false">
      <c r="A9" s="15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6" min="2" style="1" width="11"/>
    <col collapsed="false" customWidth="true" hidden="false" outlineLevel="0" max="7" min="7" style="1" width="4"/>
    <col collapsed="false" customWidth="true" hidden="false" outlineLevel="0" max="8" min="8" style="1" width="58"/>
  </cols>
  <sheetData>
    <row r="1" customFormat="false" ht="17.35" hidden="false" customHeight="false" outlineLevel="0" collapsed="false">
      <c r="A1" s="5" t="s">
        <v>162</v>
      </c>
    </row>
    <row r="2" customFormat="false" ht="15" hidden="false" customHeight="false" outlineLevel="0" collapsed="false">
      <c r="A2" s="6" t="s">
        <v>163</v>
      </c>
    </row>
    <row r="3" customFormat="false" ht="15" hidden="false" customHeight="false" outlineLevel="0" collapsed="false">
      <c r="B3" s="7" t="s">
        <v>95</v>
      </c>
      <c r="C3" s="7" t="s">
        <v>96</v>
      </c>
      <c r="D3" s="7" t="s">
        <v>97</v>
      </c>
      <c r="E3" s="7" t="s">
        <v>98</v>
      </c>
      <c r="F3" s="7" t="s">
        <v>99</v>
      </c>
    </row>
    <row r="4" customFormat="false" ht="15" hidden="false" customHeight="false" outlineLevel="0" collapsed="false">
      <c r="A4" s="8" t="s">
        <v>164</v>
      </c>
      <c r="B4" s="26" t="n">
        <f aca="false">'Income Statement'!E26</f>
        <v>-223.8</v>
      </c>
      <c r="C4" s="26" t="n">
        <f aca="false">'Income Statement'!F26</f>
        <v>0.720000000000027</v>
      </c>
      <c r="D4" s="26" t="n">
        <f aca="false">'Income Statement'!G26</f>
        <v>231.671</v>
      </c>
      <c r="E4" s="26" t="n">
        <f aca="false">'Income Statement'!H26</f>
        <v>468.4957</v>
      </c>
      <c r="F4" s="26" t="n">
        <f aca="false">'Income Statement'!I26</f>
        <v>682.304028</v>
      </c>
    </row>
    <row r="5" customFormat="false" ht="15" hidden="false" customHeight="false" outlineLevel="0" collapsed="false">
      <c r="A5" s="8" t="s">
        <v>165</v>
      </c>
      <c r="B5" s="23" t="n">
        <f aca="false">-MAX(0,'Income Statement'!E29)*Assumptions!$B$9</f>
        <v>-0</v>
      </c>
      <c r="C5" s="23" t="n">
        <f aca="false">-MAX(0,'Income Statement'!F29)*Assumptions!$B$9</f>
        <v>-0</v>
      </c>
      <c r="D5" s="23" t="n">
        <f aca="false">-MAX(0,'Income Statement'!G29)*Assumptions!$B$9</f>
        <v>-22.435875</v>
      </c>
      <c r="E5" s="23" t="n">
        <f aca="false">-MAX(0,'Income Statement'!H29)*Assumptions!$B$9</f>
        <v>-71.72094375</v>
      </c>
      <c r="F5" s="23" t="n">
        <f aca="false">-MAX(0,'Income Statement'!I29)*Assumptions!$B$9</f>
        <v>-112.474478025</v>
      </c>
    </row>
    <row r="6" customFormat="false" ht="15" hidden="false" customHeight="false" outlineLevel="0" collapsed="false">
      <c r="A6" s="8" t="s">
        <v>166</v>
      </c>
      <c r="B6" s="23" t="n">
        <f aca="false">Assumptions!B$52</f>
        <v>-450</v>
      </c>
      <c r="C6" s="23" t="n">
        <f aca="false">Assumptions!C$52</f>
        <v>-500</v>
      </c>
      <c r="D6" s="23" t="n">
        <f aca="false">Assumptions!D$52</f>
        <v>-300</v>
      </c>
      <c r="E6" s="23" t="n">
        <f aca="false">Assumptions!E$52</f>
        <v>-200</v>
      </c>
      <c r="F6" s="23" t="n">
        <f aca="false">Assumptions!F$52</f>
        <v>-150</v>
      </c>
    </row>
    <row r="7" customFormat="false" ht="15" hidden="false" customHeight="false" outlineLevel="0" collapsed="false">
      <c r="A7" s="8" t="s">
        <v>167</v>
      </c>
      <c r="B7" s="23" t="n">
        <f aca="false">Assumptions!B$53</f>
        <v>-30</v>
      </c>
      <c r="C7" s="23" t="n">
        <f aca="false">Assumptions!C$53</f>
        <v>-40</v>
      </c>
      <c r="D7" s="23" t="n">
        <f aca="false">Assumptions!D$53</f>
        <v>-40</v>
      </c>
      <c r="E7" s="23" t="n">
        <f aca="false">Assumptions!E$53</f>
        <v>-35</v>
      </c>
      <c r="F7" s="23" t="n">
        <f aca="false">Assumptions!F$53</f>
        <v>-30</v>
      </c>
    </row>
    <row r="8" customFormat="false" ht="15" hidden="false" customHeight="false" outlineLevel="0" collapsed="false">
      <c r="A8" s="12" t="s">
        <v>168</v>
      </c>
      <c r="B8" s="24" t="n">
        <f aca="false">SUM(B4:B7)</f>
        <v>-703.8</v>
      </c>
      <c r="C8" s="24" t="n">
        <f aca="false">SUM(C4:C7)</f>
        <v>-539.28</v>
      </c>
      <c r="D8" s="24" t="n">
        <f aca="false">SUM(D4:D7)</f>
        <v>-130.764875</v>
      </c>
      <c r="E8" s="24" t="n">
        <f aca="false">SUM(E4:E7)</f>
        <v>161.77475625</v>
      </c>
      <c r="F8" s="24" t="n">
        <f aca="false">SUM(F4:F7)</f>
        <v>389.829549975</v>
      </c>
    </row>
    <row r="9" customFormat="false" ht="15" hidden="false" customHeight="false" outlineLevel="0" collapsed="false">
      <c r="A9" s="8" t="s">
        <v>169</v>
      </c>
      <c r="B9" s="28" t="n">
        <f aca="false">1/(1+Assumptions!$B$7)^1</f>
        <v>0.833333333333333</v>
      </c>
      <c r="C9" s="28" t="n">
        <f aca="false">1/(1+Assumptions!$B$7)^2</f>
        <v>0.694444444444444</v>
      </c>
      <c r="D9" s="28" t="n">
        <f aca="false">1/(1+Assumptions!$B$7)^3</f>
        <v>0.578703703703704</v>
      </c>
      <c r="E9" s="28" t="n">
        <f aca="false">1/(1+Assumptions!$B$7)^4</f>
        <v>0.482253086419753</v>
      </c>
      <c r="F9" s="28" t="n">
        <f aca="false">1/(1+Assumptions!$B$7)^5</f>
        <v>0.401877572016461</v>
      </c>
    </row>
    <row r="10" customFormat="false" ht="15" hidden="false" customHeight="false" outlineLevel="0" collapsed="false">
      <c r="A10" s="8" t="s">
        <v>170</v>
      </c>
      <c r="B10" s="23" t="n">
        <f aca="false">B8*B9</f>
        <v>-586.5</v>
      </c>
      <c r="C10" s="23" t="n">
        <f aca="false">C8*C9</f>
        <v>-374.5</v>
      </c>
      <c r="D10" s="23" t="n">
        <f aca="false">D8*D9</f>
        <v>-75.6741174768519</v>
      </c>
      <c r="E10" s="23" t="n">
        <f aca="false">E8*E9</f>
        <v>78.0163755063657</v>
      </c>
      <c r="F10" s="23" t="n">
        <f aca="false">F8*F9</f>
        <v>156.663753044223</v>
      </c>
    </row>
    <row r="12" customFormat="false" ht="15" hidden="false" customHeight="false" outlineLevel="0" collapsed="false">
      <c r="A12" s="8" t="s">
        <v>171</v>
      </c>
      <c r="B12" s="23" t="n">
        <f aca="false">F8*(1+Assumptions!$B$8)/(Assumptions!$B$7-Assumptions!$B$8)</f>
        <v>2951.56659266786</v>
      </c>
    </row>
    <row r="13" customFormat="false" ht="15" hidden="false" customHeight="false" outlineLevel="0" collapsed="false">
      <c r="A13" s="8" t="s">
        <v>172</v>
      </c>
      <c r="B13" s="23" t="n">
        <f aca="false">B12*F9</f>
        <v>1186.16841590626</v>
      </c>
    </row>
    <row r="14" customFormat="false" ht="15" hidden="false" customHeight="false" outlineLevel="0" collapsed="false">
      <c r="A14" s="12" t="s">
        <v>173</v>
      </c>
      <c r="B14" s="24" t="n">
        <f aca="false">SUM(B10:F10)+B13</f>
        <v>384.174426979993</v>
      </c>
    </row>
    <row r="15" customFormat="false" ht="15" hidden="false" customHeight="false" outlineLevel="0" collapsed="false">
      <c r="A15" s="8" t="s">
        <v>174</v>
      </c>
      <c r="B15" s="26" t="n">
        <f aca="false">'Holdco NAV'!C14-Assumptions!$B$22</f>
        <v>2123.1425</v>
      </c>
    </row>
    <row r="16" customFormat="false" ht="15" hidden="false" customHeight="false" outlineLevel="0" collapsed="false">
      <c r="A16" s="12" t="s">
        <v>175</v>
      </c>
      <c r="B16" s="24" t="n">
        <f aca="false">B14+B15</f>
        <v>2507.31692697999</v>
      </c>
    </row>
    <row r="17" customFormat="false" ht="15" hidden="false" customHeight="false" outlineLevel="0" collapsed="false">
      <c r="A17" s="12" t="s">
        <v>176</v>
      </c>
      <c r="B17" s="13" t="n">
        <f aca="false">B16/Assumptions!$B$5</f>
        <v>0.477976572572911</v>
      </c>
    </row>
    <row r="19" customFormat="false" ht="15" hidden="false" customHeight="false" outlineLevel="0" collapsed="false">
      <c r="A19" s="15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9" min="2" style="1" width="11"/>
    <col collapsed="false" customWidth="true" hidden="false" outlineLevel="0" max="10" min="10" style="1" width="4"/>
    <col collapsed="false" customWidth="true" hidden="false" outlineLevel="0" max="11" min="11" style="1" width="58"/>
  </cols>
  <sheetData>
    <row r="1" customFormat="false" ht="17.35" hidden="false" customHeight="false" outlineLevel="0" collapsed="false">
      <c r="A1" s="5" t="s">
        <v>178</v>
      </c>
    </row>
    <row r="2" customFormat="false" ht="15" hidden="false" customHeight="false" outlineLevel="0" collapsed="false">
      <c r="A2" s="6" t="s">
        <v>179</v>
      </c>
    </row>
    <row r="3" customFormat="false" ht="15" hidden="false" customHeight="false" outlineLevel="0" collapsed="false">
      <c r="B3" s="7" t="s">
        <v>180</v>
      </c>
      <c r="C3" s="7" t="s">
        <v>148</v>
      </c>
      <c r="D3" s="7" t="s">
        <v>149</v>
      </c>
      <c r="E3" s="7" t="s">
        <v>95</v>
      </c>
      <c r="F3" s="7" t="s">
        <v>96</v>
      </c>
      <c r="G3" s="7" t="s">
        <v>97</v>
      </c>
      <c r="H3" s="7" t="s">
        <v>98</v>
      </c>
      <c r="I3" s="7" t="s">
        <v>99</v>
      </c>
    </row>
    <row r="4" customFormat="false" ht="15" hidden="false" customHeight="false" outlineLevel="0" collapsed="false">
      <c r="A4" s="8" t="s">
        <v>181</v>
      </c>
      <c r="B4" s="17" t="n">
        <v>19.19</v>
      </c>
      <c r="C4" s="17" t="n">
        <v>30.67</v>
      </c>
      <c r="D4" s="17" t="n">
        <v>45.45</v>
      </c>
      <c r="K4" s="15" t="s">
        <v>182</v>
      </c>
    </row>
    <row r="5" customFormat="false" ht="15" hidden="false" customHeight="false" outlineLevel="0" collapsed="false">
      <c r="A5" s="15" t="s">
        <v>183</v>
      </c>
    </row>
    <row r="6" customFormat="false" ht="15" hidden="false" customHeight="false" outlineLevel="0" collapsed="false">
      <c r="A6" s="8" t="s">
        <v>184</v>
      </c>
      <c r="B6" s="19" t="n">
        <v>5085</v>
      </c>
      <c r="C6" s="19" t="n">
        <v>5754</v>
      </c>
      <c r="D6" s="19" t="n">
        <v>7873</v>
      </c>
      <c r="K6" s="15" t="s">
        <v>185</v>
      </c>
    </row>
    <row r="7" customFormat="false" ht="15" hidden="false" customHeight="false" outlineLevel="0" collapsed="false">
      <c r="A7" s="8" t="s">
        <v>186</v>
      </c>
      <c r="B7" s="19" t="n">
        <v>4843</v>
      </c>
      <c r="C7" s="19" t="n">
        <v>115</v>
      </c>
      <c r="D7" s="19" t="n">
        <v>2728</v>
      </c>
    </row>
    <row r="8" customFormat="false" ht="15" hidden="false" customHeight="false" outlineLevel="0" collapsed="false">
      <c r="A8" s="8" t="s">
        <v>187</v>
      </c>
      <c r="B8" s="19" t="n">
        <v>-7071</v>
      </c>
      <c r="C8" s="19" t="n">
        <v>-4986</v>
      </c>
      <c r="D8" s="19" t="n">
        <v>-9132</v>
      </c>
    </row>
    <row r="9" customFormat="false" ht="15" hidden="false" customHeight="false" outlineLevel="0" collapsed="false">
      <c r="A9" s="8" t="s">
        <v>188</v>
      </c>
      <c r="B9" s="19" t="n">
        <v>-5678</v>
      </c>
      <c r="C9" s="19" t="n">
        <v>-9081</v>
      </c>
      <c r="D9" s="19" t="n">
        <v>-6446</v>
      </c>
    </row>
    <row r="10" customFormat="false" ht="15" hidden="false" customHeight="false" outlineLevel="0" collapsed="false">
      <c r="A10" s="8" t="s">
        <v>189</v>
      </c>
      <c r="B10" s="19" t="n">
        <v>-1718</v>
      </c>
      <c r="C10" s="19" t="n">
        <v>-1487</v>
      </c>
      <c r="D10" s="19" t="n">
        <v>-1670</v>
      </c>
    </row>
    <row r="11" customFormat="false" ht="15" hidden="false" customHeight="false" outlineLevel="0" collapsed="false">
      <c r="A11" s="8" t="s">
        <v>190</v>
      </c>
      <c r="B11" s="19" t="n">
        <v>-579</v>
      </c>
      <c r="C11" s="19" t="n">
        <v>-1627</v>
      </c>
      <c r="D11" s="19" t="n">
        <v>-1085</v>
      </c>
    </row>
    <row r="12" customFormat="false" ht="15" hidden="false" customHeight="false" outlineLevel="0" collapsed="false">
      <c r="A12" s="8" t="s">
        <v>191</v>
      </c>
      <c r="B12" s="19" t="n">
        <v>614</v>
      </c>
      <c r="C12" s="19" t="n">
        <v>-49448</v>
      </c>
      <c r="D12" s="19" t="n">
        <v>-14000</v>
      </c>
    </row>
    <row r="13" customFormat="false" ht="15" hidden="false" customHeight="false" outlineLevel="0" collapsed="false">
      <c r="A13" s="8" t="s">
        <v>192</v>
      </c>
      <c r="B13" s="19" t="n">
        <v>23534</v>
      </c>
      <c r="C13" s="19" t="n">
        <v>4241</v>
      </c>
      <c r="D13" s="19" t="n">
        <v>17537</v>
      </c>
    </row>
    <row r="14" customFormat="false" ht="15" hidden="false" customHeight="false" outlineLevel="0" collapsed="false">
      <c r="A14" s="8" t="s">
        <v>193</v>
      </c>
      <c r="B14" s="19" t="n">
        <v>6467</v>
      </c>
      <c r="C14" s="19" t="n">
        <v>-3956</v>
      </c>
      <c r="D14" s="19" t="n">
        <v>5943</v>
      </c>
    </row>
    <row r="15" customFormat="false" ht="15" hidden="false" customHeight="false" outlineLevel="0" collapsed="false">
      <c r="A15" s="8" t="s">
        <v>194</v>
      </c>
      <c r="B15" s="19" t="n">
        <v>-2013</v>
      </c>
      <c r="C15" s="19" t="n">
        <v>-9611</v>
      </c>
      <c r="D15" s="19" t="n">
        <v>-6918</v>
      </c>
    </row>
    <row r="16" customFormat="false" ht="15" hidden="false" customHeight="false" outlineLevel="0" collapsed="false">
      <c r="A16" s="8" t="s">
        <v>195</v>
      </c>
      <c r="B16" s="19" t="n">
        <v>24776</v>
      </c>
      <c r="C16" s="19" t="n">
        <v>19783</v>
      </c>
      <c r="D16" s="19" t="n">
        <v>1944</v>
      </c>
    </row>
    <row r="17" customFormat="false" ht="15" hidden="false" customHeight="false" outlineLevel="0" collapsed="false">
      <c r="A17" s="8" t="s">
        <v>196</v>
      </c>
      <c r="B17" s="19" t="n">
        <v>26113</v>
      </c>
      <c r="C17" s="19" t="n">
        <v>18103</v>
      </c>
      <c r="D17" s="19" t="n">
        <v>8868</v>
      </c>
    </row>
    <row r="18" customFormat="false" ht="15" hidden="false" customHeight="false" outlineLevel="0" collapsed="false">
      <c r="A18" s="8" t="s">
        <v>197</v>
      </c>
      <c r="B18" s="19" t="n">
        <v>-26113</v>
      </c>
      <c r="C18" s="19" t="n">
        <v>-18103</v>
      </c>
      <c r="D18" s="19" t="n">
        <v>-8868</v>
      </c>
    </row>
    <row r="19" customFormat="false" ht="15" hidden="false" customHeight="false" outlineLevel="0" collapsed="false">
      <c r="A19" s="8" t="s">
        <v>198</v>
      </c>
      <c r="B19" s="19" t="n">
        <v>-9997</v>
      </c>
      <c r="C19" s="19" t="n">
        <v>1567</v>
      </c>
      <c r="D19" s="19" t="n">
        <v>-3126</v>
      </c>
    </row>
    <row r="20" customFormat="false" ht="15" hidden="false" customHeight="false" outlineLevel="0" collapsed="false">
      <c r="A20" s="8" t="s">
        <v>199</v>
      </c>
      <c r="B20" s="19" t="n">
        <v>-620</v>
      </c>
      <c r="C20" s="19" t="n">
        <v>9434</v>
      </c>
      <c r="D20" s="19" t="n">
        <v>0</v>
      </c>
    </row>
    <row r="22" customFormat="false" ht="15" hidden="false" customHeight="false" outlineLevel="0" collapsed="false">
      <c r="A22" s="15" t="s">
        <v>200</v>
      </c>
    </row>
    <row r="23" customFormat="false" ht="15" hidden="false" customHeight="false" outlineLevel="0" collapsed="false">
      <c r="A23" s="8" t="s">
        <v>184</v>
      </c>
      <c r="B23" s="23" t="n">
        <f aca="false">B6*B$4/1000</f>
        <v>97.58115</v>
      </c>
      <c r="C23" s="23" t="n">
        <f aca="false">C6*C$4/1000</f>
        <v>176.47518</v>
      </c>
      <c r="D23" s="23" t="n">
        <f aca="false">D6*D$4/1000</f>
        <v>357.82785</v>
      </c>
      <c r="E23" s="23" t="n">
        <f aca="false">Assumptions!B$44+Assumptions!B$46</f>
        <v>610</v>
      </c>
      <c r="F23" s="23" t="n">
        <f aca="false">(E23-Assumptions!B$46)*(1+Assumptions!C$45)+Assumptions!C$46</f>
        <v>1143</v>
      </c>
      <c r="G23" s="23" t="n">
        <f aca="false">(F23-Assumptions!C$46)*(1+Assumptions!D$45)+Assumptions!D$46</f>
        <v>1649.45</v>
      </c>
      <c r="H23" s="23" t="n">
        <f aca="false">(G23-Assumptions!D$46)*(1+Assumptions!E$45)+Assumptions!E$46</f>
        <v>2139.085</v>
      </c>
      <c r="I23" s="23" t="n">
        <f aca="false">(H23-Assumptions!E$46)*(1+Assumptions!F$45)+Assumptions!F$46</f>
        <v>2605.9637</v>
      </c>
    </row>
    <row r="24" customFormat="false" ht="15" hidden="false" customHeight="false" outlineLevel="0" collapsed="false">
      <c r="A24" s="8" t="s">
        <v>186</v>
      </c>
      <c r="B24" s="23" t="n">
        <f aca="false">B7*B$4/1000</f>
        <v>92.93717</v>
      </c>
      <c r="C24" s="23" t="n">
        <f aca="false">C7*C$4/1000</f>
        <v>3.52705</v>
      </c>
      <c r="D24" s="23" t="n">
        <f aca="false">D7*D$4/1000</f>
        <v>123.9876</v>
      </c>
      <c r="E24" s="19" t="n">
        <v>0</v>
      </c>
      <c r="F24" s="19" t="n">
        <v>0</v>
      </c>
      <c r="G24" s="19" t="n">
        <v>0</v>
      </c>
      <c r="H24" s="19" t="n">
        <v>0</v>
      </c>
      <c r="I24" s="19" t="n">
        <v>0</v>
      </c>
    </row>
    <row r="25" customFormat="false" ht="15" hidden="false" customHeight="false" outlineLevel="0" collapsed="false">
      <c r="A25" s="8" t="s">
        <v>201</v>
      </c>
      <c r="B25" s="23" t="n">
        <f aca="false">(B8+B9+B10)*B$4/1000</f>
        <v>-277.62173</v>
      </c>
      <c r="C25" s="23" t="n">
        <f aca="false">(C8+C9+C10)*C$4/1000</f>
        <v>-477.04118</v>
      </c>
      <c r="D25" s="23" t="n">
        <f aca="false">(D8+D9+D10)*D$4/1000</f>
        <v>-783.9216</v>
      </c>
      <c r="E25" s="23" t="n">
        <f aca="false">-((E23-Assumptions!B$46)*(1-Assumptions!B$47))+Assumptions!B$48</f>
        <v>-833.8</v>
      </c>
      <c r="F25" s="23" t="n">
        <f aca="false">-((F23-Assumptions!C$46)*(1-Assumptions!C$47))+Assumptions!C$48</f>
        <v>-1142.28</v>
      </c>
      <c r="G25" s="23" t="n">
        <f aca="false">-((G23-Assumptions!D$46)*(1-Assumptions!D$47))+Assumptions!D$48</f>
        <v>-1417.779</v>
      </c>
      <c r="H25" s="23" t="n">
        <f aca="false">-((H23-Assumptions!E$46)*(1-Assumptions!E$47))+Assumptions!E$48</f>
        <v>-1670.5893</v>
      </c>
      <c r="I25" s="23" t="n">
        <f aca="false">-((I23-Assumptions!F$46)*(1-Assumptions!F$47))+Assumptions!F$48</f>
        <v>-1923.659672</v>
      </c>
    </row>
    <row r="26" customFormat="false" ht="15" hidden="false" customHeight="false" outlineLevel="0" collapsed="false">
      <c r="A26" s="12" t="s">
        <v>164</v>
      </c>
      <c r="B26" s="24" t="n">
        <f aca="false">B23+B24+B25</f>
        <v>-87.10341</v>
      </c>
      <c r="C26" s="24" t="n">
        <f aca="false">C23+C24+C25</f>
        <v>-297.03895</v>
      </c>
      <c r="D26" s="24" t="n">
        <f aca="false">D23+D24+D25</f>
        <v>-302.10615</v>
      </c>
      <c r="E26" s="24" t="n">
        <f aca="false">E23+E24+E25</f>
        <v>-223.8</v>
      </c>
      <c r="F26" s="24" t="n">
        <f aca="false">F23+F24+F25</f>
        <v>0.720000000000027</v>
      </c>
      <c r="G26" s="24" t="n">
        <f aca="false">G23+G24+G25</f>
        <v>231.671</v>
      </c>
      <c r="H26" s="24" t="n">
        <f aca="false">H23+H24+H25</f>
        <v>468.4957</v>
      </c>
      <c r="I26" s="24" t="n">
        <f aca="false">I23+I24+I25</f>
        <v>682.304028</v>
      </c>
    </row>
    <row r="27" customFormat="false" ht="15" hidden="false" customHeight="false" outlineLevel="0" collapsed="false">
      <c r="A27" s="8" t="s">
        <v>202</v>
      </c>
      <c r="B27" s="27" t="n">
        <f aca="false">B26/B23</f>
        <v>-0.892625368731563</v>
      </c>
      <c r="C27" s="27" t="n">
        <f aca="false">C26/C23</f>
        <v>-1.6831769204032</v>
      </c>
      <c r="D27" s="27" t="n">
        <f aca="false">D26/D23</f>
        <v>-0.844277911850629</v>
      </c>
      <c r="E27" s="27" t="n">
        <f aca="false">E26/E23</f>
        <v>-0.366885245901639</v>
      </c>
      <c r="F27" s="27" t="n">
        <f aca="false">F26/F23</f>
        <v>0.000629921259842544</v>
      </c>
      <c r="G27" s="27" t="n">
        <f aca="false">G26/G23</f>
        <v>0.140453484494832</v>
      </c>
      <c r="H27" s="27" t="n">
        <f aca="false">H26/H23</f>
        <v>0.219016869362368</v>
      </c>
      <c r="I27" s="27" t="n">
        <f aca="false">I26/I23</f>
        <v>0.261824072223262</v>
      </c>
    </row>
    <row r="28" customFormat="false" ht="15" hidden="false" customHeight="false" outlineLevel="0" collapsed="false">
      <c r="A28" s="8" t="s">
        <v>190</v>
      </c>
      <c r="B28" s="23" t="n">
        <f aca="false">B11*B$4/1000</f>
        <v>-11.11101</v>
      </c>
      <c r="C28" s="23" t="n">
        <f aca="false">C11*C$4/1000</f>
        <v>-49.90009</v>
      </c>
      <c r="D28" s="23" t="n">
        <f aca="false">D11*D$4/1000</f>
        <v>-49.31325</v>
      </c>
      <c r="E28" s="23" t="n">
        <f aca="false">-E23*Assumptions!B$49</f>
        <v>-61</v>
      </c>
      <c r="F28" s="23" t="n">
        <f aca="false">-F23*Assumptions!C$49</f>
        <v>-102.87</v>
      </c>
      <c r="G28" s="23" t="n">
        <f aca="false">-G23*Assumptions!D$49</f>
        <v>-131.956</v>
      </c>
      <c r="H28" s="23" t="n">
        <f aca="false">-H23*Assumptions!E$49</f>
        <v>-149.73595</v>
      </c>
      <c r="I28" s="23" t="n">
        <f aca="false">-I23*Assumptions!F$49</f>
        <v>-182.417459</v>
      </c>
    </row>
    <row r="29" customFormat="false" ht="15" hidden="false" customHeight="false" outlineLevel="0" collapsed="false">
      <c r="A29" s="12" t="s">
        <v>203</v>
      </c>
      <c r="B29" s="24" t="n">
        <f aca="false">B26+B28</f>
        <v>-98.21442</v>
      </c>
      <c r="C29" s="24" t="n">
        <f aca="false">C26+C28</f>
        <v>-346.93904</v>
      </c>
      <c r="D29" s="24" t="n">
        <f aca="false">D26+D28</f>
        <v>-351.4194</v>
      </c>
      <c r="E29" s="24" t="n">
        <f aca="false">E26+E28</f>
        <v>-284.8</v>
      </c>
      <c r="F29" s="24" t="n">
        <f aca="false">F26+F28</f>
        <v>-102.15</v>
      </c>
      <c r="G29" s="24" t="n">
        <f aca="false">G26+G28</f>
        <v>99.715</v>
      </c>
      <c r="H29" s="24" t="n">
        <f aca="false">H26+H28</f>
        <v>318.75975</v>
      </c>
      <c r="I29" s="24" t="n">
        <f aca="false">I26+I28</f>
        <v>499.886569</v>
      </c>
    </row>
    <row r="30" customFormat="false" ht="15" hidden="false" customHeight="false" outlineLevel="0" collapsed="false">
      <c r="A30" s="8" t="s">
        <v>204</v>
      </c>
      <c r="B30" s="23" t="n">
        <f aca="false">(B12+B16)*B$4/1000</f>
        <v>487.2341</v>
      </c>
      <c r="C30" s="23" t="n">
        <f aca="false">(C12+C16)*C$4/1000</f>
        <v>-909.82555</v>
      </c>
      <c r="D30" s="23" t="n">
        <f aca="false">(D12+D16)*D$4/1000</f>
        <v>-547.9452</v>
      </c>
      <c r="E30" s="23" t="n">
        <f aca="false">Assumptions!B$51</f>
        <v>-700</v>
      </c>
      <c r="F30" s="23" t="n">
        <f aca="false">Assumptions!C$51</f>
        <v>0</v>
      </c>
      <c r="G30" s="23" t="n">
        <f aca="false">Assumptions!D$51</f>
        <v>0</v>
      </c>
      <c r="H30" s="23" t="n">
        <f aca="false">Assumptions!E$51</f>
        <v>0</v>
      </c>
      <c r="I30" s="23" t="n">
        <f aca="false">Assumptions!F$51</f>
        <v>0</v>
      </c>
    </row>
    <row r="31" customFormat="false" ht="15" hidden="false" customHeight="false" outlineLevel="0" collapsed="false">
      <c r="A31" s="8" t="s">
        <v>205</v>
      </c>
      <c r="B31" s="23" t="n">
        <f aca="false">(B13+B14+B15)*B$4/1000</f>
        <v>537.08972</v>
      </c>
      <c r="C31" s="23" t="n">
        <f aca="false">(C13+C14+C15)*C$4/1000</f>
        <v>-286.02842</v>
      </c>
      <c r="D31" s="23" t="n">
        <f aca="false">(D13+D14+D15)*D$4/1000</f>
        <v>752.7429</v>
      </c>
      <c r="E31" s="23" t="n">
        <f aca="false">Assumptions!B$50</f>
        <v>-160</v>
      </c>
      <c r="F31" s="23" t="n">
        <f aca="false">Assumptions!C$50</f>
        <v>-120</v>
      </c>
      <c r="G31" s="23" t="n">
        <f aca="false">Assumptions!D$50</f>
        <v>-80</v>
      </c>
      <c r="H31" s="23" t="n">
        <f aca="false">Assumptions!E$50</f>
        <v>-40</v>
      </c>
      <c r="I31" s="23" t="n">
        <f aca="false">Assumptions!F$50</f>
        <v>0</v>
      </c>
    </row>
    <row r="32" customFormat="false" ht="15" hidden="false" customHeight="false" outlineLevel="0" collapsed="false">
      <c r="A32" s="8" t="s">
        <v>206</v>
      </c>
      <c r="B32" s="23" t="n">
        <f aca="false">(B17+B18)*B$4/1000</f>
        <v>0</v>
      </c>
      <c r="C32" s="23" t="n">
        <f aca="false">(C17+C18)*C$4/1000</f>
        <v>0</v>
      </c>
      <c r="D32" s="23" t="n">
        <f aca="false">(D17+D18)*D$4/1000</f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</row>
    <row r="33" customFormat="false" ht="15" hidden="false" customHeight="false" outlineLevel="0" collapsed="false">
      <c r="A33" s="12" t="s">
        <v>207</v>
      </c>
      <c r="B33" s="24" t="n">
        <f aca="false">SUM(B29,B30:B32)</f>
        <v>926.1094</v>
      </c>
      <c r="C33" s="24" t="n">
        <f aca="false">SUM(C29,C30:C32)</f>
        <v>-1542.79301</v>
      </c>
      <c r="D33" s="24" t="n">
        <f aca="false">SUM(D29,D30:D32)</f>
        <v>-146.6217</v>
      </c>
      <c r="E33" s="24" t="n">
        <f aca="false">SUM(E29,E30:E32)</f>
        <v>-1144.8</v>
      </c>
      <c r="F33" s="24" t="n">
        <f aca="false">SUM(F29,F30:F32)</f>
        <v>-222.15</v>
      </c>
      <c r="G33" s="24" t="n">
        <f aca="false">SUM(G29,G30:G32)</f>
        <v>19.715</v>
      </c>
      <c r="H33" s="24" t="n">
        <f aca="false">SUM(H29,H30:H32)</f>
        <v>278.75975</v>
      </c>
      <c r="I33" s="24" t="n">
        <f aca="false">SUM(I29,I30:I32)</f>
        <v>499.886569</v>
      </c>
    </row>
    <row r="34" customFormat="false" ht="15" hidden="false" customHeight="false" outlineLevel="0" collapsed="false">
      <c r="A34" s="8" t="s">
        <v>198</v>
      </c>
      <c r="B34" s="23" t="n">
        <f aca="false">B19*B$4/1000</f>
        <v>-191.84243</v>
      </c>
      <c r="C34" s="23" t="n">
        <f aca="false">C19*C$4/1000</f>
        <v>48.05989</v>
      </c>
      <c r="D34" s="23" t="n">
        <f aca="false">D19*D$4/1000</f>
        <v>-142.0767</v>
      </c>
      <c r="E34" s="23" t="n">
        <f aca="false">-MAX(0,E33)*Assumptions!$B$9</f>
        <v>-0</v>
      </c>
      <c r="F34" s="23" t="n">
        <f aca="false">-MAX(0,F33)*Assumptions!$B$9</f>
        <v>-0</v>
      </c>
      <c r="G34" s="23" t="n">
        <f aca="false">-MAX(0,G33)*Assumptions!$B$9</f>
        <v>-4.43587500000001</v>
      </c>
      <c r="H34" s="23" t="n">
        <f aca="false">-MAX(0,H33)*Assumptions!$B$9</f>
        <v>-62.72094375</v>
      </c>
      <c r="I34" s="23" t="n">
        <f aca="false">-MAX(0,I33)*Assumptions!$B$9</f>
        <v>-112.474478025</v>
      </c>
    </row>
    <row r="35" customFormat="false" ht="15" hidden="false" customHeight="false" outlineLevel="0" collapsed="false">
      <c r="A35" s="8" t="s">
        <v>199</v>
      </c>
      <c r="B35" s="23" t="n">
        <f aca="false">B20*B$4/1000</f>
        <v>-11.8978</v>
      </c>
      <c r="C35" s="23" t="n">
        <f aca="false">C20*C$4/1000</f>
        <v>289.34078</v>
      </c>
      <c r="D35" s="23" t="n">
        <f aca="false">D20*D$4/1000</f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</row>
    <row r="36" customFormat="false" ht="15" hidden="false" customHeight="false" outlineLevel="0" collapsed="false">
      <c r="A36" s="12" t="s">
        <v>208</v>
      </c>
      <c r="B36" s="24" t="n">
        <f aca="false">B33+B34+B35</f>
        <v>722.36917</v>
      </c>
      <c r="C36" s="24" t="n">
        <f aca="false">C33+C34+C35</f>
        <v>-1205.39234</v>
      </c>
      <c r="D36" s="24" t="n">
        <f aca="false">D33+D34+D35</f>
        <v>-288.6984</v>
      </c>
      <c r="E36" s="24" t="n">
        <f aca="false">E33+E34+E35</f>
        <v>-1144.8</v>
      </c>
      <c r="F36" s="24" t="n">
        <f aca="false">F33+F34+F35</f>
        <v>-222.15</v>
      </c>
      <c r="G36" s="24" t="n">
        <f aca="false">G33+G34+G35</f>
        <v>15.279125</v>
      </c>
      <c r="H36" s="24" t="n">
        <f aca="false">H33+H34+H35</f>
        <v>216.03880625</v>
      </c>
      <c r="I36" s="24" t="n">
        <f aca="false">I33+I34+I35</f>
        <v>387.412090975</v>
      </c>
    </row>
    <row r="38" customFormat="false" ht="15" hidden="false" customHeight="false" outlineLevel="0" collapsed="false">
      <c r="A38" s="15" t="s"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9" min="2" style="1" width="11"/>
    <col collapsed="false" customWidth="true" hidden="false" outlineLevel="0" max="10" min="10" style="1" width="4"/>
    <col collapsed="false" customWidth="true" hidden="false" outlineLevel="0" max="11" min="11" style="1" width="58"/>
  </cols>
  <sheetData>
    <row r="1" customFormat="false" ht="17.35" hidden="false" customHeight="false" outlineLevel="0" collapsed="false">
      <c r="A1" s="5" t="s">
        <v>210</v>
      </c>
    </row>
    <row r="2" customFormat="false" ht="15" hidden="false" customHeight="false" outlineLevel="0" collapsed="false">
      <c r="A2" s="6" t="s">
        <v>211</v>
      </c>
    </row>
    <row r="3" customFormat="false" ht="15" hidden="false" customHeight="false" outlineLevel="0" collapsed="false">
      <c r="B3" s="7" t="s">
        <v>180</v>
      </c>
      <c r="C3" s="7" t="s">
        <v>148</v>
      </c>
      <c r="D3" s="7" t="s">
        <v>149</v>
      </c>
      <c r="E3" s="7" t="s">
        <v>95</v>
      </c>
      <c r="F3" s="7" t="s">
        <v>96</v>
      </c>
      <c r="G3" s="7" t="s">
        <v>97</v>
      </c>
      <c r="H3" s="7" t="s">
        <v>98</v>
      </c>
      <c r="I3" s="7" t="s">
        <v>99</v>
      </c>
    </row>
    <row r="4" customFormat="false" ht="15" hidden="false" customHeight="false" outlineLevel="0" collapsed="false">
      <c r="A4" s="8" t="s">
        <v>212</v>
      </c>
      <c r="B4" s="17" t="n">
        <v>24.75</v>
      </c>
      <c r="C4" s="17" t="n">
        <v>30.86</v>
      </c>
      <c r="D4" s="17" t="n">
        <v>51.02</v>
      </c>
      <c r="E4" s="29" t="n">
        <f aca="false">Assumptions!$B$6</f>
        <v>49.09</v>
      </c>
      <c r="F4" s="29" t="n">
        <f aca="false">Assumptions!$B$6</f>
        <v>49.09</v>
      </c>
      <c r="G4" s="29" t="n">
        <f aca="false">Assumptions!$B$6</f>
        <v>49.09</v>
      </c>
      <c r="H4" s="29" t="n">
        <f aca="false">Assumptions!$B$6</f>
        <v>49.09</v>
      </c>
      <c r="I4" s="29" t="n">
        <f aca="false">Assumptions!$B$6</f>
        <v>49.09</v>
      </c>
    </row>
    <row r="5" customFormat="false" ht="15" hidden="false" customHeight="false" outlineLevel="0" collapsed="false">
      <c r="A5" s="15" t="s">
        <v>213</v>
      </c>
    </row>
    <row r="6" customFormat="false" ht="15" hidden="false" customHeight="false" outlineLevel="0" collapsed="false">
      <c r="A6" s="8" t="s">
        <v>214</v>
      </c>
      <c r="B6" s="19" t="n">
        <v>18600</v>
      </c>
      <c r="C6" s="19" t="n">
        <v>31558</v>
      </c>
      <c r="D6" s="19" t="n">
        <v>26022</v>
      </c>
    </row>
    <row r="7" customFormat="false" ht="15" hidden="false" customHeight="false" outlineLevel="0" collapsed="false">
      <c r="A7" s="8" t="s">
        <v>215</v>
      </c>
      <c r="B7" s="19" t="n">
        <v>8166</v>
      </c>
      <c r="C7" s="19" t="n">
        <v>0</v>
      </c>
      <c r="D7" s="19" t="n">
        <v>0</v>
      </c>
    </row>
    <row r="8" customFormat="false" ht="15" hidden="false" customHeight="false" outlineLevel="0" collapsed="false">
      <c r="A8" s="8" t="s">
        <v>216</v>
      </c>
      <c r="B8" s="19" t="n">
        <v>24803</v>
      </c>
      <c r="C8" s="19" t="n">
        <v>19858</v>
      </c>
      <c r="D8" s="19" t="n">
        <v>12000</v>
      </c>
    </row>
    <row r="9" customFormat="false" ht="15" hidden="false" customHeight="false" outlineLevel="0" collapsed="false">
      <c r="A9" s="8" t="s">
        <v>217</v>
      </c>
      <c r="B9" s="19" t="n">
        <v>90471</v>
      </c>
      <c r="C9" s="19" t="n">
        <v>47975</v>
      </c>
      <c r="D9" s="19" t="n">
        <v>56967</v>
      </c>
    </row>
    <row r="10" customFormat="false" ht="15" hidden="false" customHeight="false" outlineLevel="0" collapsed="false">
      <c r="A10" s="8" t="s">
        <v>218</v>
      </c>
      <c r="B10" s="19" t="n">
        <v>27504</v>
      </c>
      <c r="C10" s="19" t="n">
        <v>24332</v>
      </c>
      <c r="D10" s="19" t="n">
        <v>28522</v>
      </c>
    </row>
    <row r="11" customFormat="false" ht="15" hidden="false" customHeight="false" outlineLevel="0" collapsed="false">
      <c r="A11" s="8" t="s">
        <v>219</v>
      </c>
      <c r="B11" s="19" t="n">
        <v>0</v>
      </c>
      <c r="C11" s="19" t="n">
        <v>35</v>
      </c>
      <c r="D11" s="19" t="n">
        <v>50</v>
      </c>
    </row>
    <row r="12" customFormat="false" ht="15" hidden="false" customHeight="false" outlineLevel="0" collapsed="false">
      <c r="A12" s="8" t="s">
        <v>220</v>
      </c>
      <c r="B12" s="19" t="n">
        <v>10921</v>
      </c>
      <c r="C12" s="19" t="n">
        <v>5208</v>
      </c>
      <c r="D12" s="19" t="n">
        <v>4302</v>
      </c>
    </row>
    <row r="13" customFormat="false" ht="15" hidden="false" customHeight="false" outlineLevel="0" collapsed="false">
      <c r="A13" s="8" t="s">
        <v>221</v>
      </c>
      <c r="B13" s="19" t="n">
        <v>2918</v>
      </c>
      <c r="C13" s="19" t="n">
        <v>2057</v>
      </c>
      <c r="D13" s="19" t="n">
        <v>12869</v>
      </c>
    </row>
    <row r="14" customFormat="false" ht="15" hidden="false" customHeight="false" outlineLevel="0" collapsed="false">
      <c r="A14" s="8" t="s">
        <v>222</v>
      </c>
      <c r="B14" s="19" t="n">
        <v>66880</v>
      </c>
      <c r="C14" s="19" t="n">
        <v>73583</v>
      </c>
      <c r="D14" s="19" t="n">
        <v>45714</v>
      </c>
    </row>
    <row r="15" customFormat="false" ht="15" hidden="false" customHeight="false" outlineLevel="0" collapsed="false">
      <c r="A15" s="8" t="s">
        <v>223</v>
      </c>
      <c r="B15" s="19" t="n">
        <v>-79872</v>
      </c>
      <c r="C15" s="19" t="n">
        <v>-103395</v>
      </c>
      <c r="D15" s="19" t="n">
        <v>-107890</v>
      </c>
    </row>
    <row r="16" customFormat="false" ht="15" hidden="false" customHeight="false" outlineLevel="0" collapsed="false">
      <c r="A16" s="8" t="s">
        <v>224</v>
      </c>
      <c r="B16" s="19" t="n">
        <v>-19973</v>
      </c>
      <c r="C16" s="19" t="n">
        <v>-15593</v>
      </c>
      <c r="D16" s="19" t="n">
        <v>-5584</v>
      </c>
    </row>
    <row r="17" customFormat="false" ht="15" hidden="false" customHeight="false" outlineLevel="0" collapsed="false">
      <c r="A17" s="8" t="s">
        <v>225</v>
      </c>
      <c r="B17" s="19" t="n">
        <v>-12363</v>
      </c>
      <c r="C17" s="19" t="n">
        <v>-9396</v>
      </c>
      <c r="D17" s="19" t="n">
        <v>-9000</v>
      </c>
    </row>
    <row r="18" customFormat="false" ht="15" hidden="false" customHeight="false" outlineLevel="0" collapsed="false">
      <c r="A18" s="8" t="s">
        <v>226</v>
      </c>
      <c r="B18" s="19" t="n">
        <v>-4141</v>
      </c>
      <c r="C18" s="19" t="n">
        <v>-2328</v>
      </c>
      <c r="D18" s="19" t="n">
        <v>-2300</v>
      </c>
    </row>
    <row r="19" customFormat="false" ht="15" hidden="false" customHeight="false" outlineLevel="0" collapsed="false">
      <c r="A19" s="8" t="s">
        <v>189</v>
      </c>
      <c r="B19" s="19" t="n">
        <v>-8702</v>
      </c>
      <c r="C19" s="19" t="n">
        <v>-7280</v>
      </c>
      <c r="D19" s="19" t="n">
        <v>-7300</v>
      </c>
    </row>
    <row r="21" customFormat="false" ht="15" hidden="false" customHeight="false" outlineLevel="0" collapsed="false">
      <c r="A21" s="15" t="s">
        <v>227</v>
      </c>
    </row>
    <row r="22" customFormat="false" ht="15" hidden="false" customHeight="false" outlineLevel="0" collapsed="false">
      <c r="A22" s="8" t="s">
        <v>214</v>
      </c>
      <c r="B22" s="23" t="n">
        <f aca="false">B6*B$4/1000</f>
        <v>460.35</v>
      </c>
      <c r="C22" s="23" t="n">
        <f aca="false">C6*C$4/1000</f>
        <v>973.87988</v>
      </c>
      <c r="D22" s="23" t="n">
        <f aca="false">D6*D$4/1000</f>
        <v>1327.64244</v>
      </c>
      <c r="E22" s="23" t="n">
        <f aca="false">D22-Assumptions!B$52+'Income Statement'!E28</f>
        <v>1716.64244</v>
      </c>
      <c r="F22" s="23" t="n">
        <f aca="false">E22-Assumptions!C$52+'Income Statement'!F28</f>
        <v>2113.77244</v>
      </c>
      <c r="G22" s="23" t="n">
        <f aca="false">F22-Assumptions!D$52+'Income Statement'!G28</f>
        <v>2281.81644</v>
      </c>
      <c r="H22" s="23" t="n">
        <f aca="false">G22-Assumptions!E$52+'Income Statement'!H28</f>
        <v>2332.08049</v>
      </c>
      <c r="I22" s="23" t="n">
        <f aca="false">H22-Assumptions!F$52+'Income Statement'!I28</f>
        <v>2299.663031</v>
      </c>
    </row>
    <row r="23" customFormat="false" ht="15" hidden="false" customHeight="false" outlineLevel="0" collapsed="false">
      <c r="A23" s="8" t="s">
        <v>215</v>
      </c>
      <c r="B23" s="23" t="n">
        <f aca="false">B7*B$4/1000</f>
        <v>202.1085</v>
      </c>
      <c r="C23" s="23" t="n">
        <f aca="false">C7*C$4/1000</f>
        <v>0</v>
      </c>
      <c r="D23" s="23" t="n">
        <f aca="false">D7*D$4/1000</f>
        <v>0</v>
      </c>
      <c r="E23" s="23" t="n">
        <f aca="false">D23</f>
        <v>0</v>
      </c>
      <c r="F23" s="23" t="n">
        <f aca="false">E23</f>
        <v>0</v>
      </c>
      <c r="G23" s="23" t="n">
        <f aca="false">F23</f>
        <v>0</v>
      </c>
      <c r="H23" s="23" t="n">
        <f aca="false">G23</f>
        <v>0</v>
      </c>
      <c r="I23" s="23" t="n">
        <f aca="false">H23</f>
        <v>0</v>
      </c>
    </row>
    <row r="24" customFormat="false" ht="15" hidden="false" customHeight="false" outlineLevel="0" collapsed="false">
      <c r="A24" s="8" t="s">
        <v>228</v>
      </c>
      <c r="B24" s="23" t="n">
        <f aca="false">B8*B$4/1000</f>
        <v>613.87425</v>
      </c>
      <c r="C24" s="23" t="n">
        <f aca="false">C8*C$4/1000</f>
        <v>612.81788</v>
      </c>
      <c r="D24" s="23" t="n">
        <f aca="false">D8*D$4/1000</f>
        <v>612.24</v>
      </c>
      <c r="E24" s="23" t="n">
        <f aca="false">D24</f>
        <v>612.24</v>
      </c>
      <c r="F24" s="23" t="n">
        <f aca="false">E24</f>
        <v>612.24</v>
      </c>
      <c r="G24" s="23" t="n">
        <f aca="false">F24</f>
        <v>612.24</v>
      </c>
      <c r="H24" s="23" t="n">
        <f aca="false">G24</f>
        <v>612.24</v>
      </c>
      <c r="I24" s="23" t="n">
        <f aca="false">H24</f>
        <v>612.24</v>
      </c>
    </row>
    <row r="25" customFormat="false" ht="15" hidden="false" customHeight="false" outlineLevel="0" collapsed="false">
      <c r="A25" s="8" t="s">
        <v>229</v>
      </c>
      <c r="B25" s="23" t="n">
        <f aca="false">B9*B$4/1000</f>
        <v>2239.15725</v>
      </c>
      <c r="C25" s="23" t="n">
        <f aca="false">C9*C$4/1000</f>
        <v>1480.5085</v>
      </c>
      <c r="D25" s="23" t="n">
        <f aca="false">D9*D$4/1000</f>
        <v>2906.45634</v>
      </c>
      <c r="E25" s="23" t="n">
        <f aca="false">D25*Assumptions!$B$6/D$4</f>
        <v>2796.51003</v>
      </c>
      <c r="F25" s="23" t="n">
        <f aca="false">E25</f>
        <v>2796.51003</v>
      </c>
      <c r="G25" s="23" t="n">
        <f aca="false">F25</f>
        <v>2796.51003</v>
      </c>
      <c r="H25" s="23" t="n">
        <f aca="false">G25</f>
        <v>2796.51003</v>
      </c>
      <c r="I25" s="23" t="n">
        <f aca="false">H25</f>
        <v>2796.51003</v>
      </c>
    </row>
    <row r="26" customFormat="false" ht="15" hidden="false" customHeight="false" outlineLevel="0" collapsed="false">
      <c r="A26" s="8" t="s">
        <v>230</v>
      </c>
      <c r="B26" s="23" t="n">
        <f aca="false">B10*B$4/1000</f>
        <v>680.724</v>
      </c>
      <c r="C26" s="23" t="n">
        <f aca="false">C10*C$4/1000</f>
        <v>750.88552</v>
      </c>
      <c r="D26" s="23" t="n">
        <f aca="false">D10*D$4/1000</f>
        <v>1455.19244</v>
      </c>
      <c r="E26" s="23" t="n">
        <f aca="false">D26</f>
        <v>1455.19244</v>
      </c>
      <c r="F26" s="23" t="n">
        <f aca="false">E26</f>
        <v>1455.19244</v>
      </c>
      <c r="G26" s="23" t="n">
        <f aca="false">F26</f>
        <v>1455.19244</v>
      </c>
      <c r="H26" s="23" t="n">
        <f aca="false">G26</f>
        <v>1455.19244</v>
      </c>
      <c r="I26" s="23" t="n">
        <f aca="false">H26</f>
        <v>1455.19244</v>
      </c>
    </row>
    <row r="27" customFormat="false" ht="15" hidden="false" customHeight="false" outlineLevel="0" collapsed="false">
      <c r="A27" s="8" t="s">
        <v>219</v>
      </c>
      <c r="B27" s="23" t="n">
        <f aca="false">B11*B$4/1000</f>
        <v>0</v>
      </c>
      <c r="C27" s="23" t="n">
        <f aca="false">C11*C$4/1000</f>
        <v>1.0801</v>
      </c>
      <c r="D27" s="23" t="n">
        <f aca="false">D11*D$4/1000</f>
        <v>2.551</v>
      </c>
      <c r="E27" s="23" t="n">
        <f aca="false">D27</f>
        <v>2.551</v>
      </c>
      <c r="F27" s="23" t="n">
        <f aca="false">E27</f>
        <v>2.551</v>
      </c>
      <c r="G27" s="23" t="n">
        <f aca="false">F27</f>
        <v>2.551</v>
      </c>
      <c r="H27" s="23" t="n">
        <f aca="false">G27</f>
        <v>2.551</v>
      </c>
      <c r="I27" s="23" t="n">
        <f aca="false">H27</f>
        <v>2.551</v>
      </c>
    </row>
    <row r="28" customFormat="false" ht="15" hidden="false" customHeight="false" outlineLevel="0" collapsed="false">
      <c r="A28" s="8" t="s">
        <v>220</v>
      </c>
      <c r="B28" s="23" t="n">
        <f aca="false">B12*B$4/1000</f>
        <v>270.29475</v>
      </c>
      <c r="C28" s="23" t="n">
        <f aca="false">C12*C$4/1000</f>
        <v>160.71888</v>
      </c>
      <c r="D28" s="23" t="n">
        <f aca="false">D12*D$4/1000</f>
        <v>219.48804</v>
      </c>
      <c r="E28" s="23" t="n">
        <f aca="false">D28-Assumptions!B$53*0.6</f>
        <v>237.48804</v>
      </c>
      <c r="F28" s="23" t="n">
        <f aca="false">E28-Assumptions!C$53*0.6</f>
        <v>261.48804</v>
      </c>
      <c r="G28" s="23" t="n">
        <f aca="false">F28-Assumptions!D$53*0.6</f>
        <v>285.48804</v>
      </c>
      <c r="H28" s="23" t="n">
        <f aca="false">G28-Assumptions!E$53*0.6</f>
        <v>306.48804</v>
      </c>
      <c r="I28" s="23" t="n">
        <f aca="false">H28-Assumptions!F$53*0.6</f>
        <v>324.48804</v>
      </c>
    </row>
    <row r="29" customFormat="false" ht="15" hidden="false" customHeight="false" outlineLevel="0" collapsed="false">
      <c r="A29" s="8" t="s">
        <v>221</v>
      </c>
      <c r="B29" s="23" t="n">
        <f aca="false">B13*B$4/1000</f>
        <v>72.2205</v>
      </c>
      <c r="C29" s="23" t="n">
        <f aca="false">C13*C$4/1000</f>
        <v>63.47902</v>
      </c>
      <c r="D29" s="23" t="n">
        <f aca="false">D13*D$4/1000</f>
        <v>656.57638</v>
      </c>
      <c r="E29" s="23" t="n">
        <f aca="false">D29-Assumptions!B$53*0.4</f>
        <v>668.57638</v>
      </c>
      <c r="F29" s="23" t="n">
        <f aca="false">E29-Assumptions!C$53*0.4</f>
        <v>684.57638</v>
      </c>
      <c r="G29" s="23" t="n">
        <f aca="false">F29-Assumptions!D$53*0.4</f>
        <v>700.57638</v>
      </c>
      <c r="H29" s="23" t="n">
        <f aca="false">G29-Assumptions!E$53*0.4</f>
        <v>714.57638</v>
      </c>
      <c r="I29" s="23" t="n">
        <f aca="false">H29-Assumptions!F$53*0.4</f>
        <v>726.57638</v>
      </c>
    </row>
    <row r="30" customFormat="false" ht="15" hidden="false" customHeight="false" outlineLevel="0" collapsed="false">
      <c r="A30" s="8" t="s">
        <v>222</v>
      </c>
      <c r="B30" s="23" t="n">
        <f aca="false">B14*B$4/1000</f>
        <v>1655.28</v>
      </c>
      <c r="C30" s="23" t="n">
        <f aca="false">C14*C$4/1000</f>
        <v>2270.77138</v>
      </c>
      <c r="D30" s="23" t="n">
        <f aca="false">D14*D$4/1000</f>
        <v>2332.32828</v>
      </c>
      <c r="E30" s="26" t="n">
        <f aca="false">'Cash Flow'!E23</f>
        <v>1368.52828</v>
      </c>
      <c r="F30" s="26" t="n">
        <f aca="false">'Cash Flow'!F23</f>
        <v>749.24828</v>
      </c>
      <c r="G30" s="26" t="n">
        <f aca="false">'Cash Flow'!G23</f>
        <v>596.483405</v>
      </c>
      <c r="H30" s="26" t="n">
        <f aca="false">'Cash Flow'!H23</f>
        <v>767.25816125</v>
      </c>
      <c r="I30" s="26" t="n">
        <f aca="false">'Cash Flow'!I23</f>
        <v>1197.087711225</v>
      </c>
    </row>
    <row r="31" customFormat="false" ht="15" hidden="false" customHeight="false" outlineLevel="0" collapsed="false">
      <c r="A31" s="12" t="s">
        <v>231</v>
      </c>
      <c r="B31" s="24" t="n">
        <f aca="false">SUM(B22:B30)</f>
        <v>6194.00925</v>
      </c>
      <c r="C31" s="24" t="n">
        <f aca="false">SUM(C22:C30)</f>
        <v>6314.14116</v>
      </c>
      <c r="D31" s="24" t="n">
        <f aca="false">SUM(D22:D30)</f>
        <v>9512.47492</v>
      </c>
      <c r="E31" s="24" t="n">
        <f aca="false">SUM(E22:E30)</f>
        <v>8857.72861</v>
      </c>
      <c r="F31" s="24" t="n">
        <f aca="false">SUM(F22:F30)</f>
        <v>8675.57861</v>
      </c>
      <c r="G31" s="24" t="n">
        <f aca="false">SUM(G22:G30)</f>
        <v>8730.857735</v>
      </c>
      <c r="H31" s="24" t="n">
        <f aca="false">SUM(H22:H30)</f>
        <v>8986.89654125</v>
      </c>
      <c r="I31" s="24" t="n">
        <f aca="false">SUM(I22:I30)</f>
        <v>9414.308632225</v>
      </c>
    </row>
    <row r="32" customFormat="false" ht="15" hidden="false" customHeight="false" outlineLevel="0" collapsed="false">
      <c r="A32" s="8" t="s">
        <v>223</v>
      </c>
      <c r="B32" s="23" t="n">
        <f aca="false">B15*B$4/1000</f>
        <v>-1976.832</v>
      </c>
      <c r="C32" s="23" t="n">
        <f aca="false">C15*C$4/1000</f>
        <v>-3190.7697</v>
      </c>
      <c r="D32" s="23" t="n">
        <f aca="false">D15*D$4/1000</f>
        <v>-5504.5478</v>
      </c>
      <c r="E32" s="23" t="n">
        <f aca="false">D32+40</f>
        <v>-5464.5478</v>
      </c>
      <c r="F32" s="23" t="n">
        <f aca="false">E32+40</f>
        <v>-5424.5478</v>
      </c>
      <c r="G32" s="23" t="n">
        <f aca="false">F32+40</f>
        <v>-5384.5478</v>
      </c>
      <c r="H32" s="23" t="n">
        <f aca="false">G32+40</f>
        <v>-5344.5478</v>
      </c>
      <c r="I32" s="23" t="n">
        <f aca="false">H32+40</f>
        <v>-5304.5478</v>
      </c>
    </row>
    <row r="33" customFormat="false" ht="15" hidden="false" customHeight="false" outlineLevel="0" collapsed="false">
      <c r="A33" s="8" t="s">
        <v>224</v>
      </c>
      <c r="B33" s="23" t="n">
        <f aca="false">B16*B$4/1000</f>
        <v>-494.33175</v>
      </c>
      <c r="C33" s="23" t="n">
        <f aca="false">C16*C$4/1000</f>
        <v>-481.19998</v>
      </c>
      <c r="D33" s="23" t="n">
        <f aca="false">D16*D$4/1000</f>
        <v>-284.89568</v>
      </c>
      <c r="E33" s="23" t="n">
        <f aca="false">D33</f>
        <v>-284.89568</v>
      </c>
      <c r="F33" s="23" t="n">
        <f aca="false">E33</f>
        <v>-284.89568</v>
      </c>
      <c r="G33" s="23" t="n">
        <f aca="false">F33</f>
        <v>-284.89568</v>
      </c>
      <c r="H33" s="23" t="n">
        <f aca="false">G33</f>
        <v>-284.89568</v>
      </c>
      <c r="I33" s="23" t="n">
        <f aca="false">H33</f>
        <v>-284.89568</v>
      </c>
    </row>
    <row r="34" customFormat="false" ht="15" hidden="false" customHeight="false" outlineLevel="0" collapsed="false">
      <c r="A34" s="8" t="s">
        <v>225</v>
      </c>
      <c r="B34" s="23" t="n">
        <f aca="false">B17*B$4/1000</f>
        <v>-305.98425</v>
      </c>
      <c r="C34" s="23" t="n">
        <f aca="false">C17*C$4/1000</f>
        <v>-289.96056</v>
      </c>
      <c r="D34" s="23" t="n">
        <f aca="false">D17*D$4/1000</f>
        <v>-459.18</v>
      </c>
      <c r="E34" s="23" t="n">
        <f aca="false">D34</f>
        <v>-459.18</v>
      </c>
      <c r="F34" s="23" t="n">
        <f aca="false">E34</f>
        <v>-459.18</v>
      </c>
      <c r="G34" s="23" t="n">
        <f aca="false">F34</f>
        <v>-459.18</v>
      </c>
      <c r="H34" s="23" t="n">
        <f aca="false">G34</f>
        <v>-459.18</v>
      </c>
      <c r="I34" s="23" t="n">
        <f aca="false">H34</f>
        <v>-459.18</v>
      </c>
    </row>
    <row r="35" customFormat="false" ht="15" hidden="false" customHeight="false" outlineLevel="0" collapsed="false">
      <c r="A35" s="8" t="s">
        <v>226</v>
      </c>
      <c r="B35" s="23" t="n">
        <f aca="false">B18*B$4/1000</f>
        <v>-102.48975</v>
      </c>
      <c r="C35" s="23" t="n">
        <f aca="false">C18*C$4/1000</f>
        <v>-71.84208</v>
      </c>
      <c r="D35" s="23" t="n">
        <f aca="false">D18*D$4/1000</f>
        <v>-117.346</v>
      </c>
      <c r="E35" s="23" t="n">
        <f aca="false">D35</f>
        <v>-117.346</v>
      </c>
      <c r="F35" s="23" t="n">
        <f aca="false">E35</f>
        <v>-117.346</v>
      </c>
      <c r="G35" s="23" t="n">
        <f aca="false">F35</f>
        <v>-117.346</v>
      </c>
      <c r="H35" s="23" t="n">
        <f aca="false">G35</f>
        <v>-117.346</v>
      </c>
      <c r="I35" s="23" t="n">
        <f aca="false">H35</f>
        <v>-117.346</v>
      </c>
    </row>
    <row r="36" customFormat="false" ht="15" hidden="false" customHeight="false" outlineLevel="0" collapsed="false">
      <c r="A36" s="8" t="s">
        <v>189</v>
      </c>
      <c r="B36" s="23" t="n">
        <f aca="false">B19*B$4/1000</f>
        <v>-215.3745</v>
      </c>
      <c r="C36" s="23" t="n">
        <f aca="false">C19*C$4/1000</f>
        <v>-224.6608</v>
      </c>
      <c r="D36" s="23" t="n">
        <f aca="false">D19*D$4/1000</f>
        <v>-372.446</v>
      </c>
      <c r="E36" s="23" t="n">
        <f aca="false">D36</f>
        <v>-372.446</v>
      </c>
      <c r="F36" s="23" t="n">
        <f aca="false">E36</f>
        <v>-372.446</v>
      </c>
      <c r="G36" s="23" t="n">
        <f aca="false">F36</f>
        <v>-372.446</v>
      </c>
      <c r="H36" s="23" t="n">
        <f aca="false">G36</f>
        <v>-372.446</v>
      </c>
      <c r="I36" s="23" t="n">
        <f aca="false">H36</f>
        <v>-372.446</v>
      </c>
    </row>
    <row r="37" customFormat="false" ht="15" hidden="false" customHeight="false" outlineLevel="0" collapsed="false">
      <c r="A37" s="12" t="s">
        <v>232</v>
      </c>
      <c r="B37" s="24" t="n">
        <f aca="false">-SUM(B32:B36)</f>
        <v>3095.01225</v>
      </c>
      <c r="C37" s="24" t="n">
        <f aca="false">-SUM(C32:C36)</f>
        <v>4258.43312</v>
      </c>
      <c r="D37" s="24" t="n">
        <f aca="false">-SUM(D32:D36)</f>
        <v>6738.41548</v>
      </c>
      <c r="E37" s="24" t="n">
        <f aca="false">-SUM(E32:E36)</f>
        <v>6698.41548</v>
      </c>
      <c r="F37" s="24" t="n">
        <f aca="false">-SUM(F32:F36)</f>
        <v>6658.41548</v>
      </c>
      <c r="G37" s="24" t="n">
        <f aca="false">-SUM(G32:G36)</f>
        <v>6618.41548</v>
      </c>
      <c r="H37" s="24" t="n">
        <f aca="false">-SUM(H32:H36)</f>
        <v>6578.41548</v>
      </c>
      <c r="I37" s="24" t="n">
        <f aca="false">-SUM(I32:I36)</f>
        <v>6538.41548</v>
      </c>
    </row>
    <row r="38" customFormat="false" ht="15" hidden="false" customHeight="false" outlineLevel="0" collapsed="false">
      <c r="A38" s="12" t="s">
        <v>233</v>
      </c>
      <c r="B38" s="24" t="n">
        <f aca="false">B31-B37</f>
        <v>3098.997</v>
      </c>
      <c r="C38" s="24" t="n">
        <f aca="false">C31-C37</f>
        <v>2055.70804</v>
      </c>
      <c r="D38" s="24" t="n">
        <f aca="false">D31-D37</f>
        <v>2774.05944</v>
      </c>
      <c r="E38" s="24" t="n">
        <f aca="false">D38+'Income Statement'!E36+E41</f>
        <v>2159.31313</v>
      </c>
      <c r="F38" s="24" t="n">
        <f aca="false">E38+'Income Statement'!F36+F41</f>
        <v>2017.16313</v>
      </c>
      <c r="G38" s="24" t="n">
        <f aca="false">F38+'Income Statement'!G36+G41</f>
        <v>2112.442255</v>
      </c>
      <c r="H38" s="24" t="n">
        <f aca="false">G38+'Income Statement'!H36+H41</f>
        <v>2408.48106125</v>
      </c>
      <c r="I38" s="24" t="n">
        <f aca="false">H38+'Income Statement'!I36+I41</f>
        <v>2875.893152225</v>
      </c>
    </row>
    <row r="39" customFormat="false" ht="15" hidden="false" customHeight="false" outlineLevel="0" collapsed="false">
      <c r="A39" s="8" t="s">
        <v>234</v>
      </c>
      <c r="B39" s="23" t="n">
        <f aca="false">B31-B37-B38</f>
        <v>0</v>
      </c>
      <c r="C39" s="23" t="n">
        <f aca="false">C31-C37-C38</f>
        <v>0</v>
      </c>
      <c r="D39" s="23" t="n">
        <f aca="false">D31-D37-D38</f>
        <v>0</v>
      </c>
      <c r="E39" s="23" t="n">
        <f aca="false">E31-E37-E38</f>
        <v>0</v>
      </c>
      <c r="F39" s="23" t="n">
        <f aca="false">F31-F37-F38</f>
        <v>0</v>
      </c>
      <c r="G39" s="23" t="n">
        <f aca="false">G31-G37-G38</f>
        <v>0</v>
      </c>
      <c r="H39" s="23" t="n">
        <f aca="false">H31-H37-H38</f>
        <v>0</v>
      </c>
      <c r="I39" s="23" t="n">
        <f aca="false">I31-I37-I38</f>
        <v>0</v>
      </c>
    </row>
    <row r="41" customFormat="false" ht="15" hidden="false" customHeight="false" outlineLevel="0" collapsed="false">
      <c r="A41" s="8" t="s">
        <v>235</v>
      </c>
      <c r="E41" s="23" t="n">
        <f aca="false">E31-E37-D38-'Income Statement'!E36</f>
        <v>530.05369</v>
      </c>
      <c r="F41" s="23" t="n">
        <f aca="false">F31-F37-E38-'Income Statement'!F36</f>
        <v>80.0000000000003</v>
      </c>
      <c r="G41" s="23" t="n">
        <f aca="false">G31-G37-F38-'Income Statement'!G36</f>
        <v>80.0000000000009</v>
      </c>
      <c r="H41" s="23" t="n">
        <f aca="false">H31-H37-G38-'Income Statement'!H36</f>
        <v>79.9999999999988</v>
      </c>
      <c r="I41" s="23" t="n">
        <f aca="false">I31-I37-H38-'Income Statement'!I36</f>
        <v>80.0000000000001</v>
      </c>
    </row>
    <row r="43" customFormat="false" ht="15" hidden="false" customHeight="false" outlineLevel="0" collapsed="false">
      <c r="A43" s="15" t="s">
        <v>236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9" min="2" style="1" width="11"/>
    <col collapsed="false" customWidth="true" hidden="false" outlineLevel="0" max="10" min="10" style="1" width="4"/>
    <col collapsed="false" customWidth="true" hidden="false" outlineLevel="0" max="11" min="11" style="1" width="58"/>
  </cols>
  <sheetData>
    <row r="1" customFormat="false" ht="17.35" hidden="false" customHeight="false" outlineLevel="0" collapsed="false">
      <c r="A1" s="5" t="s">
        <v>237</v>
      </c>
    </row>
    <row r="2" customFormat="false" ht="15" hidden="false" customHeight="false" outlineLevel="0" collapsed="false">
      <c r="A2" s="6" t="s">
        <v>238</v>
      </c>
    </row>
    <row r="3" customFormat="false" ht="15" hidden="false" customHeight="false" outlineLevel="0" collapsed="false">
      <c r="B3" s="7" t="s">
        <v>180</v>
      </c>
      <c r="C3" s="7" t="s">
        <v>148</v>
      </c>
      <c r="D3" s="7" t="s">
        <v>149</v>
      </c>
      <c r="E3" s="7" t="s">
        <v>95</v>
      </c>
      <c r="F3" s="7" t="s">
        <v>96</v>
      </c>
      <c r="G3" s="7" t="s">
        <v>97</v>
      </c>
      <c r="H3" s="7" t="s">
        <v>98</v>
      </c>
      <c r="I3" s="7" t="s">
        <v>99</v>
      </c>
    </row>
    <row r="4" customFormat="false" ht="15" hidden="false" customHeight="false" outlineLevel="0" collapsed="false">
      <c r="A4" s="8" t="s">
        <v>181</v>
      </c>
      <c r="B4" s="29" t="n">
        <f aca="false">'Income Statement'!B4</f>
        <v>19.19</v>
      </c>
      <c r="C4" s="29" t="n">
        <f aca="false">'Income Statement'!C4</f>
        <v>30.67</v>
      </c>
      <c r="D4" s="29" t="n">
        <f aca="false">'Income Statement'!D4</f>
        <v>45.45</v>
      </c>
      <c r="E4" s="29" t="n">
        <f aca="false">Assumptions!$B$6</f>
        <v>49.09</v>
      </c>
      <c r="F4" s="29" t="n">
        <f aca="false">Assumptions!$B$6</f>
        <v>49.09</v>
      </c>
      <c r="G4" s="29" t="n">
        <f aca="false">Assumptions!$B$6</f>
        <v>49.09</v>
      </c>
      <c r="H4" s="29" t="n">
        <f aca="false">Assumptions!$B$6</f>
        <v>49.09</v>
      </c>
      <c r="I4" s="29" t="n">
        <f aca="false">Assumptions!$B$6</f>
        <v>49.09</v>
      </c>
    </row>
    <row r="5" customFormat="false" ht="15" hidden="false" customHeight="false" outlineLevel="0" collapsed="false">
      <c r="A5" s="15" t="s">
        <v>239</v>
      </c>
    </row>
    <row r="6" customFormat="false" ht="15" hidden="false" customHeight="false" outlineLevel="0" collapsed="false">
      <c r="A6" s="8" t="s">
        <v>240</v>
      </c>
      <c r="B6" s="19" t="n">
        <v>-10877</v>
      </c>
      <c r="C6" s="19" t="n">
        <v>-7783</v>
      </c>
      <c r="D6" s="19" t="n">
        <v>-33650</v>
      </c>
    </row>
    <row r="7" customFormat="false" ht="15" hidden="false" customHeight="false" outlineLevel="0" collapsed="false">
      <c r="A7" s="8" t="s">
        <v>241</v>
      </c>
      <c r="B7" s="19" t="n">
        <v>-1070</v>
      </c>
      <c r="C7" s="19" t="n">
        <v>12885</v>
      </c>
      <c r="D7" s="19" t="n">
        <v>-21126</v>
      </c>
    </row>
    <row r="8" customFormat="false" ht="15" hidden="false" customHeight="false" outlineLevel="0" collapsed="false">
      <c r="A8" s="8" t="s">
        <v>242</v>
      </c>
      <c r="B8" s="19" t="n">
        <v>9153</v>
      </c>
      <c r="C8" s="19" t="n">
        <v>2966</v>
      </c>
      <c r="D8" s="19" t="n">
        <v>27833</v>
      </c>
    </row>
    <row r="9" customFormat="false" ht="15" hidden="false" customHeight="false" outlineLevel="0" collapsed="false">
      <c r="A9" s="8" t="s">
        <v>243</v>
      </c>
      <c r="B9" s="19" t="n">
        <v>-5354</v>
      </c>
      <c r="C9" s="19" t="n">
        <v>-1365</v>
      </c>
      <c r="D9" s="19" t="n">
        <v>-1364</v>
      </c>
    </row>
    <row r="11" customFormat="false" ht="15" hidden="false" customHeight="false" outlineLevel="0" collapsed="false">
      <c r="A11" s="15" t="s">
        <v>227</v>
      </c>
    </row>
    <row r="12" customFormat="false" ht="15" hidden="false" customHeight="false" outlineLevel="0" collapsed="false">
      <c r="A12" s="8" t="s">
        <v>208</v>
      </c>
      <c r="E12" s="26" t="n">
        <f aca="false">'Income Statement'!E36</f>
        <v>-1144.8</v>
      </c>
      <c r="F12" s="26" t="n">
        <f aca="false">'Income Statement'!F36</f>
        <v>-222.15</v>
      </c>
      <c r="G12" s="26" t="n">
        <f aca="false">'Income Statement'!G36</f>
        <v>15.279125</v>
      </c>
      <c r="H12" s="26" t="n">
        <f aca="false">'Income Statement'!H36</f>
        <v>216.03880625</v>
      </c>
      <c r="I12" s="26" t="n">
        <f aca="false">'Income Statement'!I36</f>
        <v>387.412090975</v>
      </c>
    </row>
    <row r="13" customFormat="false" ht="15" hidden="false" customHeight="false" outlineLevel="0" collapsed="false">
      <c r="A13" s="8" t="s">
        <v>244</v>
      </c>
      <c r="E13" s="26" t="n">
        <f aca="false">-'Income Statement'!E28</f>
        <v>61</v>
      </c>
      <c r="F13" s="26" t="n">
        <f aca="false">-'Income Statement'!F28</f>
        <v>102.87</v>
      </c>
      <c r="G13" s="26" t="n">
        <f aca="false">-'Income Statement'!G28</f>
        <v>131.956</v>
      </c>
      <c r="H13" s="26" t="n">
        <f aca="false">-'Income Statement'!H28</f>
        <v>149.73595</v>
      </c>
      <c r="I13" s="26" t="n">
        <f aca="false">-'Income Statement'!I28</f>
        <v>182.417459</v>
      </c>
    </row>
    <row r="14" customFormat="false" ht="15" hidden="false" customHeight="false" outlineLevel="0" collapsed="false">
      <c r="A14" s="8" t="s">
        <v>245</v>
      </c>
      <c r="E14" s="23" t="n">
        <f aca="false">-'Income Statement'!E30*0.8</f>
        <v>560</v>
      </c>
      <c r="F14" s="23" t="n">
        <f aca="false">-'Income Statement'!F30*0.8</f>
        <v>-0</v>
      </c>
      <c r="G14" s="23" t="n">
        <f aca="false">-'Income Statement'!G30*0.8</f>
        <v>-0</v>
      </c>
      <c r="H14" s="23" t="n">
        <f aca="false">-'Income Statement'!H30*0.8</f>
        <v>-0</v>
      </c>
      <c r="I14" s="23" t="n">
        <f aca="false">-'Income Statement'!I30*0.8</f>
        <v>-0</v>
      </c>
    </row>
    <row r="15" customFormat="false" ht="15" hidden="false" customHeight="false" outlineLevel="0" collapsed="false">
      <c r="A15" s="8" t="s">
        <v>246</v>
      </c>
      <c r="E15" s="23" t="n">
        <f aca="false">Assumptions!B$53</f>
        <v>-30</v>
      </c>
      <c r="F15" s="23" t="n">
        <f aca="false">Assumptions!C$53</f>
        <v>-40</v>
      </c>
      <c r="G15" s="23" t="n">
        <f aca="false">Assumptions!D$53</f>
        <v>-40</v>
      </c>
      <c r="H15" s="23" t="n">
        <f aca="false">Assumptions!E$53</f>
        <v>-35</v>
      </c>
      <c r="I15" s="23" t="n">
        <f aca="false">Assumptions!F$53</f>
        <v>-30</v>
      </c>
    </row>
    <row r="16" customFormat="false" ht="15" hidden="false" customHeight="false" outlineLevel="0" collapsed="false">
      <c r="A16" s="12" t="s">
        <v>240</v>
      </c>
      <c r="B16" s="23" t="n">
        <f aca="false">B6*B$4/1000</f>
        <v>-208.72963</v>
      </c>
      <c r="C16" s="23" t="n">
        <f aca="false">C6*C$4/1000</f>
        <v>-238.70461</v>
      </c>
      <c r="D16" s="23" t="n">
        <f aca="false">D6*D$4/1000</f>
        <v>-1529.3925</v>
      </c>
      <c r="E16" s="24" t="n">
        <f aca="false">SUM(E12:E15)</f>
        <v>-553.8</v>
      </c>
      <c r="F16" s="24" t="n">
        <f aca="false">SUM(F12:F15)</f>
        <v>-159.28</v>
      </c>
      <c r="G16" s="24" t="n">
        <f aca="false">SUM(G12:G15)</f>
        <v>107.235125</v>
      </c>
      <c r="H16" s="24" t="n">
        <f aca="false">SUM(H12:H15)</f>
        <v>330.77475625</v>
      </c>
      <c r="I16" s="24" t="n">
        <f aca="false">SUM(I12:I15)</f>
        <v>539.829549975</v>
      </c>
    </row>
    <row r="17" customFormat="false" ht="15" hidden="false" customHeight="false" outlineLevel="0" collapsed="false">
      <c r="A17" s="8" t="s">
        <v>247</v>
      </c>
      <c r="E17" s="23" t="n">
        <f aca="false">Assumptions!B$52</f>
        <v>-450</v>
      </c>
      <c r="F17" s="23" t="n">
        <f aca="false">Assumptions!C$52</f>
        <v>-500</v>
      </c>
      <c r="G17" s="23" t="n">
        <f aca="false">Assumptions!D$52</f>
        <v>-300</v>
      </c>
      <c r="H17" s="23" t="n">
        <f aca="false">Assumptions!E$52</f>
        <v>-200</v>
      </c>
      <c r="I17" s="23" t="n">
        <f aca="false">Assumptions!F$52</f>
        <v>-150</v>
      </c>
    </row>
    <row r="18" customFormat="false" ht="15" hidden="false" customHeight="false" outlineLevel="0" collapsed="false">
      <c r="A18" s="12" t="s">
        <v>241</v>
      </c>
      <c r="B18" s="23" t="n">
        <f aca="false">B7*B$4/1000</f>
        <v>-20.5333</v>
      </c>
      <c r="C18" s="23" t="n">
        <f aca="false">C7*C$4/1000</f>
        <v>395.18295</v>
      </c>
      <c r="D18" s="23" t="n">
        <f aca="false">D7*D$4/1000</f>
        <v>-960.1767</v>
      </c>
      <c r="E18" s="24" t="n">
        <f aca="false">E17</f>
        <v>-450</v>
      </c>
      <c r="F18" s="24" t="n">
        <f aca="false">F17</f>
        <v>-500</v>
      </c>
      <c r="G18" s="24" t="n">
        <f aca="false">G17</f>
        <v>-300</v>
      </c>
      <c r="H18" s="24" t="n">
        <f aca="false">H17</f>
        <v>-200</v>
      </c>
      <c r="I18" s="24" t="n">
        <f aca="false">I17</f>
        <v>-150</v>
      </c>
    </row>
    <row r="19" customFormat="false" ht="15" hidden="false" customHeight="false" outlineLevel="0" collapsed="false">
      <c r="A19" s="8" t="s">
        <v>248</v>
      </c>
      <c r="E19" s="19" t="n">
        <v>40</v>
      </c>
      <c r="F19" s="19" t="n">
        <v>40</v>
      </c>
      <c r="G19" s="19" t="n">
        <v>40</v>
      </c>
      <c r="H19" s="19" t="n">
        <v>40</v>
      </c>
      <c r="I19" s="19" t="n">
        <v>40</v>
      </c>
    </row>
    <row r="20" customFormat="false" ht="15" hidden="false" customHeight="false" outlineLevel="0" collapsed="false">
      <c r="A20" s="12" t="s">
        <v>242</v>
      </c>
      <c r="B20" s="23" t="n">
        <f aca="false">B8*B$4/1000</f>
        <v>175.64607</v>
      </c>
      <c r="C20" s="23" t="n">
        <f aca="false">C8*C$4/1000</f>
        <v>90.96722</v>
      </c>
      <c r="D20" s="23" t="n">
        <f aca="false">D8*D$4/1000</f>
        <v>1265.00985</v>
      </c>
      <c r="E20" s="24" t="n">
        <f aca="false">E19</f>
        <v>40</v>
      </c>
      <c r="F20" s="24" t="n">
        <f aca="false">F19</f>
        <v>40</v>
      </c>
      <c r="G20" s="24" t="n">
        <f aca="false">G19</f>
        <v>40</v>
      </c>
      <c r="H20" s="24" t="n">
        <f aca="false">H19</f>
        <v>40</v>
      </c>
      <c r="I20" s="24" t="n">
        <f aca="false">I19</f>
        <v>40</v>
      </c>
    </row>
    <row r="21" customFormat="false" ht="15" hidden="false" customHeight="false" outlineLevel="0" collapsed="false">
      <c r="A21" s="8" t="s">
        <v>249</v>
      </c>
      <c r="B21" s="23" t="n">
        <f aca="false">(B6+B7+B8+B9)*B$4/1000</f>
        <v>-156.36012</v>
      </c>
      <c r="C21" s="23" t="n">
        <f aca="false">(C6+C7+C8+C9)*C$4/1000</f>
        <v>205.58101</v>
      </c>
      <c r="D21" s="23" t="n">
        <f aca="false">(D6+D7+D8+D9)*D$4/1000</f>
        <v>-1286.55315</v>
      </c>
      <c r="E21" s="23" t="n">
        <f aca="false">E16+E18+E20</f>
        <v>-963.8</v>
      </c>
      <c r="F21" s="23" t="n">
        <f aca="false">F16+F18+F20</f>
        <v>-619.28</v>
      </c>
      <c r="G21" s="23" t="n">
        <f aca="false">G16+G18+G20</f>
        <v>-152.764875</v>
      </c>
      <c r="H21" s="23" t="n">
        <f aca="false">H16+H18+H20</f>
        <v>170.77475625</v>
      </c>
      <c r="I21" s="23" t="n">
        <f aca="false">I16+I18+I20</f>
        <v>429.829549975</v>
      </c>
    </row>
    <row r="22" customFormat="false" ht="15" hidden="false" customHeight="false" outlineLevel="0" collapsed="false">
      <c r="A22" s="8" t="s">
        <v>250</v>
      </c>
      <c r="E22" s="26" t="n">
        <f aca="false">'Balance Sheet'!D30</f>
        <v>2332.32828</v>
      </c>
      <c r="F22" s="23" t="n">
        <f aca="false">E23</f>
        <v>1368.52828</v>
      </c>
      <c r="G22" s="23" t="n">
        <f aca="false">F23</f>
        <v>749.24828</v>
      </c>
      <c r="H22" s="23" t="n">
        <f aca="false">G23</f>
        <v>596.483405</v>
      </c>
      <c r="I22" s="23" t="n">
        <f aca="false">H23</f>
        <v>767.25816125</v>
      </c>
    </row>
    <row r="23" customFormat="false" ht="15" hidden="false" customHeight="false" outlineLevel="0" collapsed="false">
      <c r="A23" s="12" t="s">
        <v>251</v>
      </c>
      <c r="E23" s="24" t="n">
        <f aca="false">E22+E21</f>
        <v>1368.52828</v>
      </c>
      <c r="F23" s="24" t="n">
        <f aca="false">F22+F21</f>
        <v>749.24828</v>
      </c>
      <c r="G23" s="24" t="n">
        <f aca="false">G22+G21</f>
        <v>596.483405</v>
      </c>
      <c r="H23" s="24" t="n">
        <f aca="false">H22+H21</f>
        <v>767.25816125</v>
      </c>
      <c r="I23" s="24" t="n">
        <f aca="false">I22+I21</f>
        <v>1197.087711225</v>
      </c>
    </row>
    <row r="25" customFormat="false" ht="15" hidden="false" customHeight="false" outlineLevel="0" collapsed="false">
      <c r="A25" s="15" t="s">
        <v>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9" min="2" style="1" width="11"/>
  </cols>
  <sheetData>
    <row r="1" customFormat="false" ht="17.35" hidden="false" customHeight="false" outlineLevel="0" collapsed="false">
      <c r="A1" s="5" t="s">
        <v>253</v>
      </c>
    </row>
    <row r="3" customFormat="false" ht="15" hidden="false" customHeight="false" outlineLevel="0" collapsed="false">
      <c r="B3" s="7" t="s">
        <v>180</v>
      </c>
      <c r="C3" s="7" t="s">
        <v>148</v>
      </c>
      <c r="D3" s="7" t="s">
        <v>149</v>
      </c>
      <c r="E3" s="7" t="s">
        <v>95</v>
      </c>
      <c r="F3" s="7" t="s">
        <v>96</v>
      </c>
      <c r="G3" s="7" t="s">
        <v>97</v>
      </c>
      <c r="H3" s="7" t="s">
        <v>98</v>
      </c>
      <c r="I3" s="7" t="s">
        <v>99</v>
      </c>
    </row>
    <row r="4" customFormat="false" ht="15" hidden="false" customHeight="false" outlineLevel="0" collapsed="false">
      <c r="A4" s="8" t="s">
        <v>184</v>
      </c>
      <c r="B4" s="26" t="n">
        <f aca="false">'Income Statement'!B23</f>
        <v>97.58115</v>
      </c>
      <c r="C4" s="26" t="n">
        <f aca="false">'Income Statement'!C23</f>
        <v>176.47518</v>
      </c>
      <c r="D4" s="26" t="n">
        <f aca="false">'Income Statement'!D23</f>
        <v>357.82785</v>
      </c>
      <c r="E4" s="26" t="n">
        <f aca="false">'Income Statement'!E23</f>
        <v>610</v>
      </c>
      <c r="F4" s="26" t="n">
        <f aca="false">'Income Statement'!F23</f>
        <v>1143</v>
      </c>
      <c r="G4" s="26" t="n">
        <f aca="false">'Income Statement'!G23</f>
        <v>1649.45</v>
      </c>
      <c r="H4" s="26" t="n">
        <f aca="false">'Income Statement'!H23</f>
        <v>2139.085</v>
      </c>
      <c r="I4" s="26" t="n">
        <f aca="false">'Income Statement'!I23</f>
        <v>2605.9637</v>
      </c>
    </row>
    <row r="5" customFormat="false" ht="15" hidden="false" customHeight="false" outlineLevel="0" collapsed="false">
      <c r="A5" s="8" t="s">
        <v>164</v>
      </c>
      <c r="B5" s="26" t="n">
        <f aca="false">'Income Statement'!B26</f>
        <v>-87.10341</v>
      </c>
      <c r="C5" s="26" t="n">
        <f aca="false">'Income Statement'!C26</f>
        <v>-297.03895</v>
      </c>
      <c r="D5" s="26" t="n">
        <f aca="false">'Income Statement'!D26</f>
        <v>-302.10615</v>
      </c>
      <c r="E5" s="26" t="n">
        <f aca="false">'Income Statement'!E26</f>
        <v>-223.8</v>
      </c>
      <c r="F5" s="26" t="n">
        <f aca="false">'Income Statement'!F26</f>
        <v>0.720000000000027</v>
      </c>
      <c r="G5" s="26" t="n">
        <f aca="false">'Income Statement'!G26</f>
        <v>231.671</v>
      </c>
      <c r="H5" s="26" t="n">
        <f aca="false">'Income Statement'!H26</f>
        <v>468.4957</v>
      </c>
      <c r="I5" s="26" t="n">
        <f aca="false">'Income Statement'!I26</f>
        <v>682.304028</v>
      </c>
    </row>
    <row r="6" customFormat="false" ht="15" hidden="false" customHeight="false" outlineLevel="0" collapsed="false">
      <c r="A6" s="8" t="s">
        <v>203</v>
      </c>
      <c r="B6" s="26" t="n">
        <f aca="false">'Income Statement'!B29</f>
        <v>-98.21442</v>
      </c>
      <c r="C6" s="26" t="n">
        <f aca="false">'Income Statement'!C29</f>
        <v>-346.93904</v>
      </c>
      <c r="D6" s="26" t="n">
        <f aca="false">'Income Statement'!D29</f>
        <v>-351.4194</v>
      </c>
      <c r="E6" s="26" t="n">
        <f aca="false">'Income Statement'!E29</f>
        <v>-284.8</v>
      </c>
      <c r="F6" s="26" t="n">
        <f aca="false">'Income Statement'!F29</f>
        <v>-102.15</v>
      </c>
      <c r="G6" s="26" t="n">
        <f aca="false">'Income Statement'!G29</f>
        <v>99.715</v>
      </c>
      <c r="H6" s="26" t="n">
        <f aca="false">'Income Statement'!H29</f>
        <v>318.75975</v>
      </c>
      <c r="I6" s="26" t="n">
        <f aca="false">'Income Statement'!I29</f>
        <v>499.886569</v>
      </c>
    </row>
    <row r="7" customFormat="false" ht="15" hidden="false" customHeight="false" outlineLevel="0" collapsed="false">
      <c r="A7" s="8" t="s">
        <v>208</v>
      </c>
      <c r="B7" s="26" t="n">
        <f aca="false">'Income Statement'!B36</f>
        <v>722.36917</v>
      </c>
      <c r="C7" s="26" t="n">
        <f aca="false">'Income Statement'!C36</f>
        <v>-1205.39234</v>
      </c>
      <c r="D7" s="26" t="n">
        <f aca="false">'Income Statement'!D36</f>
        <v>-288.6984</v>
      </c>
      <c r="E7" s="26" t="n">
        <f aca="false">'Income Statement'!E36</f>
        <v>-1144.8</v>
      </c>
      <c r="F7" s="26" t="n">
        <f aca="false">'Income Statement'!F36</f>
        <v>-222.15</v>
      </c>
      <c r="G7" s="26" t="n">
        <f aca="false">'Income Statement'!G36</f>
        <v>15.279125</v>
      </c>
      <c r="H7" s="26" t="n">
        <f aca="false">'Income Statement'!H36</f>
        <v>216.03880625</v>
      </c>
      <c r="I7" s="26" t="n">
        <f aca="false">'Income Statement'!I36</f>
        <v>387.412090975</v>
      </c>
    </row>
    <row r="8" customFormat="false" ht="15" hidden="false" customHeight="false" outlineLevel="0" collapsed="false">
      <c r="A8" s="8" t="s">
        <v>231</v>
      </c>
      <c r="B8" s="26" t="n">
        <f aca="false">'Balance Sheet'!B31</f>
        <v>6194.00925</v>
      </c>
      <c r="C8" s="26" t="n">
        <f aca="false">'Balance Sheet'!C31</f>
        <v>6314.14116</v>
      </c>
      <c r="D8" s="26" t="n">
        <f aca="false">'Balance Sheet'!D31</f>
        <v>9512.47492</v>
      </c>
      <c r="E8" s="26" t="n">
        <f aca="false">'Balance Sheet'!E31</f>
        <v>8857.72861</v>
      </c>
      <c r="F8" s="26" t="n">
        <f aca="false">'Balance Sheet'!F31</f>
        <v>8675.57861</v>
      </c>
      <c r="G8" s="26" t="n">
        <f aca="false">'Balance Sheet'!G31</f>
        <v>8730.857735</v>
      </c>
      <c r="H8" s="26" t="n">
        <f aca="false">'Balance Sheet'!H31</f>
        <v>8986.89654125</v>
      </c>
      <c r="I8" s="26" t="n">
        <f aca="false">'Balance Sheet'!I31</f>
        <v>9414.308632225</v>
      </c>
    </row>
    <row r="9" customFormat="false" ht="15" hidden="false" customHeight="false" outlineLevel="0" collapsed="false">
      <c r="A9" s="8" t="s">
        <v>233</v>
      </c>
      <c r="B9" s="26" t="n">
        <f aca="false">'Balance Sheet'!B38</f>
        <v>3098.997</v>
      </c>
      <c r="C9" s="26" t="n">
        <f aca="false">'Balance Sheet'!C38</f>
        <v>2055.70804</v>
      </c>
      <c r="D9" s="26" t="n">
        <f aca="false">'Balance Sheet'!D38</f>
        <v>2774.05944</v>
      </c>
      <c r="E9" s="26" t="n">
        <f aca="false">'Balance Sheet'!E38</f>
        <v>2159.31313</v>
      </c>
      <c r="F9" s="26" t="n">
        <f aca="false">'Balance Sheet'!F38</f>
        <v>2017.16313</v>
      </c>
      <c r="G9" s="26" t="n">
        <f aca="false">'Balance Sheet'!G38</f>
        <v>2112.442255</v>
      </c>
      <c r="H9" s="26" t="n">
        <f aca="false">'Balance Sheet'!H38</f>
        <v>2408.48106125</v>
      </c>
      <c r="I9" s="26" t="n">
        <f aca="false">'Balance Sheet'!I38</f>
        <v>2875.893152225</v>
      </c>
    </row>
    <row r="10" customFormat="false" ht="15" hidden="false" customHeight="false" outlineLevel="0" collapsed="false">
      <c r="A10" s="8" t="s">
        <v>254</v>
      </c>
      <c r="B10" s="26" t="n">
        <f aca="false">'Balance Sheet'!B30</f>
        <v>1655.28</v>
      </c>
      <c r="C10" s="26" t="n">
        <f aca="false">'Balance Sheet'!C30</f>
        <v>2270.77138</v>
      </c>
      <c r="D10" s="26" t="n">
        <f aca="false">'Balance Sheet'!D30</f>
        <v>2332.32828</v>
      </c>
      <c r="E10" s="26" t="n">
        <f aca="false">'Balance Sheet'!E30</f>
        <v>1368.52828</v>
      </c>
      <c r="F10" s="26" t="n">
        <f aca="false">'Balance Sheet'!F30</f>
        <v>749.24828</v>
      </c>
      <c r="G10" s="26" t="n">
        <f aca="false">'Balance Sheet'!G30</f>
        <v>596.483405</v>
      </c>
      <c r="H10" s="26" t="n">
        <f aca="false">'Balance Sheet'!H30</f>
        <v>767.25816125</v>
      </c>
      <c r="I10" s="26" t="n">
        <f aca="false">'Balance Sheet'!I30</f>
        <v>1197.087711225</v>
      </c>
    </row>
    <row r="11" customFormat="false" ht="15" hidden="false" customHeight="false" outlineLevel="0" collapsed="false">
      <c r="A11" s="8" t="s">
        <v>255</v>
      </c>
      <c r="B11" s="26" t="n">
        <f aca="false">'Balance Sheet'!B32</f>
        <v>-1976.832</v>
      </c>
      <c r="C11" s="26" t="n">
        <f aca="false">'Balance Sheet'!C32</f>
        <v>-3190.7697</v>
      </c>
      <c r="D11" s="26" t="n">
        <f aca="false">'Balance Sheet'!D32</f>
        <v>-5504.5478</v>
      </c>
      <c r="E11" s="26" t="n">
        <f aca="false">'Balance Sheet'!E32</f>
        <v>-5464.5478</v>
      </c>
      <c r="F11" s="26" t="n">
        <f aca="false">'Balance Sheet'!F32</f>
        <v>-5424.5478</v>
      </c>
      <c r="G11" s="26" t="n">
        <f aca="false">'Balance Sheet'!G32</f>
        <v>-5384.5478</v>
      </c>
      <c r="H11" s="26" t="n">
        <f aca="false">'Balance Sheet'!H32</f>
        <v>-5344.5478</v>
      </c>
      <c r="I11" s="26" t="n">
        <f aca="false">'Balance Sheet'!I32</f>
        <v>-5304.5478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6" min="2" style="1" width="10"/>
    <col collapsed="false" customWidth="true" hidden="false" outlineLevel="0" max="7" min="7" style="1" width="4"/>
    <col collapsed="false" customWidth="true" hidden="false" outlineLevel="0" max="8" min="8" style="1" width="58"/>
  </cols>
  <sheetData>
    <row r="1" customFormat="false" ht="17.35" hidden="false" customHeight="false" outlineLevel="0" collapsed="false">
      <c r="A1" s="5" t="s">
        <v>256</v>
      </c>
    </row>
    <row r="2" customFormat="false" ht="15" hidden="false" customHeight="false" outlineLevel="0" collapsed="false">
      <c r="A2" s="6" t="s">
        <v>257</v>
      </c>
    </row>
    <row r="3" customFormat="false" ht="15" hidden="false" customHeight="false" outlineLevel="0" collapsed="false">
      <c r="A3" s="12" t="s">
        <v>258</v>
      </c>
    </row>
    <row r="4" customFormat="false" ht="15" hidden="false" customHeight="false" outlineLevel="0" collapsed="false">
      <c r="A4" s="7" t="s">
        <v>259</v>
      </c>
      <c r="B4" s="7" t="s">
        <v>260</v>
      </c>
      <c r="C4" s="7" t="s">
        <v>261</v>
      </c>
      <c r="D4" s="7" t="s">
        <v>262</v>
      </c>
      <c r="E4" s="7" t="s">
        <v>263</v>
      </c>
      <c r="F4" s="7" t="s">
        <v>264</v>
      </c>
      <c r="H4" s="15" t="s">
        <v>265</v>
      </c>
    </row>
    <row r="5" customFormat="false" ht="15" hidden="false" customHeight="false" outlineLevel="0" collapsed="false">
      <c r="A5" s="8" t="s">
        <v>266</v>
      </c>
      <c r="B5" s="25" t="n">
        <v>1.176</v>
      </c>
      <c r="C5" s="25" t="n">
        <v>1.352</v>
      </c>
      <c r="D5" s="25" t="n">
        <v>1.462</v>
      </c>
      <c r="E5" s="25" t="n">
        <v>1.579</v>
      </c>
      <c r="F5" s="25" t="n">
        <v>1.801</v>
      </c>
    </row>
    <row r="6" customFormat="false" ht="15" hidden="false" customHeight="false" outlineLevel="0" collapsed="false">
      <c r="A6" s="8" t="s">
        <v>267</v>
      </c>
      <c r="B6" s="25" t="n">
        <v>1.093</v>
      </c>
      <c r="C6" s="25" t="n">
        <v>1.364</v>
      </c>
      <c r="D6" s="25" t="n">
        <v>1.57</v>
      </c>
      <c r="E6" s="25" t="n">
        <v>1.799</v>
      </c>
      <c r="F6" s="25" t="n">
        <v>2.226</v>
      </c>
    </row>
    <row r="8" customFormat="false" ht="15" hidden="false" customHeight="false" outlineLevel="0" collapsed="false">
      <c r="A8" s="8" t="s">
        <v>268</v>
      </c>
      <c r="E8" s="30" t="n">
        <f aca="false">Assumptions!$B$38</f>
        <v>0.3831</v>
      </c>
    </row>
    <row r="9" customFormat="false" ht="15" hidden="false" customHeight="false" outlineLevel="0" collapsed="false">
      <c r="A9" s="8" t="s">
        <v>269</v>
      </c>
      <c r="E9" s="30" t="n">
        <f aca="false">Assumptions!$B$39</f>
        <v>0.1184</v>
      </c>
    </row>
    <row r="10" customFormat="false" ht="15" hidden="false" customHeight="false" outlineLevel="0" collapsed="false">
      <c r="A10" s="8" t="s">
        <v>270</v>
      </c>
      <c r="E10" s="29" t="n">
        <f aca="false">Assumptions!$B$40</f>
        <v>1</v>
      </c>
    </row>
    <row r="12" customFormat="false" ht="15" hidden="false" customHeight="false" outlineLevel="0" collapsed="false">
      <c r="A12" s="12" t="s">
        <v>271</v>
      </c>
    </row>
    <row r="13" customFormat="false" ht="15" hidden="false" customHeight="false" outlineLevel="0" collapsed="false">
      <c r="A13" s="7" t="s">
        <v>272</v>
      </c>
      <c r="B13" s="7" t="s">
        <v>273</v>
      </c>
      <c r="C13" s="7" t="s">
        <v>274</v>
      </c>
    </row>
    <row r="14" customFormat="false" ht="15" hidden="false" customHeight="false" outlineLevel="0" collapsed="false">
      <c r="A14" s="25" t="n">
        <v>2.2</v>
      </c>
      <c r="B14" s="28" t="n">
        <v>0.005</v>
      </c>
      <c r="C14" s="28" t="n">
        <v>0.084</v>
      </c>
    </row>
    <row r="15" customFormat="false" ht="15" hidden="false" customHeight="false" outlineLevel="0" collapsed="false">
      <c r="A15" s="25" t="n">
        <v>2</v>
      </c>
      <c r="B15" s="28" t="n">
        <v>0.017</v>
      </c>
      <c r="C15" s="28" t="n">
        <v>0.178</v>
      </c>
    </row>
    <row r="16" customFormat="false" ht="15" hidden="false" customHeight="false" outlineLevel="0" collapsed="false">
      <c r="A16" s="25" t="n">
        <v>1.8</v>
      </c>
      <c r="B16" s="28" t="n">
        <v>0.071</v>
      </c>
      <c r="C16" s="28" t="n">
        <v>0.363</v>
      </c>
    </row>
    <row r="17" customFormat="false" ht="15" hidden="false" customHeight="false" outlineLevel="0" collapsed="false">
      <c r="A17" s="25" t="n">
        <v>1.6</v>
      </c>
      <c r="B17" s="28" t="n">
        <v>0.309</v>
      </c>
      <c r="C17" s="28" t="n">
        <v>0.659</v>
      </c>
    </row>
    <row r="18" customFormat="false" ht="15" hidden="false" customHeight="false" outlineLevel="0" collapsed="false">
      <c r="A18" s="25" t="n">
        <v>1.5</v>
      </c>
      <c r="B18" s="28" t="n">
        <v>0.594</v>
      </c>
      <c r="C18" s="28" t="n">
        <v>0.826</v>
      </c>
    </row>
    <row r="19" customFormat="false" ht="15" hidden="false" customHeight="false" outlineLevel="0" collapsed="false">
      <c r="A19" s="25" t="n">
        <v>1.3</v>
      </c>
      <c r="B19" s="28" t="n">
        <v>0.297</v>
      </c>
      <c r="C19" s="28" t="n">
        <v>0.458</v>
      </c>
    </row>
    <row r="20" customFormat="false" ht="15" hidden="false" customHeight="false" outlineLevel="0" collapsed="false">
      <c r="A20" s="25" t="n">
        <v>1.2</v>
      </c>
      <c r="B20" s="28" t="n">
        <v>0.113</v>
      </c>
      <c r="C20" s="28" t="n">
        <v>0.249</v>
      </c>
    </row>
    <row r="21" customFormat="false" ht="15" hidden="false" customHeight="false" outlineLevel="0" collapsed="false">
      <c r="A21" s="25" t="n">
        <v>1.1</v>
      </c>
      <c r="B21" s="28" t="n">
        <v>0.037</v>
      </c>
      <c r="C21" s="28" t="n">
        <v>0.121</v>
      </c>
    </row>
    <row r="22" customFormat="false" ht="15" hidden="false" customHeight="false" outlineLevel="0" collapsed="false">
      <c r="A22" s="25" t="n">
        <v>1</v>
      </c>
      <c r="B22" s="28" t="n">
        <v>0.01</v>
      </c>
      <c r="C22" s="28" t="n">
        <v>0.054</v>
      </c>
    </row>
    <row r="23" customFormat="false" ht="15" hidden="false" customHeight="false" outlineLevel="0" collapsed="false">
      <c r="A23" s="25" t="n">
        <v>0.9</v>
      </c>
      <c r="B23" s="28" t="n">
        <v>0.003</v>
      </c>
      <c r="C23" s="28" t="n">
        <v>0.022</v>
      </c>
    </row>
    <row r="25" customFormat="false" ht="15" hidden="false" customHeight="false" outlineLevel="0" collapsed="false">
      <c r="A25" s="12" t="s">
        <v>275</v>
      </c>
    </row>
    <row r="26" customFormat="false" ht="15" hidden="false" customHeight="false" outlineLevel="0" collapsed="false">
      <c r="A26" s="7" t="s">
        <v>276</v>
      </c>
      <c r="B26" s="7" t="s">
        <v>277</v>
      </c>
    </row>
    <row r="27" customFormat="false" ht="15" hidden="false" customHeight="false" outlineLevel="0" collapsed="false">
      <c r="A27" s="8" t="s">
        <v>278</v>
      </c>
      <c r="B27" s="28" t="n">
        <v>0.025</v>
      </c>
    </row>
    <row r="28" customFormat="false" ht="15" hidden="false" customHeight="false" outlineLevel="0" collapsed="false">
      <c r="A28" s="8" t="s">
        <v>279</v>
      </c>
      <c r="B28" s="28" t="n">
        <v>0.08</v>
      </c>
    </row>
    <row r="29" customFormat="false" ht="15" hidden="false" customHeight="false" outlineLevel="0" collapsed="false">
      <c r="A29" s="8" t="s">
        <v>280</v>
      </c>
      <c r="B29" s="28" t="n">
        <v>0.198</v>
      </c>
    </row>
    <row r="30" customFormat="false" ht="15" hidden="false" customHeight="false" outlineLevel="0" collapsed="false">
      <c r="A30" s="8" t="s">
        <v>281</v>
      </c>
      <c r="B30" s="28" t="n">
        <v>0.234</v>
      </c>
    </row>
    <row r="31" customFormat="false" ht="15" hidden="false" customHeight="false" outlineLevel="0" collapsed="false">
      <c r="A31" s="8" t="s">
        <v>282</v>
      </c>
      <c r="B31" s="28" t="n">
        <v>0.214</v>
      </c>
    </row>
    <row r="32" customFormat="false" ht="15" hidden="false" customHeight="false" outlineLevel="0" collapsed="false">
      <c r="A32" s="8" t="s">
        <v>283</v>
      </c>
      <c r="B32" s="28" t="n">
        <v>0.168</v>
      </c>
    </row>
    <row r="33" customFormat="false" ht="15" hidden="false" customHeight="false" outlineLevel="0" collapsed="false">
      <c r="A33" s="8" t="s">
        <v>284</v>
      </c>
      <c r="B33" s="28" t="n">
        <v>0.081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2"/>
    <col collapsed="false" customWidth="true" hidden="false" outlineLevel="0" max="7" min="7" style="1" width="4"/>
    <col collapsed="false" customWidth="true" hidden="false" outlineLevel="0" max="8" min="8" style="1" width="54"/>
  </cols>
  <sheetData>
    <row r="1" customFormat="false" ht="17.35" hidden="false" customHeight="false" outlineLevel="0" collapsed="false">
      <c r="A1" s="5" t="s">
        <v>285</v>
      </c>
    </row>
    <row r="2" customFormat="false" ht="15" hidden="false" customHeight="false" outlineLevel="0" collapsed="false">
      <c r="A2" s="6" t="s">
        <v>286</v>
      </c>
    </row>
    <row r="3" customFormat="false" ht="15" hidden="false" customHeight="false" outlineLevel="0" collapsed="false">
      <c r="A3" s="7" t="s">
        <v>287</v>
      </c>
      <c r="B3" s="31" t="n">
        <v>2000</v>
      </c>
      <c r="C3" s="31" t="n">
        <v>3000</v>
      </c>
      <c r="D3" s="31" t="n">
        <v>3450</v>
      </c>
      <c r="E3" s="31" t="n">
        <v>4500</v>
      </c>
      <c r="F3" s="31" t="n">
        <v>6000</v>
      </c>
    </row>
    <row r="4" customFormat="false" ht="15" hidden="false" customHeight="false" outlineLevel="0" collapsed="false">
      <c r="A4" s="18" t="n">
        <v>0</v>
      </c>
      <c r="B4" s="25" t="n">
        <f aca="false">(('Holdco NAV'!C14-Assumptions!$B$22+B$3)*(1-$A4))/Assumptions!$B$5</f>
        <v>0.786005749481956</v>
      </c>
      <c r="C4" s="25" t="n">
        <f aca="false">(('Holdco NAV'!C14-Assumptions!$B$22+C$3)*(1-$A4))/Assumptions!$B$5</f>
        <v>0.976638440319577</v>
      </c>
      <c r="D4" s="25" t="n">
        <f aca="false">(('Holdco NAV'!C14-Assumptions!$B$22+D$3)*(1-$A4))/Assumptions!$B$5</f>
        <v>1.06242315119651</v>
      </c>
      <c r="E4" s="25" t="n">
        <f aca="false">(('Holdco NAV'!C14-Assumptions!$B$22+E$3)*(1-$A4))/Assumptions!$B$5</f>
        <v>1.26258747657601</v>
      </c>
      <c r="F4" s="25" t="n">
        <f aca="false">(('Holdco NAV'!C14-Assumptions!$B$22+F$3)*(1-$A4))/Assumptions!$B$5</f>
        <v>1.54853651283244</v>
      </c>
    </row>
    <row r="5" customFormat="false" ht="15" hidden="false" customHeight="false" outlineLevel="0" collapsed="false">
      <c r="A5" s="18" t="n">
        <v>0.1</v>
      </c>
      <c r="B5" s="25" t="n">
        <f aca="false">(('Holdco NAV'!C14-Assumptions!$B$22+B$3)*(1-$A5))/Assumptions!$B$5</f>
        <v>0.70740517453376</v>
      </c>
      <c r="C5" s="25" t="n">
        <f aca="false">(('Holdco NAV'!C14-Assumptions!$B$22+C$3)*(1-$A5))/Assumptions!$B$5</f>
        <v>0.878974596287619</v>
      </c>
      <c r="D5" s="25" t="n">
        <f aca="false">(('Holdco NAV'!C14-Assumptions!$B$22+D$3)*(1-$A5))/Assumptions!$B$5</f>
        <v>0.956180836076856</v>
      </c>
      <c r="E5" s="25" t="n">
        <f aca="false">(('Holdco NAV'!C14-Assumptions!$B$22+E$3)*(1-$A5))/Assumptions!$B$5</f>
        <v>1.13632872891841</v>
      </c>
      <c r="F5" s="25" t="n">
        <f aca="false">(('Holdco NAV'!C14-Assumptions!$B$22+F$3)*(1-$A5))/Assumptions!$B$5</f>
        <v>1.3936828615492</v>
      </c>
    </row>
    <row r="6" customFormat="false" ht="15" hidden="false" customHeight="false" outlineLevel="0" collapsed="false">
      <c r="A6" s="18" t="n">
        <v>0.15</v>
      </c>
      <c r="B6" s="25" t="n">
        <f aca="false">(('Holdco NAV'!C14-Assumptions!$B$22+B$3)*(1-$A6))/Assumptions!$B$5</f>
        <v>0.668104887059662</v>
      </c>
      <c r="C6" s="25" t="n">
        <f aca="false">(('Holdco NAV'!C14-Assumptions!$B$22+C$3)*(1-$A6))/Assumptions!$B$5</f>
        <v>0.83014267427164</v>
      </c>
      <c r="D6" s="25" t="n">
        <f aca="false">(('Holdco NAV'!C14-Assumptions!$B$22+D$3)*(1-$A6))/Assumptions!$B$5</f>
        <v>0.90305967851703</v>
      </c>
      <c r="E6" s="25" t="n">
        <f aca="false">(('Holdco NAV'!C14-Assumptions!$B$22+E$3)*(1-$A6))/Assumptions!$B$5</f>
        <v>1.07319935508961</v>
      </c>
      <c r="F6" s="25" t="n">
        <f aca="false">(('Holdco NAV'!C14-Assumptions!$B$22+F$3)*(1-$A6))/Assumptions!$B$5</f>
        <v>1.31625603590757</v>
      </c>
    </row>
    <row r="7" customFormat="false" ht="15" hidden="false" customHeight="false" outlineLevel="0" collapsed="false">
      <c r="A7" s="18" t="n">
        <v>0.2</v>
      </c>
      <c r="B7" s="25" t="n">
        <f aca="false">(('Holdco NAV'!C14-Assumptions!$B$22+B$3)*(1-$A7))/Assumptions!$B$5</f>
        <v>0.628804599585565</v>
      </c>
      <c r="C7" s="25" t="n">
        <f aca="false">(('Holdco NAV'!C14-Assumptions!$B$22+C$3)*(1-$A7))/Assumptions!$B$5</f>
        <v>0.781310752255661</v>
      </c>
      <c r="D7" s="25" t="n">
        <f aca="false">(('Holdco NAV'!C14-Assumptions!$B$22+D$3)*(1-$A7))/Assumptions!$B$5</f>
        <v>0.849938520957205</v>
      </c>
      <c r="E7" s="25" t="n">
        <f aca="false">(('Holdco NAV'!C14-Assumptions!$B$22+E$3)*(1-$A7))/Assumptions!$B$5</f>
        <v>1.01006998126081</v>
      </c>
      <c r="F7" s="25" t="n">
        <f aca="false">(('Holdco NAV'!C14-Assumptions!$B$22+F$3)*(1-$A7))/Assumptions!$B$5</f>
        <v>1.23882921026595</v>
      </c>
    </row>
    <row r="8" customFormat="false" ht="15" hidden="false" customHeight="false" outlineLevel="0" collapsed="false">
      <c r="A8" s="18" t="n">
        <v>0.3</v>
      </c>
      <c r="B8" s="25" t="n">
        <f aca="false">(('Holdco NAV'!C14-Assumptions!$B$22+B$3)*(1-$A8))/Assumptions!$B$5</f>
        <v>0.550204024637369</v>
      </c>
      <c r="C8" s="25" t="n">
        <f aca="false">(('Holdco NAV'!C14-Assumptions!$B$22+C$3)*(1-$A8))/Assumptions!$B$5</f>
        <v>0.683646908223704</v>
      </c>
      <c r="D8" s="25" t="n">
        <f aca="false">(('Holdco NAV'!C14-Assumptions!$B$22+D$3)*(1-$A8))/Assumptions!$B$5</f>
        <v>0.743696205837554</v>
      </c>
      <c r="E8" s="25" t="n">
        <f aca="false">(('Holdco NAV'!C14-Assumptions!$B$22+E$3)*(1-$A8))/Assumptions!$B$5</f>
        <v>0.883811233603206</v>
      </c>
      <c r="F8" s="25" t="n">
        <f aca="false">(('Holdco NAV'!C14-Assumptions!$B$22+F$3)*(1-$A8))/Assumptions!$B$5</f>
        <v>1.08397555898271</v>
      </c>
    </row>
    <row r="11" customFormat="false" ht="15" hidden="false" customHeight="false" outlineLevel="0" collapsed="false">
      <c r="A11" s="15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9" min="2" style="1" width="12"/>
  </cols>
  <sheetData>
    <row r="1" customFormat="false" ht="17.35" hidden="false" customHeight="false" outlineLevel="0" collapsed="false">
      <c r="A1" s="5" t="s">
        <v>289</v>
      </c>
    </row>
    <row r="3" customFormat="false" ht="15" hidden="false" customHeight="false" outlineLevel="0" collapsed="false">
      <c r="B3" s="7" t="s">
        <v>180</v>
      </c>
      <c r="C3" s="7" t="s">
        <v>148</v>
      </c>
      <c r="D3" s="7" t="s">
        <v>149</v>
      </c>
      <c r="E3" s="7" t="s">
        <v>95</v>
      </c>
      <c r="F3" s="7" t="s">
        <v>96</v>
      </c>
      <c r="G3" s="7" t="s">
        <v>97</v>
      </c>
      <c r="H3" s="7" t="s">
        <v>98</v>
      </c>
      <c r="I3" s="7" t="s">
        <v>99</v>
      </c>
    </row>
    <row r="4" customFormat="false" ht="15" hidden="false" customHeight="false" outlineLevel="0" collapsed="false">
      <c r="A4" s="8" t="s">
        <v>290</v>
      </c>
      <c r="B4" s="10" t="n">
        <f aca="false">'Income Statement'!B23/Assumptions!$B$5</f>
        <v>0.0186021571995295</v>
      </c>
      <c r="C4" s="10" t="n">
        <f aca="false">'Income Statement'!C23/Assumptions!$B$5</f>
        <v>0.0336419384294535</v>
      </c>
      <c r="D4" s="10" t="n">
        <f aca="false">'Income Statement'!D23/Assumptions!$B$5</f>
        <v>0.0682136859021406</v>
      </c>
      <c r="E4" s="10" t="n">
        <f aca="false">'Income Statement'!E23/Assumptions!$B$5</f>
        <v>0.116285941410949</v>
      </c>
      <c r="F4" s="10" t="n">
        <f aca="false">'Income Statement'!F23/Assumptions!$B$5</f>
        <v>0.217893165627401</v>
      </c>
      <c r="G4" s="10" t="n">
        <f aca="false">'Income Statement'!G23/Assumptions!$B$5</f>
        <v>0.314439091902114</v>
      </c>
      <c r="H4" s="10" t="n">
        <f aca="false">'Income Statement'!H23/Assumptions!$B$5</f>
        <v>0.407779529480393</v>
      </c>
      <c r="I4" s="10" t="n">
        <f aca="false">'Income Statement'!I23/Assumptions!$B$5</f>
        <v>0.496781872356163</v>
      </c>
    </row>
    <row r="5" customFormat="false" ht="15" hidden="false" customHeight="false" outlineLevel="0" collapsed="false">
      <c r="A5" s="8" t="s">
        <v>291</v>
      </c>
      <c r="B5" s="32" t="n">
        <f aca="false">'Income Statement'!B36/Assumptions!$B$5</f>
        <v>0.137707178655239</v>
      </c>
      <c r="C5" s="32" t="n">
        <f aca="false">'Income Statement'!C36/Assumptions!$B$5</f>
        <v>-0.229787185289257</v>
      </c>
      <c r="D5" s="32" t="n">
        <f aca="false">'Income Statement'!D36/Assumptions!$B$5</f>
        <v>-0.0550353528325159</v>
      </c>
      <c r="E5" s="32" t="n">
        <f aca="false">'Income Statement'!E36/Assumptions!$B$5</f>
        <v>-0.218236304470909</v>
      </c>
      <c r="F5" s="32" t="n">
        <f aca="false">'Income Statement'!F36/Assumptions!$B$5</f>
        <v>-0.0423490522695775</v>
      </c>
      <c r="G5" s="32" t="n">
        <f aca="false">'Income Statement'!G36/Assumptions!$B$5</f>
        <v>0.00291270071239437</v>
      </c>
      <c r="H5" s="32" t="n">
        <f aca="false">'Income Statement'!H36/Assumptions!$B$5</f>
        <v>0.0411840589607849</v>
      </c>
      <c r="I5" s="32" t="n">
        <f aca="false">'Income Statement'!I36/Assumptions!$B$5</f>
        <v>0.0738534093655934</v>
      </c>
    </row>
    <row r="6" customFormat="false" ht="15" hidden="false" customHeight="false" outlineLevel="0" collapsed="false">
      <c r="A6" s="8" t="s">
        <v>292</v>
      </c>
      <c r="B6" s="10" t="n">
        <f aca="false">'Balance Sheet'!B38/Assumptions!$B$5</f>
        <v>0.590770137007715</v>
      </c>
      <c r="C6" s="10" t="n">
        <f aca="false">'Balance Sheet'!C38/Assumptions!$B$5</f>
        <v>0.391885155241732</v>
      </c>
      <c r="D6" s="10" t="n">
        <f aca="false">'Balance Sheet'!D38/Assumptions!$B$5</f>
        <v>0.528826415590704</v>
      </c>
      <c r="E6" s="10" t="n">
        <f aca="false">'Balance Sheet'!E38/Assumptions!$B$5</f>
        <v>0.411635672332905</v>
      </c>
      <c r="F6" s="10" t="n">
        <f aca="false">'Balance Sheet'!F38/Assumptions!$B$5</f>
        <v>0.384537235330338</v>
      </c>
      <c r="G6" s="10" t="n">
        <f aca="false">'Balance Sheet'!G38/Assumptions!$B$5</f>
        <v>0.402700551309742</v>
      </c>
      <c r="H6" s="10" t="n">
        <f aca="false">'Balance Sheet'!H38/Assumptions!$B$5</f>
        <v>0.459135225537536</v>
      </c>
      <c r="I6" s="10" t="n">
        <f aca="false">'Balance Sheet'!I38/Assumptions!$B$5</f>
        <v>0.548239250170139</v>
      </c>
    </row>
    <row r="7" customFormat="false" ht="15" hidden="false" customHeight="false" outlineLevel="0" collapsed="false">
      <c r="A7" s="8" t="s">
        <v>293</v>
      </c>
      <c r="B7" s="33" t="n">
        <f aca="false">Assumptions!$B$4/('Balance Sheet'!B38/Assumptions!$B$5)</f>
        <v>2.38671508878518</v>
      </c>
      <c r="C7" s="33" t="n">
        <f aca="false">Assumptions!$B$4/('Balance Sheet'!C38/Assumptions!$B$5)</f>
        <v>3.59799288424245</v>
      </c>
      <c r="D7" s="33" t="n">
        <f aca="false">Assumptions!$B$4/('Balance Sheet'!D38/Assumptions!$B$5)</f>
        <v>2.66628133245768</v>
      </c>
      <c r="E7" s="33" t="n">
        <f aca="false">Assumptions!$B$4/('Balance Sheet'!E38/Assumptions!$B$5)</f>
        <v>3.42535910944977</v>
      </c>
      <c r="F7" s="33" t="n">
        <f aca="false">Assumptions!$B$4/('Balance Sheet'!F38/Assumptions!$B$5)</f>
        <v>3.66674503910846</v>
      </c>
      <c r="G7" s="33" t="n">
        <f aca="false">Assumptions!$B$4/('Balance Sheet'!G38/Assumptions!$B$5)</f>
        <v>3.50136098749833</v>
      </c>
      <c r="H7" s="33" t="n">
        <f aca="false">Assumptions!$B$4/('Balance Sheet'!H38/Assumptions!$B$5)</f>
        <v>3.07099068329865</v>
      </c>
      <c r="I7" s="33" t="n">
        <f aca="false">Assumptions!$B$4/('Balance Sheet'!I38/Assumptions!$B$5)</f>
        <v>2.57186985346712</v>
      </c>
    </row>
    <row r="8" customFormat="false" ht="15" hidden="false" customHeight="false" outlineLevel="0" collapsed="false">
      <c r="A8" s="8" t="s">
        <v>202</v>
      </c>
      <c r="B8" s="11" t="n">
        <f aca="false">'Income Statement'!B27</f>
        <v>-0.892625368731563</v>
      </c>
      <c r="C8" s="11" t="n">
        <f aca="false">'Income Statement'!C27</f>
        <v>-1.6831769204032</v>
      </c>
      <c r="D8" s="11" t="n">
        <f aca="false">'Income Statement'!D27</f>
        <v>-0.844277911850629</v>
      </c>
      <c r="E8" s="11" t="n">
        <f aca="false">'Income Statement'!E27</f>
        <v>-0.366885245901639</v>
      </c>
      <c r="F8" s="11" t="n">
        <f aca="false">'Income Statement'!F27</f>
        <v>0.000629921259842544</v>
      </c>
      <c r="G8" s="11" t="n">
        <f aca="false">'Income Statement'!G27</f>
        <v>0.140453484494832</v>
      </c>
      <c r="H8" s="11" t="n">
        <f aca="false">'Income Statement'!H27</f>
        <v>0.219016869362368</v>
      </c>
      <c r="I8" s="11" t="n">
        <f aca="false">'Income Statement'!I27</f>
        <v>0.261824072223262</v>
      </c>
    </row>
    <row r="10" customFormat="false" ht="15" hidden="false" customHeight="false" outlineLevel="0" collapsed="false">
      <c r="A10" s="12" t="s">
        <v>294</v>
      </c>
      <c r="B10" s="10" t="n">
        <f aca="false">'Holdco NAV'!C18</f>
        <v>0.813938895550442</v>
      </c>
    </row>
    <row r="11" customFormat="false" ht="15" hidden="false" customHeight="false" outlineLevel="0" collapsed="false">
      <c r="A11" s="12" t="s">
        <v>295</v>
      </c>
      <c r="B11" s="33" t="n">
        <f aca="false">Assumptions!$B$4/'Holdco NAV'!C18</f>
        <v>1.73231677182162</v>
      </c>
    </row>
    <row r="12" customFormat="false" ht="15" hidden="false" customHeight="false" outlineLevel="0" collapsed="false">
      <c r="A12" s="8" t="s">
        <v>296</v>
      </c>
      <c r="B12" s="23" t="n">
        <f aca="false">Assumptions!$B$4*Assumptions!$B$5</f>
        <v>7396.4229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26"/>
    <col collapsed="false" customWidth="true" hidden="false" outlineLevel="0" max="4" min="4" style="1" width="44"/>
  </cols>
  <sheetData>
    <row r="1" customFormat="false" ht="17.35" hidden="false" customHeight="false" outlineLevel="0" collapsed="false">
      <c r="A1" s="5" t="s">
        <v>297</v>
      </c>
    </row>
    <row r="3" customFormat="false" ht="15" hidden="false" customHeight="false" outlineLevel="0" collapsed="false">
      <c r="A3" s="7" t="s">
        <v>298</v>
      </c>
      <c r="B3" s="7" t="s">
        <v>299</v>
      </c>
      <c r="C3" s="7" t="s">
        <v>300</v>
      </c>
      <c r="D3" s="7" t="s">
        <v>301</v>
      </c>
    </row>
    <row r="4" customFormat="false" ht="27.75" hidden="false" customHeight="true" outlineLevel="0" collapsed="false">
      <c r="A4" s="34" t="s">
        <v>302</v>
      </c>
      <c r="B4" s="34" t="s">
        <v>303</v>
      </c>
      <c r="C4" s="34" t="s">
        <v>304</v>
      </c>
      <c r="D4" s="34" t="s">
        <v>305</v>
      </c>
    </row>
    <row r="5" customFormat="false" ht="27.75" hidden="false" customHeight="true" outlineLevel="0" collapsed="false">
      <c r="A5" s="4" t="s">
        <v>306</v>
      </c>
      <c r="B5" s="4" t="s">
        <v>307</v>
      </c>
      <c r="C5" s="4" t="s">
        <v>308</v>
      </c>
      <c r="D5" s="4" t="s">
        <v>309</v>
      </c>
    </row>
    <row r="6" customFormat="false" ht="27.75" hidden="false" customHeight="true" outlineLevel="0" collapsed="false">
      <c r="A6" s="4" t="s">
        <v>310</v>
      </c>
      <c r="B6" s="4" t="s">
        <v>311</v>
      </c>
      <c r="C6" s="4" t="s">
        <v>312</v>
      </c>
      <c r="D6" s="4" t="s">
        <v>313</v>
      </c>
    </row>
    <row r="7" customFormat="false" ht="27.75" hidden="false" customHeight="true" outlineLevel="0" collapsed="false">
      <c r="A7" s="4" t="s">
        <v>314</v>
      </c>
      <c r="B7" s="4" t="s">
        <v>315</v>
      </c>
      <c r="C7" s="4" t="s">
        <v>316</v>
      </c>
      <c r="D7" s="4" t="s">
        <v>317</v>
      </c>
    </row>
    <row r="8" customFormat="false" ht="27.75" hidden="false" customHeight="true" outlineLevel="0" collapsed="false">
      <c r="A8" s="4" t="s">
        <v>318</v>
      </c>
      <c r="B8" s="4" t="s">
        <v>319</v>
      </c>
      <c r="C8" s="4" t="s">
        <v>320</v>
      </c>
      <c r="D8" s="4" t="s">
        <v>321</v>
      </c>
    </row>
    <row r="10" customFormat="false" ht="72" hidden="false" customHeight="true" outlineLevel="0" collapsed="false">
      <c r="A10" s="4" t="s">
        <v>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2026-07-03T07:47:57Z</dcterms:created>
  <dc:creator>openpyxl</dc:creator>
  <dc:description/>
  <dc:language>en-US</dc:language>
  <cp:lastModifiedBy/>
  <dcterms:modified xsi:type="dcterms:W3CDTF">2026-07-03T07:47:57Z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