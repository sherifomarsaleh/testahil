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<sst xmlns="http://schemas.openxmlformats.org/spreadsheetml/2006/main" count="164" uniqueCount="118">
  <si>
    <t xml:space="preserve">READ FIRST</t>
  </si>
  <si>
    <t xml:space="preserve">Educational valuation study - not investment advice. Distributions, not tips. All inputs on Assumptions.</t>
  </si>
  <si>
    <t xml:space="preserve">Summary - Oriental Weavers (EGX: ORWE)</t>
  </si>
  <si>
    <t xml:space="preserve">Spot</t>
  </si>
  <si>
    <t xml:space="preserve">DCF (FCFE) fair value</t>
  </si>
  <si>
    <t xml:space="preserve">Mid-cycle cross-check</t>
  </si>
  <si>
    <t xml:space="preserve">Fundamental valuation - lens synthesis</t>
  </si>
  <si>
    <t xml:space="preserve">Weighted fair value across the lenses (football field in the report).</t>
  </si>
  <si>
    <t xml:space="preserve">Assumptions - single input layer · Oriental Weavers (EGX: ORWE)</t>
  </si>
  <si>
    <t xml:space="preserve">Blue = input. FY = calendar year; EGP mn. Sources: 4Q23 earnings release, Mubasher FY24 results, AGM dividend disclosure Apr-2026; estimates flagged.</t>
  </si>
  <si>
    <t xml:space="preserve">ANCHORS</t>
  </si>
  <si>
    <t xml:space="preserve">Spot price (EGP/share)</t>
  </si>
  <si>
    <t xml:space="preserve">Shares outstanding (mn, per dividend arithmetic - confirm)</t>
  </si>
  <si>
    <t xml:space="preserve">Net debt (EGP mn, est.)</t>
  </si>
  <si>
    <t xml:space="preserve">Cost of equity (nominal EGP)</t>
  </si>
  <si>
    <t xml:space="preserve">Terminal growth (nominal)</t>
  </si>
  <si>
    <t xml:space="preserve">Tax &amp; minorities % of PBT</t>
  </si>
  <si>
    <t xml:space="preserve">MID-CYCLE CROSS-CHECK MARKS</t>
  </si>
  <si>
    <t xml:space="preserve">Mid-cycle EBITDA margin</t>
  </si>
  <si>
    <t xml:space="preserve">Mid-cycle EV/EBITDA</t>
  </si>
  <si>
    <t xml:space="preserve">FORECAST DRIVERS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</si>
  <si>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</si>
  <si>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</si>
  <si>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</si>
  <si>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</si>
  <si>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</si>
  <si>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Revenue growth</t>
  </si>
  <si>
    <t xml:space="preserve">Gross margin</t>
  </si>
  <si>
    <t xml:space="preserve">SG&amp;A % of revenue</t>
  </si>
  <si>
    <t xml:space="preserve">D&amp;A % of revenue</t>
  </si>
  <si>
    <t xml:space="preserve">Net interest, FX &amp; other income (EGP mn)</t>
  </si>
  <si>
    <t xml:space="preserve">Capex % of revenue</t>
  </si>
  <si>
    <t xml:space="preserve">Net WC % of revenue</t>
  </si>
  <si>
    <t xml:space="preserve">Mid-cycle EBITDA cross-check (EGP mn)</t>
  </si>
  <si>
    <t xml:space="preserve">Enterprise view: mid-cycle EBITDA x multiple, less net debt - the lens that ignores the one-off other-income layer entirely.</t>
  </si>
  <si>
    <t xml:space="preserve">Component</t>
  </si>
  <si>
    <t xml:space="preserve">Value</t>
  </si>
  <si>
    <t xml:space="preserve">Mid-cycle EBITDA (FY26E rev x margin)</t>
  </si>
  <si>
    <t xml:space="preserve">x EV/EBITDA</t>
  </si>
  <si>
    <t xml:space="preserve">Enterprise value</t>
  </si>
  <si>
    <t xml:space="preserve">- Net debt</t>
  </si>
  <si>
    <t xml:space="preserve">Equity value</t>
  </si>
  <si>
    <t xml:space="preserve">Per share</t>
  </si>
  <si>
    <t xml:space="preserve">Segments</t>
  </si>
  <si>
    <t xml:space="preserve">Egypt retail/wholesale vs exports (~60-64% of revenue, 130-150 countries); woven / tufted / MAC; US plants.</t>
  </si>
  <si>
    <t xml:space="preserve">Relative &amp; normalized</t>
  </si>
  <si>
    <t xml:space="preserve">EGX consumer/industrial P/E band; normalized (ex-windfall) earnings power.</t>
  </si>
  <si>
    <t xml:space="preserve">Discounted cash flow (FCFE, EGP mn)</t>
  </si>
  <si>
    <t xml:space="preserve">Free cash flow to equity: attributable NPAT + D&amp;A - capex - dNWC, discounted at the cost of equity; Gordon terminal. The heavy working-capital cycle is the drag this lens prices that the P/E cannot see.</t>
  </si>
  <si>
    <t xml:space="preserve">Net profit (attributable)</t>
  </si>
  <si>
    <t xml:space="preserve">+ D&amp;A</t>
  </si>
  <si>
    <t xml:space="preserve">- Capex</t>
  </si>
  <si>
    <t xml:space="preserve">- Increase in net WC</t>
  </si>
  <si>
    <t xml:space="preserve">FCFE</t>
  </si>
  <si>
    <t xml:space="preserve">Discount factor</t>
  </si>
  <si>
    <t xml:space="preserve">PV of FCFE</t>
  </si>
  <si>
    <t xml:space="preserve">Sum PV of explicit FCFE</t>
  </si>
  <si>
    <t xml:space="preserve">Terminal value (Gordon on FCFE)</t>
  </si>
  <si>
    <t xml:space="preserve">PV of terminal value</t>
  </si>
  <si>
    <t xml:space="preserve">Equity value (DCF)</t>
  </si>
  <si>
    <t xml:space="preserve">Fair value per share</t>
  </si>
  <si>
    <t xml:space="preserve">Income statement (EGP mn) - consolidated</t>
  </si>
  <si>
    <t xml:space="preserve">Revenue &amp; attributable NPAT per company/AGM disclosure; FY25 gross and the SG&amp;A/D&amp;A/other-income splits estimated pending the FY25 consolidated statements - flag. FY23 other income includes the China-facility sale gain.</t>
  </si>
  <si>
    <t xml:space="preserve">FY23</t>
  </si>
  <si>
    <t xml:space="preserve">FY24</t>
  </si>
  <si>
    <t xml:space="preserve">FY25</t>
  </si>
  <si>
    <t xml:space="preserve">Revenue</t>
  </si>
  <si>
    <t xml:space="preserve">Gross profit</t>
  </si>
  <si>
    <t xml:space="preserve">SG&amp;A</t>
  </si>
  <si>
    <t xml:space="preserve">EBIT (operating)</t>
  </si>
  <si>
    <t xml:space="preserve">D&amp;A (memo)</t>
  </si>
  <si>
    <t xml:space="preserve">EBITDA</t>
  </si>
  <si>
    <t xml:space="preserve">Net interest, FX &amp; other income</t>
  </si>
  <si>
    <t xml:space="preserve">PBT</t>
  </si>
  <si>
    <t xml:space="preserve">Tax &amp; minority interest</t>
  </si>
  <si>
    <t xml:space="preserve">Balance sheet (EGP mn)</t>
  </si>
  <si>
    <t xml:space="preserve">Total debt FY23 per disclosure (4.7bn); other lines estimated - flag. High working-capital intensity (inventory-heavy carpet trade). Equity rolls with attributable NPAT less dividends.</t>
  </si>
  <si>
    <t xml:space="preserve">Net working capital</t>
  </si>
  <si>
    <t xml:space="preserve">PP&amp;E (net, est.)</t>
  </si>
  <si>
    <t xml:space="preserve">Total debt</t>
  </si>
  <si>
    <t xml:space="preserve">Cash &amp; equivalents (est.)</t>
  </si>
  <si>
    <t xml:space="preserve">Attributable equity (est.)</t>
  </si>
  <si>
    <t xml:space="preserve">Cash flow (EGP mn)</t>
  </si>
  <si>
    <t xml:space="preserve">CFO = attributable NPAT + D&amp;A - dNWC; investing = -capex; financing = -dividends (EGP 1.5/sh held).</t>
  </si>
  <si>
    <t xml:space="preserve">- Increase in NWC</t>
  </si>
  <si>
    <t xml:space="preserve">Cash from operations</t>
  </si>
  <si>
    <t xml:space="preserve">- Dividends paid</t>
  </si>
  <si>
    <t xml:space="preserve">Net change in cash</t>
  </si>
  <si>
    <t xml:space="preserve">Summary financials</t>
  </si>
  <si>
    <t xml:space="preserve">Links to the statement sheets (green).</t>
  </si>
  <si>
    <t xml:space="preserve">Attributable equity</t>
  </si>
  <si>
    <t xml:space="preserve">Monte Carlo - percentile map</t>
  </si>
  <si>
    <t xml:space="preserve">16-factor (7C+9D), 50,000 paths, seed 42; engine-filled. Spot links to Assumptions.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</si>
  <si>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</si>
  <si>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</si>
  <si>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</si>
  <si>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</si>
  <si>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</si>
  <si>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</si>
  <si>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</t>
  </si>
  <si>
    <t xml:space="preserve">T+60</t>
  </si>
  <si>
    <t xml:space="preserve">Sensitivity - FCFE DCF per share</t>
  </si>
  <si>
    <t xml:space="preserve">Illustrative scaling; live 2-way Ke x g table on final build.</t>
  </si>
  <si>
    <t xml:space="preserve">Ke \ g</t>
  </si>
  <si>
    <t xml:space="preserve">g-2%</t>
  </si>
  <si>
    <t xml:space="preserve">g+0%</t>
  </si>
  <si>
    <t xml:space="preserve">g+2%</t>
  </si>
  <si>
    <t xml:space="preserve">Ke-2%</t>
  </si>
  <si>
    <t xml:space="preserve">Ke+0%</t>
  </si>
  <si>
    <t xml:space="preserve">Ke+2%</t>
  </si>
  <si>
    <t xml:space="preserve">Per-share &amp; ratios</t>
  </si>
  <si>
    <t xml:space="preserve">EPS FY25</t>
  </si>
  <si>
    <t xml:space="preserve">EPS FY26E</t>
  </si>
  <si>
    <t xml:space="preserve">P/E FY26E (spot)</t>
  </si>
  <si>
    <t xml:space="preserve">Dividend / yield</t>
  </si>
  <si>
    <t xml:space="preserve">Mid-cycle EBITDA cross-check</t>
  </si>
  <si>
    <t xml:space="preserve">Peer &amp; sector</t>
  </si>
  <si>
    <t xml:space="preserve">Global machine-woven carpet leader; EGP, polypropylene, freight and US/EU housing demand drive the cycle.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</si>
</sst>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;\(#,##0\);\-"/>
    <numFmt numFmtId="167" formatCode="0.0%"/>
    <numFmt numFmtId="168" formatCode="0.0\x"/>
    <numFmt numFmtId="169" formatCode="0.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color rgb="FF555555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6.15" hidden="false" customHeight="false" outlineLevel="0" collapsed="false">
      <c r="A1" s="1" t="s">
        <v>2</v>
      </c>
    </row>
    <row r="4" customFormat="false" ht="15" hidden="false" customHeight="false" outlineLevel="0" collapsed="false">
      <c r="A4" s="0" t="s">
        <v>3</v>
      </c>
      <c r="B4" s="3" t="n">
        <f aca="false">Assumptions!$B$4</f>
        <v>22.34</v>
      </c>
    </row>
    <row r="5" customFormat="false" ht="15" hidden="false" customHeight="false" outlineLevel="0" collapsed="false">
      <c r="A5" s="0" t="s">
        <v>4</v>
      </c>
      <c r="B5" s="3" t="n">
        <f aca="false">DCF!B17</f>
        <v>17.3005093649213</v>
      </c>
    </row>
    <row r="6" customFormat="false" ht="15" hidden="false" customHeight="false" outlineLevel="0" collapsed="false">
      <c r="A6" s="0" t="s">
        <v>5</v>
      </c>
      <c r="B6" s="3" t="n">
        <f aca="false">SOTP!B9</f>
        <v>21.2013014584273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</cols>
  <sheetData>
    <row r="1" customFormat="false" ht="16.1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9</v>
      </c>
    </row>
    <row r="3" customFormat="false" ht="15" hidden="false" customHeight="false" outlineLevel="0" collapsed="false">
      <c r="A3" s="4" t="s">
        <v>10</v>
      </c>
    </row>
    <row r="4" customFormat="false" ht="15" hidden="false" customHeight="false" outlineLevel="0" collapsed="false">
      <c r="A4" s="0" t="s">
        <v>11</v>
      </c>
      <c r="B4" s="5" t="n">
        <v>22.34</v>
      </c>
    </row>
    <row r="5" customFormat="false" ht="15" hidden="false" customHeight="false" outlineLevel="0" collapsed="false">
      <c r="A5" s="0" t="s">
        <v>12</v>
      </c>
      <c r="B5" s="6" t="n">
        <v>665.1</v>
      </c>
    </row>
    <row r="8" customFormat="false" ht="15" hidden="false" customHeight="false" outlineLevel="0" collapsed="false">
      <c r="A8" s="0" t="s">
        <v>13</v>
      </c>
      <c r="B8" s="6" t="n">
        <v>2000</v>
      </c>
    </row>
    <row r="9" customFormat="false" ht="15" hidden="false" customHeight="false" outlineLevel="0" collapsed="false">
      <c r="A9" s="0" t="s">
        <v>14</v>
      </c>
      <c r="B9" s="7" t="n">
        <v>0.24</v>
      </c>
    </row>
    <row r="10" customFormat="false" ht="15" hidden="false" customHeight="false" outlineLevel="0" collapsed="false">
      <c r="A10" s="0" t="s">
        <v>15</v>
      </c>
      <c r="B10" s="7" t="n">
        <v>0.11</v>
      </c>
    </row>
    <row r="11" customFormat="false" ht="15" hidden="false" customHeight="false" outlineLevel="0" collapsed="false">
      <c r="A11" s="0" t="s">
        <v>16</v>
      </c>
      <c r="B11" s="7" t="n">
        <v>0.28</v>
      </c>
    </row>
    <row r="13" customFormat="false" ht="15" hidden="false" customHeight="false" outlineLevel="0" collapsed="false">
      <c r="A13" s="4" t="s">
        <v>17</v>
      </c>
    </row>
    <row r="14" customFormat="false" ht="15" hidden="false" customHeight="false" outlineLevel="0" collapsed="false">
      <c r="A14" s="0" t="s">
        <v>18</v>
      </c>
      <c r="B14" s="7" t="n">
        <v>0.12</v>
      </c>
    </row>
    <row r="15" customFormat="false" ht="15" hidden="false" customHeight="false" outlineLevel="0" collapsed="false">
      <c r="A15" s="0" t="s">
        <v>19</v>
      </c>
      <c r="B15" s="8" t="n">
        <v>4.5</v>
      </c>
    </row>
    <row r="20" customFormat="false" ht="15" hidden="false" customHeight="false" outlineLevel="0" collapsed="false">
      <c r="A20" s="4" t="s">
        <v>20</v>
      </c>
    </row>
    <row r="21" customFormat="false" ht="15" hidden="false" customHeight="false" outlineLevel="0" collapsed="false">
      <c r="E21" s="4" t="s">
        <v>21</v>
      </c>
      <c r="F21" s="4" t="s">
        <v>22</v>
      </c>
      <c r="G21" s="4" t="s">
        <v>23</v>
      </c>
      <c r="H21" s="4" t="s">
        <v>24</v>
      </c>
      <c r="I21" s="4" t="s">
        <v>25</v>
      </c>
    </row>
    <row r="22" customFormat="false" ht="15" hidden="false" customHeight="false" outlineLevel="0" collapsed="false">
      <c r="A22" s="0" t="s">
        <v>26</v>
      </c>
      <c r="E22" s="7" t="n">
        <v>0.12</v>
      </c>
      <c r="F22" s="7" t="n">
        <v>0.11</v>
      </c>
      <c r="G22" s="7" t="n">
        <v>0.1</v>
      </c>
      <c r="H22" s="7" t="n">
        <v>0.1</v>
      </c>
      <c r="I22" s="7" t="n">
        <v>0.09</v>
      </c>
    </row>
    <row r="23" customFormat="false" ht="15" hidden="false" customHeight="false" outlineLevel="0" collapsed="false">
      <c r="A23" s="0" t="s">
        <v>27</v>
      </c>
      <c r="E23" s="7" t="n">
        <v>0.125</v>
      </c>
      <c r="F23" s="7" t="n">
        <v>0.128</v>
      </c>
      <c r="G23" s="7" t="n">
        <v>0.13</v>
      </c>
      <c r="H23" s="7" t="n">
        <v>0.132</v>
      </c>
      <c r="I23" s="7" t="n">
        <v>0.134</v>
      </c>
    </row>
    <row r="24" customFormat="false" ht="15" hidden="false" customHeight="false" outlineLevel="0" collapsed="false">
      <c r="A24" s="0" t="s">
        <v>28</v>
      </c>
      <c r="E24" s="7" t="n">
        <v>0.04</v>
      </c>
      <c r="F24" s="7" t="n">
        <v>0.04</v>
      </c>
      <c r="G24" s="7" t="n">
        <v>0.04</v>
      </c>
      <c r="H24" s="7" t="n">
        <v>0.04</v>
      </c>
      <c r="I24" s="7" t="n">
        <v>0.04</v>
      </c>
    </row>
    <row r="25" customFormat="false" ht="15" hidden="false" customHeight="false" outlineLevel="0" collapsed="false">
      <c r="A25" s="0" t="s">
        <v>29</v>
      </c>
      <c r="E25" s="7" t="n">
        <v>0.03</v>
      </c>
      <c r="F25" s="7" t="n">
        <v>0.03</v>
      </c>
      <c r="G25" s="7" t="n">
        <v>0.03</v>
      </c>
      <c r="H25" s="7" t="n">
        <v>0.03</v>
      </c>
      <c r="I25" s="7" t="n">
        <v>0.03</v>
      </c>
    </row>
    <row r="26" customFormat="false" ht="15" hidden="false" customHeight="false" outlineLevel="0" collapsed="false">
      <c r="A26" s="0" t="s">
        <v>30</v>
      </c>
      <c r="E26" s="6" t="n">
        <v>900</v>
      </c>
      <c r="F26" s="6" t="n">
        <v>850</v>
      </c>
      <c r="G26" s="6" t="n">
        <v>800</v>
      </c>
      <c r="H26" s="6" t="n">
        <v>800</v>
      </c>
      <c r="I26" s="6" t="n">
        <v>800</v>
      </c>
    </row>
    <row r="27" customFormat="false" ht="15" hidden="false" customHeight="false" outlineLevel="0" collapsed="false">
      <c r="A27" s="0" t="s">
        <v>31</v>
      </c>
      <c r="E27" s="7" t="n">
        <v>0.035</v>
      </c>
      <c r="F27" s="7" t="n">
        <v>0.035</v>
      </c>
      <c r="G27" s="7" t="n">
        <v>0.035</v>
      </c>
      <c r="H27" s="7" t="n">
        <v>0.035</v>
      </c>
      <c r="I27" s="7" t="n">
        <v>0.035</v>
      </c>
    </row>
    <row r="28" customFormat="false" ht="15" hidden="false" customHeight="false" outlineLevel="0" collapsed="false">
      <c r="A28" s="0" t="s">
        <v>32</v>
      </c>
      <c r="E28" s="7" t="n">
        <v>0.28</v>
      </c>
      <c r="F28" s="7" t="n">
        <v>0.28</v>
      </c>
      <c r="G28" s="7" t="n">
        <v>0.28</v>
      </c>
      <c r="H28" s="7" t="n">
        <v>0.28</v>
      </c>
      <c r="I28" s="7" t="n">
        <v>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6.1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3" customFormat="false" ht="15" hidden="false" customHeight="false" outlineLevel="0" collapsed="false">
      <c r="A3" s="4" t="s">
        <v>35</v>
      </c>
      <c r="B3" s="4" t="s">
        <v>36</v>
      </c>
    </row>
    <row r="4" customFormat="false" ht="15" hidden="false" customHeight="false" outlineLevel="0" collapsed="false">
      <c r="A4" s="0" t="s">
        <v>37</v>
      </c>
      <c r="B4" s="9" t="n">
        <f aca="false">'Income Statement'!E4*Assumptions!$B$14</f>
        <v>3577.9968</v>
      </c>
    </row>
    <row r="5" customFormat="false" ht="15" hidden="false" customHeight="false" outlineLevel="0" collapsed="false">
      <c r="A5" s="0" t="s">
        <v>38</v>
      </c>
      <c r="B5" s="10" t="n">
        <f aca="false">Assumptions!$B$15</f>
        <v>4.5</v>
      </c>
    </row>
    <row r="6" customFormat="false" ht="15" hidden="false" customHeight="false" outlineLevel="0" collapsed="false">
      <c r="A6" s="0" t="s">
        <v>39</v>
      </c>
      <c r="B6" s="11" t="n">
        <f aca="false">B4*B5</f>
        <v>16100.9856</v>
      </c>
    </row>
    <row r="7" customFormat="false" ht="15" hidden="false" customHeight="false" outlineLevel="0" collapsed="false">
      <c r="A7" s="0" t="s">
        <v>40</v>
      </c>
      <c r="B7" s="9" t="n">
        <f aca="false">-Assumptions!$B$8</f>
        <v>-2000</v>
      </c>
    </row>
    <row r="8" customFormat="false" ht="15" hidden="false" customHeight="false" outlineLevel="0" collapsed="false">
      <c r="A8" s="0" t="s">
        <v>41</v>
      </c>
      <c r="B8" s="12" t="n">
        <f aca="false">B6+B7</f>
        <v>14100.9856</v>
      </c>
    </row>
    <row r="9" customFormat="false" ht="15" hidden="false" customHeight="false" outlineLevel="0" collapsed="false">
      <c r="A9" s="0" t="s">
        <v>42</v>
      </c>
      <c r="B9" s="13" t="n">
        <f aca="false">B8/Assumptions!$B$5</f>
        <v>21.2013014584273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6.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2" t="s">
        <v>48</v>
      </c>
    </row>
    <row r="3" customFormat="false" ht="15" hidden="false" customHeight="false" outlineLevel="0" collapsed="false"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</row>
    <row r="4" customFormat="false" ht="15" hidden="false" customHeight="false" outlineLevel="0" collapsed="false">
      <c r="A4" s="0" t="s">
        <v>49</v>
      </c>
      <c r="E4" s="9" t="n">
        <f aca="false">'Income Statement'!E13</f>
        <v>2472.778368</v>
      </c>
      <c r="F4" s="9" t="n">
        <f aca="false">'Income Statement'!F13</f>
        <v>2708.992364544</v>
      </c>
      <c r="G4" s="9" t="n">
        <f aca="false">'Income Statement'!G13</f>
        <v>2935.116410112</v>
      </c>
      <c r="H4" s="9" t="n">
        <f aca="false">'Income Statement'!H13</f>
        <v>3228.69534114816</v>
      </c>
      <c r="I4" s="9" t="n">
        <f aca="false">'Income Statement'!I13</f>
        <v>3530.2952679787</v>
      </c>
    </row>
    <row r="5" customFormat="false" ht="15" hidden="false" customHeight="false" outlineLevel="0" collapsed="false">
      <c r="A5" s="0" t="s">
        <v>50</v>
      </c>
      <c r="E5" s="9" t="n">
        <f aca="false">'Income Statement'!E8</f>
        <v>894.4992</v>
      </c>
      <c r="F5" s="9" t="n">
        <f aca="false">'Income Statement'!F8</f>
        <v>992.894112</v>
      </c>
      <c r="G5" s="9" t="n">
        <f aca="false">'Income Statement'!G8</f>
        <v>1092.1835232</v>
      </c>
      <c r="H5" s="9" t="n">
        <f aca="false">'Income Statement'!H8</f>
        <v>1201.40187552</v>
      </c>
      <c r="I5" s="9" t="n">
        <f aca="false">'Income Statement'!I8</f>
        <v>1309.5280443168</v>
      </c>
    </row>
    <row r="6" customFormat="false" ht="15" hidden="false" customHeight="false" outlineLevel="0" collapsed="false">
      <c r="A6" s="0" t="s">
        <v>51</v>
      </c>
      <c r="E6" s="9" t="n">
        <f aca="false">-'Income Statement'!E4*Assumptions!E27</f>
        <v>-1043.5824</v>
      </c>
      <c r="F6" s="9" t="n">
        <f aca="false">-'Income Statement'!F4*Assumptions!F27</f>
        <v>-1158.376464</v>
      </c>
      <c r="G6" s="9" t="n">
        <f aca="false">-'Income Statement'!G4*Assumptions!G27</f>
        <v>-1274.2141104</v>
      </c>
      <c r="H6" s="9" t="n">
        <f aca="false">-'Income Statement'!H4*Assumptions!H27</f>
        <v>-1401.63552144</v>
      </c>
      <c r="I6" s="9" t="n">
        <f aca="false">-'Income Statement'!I4*Assumptions!I27</f>
        <v>-1527.7827183696</v>
      </c>
    </row>
    <row r="7" customFormat="false" ht="15" hidden="false" customHeight="false" outlineLevel="0" collapsed="false">
      <c r="A7" s="0" t="s">
        <v>52</v>
      </c>
      <c r="E7" s="9" t="n">
        <f aca="false">'Cash Flow'!E6</f>
        <v>-898.659200000002</v>
      </c>
      <c r="F7" s="9" t="n">
        <f aca="false">'Cash Flow'!F6</f>
        <v>-918.352512000001</v>
      </c>
      <c r="G7" s="9" t="n">
        <f aca="false">'Cash Flow'!G6</f>
        <v>-926.7011712</v>
      </c>
      <c r="H7" s="9" t="n">
        <f aca="false">'Cash Flow'!H6</f>
        <v>-1019.37128832</v>
      </c>
      <c r="I7" s="9" t="n">
        <f aca="false">'Cash Flow'!I6</f>
        <v>-1009.1775754368</v>
      </c>
    </row>
    <row r="8" customFormat="false" ht="15" hidden="false" customHeight="false" outlineLevel="0" collapsed="false">
      <c r="A8" s="0" t="s">
        <v>53</v>
      </c>
      <c r="E8" s="11" t="n">
        <f aca="false">E4+E5+E6+E7</f>
        <v>1425.035968</v>
      </c>
      <c r="F8" s="11" t="n">
        <f aca="false">F4+F5+F6+F7</f>
        <v>1625.157500544</v>
      </c>
      <c r="G8" s="11" t="n">
        <f aca="false">G4+G5+G6+G7</f>
        <v>1826.384651712</v>
      </c>
      <c r="H8" s="11" t="n">
        <f aca="false">H4+H5+H6+H7</f>
        <v>2009.09040690816</v>
      </c>
      <c r="I8" s="11" t="n">
        <f aca="false">I4+I5+I6+I7</f>
        <v>2302.8630184891</v>
      </c>
    </row>
    <row r="9" customFormat="false" ht="15" hidden="false" customHeight="false" outlineLevel="0" collapsed="false">
      <c r="A9" s="0" t="s">
        <v>54</v>
      </c>
      <c r="E9" s="15" t="n">
        <f aca="false">1/(1+Assumptions!$B$9)^1</f>
        <v>0.806451612903226</v>
      </c>
      <c r="F9" s="15" t="n">
        <f aca="false">1/(1+Assumptions!$B$9)^2</f>
        <v>0.650364203954214</v>
      </c>
      <c r="G9" s="15" t="n">
        <f aca="false">1/(1+Assumptions!$B$9)^3</f>
        <v>0.524487261253399</v>
      </c>
      <c r="H9" s="15" t="n">
        <f aca="false">1/(1+Assumptions!$B$9)^4</f>
        <v>0.422973597784999</v>
      </c>
      <c r="I9" s="15" t="n">
        <f aca="false">1/(1+Assumptions!$B$9)^5</f>
        <v>0.341107740149193</v>
      </c>
    </row>
    <row r="10" customFormat="false" ht="15" hidden="false" customHeight="false" outlineLevel="0" collapsed="false">
      <c r="A10" s="0" t="s">
        <v>55</v>
      </c>
      <c r="E10" s="11" t="n">
        <f aca="false">E8*E9</f>
        <v>1149.22255483871</v>
      </c>
      <c r="F10" s="11" t="n">
        <f aca="false">F8*F9</f>
        <v>1056.94426414152</v>
      </c>
      <c r="G10" s="11" t="n">
        <f aca="false">G8*G9</f>
        <v>957.91548397167</v>
      </c>
      <c r="H10" s="11" t="n">
        <f aca="false">H8*H9</f>
        <v>849.792197685272</v>
      </c>
      <c r="I10" s="11" t="n">
        <f aca="false">I8*I9</f>
        <v>785.524400109966</v>
      </c>
    </row>
    <row r="13" customFormat="false" ht="15" hidden="false" customHeight="false" outlineLevel="0" collapsed="false">
      <c r="A13" s="0" t="s">
        <v>56</v>
      </c>
      <c r="B13" s="11" t="n">
        <f aca="false">SUM(E10:I10)</f>
        <v>4799.39890074714</v>
      </c>
    </row>
    <row r="14" customFormat="false" ht="15" hidden="false" customHeight="false" outlineLevel="0" collapsed="false">
      <c r="A14" s="0" t="s">
        <v>57</v>
      </c>
      <c r="B14" s="11" t="n">
        <f aca="false">I8*(1+Assumptions!$B$10)/(Assumptions!$B$9-Assumptions!$B$10)</f>
        <v>19662.9073117146</v>
      </c>
    </row>
    <row r="15" customFormat="false" ht="15" hidden="false" customHeight="false" outlineLevel="0" collapsed="false">
      <c r="A15" s="0" t="s">
        <v>58</v>
      </c>
      <c r="B15" s="11" t="n">
        <f aca="false">B14/(1+Assumptions!$B$9)^5</f>
        <v>6707.16987786202</v>
      </c>
    </row>
    <row r="16" customFormat="false" ht="15" hidden="false" customHeight="false" outlineLevel="0" collapsed="false">
      <c r="A16" s="0" t="s">
        <v>59</v>
      </c>
      <c r="B16" s="12" t="n">
        <f aca="false">B13+B15</f>
        <v>11506.5687786092</v>
      </c>
    </row>
    <row r="17" customFormat="false" ht="15" hidden="false" customHeight="false" outlineLevel="0" collapsed="false">
      <c r="A17" s="0" t="s">
        <v>60</v>
      </c>
      <c r="B17" s="13" t="n">
        <f aca="false">B16/Assumptions!$B$5</f>
        <v>17.3005093649213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6.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3" customFormat="false" ht="15" hidden="false" customHeight="false" outlineLevel="0" collapsed="false">
      <c r="B3" s="16" t="s">
        <v>63</v>
      </c>
      <c r="C3" s="16" t="s">
        <v>64</v>
      </c>
      <c r="D3" s="16" t="s">
        <v>65</v>
      </c>
      <c r="E3" s="16" t="s">
        <v>21</v>
      </c>
      <c r="F3" s="16" t="s">
        <v>22</v>
      </c>
      <c r="G3" s="16" t="s">
        <v>23</v>
      </c>
      <c r="H3" s="16" t="s">
        <v>24</v>
      </c>
      <c r="I3" s="16" t="s">
        <v>25</v>
      </c>
    </row>
    <row r="4" customFormat="false" ht="15" hidden="false" customHeight="false" outlineLevel="0" collapsed="false">
      <c r="A4" s="0" t="s">
        <v>66</v>
      </c>
      <c r="B4" s="6" t="n">
        <v>17660</v>
      </c>
      <c r="C4" s="6" t="n">
        <v>24288</v>
      </c>
      <c r="D4" s="6" t="n">
        <v>26622</v>
      </c>
      <c r="E4" s="11" t="n">
        <f aca="false">D4*(1+Assumptions!E22)</f>
        <v>29816.64</v>
      </c>
      <c r="F4" s="11" t="n">
        <f aca="false">E4*(1+Assumptions!F22)</f>
        <v>33096.4704</v>
      </c>
      <c r="G4" s="11" t="n">
        <f aca="false">F4*(1+Assumptions!G22)</f>
        <v>36406.11744</v>
      </c>
      <c r="H4" s="11" t="n">
        <f aca="false">G4*(1+Assumptions!H22)</f>
        <v>40046.729184</v>
      </c>
      <c r="I4" s="11" t="n">
        <f aca="false">H4*(1+Assumptions!I22)</f>
        <v>43650.93481056</v>
      </c>
    </row>
    <row r="5" customFormat="false" ht="15" hidden="false" customHeight="false" outlineLevel="0" collapsed="false">
      <c r="A5" s="0" t="s">
        <v>67</v>
      </c>
      <c r="B5" s="6" t="n">
        <v>2550</v>
      </c>
      <c r="C5" s="6" t="n">
        <v>3103</v>
      </c>
      <c r="D5" s="6" t="n">
        <v>3195</v>
      </c>
      <c r="E5" s="11" t="n">
        <f aca="false">E4*Assumptions!E23</f>
        <v>3727.08</v>
      </c>
      <c r="F5" s="11" t="n">
        <f aca="false">F4*Assumptions!F23</f>
        <v>4236.3482112</v>
      </c>
      <c r="G5" s="11" t="n">
        <f aca="false">G4*Assumptions!G23</f>
        <v>4732.7952672</v>
      </c>
      <c r="H5" s="11" t="n">
        <f aca="false">H4*Assumptions!H23</f>
        <v>5286.168252288</v>
      </c>
      <c r="I5" s="11" t="n">
        <f aca="false">I4*Assumptions!I23</f>
        <v>5849.22526461504</v>
      </c>
    </row>
    <row r="6" customFormat="false" ht="15" hidden="false" customHeight="false" outlineLevel="0" collapsed="false">
      <c r="A6" s="0" t="s">
        <v>68</v>
      </c>
      <c r="B6" s="6" t="n">
        <v>705</v>
      </c>
      <c r="C6" s="6" t="n">
        <v>1000</v>
      </c>
      <c r="D6" s="6" t="n">
        <v>1065</v>
      </c>
      <c r="E6" s="11" t="n">
        <f aca="false">E4*Assumptions!E24</f>
        <v>1192.6656</v>
      </c>
      <c r="F6" s="11" t="n">
        <f aca="false">F4*Assumptions!F24</f>
        <v>1323.858816</v>
      </c>
      <c r="G6" s="11" t="n">
        <f aca="false">G4*Assumptions!G24</f>
        <v>1456.2446976</v>
      </c>
      <c r="H6" s="11" t="n">
        <f aca="false">H4*Assumptions!H24</f>
        <v>1601.86916736</v>
      </c>
      <c r="I6" s="11" t="n">
        <f aca="false">I4*Assumptions!I24</f>
        <v>1746.0373924224</v>
      </c>
    </row>
    <row r="7" customFormat="false" ht="15" hidden="false" customHeight="false" outlineLevel="0" collapsed="false">
      <c r="A7" s="0" t="s">
        <v>69</v>
      </c>
      <c r="B7" s="11" t="n">
        <f aca="false">B5-B6</f>
        <v>1845</v>
      </c>
      <c r="C7" s="11" t="n">
        <f aca="false">C5-C6</f>
        <v>2103</v>
      </c>
      <c r="D7" s="11" t="n">
        <f aca="false">D5-D6</f>
        <v>2130</v>
      </c>
      <c r="E7" s="11" t="n">
        <f aca="false">E5-E6</f>
        <v>2534.4144</v>
      </c>
      <c r="F7" s="11" t="n">
        <f aca="false">F5-F6</f>
        <v>2912.4893952</v>
      </c>
      <c r="G7" s="11" t="n">
        <f aca="false">G5-G6</f>
        <v>3276.5505696</v>
      </c>
      <c r="H7" s="11" t="n">
        <f aca="false">H5-H6</f>
        <v>3684.299084928</v>
      </c>
      <c r="I7" s="11" t="n">
        <f aca="false">I5-I6</f>
        <v>4103.18787219264</v>
      </c>
    </row>
    <row r="8" customFormat="false" ht="15" hidden="false" customHeight="false" outlineLevel="0" collapsed="false">
      <c r="A8" s="0" t="s">
        <v>70</v>
      </c>
      <c r="B8" s="6" t="n">
        <v>650</v>
      </c>
      <c r="C8" s="6" t="n">
        <v>700</v>
      </c>
      <c r="D8" s="6" t="n">
        <v>750</v>
      </c>
      <c r="E8" s="11" t="n">
        <f aca="false">E4*Assumptions!E25</f>
        <v>894.4992</v>
      </c>
      <c r="F8" s="11" t="n">
        <f aca="false">F4*Assumptions!F25</f>
        <v>992.894112</v>
      </c>
      <c r="G8" s="11" t="n">
        <f aca="false">G4*Assumptions!G25</f>
        <v>1092.1835232</v>
      </c>
      <c r="H8" s="11" t="n">
        <f aca="false">H4*Assumptions!H25</f>
        <v>1201.40187552</v>
      </c>
      <c r="I8" s="11" t="n">
        <f aca="false">I4*Assumptions!I25</f>
        <v>1309.5280443168</v>
      </c>
    </row>
    <row r="9" customFormat="false" ht="15" hidden="false" customHeight="false" outlineLevel="0" collapsed="false">
      <c r="A9" s="0" t="s">
        <v>71</v>
      </c>
      <c r="B9" s="11" t="n">
        <f aca="false">B7+B8</f>
        <v>2495</v>
      </c>
      <c r="C9" s="11" t="n">
        <f aca="false">C7+C8</f>
        <v>2803</v>
      </c>
      <c r="D9" s="11" t="n">
        <f aca="false">D7+D8</f>
        <v>2880</v>
      </c>
      <c r="E9" s="11" t="n">
        <f aca="false">E7+E8</f>
        <v>3428.9136</v>
      </c>
      <c r="F9" s="11" t="n">
        <f aca="false">F7+F8</f>
        <v>3905.3835072</v>
      </c>
      <c r="G9" s="11" t="n">
        <f aca="false">G7+G8</f>
        <v>4368.7340928</v>
      </c>
      <c r="H9" s="11" t="n">
        <f aca="false">H7+H8</f>
        <v>4885.700960448</v>
      </c>
      <c r="I9" s="11" t="n">
        <f aca="false">I7+I8</f>
        <v>5412.71591650944</v>
      </c>
    </row>
    <row r="10" customFormat="false" ht="15" hidden="false" customHeight="false" outlineLevel="0" collapsed="false">
      <c r="A10" s="0" t="s">
        <v>72</v>
      </c>
      <c r="B10" s="6" t="n">
        <v>465</v>
      </c>
      <c r="C10" s="6" t="n">
        <v>700</v>
      </c>
      <c r="D10" s="6" t="n">
        <v>1146</v>
      </c>
      <c r="E10" s="9" t="n">
        <f aca="false">Assumptions!E26</f>
        <v>900</v>
      </c>
      <c r="F10" s="9" t="n">
        <f aca="false">Assumptions!F26</f>
        <v>850</v>
      </c>
      <c r="G10" s="9" t="n">
        <f aca="false">Assumptions!G26</f>
        <v>800</v>
      </c>
      <c r="H10" s="9" t="n">
        <f aca="false">Assumptions!H26</f>
        <v>800</v>
      </c>
      <c r="I10" s="9" t="n">
        <f aca="false">Assumptions!I26</f>
        <v>800</v>
      </c>
    </row>
    <row r="11" customFormat="false" ht="15" hidden="false" customHeight="false" outlineLevel="0" collapsed="false">
      <c r="A11" s="0" t="s">
        <v>73</v>
      </c>
      <c r="B11" s="11" t="n">
        <f aca="false">B7+B10</f>
        <v>2310</v>
      </c>
      <c r="C11" s="11" t="n">
        <f aca="false">C7+C10</f>
        <v>2803</v>
      </c>
      <c r="D11" s="11" t="n">
        <f aca="false">D7+D10</f>
        <v>3276</v>
      </c>
      <c r="E11" s="11" t="n">
        <f aca="false">E7+E10</f>
        <v>3434.4144</v>
      </c>
      <c r="F11" s="11" t="n">
        <f aca="false">F7+F10</f>
        <v>3762.4893952</v>
      </c>
      <c r="G11" s="11" t="n">
        <f aca="false">G7+G10</f>
        <v>4076.5505696</v>
      </c>
      <c r="H11" s="11" t="n">
        <f aca="false">H7+H10</f>
        <v>4484.299084928</v>
      </c>
      <c r="I11" s="11" t="n">
        <f aca="false">I7+I10</f>
        <v>4903.18787219264</v>
      </c>
    </row>
    <row r="12" customFormat="false" ht="15" hidden="false" customHeight="false" outlineLevel="0" collapsed="false">
      <c r="A12" s="0" t="s">
        <v>74</v>
      </c>
      <c r="B12" s="11" t="n">
        <f aca="false">B11-B13</f>
        <v>570</v>
      </c>
      <c r="C12" s="11" t="n">
        <f aca="false">C11-C13</f>
        <v>611</v>
      </c>
      <c r="D12" s="11" t="n">
        <f aca="false">D11-D13</f>
        <v>1087</v>
      </c>
      <c r="E12" s="11" t="n">
        <f aca="false">E11*Assumptions!$B$11</f>
        <v>961.636032</v>
      </c>
      <c r="F12" s="11" t="n">
        <f aca="false">F11*Assumptions!$B$11</f>
        <v>1053.497030656</v>
      </c>
      <c r="G12" s="11" t="n">
        <f aca="false">G11*Assumptions!$B$11</f>
        <v>1141.434159488</v>
      </c>
      <c r="H12" s="11" t="n">
        <f aca="false">H11*Assumptions!$B$11</f>
        <v>1255.60374377984</v>
      </c>
      <c r="I12" s="11" t="n">
        <f aca="false">I11*Assumptions!$B$11</f>
        <v>1372.89260421394</v>
      </c>
    </row>
    <row r="13" customFormat="false" ht="15" hidden="false" customHeight="false" outlineLevel="0" collapsed="false">
      <c r="A13" s="0" t="s">
        <v>49</v>
      </c>
      <c r="B13" s="6" t="n">
        <v>1740</v>
      </c>
      <c r="C13" s="6" t="n">
        <v>2192</v>
      </c>
      <c r="D13" s="6" t="n">
        <v>2189</v>
      </c>
      <c r="E13" s="11" t="n">
        <f aca="false">E11-E12</f>
        <v>2472.778368</v>
      </c>
      <c r="F13" s="11" t="n">
        <f aca="false">F11-F12</f>
        <v>2708.992364544</v>
      </c>
      <c r="G13" s="11" t="n">
        <f aca="false">G11-G12</f>
        <v>2935.116410112</v>
      </c>
      <c r="H13" s="11" t="n">
        <f aca="false">H11-H12</f>
        <v>3228.69534114816</v>
      </c>
      <c r="I13" s="11" t="n">
        <f aca="false">I11-I12</f>
        <v>3530.2952679787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</cols>
  <sheetData>
    <row r="1" customFormat="false" ht="16.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3" customFormat="false" ht="15" hidden="false" customHeight="false" outlineLevel="0" collapsed="false">
      <c r="B3" s="16" t="s">
        <v>63</v>
      </c>
      <c r="C3" s="16" t="s">
        <v>64</v>
      </c>
      <c r="D3" s="16" t="s">
        <v>65</v>
      </c>
      <c r="E3" s="16" t="s">
        <v>21</v>
      </c>
      <c r="F3" s="16" t="s">
        <v>22</v>
      </c>
      <c r="G3" s="16" t="s">
        <v>23</v>
      </c>
      <c r="H3" s="16" t="s">
        <v>24</v>
      </c>
      <c r="I3" s="16" t="s">
        <v>25</v>
      </c>
    </row>
    <row r="4" customFormat="false" ht="15" hidden="false" customHeight="false" outlineLevel="0" collapsed="false">
      <c r="A4" s="0" t="s">
        <v>77</v>
      </c>
      <c r="B4" s="6" t="n">
        <v>4950</v>
      </c>
      <c r="C4" s="6" t="n">
        <v>6800</v>
      </c>
      <c r="D4" s="6" t="n">
        <v>7450</v>
      </c>
      <c r="E4" s="9" t="n">
        <f aca="false">'Income Statement'!E4*Assumptions!E28</f>
        <v>8348.6592</v>
      </c>
      <c r="F4" s="9" t="n">
        <f aca="false">'Income Statement'!F4*Assumptions!F28</f>
        <v>9267.011712</v>
      </c>
      <c r="G4" s="9" t="n">
        <f aca="false">'Income Statement'!G4*Assumptions!G28</f>
        <v>10193.7128832</v>
      </c>
      <c r="H4" s="9" t="n">
        <f aca="false">'Income Statement'!H4*Assumptions!H28</f>
        <v>11213.08417152</v>
      </c>
      <c r="I4" s="9" t="n">
        <f aca="false">'Income Statement'!I4*Assumptions!I28</f>
        <v>12222.2617469568</v>
      </c>
    </row>
    <row r="5" customFormat="false" ht="15" hidden="false" customHeight="false" outlineLevel="0" collapsed="false">
      <c r="A5" s="0" t="s">
        <v>78</v>
      </c>
      <c r="B5" s="6" t="n">
        <v>6500</v>
      </c>
      <c r="C5" s="6" t="n">
        <v>6800</v>
      </c>
      <c r="D5" s="6" t="n">
        <v>7100</v>
      </c>
      <c r="E5" s="9" t="n">
        <f aca="false">D5+'Income Statement'!E4*Assumptions!E27-'Income Statement'!E8</f>
        <v>7249.0832</v>
      </c>
      <c r="F5" s="9" t="n">
        <f aca="false">E5+'Income Statement'!F4*Assumptions!F27-'Income Statement'!F8</f>
        <v>7414.565552</v>
      </c>
      <c r="G5" s="9" t="n">
        <f aca="false">F5+'Income Statement'!G4*Assumptions!G27-'Income Statement'!G8</f>
        <v>7596.5961392</v>
      </c>
      <c r="H5" s="9" t="n">
        <f aca="false">G5+'Income Statement'!H4*Assumptions!H27-'Income Statement'!H8</f>
        <v>7796.82978512</v>
      </c>
      <c r="I5" s="9" t="n">
        <f aca="false">H5+'Income Statement'!I4*Assumptions!I27-'Income Statement'!I8</f>
        <v>8015.0844591728</v>
      </c>
    </row>
    <row r="6" customFormat="false" ht="15" hidden="false" customHeight="false" outlineLevel="0" collapsed="false">
      <c r="A6" s="0" t="s">
        <v>79</v>
      </c>
      <c r="B6" s="6" t="n">
        <v>4700</v>
      </c>
      <c r="C6" s="6" t="n">
        <v>5200</v>
      </c>
      <c r="D6" s="6" t="n">
        <v>5500</v>
      </c>
      <c r="E6" s="11" t="n">
        <f aca="false">D6</f>
        <v>5500</v>
      </c>
      <c r="F6" s="11" t="n">
        <f aca="false">E6</f>
        <v>5500</v>
      </c>
      <c r="G6" s="11" t="n">
        <f aca="false">F6</f>
        <v>5500</v>
      </c>
      <c r="H6" s="11" t="n">
        <f aca="false">G6</f>
        <v>5500</v>
      </c>
      <c r="I6" s="11" t="n">
        <f aca="false">H6</f>
        <v>5500</v>
      </c>
    </row>
    <row r="7" customFormat="false" ht="15" hidden="false" customHeight="false" outlineLevel="0" collapsed="false">
      <c r="A7" s="0" t="s">
        <v>80</v>
      </c>
      <c r="B7" s="6" t="n">
        <v>2800</v>
      </c>
      <c r="C7" s="6" t="n">
        <v>3200</v>
      </c>
      <c r="D7" s="6" t="n">
        <v>3500</v>
      </c>
      <c r="E7" s="9" t="n">
        <f aca="false">D7+'Cash Flow'!E10</f>
        <v>3927.385968</v>
      </c>
      <c r="F7" s="9" t="n">
        <f aca="false">E7+'Cash Flow'!F10</f>
        <v>4554.893468544</v>
      </c>
      <c r="G7" s="9" t="n">
        <f aca="false">F7+'Cash Flow'!G10</f>
        <v>5383.628120256</v>
      </c>
      <c r="H7" s="9" t="n">
        <f aca="false">G7+'Cash Flow'!H10</f>
        <v>6395.06852716416</v>
      </c>
      <c r="I7" s="9" t="n">
        <f aca="false">H7+'Cash Flow'!I10</f>
        <v>7700.28154565326</v>
      </c>
    </row>
    <row r="8" customFormat="false" ht="15" hidden="false" customHeight="false" outlineLevel="0" collapsed="false">
      <c r="A8" s="0" t="s">
        <v>81</v>
      </c>
      <c r="B8" s="6" t="n">
        <v>10600</v>
      </c>
      <c r="C8" s="6" t="n">
        <v>12200</v>
      </c>
      <c r="D8" s="6" t="n">
        <v>13400</v>
      </c>
      <c r="E8" s="9" t="n">
        <f aca="false">D8+'Income Statement'!E13+'Cash Flow'!E9</f>
        <v>14875.128368</v>
      </c>
      <c r="F8" s="9" t="n">
        <f aca="false">E8+'Income Statement'!F13+'Cash Flow'!F9</f>
        <v>16586.470732544</v>
      </c>
      <c r="G8" s="9" t="n">
        <f aca="false">F8+'Income Statement'!G13+'Cash Flow'!G9</f>
        <v>18523.937142656</v>
      </c>
      <c r="H8" s="9" t="n">
        <f aca="false">G8+'Income Statement'!H13+'Cash Flow'!H9</f>
        <v>20754.9824838042</v>
      </c>
      <c r="I8" s="9" t="n">
        <f aca="false">H8+'Income Statement'!I13+'Cash Flow'!I9</f>
        <v>23287.6277517829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</cols>
  <sheetData>
    <row r="1" customFormat="false" ht="16.1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3" customFormat="false" ht="15" hidden="false" customHeight="false" outlineLevel="0" collapsed="false">
      <c r="B3" s="16" t="s">
        <v>63</v>
      </c>
      <c r="C3" s="16" t="s">
        <v>64</v>
      </c>
      <c r="D3" s="16" t="s">
        <v>65</v>
      </c>
      <c r="E3" s="16" t="s">
        <v>21</v>
      </c>
      <c r="F3" s="16" t="s">
        <v>22</v>
      </c>
      <c r="G3" s="16" t="s">
        <v>23</v>
      </c>
      <c r="H3" s="16" t="s">
        <v>24</v>
      </c>
      <c r="I3" s="16" t="s">
        <v>25</v>
      </c>
    </row>
    <row r="4" customFormat="false" ht="15" hidden="false" customHeight="false" outlineLevel="0" collapsed="false">
      <c r="A4" s="0" t="s">
        <v>49</v>
      </c>
      <c r="B4" s="9" t="n">
        <f aca="false">'Income Statement'!B13</f>
        <v>1740</v>
      </c>
      <c r="C4" s="9" t="n">
        <f aca="false">'Income Statement'!C13</f>
        <v>2192</v>
      </c>
      <c r="D4" s="9" t="n">
        <f aca="false">'Income Statement'!D13</f>
        <v>2189</v>
      </c>
      <c r="E4" s="9" t="n">
        <f aca="false">'Income Statement'!E13</f>
        <v>2472.778368</v>
      </c>
      <c r="F4" s="9" t="n">
        <f aca="false">'Income Statement'!F13</f>
        <v>2708.992364544</v>
      </c>
      <c r="G4" s="9" t="n">
        <f aca="false">'Income Statement'!G13</f>
        <v>2935.116410112</v>
      </c>
      <c r="H4" s="9" t="n">
        <f aca="false">'Income Statement'!H13</f>
        <v>3228.69534114816</v>
      </c>
      <c r="I4" s="9" t="n">
        <f aca="false">'Income Statement'!I13</f>
        <v>3530.2952679787</v>
      </c>
    </row>
    <row r="5" customFormat="false" ht="15" hidden="false" customHeight="false" outlineLevel="0" collapsed="false">
      <c r="A5" s="0" t="s">
        <v>50</v>
      </c>
      <c r="B5" s="9" t="n">
        <f aca="false">'Income Statement'!B8</f>
        <v>650</v>
      </c>
      <c r="C5" s="9" t="n">
        <f aca="false">'Income Statement'!C8</f>
        <v>700</v>
      </c>
      <c r="D5" s="9" t="n">
        <f aca="false">'Income Statement'!D8</f>
        <v>750</v>
      </c>
      <c r="E5" s="9" t="n">
        <f aca="false">'Income Statement'!E8</f>
        <v>894.4992</v>
      </c>
      <c r="F5" s="9" t="n">
        <f aca="false">'Income Statement'!F8</f>
        <v>992.894112</v>
      </c>
      <c r="G5" s="9" t="n">
        <f aca="false">'Income Statement'!G8</f>
        <v>1092.1835232</v>
      </c>
      <c r="H5" s="9" t="n">
        <f aca="false">'Income Statement'!H8</f>
        <v>1201.40187552</v>
      </c>
      <c r="I5" s="9" t="n">
        <f aca="false">'Income Statement'!I8</f>
        <v>1309.5280443168</v>
      </c>
    </row>
    <row r="6" customFormat="false" ht="15" hidden="false" customHeight="false" outlineLevel="0" collapsed="false">
      <c r="A6" s="0" t="s">
        <v>84</v>
      </c>
      <c r="B6" s="11" t="n">
        <v>0</v>
      </c>
      <c r="C6" s="9" t="n">
        <f aca="false">-('Balance Sheet'!C4-'Balance Sheet'!B4)</f>
        <v>-1850</v>
      </c>
      <c r="D6" s="9" t="n">
        <f aca="false">-('Balance Sheet'!D4-'Balance Sheet'!C4)</f>
        <v>-650</v>
      </c>
      <c r="E6" s="9" t="n">
        <f aca="false">-('Balance Sheet'!E4-'Balance Sheet'!D4)</f>
        <v>-898.659200000002</v>
      </c>
      <c r="F6" s="9" t="n">
        <f aca="false">-('Balance Sheet'!F4-'Balance Sheet'!E4)</f>
        <v>-918.352512000001</v>
      </c>
      <c r="G6" s="9" t="n">
        <f aca="false">-('Balance Sheet'!G4-'Balance Sheet'!F4)</f>
        <v>-926.7011712</v>
      </c>
      <c r="H6" s="9" t="n">
        <f aca="false">-('Balance Sheet'!H4-'Balance Sheet'!G4)</f>
        <v>-1019.37128832</v>
      </c>
      <c r="I6" s="9" t="n">
        <f aca="false">-('Balance Sheet'!I4-'Balance Sheet'!H4)</f>
        <v>-1009.1775754368</v>
      </c>
    </row>
    <row r="7" customFormat="false" ht="15" hidden="false" customHeight="false" outlineLevel="0" collapsed="false">
      <c r="A7" s="0" t="s">
        <v>85</v>
      </c>
      <c r="B7" s="11" t="n">
        <f aca="false">B4+B5+B6</f>
        <v>2390</v>
      </c>
      <c r="C7" s="11" t="n">
        <f aca="false">C4+C5+C6</f>
        <v>1042</v>
      </c>
      <c r="D7" s="11" t="n">
        <f aca="false">D4+D5+D6</f>
        <v>2289</v>
      </c>
      <c r="E7" s="11" t="n">
        <f aca="false">E4+E5+E6</f>
        <v>2468.618368</v>
      </c>
      <c r="F7" s="11" t="n">
        <f aca="false">F4+F5+F6</f>
        <v>2783.533964544</v>
      </c>
      <c r="G7" s="11" t="n">
        <f aca="false">G4+G5+G6</f>
        <v>3100.598762112</v>
      </c>
      <c r="H7" s="11" t="n">
        <f aca="false">H4+H5+H6</f>
        <v>3410.72592834816</v>
      </c>
      <c r="I7" s="11" t="n">
        <f aca="false">I4+I5+I6</f>
        <v>3830.6457368587</v>
      </c>
    </row>
    <row r="8" customFormat="false" ht="15" hidden="false" customHeight="false" outlineLevel="0" collapsed="false">
      <c r="A8" s="0" t="s">
        <v>51</v>
      </c>
      <c r="B8" s="6" t="n">
        <v>-620</v>
      </c>
      <c r="C8" s="6" t="n">
        <v>-780</v>
      </c>
      <c r="D8" s="6" t="n">
        <v>-900</v>
      </c>
      <c r="E8" s="9" t="n">
        <f aca="false">-'Income Statement'!E4*Assumptions!E27</f>
        <v>-1043.5824</v>
      </c>
      <c r="F8" s="9" t="n">
        <f aca="false">-'Income Statement'!F4*Assumptions!F27</f>
        <v>-1158.376464</v>
      </c>
      <c r="G8" s="9" t="n">
        <f aca="false">-'Income Statement'!G4*Assumptions!G27</f>
        <v>-1274.2141104</v>
      </c>
      <c r="H8" s="9" t="n">
        <f aca="false">-'Income Statement'!H4*Assumptions!H27</f>
        <v>-1401.63552144</v>
      </c>
      <c r="I8" s="9" t="n">
        <f aca="false">-'Income Statement'!I4*Assumptions!I27</f>
        <v>-1527.7827183696</v>
      </c>
    </row>
    <row r="9" customFormat="false" ht="15" hidden="false" customHeight="false" outlineLevel="0" collapsed="false">
      <c r="A9" s="0" t="s">
        <v>86</v>
      </c>
      <c r="B9" s="6" t="n">
        <v>-558</v>
      </c>
      <c r="C9" s="6" t="n">
        <v>-1060</v>
      </c>
      <c r="D9" s="6" t="n">
        <v>-998</v>
      </c>
      <c r="E9" s="9" t="n">
        <f aca="false">-1.5*Assumptions!$B$5</f>
        <v>-997.65</v>
      </c>
      <c r="F9" s="9" t="n">
        <f aca="false">-1.5*Assumptions!$B$5</f>
        <v>-997.65</v>
      </c>
      <c r="G9" s="9" t="n">
        <f aca="false">-1.5*Assumptions!$B$5</f>
        <v>-997.65</v>
      </c>
      <c r="H9" s="9" t="n">
        <f aca="false">-1.5*Assumptions!$B$5</f>
        <v>-997.65</v>
      </c>
      <c r="I9" s="9" t="n">
        <f aca="false">-1.5*Assumptions!$B$5</f>
        <v>-997.65</v>
      </c>
    </row>
    <row r="10" customFormat="false" ht="15" hidden="false" customHeight="false" outlineLevel="0" collapsed="false">
      <c r="A10" s="0" t="s">
        <v>87</v>
      </c>
      <c r="B10" s="11" t="n">
        <f aca="false">B7+B8+B9</f>
        <v>1212</v>
      </c>
      <c r="C10" s="11" t="n">
        <f aca="false">C7+C8+C9</f>
        <v>-798</v>
      </c>
      <c r="D10" s="11" t="n">
        <f aca="false">D7+D8+D9</f>
        <v>391</v>
      </c>
      <c r="E10" s="11" t="n">
        <f aca="false">E7+E8+E9</f>
        <v>427.385967999998</v>
      </c>
      <c r="F10" s="11" t="n">
        <f aca="false">F7+F8+F9</f>
        <v>627.507500543999</v>
      </c>
      <c r="G10" s="11" t="n">
        <f aca="false">G7+G8+G9</f>
        <v>828.734651712</v>
      </c>
      <c r="H10" s="11" t="n">
        <f aca="false">H7+H8+H9</f>
        <v>1011.44040690816</v>
      </c>
      <c r="I10" s="11" t="n">
        <f aca="false">I7+I8+I9</f>
        <v>1305.2130184891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</cols>
  <sheetData>
    <row r="1" customFormat="false" ht="16.15" hidden="false" customHeight="false" outlineLevel="0" collapsed="false">
      <c r="A1" s="1" t="s">
        <v>88</v>
      </c>
    </row>
    <row r="2" customFormat="false" ht="15" hidden="false" customHeight="false" outlineLevel="0" collapsed="false">
      <c r="A2" s="2" t="s">
        <v>89</v>
      </c>
    </row>
    <row r="3" customFormat="false" ht="15" hidden="false" customHeight="false" outlineLevel="0" collapsed="false">
      <c r="B3" s="16" t="s">
        <v>63</v>
      </c>
      <c r="C3" s="16" t="s">
        <v>64</v>
      </c>
      <c r="D3" s="16" t="s">
        <v>65</v>
      </c>
      <c r="E3" s="16" t="s">
        <v>21</v>
      </c>
      <c r="F3" s="16" t="s">
        <v>22</v>
      </c>
      <c r="G3" s="16" t="s">
        <v>23</v>
      </c>
      <c r="H3" s="16" t="s">
        <v>24</v>
      </c>
      <c r="I3" s="16" t="s">
        <v>25</v>
      </c>
    </row>
    <row r="4" customFormat="false" ht="15" hidden="false" customHeight="false" outlineLevel="0" collapsed="false">
      <c r="A4" s="0" t="s">
        <v>66</v>
      </c>
      <c r="B4" s="9" t="n">
        <f aca="false">'Income Statement'!B4</f>
        <v>17660</v>
      </c>
      <c r="C4" s="9" t="n">
        <f aca="false">'Income Statement'!C4</f>
        <v>24288</v>
      </c>
      <c r="D4" s="9" t="n">
        <f aca="false">'Income Statement'!D4</f>
        <v>26622</v>
      </c>
      <c r="E4" s="9" t="n">
        <f aca="false">'Income Statement'!E4</f>
        <v>29816.64</v>
      </c>
      <c r="F4" s="9" t="n">
        <f aca="false">'Income Statement'!F4</f>
        <v>33096.4704</v>
      </c>
      <c r="G4" s="9" t="n">
        <f aca="false">'Income Statement'!G4</f>
        <v>36406.11744</v>
      </c>
      <c r="H4" s="9" t="n">
        <f aca="false">'Income Statement'!H4</f>
        <v>40046.729184</v>
      </c>
      <c r="I4" s="9" t="n">
        <f aca="false">'Income Statement'!I4</f>
        <v>43650.93481056</v>
      </c>
    </row>
    <row r="5" customFormat="false" ht="15" hidden="false" customHeight="false" outlineLevel="0" collapsed="false">
      <c r="A5" s="0" t="s">
        <v>67</v>
      </c>
      <c r="B5" s="9" t="n">
        <f aca="false">'Income Statement'!B5</f>
        <v>2550</v>
      </c>
      <c r="C5" s="9" t="n">
        <f aca="false">'Income Statement'!C5</f>
        <v>3103</v>
      </c>
      <c r="D5" s="9" t="n">
        <f aca="false">'Income Statement'!D5</f>
        <v>3195</v>
      </c>
      <c r="E5" s="9" t="n">
        <f aca="false">'Income Statement'!E5</f>
        <v>3727.08</v>
      </c>
      <c r="F5" s="9" t="n">
        <f aca="false">'Income Statement'!F5</f>
        <v>4236.3482112</v>
      </c>
      <c r="G5" s="9" t="n">
        <f aca="false">'Income Statement'!G5</f>
        <v>4732.7952672</v>
      </c>
      <c r="H5" s="9" t="n">
        <f aca="false">'Income Statement'!H5</f>
        <v>5286.168252288</v>
      </c>
      <c r="I5" s="9" t="n">
        <f aca="false">'Income Statement'!I5</f>
        <v>5849.22526461504</v>
      </c>
    </row>
    <row r="6" customFormat="false" ht="15" hidden="false" customHeight="false" outlineLevel="0" collapsed="false">
      <c r="A6" s="0" t="s">
        <v>71</v>
      </c>
      <c r="B6" s="9" t="n">
        <f aca="false">'Income Statement'!B9</f>
        <v>2495</v>
      </c>
      <c r="C6" s="9" t="n">
        <f aca="false">'Income Statement'!C9</f>
        <v>2803</v>
      </c>
      <c r="D6" s="9" t="n">
        <f aca="false">'Income Statement'!D9</f>
        <v>2880</v>
      </c>
      <c r="E6" s="9" t="n">
        <f aca="false">'Income Statement'!E9</f>
        <v>3428.9136</v>
      </c>
      <c r="F6" s="9" t="n">
        <f aca="false">'Income Statement'!F9</f>
        <v>3905.3835072</v>
      </c>
      <c r="G6" s="9" t="n">
        <f aca="false">'Income Statement'!G9</f>
        <v>4368.7340928</v>
      </c>
      <c r="H6" s="9" t="n">
        <f aca="false">'Income Statement'!H9</f>
        <v>4885.700960448</v>
      </c>
      <c r="I6" s="9" t="n">
        <f aca="false">'Income Statement'!I9</f>
        <v>5412.71591650944</v>
      </c>
    </row>
    <row r="7" customFormat="false" ht="15" hidden="false" customHeight="false" outlineLevel="0" collapsed="false">
      <c r="A7" s="0" t="s">
        <v>49</v>
      </c>
      <c r="B7" s="9" t="n">
        <f aca="false">'Income Statement'!B13</f>
        <v>1740</v>
      </c>
      <c r="C7" s="9" t="n">
        <f aca="false">'Income Statement'!C13</f>
        <v>2192</v>
      </c>
      <c r="D7" s="9" t="n">
        <f aca="false">'Income Statement'!D13</f>
        <v>2189</v>
      </c>
      <c r="E7" s="9" t="n">
        <f aca="false">'Income Statement'!E13</f>
        <v>2472.778368</v>
      </c>
      <c r="F7" s="9" t="n">
        <f aca="false">'Income Statement'!F13</f>
        <v>2708.992364544</v>
      </c>
      <c r="G7" s="9" t="n">
        <f aca="false">'Income Statement'!G13</f>
        <v>2935.116410112</v>
      </c>
      <c r="H7" s="9" t="n">
        <f aca="false">'Income Statement'!H13</f>
        <v>3228.69534114816</v>
      </c>
      <c r="I7" s="9" t="n">
        <f aca="false">'Income Statement'!I13</f>
        <v>3530.2952679787</v>
      </c>
    </row>
    <row r="8" customFormat="false" ht="15" hidden="false" customHeight="false" outlineLevel="0" collapsed="false">
      <c r="A8" s="0" t="s">
        <v>77</v>
      </c>
      <c r="B8" s="9" t="n">
        <f aca="false">'Balance Sheet'!B4</f>
        <v>4950</v>
      </c>
      <c r="C8" s="9" t="n">
        <f aca="false">'Balance Sheet'!C4</f>
        <v>6800</v>
      </c>
      <c r="D8" s="9" t="n">
        <f aca="false">'Balance Sheet'!D4</f>
        <v>7450</v>
      </c>
      <c r="E8" s="9" t="n">
        <f aca="false">'Balance Sheet'!E4</f>
        <v>8348.6592</v>
      </c>
      <c r="F8" s="9" t="n">
        <f aca="false">'Balance Sheet'!F4</f>
        <v>9267.011712</v>
      </c>
      <c r="G8" s="9" t="n">
        <f aca="false">'Balance Sheet'!G4</f>
        <v>10193.7128832</v>
      </c>
      <c r="H8" s="9" t="n">
        <f aca="false">'Balance Sheet'!H4</f>
        <v>11213.08417152</v>
      </c>
      <c r="I8" s="9" t="n">
        <f aca="false">'Balance Sheet'!I4</f>
        <v>12222.2617469568</v>
      </c>
    </row>
    <row r="9" customFormat="false" ht="15" hidden="false" customHeight="false" outlineLevel="0" collapsed="false">
      <c r="A9" s="0" t="s">
        <v>90</v>
      </c>
      <c r="B9" s="9" t="n">
        <f aca="false">'Balance Sheet'!B8</f>
        <v>10600</v>
      </c>
      <c r="C9" s="9" t="n">
        <f aca="false">'Balance Sheet'!C8</f>
        <v>12200</v>
      </c>
      <c r="D9" s="9" t="n">
        <f aca="false">'Balance Sheet'!D8</f>
        <v>13400</v>
      </c>
      <c r="E9" s="9" t="n">
        <f aca="false">'Balance Sheet'!E8</f>
        <v>14875.128368</v>
      </c>
      <c r="F9" s="9" t="n">
        <f aca="false">'Balance Sheet'!F8</f>
        <v>16586.470732544</v>
      </c>
      <c r="G9" s="9" t="n">
        <f aca="false">'Balance Sheet'!G8</f>
        <v>18523.937142656</v>
      </c>
      <c r="H9" s="9" t="n">
        <f aca="false">'Balance Sheet'!H8</f>
        <v>20754.9824838042</v>
      </c>
      <c r="I9" s="9" t="n">
        <f aca="false">'Balance Sheet'!I8</f>
        <v>23287.6277517829</v>
      </c>
    </row>
    <row r="10" customFormat="false" ht="15" hidden="false" customHeight="false" outlineLevel="0" collapsed="false">
      <c r="A10" s="0" t="s">
        <v>85</v>
      </c>
      <c r="B10" s="9" t="n">
        <f aca="false">'Cash Flow'!B7</f>
        <v>2390</v>
      </c>
      <c r="C10" s="9" t="n">
        <f aca="false">'Cash Flow'!C7</f>
        <v>1042</v>
      </c>
      <c r="D10" s="9" t="n">
        <f aca="false">'Cash Flow'!D7</f>
        <v>2289</v>
      </c>
      <c r="E10" s="9" t="n">
        <f aca="false">'Cash Flow'!E7</f>
        <v>2468.618368</v>
      </c>
      <c r="F10" s="9" t="n">
        <f aca="false">'Cash Flow'!F7</f>
        <v>2783.533964544</v>
      </c>
      <c r="G10" s="9" t="n">
        <f aca="false">'Cash Flow'!G7</f>
        <v>3100.598762112</v>
      </c>
      <c r="H10" s="9" t="n">
        <f aca="false">'Cash Flow'!H7</f>
        <v>3410.72592834816</v>
      </c>
      <c r="I10" s="9" t="n">
        <f aca="false">'Cash Flow'!I7</f>
        <v>3830.6457368587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3" customFormat="false" ht="15" hidden="false" customHeight="false" outlineLevel="0" collapsed="false">
      <c r="A3" s="4" t="s">
        <v>93</v>
      </c>
      <c r="B3" s="4" t="s">
        <v>94</v>
      </c>
      <c r="C3" s="4" t="s">
        <v>95</v>
      </c>
      <c r="D3" s="4" t="s">
        <v>96</v>
      </c>
      <c r="E3" s="4" t="s">
        <v>97</v>
      </c>
      <c r="F3" s="4" t="s">
        <v>98</v>
      </c>
    </row>
    <row r="4" customFormat="false" ht="15" hidden="false" customHeight="false" outlineLevel="0" collapsed="false">
      <c r="A4" s="0" t="s">
        <v>99</v>
      </c>
      <c r="B4" s="3" t="n">
        <f aca="false">Assumptions!$B$4*0.91</f>
        <v>20.3294</v>
      </c>
      <c r="C4" s="3" t="n">
        <f aca="false">Assumptions!$B$4*0.96</f>
        <v>21.4464</v>
      </c>
      <c r="D4" s="3" t="n">
        <f aca="false">Assumptions!$B$4*1</f>
        <v>22.34</v>
      </c>
      <c r="E4" s="3" t="n">
        <f aca="false">Assumptions!$B$4*1.04</f>
        <v>23.2336</v>
      </c>
      <c r="F4" s="3" t="n">
        <f aca="false">Assumptions!$B$4*1.1</f>
        <v>24.574</v>
      </c>
    </row>
    <row r="5" customFormat="false" ht="15" hidden="false" customHeight="false" outlineLevel="0" collapsed="false">
      <c r="A5" s="0" t="s">
        <v>100</v>
      </c>
      <c r="B5" s="3" t="n">
        <f aca="false">Assumptions!$B$4*0.85</f>
        <v>18.989</v>
      </c>
      <c r="C5" s="3" t="n">
        <f aca="false">Assumptions!$B$4*0.93</f>
        <v>20.7762</v>
      </c>
      <c r="D5" s="3" t="n">
        <f aca="false">Assumptions!$B$4*1</f>
        <v>22.34</v>
      </c>
      <c r="E5" s="3" t="n">
        <f aca="false">Assumptions!$B$4*1.07</f>
        <v>23.9038</v>
      </c>
      <c r="F5" s="3" t="n">
        <f aca="false">Assumptions!$B$4*1.18</f>
        <v>26.3612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3" customFormat="false" ht="15" hidden="false" customHeight="false" outlineLevel="0" collapsed="false">
      <c r="A3" s="4" t="s">
        <v>103</v>
      </c>
      <c r="B3" s="4" t="s">
        <v>104</v>
      </c>
      <c r="C3" s="4" t="s">
        <v>105</v>
      </c>
      <c r="D3" s="4" t="s">
        <v>106</v>
      </c>
    </row>
    <row r="4" customFormat="false" ht="15" hidden="false" customHeight="false" outlineLevel="0" collapsed="false">
      <c r="A4" s="4" t="s">
        <v>107</v>
      </c>
      <c r="B4" s="17" t="n">
        <f aca="false">DCF!$B$17*(1+(-0.02--0.02)*2.2)</f>
        <v>17.3005093649213</v>
      </c>
      <c r="C4" s="17" t="n">
        <f aca="false">DCF!$B$17*(1+(0--0.02)*2.2)</f>
        <v>18.0617317769778</v>
      </c>
      <c r="D4" s="17" t="n">
        <f aca="false">DCF!$B$17*(1+(0.02--0.02)*2.2)</f>
        <v>18.8229541890344</v>
      </c>
    </row>
    <row r="5" customFormat="false" ht="15" hidden="false" customHeight="false" outlineLevel="0" collapsed="false">
      <c r="A5" s="4" t="s">
        <v>108</v>
      </c>
      <c r="B5" s="17" t="n">
        <f aca="false">DCF!$B$17*(1+(-0.02-0)*2.2)</f>
        <v>16.5392869528648</v>
      </c>
      <c r="C5" s="17" t="n">
        <f aca="false">DCF!$B$17*(1+(0-0)*2.2)</f>
        <v>17.3005093649213</v>
      </c>
      <c r="D5" s="17" t="n">
        <f aca="false">DCF!$B$17*(1+(0.02-0)*2.2)</f>
        <v>18.0617317769778</v>
      </c>
    </row>
    <row r="6" customFormat="false" ht="15" hidden="false" customHeight="false" outlineLevel="0" collapsed="false">
      <c r="A6" s="4" t="s">
        <v>109</v>
      </c>
      <c r="B6" s="17" t="n">
        <f aca="false">DCF!$B$17*(1+(-0.02-0.02)*2.2)</f>
        <v>15.7780645408082</v>
      </c>
      <c r="C6" s="17" t="n">
        <f aca="false">DCF!$B$17*(1+(0-0.02)*2.2)</f>
        <v>16.5392869528648</v>
      </c>
      <c r="D6" s="17" t="n">
        <f aca="false">DCF!$B$17*(1+(0.02-0.02)*2.2)</f>
        <v>17.3005093649213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</cols>
  <sheetData>
    <row r="1" customFormat="false" ht="16.15" hidden="false" customHeight="false" outlineLevel="0" collapsed="false">
      <c r="A1" s="1" t="s">
        <v>110</v>
      </c>
    </row>
    <row r="3" customFormat="false" ht="15" hidden="false" customHeight="false" outlineLevel="0" collapsed="false">
      <c r="A3" s="0" t="s">
        <v>3</v>
      </c>
      <c r="B3" s="17" t="n">
        <f aca="false">Assumptions!$B$4</f>
        <v>22.34</v>
      </c>
    </row>
    <row r="4" customFormat="false" ht="15" hidden="false" customHeight="false" outlineLevel="0" collapsed="false">
      <c r="A4" s="0" t="s">
        <v>111</v>
      </c>
      <c r="B4" s="17" t="n">
        <f aca="false">'Income Statement'!D13/Assumptions!$B$5</f>
        <v>3.29123440084198</v>
      </c>
    </row>
    <row r="5" customFormat="false" ht="15" hidden="false" customHeight="false" outlineLevel="0" collapsed="false">
      <c r="A5" s="0" t="s">
        <v>112</v>
      </c>
      <c r="B5" s="17" t="n">
        <f aca="false">'Income Statement'!E13/Assumptions!$B$5</f>
        <v>3.71790462787551</v>
      </c>
    </row>
    <row r="6" customFormat="false" ht="15" hidden="false" customHeight="false" outlineLevel="0" collapsed="false">
      <c r="A6" s="0" t="s">
        <v>113</v>
      </c>
      <c r="B6" s="18" t="n">
        <f aca="false">B3/B5</f>
        <v>6.00876091132159</v>
      </c>
    </row>
    <row r="7" customFormat="false" ht="15" hidden="false" customHeight="false" outlineLevel="0" collapsed="false">
      <c r="A7" s="0" t="s">
        <v>114</v>
      </c>
      <c r="B7" s="19" t="n">
        <f aca="false">1.5/B3</f>
        <v>0.0671441360787825</v>
      </c>
    </row>
    <row r="8" customFormat="false" ht="15" hidden="false" customHeight="false" outlineLevel="0" collapsed="false">
      <c r="A8" s="0" t="s">
        <v>4</v>
      </c>
      <c r="B8" s="17" t="n">
        <f aca="false">DCF!B17</f>
        <v>17.3005093649213</v>
      </c>
    </row>
    <row r="9" customFormat="false" ht="15" hidden="false" customHeight="false" outlineLevel="0" collapsed="false">
      <c r="A9" s="0" t="s">
        <v>115</v>
      </c>
      <c r="B9" s="17" t="n">
        <f aca="false">SOTP!B9</f>
        <v>21.2013014584273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6.1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2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2026-07-02T16:30:58Z</dcterms:created>
  <dc:creator>openpyxl</dc:creator>
  <dc:description/>
  <dc:language>en-US</dc:language>
  <cp:lastModifiedBy/>
  <dcterms:modified xsi:type="dcterms:W3CDTF">2026-07-02T16:30:58Z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