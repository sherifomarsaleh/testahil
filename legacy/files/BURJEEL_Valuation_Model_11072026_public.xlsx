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Assumptions" sheetId="3" state="visible" r:id="rId5"/>
    <sheet name="Income Statement" sheetId="4" state="visible" r:id="rId6"/>
    <sheet name="Balance Sheet" sheetId="5" state="visible" r:id="rId7"/>
    <sheet name="Cash Flow &amp; FCFF" sheetId="6" state="visible" r:id="rId8"/>
    <sheet name="DCF" sheetId="7" state="visible" r:id="rId9"/>
    <sheet name="DDM" sheetId="8" state="visible" r:id="rId10"/>
    <sheet name="Relative &amp; Normalized" sheetId="9" state="visible" r:id="rId11"/>
    <sheet name="WACC" sheetId="10" state="visible" r:id="rId12"/>
    <sheet name="Sensitivity" sheetId="11" state="visible" r:id="rId13"/>
    <sheet name="Monte Carlo" sheetId="12" state="visible" r:id="rId14"/>
    <sheet name="Technical" sheetId="13" state="visible" r:id="rId15"/>
    <sheet name="Sweep Register" sheetId="14" state="visible" r:id="rId16"/>
    <sheet name="Calibration &amp; Ledger" sheetId="15" state="visible" r:id="rId17"/>
    <sheet name="Experts" sheetId="16" state="visible" r:id="rId18"/>
    <sheet name="Segments &amp; KPIs" sheetId="17" state="visible" r:id="rId19"/>
    <sheet name="Per-Share &amp; Ratios" sheetId="18" state="visible" r:id="rId20"/>
    <sheet name="Quarterly &amp; Track Record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<sst xmlns="http://schemas.openxmlformats.org/spreadsheetml/2006/main" count="689" uniqueCount="565">
  <si>
    <t xml:space="preserve">Burjeel Holdings PLC (ADX: BURJEEL) — Valuation Model — 11 July 2026</t>
  </si>
  <si>
    <t xml:space="preserve">What this file is. The companion Excel to the Testahil valuation study of Burjeel Holdings dated 11-Jul-2026. It shows every number in the study as a live, linked calculation: change a blue input on the Assumptions sheet and the DCF, the lenses, the bridge and the per-share values recalculate.</t>
  </si>
  <si>
    <t xml:space="preserve">What this file is NOT. Not investment advice, not a recommendation, not a price target. Testahil publishes fair-value ranges and probability distributions only. The preparer is unlicensed; see the six-clause Disclosure in the study.</t>
  </si>
  <si>
    <t xml:space="preserve">Colour convention. BLUE = hardcoded input or judgment lever (edit these). BLACK = formula. GREEN = link to another sheet. Every hardcoded input carries its source in the adjacent column; unsourced judgments are logged to the Fundamental Driver Ledger (tags d1–d9 on Assumptions).</t>
  </si>
  <si>
    <t xml:space="preserve">Two clocks. Section-1 fair values are ~12-month fundamental reads. The Monte-Carlo sheet is a genuine 3-month (T+20/T+60 session) price distribution whose centre is the money-market carry — the fundamental gap NEVER enters the MC drift. Do not average the two.</t>
  </si>
  <si>
    <t xml:space="preserve">Calibration honesty. BURJEEL scores PARITY in the pre-publication calibration backtest (skill +0.85%, 90% CI [-1.7%, +2.5%], 11 windows) under the live UAE panel fit (t(10), width x1.049, carry-only). Parity tier means: calibrated and market-panel validated, no demonstrated single-name edge. The Calibration sheet holds the full window table; the public Ledger grades the T+20/T+60 cohorts when they mature (07-Aug-2026 / 02-Oct-2026).</t>
  </si>
  <si>
    <t xml:space="preserve">Provenance. All financial-statement line items are from official company sources only (FY2023 release 6-Mar-2024; FY2024 release 5-Mar-2025; H1-2025 release 6-Aug-2025; FY2025 release &amp; MD&amp;A 4-Mar-2026; Q1-2026 release 6-May-2026; ADX filings). Peer marks are broker/Bloomberg-sourced and dated in the Register.</t>
  </si>
  <si>
    <t xml:space="preserve">REVISION (rev. 2, 12-Jul-2026, pre-publication): tax rebuilt on Pillar-Two mechanics (10→13% effective path; 15% flat = bear rung); relative multiples recalibrated to verified peer marks (11.5x / 17x bases); disclosure notes added. MC, calibration and grading dates unchanged.</t>
  </si>
  <si>
    <t xml:space="preserve">Data quality. The OHLC series passed the pre-study data-quality gate: 937 rows, 0 repairs, 0 placeholder rows, max |1-day log move| inside the ADX ±15% limit envelope, 250.4 rows/yr vs the ADX Mon–Fri calendar.</t>
  </si>
  <si>
    <t xml:space="preserve">Valuation summary — every read at a glance</t>
  </si>
  <si>
    <t xml:space="preserve">AED per share · spot and lens values link live</t>
  </si>
  <si>
    <t xml:space="preserve">Spot (10-Jul-2026 close)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</si>
  <si>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</si>
  <si>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</si>
  <si>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</si>
  <si>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</si>
  <si>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</si>
  <si>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One-line read</t>
  </si>
  <si>
    <t xml:space="preserve">FCFF DCF (primary)</t>
  </si>
  <si>
    <t xml:space="preserve">Five guided years + 2.5% terminal at the dual-basis WACC; TV 83% of EV, disclosed</t>
  </si>
  <si>
    <t xml:space="preserve">Relative EV/EBITDA</t>
  </si>
  <si>
    <t xml:space="preserve">9.5–13.0x FY26E pre-IFRS-16 EBITDA — discount to the verified peer floor, same net-debt bridge</t>
  </si>
  <si>
    <t xml:space="preserve">Normalized earnings</t>
  </si>
  <si>
    <t xml:space="preserve">Clean FY26E EPS x 14–20x GCC healthcare band</t>
  </si>
  <si>
    <t xml:space="preserve">Dividend discount (policy lens)</t>
  </si>
  <si>
    <t xml:space="preserve">What a holder actually receives while payout sits at ~25%</t>
  </si>
  <si>
    <t xml:space="preserve">Weighted central</t>
  </si>
  <si>
    <t xml:space="preserve">Bear 1.10 · base 1.73 · bull 2.28 vs spot 1.11 — the market trades the bear case</t>
  </si>
  <si>
    <t xml:space="preserve">Monte Carlo (3-month clock)</t>
  </si>
  <si>
    <t xml:space="preserve">P5</t>
  </si>
  <si>
    <t xml:space="preserve">P50</t>
  </si>
  <si>
    <t xml:space="preserve">P95</t>
  </si>
  <si>
    <t xml:space="preserve">P(up)</t>
  </si>
  <si>
    <t xml:space="preserve">T+20 (grades 07-Aug-2026)</t>
  </si>
  <si>
    <t xml:space="preserve">T+60 (grades 02-Oct-2026)</t>
  </si>
  <si>
    <t xml:space="preserve">Calibration: PARITY (+0.85% skill, CI [-1.69%, +2.53%], 11 windows, cov90 91%) — parity tier under the UAE panel gate</t>
  </si>
  <si>
    <t xml:space="preserve">Assumptions — every blue cell is a lever</t>
  </si>
  <si>
    <t xml:space="preserve">Sources inline; d-tags log to the Fundamental Driver Ledger</t>
  </si>
  <si>
    <t xml:space="preserve">Anchor &amp; structure</t>
  </si>
  <si>
    <t xml:space="preserve">Anchor date</t>
  </si>
  <si>
    <t xml:space="preserve">2026-07-10</t>
  </si>
  <si>
    <t xml:space="preserve">Last close in the uploaded OHLC (10-Jul-2026, Friday)</t>
  </si>
  <si>
    <t xml:space="preserve">Spot (AED)</t>
  </si>
  <si>
    <t xml:space="preserve">Uploaded ADX series, quality-gated</t>
  </si>
  <si>
    <t xml:space="preserve">Shares outstanding (mn)</t>
  </si>
  <si>
    <t xml:space="preserve">d1 — derived: AED 521mn share capital / AED 0.10 par (FY25 PR); EPS cross-check 475/5,210 = 0.091 ✓</t>
  </si>
  <si>
    <t xml:space="preserve">Net debt ex-leases (AED mn)</t>
  </si>
  <si>
    <t xml:space="preserve">FY25 MD&amp;A: borrowings 1,918 − cash 281</t>
  </si>
  <si>
    <t xml:space="preserve">IFRS-16 lease liabilities (AED mn)</t>
  </si>
  <si>
    <t xml:space="preserve">FY25 MD&amp;A (dual-framed: net debt incl leases 2,828)</t>
  </si>
  <si>
    <t xml:space="preserve">Non-controlling interests (AED mn)</t>
  </si>
  <si>
    <t xml:space="preserve">FY25 balance sheet</t>
  </si>
  <si>
    <t xml:space="preserve">FY25 DPS (AED)</t>
  </si>
  <si>
    <t xml:space="preserve">AED 120mn approved 17-Apr-2026 AGM (~24% payout)</t>
  </si>
  <si>
    <t xml:space="preserve">Forecast drivers (base case)</t>
  </si>
  <si>
    <t xml:space="preserve">Driver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</si>
  <si>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</si>
  <si>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</si>
  <si>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</si>
  <si>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</si>
  <si>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</si>
  <si>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Source / gate</t>
  </si>
  <si>
    <t xml:space="preserve">Revenue growth</t>
  </si>
  <si>
    <t xml:space="preserve">n1 bottom-up-lite: guidance “low double-digit CAGR” (FY25 MD&amp;A) · Q1-26 +9.7% ex-UPP</t>
  </si>
  <si>
    <t xml:space="preserve">EBITDA margin (underlying)</t>
  </si>
  <si>
    <t xml:space="preserve">n2 CRUX: guided “low-20s blended”; FY25 underlying 18.5% (1,017/5,486, ex AED-72mn one-off)</t>
  </si>
  <si>
    <t xml:space="preserve">D&amp;A % of revenue</t>
  </si>
  <si>
    <t xml:space="preserve">d2 — FY25 = 7.04%; drifts down on asset-light KSA mix</t>
  </si>
  <si>
    <t xml:space="preserve">Growth capex (AED mn)</t>
  </si>
  <si>
    <t xml:space="preserve">n3 guidance: AED 1.0bn mid-term, 25–30% deployed 2026; taper as pipeline delivers</t>
  </si>
  <si>
    <t xml:space="preserve">Maintenance capex % rev</t>
  </si>
  <si>
    <t xml:space="preserve">n4 guidance: “~2.5% of revenue”</t>
  </si>
  <si>
    <t xml:space="preserve">ΔWC % of Δrevenue</t>
  </si>
  <si>
    <t xml:space="preserve">d3 — NWC/rev 24% (recv 2,057 − pay 738); DSO 135d, mild normalization assumed</t>
  </si>
  <si>
    <t xml:space="preserve">Lease payments growth</t>
  </si>
  <si>
    <t xml:space="preserve">d4 — FY25 rentals AED 162mn; below-revenue growth on asset-light mix</t>
  </si>
  <si>
    <t xml:space="preserve">Tax, terminal, lenses</t>
  </si>
  <si>
    <t xml:space="preserve">Tax rate — effective path FY26E→30E (Pillar-Two)</t>
  </si>
  <si>
    <t xml:space="preserve">n5 CRUX: top-up applies only to post-SBIE excess profit (carve-outs 9.4%/7.4% in 2026 → 5%/5% by 2033); FY25 actual ETR 7.0%; 15% flat = bear rung</t>
  </si>
  <si>
    <t xml:space="preserve">Tax rate — bull (exclusion / safe-harbour persists)</t>
  </si>
  <si>
    <t xml:space="preserve">Initial-phase exclusion or transitional CbCR safe harbour; bear rung = 15% flat (scenario cells on DCF sheet)</t>
  </si>
  <si>
    <t xml:space="preserve">Terminal growth g</t>
  </si>
  <si>
    <t xml:space="preserve">d5 — UAE CPI ~2.5% (IMF 2026); nominal AED</t>
  </si>
  <si>
    <t xml:space="preserve">EV/EBITDA band bear/base/bull</t>
  </si>
  <si>
    <t xml:space="preserve">9.5 / 11.5 / 13.0</t>
  </si>
  <si>
    <t xml:space="preserve">d6 — verified peer floor ~13x (MEH; Hammadi 17.5x, Mouwasat 18–19x, Dallah 22–26x, Al Habib 24–34x, dated in Register); base = discount to the floor</t>
  </si>
  <si>
    <t xml:space="preserve">P/E band bear/base/bull</t>
  </si>
  <si>
    <t xml:space="preserve">14 / 17 / 20</t>
  </si>
  <si>
    <t xml:space="preserve">d6 — same peer set on earnings</t>
  </si>
  <si>
    <t xml:space="preserve">FY26E finance costs (AED mn)</t>
  </si>
  <si>
    <t xml:space="preserve">d7 — bank ~106 + USD-sukuk incremental net of refi + lease interest ~58; marginal Kd = 7.00% Jun-26 sukuk</t>
  </si>
  <si>
    <t xml:space="preserve">Attributable share of profit</t>
  </si>
  <si>
    <t xml:space="preserve">d8 — FY25 attributable 475/503</t>
  </si>
  <si>
    <t xml:space="preserve">Income statement — three reported, five modelled (AED mn)</t>
  </si>
  <si>
    <t xml:space="preserve">AED mn</t>
  </si>
  <si>
    <t xml:space="preserve">FY2023</t>
  </si>
  <si>
    <t xml:space="preserve">FY2024</t>
  </si>
  <si>
    <t xml:space="preserve">FY2025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</si>
  <si>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</si>
  <si>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</si>
  <si>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</si>
  <si>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</si>
  <si>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</si>
  <si>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Source</t>
  </si>
  <si>
    <t xml:space="preserve">Revenue</t>
  </si>
  <si>
    <t xml:space="preserve">FY23–25 all official results releases (6-Mar-24 / 5-Mar-25 / 4-Mar-26)</t>
  </si>
  <si>
    <t xml:space="preserve">EBITDA — underlying</t>
  </si>
  <si>
    <t xml:space="preserve">Company ex-one-offs basis: FY23 ex FV gains; FY24 ex FY23-bonus drag; FY25 ex 72 Medeor gain</t>
  </si>
  <si>
    <t xml:space="preserve">EBITDA — as reported</t>
  </si>
  <si>
    <t xml:space="preserve">Dual framing: pre-IFRS-16 FY25 = 926 (co. leverage basis)</t>
  </si>
  <si>
    <t xml:space="preserve">D&amp;A</t>
  </si>
  <si>
    <t xml:space="preserve">EBIT</t>
  </si>
  <si>
    <t xml:space="preserve">Net finance costs</t>
  </si>
  <si>
    <t xml:space="preserve">FY26E d7; held flat thereafter (sukuk fixed 7.00%)</t>
  </si>
  <si>
    <t xml:space="preserve">Profit before tax — underlying</t>
  </si>
  <si>
    <t xml:space="preserve">One-off items (EBITDA level)</t>
  </si>
  <si>
    <t xml:space="preserve">FY23 +15 FV gains; FY24 −51 bonus drag; FY25 +72 Medeor — reconciles und→reported</t>
  </si>
  <si>
    <t xml:space="preserve">Profit before tax — reported</t>
  </si>
  <si>
    <t xml:space="preserve">ties officials: 540 / 399 / 541</t>
  </si>
  <si>
    <t xml:space="preserve">Income tax</t>
  </si>
  <si>
    <t xml:space="preserve">FY23 pre-CT (first taxed year FY24); forecast on the 10→13% Pillar-Two path (Assumptions B23:F23)</t>
  </si>
  <si>
    <t xml:space="preserve">Net profit</t>
  </si>
  <si>
    <t xml:space="preserve">computed — ties officials: 540 / 360 / 503</t>
  </si>
  <si>
    <t xml:space="preserve">Attributable to owners</t>
  </si>
  <si>
    <t xml:space="preserve">EPS (AED)</t>
  </si>
  <si>
    <t xml:space="preserve">Balance sheet anchors — 31-Dec-2025 (AED mn)</t>
  </si>
  <si>
    <t xml:space="preserve">Official FY2025 statements; forecast BS not modelled — the DCF bridge uses these anchors</t>
  </si>
  <si>
    <t xml:space="preserve">Item</t>
  </si>
  <si>
    <t xml:space="preserve">Note</t>
  </si>
  <si>
    <t xml:space="preserve">Interest-bearing borrowings</t>
  </si>
  <si>
    <t xml:space="preserve">Current 429 + non-current 1,489; Jun-26 USD 500mn sukuk (AED 1,836) is post-period</t>
  </si>
  <si>
    <t xml:space="preserve">Cash &amp; bank balances</t>
  </si>
  <si>
    <t xml:space="preserve">Net debt — ex leases</t>
  </si>
  <si>
    <t xml:space="preserve">Company leverage basis: 1.8x pre-IFRS-16 EBITDA</t>
  </si>
  <si>
    <t xml:space="preserve">IFRS-16 lease liabilities</t>
  </si>
  <si>
    <t xml:space="preserve">Current 123 + non-current 1,068</t>
  </si>
  <si>
    <t xml:space="preserve">Net debt — incl leases</t>
  </si>
  <si>
    <t xml:space="preserve">Dual framing: 2.6x reported EBITDA</t>
  </si>
  <si>
    <t xml:space="preserve">Total equity (incl NCI)</t>
  </si>
  <si>
    <t xml:space="preserve">Non-controlling interests</t>
  </si>
  <si>
    <t xml:space="preserve">Trade receivables</t>
  </si>
  <si>
    <t xml:space="preserve">DSO 135 days (was 123) — WC crux input d3</t>
  </si>
  <si>
    <t xml:space="preserve">Trade payables</t>
  </si>
  <si>
    <t xml:space="preserve">DPO 211 days</t>
  </si>
  <si>
    <t xml:space="preserve">Goodwill</t>
  </si>
  <si>
    <t xml:space="preserve">ACOC acquisition</t>
  </si>
  <si>
    <t xml:space="preserve">Debt maturity (AED mn): 2026: 83 · 2027: 346 · 2028: 414 · 2029: 526 · 2030: 340 · 2031: 208 (pre-sukuk)</t>
  </si>
  <si>
    <t xml:space="preserve">Cash flow — FY2025 reported, and the modelled FCFF drivers (AED mn)</t>
  </si>
  <si>
    <t xml:space="preserve">Operating cash flow</t>
  </si>
  <si>
    <t xml:space="preserve">Reported; −19.5% on WC outflows</t>
  </si>
  <si>
    <t xml:space="preserve">Capex — total</t>
  </si>
  <si>
    <t xml:space="preserve">FY25: growth 448 + maintenance 136</t>
  </si>
  <si>
    <t xml:space="preserve">ΔWC (modelled)</t>
  </si>
  <si>
    <t xml:space="preserve">d3</t>
  </si>
  <si>
    <t xml:space="preserve">Lease payments</t>
  </si>
  <si>
    <t xml:space="preserve">FY25 rentals; grows at d4</t>
  </si>
  <si>
    <t xml:space="preserve">Company-defined FCF</t>
  </si>
  <si>
    <t xml:space="preserve">41% conversion (FY25 PR)</t>
  </si>
  <si>
    <t xml:space="preserve">FCFF DCF — the full waterfall, Revenue to PV (AED mn; base case)</t>
  </si>
  <si>
    <t xml:space="preserve">Waterfall</t>
  </si>
  <si>
    <t xml:space="preserve">EBITDA</t>
  </si>
  <si>
    <t xml:space="preserve">− D&amp;A</t>
  </si>
  <si>
    <t xml:space="preserve">− Tax on EBIT (10.0→13.0% path)</t>
  </si>
  <si>
    <t xml:space="preserve">NOPAT</t>
  </si>
  <si>
    <t xml:space="preserve">+ D&amp;A</t>
  </si>
  <si>
    <t xml:space="preserve">− Capex</t>
  </si>
  <si>
    <t xml:space="preserve">− ΔWC</t>
  </si>
  <si>
    <t xml:space="preserve">− Lease payments</t>
  </si>
  <si>
    <t xml:space="preserve">FCFF</t>
  </si>
  <si>
    <t xml:space="preserve">Discount factor</t>
  </si>
  <si>
    <t xml:space="preserve">PV of FCFF</t>
  </si>
  <si>
    <t xml:space="preserve">Sum of PV, FY26–30E</t>
  </si>
  <si>
    <t xml:space="preserve">Terminal FCFF x (1+g)</t>
  </si>
  <si>
    <t xml:space="preserve">Terminal value (Gordon)</t>
  </si>
  <si>
    <t xml:space="preserve">PV of terminal value</t>
  </si>
  <si>
    <t xml:space="preserve">Enterprise value</t>
  </si>
  <si>
    <t xml:space="preserve">TV 83% of EV — long-duration valuation, disclosed deliberately; §1.9 stresses it</t>
  </si>
  <si>
    <t xml:space="preserve">TV as % of EV</t>
  </si>
  <si>
    <t xml:space="preserve">− Net debt (ex leases)</t>
  </si>
  <si>
    <t xml:space="preserve">− NCI</t>
  </si>
  <si>
    <t xml:space="preserve">Equity value</t>
  </si>
  <si>
    <t xml:space="preserve">Per share — base (AED)</t>
  </si>
  <si>
    <t xml:space="preserve">Base per share (link)</t>
  </si>
  <si>
    <t xml:space="preserve">Bear per share</t>
  </si>
  <si>
    <t xml:space="preserve">Bear: growth 8→6%, margin stuck 19%, WACC 9.30%, g 2.0% — engine-computed scenario</t>
  </si>
  <si>
    <t xml:space="preserve">Bull per share</t>
  </si>
  <si>
    <t xml:space="preserve">Bull: KSA PPP lands, growth 13→10%, margin to 23.5%, tax 9%, g 3.0%</t>
  </si>
  <si>
    <t xml:space="preserve">Base at peg-parity WACC 8.80%</t>
  </si>
  <si>
    <t xml:space="preserve">Dual-rf basis disclosed (US10Y + UAE spread); primary is the AED-sovereign basis</t>
  </si>
  <si>
    <t xml:space="preserve">Dividend discount — the policy lens (AED per share)</t>
  </si>
  <si>
    <t xml:space="preserve">DPS growth</t>
  </si>
  <si>
    <t xml:space="preserve">d9 — payout normalizes from ~25% toward the stated 40–70% policy floor</t>
  </si>
  <si>
    <t xml:space="preserve">DPS (AED)</t>
  </si>
  <si>
    <t xml:space="preserve">PV of DPS</t>
  </si>
  <si>
    <t xml:space="preserve">Terminal g</t>
  </si>
  <si>
    <t xml:space="preserve">Terminal value / share (PV)</t>
  </si>
  <si>
    <t xml:space="preserve">DDM value — base</t>
  </si>
  <si>
    <t xml:space="preserve">Bear (flat 0.02, Ke+50bp)</t>
  </si>
  <si>
    <t xml:space="preserve">Bull (payout step-up, g 3.5%)</t>
  </si>
  <si>
    <t xml:space="preserve">Reading: far below spot by construction — Burjeel retains ~75% of earnings for the build-out; the DDM refuses to credit reinvestment until it arrives as dividends. Weighted 15% for exactly that reason.</t>
  </si>
  <si>
    <t xml:space="preserve">Relative EV/EBITDA and normalized-earnings lenses</t>
  </si>
  <si>
    <t xml:space="preserve">FY26E pre-IFRS-16 EBITDA (AED mn)</t>
  </si>
  <si>
    <t xml:space="preserve">Same basis as the company leverage metric; same bridge as the DCF</t>
  </si>
  <si>
    <t xml:space="preserve">EV/EBITDA</t>
  </si>
  <si>
    <t xml:space="preserve">base multiple x per-share</t>
  </si>
  <si>
    <t xml:space="preserve">bear multiple x per-share</t>
  </si>
  <si>
    <t xml:space="preserve">bull multiple x per-share</t>
  </si>
  <si>
    <t xml:space="preserve">d6 band: BURJEEL trades ~8.4x (aggregator-flagged); Saudi premium tier 24x+ (Al Habib); UAE float discount held</t>
  </si>
  <si>
    <t xml:space="preserve">Clean FY26E EPS</t>
  </si>
  <si>
    <t xml:space="preserve">P/E applied</t>
  </si>
  <si>
    <t xml:space="preserve">base P/E x value</t>
  </si>
  <si>
    <t xml:space="preserve">bear P/E x value</t>
  </si>
  <si>
    <t xml:space="preserve">bull P/E x value</t>
  </si>
  <si>
    <t xml:space="preserve">Implied-multiple discipline check</t>
  </si>
  <si>
    <t xml:space="preserve">Value (AED/sh)</t>
  </si>
  <si>
    <t xml:space="preserve">Implied EV/EBITDA</t>
  </si>
  <si>
    <t xml:space="preserve">Implied P/E</t>
  </si>
  <si>
    <t xml:space="preserve">Spot</t>
  </si>
  <si>
    <t xml:space="preserve">Relative base</t>
  </si>
  <si>
    <t xml:space="preserve">DCF base</t>
  </si>
  <si>
    <t xml:space="preserve">Peer set (aggregator-flagged)</t>
  </si>
  <si>
    <t xml:space="preserve">Name</t>
  </si>
  <si>
    <t xml:space="preserve">P/E</t>
  </si>
  <si>
    <t xml:space="preserve">Dr. Sulaiman Al Habib</t>
  </si>
  <si>
    <t xml:space="preserve">~24x</t>
  </si>
  <si>
    <t xml:space="preserve">~31x</t>
  </si>
  <si>
    <t xml:space="preserve">premium tier: 25%+ margins, deep float</t>
  </si>
  <si>
    <t xml:space="preserve">Dallah Healthcare</t>
  </si>
  <si>
    <t xml:space="preserve">n/d</t>
  </si>
  <si>
    <t xml:space="preserve">~25x</t>
  </si>
  <si>
    <t xml:space="preserve">Mouwasat</t>
  </si>
  <si>
    <t xml:space="preserve">high-teens</t>
  </si>
  <si>
    <t xml:space="preserve">~20x+</t>
  </si>
  <si>
    <t xml:space="preserve">PureHealth</t>
  </si>
  <si>
    <t xml:space="preserve">n/m</t>
  </si>
  <si>
    <t xml:space="preserve">payer+provider aggregator, not a clean comp</t>
  </si>
  <si>
    <t xml:space="preserve">NMC (delisted)</t>
  </si>
  <si>
    <t xml:space="preserve">—</t>
  </si>
  <si>
    <t xml:space="preserve">the cautionary precedent the UAE discount remembers</t>
  </si>
  <si>
    <t xml:space="preserve">Burjeel</t>
  </si>
  <si>
    <t xml:space="preserve">~8.4x</t>
  </si>
  <si>
    <t xml:space="preserve">~12x</t>
  </si>
  <si>
    <t xml:space="preserve">the discount this study prices</t>
  </si>
  <si>
    <t xml:space="preserve">Cost of capital — bottom-up, dual risk-free basis</t>
  </si>
  <si>
    <t xml:space="preserve">Risk-free — AED basis (primary)</t>
  </si>
  <si>
    <t xml:space="preserve">Longest AED sovereign: ~7yr T-Sukuk Feb-2033 ≈3.78–3.90% (MoF auctions); no 10yr AED bond exists — house rule: local-currency sovereign, never a USD shortcut</t>
  </si>
  <si>
    <t xml:space="preserve">Risk-free — peg-parity basis</t>
  </si>
  <si>
    <t xml:space="preserve">US 10Y ~4.55% + UAE Aa2 spread ~20bp — disclosed alongside, per the dual-basis rule</t>
  </si>
  <si>
    <t xml:space="preserve">Equity risk premium (Damodaran)</t>
  </si>
  <si>
    <t xml:space="preserve">Original NYU Stern dataset, 5-Jan-2026: mature 4.23% + UAE CRP 0.66% = 4.99%</t>
  </si>
  <si>
    <t xml:space="preserve">Beta</t>
  </si>
  <si>
    <t xml:space="preserve">Regression genuinely attempted and FAILED the usability gate: no ADX General Index daily series reachable this session (adx.ae outside sandbox; aggregator betas 0.21–0.80 inconsistent, thin 15% float). Default 1.0; grid 0.8–1.3 in §1.9</t>
  </si>
  <si>
    <t xml:space="preserve">Cost of equity — AED basis</t>
  </si>
  <si>
    <t xml:space="preserve">Cost of equity — parity basis</t>
  </si>
  <si>
    <t xml:space="preserve">Pre-tax cost of debt</t>
  </si>
  <si>
    <t xml:space="preserve">Marginal: USD 500mn 5yr sukuk priced 7.000% (Jun-2026, BB+/Ba2); blended existing ~6.8% implied</t>
  </si>
  <si>
    <t xml:space="preserve">Kd tax shield — marginal rate</t>
  </si>
  <si>
    <t xml:space="preserve">Held at 15% (the top-up binds at the margin); the 10→13% effective path applies to EBIT — conservative on the rate side</t>
  </si>
  <si>
    <t xml:space="preserve">E (mkt, AED mn) / D (AED mn)</t>
  </si>
  <si>
    <t xml:space="preserve">D = 1,918 borrowings (31-Dec-25)</t>
  </si>
  <si>
    <t xml:space="preserve">Weight of equity</t>
  </si>
  <si>
    <t xml:space="preserve">WACC — AED basis (primary)</t>
  </si>
  <si>
    <t xml:space="preserve">WACC — peg-parity basis</t>
  </si>
  <si>
    <t xml:space="preserve">Per-share sensitivity — engine-computed grids (AED)</t>
  </si>
  <si>
    <t xml:space="preserve">WACC \ terminal g</t>
  </si>
  <si>
    <t xml:space="preserve">Grid re-solves the full DCF per cell (compute_burjeel.py); centre cell = base</t>
  </si>
  <si>
    <t xml:space="preserve">THE CRUX — tax x FY30E margin</t>
  </si>
  <si>
    <t xml:space="preserve">tax 9%</t>
  </si>
  <si>
    <t xml:space="preserve">Vs the 10→13% path base: exclusion +0.15/share; flat 15% −0.09; rows are flat-rate scenarios</t>
  </si>
  <si>
    <t xml:space="preserve">tax 15% (DMTT)</t>
  </si>
  <si>
    <t xml:space="preserve">Beta grid</t>
  </si>
  <si>
    <t xml:space="preserve">DCF/share</t>
  </si>
  <si>
    <t xml:space="preserve">Monte Carlo — carry-anchored YZ-HAR-t, 50,000 paths, seed 42</t>
  </si>
  <si>
    <t xml:space="preserve">Genuine 3-month clock; centre = money-market carry, never the fundamental gap</t>
  </si>
  <si>
    <t xml:space="preserve">Horizon</t>
  </si>
  <si>
    <t xml:space="preserve">P25</t>
  </si>
  <si>
    <t xml:space="preserve">P75</t>
  </si>
  <si>
    <t xml:space="preserve">P(±5%)</t>
  </si>
  <si>
    <t xml:space="preserve">P(±10%)</t>
  </si>
  <si>
    <t xml:space="preserve">σ_H</t>
  </si>
  <si>
    <t xml:space="preserve">T+20 sessions</t>
  </si>
  <si>
    <t xml:space="preserve">30/28</t>
  </si>
  <si>
    <t xml:space="preserve">16/13</t>
  </si>
  <si>
    <t xml:space="preserve">T+60 sessions</t>
  </si>
  <si>
    <t xml:space="preserve">39/37</t>
  </si>
  <si>
    <t xml:space="preserve">29/25</t>
  </si>
  <si>
    <t xml:space="preserve">Drift decomposition (T+60, log)</t>
  </si>
  <si>
    <t xml:space="preserve">rf carry (CBUAE 3.63%)</t>
  </si>
  <si>
    <t xml:space="preserve">− dividend yield (1.80%)</t>
  </si>
  <si>
    <t xml:space="preserve">signal alpha (OFF per live AE profile)</t>
  </si>
  <si>
    <t xml:space="preserve">total drift</t>
  </si>
  <si>
    <t xml:space="preserve">Touch ladder (60d)</t>
  </si>
  <si>
    <t xml:space="preserve">touch 1.40</t>
  </si>
  <si>
    <t xml:space="preserve">Engine: mc_v3.py, live AE profile t(10) x1.049 width, carry-only. Cohorts grade 07-Aug-2026 (T+20) and 02-Oct-2026 (T+60) on the public Ledger against these frozen percentiles.</t>
  </si>
  <si>
    <t xml:space="preserve">touch 1.30</t>
  </si>
  <si>
    <t xml:space="preserve">touch 1.25</t>
  </si>
  <si>
    <t xml:space="preserve">touch 1.20</t>
  </si>
  <si>
    <t xml:space="preserve">touch 1.15</t>
  </si>
  <si>
    <t xml:space="preserve">touch 1.05</t>
  </si>
  <si>
    <t xml:space="preserve">touch 1.00</t>
  </si>
  <si>
    <t xml:space="preserve">touch 0.95</t>
  </si>
  <si>
    <t xml:space="preserve">touch 0.90</t>
  </si>
  <si>
    <t xml:space="preserve">Technical &amp; price structure — 10-Jul-2026 close</t>
  </si>
  <si>
    <t xml:space="preserve">52-week high / low</t>
  </si>
  <si>
    <t xml:space="preserve">1.57 / 1.00</t>
  </si>
  <si>
    <t xml:space="preserve">SMA20 / 50</t>
  </si>
  <si>
    <t xml:space="preserve">1.131 / 1.090</t>
  </si>
  <si>
    <t xml:space="preserve">Price vs stack read in §2</t>
  </si>
  <si>
    <t xml:space="preserve">SMA100 / 200</t>
  </si>
  <si>
    <t xml:space="preserve">1.127 / 1.228</t>
  </si>
  <si>
    <t xml:space="preserve">RSI(14)</t>
  </si>
  <si>
    <t xml:space="preserve">MACD / signal / hist</t>
  </si>
  <si>
    <t xml:space="preserve">0.0060 / 0.0121 / -0.0061</t>
  </si>
  <si>
    <t xml:space="preserve">MACD close 12 26 9 — histogram sign is the momentum read</t>
  </si>
  <si>
    <t xml:space="preserve">YTD / 1-yr return</t>
  </si>
  <si>
    <t xml:space="preserve">-15.3% / -24.5%</t>
  </si>
  <si>
    <t xml:space="preserve">vs IPO 2.00 / vs ATH 3.55</t>
  </si>
  <si>
    <t xml:space="preserve">-44% / -69%</t>
  </si>
  <si>
    <t xml:space="preserve">Oct-2022 IPO; 27-Nov-2023 high</t>
  </si>
  <si>
    <t xml:space="preserve">Realized vol (annualized, full history)</t>
  </si>
  <si>
    <t xml:space="preserve">30.8%</t>
  </si>
  <si>
    <t xml:space="preserve">a 30%-vol stock on a ~15% float — sizing beats timing</t>
  </si>
  <si>
    <t xml:space="preserve">Max drawdown / current</t>
  </si>
  <si>
    <t xml:space="preserve">-71% / -68%</t>
  </si>
  <si>
    <t xml:space="preserve">the whole post-2023 de-rating is still in the price</t>
  </si>
  <si>
    <t xml:space="preserve">All-time low</t>
  </si>
  <si>
    <t xml:space="preserve">1.01 on 07-Apr-2026</t>
  </si>
  <si>
    <t xml:space="preserve">the 2026 base printed three months before this study</t>
  </si>
  <si>
    <t xml:space="preserve">Information Sweep — four rings, classified B/S/D/C</t>
  </si>
  <si>
    <t xml:space="preserve">Run 11-Jul-2026, before any driver was set</t>
  </si>
  <si>
    <t xml:space="preserve">Ring</t>
  </si>
  <si>
    <t xml:space="preserve">Finding (source)</t>
  </si>
  <si>
    <t xml:space="preserve">Class</t>
  </si>
  <si>
    <t xml:space="preserve">Global</t>
  </si>
  <si>
    <t xml:space="preserve">Fed path</t>
  </si>
  <si>
    <t xml:space="preserve">FFR held 3.50–3.75% Jun-26 (4th hold, Warsh); easing bias removed, median EOY 3.8%</t>
  </si>
  <si>
    <t xml:space="preserve">S</t>
  </si>
  <si>
    <t xml:space="preserve">Medical inflation</t>
  </si>
  <si>
    <t xml:space="preserve">WTW 2026: +10.3% global; MEA gross 11.3% — provider revenue tailwind, cost-base stress</t>
  </si>
  <si>
    <t xml:space="preserve">B</t>
  </si>
  <si>
    <t xml:space="preserve">Hospital multiples</t>
  </si>
  <si>
    <t xml:space="preserve">Verified: Al Habib 24–34x, Dallah 22–26x, Mouwasat 18–19x, Hammadi 17.5x, MEH 13x (floor) — Bloomberg/U Capital May-24, MarketScreener Jan-25, multiples.vc Jul-26</t>
  </si>
  <si>
    <t xml:space="preserve">Country</t>
  </si>
  <si>
    <t xml:space="preserve">UAE macro</t>
  </si>
  <si>
    <t xml:space="preserve">IMF 2026 GDP +3.1%, CPI 2.5%; Dubai Q1-26 health sector fastest-growing +17.5%</t>
  </si>
  <si>
    <t xml:space="preserve">DMTT mechanics</t>
  </si>
  <si>
    <t xml:space="preserve">15% top-up on POST-SBIE excess profit only; carve-outs 9.4/7.4% (2026)→5/5% (2033); CbCR safe harbour can zero the top-up pre-2027; FY25 ETR 7.0% with small top-up accrual</t>
  </si>
  <si>
    <t xml:space="preserve">Mandatory insurance</t>
  </si>
  <si>
    <t xml:space="preserve">Northern Emirates basic cover from 1-Jan-2025 — insured pool structurally expands</t>
  </si>
  <si>
    <t xml:space="preserve">AED risk-free</t>
  </si>
  <si>
    <t xml:space="preserve">No 10yr AED bond; 7yr T-Sukuk ~3.78–3.90% (MoF); 3M EIBOR 3.66–3.9%</t>
  </si>
  <si>
    <t xml:space="preserve">D</t>
  </si>
  <si>
    <t xml:space="preserve">Damodaran ERP</t>
  </si>
  <si>
    <t xml:space="preserve">UAE total 4.99% (mature 4.23% + CRP 0.66%), 5-Jan-2026 original file</t>
  </si>
  <si>
    <t xml:space="preserve">Industry</t>
  </si>
  <si>
    <t xml:space="preserve">UPP</t>
  </si>
  <si>
    <t xml:space="preserve">Aug-2025 unified procurement: medicine revenue now net-basis fee — ~4.6pp optical drag Q1-26, 1–2% EBITDA dilution</t>
  </si>
  <si>
    <t xml:space="preserve">Insurer dispute</t>
  </si>
  <si>
    <t xml:space="preserve">Access restrictions on a major Abu Dhabi insurer May–Nov-2025, fully resolved 1-Nov-2025</t>
  </si>
  <si>
    <t xml:space="preserve">Saudi PPP</t>
  </si>
  <si>
    <t xml:space="preserve">Vision-2030: private share 25%→35% by 2030; first hospital PPP awarded (Al Ansar, Madinah); pace slower than headline</t>
  </si>
  <si>
    <t xml:space="preserve">C</t>
  </si>
  <si>
    <t xml:space="preserve">Peer set</t>
  </si>
  <si>
    <t xml:space="preserve">PureHealth (scale, not pure comp), Al Habib 24x/31x, Dallah ~25x P/E, Mouwasat premium; UAE names largely unlisted</t>
  </si>
  <si>
    <t xml:space="preserve">Company</t>
  </si>
  <si>
    <t xml:space="preserve">Rev 5,486 (+9.5%), EBITDA 1,089 rep (72 one-off; 1,017 underlying; 926 pre-IFRS-16), NP 503 (+39.5%) — official PR 4-Mar-26</t>
  </si>
  <si>
    <t xml:space="preserve">Q1-2026</t>
  </si>
  <si>
    <t xml:space="preserve">Rev 1,339 (+5.1% rep / +9.7% ex-UPP), EBITDA 201 (15.0%), NP 57 (+44.5%) — official PR 6-May-26</t>
  </si>
  <si>
    <t xml:space="preserve">Leverage</t>
  </si>
  <si>
    <t xml:space="preserve">Net debt ex-leases 1,637 (1.8x); Jun-26 USD 500mn 5yr sukuk at 7.000% (BB+/Ba2), 3.2x book</t>
  </si>
  <si>
    <t xml:space="preserve">Guidance</t>
  </si>
  <si>
    <t xml:space="preserve">Low-double-digit revenue CAGR; low-20s blended EBITDA margin; AED 1.0bn growth capex (25–30% in 2026); ND &lt;2.5x</t>
  </si>
  <si>
    <t xml:space="preserve">Segments FY25</t>
  </si>
  <si>
    <t xml:space="preserve">Hospitals 4,840/1,165 (24.1%); Medical centres 468/50; BMC 1,290/241, occ 61%</t>
  </si>
  <si>
    <t xml:space="preserve">KSA strategy</t>
  </si>
  <si>
    <t xml:space="preserve">Asset-light: PhysioTherabia JV (Leejam) scaling to 60 centres, PhysioTrio $46m, 2 day-surgery + 2 radiation-oncology in 2026 pipeline; NO large PPP hospital signed yet</t>
  </si>
  <si>
    <t xml:space="preserve">Governance / ownership</t>
  </si>
  <si>
    <t xml:space="preserve">Founder became CEO+Chairman Feb-2026 after both co-CEOs exited Dec-2025 (key-man); VPS 70% + IHC 15% → float ~15%</t>
  </si>
  <si>
    <t xml:space="preserve">KPIs / asset count</t>
  </si>
  <si>
    <t xml:space="preserve">1,784 beds · occ 67% · 7.0mn patients · doctors +32; FY25 PR 115 assets vs Q1-26 PR 89 — methodology change, reconciled</t>
  </si>
  <si>
    <t xml:space="preserve">Validated: 4 rings present · 20 rows · every class ∈ {B,S,D,C} · sweep ran before §1.6 drivers were set</t>
  </si>
  <si>
    <t xml:space="preserve">Calibration backtest — 11 walk-forward windows vs the carry-anchored benchmark</t>
  </si>
  <si>
    <t xml:space="preserve">Live AE profile: t(10), width x1.049, carry-only (read from engine/market_profiles.py, 11-Jul-2026 refit)</t>
  </si>
  <si>
    <t xml:space="preserve">Origin</t>
  </si>
  <si>
    <t xml:space="preserve">Realized</t>
  </si>
  <si>
    <t xml:space="preserve">CRPS</t>
  </si>
  <si>
    <t xml:space="preserve">CRPS bench</t>
  </si>
  <si>
    <t xml:space="preserve">PIT</t>
  </si>
  <si>
    <t xml:space="preserve">in-90</t>
  </si>
  <si>
    <t xml:space="preserve">2023-10-25</t>
  </si>
  <si>
    <t xml:space="preserve">Y</t>
  </si>
  <si>
    <t xml:space="preserve">2024-01-19</t>
  </si>
  <si>
    <t xml:space="preserve">2024-04-19</t>
  </si>
  <si>
    <t xml:space="preserve">2024-07-16</t>
  </si>
  <si>
    <t xml:space="preserve">2024-10-08</t>
  </si>
  <si>
    <t xml:space="preserve">2025-01-03</t>
  </si>
  <si>
    <t xml:space="preserve">MISS</t>
  </si>
  <si>
    <t xml:space="preserve">2025-03-28</t>
  </si>
  <si>
    <t xml:space="preserve">2025-06-26</t>
  </si>
  <si>
    <t xml:space="preserve">2025-09-22</t>
  </si>
  <si>
    <t xml:space="preserve">2025-12-17</t>
  </si>
  <si>
    <t xml:space="preserve">2026-03-16</t>
  </si>
  <si>
    <t xml:space="preserve">Pooled (scale-normalized)</t>
  </si>
  <si>
    <t xml:space="preserve">skill +0.85%</t>
  </si>
  <si>
    <t xml:space="preserve">90% CI [-1.69%, +2.53%] → PARITY · robust blocks 2/3/4 all straddle 0 · cov50/80/90 = 0.46/0.91/0.91 · PIT mean 0.32</t>
  </si>
  <si>
    <t xml:space="preserve">Market gate: UAE 14-name panel PARITY +0.49% CI[-0.4%,+1.5%] (live profile) → proceed, parity tier</t>
  </si>
  <si>
    <t xml:space="preserve">Calibration Ledger — append rows (frozen at publication)</t>
  </si>
  <si>
    <t xml:space="preserve">Ticker</t>
  </si>
  <si>
    <t xml:space="preserve">Anchor</t>
  </si>
  <si>
    <t xml:space="preserve">Grades</t>
  </si>
  <si>
    <t xml:space="preserve">BURJEEL</t>
  </si>
  <si>
    <t xml:space="preserve">T+20</t>
  </si>
  <si>
    <t xml:space="preserve">2026-08-07</t>
  </si>
  <si>
    <t xml:space="preserve">engine mc_v3 · AE t(10)/1.049 · carry-only · seed 42 · never retro-edited</t>
  </si>
  <si>
    <t xml:space="preserve">T+60</t>
  </si>
  <si>
    <t xml:space="preserve">2026-10-02</t>
  </si>
  <si>
    <t xml:space="preserve">Appendix C — the expert panel (three methods, shown workings, a falsifier each)</t>
  </si>
  <si>
    <t xml:space="preserve">Expert 1</t>
  </si>
  <si>
    <t xml:space="preserve">THE OPERATING-LEVERAGE ANALYST. Method: unit economics up from beds. 1,784 beds at 67% occupancy vs the 80–85% normalized peak the company itself cites: filling existing beds to 78% at FY25 revenue-per-occupied-bed adds ~AED 900mn revenue at ~45% incremental margin (staff already hired — doctors +32 in FY25 vs +188 in FY24), i.e. ~AED 400mn EBITDA before any new asset. That alone lifts underlying EBITDA past the guided low-20s. Arithmetic: 1,784 beds x 365 x 11pp x AED ~11,094/occupied-bed-day = ~AED 795mn revenue; x ~45% incremental margin = ~AED 358mn EBITDA; look-through EBITDA ~AED 1,375mn; at 11.5x (the recalibrated base) through the same bridge = AED 2.33/share ceiling. Working read = 60% execution x ceiling + 40% x spot = AED 1.84. FALSIFIER: two consecutive quarters with group occupancy below 68% while beds grow — the leverage thesis dies on utilization, not price.</t>
  </si>
  <si>
    <t xml:space="preserve">Expert 2</t>
  </si>
  <si>
    <t xml:space="preserve">THE BALANCE-SHEET SKEPTIC. Method: cash conversion and credit. DSO at 135 days and rising; OCF fell 19.5% in FY2025 while reported profit rose 39.5% — receivables are funding the P&amp;L. The new sukuk prices the truth: 7.00% for 5 years, BB+, against a 3.9% sovereign. Caps equity value at what the FCF yield supports: AED 451mn company-FCF on a de-risked 8% required yield → equity ~AED 5.6bn ≈ AED 1.08/share today. Profit-to-cash walk FY25: NP 503 + D&amp;A 386 + finance 162 = 1,051 gross; OCF 402; absorbed 649 (WC build, tax, other). Each 15 DSO days released ≈ AED 225mn one-off cash. Working read AED 1.10–1.35. FALSIFIER: DSO printing below 120 days in any FY2026 statement, or net leverage below 1.5x post-sukuk — either breaks the working-capital-drag thesis.</t>
  </si>
  <si>
    <t xml:space="preserve">Expert 3</t>
  </si>
  <si>
    <t xml:space="preserve">THE REGIME-TREE STRATEGIST. Method: explicit scenario tree on the three crux legs. (a) DMTT applies (p=0.7) vs initial-phase exclusion (0.3); (b) margin reaches ≥21.5% by FY28 (p=0.55) vs stuck ≤19.5% (0.45); (c) a signed KSA PPP hospital by end-2027 (p=0.35) vs asset-light only (0.65). Internally consistent states: stuck-margin branches carry bear growth and +60bp WACC. Eight leaves off the study’s own DCF engine span AED 1.52 (path tax, margin stuck, no KSA) to 2.91 (exclusion, margin lands, PPP). Probability-weighted: AED 2.20 — above the weighted central because the tree contains no dividend-policy lens; even its worst leaf sits above spot, so what the market prices at 1.11 is outside the tree: the receivables clock and the float. FALSIFIER: the FY2025 DMTT return (filed 2026–27) showing the exclusion granted — that alone reweights the tree by ~AED 0.15.</t>
  </si>
  <si>
    <t xml:space="preserve">Convergence</t>
  </si>
  <si>
    <t xml:space="preserve">Expert 1’s working read (1.70) sits on the study’s central; Expert 3 (2.14) brackets it from above; Expert 2 (1.10–1.35) sits on spot and explains WHY the market pays it — the receivables clock. The panel converges on: fair value well above spot conditional on cash conversion; spot is the price of not yet believing the collections.</t>
  </si>
  <si>
    <t xml:space="preserve">Expert 3 — the eight leaves (engine-priced)</t>
  </si>
  <si>
    <t xml:space="preserve">Tax</t>
  </si>
  <si>
    <t xml:space="preserve">Margin state</t>
  </si>
  <si>
    <t xml:space="preserve">Saudi</t>
  </si>
  <si>
    <t xml:space="preserve">P</t>
  </si>
  <si>
    <t xml:space="preserve">AED/sh</t>
  </si>
  <si>
    <t xml:space="preserve">9%</t>
  </si>
  <si>
    <t xml:space="preserve">margin lands 22.0%</t>
  </si>
  <si>
    <t xml:space="preserve">PPP signed</t>
  </si>
  <si>
    <t xml:space="preserve">asset-light only</t>
  </si>
  <si>
    <t xml:space="preserve">margin stuck 19.0%</t>
  </si>
  <si>
    <t xml:space="preserve">path 10→13%</t>
  </si>
  <si>
    <t xml:space="preserve">Probability-weighted value</t>
  </si>
  <si>
    <t xml:space="preserve">Segment economics and the operating-KPI panel</t>
  </si>
  <si>
    <t xml:space="preserve">FY2025 official MD&amp;A; the +11% rebuilt bottom-up two ways</t>
  </si>
  <si>
    <t xml:space="preserve">Segment (FY25, AED mn)</t>
  </si>
  <si>
    <t xml:space="preserve">Margin</t>
  </si>
  <si>
    <t xml:space="preserve">Reading</t>
  </si>
  <si>
    <t xml:space="preserve">Hospitals (incl. BMC)</t>
  </si>
  <si>
    <t xml:space="preserve">the engine: 88% of revenue, all of the profit pool</t>
  </si>
  <si>
    <t xml:space="preserve">  of which Burjeel Medical City</t>
  </si>
  <si>
    <t xml:space="preserve">quaternary flagship ramping: occupancy 61% vs 67% group</t>
  </si>
  <si>
    <t xml:space="preserve">Medical centres &amp; clinics</t>
  </si>
  <si>
    <t xml:space="preserve">feeder network: referral value exceeds its own P&amp;L</t>
  </si>
  <si>
    <t xml:space="preserve">Pharmacy &amp; other (residual)</t>
  </si>
  <si>
    <t xml:space="preserve">residual reconciles segment EBITDA to 1,017 underlying; unallocated corporate costs sit here</t>
  </si>
  <si>
    <t xml:space="preserve">Total (underlying)</t>
  </si>
  <si>
    <t xml:space="preserve">Growth reconciliation #1 — by segment</t>
  </si>
  <si>
    <t xml:space="preserve">Segment</t>
  </si>
  <si>
    <t xml:space="preserve">Growth</t>
  </si>
  <si>
    <t xml:space="preserve">Contribution</t>
  </si>
  <si>
    <t xml:space="preserve">Hospitals</t>
  </si>
  <si>
    <t xml:space="preserve">Medical centres</t>
  </si>
  <si>
    <t xml:space="preserve">Other</t>
  </si>
  <si>
    <t xml:space="preserve">Aggregate FY26E growth</t>
  </si>
  <si>
    <t xml:space="preserve">reproduces the modelled +11.0% without a plug</t>
  </si>
  <si>
    <t xml:space="preserve">Growth reconciliation #2 — inside hospitals</t>
  </si>
  <si>
    <t xml:space="preserve">Occupancy 67% -&gt; 69.5%</t>
  </si>
  <si>
    <t xml:space="preserve">+3.7%</t>
  </si>
  <si>
    <t xml:space="preserve">Beds</t>
  </si>
  <si>
    <t xml:space="preserve">+2.5% (BMC wings, day-surgery)</t>
  </si>
  <si>
    <t xml:space="preserve">Price / mix</t>
  </si>
  <si>
    <t xml:space="preserve">+4.8% (medical inflation ~11% MEA, partly ceded)</t>
  </si>
  <si>
    <t xml:space="preserve">Product - 1</t>
  </si>
  <si>
    <t xml:space="preserve">Operating KPI panel (FY2025)</t>
  </si>
  <si>
    <t xml:space="preserve">Beds / occupancy</t>
  </si>
  <si>
    <t xml:space="preserve">1,784 / 67%</t>
  </si>
  <si>
    <t xml:space="preserve">each +1pp occupancy ~ AED 72mn revenue at ~45% incremental margin</t>
  </si>
  <si>
    <t xml:space="preserve">Revenue per occupied-bed-day</t>
  </si>
  <si>
    <t xml:space="preserve">AED ~11,094</t>
  </si>
  <si>
    <t xml:space="preserve">derived: hospital rev / (beds x 365 x occ); blended incl outpatient</t>
  </si>
  <si>
    <t xml:space="preserve">Patients / revenue per patient</t>
  </si>
  <si>
    <t xml:space="preserve">7.0mn / AED ~784</t>
  </si>
  <si>
    <t xml:space="preserve">volume franchise intact; UPP moved the revenue line, not patients</t>
  </si>
  <si>
    <t xml:space="preserve">Doctors / net adds</t>
  </si>
  <si>
    <t xml:space="preserve">1,776 / +32 (FY24 +188)</t>
  </si>
  <si>
    <t xml:space="preserve">hiring done ahead of the fill — the operating-leverage setup</t>
  </si>
  <si>
    <t xml:space="preserve">DSO / DPO</t>
  </si>
  <si>
    <t xml:space="preserve">135d (was 123) / 211d</t>
  </si>
  <si>
    <t xml:space="preserve">the referee: the receivable funds the P&amp;L until collected</t>
  </si>
  <si>
    <t xml:space="preserve">ROCE (company-stated)</t>
  </si>
  <si>
    <t xml:space="preserve">13.5%</t>
  </si>
  <si>
    <t xml:space="preserve">model glide lifts to ~17% by FY30E (Per-Share &amp; Ratios)</t>
  </si>
  <si>
    <t xml:space="preserve">Capex intensity</t>
  </si>
  <si>
    <t xml:space="preserve">10.7% of revenue</t>
  </si>
  <si>
    <t xml:space="preserve">falls to ~5.5% by FY30E on asset-light mix</t>
  </si>
  <si>
    <t xml:space="preserve">Net debt / EBITDA</t>
  </si>
  <si>
    <t xml:space="preserve">1.8x ex-leases / 2.6x incl / 1.7x Q1-26</t>
  </si>
  <si>
    <t xml:space="preserve">both framings; guidance ceiling 2.5x</t>
  </si>
  <si>
    <t xml:space="preserve">FCF conversion (company basis)</t>
  </si>
  <si>
    <t xml:space="preserve">41%</t>
  </si>
  <si>
    <t xml:space="preserve">FY25 FCF 451 / EBITDA 1,089</t>
  </si>
  <si>
    <t xml:space="preserve">Assets in network</t>
  </si>
  <si>
    <t xml:space="preserve">89 (Q1-26) / 115 (FY25)</t>
  </si>
  <si>
    <t xml:space="preserve">counting-methodology change; beds &amp; hospitals consistent</t>
  </si>
  <si>
    <t xml:space="preserve">Per-share data and returns — model output, formula-linked</t>
  </si>
  <si>
    <t xml:space="preserve">Payout of EPS</t>
  </si>
  <si>
    <t xml:space="preserve">Dividend bill (AED mn)</t>
  </si>
  <si>
    <t xml:space="preserve">Attributable FCF (AED mn)</t>
  </si>
  <si>
    <t xml:space="preserve">FCFF less after-tax interest, at the attributable share</t>
  </si>
  <si>
    <t xml:space="preserve">Dividend cover (x)</t>
  </si>
  <si>
    <t xml:space="preserve">FCFF / share (AED)</t>
  </si>
  <si>
    <t xml:space="preserve">BVPS (AED)</t>
  </si>
  <si>
    <t xml:space="preserve">ROCE (NOPAT / opening capital)</t>
  </si>
  <si>
    <t xml:space="preserve">engine-computed (compute_deep.py): NOPAT over equity+net-debt capital roll</t>
  </si>
  <si>
    <t xml:space="preserve">Five quarters under the microscope + the guidance record</t>
  </si>
  <si>
    <t xml:space="preserve">Q3-25 derived as FY residual (flagged); all else official releases</t>
  </si>
  <si>
    <t xml:space="preserve">Quarter</t>
  </si>
  <si>
    <t xml:space="preserve">EBITDA rep.</t>
  </si>
  <si>
    <t xml:space="preserve">One-off</t>
  </si>
  <si>
    <t xml:space="preserve">EBITDA und.</t>
  </si>
  <si>
    <t xml:space="preserve">Margin und.</t>
  </si>
  <si>
    <t xml:space="preserve">Q1-25</t>
  </si>
  <si>
    <t xml:space="preserve">Ramadan-in-March dip; util 65%</t>
  </si>
  <si>
    <t xml:space="preserve">Q2-25</t>
  </si>
  <si>
    <t xml:space="preserve">Medeor building acquired (+72 one-off); util 68%</t>
  </si>
  <si>
    <t xml:space="preserve">Q3-25*</t>
  </si>
  <si>
    <t xml:space="preserve">derived residual; insurer dispute + UPP start Aug</t>
  </si>
  <si>
    <t xml:space="preserve">Q4-25</t>
  </si>
  <si>
    <t xml:space="preserve">margin 20.3%; NP +160% YoY</t>
  </si>
  <si>
    <t xml:space="preserve">Q1-26</t>
  </si>
  <si>
    <t xml:space="preserve">UPP optical drag ~4.6pp; +9.7% ex-UPP</t>
  </si>
  <si>
    <t xml:space="preserve">FY25 sum</t>
  </si>
  <si>
    <t xml:space="preserve">ties exactly to FY25 officials: 5,486 / 1,089 / 72 / 503</t>
  </si>
  <si>
    <t xml:space="preserve">The guidance record — every promise, against every delivery</t>
  </si>
  <si>
    <t xml:space="preserve">Metric</t>
  </si>
  <si>
    <t xml:space="preserve">Guided (when)</t>
  </si>
  <si>
    <t xml:space="preserve">Delivered</t>
  </si>
  <si>
    <t xml:space="preserve">Verdict</t>
  </si>
  <si>
    <t xml:space="preserve">FY24 revenue</t>
  </si>
  <si>
    <t xml:space="preserve">mid-teens growth (Mar-24)</t>
  </si>
  <si>
    <t xml:space="preserve">+10.5%</t>
  </si>
  <si>
    <t xml:space="preserve">FY24 EBITDA margin</t>
  </si>
  <si>
    <t xml:space="preserve">23.5% (Mar-24)</t>
  </si>
  <si>
    <t xml:space="preserve">18.1% reported / 19.1% ex-one-offs</t>
  </si>
  <si>
    <t xml:space="preserve">MISS −4.4pp</t>
  </si>
  <si>
    <t xml:space="preserve">FY24 BMC revenue</t>
  </si>
  <si>
    <t xml:space="preserve">&gt;+30% (Mar-24)</t>
  </si>
  <si>
    <t xml:space="preserve">+18.4%</t>
  </si>
  <si>
    <t xml:space="preserve">Mid-term margin</t>
  </si>
  <si>
    <t xml:space="preserve">high-20s (Mar-24)</t>
  </si>
  <si>
    <t xml:space="preserve">guide cut to "low-20s blended" by Mar-26</t>
  </si>
  <si>
    <t xml:space="preserve">WITHDRAWN</t>
  </si>
  <si>
    <t xml:space="preserve">FY25 revenue</t>
  </si>
  <si>
    <t xml:space="preserve">mid-teens growth (Mar-25)</t>
  </si>
  <si>
    <t xml:space="preserve">+9.5%</t>
  </si>
  <si>
    <t xml:space="preserve">FY25 EBITDA margin</t>
  </si>
  <si>
    <t xml:space="preserve">expansion (Mar-25)</t>
  </si>
  <si>
    <t xml:space="preserve">19.8% rep (+1.7pp) / 18.5% underlying</t>
  </si>
  <si>
    <t xml:space="preserve">MET (soft target)</t>
  </si>
  <si>
    <t xml:space="preserve">Maintenance capex</t>
  </si>
  <si>
    <t xml:space="preserve">≤2.5% of revenue</t>
  </si>
  <si>
    <t xml:space="preserve">in line, every year</t>
  </si>
  <si>
    <t xml:space="preserve">MET</t>
  </si>
  <si>
    <t xml:space="preserve">&lt;2.5×</t>
  </si>
  <si>
    <t xml:space="preserve">1.1→1.3→1.8×</t>
  </si>
  <si>
    <t xml:space="preserve">KSA revenue</t>
  </si>
  <si>
    <t xml:space="preserve">&gt;AED 1bn p.a. mid-term (Mar-24)</t>
  </si>
  <si>
    <t xml:space="preserve">physio + day-surgery scale; not disclosed, far below</t>
  </si>
  <si>
    <t xml:space="preserve">NOT ON TRACK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</si>
</sst>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#,##0;\(#,##0\);\-"/>
    <numFmt numFmtId="168" formatCode="0.0000"/>
    <numFmt numFmtId="169" formatCode="0.0\x"/>
    <numFmt numFmtId="170" formatCode="0.0"/>
    <numFmt numFmtId="171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E7B7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FF2CC"/>
        <bgColor rgb="FFF6F1E6"/>
      </patternFill>
    </fill>
    <fill>
      <patternFill patternType="solid">
        <fgColor rgb="FFF6F1E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FFF2CC"/>
      <rgbColor rgb="FFF6F1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</row>
    <row r="5" customFormat="false" ht="43.5" hidden="false" customHeight="true" outlineLevel="0" collapsed="false">
      <c r="A5" s="2" t="s">
        <v>2</v>
      </c>
    </row>
    <row r="6" customFormat="false" ht="43.5" hidden="false" customHeight="true" outlineLevel="0" collapsed="false">
      <c r="A6" s="2" t="s">
        <v>3</v>
      </c>
    </row>
    <row r="7" customFormat="false" ht="43.5" hidden="false" customHeight="true" outlineLevel="0" collapsed="false">
      <c r="A7" s="2" t="s">
        <v>4</v>
      </c>
    </row>
    <row r="8" customFormat="false" ht="43.5" hidden="false" customHeight="true" outlineLevel="0" collapsed="false">
      <c r="A8" s="2" t="s">
        <v>5</v>
      </c>
    </row>
    <row r="9" customFormat="false" ht="43.5" hidden="false" customHeight="true" outlineLevel="0" collapsed="false">
      <c r="A9" s="2" t="s">
        <v>6</v>
      </c>
    </row>
    <row r="10" customFormat="false" ht="43.5" hidden="false" customHeight="true" outlineLevel="0" collapsed="false">
      <c r="A10" s="2" t="s">
        <v>7</v>
      </c>
    </row>
    <row r="11" customFormat="false" ht="43.5" hidden="false" customHeight="tru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3" customFormat="false" ht="15" hidden="false" customHeight="false" outlineLevel="0" collapsed="false">
      <c r="A3" s="4" t="s">
        <v>11</v>
      </c>
      <c r="B3" s="5" t="n">
        <f aca="false">Assumptions!B5</f>
        <v>1.11</v>
      </c>
    </row>
    <row r="5" customFormat="false" ht="15" hidden="false" customHeight="false" outlineLevel="0" collapsed="false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</row>
    <row r="6" customFormat="false" ht="23.85" hidden="false" customHeight="false" outlineLevel="0" collapsed="false">
      <c r="A6" s="7" t="s">
        <v>18</v>
      </c>
      <c r="B6" s="5" t="n">
        <f aca="false">DCF!B31</f>
        <v>1.2064998390724</v>
      </c>
      <c r="C6" s="5" t="n">
        <f aca="false">DCF!B30</f>
        <v>2.63932013969599</v>
      </c>
      <c r="D6" s="5" t="n">
        <f aca="false">DCF!B32</f>
        <v>3.57686721188338</v>
      </c>
      <c r="E6" s="8" t="n">
        <v>0.35</v>
      </c>
      <c r="F6" s="2" t="s">
        <v>19</v>
      </c>
    </row>
    <row r="7" customFormat="false" ht="35.05" hidden="false" customHeight="false" outlineLevel="0" collapsed="false">
      <c r="A7" s="7" t="s">
        <v>20</v>
      </c>
      <c r="B7" s="5" t="n">
        <f aca="false">'Relative &amp; Normalized'!B7</f>
        <v>1.5026266621881</v>
      </c>
      <c r="C7" s="5" t="n">
        <f aca="false">'Relative &amp; Normalized'!B6</f>
        <v>1.88786496545106</v>
      </c>
      <c r="D7" s="5" t="n">
        <f aca="false">'Relative &amp; Normalized'!B8</f>
        <v>2.17679369289827</v>
      </c>
      <c r="E7" s="8" t="n">
        <v>0.25</v>
      </c>
      <c r="F7" s="2" t="s">
        <v>21</v>
      </c>
    </row>
    <row r="8" customFormat="false" ht="23.85" hidden="false" customHeight="false" outlineLevel="0" collapsed="false">
      <c r="A8" s="7" t="s">
        <v>22</v>
      </c>
      <c r="B8" s="5" t="n">
        <f aca="false">'Relative &amp; Normalized'!B16</f>
        <v>1.23054206947255</v>
      </c>
      <c r="C8" s="5" t="n">
        <f aca="false">'Relative &amp; Normalized'!B15</f>
        <v>1.4942296557881</v>
      </c>
      <c r="D8" s="5" t="n">
        <f aca="false">'Relative &amp; Normalized'!B17</f>
        <v>1.75791724210365</v>
      </c>
      <c r="E8" s="8" t="n">
        <v>0.25</v>
      </c>
      <c r="F8" s="2" t="s">
        <v>23</v>
      </c>
    </row>
    <row r="9" customFormat="false" ht="23.85" hidden="false" customHeight="false" outlineLevel="0" collapsed="false">
      <c r="A9" s="7" t="s">
        <v>24</v>
      </c>
      <c r="B9" s="5" t="n">
        <f aca="false">DDM!B14</f>
        <v>0.238026699207644</v>
      </c>
      <c r="C9" s="5" t="n">
        <f aca="false">DDM!B13</f>
        <v>0.564847869109737</v>
      </c>
      <c r="D9" s="5" t="n">
        <f aca="false">DDM!B15</f>
        <v>0.793572608711222</v>
      </c>
      <c r="E9" s="8" t="n">
        <v>0.15</v>
      </c>
      <c r="F9" s="2" t="s">
        <v>25</v>
      </c>
    </row>
    <row r="10" customFormat="false" ht="23.85" hidden="false" customHeight="false" outlineLevel="0" collapsed="false">
      <c r="A10" s="4" t="s">
        <v>26</v>
      </c>
      <c r="B10" s="9" t="n">
        <f aca="false">SUMPRODUCT(B6:B9,$E$6:$E$9)</f>
        <v>1.14127113147165</v>
      </c>
      <c r="C10" s="9" t="n">
        <f aca="false">SUMPRODUCT(C6:C9,$E$6:$E$9)</f>
        <v>1.85401288456985</v>
      </c>
      <c r="D10" s="9" t="n">
        <f aca="false">SUMPRODUCT(D6:D9,$E$6:$E$9)</f>
        <v>2.35461714921635</v>
      </c>
      <c r="F10" s="2" t="s">
        <v>27</v>
      </c>
    </row>
    <row r="12" customFormat="false" ht="15" hidden="false" customHeight="false" outlineLevel="0" collapsed="false">
      <c r="A12" s="6" t="s">
        <v>28</v>
      </c>
      <c r="B12" s="6" t="s">
        <v>29</v>
      </c>
      <c r="C12" s="6" t="s">
        <v>30</v>
      </c>
      <c r="D12" s="6" t="s">
        <v>31</v>
      </c>
      <c r="E12" s="6" t="s">
        <v>32</v>
      </c>
      <c r="F12" s="6"/>
    </row>
    <row r="13" customFormat="false" ht="15" hidden="false" customHeight="false" outlineLevel="0" collapsed="false">
      <c r="A13" s="7" t="s">
        <v>33</v>
      </c>
      <c r="B13" s="5" t="n">
        <f aca="false">'Monte Carlo'!B7</f>
        <v>0.944280975172813</v>
      </c>
      <c r="C13" s="5" t="n">
        <f aca="false">'Monte Carlo'!D7</f>
        <v>1.11101304488884</v>
      </c>
      <c r="D13" s="5" t="n">
        <f aca="false">'Monte Carlo'!F7</f>
        <v>1.30850644472833</v>
      </c>
      <c r="E13" s="10" t="n">
        <v>0.50408</v>
      </c>
    </row>
    <row r="14" customFormat="false" ht="15" hidden="false" customHeight="false" outlineLevel="0" collapsed="false">
      <c r="A14" s="7" t="s">
        <v>34</v>
      </c>
      <c r="B14" s="5" t="n">
        <f aca="false">'Monte Carlo'!B8</f>
        <v>0.836716816578576</v>
      </c>
      <c r="C14" s="5" t="n">
        <f aca="false">'Monte Carlo'!D8</f>
        <v>1.11373341264072</v>
      </c>
      <c r="D14" s="5" t="n">
        <f aca="false">'Monte Carlo'!F8</f>
        <v>1.48510015292621</v>
      </c>
      <c r="E14" s="10" t="n">
        <v>0.50838</v>
      </c>
    </row>
    <row r="16" customFormat="false" ht="15" hidden="false" customHeight="false" outlineLevel="0" collapsed="false">
      <c r="A16" s="1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2"/>
    <col collapsed="false" customWidth="true" hidden="false" outlineLevel="0" max="7" min="7" style="0" width="58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3" t="s">
        <v>37</v>
      </c>
    </row>
    <row r="3" customFormat="false" ht="15" hidden="false" customHeight="false" outlineLevel="0" collapsed="false">
      <c r="A3" s="4" t="s">
        <v>38</v>
      </c>
    </row>
    <row r="4" customFormat="false" ht="15" hidden="false" customHeight="false" outlineLevel="0" collapsed="false">
      <c r="A4" s="7" t="s">
        <v>39</v>
      </c>
      <c r="B4" s="12" t="s">
        <v>40</v>
      </c>
      <c r="G4" s="2" t="s">
        <v>41</v>
      </c>
    </row>
    <row r="5" customFormat="false" ht="15" hidden="false" customHeight="false" outlineLevel="0" collapsed="false">
      <c r="A5" s="7" t="s">
        <v>42</v>
      </c>
      <c r="B5" s="13" t="n">
        <v>1.11</v>
      </c>
      <c r="G5" s="2" t="s">
        <v>43</v>
      </c>
    </row>
    <row r="6" customFormat="false" ht="23.85" hidden="false" customHeight="false" outlineLevel="0" collapsed="false">
      <c r="A6" s="7" t="s">
        <v>44</v>
      </c>
      <c r="B6" s="14" t="n">
        <v>5210</v>
      </c>
      <c r="G6" s="2" t="s">
        <v>45</v>
      </c>
    </row>
    <row r="7" customFormat="false" ht="15" hidden="false" customHeight="false" outlineLevel="0" collapsed="false">
      <c r="A7" s="7" t="s">
        <v>46</v>
      </c>
      <c r="B7" s="14" t="n">
        <v>1637</v>
      </c>
      <c r="G7" s="2" t="s">
        <v>47</v>
      </c>
    </row>
    <row r="8" customFormat="false" ht="15" hidden="false" customHeight="false" outlineLevel="0" collapsed="false">
      <c r="A8" s="7" t="s">
        <v>48</v>
      </c>
      <c r="B8" s="14" t="n">
        <v>1191</v>
      </c>
      <c r="G8" s="2" t="s">
        <v>49</v>
      </c>
    </row>
    <row r="9" customFormat="false" ht="15" hidden="false" customHeight="false" outlineLevel="0" collapsed="false">
      <c r="A9" s="7" t="s">
        <v>50</v>
      </c>
      <c r="B9" s="14" t="n">
        <v>68</v>
      </c>
      <c r="G9" s="2" t="s">
        <v>51</v>
      </c>
    </row>
    <row r="10" customFormat="false" ht="15" hidden="false" customHeight="false" outlineLevel="0" collapsed="false">
      <c r="A10" s="7" t="s">
        <v>52</v>
      </c>
      <c r="B10" s="13" t="n">
        <v>0.02</v>
      </c>
      <c r="G10" s="2" t="s">
        <v>53</v>
      </c>
    </row>
    <row r="12" customFormat="false" ht="15" hidden="false" customHeight="false" outlineLevel="0" collapsed="false">
      <c r="A12" s="4" t="s">
        <v>54</v>
      </c>
    </row>
    <row r="13" customFormat="false" ht="15" hidden="false" customHeight="false" outlineLevel="0" collapsed="false">
      <c r="A13" s="6" t="s">
        <v>55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60</v>
      </c>
      <c r="G13" s="6" t="s">
        <v>61</v>
      </c>
    </row>
    <row r="14" customFormat="false" ht="23.85" hidden="false" customHeight="false" outlineLevel="0" collapsed="false">
      <c r="A14" s="7" t="s">
        <v>62</v>
      </c>
      <c r="B14" s="8" t="n">
        <v>0.11</v>
      </c>
      <c r="C14" s="8" t="n">
        <v>0.11</v>
      </c>
      <c r="D14" s="8" t="n">
        <v>0.1</v>
      </c>
      <c r="E14" s="8" t="n">
        <v>0.09</v>
      </c>
      <c r="F14" s="8" t="n">
        <v>0.08</v>
      </c>
      <c r="G14" s="2" t="s">
        <v>63</v>
      </c>
    </row>
    <row r="15" customFormat="false" ht="23.85" hidden="false" customHeight="false" outlineLevel="0" collapsed="false">
      <c r="A15" s="7" t="s">
        <v>64</v>
      </c>
      <c r="B15" s="8" t="n">
        <v>0.193</v>
      </c>
      <c r="C15" s="8" t="n">
        <v>0.202</v>
      </c>
      <c r="D15" s="8" t="n">
        <v>0.21</v>
      </c>
      <c r="E15" s="8" t="n">
        <v>0.216</v>
      </c>
      <c r="F15" s="8" t="n">
        <v>0.22</v>
      </c>
      <c r="G15" s="2" t="s">
        <v>65</v>
      </c>
    </row>
    <row r="16" customFormat="false" ht="15" hidden="false" customHeight="false" outlineLevel="0" collapsed="false">
      <c r="A16" s="7" t="s">
        <v>66</v>
      </c>
      <c r="B16" s="8" t="n">
        <v>0.07</v>
      </c>
      <c r="C16" s="8" t="n">
        <v>0.069</v>
      </c>
      <c r="D16" s="8" t="n">
        <v>0.068</v>
      </c>
      <c r="E16" s="8" t="n">
        <v>0.067</v>
      </c>
      <c r="F16" s="8" t="n">
        <v>0.066</v>
      </c>
      <c r="G16" s="2" t="s">
        <v>67</v>
      </c>
    </row>
    <row r="17" customFormat="false" ht="23.85" hidden="false" customHeight="false" outlineLevel="0" collapsed="false">
      <c r="A17" s="7" t="s">
        <v>68</v>
      </c>
      <c r="B17" s="14" t="n">
        <v>275</v>
      </c>
      <c r="C17" s="14" t="n">
        <v>250</v>
      </c>
      <c r="D17" s="14" t="n">
        <v>225</v>
      </c>
      <c r="E17" s="14" t="n">
        <v>175</v>
      </c>
      <c r="F17" s="14" t="n">
        <v>125</v>
      </c>
      <c r="G17" s="2" t="s">
        <v>69</v>
      </c>
    </row>
    <row r="18" customFormat="false" ht="15" hidden="false" customHeight="false" outlineLevel="0" collapsed="false">
      <c r="A18" s="7" t="s">
        <v>70</v>
      </c>
      <c r="B18" s="8" t="n">
        <v>0.025</v>
      </c>
      <c r="C18" s="8" t="n">
        <v>0.025</v>
      </c>
      <c r="D18" s="8" t="n">
        <v>0.025</v>
      </c>
      <c r="E18" s="8" t="n">
        <v>0.025</v>
      </c>
      <c r="F18" s="8" t="n">
        <v>0.025</v>
      </c>
      <c r="G18" s="2" t="s">
        <v>71</v>
      </c>
    </row>
    <row r="19" customFormat="false" ht="23.85" hidden="false" customHeight="false" outlineLevel="0" collapsed="false">
      <c r="A19" s="7" t="s">
        <v>72</v>
      </c>
      <c r="B19" s="8" t="n">
        <v>0.24</v>
      </c>
      <c r="C19" s="8" t="n">
        <v>0.235</v>
      </c>
      <c r="D19" s="8" t="n">
        <v>0.23</v>
      </c>
      <c r="E19" s="8" t="n">
        <v>0.225</v>
      </c>
      <c r="F19" s="8" t="n">
        <v>0.22</v>
      </c>
      <c r="G19" s="2" t="s">
        <v>73</v>
      </c>
    </row>
    <row r="20" customFormat="false" ht="23.85" hidden="false" customHeight="false" outlineLevel="0" collapsed="false">
      <c r="A20" s="7" t="s">
        <v>74</v>
      </c>
      <c r="B20" s="8" t="n">
        <v>0.06</v>
      </c>
      <c r="C20" s="8" t="n">
        <v>0.06</v>
      </c>
      <c r="D20" s="8" t="n">
        <v>0.06</v>
      </c>
      <c r="E20" s="8" t="n">
        <v>0.06</v>
      </c>
      <c r="F20" s="8" t="n">
        <v>0.06</v>
      </c>
      <c r="G20" s="2" t="s">
        <v>75</v>
      </c>
    </row>
    <row r="22" customFormat="false" ht="15" hidden="false" customHeight="false" outlineLevel="0" collapsed="false">
      <c r="A22" s="4" t="s">
        <v>76</v>
      </c>
    </row>
    <row r="23" customFormat="false" ht="35.05" hidden="false" customHeight="false" outlineLevel="0" collapsed="false">
      <c r="A23" s="7" t="s">
        <v>77</v>
      </c>
      <c r="B23" s="8" t="n">
        <v>0.1</v>
      </c>
      <c r="C23" s="8" t="n">
        <v>0.11</v>
      </c>
      <c r="D23" s="8" t="n">
        <v>0.12</v>
      </c>
      <c r="E23" s="8" t="n">
        <v>0.125</v>
      </c>
      <c r="F23" s="8" t="n">
        <v>0.13</v>
      </c>
      <c r="G23" s="2" t="s">
        <v>78</v>
      </c>
    </row>
    <row r="24" customFormat="false" ht="23.85" hidden="false" customHeight="false" outlineLevel="0" collapsed="false">
      <c r="A24" s="7" t="s">
        <v>79</v>
      </c>
      <c r="B24" s="8" t="n">
        <v>0.09</v>
      </c>
      <c r="G24" s="2" t="s">
        <v>80</v>
      </c>
    </row>
    <row r="25" customFormat="false" ht="15" hidden="false" customHeight="false" outlineLevel="0" collapsed="false">
      <c r="A25" s="7" t="s">
        <v>81</v>
      </c>
      <c r="B25" s="8" t="n">
        <v>0.025</v>
      </c>
      <c r="G25" s="2" t="s">
        <v>82</v>
      </c>
    </row>
    <row r="26" customFormat="false" ht="35.05" hidden="false" customHeight="false" outlineLevel="0" collapsed="false">
      <c r="A26" s="7" t="s">
        <v>83</v>
      </c>
      <c r="B26" s="12" t="s">
        <v>84</v>
      </c>
      <c r="G26" s="2" t="s">
        <v>85</v>
      </c>
    </row>
    <row r="27" customFormat="false" ht="15" hidden="false" customHeight="false" outlineLevel="0" collapsed="false">
      <c r="A27" s="7" t="s">
        <v>86</v>
      </c>
      <c r="B27" s="12" t="s">
        <v>87</v>
      </c>
      <c r="G27" s="2" t="s">
        <v>88</v>
      </c>
    </row>
    <row r="28" customFormat="false" ht="23.85" hidden="false" customHeight="false" outlineLevel="0" collapsed="false">
      <c r="A28" s="7" t="s">
        <v>89</v>
      </c>
      <c r="B28" s="14" t="n">
        <v>210</v>
      </c>
      <c r="G28" s="2" t="s">
        <v>90</v>
      </c>
    </row>
    <row r="29" customFormat="false" ht="15" hidden="false" customHeight="false" outlineLevel="0" collapsed="false">
      <c r="A29" s="7" t="s">
        <v>91</v>
      </c>
      <c r="B29" s="8" t="n">
        <v>0.944</v>
      </c>
      <c r="G29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" t="s">
        <v>93</v>
      </c>
    </row>
    <row r="3" customFormat="false" ht="15" hidden="false" customHeight="false" outlineLevel="0" collapsed="false">
      <c r="A3" s="6" t="s">
        <v>94</v>
      </c>
      <c r="B3" s="6" t="s">
        <v>95</v>
      </c>
      <c r="C3" s="6" t="s">
        <v>96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</row>
    <row r="4" customFormat="false" ht="23.85" hidden="false" customHeight="false" outlineLevel="0" collapsed="false">
      <c r="A4" s="4" t="s">
        <v>104</v>
      </c>
      <c r="B4" s="14" t="n">
        <v>4535</v>
      </c>
      <c r="C4" s="14" t="n">
        <v>5010</v>
      </c>
      <c r="D4" s="14" t="n">
        <v>5486</v>
      </c>
      <c r="E4" s="15" t="n">
        <f aca="false">D4*(1+Assumptions!B14)</f>
        <v>6089.46</v>
      </c>
      <c r="F4" s="15" t="n">
        <f aca="false">E4*(1+Assumptions!C14)</f>
        <v>6759.3006</v>
      </c>
      <c r="G4" s="15" t="n">
        <f aca="false">F4*(1+Assumptions!D14)</f>
        <v>7435.23066</v>
      </c>
      <c r="H4" s="15" t="n">
        <f aca="false">G4*(1+Assumptions!E14)</f>
        <v>8104.4014194</v>
      </c>
      <c r="I4" s="15" t="n">
        <f aca="false">H4*(1+Assumptions!F14)</f>
        <v>8752.753532952</v>
      </c>
      <c r="J4" s="2" t="s">
        <v>105</v>
      </c>
    </row>
    <row r="5" customFormat="false" ht="23.85" hidden="false" customHeight="false" outlineLevel="0" collapsed="false">
      <c r="A5" s="7" t="s">
        <v>106</v>
      </c>
      <c r="B5" s="14" t="n">
        <v>1018</v>
      </c>
      <c r="C5" s="14" t="n">
        <v>959</v>
      </c>
      <c r="D5" s="14" t="n">
        <v>1017</v>
      </c>
      <c r="E5" s="15" t="n">
        <f aca="false">E4*Assumptions!B15</f>
        <v>1175.26578</v>
      </c>
      <c r="F5" s="15" t="n">
        <f aca="false">F4*Assumptions!C15</f>
        <v>1365.3787212</v>
      </c>
      <c r="G5" s="15" t="n">
        <f aca="false">G4*Assumptions!D15</f>
        <v>1561.3984386</v>
      </c>
      <c r="H5" s="15" t="n">
        <f aca="false">H4*Assumptions!E15</f>
        <v>1750.5507065904</v>
      </c>
      <c r="I5" s="15" t="n">
        <f aca="false">I4*Assumptions!F15</f>
        <v>1925.60577724944</v>
      </c>
      <c r="J5" s="2" t="s">
        <v>107</v>
      </c>
    </row>
    <row r="6" customFormat="false" ht="23.85" hidden="false" customHeight="false" outlineLevel="0" collapsed="false">
      <c r="A6" s="7" t="s">
        <v>108</v>
      </c>
      <c r="B6" s="14" t="n">
        <v>1033</v>
      </c>
      <c r="C6" s="14" t="n">
        <v>908</v>
      </c>
      <c r="D6" s="14" t="n">
        <v>1089</v>
      </c>
      <c r="J6" s="2" t="s">
        <v>109</v>
      </c>
    </row>
    <row r="7" customFormat="false" ht="15" hidden="false" customHeight="false" outlineLevel="0" collapsed="false">
      <c r="A7" s="7" t="s">
        <v>110</v>
      </c>
      <c r="B7" s="14" t="n">
        <v>352</v>
      </c>
      <c r="C7" s="14" t="n">
        <v>360</v>
      </c>
      <c r="D7" s="14" t="n">
        <v>386</v>
      </c>
      <c r="E7" s="15" t="n">
        <f aca="false">E4*Assumptions!B16</f>
        <v>426.2622</v>
      </c>
      <c r="F7" s="15" t="n">
        <f aca="false">F4*Assumptions!C16</f>
        <v>466.3917414</v>
      </c>
      <c r="G7" s="15" t="n">
        <f aca="false">G4*Assumptions!D16</f>
        <v>505.59568488</v>
      </c>
      <c r="H7" s="15" t="n">
        <f aca="false">H4*Assumptions!E16</f>
        <v>542.9948950998</v>
      </c>
      <c r="I7" s="15" t="n">
        <f aca="false">I4*Assumptions!F16</f>
        <v>577.681733174832</v>
      </c>
    </row>
    <row r="8" customFormat="false" ht="15" hidden="false" customHeight="false" outlineLevel="0" collapsed="false">
      <c r="A8" s="7" t="s">
        <v>111</v>
      </c>
      <c r="B8" s="15" t="n">
        <f aca="false">B5-B7</f>
        <v>666</v>
      </c>
      <c r="C8" s="15" t="n">
        <f aca="false">C5-C7</f>
        <v>599</v>
      </c>
      <c r="D8" s="15" t="n">
        <f aca="false">D5-D7</f>
        <v>631</v>
      </c>
      <c r="E8" s="15" t="n">
        <f aca="false">E5-E7</f>
        <v>749.00358</v>
      </c>
      <c r="F8" s="15" t="n">
        <f aca="false">F5-F7</f>
        <v>898.9869798</v>
      </c>
      <c r="G8" s="15" t="n">
        <f aca="false">G5-G7</f>
        <v>1055.80275372</v>
      </c>
      <c r="H8" s="15" t="n">
        <f aca="false">H5-H7</f>
        <v>1207.5558114906</v>
      </c>
      <c r="I8" s="15" t="n">
        <f aca="false">I5-I7</f>
        <v>1347.92404407461</v>
      </c>
    </row>
    <row r="9" customFormat="false" ht="15" hidden="false" customHeight="false" outlineLevel="0" collapsed="false">
      <c r="A9" s="7" t="s">
        <v>112</v>
      </c>
      <c r="B9" s="14" t="n">
        <v>141</v>
      </c>
      <c r="C9" s="14" t="n">
        <v>149</v>
      </c>
      <c r="D9" s="14" t="n">
        <v>162</v>
      </c>
      <c r="E9" s="16" t="n">
        <f aca="false">Assumptions!B28</f>
        <v>210</v>
      </c>
      <c r="F9" s="15" t="n">
        <f aca="false">E9*1</f>
        <v>210</v>
      </c>
      <c r="G9" s="15" t="n">
        <f aca="false">F9*1</f>
        <v>210</v>
      </c>
      <c r="H9" s="15" t="n">
        <f aca="false">G9*1</f>
        <v>210</v>
      </c>
      <c r="I9" s="15" t="n">
        <f aca="false">H9*1</f>
        <v>210</v>
      </c>
      <c r="J9" s="2" t="s">
        <v>113</v>
      </c>
    </row>
    <row r="10" customFormat="false" ht="15" hidden="false" customHeight="false" outlineLevel="0" collapsed="false">
      <c r="A10" s="7" t="s">
        <v>114</v>
      </c>
      <c r="B10" s="15" t="n">
        <f aca="false">B8-B9</f>
        <v>525</v>
      </c>
      <c r="C10" s="15" t="n">
        <f aca="false">C8-C9</f>
        <v>450</v>
      </c>
      <c r="D10" s="15" t="n">
        <f aca="false">D8-D9</f>
        <v>469</v>
      </c>
      <c r="E10" s="15" t="n">
        <f aca="false">E8-E9</f>
        <v>539.00358</v>
      </c>
      <c r="F10" s="15" t="n">
        <f aca="false">F8-F9</f>
        <v>688.9869798</v>
      </c>
      <c r="G10" s="15" t="n">
        <f aca="false">G8-G9</f>
        <v>845.80275372</v>
      </c>
      <c r="H10" s="15" t="n">
        <f aca="false">H8-H9</f>
        <v>997.5558114906</v>
      </c>
      <c r="I10" s="15" t="n">
        <f aca="false">I8-I9</f>
        <v>1137.92404407461</v>
      </c>
    </row>
    <row r="11" customFormat="false" ht="23.85" hidden="false" customHeight="false" outlineLevel="0" collapsed="false">
      <c r="A11" s="7" t="s">
        <v>115</v>
      </c>
      <c r="B11" s="15" t="n">
        <f aca="false">B6-B5</f>
        <v>15</v>
      </c>
      <c r="C11" s="15" t="n">
        <f aca="false">C6-C5</f>
        <v>-51</v>
      </c>
      <c r="D11" s="15" t="n">
        <f aca="false">D6-D5</f>
        <v>72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2" t="s">
        <v>116</v>
      </c>
    </row>
    <row r="12" customFormat="false" ht="15" hidden="false" customHeight="false" outlineLevel="0" collapsed="false">
      <c r="A12" s="7" t="s">
        <v>117</v>
      </c>
      <c r="B12" s="15" t="n">
        <f aca="false">B10+B11</f>
        <v>540</v>
      </c>
      <c r="C12" s="15" t="n">
        <f aca="false">C10+C11</f>
        <v>399</v>
      </c>
      <c r="D12" s="15" t="n">
        <f aca="false">D10+D11</f>
        <v>541</v>
      </c>
      <c r="E12" s="15" t="n">
        <f aca="false">E10+E11</f>
        <v>539.00358</v>
      </c>
      <c r="F12" s="15" t="n">
        <f aca="false">F10+F11</f>
        <v>688.9869798</v>
      </c>
      <c r="G12" s="15" t="n">
        <f aca="false">G10+G11</f>
        <v>845.80275372</v>
      </c>
      <c r="H12" s="15" t="n">
        <f aca="false">H10+H11</f>
        <v>997.5558114906</v>
      </c>
      <c r="I12" s="15" t="n">
        <f aca="false">I10+I11</f>
        <v>1137.92404407461</v>
      </c>
      <c r="J12" s="2" t="s">
        <v>118</v>
      </c>
    </row>
    <row r="13" customFormat="false" ht="23.85" hidden="false" customHeight="false" outlineLevel="0" collapsed="false">
      <c r="A13" s="7" t="s">
        <v>119</v>
      </c>
      <c r="B13" s="14" t="n">
        <v>0</v>
      </c>
      <c r="C13" s="14" t="n">
        <v>39</v>
      </c>
      <c r="D13" s="14" t="n">
        <v>38</v>
      </c>
      <c r="E13" s="15" t="n">
        <f aca="false">E12*Assumptions!B23</f>
        <v>53.900358</v>
      </c>
      <c r="F13" s="15" t="n">
        <f aca="false">F12*Assumptions!C23</f>
        <v>75.788567778</v>
      </c>
      <c r="G13" s="15" t="n">
        <f aca="false">G12*Assumptions!D23</f>
        <v>101.4963304464</v>
      </c>
      <c r="H13" s="15" t="n">
        <f aca="false">H12*Assumptions!E23</f>
        <v>124.694476436325</v>
      </c>
      <c r="I13" s="15" t="n">
        <f aca="false">I12*Assumptions!F23</f>
        <v>147.930125729699</v>
      </c>
      <c r="J13" s="2" t="s">
        <v>120</v>
      </c>
    </row>
    <row r="14" customFormat="false" ht="15" hidden="false" customHeight="false" outlineLevel="0" collapsed="false">
      <c r="A14" s="4" t="s">
        <v>121</v>
      </c>
      <c r="B14" s="15" t="n">
        <f aca="false">B12-B13</f>
        <v>540</v>
      </c>
      <c r="C14" s="15" t="n">
        <f aca="false">C12-C13</f>
        <v>360</v>
      </c>
      <c r="D14" s="15" t="n">
        <f aca="false">D12-D13</f>
        <v>503</v>
      </c>
      <c r="E14" s="15" t="n">
        <f aca="false">E12-E13</f>
        <v>485.103222</v>
      </c>
      <c r="F14" s="15" t="n">
        <f aca="false">F12-F13</f>
        <v>613.198412022</v>
      </c>
      <c r="G14" s="15" t="n">
        <f aca="false">G12-G13</f>
        <v>744.3064232736</v>
      </c>
      <c r="H14" s="15" t="n">
        <f aca="false">H12-H13</f>
        <v>872.861335054275</v>
      </c>
      <c r="I14" s="15" t="n">
        <f aca="false">I12-I13</f>
        <v>989.993918344909</v>
      </c>
      <c r="J14" s="2" t="s">
        <v>122</v>
      </c>
    </row>
    <row r="15" customFormat="false" ht="15" hidden="false" customHeight="false" outlineLevel="0" collapsed="false">
      <c r="A15" s="7" t="s">
        <v>123</v>
      </c>
      <c r="B15" s="14" t="n">
        <v>516</v>
      </c>
      <c r="C15" s="14" t="n">
        <v>347</v>
      </c>
      <c r="D15" s="14" t="n">
        <v>475</v>
      </c>
      <c r="E15" s="15" t="n">
        <f aca="false">E14*Assumptions!B29</f>
        <v>457.937441568</v>
      </c>
      <c r="F15" s="15" t="n">
        <f aca="false">F14*Assumptions!B29</f>
        <v>578.859300948768</v>
      </c>
      <c r="G15" s="15" t="n">
        <f aca="false">G14*Assumptions!B29</f>
        <v>702.625263570279</v>
      </c>
      <c r="H15" s="15" t="n">
        <f aca="false">H14*Assumptions!B29</f>
        <v>823.981100291236</v>
      </c>
      <c r="I15" s="15" t="n">
        <f aca="false">I14*Assumptions!B29</f>
        <v>934.554258917594</v>
      </c>
    </row>
    <row r="16" customFormat="false" ht="15" hidden="false" customHeight="false" outlineLevel="0" collapsed="false">
      <c r="A16" s="7" t="s">
        <v>124</v>
      </c>
      <c r="B16" s="17" t="n">
        <f aca="false">B15/Assumptions!$B$6</f>
        <v>0.0990403071017275</v>
      </c>
      <c r="C16" s="17" t="n">
        <f aca="false">C15/Assumptions!$B$6</f>
        <v>0.0666026871401152</v>
      </c>
      <c r="D16" s="17" t="n">
        <f aca="false">D15/Assumptions!$B$6</f>
        <v>0.0911708253358925</v>
      </c>
      <c r="E16" s="17" t="n">
        <f aca="false">E15/Assumptions!$B$6</f>
        <v>0.0878958621051824</v>
      </c>
      <c r="F16" s="17" t="n">
        <f aca="false">F15/Assumptions!$B$6</f>
        <v>0.111105432043909</v>
      </c>
      <c r="G16" s="17" t="n">
        <f aca="false">G15/Assumptions!$B$6</f>
        <v>0.134860895119055</v>
      </c>
      <c r="H16" s="17" t="n">
        <f aca="false">H15/Assumptions!$B$6</f>
        <v>0.158153762052061</v>
      </c>
      <c r="I16" s="17" t="n">
        <f aca="false">I15/Assumptions!$B$6</f>
        <v>0.179377017066717</v>
      </c>
    </row>
    <row r="17" customFormat="false" ht="15" hidden="false" customHeight="false" outlineLevel="0" collapsed="false">
      <c r="A17" s="7" t="s">
        <v>64</v>
      </c>
      <c r="B17" s="10" t="n">
        <f aca="false">B5/B4</f>
        <v>0.224476295479603</v>
      </c>
      <c r="C17" s="10" t="n">
        <f aca="false">C5/C4</f>
        <v>0.191417165668663</v>
      </c>
      <c r="D17" s="10" t="n">
        <f aca="false">D5/D4</f>
        <v>0.185380969741159</v>
      </c>
      <c r="E17" s="10" t="n">
        <f aca="false">E5/E4</f>
        <v>0.193</v>
      </c>
      <c r="F17" s="10" t="n">
        <f aca="false">F5/F4</f>
        <v>0.202</v>
      </c>
      <c r="G17" s="10" t="n">
        <f aca="false">G5/G4</f>
        <v>0.21</v>
      </c>
      <c r="H17" s="10" t="n">
        <f aca="false">H5/H4</f>
        <v>0.216</v>
      </c>
      <c r="I17" s="10" t="n">
        <f aca="false">I5/I4</f>
        <v>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3" t="s">
        <v>126</v>
      </c>
    </row>
    <row r="3" customFormat="false" ht="15" hidden="false" customHeight="false" outlineLevel="0" collapsed="false">
      <c r="A3" s="6" t="s">
        <v>127</v>
      </c>
      <c r="B3" s="6" t="s">
        <v>96</v>
      </c>
      <c r="C3" s="6" t="s">
        <v>97</v>
      </c>
      <c r="D3" s="6"/>
      <c r="E3" s="6" t="s">
        <v>128</v>
      </c>
    </row>
    <row r="4" customFormat="false" ht="23.85" hidden="false" customHeight="false" outlineLevel="0" collapsed="false">
      <c r="A4" s="7" t="s">
        <v>129</v>
      </c>
      <c r="B4" s="14" t="n">
        <v>1208</v>
      </c>
      <c r="C4" s="14" t="n">
        <v>1918</v>
      </c>
      <c r="E4" s="2" t="s">
        <v>130</v>
      </c>
    </row>
    <row r="5" customFormat="false" ht="15" hidden="false" customHeight="false" outlineLevel="0" collapsed="false">
      <c r="A5" s="7" t="s">
        <v>131</v>
      </c>
      <c r="C5" s="14" t="n">
        <v>281</v>
      </c>
      <c r="E5" s="2"/>
    </row>
    <row r="6" customFormat="false" ht="15" hidden="false" customHeight="false" outlineLevel="0" collapsed="false">
      <c r="A6" s="7" t="s">
        <v>132</v>
      </c>
      <c r="C6" s="15" t="n">
        <f aca="false">C4-C5</f>
        <v>1637</v>
      </c>
      <c r="E6" s="2" t="s">
        <v>133</v>
      </c>
    </row>
    <row r="7" customFormat="false" ht="15" hidden="false" customHeight="false" outlineLevel="0" collapsed="false">
      <c r="A7" s="7" t="s">
        <v>134</v>
      </c>
      <c r="C7" s="14" t="n">
        <v>1191</v>
      </c>
      <c r="E7" s="2" t="s">
        <v>135</v>
      </c>
    </row>
    <row r="8" customFormat="false" ht="15" hidden="false" customHeight="false" outlineLevel="0" collapsed="false">
      <c r="A8" s="7" t="s">
        <v>136</v>
      </c>
      <c r="C8" s="15" t="n">
        <f aca="false">C6+C7</f>
        <v>2828</v>
      </c>
      <c r="E8" s="2" t="s">
        <v>137</v>
      </c>
    </row>
    <row r="9" customFormat="false" ht="15" hidden="false" customHeight="false" outlineLevel="0" collapsed="false">
      <c r="A9" s="7" t="s">
        <v>138</v>
      </c>
      <c r="C9" s="14" t="n">
        <v>2165</v>
      </c>
      <c r="E9" s="2"/>
    </row>
    <row r="10" customFormat="false" ht="15" hidden="false" customHeight="false" outlineLevel="0" collapsed="false">
      <c r="A10" s="7" t="s">
        <v>139</v>
      </c>
      <c r="C10" s="14" t="n">
        <v>68</v>
      </c>
      <c r="E10" s="2"/>
    </row>
    <row r="11" customFormat="false" ht="15" hidden="false" customHeight="false" outlineLevel="0" collapsed="false">
      <c r="A11" s="7" t="s">
        <v>140</v>
      </c>
      <c r="C11" s="14" t="n">
        <v>2057</v>
      </c>
      <c r="E11" s="2" t="s">
        <v>141</v>
      </c>
    </row>
    <row r="12" customFormat="false" ht="15" hidden="false" customHeight="false" outlineLevel="0" collapsed="false">
      <c r="A12" s="7" t="s">
        <v>142</v>
      </c>
      <c r="C12" s="14" t="n">
        <v>738</v>
      </c>
      <c r="E12" s="2" t="s">
        <v>143</v>
      </c>
    </row>
    <row r="13" customFormat="false" ht="15" hidden="false" customHeight="false" outlineLevel="0" collapsed="false">
      <c r="A13" s="7" t="s">
        <v>144</v>
      </c>
      <c r="C13" s="14" t="n">
        <v>93</v>
      </c>
      <c r="E13" s="2" t="s">
        <v>145</v>
      </c>
    </row>
    <row r="15" customFormat="false" ht="15" hidden="false" customHeight="false" outlineLevel="0" collapsed="false">
      <c r="A15" s="11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6"/>
      <c r="B3" s="6" t="s">
        <v>97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128</v>
      </c>
    </row>
    <row r="4" customFormat="false" ht="15" hidden="false" customHeight="false" outlineLevel="0" collapsed="false">
      <c r="A4" s="7" t="s">
        <v>148</v>
      </c>
      <c r="B4" s="14" t="n">
        <v>402</v>
      </c>
      <c r="H4" s="2" t="s">
        <v>149</v>
      </c>
    </row>
    <row r="5" customFormat="false" ht="15" hidden="false" customHeight="false" outlineLevel="0" collapsed="false">
      <c r="A5" s="7" t="s">
        <v>150</v>
      </c>
      <c r="B5" s="14" t="n">
        <v>585</v>
      </c>
      <c r="C5" s="15" t="n">
        <f aca="false">'Income Statement'!E4*Assumptions!B18+Assumptions!B17</f>
        <v>427.2365</v>
      </c>
      <c r="D5" s="15" t="n">
        <f aca="false">'Income Statement'!F4*Assumptions!C18+Assumptions!C17</f>
        <v>418.982515</v>
      </c>
      <c r="E5" s="15" t="n">
        <f aca="false">'Income Statement'!G4*Assumptions!D18+Assumptions!D17</f>
        <v>410.8807665</v>
      </c>
      <c r="F5" s="15" t="n">
        <f aca="false">'Income Statement'!H4*Assumptions!E18+Assumptions!E17</f>
        <v>377.610035485</v>
      </c>
      <c r="G5" s="15" t="n">
        <f aca="false">'Income Statement'!I4*Assumptions!F18+Assumptions!F17</f>
        <v>343.8188383238</v>
      </c>
      <c r="H5" s="2" t="s">
        <v>151</v>
      </c>
    </row>
    <row r="6" customFormat="false" ht="15" hidden="false" customHeight="false" outlineLevel="0" collapsed="false">
      <c r="A6" s="7" t="s">
        <v>152</v>
      </c>
      <c r="C6" s="15" t="n">
        <f aca="false">('Income Statement'!E4-'Income Statement'!D4)*Assumptions!B19</f>
        <v>144.8304</v>
      </c>
      <c r="D6" s="15" t="n">
        <f aca="false">('Income Statement'!F4-'Income Statement'!E4)*Assumptions!C19</f>
        <v>157.412541</v>
      </c>
      <c r="E6" s="15" t="n">
        <f aca="false">('Income Statement'!G4-'Income Statement'!F4)*Assumptions!D19</f>
        <v>155.4639138</v>
      </c>
      <c r="F6" s="15" t="n">
        <f aca="false">('Income Statement'!H4-'Income Statement'!G4)*Assumptions!E19</f>
        <v>150.563420865</v>
      </c>
      <c r="G6" s="15" t="n">
        <f aca="false">('Income Statement'!I4-'Income Statement'!H4)*Assumptions!F19</f>
        <v>142.63746498144</v>
      </c>
      <c r="H6" s="2" t="s">
        <v>153</v>
      </c>
    </row>
    <row r="7" customFormat="false" ht="15" hidden="false" customHeight="false" outlineLevel="0" collapsed="false">
      <c r="A7" s="7" t="s">
        <v>154</v>
      </c>
      <c r="B7" s="14" t="n">
        <v>162</v>
      </c>
      <c r="C7" s="15" t="n">
        <f aca="false">B7*(1+Assumptions!B20)</f>
        <v>171.72</v>
      </c>
      <c r="D7" s="15" t="n">
        <f aca="false">C7*(1+Assumptions!C20)</f>
        <v>182.0232</v>
      </c>
      <c r="E7" s="15" t="n">
        <f aca="false">D7*(1+Assumptions!D20)</f>
        <v>192.944592</v>
      </c>
      <c r="F7" s="15" t="n">
        <f aca="false">E7*(1+Assumptions!E20)</f>
        <v>204.52126752</v>
      </c>
      <c r="G7" s="15" t="n">
        <f aca="false">F7*(1+Assumptions!F20)</f>
        <v>216.7925435712</v>
      </c>
      <c r="H7" s="2" t="s">
        <v>155</v>
      </c>
    </row>
    <row r="8" customFormat="false" ht="15" hidden="false" customHeight="false" outlineLevel="0" collapsed="false">
      <c r="A8" s="7" t="s">
        <v>156</v>
      </c>
      <c r="B8" s="14" t="n">
        <v>451</v>
      </c>
      <c r="H8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158</v>
      </c>
    </row>
    <row r="3" customFormat="false" ht="15" hidden="false" customHeight="false" outlineLevel="0" collapsed="false">
      <c r="A3" s="6" t="s">
        <v>159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/>
      <c r="H3" s="6" t="s">
        <v>128</v>
      </c>
    </row>
    <row r="4" customFormat="false" ht="15" hidden="false" customHeight="false" outlineLevel="0" collapsed="false">
      <c r="A4" s="7" t="s">
        <v>104</v>
      </c>
      <c r="B4" s="15" t="n">
        <f aca="false">'Income Statement'!E4</f>
        <v>6089.46</v>
      </c>
      <c r="C4" s="15" t="n">
        <f aca="false">'Income Statement'!F4</f>
        <v>6759.3006</v>
      </c>
      <c r="D4" s="15" t="n">
        <f aca="false">'Income Statement'!G4</f>
        <v>7435.23066</v>
      </c>
      <c r="E4" s="15" t="n">
        <f aca="false">'Income Statement'!H4</f>
        <v>8104.4014194</v>
      </c>
      <c r="F4" s="15" t="n">
        <f aca="false">'Income Statement'!I4</f>
        <v>8752.753532952</v>
      </c>
    </row>
    <row r="5" customFormat="false" ht="15" hidden="false" customHeight="false" outlineLevel="0" collapsed="false">
      <c r="A5" s="7" t="s">
        <v>160</v>
      </c>
      <c r="B5" s="15" t="n">
        <f aca="false">'Income Statement'!E5</f>
        <v>1175.26578</v>
      </c>
      <c r="C5" s="15" t="n">
        <f aca="false">'Income Statement'!F5</f>
        <v>1365.3787212</v>
      </c>
      <c r="D5" s="15" t="n">
        <f aca="false">'Income Statement'!G5</f>
        <v>1561.3984386</v>
      </c>
      <c r="E5" s="15" t="n">
        <f aca="false">'Income Statement'!H5</f>
        <v>1750.5507065904</v>
      </c>
      <c r="F5" s="15" t="n">
        <f aca="false">'Income Statement'!I5</f>
        <v>1925.60577724944</v>
      </c>
    </row>
    <row r="6" customFormat="false" ht="15" hidden="false" customHeight="false" outlineLevel="0" collapsed="false">
      <c r="A6" s="7" t="s">
        <v>161</v>
      </c>
      <c r="B6" s="15" t="n">
        <f aca="false">-'Income Statement'!E7</f>
        <v>-426.2622</v>
      </c>
      <c r="C6" s="15" t="n">
        <f aca="false">-'Income Statement'!F7</f>
        <v>-466.3917414</v>
      </c>
      <c r="D6" s="15" t="n">
        <f aca="false">-'Income Statement'!G7</f>
        <v>-505.59568488</v>
      </c>
      <c r="E6" s="15" t="n">
        <f aca="false">-'Income Statement'!H7</f>
        <v>-542.9948950998</v>
      </c>
      <c r="F6" s="15" t="n">
        <f aca="false">-'Income Statement'!I7</f>
        <v>-577.681733174832</v>
      </c>
    </row>
    <row r="7" customFormat="false" ht="15" hidden="false" customHeight="false" outlineLevel="0" collapsed="false">
      <c r="A7" s="4" t="s">
        <v>111</v>
      </c>
      <c r="B7" s="15" t="n">
        <f aca="false">'Income Statement'!E8</f>
        <v>749.00358</v>
      </c>
      <c r="C7" s="15" t="n">
        <f aca="false">'Income Statement'!F8</f>
        <v>898.9869798</v>
      </c>
      <c r="D7" s="15" t="n">
        <f aca="false">'Income Statement'!G8</f>
        <v>1055.80275372</v>
      </c>
      <c r="E7" s="15" t="n">
        <f aca="false">'Income Statement'!H8</f>
        <v>1207.5558114906</v>
      </c>
      <c r="F7" s="15" t="n">
        <f aca="false">'Income Statement'!I8</f>
        <v>1347.92404407461</v>
      </c>
    </row>
    <row r="8" customFormat="false" ht="15" hidden="false" customHeight="false" outlineLevel="0" collapsed="false">
      <c r="A8" s="7" t="s">
        <v>162</v>
      </c>
      <c r="B8" s="15" t="n">
        <f aca="false">-'Income Statement'!E8*Assumptions!B23</f>
        <v>-74.900358</v>
      </c>
      <c r="C8" s="15" t="n">
        <f aca="false">-'Income Statement'!F8*Assumptions!C23</f>
        <v>-98.888567778</v>
      </c>
      <c r="D8" s="15" t="n">
        <f aca="false">-'Income Statement'!G8*Assumptions!D23</f>
        <v>-126.6963304464</v>
      </c>
      <c r="E8" s="15" t="n">
        <f aca="false">-'Income Statement'!H8*Assumptions!E23</f>
        <v>-150.944476436325</v>
      </c>
      <c r="F8" s="15" t="n">
        <f aca="false">-'Income Statement'!I8*Assumptions!F23</f>
        <v>-175.230125729699</v>
      </c>
    </row>
    <row r="9" customFormat="false" ht="15" hidden="false" customHeight="false" outlineLevel="0" collapsed="false">
      <c r="A9" s="4" t="s">
        <v>163</v>
      </c>
      <c r="B9" s="15" t="n">
        <f aca="false">'Income Statement'!E8*(1-Assumptions!B23)</f>
        <v>674.103222</v>
      </c>
      <c r="C9" s="15" t="n">
        <f aca="false">'Income Statement'!F8*(1-Assumptions!C23)</f>
        <v>800.098412022</v>
      </c>
      <c r="D9" s="15" t="n">
        <f aca="false">'Income Statement'!G8*(1-Assumptions!D23)</f>
        <v>929.1064232736</v>
      </c>
      <c r="E9" s="15" t="n">
        <f aca="false">'Income Statement'!H8*(1-Assumptions!E23)</f>
        <v>1056.61133505428</v>
      </c>
      <c r="F9" s="15" t="n">
        <f aca="false">'Income Statement'!I8*(1-Assumptions!F23)</f>
        <v>1172.69391834491</v>
      </c>
    </row>
    <row r="10" customFormat="false" ht="15" hidden="false" customHeight="false" outlineLevel="0" collapsed="false">
      <c r="A10" s="7" t="s">
        <v>164</v>
      </c>
      <c r="B10" s="15" t="n">
        <f aca="false">'Income Statement'!E7</f>
        <v>426.2622</v>
      </c>
      <c r="C10" s="15" t="n">
        <f aca="false">'Income Statement'!F7</f>
        <v>466.3917414</v>
      </c>
      <c r="D10" s="15" t="n">
        <f aca="false">'Income Statement'!G7</f>
        <v>505.59568488</v>
      </c>
      <c r="E10" s="15" t="n">
        <f aca="false">'Income Statement'!H7</f>
        <v>542.9948950998</v>
      </c>
      <c r="F10" s="15" t="n">
        <f aca="false">'Income Statement'!I7</f>
        <v>577.681733174832</v>
      </c>
    </row>
    <row r="11" customFormat="false" ht="15" hidden="false" customHeight="false" outlineLevel="0" collapsed="false">
      <c r="A11" s="7" t="s">
        <v>165</v>
      </c>
      <c r="B11" s="15" t="n">
        <f aca="false">-'Cash Flow &amp; FCFF'!C5</f>
        <v>-427.2365</v>
      </c>
      <c r="C11" s="15" t="n">
        <f aca="false">-'Cash Flow &amp; FCFF'!D5</f>
        <v>-418.982515</v>
      </c>
      <c r="D11" s="15" t="n">
        <f aca="false">-'Cash Flow &amp; FCFF'!E5</f>
        <v>-410.8807665</v>
      </c>
      <c r="E11" s="15" t="n">
        <f aca="false">-'Cash Flow &amp; FCFF'!F5</f>
        <v>-377.610035485</v>
      </c>
      <c r="F11" s="15" t="n">
        <f aca="false">-'Cash Flow &amp; FCFF'!G5</f>
        <v>-343.8188383238</v>
      </c>
    </row>
    <row r="12" customFormat="false" ht="15" hidden="false" customHeight="false" outlineLevel="0" collapsed="false">
      <c r="A12" s="7" t="s">
        <v>166</v>
      </c>
      <c r="B12" s="15" t="n">
        <f aca="false">-'Cash Flow &amp; FCFF'!C6</f>
        <v>-144.8304</v>
      </c>
      <c r="C12" s="15" t="n">
        <f aca="false">-'Cash Flow &amp; FCFF'!D6</f>
        <v>-157.412541</v>
      </c>
      <c r="D12" s="15" t="n">
        <f aca="false">-'Cash Flow &amp; FCFF'!E6</f>
        <v>-155.4639138</v>
      </c>
      <c r="E12" s="15" t="n">
        <f aca="false">-'Cash Flow &amp; FCFF'!F6</f>
        <v>-150.563420865</v>
      </c>
      <c r="F12" s="15" t="n">
        <f aca="false">-'Cash Flow &amp; FCFF'!G6</f>
        <v>-142.63746498144</v>
      </c>
    </row>
    <row r="13" customFormat="false" ht="15" hidden="false" customHeight="false" outlineLevel="0" collapsed="false">
      <c r="A13" s="7" t="s">
        <v>167</v>
      </c>
      <c r="B13" s="15" t="n">
        <f aca="false">-'Cash Flow &amp; FCFF'!C7</f>
        <v>-171.72</v>
      </c>
      <c r="C13" s="15" t="n">
        <f aca="false">-'Cash Flow &amp; FCFF'!D7</f>
        <v>-182.0232</v>
      </c>
      <c r="D13" s="15" t="n">
        <f aca="false">-'Cash Flow &amp; FCFF'!E7</f>
        <v>-192.944592</v>
      </c>
      <c r="E13" s="15" t="n">
        <f aca="false">-'Cash Flow &amp; FCFF'!F7</f>
        <v>-204.52126752</v>
      </c>
      <c r="F13" s="15" t="n">
        <f aca="false">-'Cash Flow &amp; FCFF'!G7</f>
        <v>-216.7925435712</v>
      </c>
    </row>
    <row r="14" customFormat="false" ht="15" hidden="false" customHeight="false" outlineLevel="0" collapsed="false">
      <c r="A14" s="4" t="s">
        <v>168</v>
      </c>
      <c r="B14" s="18" t="n">
        <f aca="false">B9+B10+B11+B12+B13</f>
        <v>356.578522</v>
      </c>
      <c r="C14" s="18" t="n">
        <f aca="false">C9+C10+C11+C12+C13</f>
        <v>508.071897422</v>
      </c>
      <c r="D14" s="18" t="n">
        <f aca="false">D9+D10+D11+D12+D13</f>
        <v>675.4128358536</v>
      </c>
      <c r="E14" s="18" t="n">
        <f aca="false">E9+E10+E11+E12+E13</f>
        <v>866.911506284075</v>
      </c>
      <c r="F14" s="18" t="n">
        <f aca="false">F9+F10+F11+F12+F13</f>
        <v>1047.1268046433</v>
      </c>
    </row>
    <row r="15" customFormat="false" ht="15" hidden="false" customHeight="false" outlineLevel="0" collapsed="false">
      <c r="A15" s="7" t="s">
        <v>169</v>
      </c>
      <c r="B15" s="19" t="n">
        <f aca="false">1/(1+WACC!$B$14)^1</f>
        <v>0.924575212880138</v>
      </c>
      <c r="C15" s="19" t="n">
        <f aca="false">1/(1+WACC!$B$14)^2</f>
        <v>0.854839324272353</v>
      </c>
      <c r="D15" s="19" t="n">
        <f aca="false">1/(1+WACC!$B$14)^3</f>
        <v>0.790363250217424</v>
      </c>
      <c r="E15" s="19" t="n">
        <f aca="false">1/(1+WACC!$B$14)^4</f>
        <v>0.730750270322413</v>
      </c>
      <c r="F15" s="19" t="n">
        <f aca="false">1/(1+WACC!$B$14)^5</f>
        <v>0.675633586745564</v>
      </c>
    </row>
    <row r="16" customFormat="false" ht="15" hidden="false" customHeight="false" outlineLevel="0" collapsed="false">
      <c r="A16" s="7" t="s">
        <v>170</v>
      </c>
      <c r="B16" s="15" t="n">
        <f aca="false">B14*B15</f>
        <v>329.683662886635</v>
      </c>
      <c r="C16" s="15" t="n">
        <f aca="false">C14*C15</f>
        <v>434.319837473995</v>
      </c>
      <c r="D16" s="15" t="n">
        <f aca="false">D14*D15</f>
        <v>533.821484183819</v>
      </c>
      <c r="E16" s="15" t="n">
        <f aca="false">E14*E15</f>
        <v>633.495817562698</v>
      </c>
      <c r="F16" s="15" t="n">
        <f aca="false">F14*F15</f>
        <v>707.474038798575</v>
      </c>
    </row>
    <row r="18" customFormat="false" ht="15" hidden="false" customHeight="false" outlineLevel="0" collapsed="false">
      <c r="A18" s="7" t="s">
        <v>171</v>
      </c>
      <c r="B18" s="15" t="n">
        <f aca="false">SUM(B16:F16)</f>
        <v>2638.79484090572</v>
      </c>
    </row>
    <row r="19" customFormat="false" ht="15" hidden="false" customHeight="false" outlineLevel="0" collapsed="false">
      <c r="A19" s="7" t="s">
        <v>172</v>
      </c>
      <c r="B19" s="15" t="n">
        <f aca="false">F14*(1+Assumptions!B25)</f>
        <v>1073.30497475938</v>
      </c>
    </row>
    <row r="20" customFormat="false" ht="15" hidden="false" customHeight="false" outlineLevel="0" collapsed="false">
      <c r="A20" s="7" t="s">
        <v>173</v>
      </c>
      <c r="B20" s="15" t="n">
        <f aca="false">B19/(WACC!B14-Assumptions!B25)</f>
        <v>18970.4350676947</v>
      </c>
    </row>
    <row r="21" customFormat="false" ht="15" hidden="false" customHeight="false" outlineLevel="0" collapsed="false">
      <c r="A21" s="7" t="s">
        <v>174</v>
      </c>
      <c r="B21" s="15" t="n">
        <f aca="false">B20*F15</f>
        <v>12817.0630869104</v>
      </c>
    </row>
    <row r="22" customFormat="false" ht="23.85" hidden="false" customHeight="false" outlineLevel="0" collapsed="false">
      <c r="A22" s="4" t="s">
        <v>175</v>
      </c>
      <c r="B22" s="15" t="n">
        <f aca="false">B18+B21</f>
        <v>15455.8579278161</v>
      </c>
      <c r="H22" s="2" t="s">
        <v>176</v>
      </c>
    </row>
    <row r="23" customFormat="false" ht="15" hidden="false" customHeight="false" outlineLevel="0" collapsed="false">
      <c r="A23" s="7" t="s">
        <v>177</v>
      </c>
      <c r="B23" s="10" t="n">
        <f aca="false">B21/B22</f>
        <v>0.829268950760951</v>
      </c>
    </row>
    <row r="24" customFormat="false" ht="15" hidden="false" customHeight="false" outlineLevel="0" collapsed="false">
      <c r="A24" s="7" t="s">
        <v>178</v>
      </c>
      <c r="B24" s="15" t="n">
        <f aca="false">-Assumptions!B7</f>
        <v>-1637</v>
      </c>
    </row>
    <row r="25" customFormat="false" ht="15" hidden="false" customHeight="false" outlineLevel="0" collapsed="false">
      <c r="A25" s="7" t="s">
        <v>179</v>
      </c>
      <c r="B25" s="15" t="n">
        <f aca="false">-Assumptions!B9</f>
        <v>-68</v>
      </c>
    </row>
    <row r="26" customFormat="false" ht="15" hidden="false" customHeight="false" outlineLevel="0" collapsed="false">
      <c r="A26" s="7" t="s">
        <v>180</v>
      </c>
      <c r="B26" s="15" t="n">
        <f aca="false">B22+B24+B25</f>
        <v>13750.8579278161</v>
      </c>
    </row>
    <row r="27" customFormat="false" ht="15" hidden="false" customHeight="false" outlineLevel="0" collapsed="false">
      <c r="A27" s="4" t="s">
        <v>181</v>
      </c>
      <c r="B27" s="20" t="n">
        <f aca="false">B26/Assumptions!B6</f>
        <v>2.63932013969599</v>
      </c>
    </row>
    <row r="30" customFormat="false" ht="15" hidden="false" customHeight="false" outlineLevel="0" collapsed="false">
      <c r="A30" s="7" t="s">
        <v>182</v>
      </c>
      <c r="B30" s="9" t="n">
        <f aca="false">B27</f>
        <v>2.63932013969599</v>
      </c>
    </row>
    <row r="31" customFormat="false" ht="23.85" hidden="false" customHeight="false" outlineLevel="0" collapsed="false">
      <c r="A31" s="7" t="s">
        <v>183</v>
      </c>
      <c r="B31" s="13" t="n">
        <v>1.2064998390724</v>
      </c>
      <c r="H31" s="2" t="s">
        <v>184</v>
      </c>
    </row>
    <row r="32" customFormat="false" ht="23.85" hidden="false" customHeight="false" outlineLevel="0" collapsed="false">
      <c r="A32" s="7" t="s">
        <v>185</v>
      </c>
      <c r="B32" s="13" t="n">
        <v>3.57686721188338</v>
      </c>
      <c r="H32" s="2" t="s">
        <v>186</v>
      </c>
    </row>
    <row r="33" customFormat="false" ht="23.85" hidden="false" customHeight="false" outlineLevel="0" collapsed="false">
      <c r="A33" s="7" t="s">
        <v>187</v>
      </c>
      <c r="B33" s="13" t="n">
        <v>2.31591548097724</v>
      </c>
      <c r="H33" s="2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1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189</v>
      </c>
    </row>
    <row r="3" customFormat="false" ht="15" hidden="false" customHeight="false" outlineLevel="0" collapsed="false">
      <c r="A3" s="6"/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/>
      <c r="H3" s="6" t="s">
        <v>128</v>
      </c>
    </row>
    <row r="4" customFormat="false" ht="23.85" hidden="false" customHeight="false" outlineLevel="0" collapsed="false">
      <c r="A4" s="7" t="s">
        <v>190</v>
      </c>
      <c r="B4" s="8" t="n">
        <v>0.15</v>
      </c>
      <c r="C4" s="8" t="n">
        <v>0.15</v>
      </c>
      <c r="D4" s="8" t="n">
        <v>0.15</v>
      </c>
      <c r="E4" s="8" t="n">
        <v>0.14</v>
      </c>
      <c r="F4" s="8" t="n">
        <v>0.13</v>
      </c>
      <c r="H4" s="2" t="s">
        <v>191</v>
      </c>
    </row>
    <row r="5" customFormat="false" ht="15" hidden="false" customHeight="false" outlineLevel="0" collapsed="false">
      <c r="A5" s="7" t="s">
        <v>192</v>
      </c>
      <c r="B5" s="17" t="n">
        <f aca="false">Assumptions!B10*(1+B4)</f>
        <v>0.023</v>
      </c>
      <c r="C5" s="17" t="n">
        <f aca="false">B5*(1+C4)</f>
        <v>0.02645</v>
      </c>
      <c r="D5" s="17" t="n">
        <f aca="false">C5*(1+D4)</f>
        <v>0.0304175</v>
      </c>
      <c r="E5" s="17" t="n">
        <f aca="false">D5*(1+E4)</f>
        <v>0.03467595</v>
      </c>
      <c r="F5" s="17" t="n">
        <f aca="false">E5*(1+F4)</f>
        <v>0.0391838235</v>
      </c>
    </row>
    <row r="6" customFormat="false" ht="15" hidden="false" customHeight="false" outlineLevel="0" collapsed="false">
      <c r="A6" s="7" t="s">
        <v>193</v>
      </c>
      <c r="B6" s="17" t="n">
        <f aca="false">B5/(1+WACC!$B$8)^1</f>
        <v>0.0211222334465975</v>
      </c>
      <c r="C6" s="17" t="n">
        <f aca="false">C5/(1+WACC!$B$8)^2</f>
        <v>0.0223074372886281</v>
      </c>
      <c r="D6" s="17" t="n">
        <f aca="false">D5/(1+WACC!$B$8)^3</f>
        <v>0.0235591449002868</v>
      </c>
      <c r="E6" s="17" t="n">
        <f aca="false">E5/(1+WACC!$B$8)^4</f>
        <v>0.0246647306330489</v>
      </c>
      <c r="F6" s="17" t="n">
        <f aca="false">F5/(1+WACC!$B$8)^5</f>
        <v>0.0255956888744102</v>
      </c>
    </row>
    <row r="8" customFormat="false" ht="15" hidden="false" customHeight="false" outlineLevel="0" collapsed="false">
      <c r="A8" s="7" t="s">
        <v>194</v>
      </c>
      <c r="B8" s="8" t="n">
        <v>0.03</v>
      </c>
    </row>
    <row r="9" customFormat="false" ht="15" hidden="false" customHeight="false" outlineLevel="0" collapsed="false">
      <c r="A9" s="7" t="s">
        <v>195</v>
      </c>
      <c r="B9" s="17" t="n">
        <f aca="false">F5*(1+B8)/(WACC!B8-$B$8)/(1+WACC!B8)^5</f>
        <v>0.447598633966765</v>
      </c>
    </row>
    <row r="13" customFormat="false" ht="15" hidden="false" customHeight="false" outlineLevel="0" collapsed="false">
      <c r="A13" s="4" t="s">
        <v>196</v>
      </c>
      <c r="B13" s="9" t="n">
        <f aca="false">SUM(B6:F6)+B9</f>
        <v>0.564847869109737</v>
      </c>
    </row>
    <row r="14" customFormat="false" ht="15" hidden="false" customHeight="false" outlineLevel="0" collapsed="false">
      <c r="A14" s="7" t="s">
        <v>197</v>
      </c>
      <c r="B14" s="13" t="n">
        <v>0.238026699207644</v>
      </c>
    </row>
    <row r="15" customFormat="false" ht="15" hidden="false" customHeight="false" outlineLevel="0" collapsed="false">
      <c r="A15" s="7" t="s">
        <v>198</v>
      </c>
      <c r="B15" s="13" t="n">
        <v>0.793572608711222</v>
      </c>
    </row>
    <row r="16" customFormat="false" ht="64.15" hidden="false" customHeight="false" outlineLevel="0" collapsed="false">
      <c r="A16" s="21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1" t="s">
        <v>200</v>
      </c>
    </row>
    <row r="3" customFormat="false" ht="23.85" hidden="false" customHeight="false" outlineLevel="0" collapsed="false">
      <c r="A3" s="7" t="s">
        <v>201</v>
      </c>
      <c r="B3" s="15" t="n">
        <f aca="false">'Income Statement'!E5-'Cash Flow &amp; FCFF'!C7</f>
        <v>1003.54578</v>
      </c>
      <c r="D3" s="2" t="s">
        <v>202</v>
      </c>
    </row>
    <row r="5" customFormat="false" ht="15" hidden="false" customHeight="false" outlineLevel="0" collapsed="false">
      <c r="A5" s="4" t="s">
        <v>203</v>
      </c>
    </row>
    <row r="6" customFormat="false" ht="15" hidden="false" customHeight="false" outlineLevel="0" collapsed="false">
      <c r="A6" s="7" t="s">
        <v>204</v>
      </c>
      <c r="B6" s="20" t="n">
        <f aca="false">(C6*$B$3-Assumptions!B7-Assumptions!B9)/Assumptions!B6</f>
        <v>1.88786496545106</v>
      </c>
      <c r="C6" s="22" t="n">
        <v>11.5</v>
      </c>
    </row>
    <row r="7" customFormat="false" ht="15" hidden="false" customHeight="false" outlineLevel="0" collapsed="false">
      <c r="A7" s="7" t="s">
        <v>205</v>
      </c>
      <c r="B7" s="17" t="n">
        <f aca="false">(C7*$B$3-Assumptions!B7-Assumptions!B9)/Assumptions!B6</f>
        <v>1.5026266621881</v>
      </c>
      <c r="C7" s="22" t="n">
        <v>9.5</v>
      </c>
    </row>
    <row r="8" customFormat="false" ht="15" hidden="false" customHeight="false" outlineLevel="0" collapsed="false">
      <c r="A8" s="7" t="s">
        <v>206</v>
      </c>
      <c r="B8" s="17" t="n">
        <f aca="false">(C8*$B$3-Assumptions!B7-Assumptions!B9)/Assumptions!B6</f>
        <v>2.17679369289827</v>
      </c>
      <c r="C8" s="22" t="n">
        <v>13</v>
      </c>
    </row>
    <row r="9" customFormat="false" ht="23.85" hidden="false" customHeight="false" outlineLevel="0" collapsed="false">
      <c r="D9" s="2" t="s">
        <v>207</v>
      </c>
    </row>
    <row r="11" customFormat="false" ht="15" hidden="false" customHeight="false" outlineLevel="0" collapsed="false">
      <c r="A11" s="4" t="s">
        <v>22</v>
      </c>
    </row>
    <row r="12" customFormat="false" ht="15" hidden="false" customHeight="false" outlineLevel="0" collapsed="false">
      <c r="A12" s="7" t="s">
        <v>208</v>
      </c>
      <c r="B12" s="17" t="n">
        <f aca="false">('Income Statement'!E8-Assumptions!B28)*(1-Assumptions!B23)*Assumptions!B29/Assumptions!B6</f>
        <v>0.0878958621051824</v>
      </c>
    </row>
    <row r="13" customFormat="false" ht="15" hidden="false" customHeight="false" outlineLevel="0" collapsed="false">
      <c r="A13" s="7" t="s">
        <v>209</v>
      </c>
    </row>
    <row r="15" customFormat="false" ht="15" hidden="false" customHeight="false" outlineLevel="0" collapsed="false">
      <c r="A15" s="7" t="s">
        <v>210</v>
      </c>
      <c r="B15" s="20" t="n">
        <f aca="false">C15*$B$12</f>
        <v>1.4942296557881</v>
      </c>
      <c r="C15" s="22" t="n">
        <v>17</v>
      </c>
    </row>
    <row r="16" customFormat="false" ht="15" hidden="false" customHeight="false" outlineLevel="0" collapsed="false">
      <c r="A16" s="7" t="s">
        <v>211</v>
      </c>
      <c r="B16" s="17" t="n">
        <f aca="false">C16*$B$12</f>
        <v>1.23054206947255</v>
      </c>
      <c r="C16" s="22" t="n">
        <v>14</v>
      </c>
    </row>
    <row r="17" customFormat="false" ht="15" hidden="false" customHeight="false" outlineLevel="0" collapsed="false">
      <c r="A17" s="7" t="s">
        <v>212</v>
      </c>
      <c r="B17" s="17" t="n">
        <f aca="false">C17*$B$12</f>
        <v>1.75791724210365</v>
      </c>
      <c r="C17" s="22" t="n">
        <v>20</v>
      </c>
    </row>
    <row r="19" customFormat="false" ht="15" hidden="false" customHeight="false" outlineLevel="0" collapsed="false">
      <c r="A19" s="4" t="s">
        <v>213</v>
      </c>
    </row>
    <row r="20" customFormat="false" ht="15" hidden="false" customHeight="false" outlineLevel="0" collapsed="false">
      <c r="A20" s="6" t="s">
        <v>214</v>
      </c>
      <c r="B20" s="6" t="s">
        <v>215</v>
      </c>
      <c r="C20" s="6" t="s">
        <v>216</v>
      </c>
      <c r="D20" s="6"/>
    </row>
    <row r="21" customFormat="false" ht="15" hidden="false" customHeight="false" outlineLevel="0" collapsed="false">
      <c r="A21" s="7" t="s">
        <v>217</v>
      </c>
      <c r="B21" s="5" t="n">
        <f aca="false">Assumptions!B5</f>
        <v>1.11</v>
      </c>
      <c r="C21" s="23" t="n">
        <f aca="false">(B21*Assumptions!B6+Assumptions!B7+Assumptions!B9)/$B$3</f>
        <v>7.46164265670072</v>
      </c>
      <c r="D21" s="23" t="n">
        <f aca="false">B21/$B$12</f>
        <v>12.6285808388988</v>
      </c>
    </row>
    <row r="22" customFormat="false" ht="15" hidden="false" customHeight="false" outlineLevel="0" collapsed="false">
      <c r="A22" s="7" t="s">
        <v>218</v>
      </c>
      <c r="B22" s="17" t="n">
        <f aca="false">B6</f>
        <v>1.88786496545106</v>
      </c>
      <c r="C22" s="23" t="n">
        <f aca="false">(B22*Assumptions!B6+Assumptions!B7+Assumptions!B9)/$B$3</f>
        <v>11.5</v>
      </c>
      <c r="D22" s="23" t="n">
        <f aca="false">B22/$B$12</f>
        <v>21.4784282244357</v>
      </c>
    </row>
    <row r="23" customFormat="false" ht="15" hidden="false" customHeight="false" outlineLevel="0" collapsed="false">
      <c r="A23" s="7" t="s">
        <v>26</v>
      </c>
      <c r="B23" s="5" t="n">
        <f aca="false">Summary!C10</f>
        <v>1.85401288456985</v>
      </c>
      <c r="C23" s="23" t="n">
        <f aca="false">(B23*Assumptions!B6+Assumptions!B7+Assumptions!B9)/$B$3</f>
        <v>11.3242538159135</v>
      </c>
      <c r="D23" s="23" t="n">
        <f aca="false">B23/$B$12</f>
        <v>21.0932897199553</v>
      </c>
    </row>
    <row r="24" customFormat="false" ht="15" hidden="false" customHeight="false" outlineLevel="0" collapsed="false">
      <c r="A24" s="7" t="s">
        <v>219</v>
      </c>
      <c r="B24" s="5" t="n">
        <f aca="false">DCF!B27</f>
        <v>2.63932013969599</v>
      </c>
      <c r="C24" s="23" t="n">
        <f aca="false">(B24*Assumptions!B6+Assumptions!B7+Assumptions!B9)/$B$3</f>
        <v>15.401248488949</v>
      </c>
      <c r="D24" s="23" t="n">
        <f aca="false">B24/$B$12</f>
        <v>30.0278087782744</v>
      </c>
    </row>
    <row r="26" customFormat="false" ht="15" hidden="false" customHeight="false" outlineLevel="0" collapsed="false">
      <c r="A26" s="4" t="s">
        <v>220</v>
      </c>
    </row>
    <row r="27" customFormat="false" ht="15" hidden="false" customHeight="false" outlineLevel="0" collapsed="false">
      <c r="A27" s="6" t="s">
        <v>221</v>
      </c>
      <c r="B27" s="6" t="s">
        <v>203</v>
      </c>
      <c r="C27" s="6" t="s">
        <v>222</v>
      </c>
      <c r="D27" s="6" t="s">
        <v>128</v>
      </c>
    </row>
    <row r="28" customFormat="false" ht="15" hidden="false" customHeight="false" outlineLevel="0" collapsed="false">
      <c r="A28" s="7" t="s">
        <v>223</v>
      </c>
      <c r="B28" s="12" t="s">
        <v>224</v>
      </c>
      <c r="C28" s="12" t="s">
        <v>225</v>
      </c>
      <c r="D28" s="2" t="s">
        <v>226</v>
      </c>
    </row>
    <row r="29" customFormat="false" ht="15" hidden="false" customHeight="false" outlineLevel="0" collapsed="false">
      <c r="A29" s="7" t="s">
        <v>227</v>
      </c>
      <c r="B29" s="12" t="s">
        <v>228</v>
      </c>
      <c r="C29" s="12" t="s">
        <v>229</v>
      </c>
      <c r="D29" s="2"/>
    </row>
    <row r="30" customFormat="false" ht="15" hidden="false" customHeight="false" outlineLevel="0" collapsed="false">
      <c r="A30" s="7" t="s">
        <v>230</v>
      </c>
      <c r="B30" s="12" t="s">
        <v>231</v>
      </c>
      <c r="C30" s="12" t="s">
        <v>232</v>
      </c>
      <c r="D30" s="2"/>
    </row>
    <row r="31" customFormat="false" ht="15" hidden="false" customHeight="false" outlineLevel="0" collapsed="false">
      <c r="A31" s="7" t="s">
        <v>233</v>
      </c>
      <c r="B31" s="12" t="s">
        <v>234</v>
      </c>
      <c r="C31" s="12" t="s">
        <v>234</v>
      </c>
      <c r="D31" s="2" t="s">
        <v>235</v>
      </c>
    </row>
    <row r="32" customFormat="false" ht="15" hidden="false" customHeight="false" outlineLevel="0" collapsed="false">
      <c r="A32" s="7" t="s">
        <v>236</v>
      </c>
      <c r="B32" s="12" t="s">
        <v>237</v>
      </c>
      <c r="C32" s="12" t="s">
        <v>237</v>
      </c>
      <c r="D32" s="2" t="s">
        <v>238</v>
      </c>
    </row>
    <row r="33" customFormat="false" ht="15" hidden="false" customHeight="false" outlineLevel="0" collapsed="false">
      <c r="A33" s="7" t="s">
        <v>239</v>
      </c>
      <c r="B33" s="12" t="s">
        <v>240</v>
      </c>
      <c r="C33" s="12" t="s">
        <v>241</v>
      </c>
      <c r="D33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243</v>
      </c>
    </row>
    <row r="4" customFormat="false" ht="35.05" hidden="false" customHeight="false" outlineLevel="0" collapsed="false">
      <c r="A4" s="7" t="s">
        <v>244</v>
      </c>
      <c r="B4" s="8" t="n">
        <v>0.039</v>
      </c>
      <c r="C4" s="2" t="s">
        <v>245</v>
      </c>
    </row>
    <row r="5" customFormat="false" ht="23.85" hidden="false" customHeight="false" outlineLevel="0" collapsed="false">
      <c r="A5" s="7" t="s">
        <v>246</v>
      </c>
      <c r="B5" s="8" t="n">
        <v>0.0475</v>
      </c>
      <c r="C5" s="2" t="s">
        <v>247</v>
      </c>
    </row>
    <row r="6" customFormat="false" ht="23.85" hidden="false" customHeight="false" outlineLevel="0" collapsed="false">
      <c r="A6" s="7" t="s">
        <v>248</v>
      </c>
      <c r="B6" s="8" t="n">
        <v>0.0499</v>
      </c>
      <c r="C6" s="2" t="s">
        <v>249</v>
      </c>
    </row>
    <row r="7" customFormat="false" ht="46.25" hidden="false" customHeight="false" outlineLevel="0" collapsed="false">
      <c r="A7" s="7" t="s">
        <v>250</v>
      </c>
      <c r="B7" s="8" t="n">
        <v>1</v>
      </c>
      <c r="C7" s="2" t="s">
        <v>251</v>
      </c>
    </row>
    <row r="8" customFormat="false" ht="15" hidden="false" customHeight="false" outlineLevel="0" collapsed="false">
      <c r="A8" s="7" t="s">
        <v>252</v>
      </c>
      <c r="B8" s="10" t="n">
        <f aca="false">B4+B7*B6</f>
        <v>0.0889</v>
      </c>
      <c r="C8" s="2"/>
    </row>
    <row r="9" customFormat="false" ht="15" hidden="false" customHeight="false" outlineLevel="0" collapsed="false">
      <c r="A9" s="7" t="s">
        <v>253</v>
      </c>
      <c r="B9" s="10" t="n">
        <f aca="false">B5+B7*B6</f>
        <v>0.0974</v>
      </c>
      <c r="C9" s="2"/>
    </row>
    <row r="10" customFormat="false" ht="23.85" hidden="false" customHeight="false" outlineLevel="0" collapsed="false">
      <c r="A10" s="7" t="s">
        <v>254</v>
      </c>
      <c r="B10" s="8" t="n">
        <v>0.07</v>
      </c>
      <c r="C10" s="2" t="s">
        <v>255</v>
      </c>
    </row>
    <row r="11" customFormat="false" ht="23.85" hidden="false" customHeight="false" outlineLevel="0" collapsed="false">
      <c r="A11" s="7" t="s">
        <v>256</v>
      </c>
      <c r="B11" s="8" t="n">
        <v>0.15</v>
      </c>
      <c r="C11" s="2" t="s">
        <v>257</v>
      </c>
    </row>
    <row r="12" customFormat="false" ht="15" hidden="false" customHeight="false" outlineLevel="0" collapsed="false">
      <c r="A12" s="7" t="s">
        <v>258</v>
      </c>
      <c r="B12" s="10" t="n">
        <f aca="false">Assumptions!B6*Assumptions!B5</f>
        <v>5783.1</v>
      </c>
      <c r="C12" s="2" t="s">
        <v>259</v>
      </c>
    </row>
    <row r="13" customFormat="false" ht="15" hidden="false" customHeight="false" outlineLevel="0" collapsed="false">
      <c r="A13" s="7" t="s">
        <v>260</v>
      </c>
      <c r="B13" s="10" t="n">
        <f aca="false">B12/(B12+1918)</f>
        <v>0.750944670241914</v>
      </c>
      <c r="C13" s="2"/>
    </row>
    <row r="14" customFormat="false" ht="15" hidden="false" customHeight="false" outlineLevel="0" collapsed="false">
      <c r="A14" s="4" t="s">
        <v>261</v>
      </c>
      <c r="B14" s="10" t="n">
        <f aca="false">B13*B8+(1-B13)*B10*(1-B11)</f>
        <v>0.0815777733051123</v>
      </c>
      <c r="C14" s="2"/>
    </row>
    <row r="15" customFormat="false" ht="15" hidden="false" customHeight="false" outlineLevel="0" collapsed="false">
      <c r="A15" s="4" t="s">
        <v>262</v>
      </c>
      <c r="B15" s="10" t="n">
        <f aca="false">B13*B9+(1-B13)*B10*(1-B11)</f>
        <v>0.0879608030021685</v>
      </c>
      <c r="C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2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4" t="s">
        <v>264</v>
      </c>
      <c r="B3" s="8" t="n">
        <v>0.015</v>
      </c>
      <c r="C3" s="8" t="n">
        <v>0.02</v>
      </c>
      <c r="D3" s="8" t="n">
        <v>0.025</v>
      </c>
      <c r="E3" s="8" t="n">
        <v>0.03</v>
      </c>
      <c r="F3" s="8" t="n">
        <v>0.035</v>
      </c>
    </row>
    <row r="4" customFormat="false" ht="35.05" hidden="false" customHeight="false" outlineLevel="0" collapsed="false">
      <c r="A4" s="8" t="n">
        <v>0.0735777733051123</v>
      </c>
      <c r="B4" s="20" t="n">
        <v>2.63395391045863</v>
      </c>
      <c r="C4" s="17" t="n">
        <v>2.87498884530802</v>
      </c>
      <c r="D4" s="17" t="n">
        <v>3.16564213819443</v>
      </c>
      <c r="E4" s="17" t="n">
        <v>3.52299303190852</v>
      </c>
      <c r="F4" s="17" t="n">
        <v>3.97297521641481</v>
      </c>
      <c r="H4" s="2" t="s">
        <v>265</v>
      </c>
    </row>
    <row r="5" customFormat="false" ht="15" hidden="false" customHeight="false" outlineLevel="0" collapsed="false">
      <c r="A5" s="8" t="n">
        <v>0.0775777733051123</v>
      </c>
      <c r="B5" s="17" t="n">
        <v>2.42928384847073</v>
      </c>
      <c r="C5" s="20" t="n">
        <v>2.63613697406564</v>
      </c>
      <c r="D5" s="17" t="n">
        <v>2.88233241345435</v>
      </c>
      <c r="E5" s="17" t="n">
        <v>3.18027374641607</v>
      </c>
      <c r="F5" s="17" t="n">
        <v>3.54819086952225</v>
      </c>
    </row>
    <row r="6" customFormat="false" ht="15" hidden="false" customHeight="false" outlineLevel="0" collapsed="false">
      <c r="A6" s="8" t="n">
        <v>0.0815777733051123</v>
      </c>
      <c r="B6" s="17" t="n">
        <v>2.24941817729529</v>
      </c>
      <c r="C6" s="17" t="n">
        <v>2.42853950351328</v>
      </c>
      <c r="D6" s="20" t="n">
        <v>2.63932013969599</v>
      </c>
      <c r="E6" s="17" t="n">
        <v>2.89096733964753</v>
      </c>
      <c r="F6" s="17" t="n">
        <v>3.19664185393697</v>
      </c>
    </row>
    <row r="7" customFormat="false" ht="15" hidden="false" customHeight="false" outlineLevel="0" collapsed="false">
      <c r="A7" s="8" t="n">
        <v>0.0855777733051123</v>
      </c>
      <c r="B7" s="17" t="n">
        <v>2.09013571808794</v>
      </c>
      <c r="C7" s="17" t="n">
        <v>2.2464732200594</v>
      </c>
      <c r="D7" s="17" t="n">
        <v>2.42861845536963</v>
      </c>
      <c r="E7" s="20" t="n">
        <v>2.64353672645988</v>
      </c>
      <c r="F7" s="17" t="n">
        <v>2.90094762959894</v>
      </c>
    </row>
    <row r="8" customFormat="false" ht="15" hidden="false" customHeight="false" outlineLevel="0" collapsed="false">
      <c r="A8" s="8" t="n">
        <v>0.0895777733051123</v>
      </c>
      <c r="B8" s="17" t="n">
        <v>1.94812099222177</v>
      </c>
      <c r="C8" s="17" t="n">
        <v>2.08553109941066</v>
      </c>
      <c r="D8" s="17" t="n">
        <v>2.24421944215277</v>
      </c>
      <c r="E8" s="17" t="n">
        <v>2.42954327896236</v>
      </c>
      <c r="F8" s="20" t="n">
        <v>2.64882303327952</v>
      </c>
    </row>
    <row r="11" customFormat="false" ht="15" hidden="false" customHeight="false" outlineLevel="0" collapsed="false">
      <c r="A11" s="4" t="s">
        <v>266</v>
      </c>
      <c r="B11" s="8" t="n">
        <v>0.19</v>
      </c>
      <c r="C11" s="8" t="n">
        <v>0.205</v>
      </c>
      <c r="D11" s="8" t="n">
        <v>0.22</v>
      </c>
      <c r="E11" s="8" t="n">
        <v>0.235</v>
      </c>
    </row>
    <row r="12" customFormat="false" ht="35.05" hidden="false" customHeight="false" outlineLevel="0" collapsed="false">
      <c r="A12" s="7" t="s">
        <v>267</v>
      </c>
      <c r="B12" s="17" t="n">
        <v>2.1719141016514</v>
      </c>
      <c r="C12" s="17" t="n">
        <v>2.48355513388228</v>
      </c>
      <c r="D12" s="17" t="n">
        <v>2.79519616611315</v>
      </c>
      <c r="E12" s="17" t="n">
        <v>3.10683719834403</v>
      </c>
      <c r="H12" s="2" t="s">
        <v>268</v>
      </c>
    </row>
    <row r="13" customFormat="false" ht="15" hidden="false" customHeight="false" outlineLevel="0" collapsed="false">
      <c r="A13" s="7" t="s">
        <v>269</v>
      </c>
      <c r="B13" s="17" t="n">
        <v>1.97544294298325</v>
      </c>
      <c r="C13" s="17" t="n">
        <v>2.26653621484725</v>
      </c>
      <c r="D13" s="17" t="n">
        <v>2.55762948671126</v>
      </c>
      <c r="E13" s="17" t="n">
        <v>2.84872275857526</v>
      </c>
    </row>
    <row r="16" customFormat="false" ht="15" hidden="false" customHeight="false" outlineLevel="0" collapsed="false">
      <c r="A16" s="4" t="s">
        <v>270</v>
      </c>
      <c r="B16" s="24" t="n">
        <v>0.8</v>
      </c>
      <c r="C16" s="24" t="n">
        <v>0.9</v>
      </c>
      <c r="D16" s="24" t="n">
        <v>1</v>
      </c>
      <c r="E16" s="24" t="n">
        <v>1.1</v>
      </c>
      <c r="F16" s="24" t="n">
        <v>1.2</v>
      </c>
      <c r="G16" s="24" t="n">
        <v>1.3</v>
      </c>
    </row>
    <row r="17" customFormat="false" ht="15" hidden="false" customHeight="false" outlineLevel="0" collapsed="false">
      <c r="A17" s="7" t="s">
        <v>271</v>
      </c>
      <c r="B17" s="17" t="n">
        <v>3.12726909967367</v>
      </c>
      <c r="C17" s="17" t="n">
        <v>2.86587809818036</v>
      </c>
      <c r="D17" s="17" t="n">
        <v>2.63932013969599</v>
      </c>
      <c r="E17" s="17" t="n">
        <v>2.44110054205425</v>
      </c>
      <c r="F17" s="17" t="n">
        <v>2.26624404092645</v>
      </c>
      <c r="G17" s="17" t="n">
        <v>2.11087502750027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0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3" t="s">
        <v>273</v>
      </c>
    </row>
    <row r="5" customFormat="false" ht="15" hidden="false" customHeight="false" outlineLevel="0" collapsed="false">
      <c r="A5" s="6" t="s">
        <v>274</v>
      </c>
      <c r="B5" s="6" t="s">
        <v>29</v>
      </c>
      <c r="C5" s="6" t="s">
        <v>275</v>
      </c>
      <c r="D5" s="6" t="s">
        <v>30</v>
      </c>
      <c r="E5" s="6" t="s">
        <v>276</v>
      </c>
      <c r="F5" s="6" t="s">
        <v>31</v>
      </c>
      <c r="G5" s="6" t="s">
        <v>32</v>
      </c>
      <c r="H5" s="6" t="s">
        <v>277</v>
      </c>
      <c r="I5" s="6" t="s">
        <v>278</v>
      </c>
      <c r="J5" s="6" t="s">
        <v>279</v>
      </c>
    </row>
    <row r="7" customFormat="false" ht="15" hidden="false" customHeight="false" outlineLevel="0" collapsed="false">
      <c r="A7" s="7" t="s">
        <v>280</v>
      </c>
      <c r="B7" s="13" t="n">
        <v>0.944280975172813</v>
      </c>
      <c r="C7" s="13" t="n">
        <v>1.0441020518322</v>
      </c>
      <c r="D7" s="13" t="n">
        <v>1.11101304488884</v>
      </c>
      <c r="E7" s="13" t="n">
        <v>1.18337568145988</v>
      </c>
      <c r="F7" s="13" t="n">
        <v>1.30850644472833</v>
      </c>
      <c r="G7" s="10" t="n">
        <v>0.50408</v>
      </c>
      <c r="H7" s="7" t="s">
        <v>281</v>
      </c>
      <c r="I7" s="7" t="s">
        <v>282</v>
      </c>
      <c r="J7" s="8" t="n">
        <v>0.0999915863012904</v>
      </c>
    </row>
    <row r="8" customFormat="false" ht="15" hidden="false" customHeight="false" outlineLevel="0" collapsed="false">
      <c r="A8" s="7" t="s">
        <v>283</v>
      </c>
      <c r="B8" s="13" t="n">
        <v>0.836716816578576</v>
      </c>
      <c r="C8" s="13" t="n">
        <v>0.998471123291248</v>
      </c>
      <c r="D8" s="13" t="n">
        <v>1.11373341264072</v>
      </c>
      <c r="E8" s="13" t="n">
        <v>1.2444529347078</v>
      </c>
      <c r="F8" s="13" t="n">
        <v>1.48510015292621</v>
      </c>
      <c r="G8" s="10" t="n">
        <v>0.50838</v>
      </c>
      <c r="H8" s="7" t="s">
        <v>284</v>
      </c>
      <c r="I8" s="7" t="s">
        <v>285</v>
      </c>
      <c r="J8" s="8" t="n">
        <v>0.175865140382331</v>
      </c>
    </row>
    <row r="10" customFormat="false" ht="15" hidden="false" customHeight="false" outlineLevel="0" collapsed="false">
      <c r="A10" s="4" t="s">
        <v>286</v>
      </c>
    </row>
    <row r="11" customFormat="false" ht="15" hidden="false" customHeight="false" outlineLevel="0" collapsed="false">
      <c r="A11" s="7" t="s">
        <v>287</v>
      </c>
      <c r="B11" s="19" t="n">
        <v>0.00848968504953207</v>
      </c>
    </row>
    <row r="12" customFormat="false" ht="15" hidden="false" customHeight="false" outlineLevel="0" collapsed="false">
      <c r="A12" s="7" t="s">
        <v>288</v>
      </c>
      <c r="B12" s="19" t="n">
        <v>-0.0042518136666682</v>
      </c>
    </row>
    <row r="13" customFormat="false" ht="15" hidden="false" customHeight="false" outlineLevel="0" collapsed="false">
      <c r="A13" s="7" t="s">
        <v>289</v>
      </c>
      <c r="B13" s="19" t="n">
        <v>0</v>
      </c>
    </row>
    <row r="14" customFormat="false" ht="15" hidden="false" customHeight="false" outlineLevel="0" collapsed="false">
      <c r="A14" s="7" t="s">
        <v>290</v>
      </c>
      <c r="B14" s="19" t="n">
        <v>0.00423787138286387</v>
      </c>
    </row>
    <row r="16" customFormat="false" ht="15" hidden="false" customHeight="false" outlineLevel="0" collapsed="false">
      <c r="A16" s="4" t="s">
        <v>291</v>
      </c>
    </row>
    <row r="17" customFormat="false" ht="225.35" hidden="false" customHeight="false" outlineLevel="0" collapsed="false">
      <c r="A17" s="7" t="s">
        <v>292</v>
      </c>
      <c r="B17" s="8" t="n">
        <v>0.15326</v>
      </c>
      <c r="D17" s="2" t="s">
        <v>293</v>
      </c>
    </row>
    <row r="18" customFormat="false" ht="15" hidden="false" customHeight="false" outlineLevel="0" collapsed="false">
      <c r="A18" s="7" t="s">
        <v>294</v>
      </c>
      <c r="B18" s="8" t="n">
        <v>0.31062</v>
      </c>
    </row>
    <row r="19" customFormat="false" ht="15" hidden="false" customHeight="false" outlineLevel="0" collapsed="false">
      <c r="A19" s="7" t="s">
        <v>295</v>
      </c>
      <c r="B19" s="8" t="n">
        <v>0.43268</v>
      </c>
    </row>
    <row r="20" customFormat="false" ht="15" hidden="false" customHeight="false" outlineLevel="0" collapsed="false">
      <c r="A20" s="7" t="s">
        <v>296</v>
      </c>
      <c r="B20" s="8" t="n">
        <v>0.58934</v>
      </c>
    </row>
    <row r="21" customFormat="false" ht="15" hidden="false" customHeight="false" outlineLevel="0" collapsed="false">
      <c r="A21" s="7" t="s">
        <v>297</v>
      </c>
      <c r="B21" s="8" t="n">
        <v>0.77688</v>
      </c>
    </row>
    <row r="22" customFormat="false" ht="15" hidden="false" customHeight="false" outlineLevel="0" collapsed="false">
      <c r="A22" s="7" t="s">
        <v>298</v>
      </c>
      <c r="B22" s="8" t="n">
        <v>0.6701</v>
      </c>
    </row>
    <row r="23" customFormat="false" ht="15" hidden="false" customHeight="false" outlineLevel="0" collapsed="false">
      <c r="A23" s="7" t="s">
        <v>299</v>
      </c>
      <c r="B23" s="8" t="n">
        <v>0.467</v>
      </c>
    </row>
    <row r="24" customFormat="false" ht="15" hidden="false" customHeight="false" outlineLevel="0" collapsed="false">
      <c r="A24" s="7" t="s">
        <v>300</v>
      </c>
      <c r="B24" s="8" t="n">
        <v>0.30078</v>
      </c>
    </row>
    <row r="25" customFormat="false" ht="15" hidden="false" customHeight="false" outlineLevel="0" collapsed="false">
      <c r="A25" s="7" t="s">
        <v>301</v>
      </c>
      <c r="B25" s="8" t="n">
        <v>0.17768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302</v>
      </c>
    </row>
    <row r="3" customFormat="false" ht="15" hidden="false" customHeight="false" outlineLevel="0" collapsed="false">
      <c r="A3" s="7" t="s">
        <v>217</v>
      </c>
      <c r="B3" s="13" t="n">
        <v>1.11</v>
      </c>
      <c r="C3" s="2"/>
    </row>
    <row r="4" customFormat="false" ht="15" hidden="false" customHeight="false" outlineLevel="0" collapsed="false">
      <c r="A4" s="7" t="s">
        <v>303</v>
      </c>
      <c r="B4" s="12" t="s">
        <v>304</v>
      </c>
      <c r="C4" s="2"/>
    </row>
    <row r="5" customFormat="false" ht="15" hidden="false" customHeight="false" outlineLevel="0" collapsed="false">
      <c r="A5" s="7" t="s">
        <v>305</v>
      </c>
      <c r="B5" s="12" t="s">
        <v>306</v>
      </c>
      <c r="C5" s="2" t="s">
        <v>307</v>
      </c>
    </row>
    <row r="6" customFormat="false" ht="15" hidden="false" customHeight="false" outlineLevel="0" collapsed="false">
      <c r="A6" s="7" t="s">
        <v>308</v>
      </c>
      <c r="B6" s="12" t="s">
        <v>309</v>
      </c>
      <c r="C6" s="2"/>
    </row>
    <row r="7" customFormat="false" ht="15" hidden="false" customHeight="false" outlineLevel="0" collapsed="false">
      <c r="A7" s="7" t="s">
        <v>310</v>
      </c>
      <c r="B7" s="24" t="n">
        <v>49.7</v>
      </c>
      <c r="C7" s="2"/>
    </row>
    <row r="8" customFormat="false" ht="23.85" hidden="false" customHeight="false" outlineLevel="0" collapsed="false">
      <c r="A8" s="7" t="s">
        <v>311</v>
      </c>
      <c r="B8" s="12" t="s">
        <v>312</v>
      </c>
      <c r="C8" s="2" t="s">
        <v>313</v>
      </c>
    </row>
    <row r="9" customFormat="false" ht="15" hidden="false" customHeight="false" outlineLevel="0" collapsed="false">
      <c r="A9" s="7" t="s">
        <v>314</v>
      </c>
      <c r="B9" s="12" t="s">
        <v>315</v>
      </c>
      <c r="C9" s="2"/>
    </row>
    <row r="10" customFormat="false" ht="15" hidden="false" customHeight="false" outlineLevel="0" collapsed="false">
      <c r="A10" s="7" t="s">
        <v>316</v>
      </c>
      <c r="B10" s="12" t="s">
        <v>317</v>
      </c>
      <c r="C10" s="2" t="s">
        <v>318</v>
      </c>
    </row>
    <row r="11" customFormat="false" ht="15" hidden="false" customHeight="false" outlineLevel="0" collapsed="false">
      <c r="A11" s="7" t="s">
        <v>319</v>
      </c>
      <c r="B11" s="12" t="s">
        <v>320</v>
      </c>
      <c r="C11" s="2" t="s">
        <v>321</v>
      </c>
    </row>
    <row r="12" customFormat="false" ht="15" hidden="false" customHeight="false" outlineLevel="0" collapsed="false">
      <c r="A12" s="7" t="s">
        <v>322</v>
      </c>
      <c r="B12" s="12" t="s">
        <v>323</v>
      </c>
      <c r="C12" s="2" t="s">
        <v>324</v>
      </c>
    </row>
    <row r="13" customFormat="false" ht="15" hidden="false" customHeight="false" outlineLevel="0" collapsed="false">
      <c r="A13" s="7" t="s">
        <v>325</v>
      </c>
      <c r="B13" s="12" t="s">
        <v>326</v>
      </c>
      <c r="C13" s="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95"/>
    <col collapsed="false" customWidth="true" hidden="false" outlineLevel="0" max="4" min="4" style="0" width="8"/>
  </cols>
  <sheetData>
    <row r="1" customFormat="false" ht="16.1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3" t="s">
        <v>329</v>
      </c>
    </row>
    <row r="3" customFormat="false" ht="15" hidden="false" customHeight="false" outlineLevel="0" collapsed="false">
      <c r="A3" s="6" t="s">
        <v>330</v>
      </c>
      <c r="B3" s="6" t="s">
        <v>127</v>
      </c>
      <c r="C3" s="6" t="s">
        <v>331</v>
      </c>
      <c r="D3" s="6" t="s">
        <v>332</v>
      </c>
    </row>
    <row r="4" customFormat="false" ht="25.5" hidden="false" customHeight="true" outlineLevel="0" collapsed="false">
      <c r="A4" s="7" t="s">
        <v>333</v>
      </c>
      <c r="B4" s="7" t="s">
        <v>334</v>
      </c>
      <c r="C4" s="2" t="s">
        <v>335</v>
      </c>
      <c r="D4" s="4" t="s">
        <v>336</v>
      </c>
    </row>
    <row r="5" customFormat="false" ht="25.5" hidden="false" customHeight="true" outlineLevel="0" collapsed="false">
      <c r="A5" s="7" t="s">
        <v>333</v>
      </c>
      <c r="B5" s="7" t="s">
        <v>337</v>
      </c>
      <c r="C5" s="2" t="s">
        <v>338</v>
      </c>
      <c r="D5" s="4" t="s">
        <v>339</v>
      </c>
    </row>
    <row r="6" customFormat="false" ht="39.75" hidden="false" customHeight="true" outlineLevel="0" collapsed="false">
      <c r="A6" s="7" t="s">
        <v>333</v>
      </c>
      <c r="B6" s="7" t="s">
        <v>340</v>
      </c>
      <c r="C6" s="2" t="s">
        <v>341</v>
      </c>
      <c r="D6" s="4" t="s">
        <v>336</v>
      </c>
    </row>
    <row r="7" customFormat="false" ht="25.5" hidden="false" customHeight="true" outlineLevel="0" collapsed="false">
      <c r="A7" s="7" t="s">
        <v>342</v>
      </c>
      <c r="B7" s="7" t="s">
        <v>343</v>
      </c>
      <c r="C7" s="2" t="s">
        <v>344</v>
      </c>
      <c r="D7" s="4" t="s">
        <v>339</v>
      </c>
    </row>
    <row r="8" customFormat="false" ht="39.75" hidden="false" customHeight="true" outlineLevel="0" collapsed="false">
      <c r="A8" s="7" t="s">
        <v>342</v>
      </c>
      <c r="B8" s="7" t="s">
        <v>345</v>
      </c>
      <c r="C8" s="2" t="s">
        <v>346</v>
      </c>
      <c r="D8" s="4" t="s">
        <v>336</v>
      </c>
    </row>
    <row r="9" customFormat="false" ht="25.5" hidden="false" customHeight="true" outlineLevel="0" collapsed="false">
      <c r="A9" s="7" t="s">
        <v>342</v>
      </c>
      <c r="B9" s="7" t="s">
        <v>347</v>
      </c>
      <c r="C9" s="2" t="s">
        <v>348</v>
      </c>
      <c r="D9" s="4" t="s">
        <v>339</v>
      </c>
    </row>
    <row r="10" customFormat="false" ht="25.5" hidden="false" customHeight="true" outlineLevel="0" collapsed="false">
      <c r="A10" s="7" t="s">
        <v>342</v>
      </c>
      <c r="B10" s="7" t="s">
        <v>349</v>
      </c>
      <c r="C10" s="2" t="s">
        <v>350</v>
      </c>
      <c r="D10" s="4" t="s">
        <v>351</v>
      </c>
    </row>
    <row r="11" customFormat="false" ht="25.5" hidden="false" customHeight="true" outlineLevel="0" collapsed="false">
      <c r="A11" s="7" t="s">
        <v>342</v>
      </c>
      <c r="B11" s="7" t="s">
        <v>352</v>
      </c>
      <c r="C11" s="2" t="s">
        <v>353</v>
      </c>
      <c r="D11" s="4" t="s">
        <v>351</v>
      </c>
    </row>
    <row r="12" customFormat="false" ht="39.75" hidden="false" customHeight="true" outlineLevel="0" collapsed="false">
      <c r="A12" s="7" t="s">
        <v>354</v>
      </c>
      <c r="B12" s="7" t="s">
        <v>355</v>
      </c>
      <c r="C12" s="2" t="s">
        <v>356</v>
      </c>
      <c r="D12" s="4" t="s">
        <v>336</v>
      </c>
    </row>
    <row r="13" customFormat="false" ht="25.5" hidden="false" customHeight="true" outlineLevel="0" collapsed="false">
      <c r="A13" s="7" t="s">
        <v>354</v>
      </c>
      <c r="B13" s="7" t="s">
        <v>357</v>
      </c>
      <c r="C13" s="2" t="s">
        <v>358</v>
      </c>
      <c r="D13" s="4" t="s">
        <v>336</v>
      </c>
    </row>
    <row r="14" customFormat="false" ht="39.75" hidden="false" customHeight="true" outlineLevel="0" collapsed="false">
      <c r="A14" s="7" t="s">
        <v>354</v>
      </c>
      <c r="B14" s="7" t="s">
        <v>359</v>
      </c>
      <c r="C14" s="2" t="s">
        <v>360</v>
      </c>
      <c r="D14" s="4" t="s">
        <v>361</v>
      </c>
    </row>
    <row r="15" customFormat="false" ht="39.75" hidden="false" customHeight="true" outlineLevel="0" collapsed="false">
      <c r="A15" s="7" t="s">
        <v>354</v>
      </c>
      <c r="B15" s="7" t="s">
        <v>362</v>
      </c>
      <c r="C15" s="2" t="s">
        <v>363</v>
      </c>
      <c r="D15" s="4" t="s">
        <v>351</v>
      </c>
    </row>
    <row r="16" customFormat="false" ht="39.75" hidden="false" customHeight="true" outlineLevel="0" collapsed="false">
      <c r="A16" s="7" t="s">
        <v>364</v>
      </c>
      <c r="B16" s="7" t="s">
        <v>97</v>
      </c>
      <c r="C16" s="2" t="s">
        <v>365</v>
      </c>
      <c r="D16" s="4" t="s">
        <v>339</v>
      </c>
    </row>
    <row r="17" customFormat="false" ht="25.5" hidden="false" customHeight="true" outlineLevel="0" collapsed="false">
      <c r="A17" s="7" t="s">
        <v>364</v>
      </c>
      <c r="B17" s="7" t="s">
        <v>366</v>
      </c>
      <c r="C17" s="2" t="s">
        <v>367</v>
      </c>
      <c r="D17" s="4" t="s">
        <v>339</v>
      </c>
    </row>
    <row r="18" customFormat="false" ht="25.5" hidden="false" customHeight="true" outlineLevel="0" collapsed="false">
      <c r="A18" s="7" t="s">
        <v>364</v>
      </c>
      <c r="B18" s="7" t="s">
        <v>368</v>
      </c>
      <c r="C18" s="2" t="s">
        <v>369</v>
      </c>
      <c r="D18" s="4" t="s">
        <v>336</v>
      </c>
    </row>
    <row r="19" customFormat="false" ht="39.75" hidden="false" customHeight="true" outlineLevel="0" collapsed="false">
      <c r="A19" s="7" t="s">
        <v>364</v>
      </c>
      <c r="B19" s="7" t="s">
        <v>370</v>
      </c>
      <c r="C19" s="2" t="s">
        <v>371</v>
      </c>
      <c r="D19" s="4" t="s">
        <v>361</v>
      </c>
    </row>
    <row r="20" customFormat="false" ht="25.5" hidden="false" customHeight="true" outlineLevel="0" collapsed="false">
      <c r="A20" s="7" t="s">
        <v>364</v>
      </c>
      <c r="B20" s="7" t="s">
        <v>372</v>
      </c>
      <c r="C20" s="2" t="s">
        <v>373</v>
      </c>
      <c r="D20" s="4" t="s">
        <v>339</v>
      </c>
    </row>
    <row r="21" customFormat="false" ht="39.75" hidden="false" customHeight="true" outlineLevel="0" collapsed="false">
      <c r="A21" s="7" t="s">
        <v>364</v>
      </c>
      <c r="B21" s="7" t="s">
        <v>374</v>
      </c>
      <c r="C21" s="2" t="s">
        <v>375</v>
      </c>
      <c r="D21" s="4" t="s">
        <v>361</v>
      </c>
    </row>
    <row r="22" customFormat="false" ht="39.75" hidden="false" customHeight="true" outlineLevel="0" collapsed="false">
      <c r="A22" s="7" t="s">
        <v>364</v>
      </c>
      <c r="B22" s="7" t="s">
        <v>376</v>
      </c>
      <c r="C22" s="2" t="s">
        <v>377</v>
      </c>
      <c r="D22" s="4" t="s">
        <v>336</v>
      </c>
    </row>
    <row r="23" customFormat="false" ht="39.75" hidden="false" customHeight="true" outlineLevel="0" collapsed="false">
      <c r="A23" s="7" t="s">
        <v>364</v>
      </c>
      <c r="B23" s="7" t="s">
        <v>378</v>
      </c>
      <c r="C23" s="2" t="s">
        <v>379</v>
      </c>
      <c r="D23" s="4" t="s">
        <v>351</v>
      </c>
    </row>
    <row r="25" customFormat="false" ht="15" hidden="false" customHeight="false" outlineLevel="0" collapsed="false">
      <c r="A25" s="11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0"/>
    <col collapsed="false" customWidth="true" hidden="false" outlineLevel="0" max="7" min="7" style="0" width="9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1" t="s">
        <v>381</v>
      </c>
    </row>
    <row r="2" customFormat="false" ht="15" hidden="false" customHeight="false" outlineLevel="0" collapsed="false">
      <c r="A2" s="3" t="s">
        <v>382</v>
      </c>
    </row>
    <row r="4" customFormat="false" ht="15" hidden="false" customHeight="false" outlineLevel="0" collapsed="false">
      <c r="A4" s="6" t="s">
        <v>383</v>
      </c>
      <c r="B4" s="6" t="s">
        <v>217</v>
      </c>
      <c r="C4" s="6" t="s">
        <v>384</v>
      </c>
      <c r="D4" s="6" t="s">
        <v>385</v>
      </c>
      <c r="E4" s="6" t="s">
        <v>386</v>
      </c>
      <c r="F4" s="6" t="s">
        <v>387</v>
      </c>
      <c r="G4" s="6" t="s">
        <v>388</v>
      </c>
      <c r="H4" s="6"/>
    </row>
    <row r="5" customFormat="false" ht="15" hidden="false" customHeight="false" outlineLevel="0" collapsed="false">
      <c r="A5" s="7" t="s">
        <v>389</v>
      </c>
      <c r="B5" s="17" t="n">
        <v>2.9</v>
      </c>
      <c r="C5" s="17" t="n">
        <v>3.3</v>
      </c>
      <c r="D5" s="19" t="n">
        <v>0.2182</v>
      </c>
      <c r="E5" s="19" t="n">
        <v>0.2225</v>
      </c>
      <c r="F5" s="17" t="n">
        <v>0.768</v>
      </c>
      <c r="G5" s="7" t="s">
        <v>390</v>
      </c>
    </row>
    <row r="6" customFormat="false" ht="15" hidden="false" customHeight="false" outlineLevel="0" collapsed="false">
      <c r="A6" s="7" t="s">
        <v>391</v>
      </c>
      <c r="B6" s="17" t="n">
        <v>3.3</v>
      </c>
      <c r="C6" s="17" t="n">
        <v>3.01</v>
      </c>
      <c r="D6" s="19" t="n">
        <v>0.2091</v>
      </c>
      <c r="E6" s="19" t="n">
        <v>0.1975</v>
      </c>
      <c r="F6" s="17" t="n">
        <v>0.28</v>
      </c>
      <c r="G6" s="7" t="s">
        <v>390</v>
      </c>
    </row>
    <row r="7" customFormat="false" ht="15" hidden="false" customHeight="false" outlineLevel="0" collapsed="false">
      <c r="A7" s="7" t="s">
        <v>392</v>
      </c>
      <c r="B7" s="17" t="n">
        <v>3.01</v>
      </c>
      <c r="C7" s="17" t="n">
        <v>2.68</v>
      </c>
      <c r="D7" s="19" t="n">
        <v>0.2181</v>
      </c>
      <c r="E7" s="19" t="n">
        <v>0.216</v>
      </c>
      <c r="F7" s="17" t="n">
        <v>0.236</v>
      </c>
      <c r="G7" s="7" t="s">
        <v>390</v>
      </c>
    </row>
    <row r="8" customFormat="false" ht="15" hidden="false" customHeight="false" outlineLevel="0" collapsed="false">
      <c r="A8" s="7" t="s">
        <v>393</v>
      </c>
      <c r="B8" s="17" t="n">
        <v>2.68</v>
      </c>
      <c r="C8" s="17" t="n">
        <v>2.3</v>
      </c>
      <c r="D8" s="19" t="n">
        <v>0.2447</v>
      </c>
      <c r="E8" s="19" t="n">
        <v>0.2494</v>
      </c>
      <c r="F8" s="17" t="n">
        <v>0.167</v>
      </c>
      <c r="G8" s="7" t="s">
        <v>390</v>
      </c>
    </row>
    <row r="9" customFormat="false" ht="15" hidden="false" customHeight="false" outlineLevel="0" collapsed="false">
      <c r="A9" s="7" t="s">
        <v>394</v>
      </c>
      <c r="B9" s="17" t="n">
        <v>2.3</v>
      </c>
      <c r="C9" s="17" t="n">
        <v>2</v>
      </c>
      <c r="D9" s="19" t="n">
        <v>0.195</v>
      </c>
      <c r="E9" s="19" t="n">
        <v>0.192</v>
      </c>
      <c r="F9" s="17" t="n">
        <v>0.168</v>
      </c>
      <c r="G9" s="7" t="s">
        <v>390</v>
      </c>
    </row>
    <row r="10" customFormat="false" ht="15" hidden="false" customHeight="false" outlineLevel="0" collapsed="false">
      <c r="A10" s="7" t="s">
        <v>395</v>
      </c>
      <c r="B10" s="17" t="n">
        <v>2</v>
      </c>
      <c r="C10" s="17" t="n">
        <v>1.42</v>
      </c>
      <c r="D10" s="19" t="n">
        <v>0.4423</v>
      </c>
      <c r="E10" s="19" t="n">
        <v>0.4663</v>
      </c>
      <c r="F10" s="17" t="n">
        <v>0.016</v>
      </c>
      <c r="G10" s="7" t="s">
        <v>396</v>
      </c>
    </row>
    <row r="11" customFormat="false" ht="15" hidden="false" customHeight="false" outlineLevel="0" collapsed="false">
      <c r="A11" s="7" t="s">
        <v>397</v>
      </c>
      <c r="B11" s="17" t="n">
        <v>1.42</v>
      </c>
      <c r="C11" s="17" t="n">
        <v>1.34</v>
      </c>
      <c r="D11" s="19" t="n">
        <v>0.0647</v>
      </c>
      <c r="E11" s="19" t="n">
        <v>0.0636</v>
      </c>
      <c r="F11" s="17" t="n">
        <v>0.333</v>
      </c>
      <c r="G11" s="7" t="s">
        <v>390</v>
      </c>
    </row>
    <row r="12" customFormat="false" ht="15" hidden="false" customHeight="false" outlineLevel="0" collapsed="false">
      <c r="A12" s="7" t="s">
        <v>398</v>
      </c>
      <c r="B12" s="17" t="n">
        <v>1.34</v>
      </c>
      <c r="C12" s="17" t="n">
        <v>1.35</v>
      </c>
      <c r="D12" s="19" t="n">
        <v>0.0521</v>
      </c>
      <c r="E12" s="19" t="n">
        <v>0.052</v>
      </c>
      <c r="F12" s="17" t="n">
        <v>0.504</v>
      </c>
      <c r="G12" s="7" t="s">
        <v>390</v>
      </c>
    </row>
    <row r="13" customFormat="false" ht="15" hidden="false" customHeight="false" outlineLevel="0" collapsed="false">
      <c r="A13" s="7" t="s">
        <v>399</v>
      </c>
      <c r="B13" s="17" t="n">
        <v>1.35</v>
      </c>
      <c r="C13" s="17" t="n">
        <v>1.33</v>
      </c>
      <c r="D13" s="19" t="n">
        <v>0.0533</v>
      </c>
      <c r="E13" s="19" t="n">
        <v>0.0561</v>
      </c>
      <c r="F13" s="17" t="n">
        <v>0.452</v>
      </c>
      <c r="G13" s="7" t="s">
        <v>390</v>
      </c>
    </row>
    <row r="14" customFormat="false" ht="15" hidden="false" customHeight="false" outlineLevel="0" collapsed="false">
      <c r="A14" s="7" t="s">
        <v>400</v>
      </c>
      <c r="B14" s="17" t="n">
        <v>1.33</v>
      </c>
      <c r="C14" s="17" t="n">
        <v>1.09</v>
      </c>
      <c r="D14" s="19" t="n">
        <v>0.1571</v>
      </c>
      <c r="E14" s="19" t="n">
        <v>0.1538</v>
      </c>
      <c r="F14" s="17" t="n">
        <v>0.109</v>
      </c>
      <c r="G14" s="7" t="s">
        <v>390</v>
      </c>
    </row>
    <row r="15" customFormat="false" ht="15" hidden="false" customHeight="false" outlineLevel="0" collapsed="false">
      <c r="A15" s="7" t="s">
        <v>401</v>
      </c>
      <c r="B15" s="17" t="n">
        <v>1.09</v>
      </c>
      <c r="C15" s="17" t="n">
        <v>1.11</v>
      </c>
      <c r="D15" s="19" t="n">
        <v>0.0434</v>
      </c>
      <c r="E15" s="19" t="n">
        <v>0.0424</v>
      </c>
      <c r="F15" s="17" t="n">
        <v>0.533</v>
      </c>
      <c r="G15" s="7" t="s">
        <v>390</v>
      </c>
    </row>
    <row r="17" customFormat="false" ht="35.05" hidden="false" customHeight="false" outlineLevel="0" collapsed="false">
      <c r="A17" s="4" t="s">
        <v>402</v>
      </c>
      <c r="D17" s="7" t="s">
        <v>403</v>
      </c>
      <c r="H17" s="2" t="s">
        <v>404</v>
      </c>
    </row>
    <row r="18" customFormat="false" ht="23.85" hidden="false" customHeight="false" outlineLevel="0" collapsed="false">
      <c r="H18" s="2" t="s">
        <v>405</v>
      </c>
    </row>
    <row r="20" customFormat="false" ht="15" hidden="false" customHeight="false" outlineLevel="0" collapsed="false">
      <c r="A20" s="4" t="s">
        <v>406</v>
      </c>
    </row>
    <row r="21" customFormat="false" ht="15" hidden="false" customHeight="false" outlineLevel="0" collapsed="false">
      <c r="A21" s="6" t="s">
        <v>407</v>
      </c>
      <c r="B21" s="6" t="s">
        <v>408</v>
      </c>
      <c r="C21" s="6" t="s">
        <v>274</v>
      </c>
      <c r="D21" s="6" t="s">
        <v>29</v>
      </c>
      <c r="E21" s="6" t="s">
        <v>30</v>
      </c>
      <c r="F21" s="6" t="s">
        <v>31</v>
      </c>
      <c r="G21" s="6" t="s">
        <v>409</v>
      </c>
      <c r="H21" s="6"/>
    </row>
    <row r="22" customFormat="false" ht="23.85" hidden="false" customHeight="false" outlineLevel="0" collapsed="false">
      <c r="A22" s="7" t="s">
        <v>410</v>
      </c>
      <c r="B22" s="7" t="s">
        <v>40</v>
      </c>
      <c r="C22" s="7" t="s">
        <v>411</v>
      </c>
      <c r="D22" s="17" t="n">
        <v>0.944280975172813</v>
      </c>
      <c r="E22" s="17" t="n">
        <v>1.11101304488884</v>
      </c>
      <c r="F22" s="17" t="n">
        <v>1.30850644472833</v>
      </c>
      <c r="G22" s="7" t="s">
        <v>412</v>
      </c>
      <c r="H22" s="2" t="s">
        <v>413</v>
      </c>
    </row>
    <row r="23" customFormat="false" ht="23.85" hidden="false" customHeight="false" outlineLevel="0" collapsed="false">
      <c r="A23" s="7" t="s">
        <v>410</v>
      </c>
      <c r="B23" s="7" t="s">
        <v>40</v>
      </c>
      <c r="C23" s="7" t="s">
        <v>414</v>
      </c>
      <c r="D23" s="17" t="n">
        <v>0.836716816578576</v>
      </c>
      <c r="E23" s="17" t="n">
        <v>1.11373341264072</v>
      </c>
      <c r="F23" s="17" t="n">
        <v>1.48510015292621</v>
      </c>
      <c r="G23" s="7" t="s">
        <v>415</v>
      </c>
      <c r="H23" s="2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416</v>
      </c>
    </row>
    <row r="3" customFormat="false" ht="117.75" hidden="false" customHeight="true" outlineLevel="0" collapsed="false">
      <c r="A3" s="4" t="s">
        <v>417</v>
      </c>
      <c r="B3" s="2" t="s">
        <v>418</v>
      </c>
    </row>
    <row r="4" customFormat="false" ht="117.75" hidden="false" customHeight="true" outlineLevel="0" collapsed="false">
      <c r="A4" s="4" t="s">
        <v>419</v>
      </c>
      <c r="B4" s="2" t="s">
        <v>420</v>
      </c>
    </row>
    <row r="5" customFormat="false" ht="117.75" hidden="false" customHeight="true" outlineLevel="0" collapsed="false">
      <c r="A5" s="4" t="s">
        <v>421</v>
      </c>
      <c r="B5" s="2" t="s">
        <v>422</v>
      </c>
    </row>
    <row r="6" customFormat="false" ht="117.75" hidden="false" customHeight="true" outlineLevel="0" collapsed="false">
      <c r="A6" s="4" t="s">
        <v>423</v>
      </c>
      <c r="B6" s="2" t="s">
        <v>424</v>
      </c>
    </row>
    <row r="8" customFormat="false" ht="15" hidden="false" customHeight="false" outlineLevel="0" collapsed="false">
      <c r="A8" s="4" t="s">
        <v>425</v>
      </c>
    </row>
    <row r="9" customFormat="false" ht="15" hidden="false" customHeight="false" outlineLevel="0" collapsed="false">
      <c r="A9" s="6" t="s">
        <v>426</v>
      </c>
      <c r="B9" s="6" t="s">
        <v>427</v>
      </c>
      <c r="C9" s="6" t="s">
        <v>428</v>
      </c>
      <c r="D9" s="6" t="s">
        <v>429</v>
      </c>
      <c r="E9" s="6" t="s">
        <v>430</v>
      </c>
      <c r="F9" s="6"/>
    </row>
    <row r="10" customFormat="false" ht="15" hidden="false" customHeight="false" outlineLevel="0" collapsed="false">
      <c r="A10" s="7" t="s">
        <v>431</v>
      </c>
      <c r="B10" s="7" t="s">
        <v>432</v>
      </c>
      <c r="C10" s="7" t="s">
        <v>433</v>
      </c>
      <c r="D10" s="10" t="n">
        <v>0.05775</v>
      </c>
      <c r="E10" s="17" t="n">
        <v>2.90807683342642</v>
      </c>
    </row>
    <row r="11" customFormat="false" ht="15" hidden="false" customHeight="false" outlineLevel="0" collapsed="false">
      <c r="A11" s="7" t="s">
        <v>431</v>
      </c>
      <c r="B11" s="7" t="s">
        <v>432</v>
      </c>
      <c r="C11" s="7" t="s">
        <v>434</v>
      </c>
      <c r="D11" s="10" t="n">
        <v>0.10725</v>
      </c>
      <c r="E11" s="17" t="n">
        <v>2.79519616611315</v>
      </c>
    </row>
    <row r="12" customFormat="false" ht="15" hidden="false" customHeight="false" outlineLevel="0" collapsed="false">
      <c r="A12" s="7" t="s">
        <v>431</v>
      </c>
      <c r="B12" s="7" t="s">
        <v>435</v>
      </c>
      <c r="C12" s="7" t="s">
        <v>433</v>
      </c>
      <c r="D12" s="10" t="n">
        <v>0.04725</v>
      </c>
      <c r="E12" s="17" t="n">
        <v>1.64338399665686</v>
      </c>
    </row>
    <row r="13" customFormat="false" ht="15" hidden="false" customHeight="false" outlineLevel="0" collapsed="false">
      <c r="A13" s="7" t="s">
        <v>431</v>
      </c>
      <c r="B13" s="7" t="s">
        <v>435</v>
      </c>
      <c r="C13" s="7" t="s">
        <v>434</v>
      </c>
      <c r="D13" s="10" t="n">
        <v>0.08775</v>
      </c>
      <c r="E13" s="17" t="n">
        <v>1.60987466991037</v>
      </c>
    </row>
    <row r="14" customFormat="false" ht="15" hidden="false" customHeight="false" outlineLevel="0" collapsed="false">
      <c r="A14" s="7" t="s">
        <v>436</v>
      </c>
      <c r="B14" s="7" t="s">
        <v>432</v>
      </c>
      <c r="C14" s="7" t="s">
        <v>433</v>
      </c>
      <c r="D14" s="10" t="n">
        <v>0.13475</v>
      </c>
      <c r="E14" s="17" t="n">
        <v>2.74567280929009</v>
      </c>
    </row>
    <row r="15" customFormat="false" ht="15" hidden="false" customHeight="false" outlineLevel="0" collapsed="false">
      <c r="A15" s="7" t="s">
        <v>436</v>
      </c>
      <c r="B15" s="7" t="s">
        <v>432</v>
      </c>
      <c r="C15" s="7" t="s">
        <v>434</v>
      </c>
      <c r="D15" s="10" t="n">
        <v>0.25025</v>
      </c>
      <c r="E15" s="17" t="n">
        <v>2.64627230076787</v>
      </c>
    </row>
    <row r="16" customFormat="false" ht="15" hidden="false" customHeight="false" outlineLevel="0" collapsed="false">
      <c r="A16" s="7" t="s">
        <v>436</v>
      </c>
      <c r="B16" s="7" t="s">
        <v>435</v>
      </c>
      <c r="C16" s="7" t="s">
        <v>433</v>
      </c>
      <c r="D16" s="10" t="n">
        <v>0.11025</v>
      </c>
      <c r="E16" s="17" t="n">
        <v>1.53918482758363</v>
      </c>
    </row>
    <row r="17" customFormat="false" ht="15" hidden="false" customHeight="false" outlineLevel="0" collapsed="false">
      <c r="A17" s="7" t="s">
        <v>436</v>
      </c>
      <c r="B17" s="7" t="s">
        <v>435</v>
      </c>
      <c r="C17" s="7" t="s">
        <v>434</v>
      </c>
      <c r="D17" s="10" t="n">
        <v>0.20475</v>
      </c>
      <c r="E17" s="17" t="n">
        <v>1.51444973731982</v>
      </c>
    </row>
    <row r="18" customFormat="false" ht="15" hidden="false" customHeight="false" outlineLevel="0" collapsed="false">
      <c r="A18" s="4" t="s">
        <v>437</v>
      </c>
      <c r="E18" s="9" t="n">
        <f aca="false">SUMPRODUCT(D10:D17,E10:E17)</f>
        <v>2.19863038734901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3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3" t="s">
        <v>439</v>
      </c>
    </row>
    <row r="3" customFormat="false" ht="15" hidden="false" customHeight="false" outlineLevel="0" collapsed="false">
      <c r="A3" s="6" t="s">
        <v>440</v>
      </c>
      <c r="B3" s="6" t="s">
        <v>104</v>
      </c>
      <c r="C3" s="6" t="s">
        <v>160</v>
      </c>
      <c r="D3" s="6" t="s">
        <v>441</v>
      </c>
      <c r="E3" s="6" t="s">
        <v>442</v>
      </c>
    </row>
    <row r="4" customFormat="false" ht="15" hidden="false" customHeight="false" outlineLevel="0" collapsed="false">
      <c r="A4" s="7" t="s">
        <v>443</v>
      </c>
      <c r="B4" s="14" t="n">
        <v>4840</v>
      </c>
      <c r="C4" s="14" t="n">
        <v>1165</v>
      </c>
      <c r="D4" s="10" t="n">
        <f aca="false">C4/B4</f>
        <v>0.240702479338843</v>
      </c>
      <c r="E4" s="2" t="s">
        <v>444</v>
      </c>
    </row>
    <row r="5" customFormat="false" ht="15" hidden="false" customHeight="false" outlineLevel="0" collapsed="false">
      <c r="A5" s="7" t="s">
        <v>445</v>
      </c>
      <c r="B5" s="14" t="n">
        <v>1290</v>
      </c>
      <c r="C5" s="14" t="n">
        <v>241</v>
      </c>
      <c r="D5" s="10" t="n">
        <f aca="false">C5/B5</f>
        <v>0.186821705426357</v>
      </c>
      <c r="E5" s="2" t="s">
        <v>446</v>
      </c>
    </row>
    <row r="6" customFormat="false" ht="15" hidden="false" customHeight="false" outlineLevel="0" collapsed="false">
      <c r="A6" s="7" t="s">
        <v>447</v>
      </c>
      <c r="B6" s="14" t="n">
        <v>468</v>
      </c>
      <c r="C6" s="14" t="n">
        <v>50</v>
      </c>
      <c r="D6" s="10" t="n">
        <f aca="false">C6/B6</f>
        <v>0.106837606837607</v>
      </c>
      <c r="E6" s="2" t="s">
        <v>448</v>
      </c>
    </row>
    <row r="7" customFormat="false" ht="23.85" hidden="false" customHeight="false" outlineLevel="0" collapsed="false">
      <c r="A7" s="7" t="s">
        <v>449</v>
      </c>
      <c r="B7" s="14" t="n">
        <v>178</v>
      </c>
      <c r="C7" s="14" t="n">
        <v>-198</v>
      </c>
      <c r="D7" s="10" t="n">
        <f aca="false">C7/B7</f>
        <v>-1.1123595505618</v>
      </c>
      <c r="E7" s="2" t="s">
        <v>450</v>
      </c>
    </row>
    <row r="8" customFormat="false" ht="15" hidden="false" customHeight="false" outlineLevel="0" collapsed="false">
      <c r="A8" s="4" t="s">
        <v>451</v>
      </c>
      <c r="B8" s="15" t="n">
        <f aca="false">SUM(B4:B7)-B5</f>
        <v>5486</v>
      </c>
      <c r="C8" s="15" t="n">
        <f aca="false">SUM(C4:C7)-C5</f>
        <v>1017</v>
      </c>
    </row>
    <row r="10" customFormat="false" ht="15" hidden="false" customHeight="false" outlineLevel="0" collapsed="false">
      <c r="A10" s="4" t="s">
        <v>452</v>
      </c>
    </row>
    <row r="11" customFormat="false" ht="15" hidden="false" customHeight="false" outlineLevel="0" collapsed="false">
      <c r="A11" s="6" t="s">
        <v>453</v>
      </c>
      <c r="B11" s="6" t="s">
        <v>16</v>
      </c>
      <c r="C11" s="6" t="s">
        <v>454</v>
      </c>
      <c r="D11" s="6" t="s">
        <v>455</v>
      </c>
      <c r="E11" s="6"/>
    </row>
    <row r="12" customFormat="false" ht="15" hidden="false" customHeight="false" outlineLevel="0" collapsed="false">
      <c r="A12" s="7" t="s">
        <v>456</v>
      </c>
      <c r="B12" s="10" t="n">
        <f aca="false">B4/$B$8</f>
        <v>0.882245716368939</v>
      </c>
      <c r="C12" s="8" t="n">
        <v>0.115</v>
      </c>
      <c r="D12" s="10" t="n">
        <f aca="false">B12*C12</f>
        <v>0.101458257382428</v>
      </c>
    </row>
    <row r="13" customFormat="false" ht="15" hidden="false" customHeight="false" outlineLevel="0" collapsed="false">
      <c r="A13" s="7" t="s">
        <v>457</v>
      </c>
      <c r="B13" s="10" t="n">
        <f aca="false">B6/$B$8</f>
        <v>0.0853080568720379</v>
      </c>
      <c r="C13" s="8" t="n">
        <v>0.08</v>
      </c>
      <c r="D13" s="10" t="n">
        <f aca="false">B13*C13</f>
        <v>0.00682464454976303</v>
      </c>
    </row>
    <row r="14" customFormat="false" ht="15" hidden="false" customHeight="false" outlineLevel="0" collapsed="false">
      <c r="A14" s="7" t="s">
        <v>458</v>
      </c>
      <c r="B14" s="10" t="n">
        <f aca="false">B7/$B$8</f>
        <v>0.032446226759023</v>
      </c>
      <c r="C14" s="8" t="n">
        <v>0.06</v>
      </c>
      <c r="D14" s="10" t="n">
        <f aca="false">B14*C14</f>
        <v>0.00194677360554138</v>
      </c>
    </row>
    <row r="15" customFormat="false" ht="15" hidden="false" customHeight="false" outlineLevel="0" collapsed="false">
      <c r="A15" s="4" t="s">
        <v>459</v>
      </c>
      <c r="D15" s="25" t="n">
        <f aca="false">SUM(D12:D14)</f>
        <v>0.110229675537732</v>
      </c>
      <c r="E15" s="2" t="s">
        <v>460</v>
      </c>
    </row>
    <row r="17" customFormat="false" ht="15" hidden="false" customHeight="false" outlineLevel="0" collapsed="false">
      <c r="A17" s="4" t="s">
        <v>461</v>
      </c>
    </row>
    <row r="18" customFormat="false" ht="15" hidden="false" customHeight="false" outlineLevel="0" collapsed="false">
      <c r="A18" s="7" t="s">
        <v>462</v>
      </c>
      <c r="B18" s="26" t="n">
        <v>1.037</v>
      </c>
      <c r="E18" s="2" t="s">
        <v>463</v>
      </c>
    </row>
    <row r="19" customFormat="false" ht="15" hidden="false" customHeight="false" outlineLevel="0" collapsed="false">
      <c r="A19" s="7" t="s">
        <v>464</v>
      </c>
      <c r="B19" s="26" t="n">
        <v>1.025</v>
      </c>
      <c r="E19" s="2" t="s">
        <v>465</v>
      </c>
    </row>
    <row r="20" customFormat="false" ht="15" hidden="false" customHeight="false" outlineLevel="0" collapsed="false">
      <c r="A20" s="7" t="s">
        <v>466</v>
      </c>
      <c r="B20" s="26" t="n">
        <v>1.048</v>
      </c>
      <c r="E20" s="2" t="s">
        <v>467</v>
      </c>
    </row>
    <row r="21" customFormat="false" ht="15" hidden="false" customHeight="false" outlineLevel="0" collapsed="false">
      <c r="A21" s="4" t="s">
        <v>468</v>
      </c>
      <c r="B21" s="25" t="n">
        <f aca="false">B18*B19*B20-1</f>
        <v>0.1139454</v>
      </c>
    </row>
    <row r="23" customFormat="false" ht="15" hidden="false" customHeight="false" outlineLevel="0" collapsed="false">
      <c r="A23" s="4" t="s">
        <v>469</v>
      </c>
    </row>
    <row r="24" customFormat="false" ht="23.85" hidden="false" customHeight="false" outlineLevel="0" collapsed="false">
      <c r="A24" s="7" t="s">
        <v>470</v>
      </c>
      <c r="B24" s="12" t="s">
        <v>471</v>
      </c>
      <c r="E24" s="2" t="s">
        <v>472</v>
      </c>
    </row>
    <row r="25" customFormat="false" ht="15" hidden="false" customHeight="false" outlineLevel="0" collapsed="false">
      <c r="A25" s="7" t="s">
        <v>473</v>
      </c>
      <c r="B25" s="12" t="s">
        <v>474</v>
      </c>
      <c r="E25" s="2" t="s">
        <v>475</v>
      </c>
    </row>
    <row r="26" customFormat="false" ht="15" hidden="false" customHeight="false" outlineLevel="0" collapsed="false">
      <c r="A26" s="7" t="s">
        <v>476</v>
      </c>
      <c r="B26" s="12" t="s">
        <v>477</v>
      </c>
      <c r="E26" s="2" t="s">
        <v>478</v>
      </c>
    </row>
    <row r="27" customFormat="false" ht="15" hidden="false" customHeight="false" outlineLevel="0" collapsed="false">
      <c r="A27" s="7" t="s">
        <v>479</v>
      </c>
      <c r="B27" s="12" t="s">
        <v>480</v>
      </c>
      <c r="E27" s="2" t="s">
        <v>481</v>
      </c>
    </row>
    <row r="28" customFormat="false" ht="15" hidden="false" customHeight="false" outlineLevel="0" collapsed="false">
      <c r="A28" s="7" t="s">
        <v>482</v>
      </c>
      <c r="B28" s="12" t="s">
        <v>483</v>
      </c>
      <c r="E28" s="2" t="s">
        <v>484</v>
      </c>
    </row>
    <row r="29" customFormat="false" ht="15" hidden="false" customHeight="false" outlineLevel="0" collapsed="false">
      <c r="A29" s="7" t="s">
        <v>485</v>
      </c>
      <c r="B29" s="12" t="s">
        <v>486</v>
      </c>
      <c r="E29" s="2" t="s">
        <v>487</v>
      </c>
    </row>
    <row r="30" customFormat="false" ht="15" hidden="false" customHeight="false" outlineLevel="0" collapsed="false">
      <c r="A30" s="7" t="s">
        <v>488</v>
      </c>
      <c r="B30" s="12" t="s">
        <v>489</v>
      </c>
      <c r="E30" s="2" t="s">
        <v>490</v>
      </c>
    </row>
    <row r="31" customFormat="false" ht="15" hidden="false" customHeight="false" outlineLevel="0" collapsed="false">
      <c r="A31" s="7" t="s">
        <v>491</v>
      </c>
      <c r="B31" s="12" t="s">
        <v>492</v>
      </c>
      <c r="E31" s="2" t="s">
        <v>493</v>
      </c>
    </row>
    <row r="32" customFormat="false" ht="15" hidden="false" customHeight="false" outlineLevel="0" collapsed="false">
      <c r="A32" s="7" t="s">
        <v>494</v>
      </c>
      <c r="B32" s="12" t="s">
        <v>495</v>
      </c>
      <c r="E32" s="2" t="s">
        <v>496</v>
      </c>
    </row>
    <row r="33" customFormat="false" ht="15" hidden="false" customHeight="false" outlineLevel="0" collapsed="false">
      <c r="A33" s="7" t="s">
        <v>497</v>
      </c>
      <c r="B33" s="12" t="s">
        <v>498</v>
      </c>
      <c r="E33" s="2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2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500</v>
      </c>
    </row>
    <row r="3" customFormat="false" ht="15" hidden="false" customHeight="false" outlineLevel="0" collapsed="false">
      <c r="A3" s="6"/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128</v>
      </c>
    </row>
    <row r="4" customFormat="false" ht="15" hidden="false" customHeight="false" outlineLevel="0" collapsed="false">
      <c r="A4" s="7" t="s">
        <v>124</v>
      </c>
      <c r="B4" s="5" t="n">
        <f aca="false">'Income Statement'!E16</f>
        <v>0.0878958621051824</v>
      </c>
      <c r="C4" s="5" t="n">
        <f aca="false">'Income Statement'!F16</f>
        <v>0.111105432043909</v>
      </c>
      <c r="D4" s="5" t="n">
        <f aca="false">'Income Statement'!G16</f>
        <v>0.134860895119055</v>
      </c>
      <c r="E4" s="5" t="n">
        <f aca="false">'Income Statement'!H16</f>
        <v>0.158153762052061</v>
      </c>
      <c r="F4" s="5" t="n">
        <f aca="false">'Income Statement'!I16</f>
        <v>0.179377017066717</v>
      </c>
    </row>
    <row r="5" customFormat="false" ht="15" hidden="false" customHeight="false" outlineLevel="0" collapsed="false">
      <c r="A5" s="7" t="s">
        <v>192</v>
      </c>
      <c r="B5" s="5" t="n">
        <f aca="false">DDM!B5</f>
        <v>0.023</v>
      </c>
      <c r="C5" s="5" t="n">
        <f aca="false">DDM!C5</f>
        <v>0.02645</v>
      </c>
      <c r="D5" s="5" t="n">
        <f aca="false">DDM!D5</f>
        <v>0.0304175</v>
      </c>
      <c r="E5" s="5" t="n">
        <f aca="false">DDM!E5</f>
        <v>0.03467595</v>
      </c>
      <c r="F5" s="5" t="n">
        <f aca="false">DDM!F5</f>
        <v>0.0391838235</v>
      </c>
    </row>
    <row r="6" customFormat="false" ht="15" hidden="false" customHeight="false" outlineLevel="0" collapsed="false">
      <c r="A6" s="7" t="s">
        <v>501</v>
      </c>
      <c r="B6" s="10" t="n">
        <f aca="false">B5/B4</f>
        <v>0.261673296661868</v>
      </c>
      <c r="C6" s="10" t="n">
        <f aca="false">C5/C4</f>
        <v>0.238062167739439</v>
      </c>
      <c r="D6" s="10" t="n">
        <f aca="false">D5/D4</f>
        <v>0.225547220142261</v>
      </c>
      <c r="E6" s="10" t="n">
        <f aca="false">E5/E4</f>
        <v>0.219254664258859</v>
      </c>
      <c r="F6" s="10" t="n">
        <f aca="false">F5/F4</f>
        <v>0.218443946391561</v>
      </c>
    </row>
    <row r="7" customFormat="false" ht="15" hidden="false" customHeight="false" outlineLevel="0" collapsed="false">
      <c r="A7" s="7" t="s">
        <v>502</v>
      </c>
      <c r="B7" s="15" t="n">
        <f aca="false">B5*Assumptions!B6</f>
        <v>119.83</v>
      </c>
      <c r="C7" s="15" t="n">
        <f aca="false">C5*Assumptions!B6</f>
        <v>137.8045</v>
      </c>
      <c r="D7" s="15" t="n">
        <f aca="false">D5*Assumptions!B6</f>
        <v>158.475175</v>
      </c>
      <c r="E7" s="15" t="n">
        <f aca="false">E5*Assumptions!B6</f>
        <v>180.6616995</v>
      </c>
      <c r="F7" s="15" t="n">
        <f aca="false">F5*Assumptions!B6</f>
        <v>204.147720435</v>
      </c>
    </row>
    <row r="8" customFormat="false" ht="23.85" hidden="false" customHeight="false" outlineLevel="0" collapsed="false">
      <c r="A8" s="7" t="s">
        <v>503</v>
      </c>
      <c r="B8" s="15" t="n">
        <f aca="false">(DCF!B14-Assumptions!B28*(1-Assumptions!B23))*Assumptions!B29</f>
        <v>158.194124768</v>
      </c>
      <c r="C8" s="15" t="n">
        <f aca="false">(DCF!C14-Assumptions!B28*(1-Assumptions!C23))*Assumptions!B29</f>
        <v>303.186271166368</v>
      </c>
      <c r="D8" s="15" t="n">
        <f aca="false">(DCF!D14-Assumptions!B28*(1-Assumptions!D23))*Assumptions!B29</f>
        <v>463.138517045799</v>
      </c>
      <c r="E8" s="15" t="n">
        <f aca="false">(DCF!E14-Assumptions!B28*(1-Assumptions!E23))*Assumptions!B29</f>
        <v>644.904461932167</v>
      </c>
      <c r="F8" s="15" t="n">
        <f aca="false">(DCF!F14-Assumptions!B28*(1-Assumptions!F23))*Assumptions!B29</f>
        <v>816.018903583277</v>
      </c>
      <c r="G8" s="2" t="s">
        <v>504</v>
      </c>
    </row>
    <row r="9" customFormat="false" ht="15" hidden="false" customHeight="false" outlineLevel="0" collapsed="false">
      <c r="A9" s="7" t="s">
        <v>505</v>
      </c>
      <c r="B9" s="23" t="n">
        <f aca="false">B8/B7</f>
        <v>1.3201545920721</v>
      </c>
      <c r="C9" s="23" t="n">
        <f aca="false">C8/C7</f>
        <v>2.20011879994027</v>
      </c>
      <c r="D9" s="23" t="n">
        <f aca="false">D8/D7</f>
        <v>2.92246730155558</v>
      </c>
      <c r="E9" s="23" t="n">
        <f aca="false">E8/E7</f>
        <v>3.56968003576302</v>
      </c>
      <c r="F9" s="23" t="n">
        <f aca="false">F8/F7</f>
        <v>3.99719821433468</v>
      </c>
    </row>
    <row r="10" customFormat="false" ht="15" hidden="false" customHeight="false" outlineLevel="0" collapsed="false">
      <c r="A10" s="7" t="s">
        <v>506</v>
      </c>
      <c r="B10" s="17" t="n">
        <f aca="false">DCF!B14/Assumptions!B6</f>
        <v>0.0684411750479847</v>
      </c>
      <c r="C10" s="17" t="n">
        <f aca="false">DCF!C14/Assumptions!B6</f>
        <v>0.0975185983535509</v>
      </c>
      <c r="D10" s="17" t="n">
        <f aca="false">DCF!D14/Assumptions!B6</f>
        <v>0.129637780394165</v>
      </c>
      <c r="E10" s="17" t="n">
        <f aca="false">DCF!E14/Assumptions!B6</f>
        <v>0.166393763202318</v>
      </c>
      <c r="F10" s="17" t="n">
        <f aca="false">DCF!F14/Assumptions!B6</f>
        <v>0.200984031601401</v>
      </c>
    </row>
    <row r="11" customFormat="false" ht="15" hidden="false" customHeight="false" outlineLevel="0" collapsed="false">
      <c r="A11" s="7" t="s">
        <v>507</v>
      </c>
      <c r="B11" s="17" t="n">
        <f aca="false">(2165-68+('Income Statement'!E15)-B7)/Assumptions!B6</f>
        <v>0.467391063640691</v>
      </c>
      <c r="C11" s="17" t="n">
        <f aca="false">B11+('Income Statement'!F15-C7)/Assumptions!B6</f>
        <v>0.552046495684601</v>
      </c>
      <c r="D11" s="17" t="n">
        <f aca="false">C11+('Income Statement'!G15-D7)/Assumptions!B6</f>
        <v>0.656489890803656</v>
      </c>
      <c r="E11" s="17" t="n">
        <f aca="false">D11+('Income Statement'!H15-E7)/Assumptions!B6</f>
        <v>0.779967702855717</v>
      </c>
      <c r="F11" s="17" t="n">
        <f aca="false">E11+('Income Statement'!I15-F7)/Assumptions!B6</f>
        <v>0.920160896422433</v>
      </c>
    </row>
    <row r="12" customFormat="false" ht="23.85" hidden="false" customHeight="false" outlineLevel="0" collapsed="false">
      <c r="A12" s="7" t="s">
        <v>508</v>
      </c>
      <c r="B12" s="8" t="n">
        <v>0.154</v>
      </c>
      <c r="C12" s="8" t="n">
        <v>0.167</v>
      </c>
      <c r="D12" s="8" t="n">
        <v>0.174</v>
      </c>
      <c r="E12" s="8" t="n">
        <v>0.176</v>
      </c>
      <c r="F12" s="8" t="n">
        <v>0.174</v>
      </c>
      <c r="G12" s="2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3" t="s">
        <v>511</v>
      </c>
    </row>
    <row r="3" customFormat="false" ht="15" hidden="false" customHeight="false" outlineLevel="0" collapsed="false">
      <c r="A3" s="6" t="s">
        <v>512</v>
      </c>
      <c r="B3" s="6" t="s">
        <v>104</v>
      </c>
      <c r="C3" s="6" t="s">
        <v>513</v>
      </c>
      <c r="D3" s="6" t="s">
        <v>514</v>
      </c>
      <c r="E3" s="6" t="s">
        <v>515</v>
      </c>
      <c r="F3" s="6" t="s">
        <v>516</v>
      </c>
      <c r="G3" s="6" t="s">
        <v>121</v>
      </c>
      <c r="H3" s="6" t="s">
        <v>128</v>
      </c>
    </row>
    <row r="4" customFormat="false" ht="15" hidden="false" customHeight="false" outlineLevel="0" collapsed="false">
      <c r="A4" s="4" t="s">
        <v>517</v>
      </c>
      <c r="B4" s="14" t="n">
        <v>1274</v>
      </c>
      <c r="C4" s="14" t="n">
        <v>181</v>
      </c>
      <c r="D4" s="14" t="n">
        <v>0</v>
      </c>
      <c r="E4" s="15" t="n">
        <f aca="false">C4-D4</f>
        <v>181</v>
      </c>
      <c r="F4" s="10" t="n">
        <f aca="false">E4/B4</f>
        <v>0.142072213500785</v>
      </c>
      <c r="G4" s="14" t="n">
        <v>39</v>
      </c>
      <c r="H4" s="2" t="s">
        <v>518</v>
      </c>
    </row>
    <row r="5" customFormat="false" ht="15" hidden="false" customHeight="false" outlineLevel="0" collapsed="false">
      <c r="A5" s="4" t="s">
        <v>519</v>
      </c>
      <c r="B5" s="14" t="n">
        <v>1403</v>
      </c>
      <c r="C5" s="14" t="n">
        <v>306</v>
      </c>
      <c r="D5" s="14" t="n">
        <v>72</v>
      </c>
      <c r="E5" s="15" t="n">
        <f aca="false">C5-D5</f>
        <v>234</v>
      </c>
      <c r="F5" s="10" t="n">
        <f aca="false">E5/B5</f>
        <v>0.166785459729152</v>
      </c>
      <c r="G5" s="14" t="n">
        <v>148</v>
      </c>
      <c r="H5" s="2" t="s">
        <v>520</v>
      </c>
    </row>
    <row r="6" customFormat="false" ht="15" hidden="false" customHeight="false" outlineLevel="0" collapsed="false">
      <c r="A6" s="4" t="s">
        <v>521</v>
      </c>
      <c r="B6" s="14" t="n">
        <v>1420</v>
      </c>
      <c r="C6" s="14" t="n">
        <v>320</v>
      </c>
      <c r="D6" s="14" t="n">
        <v>0</v>
      </c>
      <c r="E6" s="15" t="n">
        <f aca="false">C6-D6</f>
        <v>320</v>
      </c>
      <c r="F6" s="10" t="n">
        <f aca="false">E6/B6</f>
        <v>0.225352112676056</v>
      </c>
      <c r="G6" s="14" t="n">
        <v>175</v>
      </c>
      <c r="H6" s="2" t="s">
        <v>522</v>
      </c>
    </row>
    <row r="7" customFormat="false" ht="15" hidden="false" customHeight="false" outlineLevel="0" collapsed="false">
      <c r="A7" s="4" t="s">
        <v>523</v>
      </c>
      <c r="B7" s="14" t="n">
        <v>1389</v>
      </c>
      <c r="C7" s="14" t="n">
        <v>282</v>
      </c>
      <c r="D7" s="14" t="n">
        <v>0</v>
      </c>
      <c r="E7" s="15" t="n">
        <f aca="false">C7-D7</f>
        <v>282</v>
      </c>
      <c r="F7" s="10" t="n">
        <f aca="false">E7/B7</f>
        <v>0.203023758099352</v>
      </c>
      <c r="G7" s="14" t="n">
        <v>141</v>
      </c>
      <c r="H7" s="2" t="s">
        <v>524</v>
      </c>
    </row>
    <row r="8" customFormat="false" ht="15" hidden="false" customHeight="false" outlineLevel="0" collapsed="false">
      <c r="A8" s="4" t="s">
        <v>525</v>
      </c>
      <c r="B8" s="14" t="n">
        <v>1339</v>
      </c>
      <c r="C8" s="14" t="n">
        <v>201</v>
      </c>
      <c r="D8" s="14" t="n">
        <v>0</v>
      </c>
      <c r="E8" s="15" t="n">
        <f aca="false">C8-D8</f>
        <v>201</v>
      </c>
      <c r="F8" s="10" t="n">
        <f aca="false">E8/B8</f>
        <v>0.150112023898432</v>
      </c>
      <c r="G8" s="14" t="n">
        <v>57</v>
      </c>
      <c r="H8" s="2" t="s">
        <v>526</v>
      </c>
    </row>
    <row r="9" customFormat="false" ht="15" hidden="false" customHeight="false" outlineLevel="0" collapsed="false">
      <c r="A9" s="4" t="s">
        <v>527</v>
      </c>
      <c r="B9" s="27" t="n">
        <f aca="false">SUM(B4:B7)</f>
        <v>5486</v>
      </c>
      <c r="C9" s="27" t="n">
        <f aca="false">SUM(C4:C7)</f>
        <v>1089</v>
      </c>
      <c r="D9" s="27" t="n">
        <f aca="false">SUM(D4:D7)</f>
        <v>72</v>
      </c>
      <c r="G9" s="27" t="n">
        <f aca="false">SUM(G4:G7)</f>
        <v>503</v>
      </c>
      <c r="H9" s="2" t="s">
        <v>528</v>
      </c>
    </row>
    <row r="11" customFormat="false" ht="15" hidden="false" customHeight="false" outlineLevel="0" collapsed="false">
      <c r="A11" s="4" t="s">
        <v>529</v>
      </c>
    </row>
    <row r="12" customFormat="false" ht="15" hidden="false" customHeight="false" outlineLevel="0" collapsed="false">
      <c r="A12" s="6" t="s">
        <v>530</v>
      </c>
      <c r="B12" s="6" t="s">
        <v>531</v>
      </c>
      <c r="C12" s="6"/>
      <c r="D12" s="6"/>
      <c r="E12" s="6" t="s">
        <v>532</v>
      </c>
      <c r="F12" s="6"/>
      <c r="G12" s="6" t="s">
        <v>533</v>
      </c>
      <c r="H12" s="6"/>
    </row>
    <row r="13" customFormat="false" ht="15" hidden="false" customHeight="false" outlineLevel="0" collapsed="false">
      <c r="A13" s="2" t="s">
        <v>534</v>
      </c>
      <c r="B13" s="2" t="s">
        <v>535</v>
      </c>
      <c r="E13" s="2" t="s">
        <v>536</v>
      </c>
      <c r="G13" s="28" t="s">
        <v>396</v>
      </c>
    </row>
    <row r="14" customFormat="false" ht="15" hidden="false" customHeight="false" outlineLevel="0" collapsed="false">
      <c r="A14" s="2" t="s">
        <v>537</v>
      </c>
      <c r="B14" s="2" t="s">
        <v>538</v>
      </c>
      <c r="E14" s="2" t="s">
        <v>539</v>
      </c>
      <c r="G14" s="28" t="s">
        <v>540</v>
      </c>
    </row>
    <row r="15" customFormat="false" ht="15" hidden="false" customHeight="false" outlineLevel="0" collapsed="false">
      <c r="A15" s="2" t="s">
        <v>541</v>
      </c>
      <c r="B15" s="2" t="s">
        <v>542</v>
      </c>
      <c r="E15" s="2" t="s">
        <v>543</v>
      </c>
      <c r="G15" s="28" t="s">
        <v>396</v>
      </c>
    </row>
    <row r="16" customFormat="false" ht="15" hidden="false" customHeight="false" outlineLevel="0" collapsed="false">
      <c r="A16" s="2" t="s">
        <v>544</v>
      </c>
      <c r="B16" s="2" t="s">
        <v>545</v>
      </c>
      <c r="E16" s="2" t="s">
        <v>546</v>
      </c>
      <c r="G16" s="28" t="s">
        <v>547</v>
      </c>
    </row>
    <row r="17" customFormat="false" ht="15" hidden="false" customHeight="false" outlineLevel="0" collapsed="false">
      <c r="A17" s="2" t="s">
        <v>548</v>
      </c>
      <c r="B17" s="2" t="s">
        <v>549</v>
      </c>
      <c r="E17" s="2" t="s">
        <v>550</v>
      </c>
      <c r="G17" s="28" t="s">
        <v>396</v>
      </c>
    </row>
    <row r="18" customFormat="false" ht="15" hidden="false" customHeight="false" outlineLevel="0" collapsed="false">
      <c r="A18" s="2" t="s">
        <v>551</v>
      </c>
      <c r="B18" s="2" t="s">
        <v>552</v>
      </c>
      <c r="E18" s="2" t="s">
        <v>553</v>
      </c>
      <c r="G18" s="2" t="s">
        <v>554</v>
      </c>
    </row>
    <row r="19" customFormat="false" ht="15" hidden="false" customHeight="false" outlineLevel="0" collapsed="false">
      <c r="A19" s="2" t="s">
        <v>555</v>
      </c>
      <c r="B19" s="2" t="s">
        <v>556</v>
      </c>
      <c r="E19" s="2" t="s">
        <v>557</v>
      </c>
      <c r="G19" s="2" t="s">
        <v>558</v>
      </c>
    </row>
    <row r="20" customFormat="false" ht="15" hidden="false" customHeight="false" outlineLevel="0" collapsed="false">
      <c r="A20" s="2" t="s">
        <v>491</v>
      </c>
      <c r="B20" s="2" t="s">
        <v>559</v>
      </c>
      <c r="E20" s="2" t="s">
        <v>560</v>
      </c>
      <c r="G20" s="2" t="s">
        <v>558</v>
      </c>
    </row>
    <row r="21" customFormat="false" ht="23.85" hidden="false" customHeight="false" outlineLevel="0" collapsed="false">
      <c r="A21" s="2" t="s">
        <v>561</v>
      </c>
      <c r="B21" s="2" t="s">
        <v>562</v>
      </c>
      <c r="E21" s="2" t="s">
        <v>563</v>
      </c>
      <c r="G21" s="2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2026-07-12T16:25:40Z</dcterms:created>
  <dc:creator>openpyxl</dc:creator>
  <dc:description/>
  <dc:language>en-US</dc:language>
  <cp:lastModifiedBy/>
  <dcterms:modified xsi:type="dcterms:W3CDTF">2026-07-12T16:25:40Z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