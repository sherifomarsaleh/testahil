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Assumptions" sheetId="2" state="visible" r:id="rId4"/>
    <sheet name="Facilities &amp; Volumes" sheetId="3" state="visible" r:id="rId5"/>
    <sheet name="DCF" sheetId="4" state="visible" r:id="rId6"/>
    <sheet name="Income Statement" sheetId="5" state="visible" r:id="rId7"/>
    <sheet name="Balance Sheet" sheetId="6" state="visible" r:id="rId8"/>
    <sheet name="Cash Flow" sheetId="7" state="visible" r:id="rId9"/>
    <sheet name="EV per Bed" sheetId="8" state="visible" r:id="rId10"/>
    <sheet name="Relative &amp; Normalized" sheetId="9" state="visible" r:id="rId11"/>
    <sheet name="Summary" sheetId="10" state="visible" r:id="rId12"/>
    <sheet name="Fundamental Valuation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<sst xmlns="http://schemas.openxmlformats.org/spreadsheetml/2006/main" count="622" uniqueCount="486">
  <si>
    <t xml:space="preserve">Testahil — Cleopatra Hospitals Group S.A.E. (EGX: CLHO)</t>
  </si>
  <si>
    <t xml:space="preserve">Companion model · Independent Valuation Study · Educational analysis · Not investment advice</t>
  </si>
  <si>
    <t xml:space="preserve">What this workbook is. A transparent companion to the CLHO valuation study. Every blue cell is an input; every</t>
  </si>
  <si>
    <t xml:space="preserve">black cell is a formula; green cells link across sheets. All inputs live on the Assumptions sheet — change one</t>
  </si>
  <si>
    <t xml:space="preserve">(a growth rate, the EBITDA-margin path, the normalized-stage WACC, a P/E band, an EV-per-bed mark) and the model reprices.</t>
  </si>
  <si>
    <t xml:space="preserve">What it is not. It is not investment advice, a recommendation, or a price target. Values are model outputs shown</t>
  </si>
  <si>
    <t xml:space="preserve">as ranges. The preparer is not licensed by any securities regulator and may hold a position in the security.</t>
  </si>
  <si>
    <t xml:space="preserve">Entity note. Cleopatra Hospitals Group (CLHO.CA, listed June 2016) is Egypt’s largest private hospital group:</t>
  </si>
  <si>
    <t xml:space="preserve">seven hospitals (Cleopatra, Cairo Specialized, Nile Badrawi, Al Shorouk, El Katib, Cleopatra El Tagamoa, Cleopatra</t>
  </si>
  <si>
    <t xml:space="preserve">October), five polyclinics and Bedaya IVF — 14 facilities, ~880 operational beds (Q4-25) heading to ~1,320 by 2027.</t>
  </si>
  <si>
    <t xml:space="preserve">House lens for an operating company: FCFF DCF (two-stage Egyptian rate path) cross-read against relative multiples,</t>
  </si>
  <si>
    <t xml:space="preserve">normalized earnings power and an EV-per-operational-bed transaction lens.</t>
  </si>
  <si>
    <t xml:space="preserve">Currency. EGP million unless stated. Spot EGP 16.31 (2026-07-12 close). Historical financials are the</t>
  </si>
  <si>
    <t xml:space="preserve">company’s own disclosure (FY2023–FY2025 and 1Q2026 earnings releases, cleopatrahospitals.com). Net debt is shown</t>
  </si>
  <si>
    <t xml:space="preserve">both excluding and including IFRS-16 leases (dual-framing rule).</t>
  </si>
  <si>
    <t xml:space="preserve">Sheets: Summary · Fundamental Valuation · Assumptions · DCF · Income Statement · Balance Sheet · Cash Flow ·</t>
  </si>
  <si>
    <t xml:space="preserve">EV per Bed · Relative &amp; Normalized · Facilities &amp; Volumes · Monte Carlo · Sensitivity · Per-Share &amp; Ratios ·</t>
  </si>
  <si>
    <t xml:space="preserve">Peer &amp; Sector · Summary Financials</t>
  </si>
  <si>
    <t xml:space="preserve">Assumptions — the single input layer (blue cells)</t>
  </si>
  <si>
    <t xml:space="preserve">Change a blue cell and every downstream sheet reprices. Sources per cell in column D/E.</t>
  </si>
  <si>
    <t xml:space="preserve">Spot (EGP, 2026-07-12 close)</t>
  </si>
  <si>
    <t xml:space="preserve">Uploaded CLHO daily OHLC, last close</t>
  </si>
  <si>
    <t xml:space="preserve">Shares outstanding (mn)</t>
  </si>
  <si>
    <t xml:space="preserve">CHG 1Q2026 ER shareholder info (1,449mn); african-markets 1,449.44mn</t>
  </si>
  <si>
    <t xml:space="preserve">Market cap (EGP mn)</t>
  </si>
  <si>
    <t xml:space="preserve">Net financial debt incl IFRS-16 leases (EGP mn, 31-Mar-26)</t>
  </si>
  <si>
    <t xml:space="preserve">1Q26 ER: reported net financial debt EGP 3.16bn incl. ~170mn IFRS-16 leases</t>
  </si>
  <si>
    <t xml:space="preserve">Non-controlling interest (book, 31-Mar-26)</t>
  </si>
  <si>
    <t xml:space="preserve">CHG 1Q2026 ER balance sheet</t>
  </si>
  <si>
    <t xml:space="preserve">Investment in associates (31-Mar-26)</t>
  </si>
  <si>
    <t xml:space="preserve">Gross borrowings + leases (weights)</t>
  </si>
  <si>
    <t xml:space="preserve">1Q26 ER: 3,743.3 borrowings + 170.4 leases</t>
  </si>
  <si>
    <t xml:space="preserve">Risk-free rate rf (Egypt 10Y)</t>
  </si>
  <si>
    <t xml:space="preserve">Egypt 10Y local-currency govt bond yield, investing.com (cached Cost_of_Capital_Reference.md) · 2026-07-03</t>
  </si>
  <si>
    <t xml:space="preserve">ERP — CDS-based (primary)</t>
  </si>
  <si>
    <t xml:space="preserve">Damodaran ORIGINAL country-risk file, Egypt CDS-based ERP (Last updated Jan 2026)</t>
  </si>
  <si>
    <t xml:space="preserve">ERP — rating-based (alt)</t>
  </si>
  <si>
    <t xml:space="preserve">Damodaran ORIGINAL country-risk file, Egypt rating-based ERP</t>
  </si>
  <si>
    <t xml:space="preserve">Beta (regression, gate-passed)</t>
  </si>
  <si>
    <t xml:space="preserve">Own weekly regression vs equal-weight 27-name EGX composite (Testahil raw_ohlc EG library), usability gate PASSED</t>
  </si>
  <si>
    <t xml:space="preserve">Ke — PRIMARY = (rf − CDS) + β_adopted × ERP   [rev.2 §3: sovereign double-count removed]</t>
  </si>
  <si>
    <t xml:space="preserve">Ke — rating basis (alt)</t>
  </si>
  <si>
    <t xml:space="preserve">Kd pre-tax (EGP)</t>
  </si>
  <si>
    <t xml:space="preserve">REBUILT 13-Jul-2026 (was 0.207, a CBE weighted-average AGGREGATOR print). Now fully sourced: today's CBE lending corridor 19.50% + CLHO's OWN AUDITED bank spread of +65bp. The spread is not asserted — FY2024 audited FS note 5.1.2 discloses actual contractual rates of 28.90% on loans / 28.35% on overdrafts against a 28.25% corridor at Dec-2024, and 20.90% vs a 20.25% corridor at Dec-2023: the same +65bp at two independent year-ends. Currency: 100% EGP, ZERO foreign-currency liabilities (same note) — no blend available or required. All debt is VARIABLE-rate (audited sensitivity: +/-600bp moves profit by -/+120.9mn), which is the mechanical reason a SLIDING discount schedule is the right structure: the interest bill re-prices with the corridor automatically, no refinancing required.</t>
  </si>
  <si>
    <t xml:space="preserve">Tax rate (statutory)</t>
  </si>
  <si>
    <t xml:space="preserve">Egypt corporate income-tax rate; CHG's own 1Q26 ER normalizes at 22.5%</t>
  </si>
  <si>
    <t xml:space="preserve">Kd after tax</t>
  </si>
  <si>
    <t xml:space="preserve">We = E/(D+E)</t>
  </si>
  <si>
    <t xml:space="preserve">Wd</t>
  </si>
  <si>
    <t xml:space="preserve">WACC — spot, CDS ERP (primary)</t>
  </si>
  <si>
    <t xml:space="preserve">WACC — spot, rating ERP</t>
  </si>
  <si>
    <t xml:space="preserve">Normalized-stage rf (house view, GC-06)</t>
  </si>
  <si>
    <t xml:space="preserve">PROTOCOL rev.2 §4 CONSTRUCTION (was 14.5%, a free house view): terminal rf = the central bank's OWN stated medium-term inflation target (CBE 7%, MPC 9-Jul-2026) + the standard EM real-rate convention (~5.5pp) = 12.5%. Deliberately NOT a historical average that cannot be re-verified live.</t>
  </si>
  <si>
    <t xml:space="preserve">Normalized-stage Kd pre-tax</t>
  </si>
  <si>
    <t xml:space="preserve">PROTOCOL rev.2 §4: terminal Kd = Egypt's long-run corporate-borrowing norm, band 14-16%, MIDPOINT 15% absent a name-specific reason to deviate. (Was 16.0%, the top of the band.) The audited +65bp spread over a normalised corridor would give ~15.5% — inside the band either way; the house midpoint is adopted as primary and sensitized.</t>
  </si>
  <si>
    <t xml:space="preserve">Ke — terminal (norm-built; constructed rf carries no CDS)</t>
  </si>
  <si>
    <t xml:space="preserve">WACC — normalized stage</t>
  </si>
  <si>
    <t xml:space="preserve">Terminal growth g (two-stage base)</t>
  </si>
  <si>
    <t xml:space="preserve">STANDING PROCEDURE (13-Jul-2026): default terminal g center = 5%, matching standard analyst convention for well-established Egyptian/EM companies post-currency-turbulence/hyperinflation; sensitized 3/4/5/6/7%. Replaces the earlier CBE-target-derived 11% point estimate.</t>
  </si>
  <si>
    <t xml:space="preserve">Terminal growth g (flat-rate scenario)</t>
  </si>
  <si>
    <t xml:space="preserve">STANDING PROCEDURE: same 5% center applied to the flat-crisis-rate scenario for consistency — terminal growth is a steady-state/macro question, independent of which discount-rate path is assumed.</t>
  </si>
  <si>
    <t xml:space="preserve">FY2025 revenue (EGP mn)</t>
  </si>
  <si>
    <t xml:space="preserve">CHG FY2025 ER (official)</t>
  </si>
  <si>
    <t xml:space="preserve">FY2025 net working capital (EGP mn)</t>
  </si>
  <si>
    <t xml:space="preserve">Inv+AR+other receivables − creditors, FY25 BS</t>
  </si>
  <si>
    <t xml:space="preserve">Forward effective tax (income statement)</t>
  </si>
  <si>
    <t xml:space="preserve">HOUSE VIEW: between 22.5% statutory and FY25 effective 26.6% — driver-ledger GC row</t>
  </si>
  <si>
    <t xml:space="preserve">Forecast drivers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</si>
  <si>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</si>
  <si>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</si>
  <si>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</si>
  <si>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</si>
  <si>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</si>
  <si>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Driver-ledger ref</t>
  </si>
  <si>
    <t xml:space="preserve">Revenue growth y/y (DERIVED — bottom-up build, not a direct input)</t>
  </si>
  <si>
    <t xml:space="preserve">GC-CLHO-01 (see Facilities &amp; Volumes for the full bottom-up build)</t>
  </si>
  <si>
    <t xml:space="preserve">EBITDA margin (reported basis)</t>
  </si>
  <si>
    <t xml:space="preserve">GC-CLHO-02</t>
  </si>
  <si>
    <t xml:space="preserve">Gross margin</t>
  </si>
  <si>
    <t xml:space="preserve">D&amp;A (EGP mn)</t>
  </si>
  <si>
    <t xml:space="preserve">GC-CLHO-03</t>
  </si>
  <si>
    <t xml:space="preserve">Capex (EGP mn)</t>
  </si>
  <si>
    <t xml:space="preserve">NWC as % of revenue</t>
  </si>
  <si>
    <t xml:space="preserve">GC-CLHO-04</t>
  </si>
  <si>
    <t xml:space="preserve">Net interest (EGP mn)</t>
  </si>
  <si>
    <t xml:space="preserve">GC-CLHO-11</t>
  </si>
  <si>
    <t xml:space="preserve">Parent share of NP</t>
  </si>
  <si>
    <t xml:space="preserve">Dividends declared (EGP mn, group)</t>
  </si>
  <si>
    <t xml:space="preserve">Gross debt + leases, year-end (EGP mn)</t>
  </si>
  <si>
    <t xml:space="preserve">Lens settings</t>
  </si>
  <si>
    <t xml:space="preserve">bear</t>
  </si>
  <si>
    <t xml:space="preserve">base</t>
  </si>
  <si>
    <t xml:space="preserve">bull</t>
  </si>
  <si>
    <t xml:space="preserve">Justified P/E band — relative (× FY27E EPS)</t>
  </si>
  <si>
    <t xml:space="preserve">Through-cycle P/E — normalized (× FY26E norm. parent NP)</t>
  </si>
  <si>
    <t xml:space="preserve">EV per operational bed (EGP mn, end-2027 beds)</t>
  </si>
  <si>
    <t xml:space="preserve">Operational beds — Q4-25 / additions / end-2027</t>
  </si>
  <si>
    <t xml:space="preserve">Lens weights: DCF / Relative / Normalized / EV-bed</t>
  </si>
  <si>
    <t xml:space="preserve">Balance-sheet drivers (held at FY25 actuals)</t>
  </si>
  <si>
    <t xml:space="preserve">value</t>
  </si>
  <si>
    <t xml:space="preserve">Inventory days (of cost of sales)</t>
  </si>
  <si>
    <t xml:space="preserve">GC: held at the FY2025 actuals — inventory 23.5 days of COGS, receivables 62.7 days of revenue, other receivables 4.1%, creditors 26.7%, current tax 3.9% of revenue (CHG FY2025 balance sheet)</t>
  </si>
  <si>
    <t xml:space="preserve">Receivable days (of revenue)</t>
  </si>
  <si>
    <t xml:space="preserve">Other receivables &amp; related parties (% of revenue)</t>
  </si>
  <si>
    <t xml:space="preserve">Creditors &amp; other credit balances (% of revenue)</t>
  </si>
  <si>
    <t xml:space="preserve">Current income tax payable (% of revenue)</t>
  </si>
  <si>
    <t xml:space="preserve">Provisions, DTL, LTIP &amp; other (EGP mn, flat)</t>
  </si>
  <si>
    <t xml:space="preserve">Driver-ledger: GC-CLHO-01..13 (Fundamental_Driver_Ledger.md). No sourcing failures (SF) logged in this study.</t>
  </si>
  <si>
    <t xml:space="preserve">Beta — ADOPTED (house band 0.8-1.3 floor)</t>
  </si>
  <si>
    <t xml:space="preserve">HOUSE BAND (EFG portable-lessons cross-cutting rule, standing): per-name beta 0.8-1.3. CLHO's own regression returns 0.446 (n=103, R2=5.9%, SE=0.177, 90% CI ~[0.15,0.74]) — a statistically WEAK, wide-CI estimate that sits below even the defensive-business prior (0.6-0.9) and below the house floor. Third-party betas corroborate a low reading (0.31-0.51). Per the 13-Jul beta procedure the regression is DISCLOSED with its full diagnostic triple but the adopted beta is FLOORED at the house minimum 0.80. The prior study used 0.446 unfloored — a breach of the house band.</t>
  </si>
  <si>
    <t xml:space="preserve">Beta — regression (DISCLOSED, NOT adopted)</t>
  </si>
  <si>
    <t xml:space="preserve">n=103, R2=5.9%, SE=0.177, 90% CI ~[0.15,0.74]. Statistically WEAK and BELOW the house floor — disclosed, never used.</t>
  </si>
  <si>
    <t xml:space="preserve">Egypt 5Y sovereign CDS (NETTED OUT of rf)</t>
  </si>
  <si>
    <t xml:space="preserve">Egypt 5Y sovereign CDS 335bp (MacroMicro, wk21-2026, latest hard print). 2026 range 270bp (6-Jan, Egypt MoF official statement, lowest since 2020) to ~400bp. Used to NET the sovereign default premium out of the local-currency rf per rev.2 §3 — the EGP 10Y prints 22.55% rather than 4-5% precisely BECAUSE of this risk, so adding a CDS-based ERP on top of an un-netted rf double-charges it.</t>
  </si>
  <si>
    <t xml:space="preserve">Terminal ERP (normalised below crisis)</t>
  </si>
  <si>
    <t xml:space="preserve">PROTOCOL rev.2 §4: terminal ERP must normalise BELOW the crisis-era level and may NEVER be held flat into perpetuity. Construction: Damodaran mature-market premium ~4.5% + a normalised Egypt country premium (~3.5%, i.e. a CDS reverting toward the 270bp Jan-2026 low x the equity/bond vol ratio) = 8.0%, vs the current crisis reading of 9.41%.</t>
  </si>
  <si>
    <t xml:space="preserve">Terminal ROIC (FORCES RR = g/ROIC)</t>
  </si>
  <si>
    <t xml:space="preserve">TERMINAL ROIC — the constraint that makes g = ROIC x RR hold BY CONSTRUCTION (McKinsey value-driver TV). Anchored on CLHO's OWN realized book ROIC (17.0-23.0%, FY22-FY25) and its marginal per-bed ROIC (~16%, EV-per-bed lens). The prior study left terminal reinvestment as a FREE input (RR 14.6%), which at g=5% implied a terminal ROIC of 34.2% — far ABOVE the realized range, and the study then claimed it was 'inside' it. That claim was false. Sensitized 16/18/20/22%.</t>
  </si>
  <si>
    <t xml:space="preserve">NCI at FAIR VALUE (CSH mini-SOTP)</t>
  </si>
  <si>
    <t xml:space="preserve">Cairo Specialized 42.99% minority + Bedaya. Book NCI 452.8 is historical accounting, NOT a valuation — the DCF capitalises 100% of subsidiary cash flow.</t>
  </si>
  <si>
    <t xml:space="preserve">Facilities, volumes and unit prices — company disclosure</t>
  </si>
  <si>
    <t xml:space="preserve">Units × average revenue per case (ARP), FY24→FY25; hospital revenue mix FY25 and 1Q26.</t>
  </si>
  <si>
    <t xml:space="preserve">Core KPI (consolidated)</t>
  </si>
  <si>
    <t xml:space="preserve">FY24 volume</t>
  </si>
  <si>
    <t xml:space="preserve">FY25 volume</t>
  </si>
  <si>
    <t xml:space="preserve">Δ%</t>
  </si>
  <si>
    <t xml:space="preserve">FY24 ARP (EGP)</t>
  </si>
  <si>
    <t xml:space="preserve">FY25 ARP (EGP)</t>
  </si>
  <si>
    <t xml:space="preserve">Paid outpatient consultations</t>
  </si>
  <si>
    <t xml:space="preserve">Inpatients</t>
  </si>
  <si>
    <t xml:space="preserve">Surgical procedures</t>
  </si>
  <si>
    <t xml:space="preserve">Emergency visits</t>
  </si>
  <si>
    <t xml:space="preserve">Catheterizations</t>
  </si>
  <si>
    <t xml:space="preserve">Cases served FY25 (inpatient + paid outpatient + ER)</t>
  </si>
  <si>
    <t xml:space="preserve">Facilities / operational beds Q4-25 / adds to 2027</t>
  </si>
  <si>
    <t xml:space="preserve">Revenue by facility (EGP mn)</t>
  </si>
  <si>
    <t xml:space="preserve">FY24</t>
  </si>
  <si>
    <t xml:space="preserve">FY25</t>
  </si>
  <si>
    <t xml:space="preserve">1Q26</t>
  </si>
  <si>
    <t xml:space="preserve">share 1Q26</t>
  </si>
  <si>
    <t xml:space="preserve">Cleopatra Hospital (CHC)</t>
  </si>
  <si>
    <t xml:space="preserve">Cairo Specialized (CSH)</t>
  </si>
  <si>
    <t xml:space="preserve">Al Shorouk (ASH)</t>
  </si>
  <si>
    <t xml:space="preserve">Nile Badrawi (NBH)</t>
  </si>
  <si>
    <t xml:space="preserve">El Katib (AKH)</t>
  </si>
  <si>
    <t xml:space="preserve">Cleopatra October (COH)</t>
  </si>
  <si>
    <t xml:space="preserve">Cleopatra El Tagamoa (CTH)</t>
  </si>
  <si>
    <t xml:space="preserve">Source: CHG FY2024/FY2025/1Q2026 earnings releases (official). CTH launched 27-Jan-2026; +40% bed capacity as floors open.</t>
  </si>
  <si>
    <t xml:space="preserve">Bottom-up revenue build, FY2026E–FY2030E</t>
  </si>
  <si>
    <t xml:space="preserve">5 disclosed KPI lines built volume × ARP (blue = assumption); the other ~41% of revenue (pharmacy/lab/IVF, no disclosed volume/price split) grows top-down at capacity growth + a flat re-pricing kicker.</t>
  </si>
  <si>
    <t xml:space="preserve">Effective operational beds</t>
  </si>
  <si>
    <t xml:space="preserve">CTH ramp (of 240 incremental beds)</t>
  </si>
  <si>
    <t xml:space="preserve">October BTS ramp (of 200 incremental beds)</t>
  </si>
  <si>
    <t xml:space="preserve">Bed-capacity growth y/y</t>
  </si>
  <si>
    <t xml:space="preserve">Line — volume × ARP</t>
  </si>
  <si>
    <t xml:space="preserve">Outpatient — volume</t>
  </si>
  <si>
    <t xml:space="preserve">← cap_weight: share of bed-capacity growth accruing to this line (1.0 = fully bed-constrained; 0.5 = partially)</t>
  </si>
  <si>
    <t xml:space="preserve">  organic growth (blue)</t>
  </si>
  <si>
    <t xml:space="preserve">  ARP (EGP)</t>
  </si>
  <si>
    <t xml:space="preserve">  → line revenue (EGP mn)</t>
  </si>
  <si>
    <t xml:space="preserve">Inpatient — volume</t>
  </si>
  <si>
    <t xml:space="preserve">Surgical — volume</t>
  </si>
  <si>
    <t xml:space="preserve">Er — volume</t>
  </si>
  <si>
    <t xml:space="preserve">Cath — volume</t>
  </si>
  <si>
    <t xml:space="preserve">Lab — volume</t>
  </si>
  <si>
    <t xml:space="preserve">Radiology — volume</t>
  </si>
  <si>
    <t xml:space="preserve">Sub-total, 5 disclosed KPI lines</t>
  </si>
  <si>
    <t xml:space="preserve">Other/ancillary revenue (pharmacy, lab, IVF — no disclosed volume/price split)</t>
  </si>
  <si>
    <t xml:space="preserve">  re-pricing kicker (blue, flat, conservative vs clinical-line ARP growth)</t>
  </si>
  <si>
    <t xml:space="preserve">TOTAL forecast revenue (EGP mn)</t>
  </si>
  <si>
    <t xml:space="preserve">Engine cross-check (study_numbers.json): 9,254 / 12,303 / 15,786 / 19,065 / 21,821</t>
  </si>
  <si>
    <t xml:space="preserve">FCFF DCF — two-stage Egyptian rate path (primary) with flat-rate and fast-normalization scenarios</t>
  </si>
  <si>
    <t xml:space="preserve">WACC — sliding schedule (rev.2 §1/§2). Glide shape INHERITED from kd_path, never invented.</t>
  </si>
  <si>
    <t xml:space="preserve">EGP mn</t>
  </si>
  <si>
    <t xml:space="preserve">Terminal value — the calculation, step by step</t>
  </si>
  <si>
    <t xml:space="preserve">Revenue</t>
  </si>
  <si>
    <t xml:space="preserve">1 · FCFF, final explicit year (FY30E)</t>
  </si>
  <si>
    <t xml:space="preserve">EBITDA (reported basis)</t>
  </si>
  <si>
    <t xml:space="preserve">2 · × (1 + terminal g)</t>
  </si>
  <si>
    <t xml:space="preserve">(-) D&amp;A</t>
  </si>
  <si>
    <t xml:space="preserve">3 · Capitalization rate = WACCn − g</t>
  </si>
  <si>
    <t xml:space="preserve">EBIT</t>
  </si>
  <si>
    <t xml:space="preserve">4 · Terminal value (end FY30E) = step2÷step3</t>
  </si>
  <si>
    <t xml:space="preserve">NOPAT = EBIT × (1 − tax 22.5%)</t>
  </si>
  <si>
    <t xml:space="preserve">5 · Discount factor, FY30E (year 5)</t>
  </si>
  <si>
    <t xml:space="preserve">(+) D&amp;A</t>
  </si>
  <si>
    <t xml:space="preserve">6 · PV of terminal value = step4×step5</t>
  </si>
  <si>
    <t xml:space="preserve">(-) Capex</t>
  </si>
  <si>
    <t xml:space="preserve">7 · Cross-check vs B19/B20 (should be ~0)</t>
  </si>
  <si>
    <t xml:space="preserve">Net working capital</t>
  </si>
  <si>
    <t xml:space="preserve">(-) Δ working capital</t>
  </si>
  <si>
    <t xml:space="preserve">Formula: TV = FCFF_FY30E x (1+g) / (WACCn - g); PV(TV) = TV x discount factor for FY30E.</t>
  </si>
  <si>
    <t xml:space="preserve">Free cash flow to the firm (FCFF)</t>
  </si>
  <si>
    <t xml:space="preserve">WACC applied — SLIDING (rev.2; the two-stage-flat convention is RETIRED)</t>
  </si>
  <si>
    <t xml:space="preserve">Check (a) actual NOPAT CAGR FY21-25: 31.0%  |  Check (b) ROIC x RR implied g, 2022 stable year only: 3.3%</t>
  </si>
  <si>
    <t xml:space="preserve">Discount factor (from the sliding schedule, row 49)</t>
  </si>
  <si>
    <t xml:space="preserve">g=5% sits between these two bounds (standing procedure); full reconciliation table on the Sensitivity sheet.</t>
  </si>
  <si>
    <t xml:space="preserve">PV of FCFF</t>
  </si>
  <si>
    <t xml:space="preserve">PV of explicit FCFF (FY26-30E)</t>
  </si>
  <si>
    <t xml:space="preserve">Terminal value = NOPAT31 × (1 − g/ROIC) / (WACCn − g)   [VALUE-DRIVER]</t>
  </si>
  <si>
    <t xml:space="preserve">PV of terminal value</t>
  </si>
  <si>
    <t xml:space="preserve">Enterprise value</t>
  </si>
  <si>
    <t xml:space="preserve">TV as % of EV (disclosed — high-terminal DCF)</t>
  </si>
  <si>
    <t xml:space="preserve">(-) Net debt incl leases</t>
  </si>
  <si>
    <t xml:space="preserve">(-) Non-controlling interest (FAIR VALUE — CSH mini-SOTP, not book)</t>
  </si>
  <si>
    <t xml:space="preserve">(+) Associates</t>
  </si>
  <si>
    <t xml:space="preserve">Equity value</t>
  </si>
  <si>
    <t xml:space="preserve">Fair value per share (EGP) — scenario B (base)</t>
  </si>
  <si>
    <t xml:space="preserve">vs spot</t>
  </si>
  <si>
    <t xml:space="preserve">Scenario A — flat crisis rates: no CBE easing at all. Every year AND the terminal discounted at the explicit-window WACC. g = 5%. This is the El Nino / Hormuz scenario (SR-26).</t>
  </si>
  <si>
    <t xml:space="preserve">Discount factors — scenario A</t>
  </si>
  <si>
    <t xml:space="preserve">Enterprise value — scenario A</t>
  </si>
  <si>
    <t xml:space="preserve">Fair value per share — scenario A</t>
  </si>
  <si>
    <t xml:space="preserve">TV as % of EV — scenario A</t>
  </si>
  <si>
    <t xml:space="preserve">Scenario C — faster normalization (normalized-stage WACC − 1pp from year 3)</t>
  </si>
  <si>
    <t xml:space="preserve">Discount factors — scenario C</t>
  </si>
  <si>
    <t xml:space="preserve">Enterprise value — scenario C</t>
  </si>
  <si>
    <t xml:space="preserve">Fair value per share — scenario C</t>
  </si>
  <si>
    <t xml:space="preserve">TV as % of EV — scenario C</t>
  </si>
  <si>
    <t xml:space="preserve">Engine cross-check (study_numbers.json): scenario A 3.85 · B 7.17 · C 8.12 EGP/share — this sheet must reproduce all three.</t>
  </si>
  <si>
    <t xml:space="preserve">Discount-rate schedule</t>
  </si>
  <si>
    <t xml:space="preserve">Kd path (blue)</t>
  </si>
  <si>
    <t xml:space="preserve">Glide fraction = (kd0 − kdi)/(kd0 − kdN)</t>
  </si>
  <si>
    <t xml:space="preserve">Forward WACC = WACC_exp − (WACC_exp − WACC_term) × glide</t>
  </si>
  <si>
    <t xml:space="preserve">Cumulative discount factor</t>
  </si>
  <si>
    <t xml:space="preserve">ASSERT: WACC_term &lt; WACC_exp</t>
  </si>
  <si>
    <t xml:space="preserve">TV uses the SAME cumulative factor as FY30 FCFF — one date, one price of time.</t>
  </si>
  <si>
    <t xml:space="preserve">Consolidated income statement — 3 actual + 5 forecast columns</t>
  </si>
  <si>
    <t xml:space="preserve">FY23–FY25 = company disclosure (official earnings releases). FY26E–FY30E driven off Assumptions.</t>
  </si>
  <si>
    <t xml:space="preserve">FY23A</t>
  </si>
  <si>
    <t xml:space="preserve">FY24A</t>
  </si>
  <si>
    <t xml:space="preserve">FY25A</t>
  </si>
  <si>
    <t xml:space="preserve">Cost of sales</t>
  </si>
  <si>
    <t xml:space="preserve">Gross profit</t>
  </si>
  <si>
    <t xml:space="preserve">G&amp;A, provisions &amp; other, net</t>
  </si>
  <si>
    <t xml:space="preserve">Net interest (income − expense)</t>
  </si>
  <si>
    <t xml:space="preserve">Profit before tax</t>
  </si>
  <si>
    <t xml:space="preserve">Income tax (incl deferred)</t>
  </si>
  <si>
    <t xml:space="preserve">Net profit</t>
  </si>
  <si>
    <t xml:space="preserve">— attributable to parent</t>
  </si>
  <si>
    <t xml:space="preserve">— non-controlling interests</t>
  </si>
  <si>
    <t xml:space="preserve">EPS (EGP, parent)</t>
  </si>
  <si>
    <t xml:space="preserve">Adjusted EBITDA (company definition, disclosed)</t>
  </si>
  <si>
    <t xml:space="preserve">memo: reported-basis EBITDA = EBIT + D&amp;A</t>
  </si>
  <si>
    <t xml:space="preserve">Historical columns are the company’s own disclosure; note FY23 EBIT includes −14.1 intangible write-off and +12.7 discontinued operations.</t>
  </si>
  <si>
    <t xml:space="preserve">Consolidated balance sheet — 3 actual + 5 forecast columns</t>
  </si>
  <si>
    <t xml:space="preserve">FY23–FY25 company disclosure; forecast rolls fixed assets on capex−D&amp;A, working capital on days, cash is the balancing item.</t>
  </si>
  <si>
    <t xml:space="preserve">Fixed assets &amp; other non-current</t>
  </si>
  <si>
    <t xml:space="preserve">Inventory</t>
  </si>
  <si>
    <t xml:space="preserve">Accounts receivable</t>
  </si>
  <si>
    <t xml:space="preserve">Other receivables &amp; related parties</t>
  </si>
  <si>
    <t xml:space="preserve">Cash (balancing item in forecast)</t>
  </si>
  <si>
    <t xml:space="preserve">Total assets</t>
  </si>
  <si>
    <t xml:space="preserve">Equity — parent</t>
  </si>
  <si>
    <t xml:space="preserve">Non-controlling interests</t>
  </si>
  <si>
    <t xml:space="preserve">Borrowings + lease liabilities</t>
  </si>
  <si>
    <t xml:space="preserve">Creditors &amp; other credit balances</t>
  </si>
  <si>
    <t xml:space="preserve">Current income tax</t>
  </si>
  <si>
    <t xml:space="preserve">Provisions, DTL, LTIP &amp; other</t>
  </si>
  <si>
    <t xml:space="preserve">Total equity &amp; liabilities</t>
  </si>
  <si>
    <t xml:space="preserve">Check: TA − TE&amp;L (historical; forecast balances by construction)</t>
  </si>
  <si>
    <t xml:space="preserve">FY25 note: creditors line here excludes the 74.0 current LTIP (grouped in row 16). Balance ties to the disclosed TA of 4,488.0 / 7,589.8 / 10,241.3.</t>
  </si>
  <si>
    <t xml:space="preserve">Cash flow — disclosed history and forecast funds flow</t>
  </si>
  <si>
    <t xml:space="preserve">History = company statement of cash flows; forecast is the model funds-flow identity.</t>
  </si>
  <si>
    <t xml:space="preserve">Operating cash flow</t>
  </si>
  <si>
    <t xml:space="preserve">Investing cash flow</t>
  </si>
  <si>
    <t xml:space="preserve">Financing cash flow</t>
  </si>
  <si>
    <t xml:space="preserve">Dividends paid (group, incl NCI)</t>
  </si>
  <si>
    <t xml:space="preserve">Capex (FA + projects under construction)</t>
  </si>
  <si>
    <t xml:space="preserve">Forecast funds flow:</t>
  </si>
  <si>
    <t xml:space="preserve">(−) Δ working capital (from the BALANCE SHEET, not a separate driver)</t>
  </si>
  <si>
    <t xml:space="preserve">(−) Capex</t>
  </si>
  <si>
    <t xml:space="preserve">(−) Dividends (group)</t>
  </si>
  <si>
    <t xml:space="preserve">(±) Δ borrowings &amp; leases</t>
  </si>
  <si>
    <t xml:space="preserve">(±) Δ tax payable, provisions &amp; other liabilities</t>
  </si>
  <si>
    <t xml:space="preserve">Δ cash</t>
  </si>
  <si>
    <t xml:space="preserve">Δ borrowings in FY26E is measured against the 31-Mar-2026 gross borrowings + leases (Assumptions!B10).</t>
  </si>
  <si>
    <t xml:space="preserve">CROSS-SHEET TIE-OUT — CF Δcash vs BS cash movement (this check did not exist before)</t>
  </si>
  <si>
    <t xml:space="preserve">Δ cash per the Cash Flow statement</t>
  </si>
  <si>
    <t xml:space="preserve">Δ cash per the Balance Sheet (cash line, y/y)</t>
  </si>
  <si>
    <t xml:space="preserve">GAP (must be 0)</t>
  </si>
  <si>
    <t xml:space="preserve">ASSERT</t>
  </si>
  <si>
    <t xml:space="preserve">The Balance Sheet carries cash as the balancing plug; the Cash Flow statement derives it independently. If they disagree, one of them is wrong. Reconciling items (Δdebt base, WC definition, tax liability, provisions) are now aligned to a single definition.</t>
  </si>
  <si>
    <t xml:space="preserve">EV per operational bed — the transaction lens</t>
  </si>
  <si>
    <t xml:space="preserve">Applied to ~1,320 end-2027 operational beds; bridge deducts net debt (incl leases) and NCI, adds associates.</t>
  </si>
  <si>
    <t xml:space="preserve">EV/bed mark (EGP mn) — RE-ANCHORED on CLHO's own build cost</t>
  </si>
  <si>
    <t xml:space="preserve">Forward operational beds (end-2027)</t>
  </si>
  <si>
    <t xml:space="preserve">Discount factor to present (WACC_exp, 1.47 yrs — the beds are guided operational in 2027)</t>
  </si>
  <si>
    <t xml:space="preserve">Enterprise value, DISCOUNTED to today</t>
  </si>
  <si>
    <t xml:space="preserve">(−) Net debt incl leases · (−) NCI at FAIR VALUE · (+) associates</t>
  </si>
  <si>
    <t xml:space="preserve">Per share (EGP) — PRESENT VALUE (this is the blended lens)</t>
  </si>
  <si>
    <t xml:space="preserve">Memo — the other two readings, disclosed, NOT blended:</t>
  </si>
  <si>
    <t xml:space="preserve">  (a) full-execution ceiling: 1,320 beds, UNDISCOUNTED (the retired construction)</t>
  </si>
  <si>
    <t xml:space="preserve">  (b) today's 880 operational beds, no forward credit</t>
  </si>
  <si>
    <t xml:space="preserve">(a) and (b) bracket the blended lens. That (b) and the discounted-forward reading nearly agree is a good sign the discounting is not doing anything exotic.</t>
  </si>
  <si>
    <t xml:space="preserve">MARKS RE-ANCHORED 13-Jul-2026 (was 20/27.5/35 — imported Gulf transaction marks).</t>
  </si>
  <si>
    <t xml:space="preserve">CLHO built Cleopatra El Tagamoa for ~EGP 4,124mn (FY25 capex 1,754 incl. capitalised interest + FY24 projects-in-progress ~2,370) across 240 beds = EGP 17.2mn/bed REPLACEMENT COST.</t>
  </si>
  <si>
    <t xml:space="preserve">A buyer pays above replacement only when ROIC &gt; WACC. CLHO earns 17-23% against a ~17.9% terminal WACC — that justifies about 1.0x replacement, not the 1.6x the retired 27.5mn mark implied.</t>
  </si>
  <si>
    <t xml:space="preserve">Cross-check: Gulf marks of ~32mn/bed struck at a ~11% WACC, rescaled to Egypt's (WACC−g) of ~12.9%, imply ~20mn/bed. Adopted band 14/18/22 = 0.8x / 1.05x / 1.3x replacement.</t>
  </si>
  <si>
    <t xml:space="preserve">Context: spot EV = EGP 27,238mn = 31.0mn per current (880) bed and 20.6mn per forward bed — the market is paying ABOVE replacement cost.</t>
  </si>
  <si>
    <t xml:space="preserve">Relative multiples and normalized earnings power</t>
  </si>
  <si>
    <t xml:space="preserve">Both lenses rebuilt 13-Jul-2026. Relative: FY27E parent EPS x band, DISCOUNTED BACK to a present value. Normalized: interest NORMALISED to the terminal Kd, not deleted — a P/E may only be applied to a post-interest number.</t>
  </si>
  <si>
    <t xml:space="preserve">FY27E EPS (parent)</t>
  </si>
  <si>
    <t xml:space="preserve">Discount factor to present (Ke_explicit, 1.47 yrs)</t>
  </si>
  <si>
    <t xml:space="preserve">Relative lens</t>
  </si>
  <si>
    <t xml:space="preserve">Justified P/E x</t>
  </si>
  <si>
    <t xml:space="preserve">Value at end-FY2027 (the FORWARD reading)</t>
  </si>
  <si>
    <t xml:space="preserve">Fair value per share — PRESENT VALUE</t>
  </si>
  <si>
    <t xml:space="preserve">A multiple applied to FY27E earnings returns a value at end-2027, not today. Blending it with a DCF without discounting prices one date and reads it as another.</t>
  </si>
  <si>
    <t xml:space="preserve">NORMALIZED LENS — REBUILT. The prior version added net interest BACK (producing NOPAT, an UNLEVERED figure) and then applied a P/E to it: it capitalised debt-free earnings and never deducted the debt.</t>
  </si>
  <si>
    <t xml:space="preserve">Normalised interest = net debt x terminal Kd</t>
  </si>
  <si>
    <t xml:space="preserve">FY26E normalised PARENT net income = (EBIT − normalised interest) x (1 − tax) x parent share</t>
  </si>
  <si>
    <t xml:space="preserve">Normalized lens</t>
  </si>
  <si>
    <t xml:space="preserve">Through-cycle P/E x</t>
  </si>
  <si>
    <t xml:space="preserve">Fair value per share</t>
  </si>
  <si>
    <t xml:space="preserve">The lens exists to strip the temporary RATE spike, not the DEBT. So the interest charge is re-priced at the long-run Kd, not removed.</t>
  </si>
  <si>
    <t xml:space="preserve">Summary — every lens at a glance</t>
  </si>
  <si>
    <t xml:space="preserve">Weighted central = SUMPRODUCT of lens bases and the declared weights (Assumptions row 56).</t>
  </si>
  <si>
    <t xml:space="preserve">Lens</t>
  </si>
  <si>
    <t xml:space="preserve">weight</t>
  </si>
  <si>
    <t xml:space="preserve">vs spot (base)</t>
  </si>
  <si>
    <t xml:space="preserve">DCF — rate path (primary)</t>
  </si>
  <si>
    <t xml:space="preserve">Relative multiples</t>
  </si>
  <si>
    <t xml:space="preserve">Normalized earnings</t>
  </si>
  <si>
    <t xml:space="preserve">EV per bed</t>
  </si>
  <si>
    <t xml:space="preserve">Weighted central</t>
  </si>
  <si>
    <t xml:space="preserve">Engine cross-check: bear 6.51 / base 9.21 / bull 11.05 vs spot 16.31.</t>
  </si>
  <si>
    <t xml:space="preserve">Monte Carlo (T+60, 50k paths, live EG fit): p5 12.12 · p50 17.02 · p95 23.83 · P(&gt;spot) 60%</t>
  </si>
  <si>
    <t xml:space="preserve">Fundamental valuation — the bridge in one place</t>
  </si>
  <si>
    <t xml:space="preserve">EV → equity → per share, per scenario; identical algebra to the compute layer’s ASSERT block.</t>
  </si>
  <si>
    <t xml:space="preserve">EGP mn / EGP per share</t>
  </si>
  <si>
    <t xml:space="preserve">Scen A flat rates</t>
  </si>
  <si>
    <t xml:space="preserve">Scen B rate path (base)</t>
  </si>
  <si>
    <t xml:space="preserve">Scen C fast normalization</t>
  </si>
  <si>
    <t xml:space="preserve">(−) Net debt incl IFRS-16 leases</t>
  </si>
  <si>
    <t xml:space="preserve">(−) NCI at FAIR VALUE (CSH mini-SOTP; book was 452.8) · (+) associates</t>
  </si>
  <si>
    <t xml:space="preserve">Per share (EGP)</t>
  </si>
  <si>
    <t xml:space="preserve">TV as % of EV (disclosed)</t>
  </si>
  <si>
    <t xml:space="preserve">Dual framing (net debt): EGP 2994mn excluding leases · EGP 3164mn including IFRS-16 leases (used here).</t>
  </si>
  <si>
    <t xml:space="preserve">Summary financials FY22–FY30E</t>
  </si>
  <si>
    <t xml:space="preserve">FY22 from the company’s FY25-release chart pack; FY23–25 statements; FY26E+ model.</t>
  </si>
  <si>
    <t xml:space="preserve">FY22A</t>
  </si>
  <si>
    <t xml:space="preserve">Adjusted EBITDA (disclosed)</t>
  </si>
  <si>
    <t xml:space="preserve">EBITDA (reported basis, model)</t>
  </si>
  <si>
    <t xml:space="preserve">— parent</t>
  </si>
  <si>
    <t xml:space="preserve">EPS (EGP)</t>
  </si>
  <si>
    <t xml:space="preserve">Capex</t>
  </si>
  <si>
    <t xml:space="preserve">FCFF (model)</t>
  </si>
  <si>
    <t xml:space="preserve">Growth y/y (revenue)</t>
  </si>
  <si>
    <t xml:space="preserve">Monte Carlo — engine outputs (mc_v3, 50,000 paths, seed 42)</t>
  </si>
  <si>
    <t xml:space="preserve">Carry-anchored YZ-HAR-t under the live EG fit: ν=4, width 0.909, carry-only; rf 19.50%, q 0.24%. Values are engine outputs, not spreadsheet formulas.</t>
  </si>
  <si>
    <t xml:space="preserve">Percentile</t>
  </si>
  <si>
    <t xml:space="preserve">p1</t>
  </si>
  <si>
    <t xml:space="preserve">p5</t>
  </si>
  <si>
    <t xml:space="preserve">p10</t>
  </si>
  <si>
    <t xml:space="preserve">p25</t>
  </si>
  <si>
    <t xml:space="preserve">p50</t>
  </si>
  <si>
    <t xml:space="preserve">p75</t>
  </si>
  <si>
    <t xml:space="preserve">p90</t>
  </si>
  <si>
    <t xml:space="preserve">p95</t>
  </si>
  <si>
    <t xml:space="preserve">T+20 (EGP)</t>
  </si>
  <si>
    <t xml:space="preserve">T+60 (EGP)</t>
  </si>
  <si>
    <t xml:space="preserve">Probability read (T+60)</t>
  </si>
  <si>
    <t xml:space="preserve">Level-touch (within window)</t>
  </si>
  <si>
    <t xml:space="preserve">P T+20</t>
  </si>
  <si>
    <t xml:space="preserve">P T+60</t>
  </si>
  <si>
    <t xml:space="preserve">P(price &gt; spot)</t>
  </si>
  <si>
    <t xml:space="preserve">touch 18</t>
  </si>
  <si>
    <t xml:space="preserve">P(+10% or more)</t>
  </si>
  <si>
    <t xml:space="preserve">touch 20</t>
  </si>
  <si>
    <t xml:space="preserve">P(−10% or worse)</t>
  </si>
  <si>
    <t xml:space="preserve">touch 22</t>
  </si>
  <si>
    <t xml:space="preserve">P(+20% or more)</t>
  </si>
  <si>
    <t xml:space="preserve">touch 15</t>
  </si>
  <si>
    <t xml:space="preserve">P(−20% or worse)</t>
  </si>
  <si>
    <t xml:space="preserve">touch 13</t>
  </si>
  <si>
    <t xml:space="preserve">P(within ±10%)</t>
  </si>
  <si>
    <t xml:space="preserve">touch 11</t>
  </si>
  <si>
    <t xml:space="preserve">Drift (60d) 0.0419 log · σ60 0.2266 · anchored annual vol 51.1%.</t>
  </si>
  <si>
    <t xml:space="preserve">Step 0: name verdict PARITY (robust across bootstrap blocks 2/3/4); EG panel PASS +2.70% CI[+1.8,+3.8]. cov90 = 1.00 → the cone over-covers this low-beta name (known market-level width limitation).</t>
  </si>
  <si>
    <t xml:space="preserve">Sensitivity — the honest ranges around the sourced base</t>
  </si>
  <si>
    <t xml:space="preserve">Grid 1: normalized-stage WACC × terminal g. Grid 2: FY28-30E EBITDA-margin delivery × terminal g. Beta grid from the WACC builder.</t>
  </si>
  <si>
    <t xml:space="preserve">normalized WACC \ g</t>
  </si>
  <si>
    <t xml:space="preserve">3%</t>
  </si>
  <si>
    <t xml:space="preserve">4%</t>
  </si>
  <si>
    <t xml:space="preserve">5%</t>
  </si>
  <si>
    <t xml:space="preserve">6%</t>
  </si>
  <si>
    <t xml:space="preserve">7%</t>
  </si>
  <si>
    <t xml:space="preserve">15.9%</t>
  </si>
  <si>
    <t xml:space="preserve">16.9%</t>
  </si>
  <si>
    <t xml:space="preserve">17.9%</t>
  </si>
  <si>
    <t xml:space="preserve">18.9%</t>
  </si>
  <si>
    <t xml:space="preserve">19.9%</t>
  </si>
  <si>
    <t xml:space="preserve">EBITDA-margin shift \ g</t>
  </si>
  <si>
    <t xml:space="preserve">-4pp</t>
  </si>
  <si>
    <t xml:space="preserve">-2pp</t>
  </si>
  <si>
    <t xml:space="preserve">+0pp</t>
  </si>
  <si>
    <t xml:space="preserve">+2pp</t>
  </si>
  <si>
    <t xml:space="preserve">+4pp</t>
  </si>
  <si>
    <t xml:space="preserve">Beta sensitivity (CDS-based ERP):</t>
  </si>
  <si>
    <t xml:space="preserve">Beta sensitivity (cds-based ERP = 9.41%):</t>
  </si>
  <si>
    <t xml:space="preserve">  beta |       Ke |     WACC</t>
  </si>
  <si>
    <t xml:space="preserve">------------------------------</t>
  </si>
  <si>
    <t xml:space="preserve">  0.45 |   26.75% |   25.17%  &lt;- assumed</t>
  </si>
  <si>
    <t xml:space="preserve">  0.60 |   28.20% |   26.41%</t>
  </si>
  <si>
    <t xml:space="preserve">  0.80 |   30.08% |   28.02%</t>
  </si>
  <si>
    <t xml:space="preserve">  1.00 |   31.96% |   29.64%</t>
  </si>
  <si>
    <t xml:space="preserve">  1.15 |   33.37% |   30.85%</t>
  </si>
  <si>
    <t xml:space="preserve">  1.30 |   34.78% |   32.06%</t>
  </si>
  <si>
    <t xml:space="preserve">Historical reconciliation (standing procedure)</t>
  </si>
  <si>
    <t xml:space="preserve">Capex/EBITDA</t>
  </si>
  <si>
    <t xml:space="preserve">Character</t>
  </si>
  <si>
    <t xml:space="preserve">NOPAT</t>
  </si>
  <si>
    <t xml:space="preserve">Actual g</t>
  </si>
  <si>
    <t xml:space="preserve">ROIC</t>
  </si>
  <si>
    <t xml:space="preserve">RR</t>
  </si>
  <si>
    <t xml:space="preserve">Implied g</t>
  </si>
  <si>
    <t xml:space="preserve">stable (aggregator)</t>
  </si>
  <si>
    <t xml:space="preserve">burst begins</t>
  </si>
  <si>
    <t xml:space="preserve">burst</t>
  </si>
  <si>
    <t xml:space="preserve">Check (a): historical NOPAT CAGR FY21-25 = 31.0%</t>
  </si>
  <si>
    <t xml:space="preserve">Check (b): ROIC×RR implied g, stable years only (2022) = 3.3% — burst years (2023-25) excluded, debt-funded, contaminate the identity</t>
  </si>
  <si>
    <t xml:space="preserve">New terminal g = 5% (standing procedure, was 11%). Model's own FY30E reinvestment rate (13.6%) implies terminal ROIC 36.7% — consistent with realized book ROIC 17-23% (2022-25), not the 67% implied at the retired 11% assumption.</t>
  </si>
  <si>
    <t xml:space="preserve">Per-share values and ratios</t>
  </si>
  <si>
    <t xml:space="preserve">Formulas off the statement sheets; multiples at spot and at the weighted central.</t>
  </si>
  <si>
    <t xml:space="preserve">Revenue / share</t>
  </si>
  <si>
    <t xml:space="preserve">BVPS (parent)</t>
  </si>
  <si>
    <t xml:space="preserve">Net debt (borrowings+leases − cash)</t>
  </si>
  <si>
    <t xml:space="preserve">Net debt / EBITDA (reported)</t>
  </si>
  <si>
    <t xml:space="preserve">Multiples</t>
  </si>
  <si>
    <t xml:space="preserve">at spot</t>
  </si>
  <si>
    <t xml:space="preserve">at central base</t>
  </si>
  <si>
    <t xml:space="preserve">P/E FY26E</t>
  </si>
  <si>
    <t xml:space="preserve">P/E FY27E</t>
  </si>
  <si>
    <t xml:space="preserve">EV/EBITDA FY26E (reported)</t>
  </si>
  <si>
    <t xml:space="preserve">EV/EBITDA FY27E (reported)</t>
  </si>
  <si>
    <t xml:space="preserve">EV / current bed (EGP mn)</t>
  </si>
  <si>
    <t xml:space="preserve">EV / forward bed (EGP mn)</t>
  </si>
  <si>
    <t xml:space="preserve">EV/EBITDA on FY25 adjusted EBITDA (disclosed): 12.7x at spot.</t>
  </si>
  <si>
    <t xml:space="preserve">Peer &amp; sector context — cross-market, discount-rate-aware</t>
  </si>
  <si>
    <t xml:space="preserve">Regional multiples carry a 13-15pp LOWER cost of equity than Egypt — shown for context, never naively imported (EFG lesson).</t>
  </si>
  <si>
    <t xml:space="preserve">Operator</t>
  </si>
  <si>
    <t xml:space="preserve">Market</t>
  </si>
  <si>
    <t xml:space="preserve">P/E (approx)</t>
  </si>
  <si>
    <t xml:space="preserve">EV/EBITDA (approx)</t>
  </si>
  <si>
    <t xml:space="preserve">Note</t>
  </si>
  <si>
    <t xml:space="preserve">Source / date</t>
  </si>
  <si>
    <t xml:space="preserve">Dr Sulaiman Al Habib</t>
  </si>
  <si>
    <t xml:space="preserve">KSA</t>
  </si>
  <si>
    <t xml:space="preserve">31x</t>
  </si>
  <si>
    <t xml:space="preserve">24.3x</t>
  </si>
  <si>
    <t xml:space="preserve">regional premium franchise</t>
  </si>
  <si>
    <t xml:space="preserve">multiples.vc, Jul-2026</t>
  </si>
  <si>
    <t xml:space="preserve">Mouwasat</t>
  </si>
  <si>
    <t xml:space="preserve">23–26x</t>
  </si>
  <si>
    <t xml:space="preserve">17–19x</t>
  </si>
  <si>
    <t xml:space="preserve">Eastern Province leader</t>
  </si>
  <si>
    <t xml:space="preserve">comp table / MarketScreener</t>
  </si>
  <si>
    <t xml:space="preserve">Dallah Healthcare</t>
  </si>
  <si>
    <t xml:space="preserve">29–35x</t>
  </si>
  <si>
    <t xml:space="preserve">20–23x</t>
  </si>
  <si>
    <t xml:space="preserve">Riyadh, expansion phase</t>
  </si>
  <si>
    <t xml:space="preserve">MarketScreener, 2025</t>
  </si>
  <si>
    <t xml:space="preserve">Burjeel Holdings</t>
  </si>
  <si>
    <t xml:space="preserve">UAE</t>
  </si>
  <si>
    <t xml:space="preserve">17–21x</t>
  </si>
  <si>
    <t xml:space="preserve">11–13x</t>
  </si>
  <si>
    <t xml:space="preserve">UAE/Oman network</t>
  </si>
  <si>
    <t xml:space="preserve">regional comp table</t>
  </si>
  <si>
    <t xml:space="preserve">KSA healthcare industry</t>
  </si>
  <si>
    <t xml:space="preserve">30.0x (3y avg 44.8x)</t>
  </si>
  <si>
    <t xml:space="preserve">—</t>
  </si>
  <si>
    <t xml:space="preserve">de-rated but still rich</t>
  </si>
  <si>
    <t xml:space="preserve">simplywall.st, Jul-2026</t>
  </si>
  <si>
    <t xml:space="preserve">Egyptian healthcare industry</t>
  </si>
  <si>
    <t xml:space="preserve">EGX</t>
  </si>
  <si>
    <t xml:space="preserve">~46.9x avg (thin sample)</t>
  </si>
  <si>
    <t xml:space="preserve">includes small caps</t>
  </si>
  <si>
    <t xml:space="preserve">investing.com, Jul-2026</t>
  </si>
  <si>
    <t xml:space="preserve">CLHO at spot</t>
  </si>
  <si>
    <t xml:space="preserve">24.3x FY25A / 29.7x FY26E / 16.6x FY27E</t>
  </si>
  <si>
    <t xml:space="preserve">12.7x FY25 adj / 9.0x FY27E rep</t>
  </si>
  <si>
    <t xml:space="preserve">EV/bed 31.0mn current</t>
  </si>
  <si>
    <t xml:space="preserve">this model</t>
  </si>
  <si>
    <t xml:space="preserve">Sector risks: UHI tariff/contracting terms once Greater Cairo phases in; medical staff inflation &amp; retention; EGP step-devaluation (imported consumables ~32% of COGS); regulatory price approvals; competition (Saudi German, Andalusia, Alameda network) and new private capacity.</t>
  </si>
  <si>
    <t xml:space="preserve">Shareholders (Mar-26): Care Healthcare 32% · MCI Healthcare Partners 31% · free float 37%.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</si>
</sst>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#,##0;\(#,##0\);\-"/>
    <numFmt numFmtId="167" formatCode="0.00%"/>
    <numFmt numFmtId="168" formatCode="0.000"/>
    <numFmt numFmtId="169" formatCode="0.0%;\(0.0%\);\-"/>
    <numFmt numFmtId="170" formatCode="0.0"/>
    <numFmt numFmtId="171" formatCode="0"/>
    <numFmt numFmtId="172" formatCode="0.0000"/>
    <numFmt numFmtId="173" formatCode="#,##0.0;\(#,##0.0\);\-"/>
    <numFmt numFmtId="174" formatCode="0.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6F1E6"/>
      <name val="Cambria"/>
      <family val="0"/>
      <charset val="1"/>
    </font>
    <font>
      <sz val="11"/>
      <color rgb="FF000000"/>
      <name val="Cambria"/>
      <family val="0"/>
      <charset val="1"/>
    </font>
    <font>
      <sz val="9"/>
      <color rgb="FF6E7B77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6E7B77"/>
      <name val="Cambria"/>
      <family val="0"/>
      <charset val="1"/>
    </font>
    <font>
      <b val="true"/>
      <sz val="11"/>
      <color rgb="FF1C3A36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sz val="11"/>
      <color rgb="FF1C3A36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  <fill>
      <patternFill patternType="solid">
        <fgColor rgb="FFEAF0EE"/>
        <bgColor rgb="FFF6F1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1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E7B77"/>
      <rgbColor rgb="FF9999FF"/>
      <rgbColor rgb="FF993366"/>
      <rgbColor rgb="FFEAF0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3.5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7</v>
      </c>
    </row>
    <row r="13" customFormat="false" ht="15" hidden="false" customHeight="false" outlineLevel="0" collapsed="false">
      <c r="A13" s="3" t="s">
        <v>8</v>
      </c>
    </row>
    <row r="14" customFormat="false" ht="1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3" t="s">
        <v>12</v>
      </c>
    </row>
    <row r="19" customFormat="false" ht="15" hidden="false" customHeight="false" outlineLevel="0" collapsed="false">
      <c r="A19" s="3" t="s">
        <v>13</v>
      </c>
    </row>
    <row r="20" customFormat="false" ht="15" hidden="false" customHeight="false" outlineLevel="0" collapsed="false">
      <c r="A20" s="3" t="s">
        <v>14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3" t="s">
        <v>15</v>
      </c>
    </row>
    <row r="23" customFormat="false" ht="15" hidden="false" customHeight="false" outlineLevel="0" collapsed="false">
      <c r="A23" s="3" t="s">
        <v>16</v>
      </c>
    </row>
    <row r="24" customFormat="false" ht="15" hidden="false" customHeight="false" outlineLevel="0" collapsed="false">
      <c r="A24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3.5"/>
  </cols>
  <sheetData>
    <row r="1" customFormat="false" ht="16.15" hidden="false" customHeight="false" outlineLevel="0" collapsed="false">
      <c r="A1" s="1" t="s">
        <v>18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4" t="s">
        <v>19</v>
      </c>
    </row>
    <row r="4" customFormat="false" ht="15" hidden="false" customHeight="false" outlineLevel="0" collapsed="false">
      <c r="A4" s="3" t="s">
        <v>20</v>
      </c>
      <c r="B4" s="5" t="n">
        <v>16.31</v>
      </c>
      <c r="D4" s="6" t="s">
        <v>21</v>
      </c>
    </row>
    <row r="5" customFormat="false" ht="15" hidden="false" customHeight="false" outlineLevel="0" collapsed="false">
      <c r="A5" s="3" t="s">
        <v>22</v>
      </c>
      <c r="B5" s="7" t="n">
        <v>1449.4</v>
      </c>
      <c r="D5" s="6" t="s">
        <v>23</v>
      </c>
    </row>
    <row r="6" customFormat="false" ht="15" hidden="false" customHeight="false" outlineLevel="0" collapsed="false">
      <c r="A6" s="3" t="s">
        <v>24</v>
      </c>
      <c r="B6" s="8" t="n">
        <f aca="false">B4*B5</f>
        <v>23639.714</v>
      </c>
    </row>
    <row r="7" customFormat="false" ht="15" hidden="false" customHeight="false" outlineLevel="0" collapsed="false">
      <c r="A7" s="3" t="s">
        <v>25</v>
      </c>
      <c r="B7" s="7" t="n">
        <v>3164.1</v>
      </c>
      <c r="D7" s="6" t="s">
        <v>26</v>
      </c>
    </row>
    <row r="8" customFormat="false" ht="15" hidden="false" customHeight="false" outlineLevel="0" collapsed="false">
      <c r="A8" s="3" t="s">
        <v>27</v>
      </c>
      <c r="B8" s="7" t="n">
        <v>452.8</v>
      </c>
      <c r="D8" s="6" t="s">
        <v>28</v>
      </c>
    </row>
    <row r="9" customFormat="false" ht="15" hidden="false" customHeight="false" outlineLevel="0" collapsed="false">
      <c r="A9" s="3" t="s">
        <v>29</v>
      </c>
      <c r="B9" s="7" t="n">
        <v>18.6</v>
      </c>
      <c r="D9" s="6" t="s">
        <v>28</v>
      </c>
    </row>
    <row r="10" customFormat="false" ht="15" hidden="false" customHeight="false" outlineLevel="0" collapsed="false">
      <c r="A10" s="3" t="s">
        <v>30</v>
      </c>
      <c r="B10" s="7" t="n">
        <v>3913.7</v>
      </c>
      <c r="D10" s="6" t="s">
        <v>31</v>
      </c>
    </row>
    <row r="13" customFormat="false" ht="15" hidden="false" customHeight="false" outlineLevel="0" collapsed="false">
      <c r="A13" s="3" t="s">
        <v>32</v>
      </c>
      <c r="B13" s="9" t="n">
        <v>0.2255</v>
      </c>
      <c r="D13" s="6" t="s">
        <v>33</v>
      </c>
    </row>
    <row r="14" customFormat="false" ht="15" hidden="false" customHeight="false" outlineLevel="0" collapsed="false">
      <c r="A14" s="3" t="s">
        <v>34</v>
      </c>
      <c r="B14" s="9" t="n">
        <v>0.0941</v>
      </c>
      <c r="D14" s="6" t="s">
        <v>35</v>
      </c>
    </row>
    <row r="15" customFormat="false" ht="15" hidden="false" customHeight="false" outlineLevel="0" collapsed="false">
      <c r="A15" s="3" t="s">
        <v>36</v>
      </c>
      <c r="B15" s="9" t="n">
        <v>0.1394</v>
      </c>
      <c r="D15" s="6" t="s">
        <v>37</v>
      </c>
    </row>
    <row r="16" customFormat="false" ht="15" hidden="false" customHeight="false" outlineLevel="0" collapsed="false">
      <c r="A16" s="3" t="s">
        <v>38</v>
      </c>
      <c r="B16" s="10" t="n">
        <v>0.446</v>
      </c>
      <c r="D16" s="6" t="s">
        <v>39</v>
      </c>
    </row>
    <row r="17" customFormat="false" ht="15" hidden="false" customHeight="false" outlineLevel="0" collapsed="false">
      <c r="A17" s="3" t="s">
        <v>40</v>
      </c>
      <c r="B17" s="11" t="n">
        <f aca="false">(B13-B82)+B80*B14</f>
        <v>0.26728</v>
      </c>
    </row>
    <row r="18" customFormat="false" ht="15" hidden="false" customHeight="false" outlineLevel="0" collapsed="false">
      <c r="A18" s="3" t="s">
        <v>41</v>
      </c>
      <c r="B18" s="11" t="n">
        <f aca="false">(B13-B82)+B80*B15</f>
        <v>0.30352</v>
      </c>
    </row>
    <row r="19" customFormat="false" ht="15" hidden="false" customHeight="false" outlineLevel="0" collapsed="false">
      <c r="A19" s="3" t="s">
        <v>42</v>
      </c>
      <c r="B19" s="9" t="n">
        <v>0.2015</v>
      </c>
      <c r="D19" s="6" t="s">
        <v>43</v>
      </c>
    </row>
    <row r="20" customFormat="false" ht="15" hidden="false" customHeight="false" outlineLevel="0" collapsed="false">
      <c r="A20" s="3" t="s">
        <v>44</v>
      </c>
      <c r="B20" s="9" t="n">
        <v>0.225</v>
      </c>
      <c r="D20" s="6" t="s">
        <v>45</v>
      </c>
    </row>
    <row r="21" customFormat="false" ht="15" hidden="false" customHeight="false" outlineLevel="0" collapsed="false">
      <c r="A21" s="3" t="s">
        <v>46</v>
      </c>
      <c r="B21" s="11" t="n">
        <f aca="false">B19*(1-B20)</f>
        <v>0.1561625</v>
      </c>
    </row>
    <row r="22" customFormat="false" ht="15" hidden="false" customHeight="false" outlineLevel="0" collapsed="false">
      <c r="A22" s="3" t="s">
        <v>47</v>
      </c>
      <c r="B22" s="11" t="n">
        <f aca="false">B6/(B6+B10)</f>
        <v>0.857959525451184</v>
      </c>
    </row>
    <row r="23" customFormat="false" ht="15" hidden="false" customHeight="false" outlineLevel="0" collapsed="false">
      <c r="A23" s="3" t="s">
        <v>48</v>
      </c>
      <c r="B23" s="11" t="n">
        <f aca="false">1-B22</f>
        <v>0.142040474548816</v>
      </c>
    </row>
    <row r="24" customFormat="false" ht="15" hidden="false" customHeight="false" outlineLevel="0" collapsed="false">
      <c r="A24" s="3" t="s">
        <v>49</v>
      </c>
      <c r="B24" s="11" t="n">
        <f aca="false">B22*B17+B23*B21</f>
        <v>0.251496817569322</v>
      </c>
    </row>
    <row r="25" customFormat="false" ht="15" hidden="false" customHeight="false" outlineLevel="0" collapsed="false">
      <c r="A25" s="3" t="s">
        <v>50</v>
      </c>
      <c r="B25" s="11" t="n">
        <f aca="false">B22*B18+B23*B21</f>
        <v>0.282589270771673</v>
      </c>
    </row>
    <row r="27" customFormat="false" ht="15" hidden="false" customHeight="false" outlineLevel="0" collapsed="false">
      <c r="A27" s="3" t="s">
        <v>51</v>
      </c>
      <c r="B27" s="9" t="n">
        <v>0.125</v>
      </c>
      <c r="D27" s="6" t="s">
        <v>52</v>
      </c>
    </row>
    <row r="28" customFormat="false" ht="15" hidden="false" customHeight="false" outlineLevel="0" collapsed="false">
      <c r="A28" s="3" t="s">
        <v>53</v>
      </c>
      <c r="B28" s="9" t="n">
        <v>0.15</v>
      </c>
      <c r="D28" s="6" t="s">
        <v>54</v>
      </c>
    </row>
    <row r="29" customFormat="false" ht="15" hidden="false" customHeight="false" outlineLevel="0" collapsed="false">
      <c r="A29" s="3" t="s">
        <v>55</v>
      </c>
      <c r="B29" s="11" t="n">
        <f aca="false">B27+B80*B83</f>
        <v>0.189</v>
      </c>
    </row>
    <row r="30" customFormat="false" ht="15" hidden="false" customHeight="false" outlineLevel="0" collapsed="false">
      <c r="A30" s="3" t="s">
        <v>56</v>
      </c>
      <c r="B30" s="11" t="n">
        <f aca="false">B22*B29+B23*B28*(1-B20)</f>
        <v>0.178666555476574</v>
      </c>
    </row>
    <row r="31" customFormat="false" ht="15" hidden="false" customHeight="false" outlineLevel="0" collapsed="false">
      <c r="A31" s="3" t="s">
        <v>57</v>
      </c>
      <c r="B31" s="9" t="n">
        <v>0.05</v>
      </c>
      <c r="D31" s="6" t="s">
        <v>58</v>
      </c>
    </row>
    <row r="32" customFormat="false" ht="15" hidden="false" customHeight="false" outlineLevel="0" collapsed="false">
      <c r="A32" s="3" t="s">
        <v>59</v>
      </c>
      <c r="B32" s="9" t="n">
        <v>0.05</v>
      </c>
      <c r="D32" s="6" t="s">
        <v>60</v>
      </c>
    </row>
    <row r="33" customFormat="false" ht="15" hidden="false" customHeight="false" outlineLevel="0" collapsed="false">
      <c r="A33" s="3" t="s">
        <v>61</v>
      </c>
      <c r="B33" s="7" t="n">
        <v>7227.3</v>
      </c>
      <c r="D33" s="6" t="s">
        <v>62</v>
      </c>
    </row>
    <row r="34" customFormat="false" ht="15" hidden="false" customHeight="false" outlineLevel="0" collapsed="false">
      <c r="A34" s="3" t="s">
        <v>63</v>
      </c>
      <c r="B34" s="7" t="n">
        <v>-116.6</v>
      </c>
      <c r="D34" s="6" t="s">
        <v>64</v>
      </c>
    </row>
    <row r="35" customFormat="false" ht="15" hidden="false" customHeight="false" outlineLevel="0" collapsed="false">
      <c r="A35" s="3" t="s">
        <v>65</v>
      </c>
      <c r="B35" s="9" t="n">
        <v>0.245</v>
      </c>
      <c r="D35" s="6" t="s">
        <v>66</v>
      </c>
    </row>
    <row r="38" customFormat="false" ht="15" hidden="false" customHeight="false" outlineLevel="0" collapsed="false">
      <c r="A38" s="12" t="s">
        <v>67</v>
      </c>
      <c r="B38" s="12" t="s">
        <v>68</v>
      </c>
      <c r="C38" s="12" t="s">
        <v>69</v>
      </c>
      <c r="D38" s="12" t="s">
        <v>70</v>
      </c>
      <c r="E38" s="12" t="s">
        <v>71</v>
      </c>
      <c r="F38" s="12" t="s">
        <v>72</v>
      </c>
      <c r="G38" s="12"/>
      <c r="H38" s="12" t="s">
        <v>73</v>
      </c>
    </row>
    <row r="39" customFormat="false" ht="15" hidden="false" customHeight="false" outlineLevel="0" collapsed="false">
      <c r="A39" s="3" t="s">
        <v>74</v>
      </c>
      <c r="B39" s="13" t="n">
        <f aca="false">DCF!B4/$B$33-1</f>
        <v>0.280364870458201</v>
      </c>
      <c r="C39" s="13" t="n">
        <f aca="false">DCF!C4/DCF!B4-1</f>
        <v>0.329547965834558</v>
      </c>
      <c r="D39" s="13" t="n">
        <f aca="false">DCF!D4/DCF!C4-1</f>
        <v>0.283121001335586</v>
      </c>
      <c r="E39" s="13" t="n">
        <f aca="false">DCF!E4/DCF!D4-1</f>
        <v>0.207690327629887</v>
      </c>
      <c r="F39" s="13" t="n">
        <f aca="false">DCF!F4/DCF!E4-1</f>
        <v>0.144578726063604</v>
      </c>
      <c r="H39" s="6" t="s">
        <v>75</v>
      </c>
    </row>
    <row r="40" customFormat="false" ht="15" hidden="false" customHeight="false" outlineLevel="0" collapsed="false">
      <c r="A40" s="3" t="s">
        <v>76</v>
      </c>
      <c r="B40" s="14" t="n">
        <v>0.215</v>
      </c>
      <c r="C40" s="14" t="n">
        <v>0.245</v>
      </c>
      <c r="D40" s="14" t="n">
        <v>0.265</v>
      </c>
      <c r="E40" s="14" t="n">
        <v>0.275</v>
      </c>
      <c r="F40" s="14" t="n">
        <v>0.28</v>
      </c>
      <c r="H40" s="6" t="s">
        <v>77</v>
      </c>
    </row>
    <row r="41" customFormat="false" ht="15" hidden="false" customHeight="false" outlineLevel="0" collapsed="false">
      <c r="A41" s="3" t="s">
        <v>78</v>
      </c>
      <c r="B41" s="14" t="n">
        <v>0.355</v>
      </c>
      <c r="C41" s="14" t="n">
        <v>0.385</v>
      </c>
      <c r="D41" s="14" t="n">
        <v>0.395</v>
      </c>
      <c r="E41" s="14" t="n">
        <v>0.4</v>
      </c>
      <c r="F41" s="14" t="n">
        <v>0.4</v>
      </c>
      <c r="H41" s="6" t="s">
        <v>77</v>
      </c>
    </row>
    <row r="42" customFormat="false" ht="15" hidden="false" customHeight="false" outlineLevel="0" collapsed="false">
      <c r="A42" s="3" t="s">
        <v>79</v>
      </c>
      <c r="B42" s="7" t="n">
        <v>480</v>
      </c>
      <c r="C42" s="7" t="n">
        <v>560</v>
      </c>
      <c r="D42" s="7" t="n">
        <v>620</v>
      </c>
      <c r="E42" s="7" t="n">
        <v>680</v>
      </c>
      <c r="F42" s="7" t="n">
        <v>740</v>
      </c>
      <c r="H42" s="6" t="s">
        <v>80</v>
      </c>
    </row>
    <row r="43" customFormat="false" ht="15" hidden="false" customHeight="false" outlineLevel="0" collapsed="false">
      <c r="A43" s="3" t="s">
        <v>81</v>
      </c>
      <c r="B43" s="7" t="n">
        <v>1400</v>
      </c>
      <c r="C43" s="7" t="n">
        <v>1100</v>
      </c>
      <c r="D43" s="7" t="n">
        <v>1150</v>
      </c>
      <c r="E43" s="7" t="n">
        <v>1220</v>
      </c>
      <c r="F43" s="7" t="n">
        <v>1280</v>
      </c>
      <c r="H43" s="6" t="s">
        <v>80</v>
      </c>
    </row>
    <row r="44" customFormat="false" ht="15" hidden="false" customHeight="false" outlineLevel="0" collapsed="false">
      <c r="A44" s="3" t="s">
        <v>82</v>
      </c>
      <c r="B44" s="14" t="n">
        <v>0</v>
      </c>
      <c r="C44" s="14" t="n">
        <v>0.008</v>
      </c>
      <c r="D44" s="14" t="n">
        <v>0.01</v>
      </c>
      <c r="E44" s="14" t="n">
        <v>0.01</v>
      </c>
      <c r="F44" s="14" t="n">
        <v>0.01</v>
      </c>
      <c r="H44" s="6" t="s">
        <v>83</v>
      </c>
    </row>
    <row r="45" customFormat="false" ht="15" hidden="false" customHeight="false" outlineLevel="0" collapsed="false">
      <c r="A45" s="3" t="s">
        <v>84</v>
      </c>
      <c r="B45" s="7" t="n">
        <v>-255</v>
      </c>
      <c r="C45" s="7" t="n">
        <v>-230</v>
      </c>
      <c r="D45" s="7" t="n">
        <v>-160</v>
      </c>
      <c r="E45" s="7" t="n">
        <v>-90</v>
      </c>
      <c r="F45" s="7" t="n">
        <v>-30</v>
      </c>
      <c r="H45" s="6" t="s">
        <v>85</v>
      </c>
    </row>
    <row r="46" customFormat="false" ht="15" hidden="false" customHeight="false" outlineLevel="0" collapsed="false">
      <c r="A46" s="3" t="s">
        <v>86</v>
      </c>
      <c r="B46" s="14" t="n">
        <v>0.84</v>
      </c>
      <c r="C46" s="14" t="n">
        <v>0.85</v>
      </c>
      <c r="D46" s="14" t="n">
        <v>0.85</v>
      </c>
      <c r="E46" s="14" t="n">
        <v>0.85</v>
      </c>
      <c r="F46" s="14" t="n">
        <v>0.85</v>
      </c>
      <c r="H46" s="6" t="s">
        <v>85</v>
      </c>
    </row>
    <row r="47" customFormat="false" ht="15" hidden="false" customHeight="false" outlineLevel="0" collapsed="false">
      <c r="A47" s="3" t="s">
        <v>87</v>
      </c>
      <c r="B47" s="7" t="n">
        <v>150</v>
      </c>
      <c r="C47" s="7" t="n">
        <v>200</v>
      </c>
      <c r="D47" s="7" t="n">
        <v>300</v>
      </c>
      <c r="E47" s="7" t="n">
        <v>450</v>
      </c>
      <c r="F47" s="7" t="n">
        <v>600</v>
      </c>
      <c r="H47" s="6" t="s">
        <v>85</v>
      </c>
    </row>
    <row r="48" customFormat="false" ht="15" hidden="false" customHeight="false" outlineLevel="0" collapsed="false">
      <c r="A48" s="3" t="s">
        <v>88</v>
      </c>
      <c r="B48" s="7" t="n">
        <v>3900</v>
      </c>
      <c r="C48" s="7" t="n">
        <v>3400</v>
      </c>
      <c r="D48" s="7" t="n">
        <v>2800</v>
      </c>
      <c r="E48" s="7" t="n">
        <v>2200</v>
      </c>
      <c r="F48" s="7" t="n">
        <v>1600</v>
      </c>
      <c r="H48" s="6" t="s">
        <v>80</v>
      </c>
    </row>
    <row r="51" customFormat="false" ht="15" hidden="false" customHeight="false" outlineLevel="0" collapsed="false">
      <c r="A51" s="12" t="s">
        <v>89</v>
      </c>
      <c r="B51" s="12" t="s">
        <v>90</v>
      </c>
      <c r="C51" s="12" t="s">
        <v>91</v>
      </c>
      <c r="D51" s="12" t="s">
        <v>92</v>
      </c>
      <c r="E51" s="12"/>
      <c r="F51" s="12"/>
      <c r="G51" s="12"/>
    </row>
    <row r="52" customFormat="false" ht="15" hidden="false" customHeight="false" outlineLevel="0" collapsed="false">
      <c r="A52" s="3" t="s">
        <v>93</v>
      </c>
      <c r="B52" s="15" t="n">
        <v>15</v>
      </c>
      <c r="C52" s="15" t="n">
        <v>19</v>
      </c>
      <c r="D52" s="15" t="n">
        <v>23</v>
      </c>
    </row>
    <row r="53" customFormat="false" ht="15" hidden="false" customHeight="false" outlineLevel="0" collapsed="false">
      <c r="A53" s="3" t="s">
        <v>94</v>
      </c>
      <c r="B53" s="15" t="n">
        <v>15</v>
      </c>
      <c r="C53" s="15" t="n">
        <v>18</v>
      </c>
      <c r="D53" s="15" t="n">
        <v>22</v>
      </c>
    </row>
    <row r="54" customFormat="false" ht="15" hidden="false" customHeight="false" outlineLevel="0" collapsed="false">
      <c r="A54" s="3" t="s">
        <v>95</v>
      </c>
      <c r="B54" s="15" t="n">
        <v>14</v>
      </c>
      <c r="C54" s="15" t="n">
        <v>18</v>
      </c>
      <c r="D54" s="15" t="n">
        <v>22</v>
      </c>
    </row>
    <row r="55" customFormat="false" ht="15" hidden="false" customHeight="false" outlineLevel="0" collapsed="false">
      <c r="A55" s="3" t="s">
        <v>96</v>
      </c>
      <c r="B55" s="7" t="n">
        <v>880</v>
      </c>
      <c r="C55" s="7" t="n">
        <v>440</v>
      </c>
      <c r="D55" s="8" t="n">
        <f aca="false">B55+C55</f>
        <v>1320</v>
      </c>
    </row>
    <row r="56" customFormat="false" ht="15" hidden="false" customHeight="false" outlineLevel="0" collapsed="false">
      <c r="A56" s="3" t="s">
        <v>97</v>
      </c>
      <c r="B56" s="14" t="n">
        <v>0.4</v>
      </c>
      <c r="C56" s="14" t="n">
        <v>0.25</v>
      </c>
      <c r="D56" s="14" t="n">
        <v>0.2</v>
      </c>
      <c r="E56" s="14" t="n">
        <v>0.15</v>
      </c>
    </row>
    <row r="58" customFormat="false" ht="15" hidden="false" customHeight="false" outlineLevel="0" collapsed="false">
      <c r="A58" s="12" t="s">
        <v>98</v>
      </c>
      <c r="B58" s="12" t="s">
        <v>99</v>
      </c>
      <c r="C58" s="12"/>
      <c r="D58" s="12"/>
      <c r="E58" s="12"/>
      <c r="F58" s="12"/>
      <c r="G58" s="12"/>
    </row>
    <row r="59" customFormat="false" ht="15" hidden="false" customHeight="false" outlineLevel="0" collapsed="false">
      <c r="A59" s="3" t="s">
        <v>100</v>
      </c>
      <c r="B59" s="16" t="n">
        <v>23</v>
      </c>
      <c r="D59" s="6" t="s">
        <v>101</v>
      </c>
    </row>
    <row r="60" customFormat="false" ht="15" hidden="false" customHeight="false" outlineLevel="0" collapsed="false">
      <c r="A60" s="3" t="s">
        <v>102</v>
      </c>
      <c r="B60" s="16" t="n">
        <v>63</v>
      </c>
    </row>
    <row r="61" customFormat="false" ht="15" hidden="false" customHeight="false" outlineLevel="0" collapsed="false">
      <c r="A61" s="3" t="s">
        <v>103</v>
      </c>
      <c r="B61" s="14" t="n">
        <v>0.035</v>
      </c>
    </row>
    <row r="62" customFormat="false" ht="15" hidden="false" customHeight="false" outlineLevel="0" collapsed="false">
      <c r="A62" s="3" t="s">
        <v>104</v>
      </c>
      <c r="B62" s="14" t="n">
        <v>0.26</v>
      </c>
    </row>
    <row r="63" customFormat="false" ht="15" hidden="false" customHeight="false" outlineLevel="0" collapsed="false">
      <c r="A63" s="3" t="s">
        <v>105</v>
      </c>
      <c r="B63" s="14" t="n">
        <v>0.04</v>
      </c>
    </row>
    <row r="64" customFormat="false" ht="15" hidden="false" customHeight="false" outlineLevel="0" collapsed="false">
      <c r="A64" s="3" t="s">
        <v>106</v>
      </c>
      <c r="B64" s="7" t="n">
        <v>330</v>
      </c>
    </row>
    <row r="66" customFormat="false" ht="15" hidden="false" customHeight="false" outlineLevel="0" collapsed="false">
      <c r="A66" s="6" t="s">
        <v>107</v>
      </c>
    </row>
    <row r="80" customFormat="false" ht="15" hidden="false" customHeight="false" outlineLevel="0" collapsed="false">
      <c r="A80" s="3" t="s">
        <v>108</v>
      </c>
      <c r="B80" s="10" t="n">
        <v>0.8</v>
      </c>
      <c r="D80" s="6" t="s">
        <v>109</v>
      </c>
    </row>
    <row r="81" customFormat="false" ht="15" hidden="false" customHeight="false" outlineLevel="0" collapsed="false">
      <c r="A81" s="3" t="s">
        <v>110</v>
      </c>
      <c r="B81" s="10" t="n">
        <v>0.446</v>
      </c>
      <c r="D81" s="6" t="s">
        <v>111</v>
      </c>
    </row>
    <row r="82" customFormat="false" ht="15" hidden="false" customHeight="false" outlineLevel="0" collapsed="false">
      <c r="A82" s="3" t="s">
        <v>112</v>
      </c>
      <c r="B82" s="9" t="n">
        <v>0.0335</v>
      </c>
      <c r="D82" s="6" t="s">
        <v>113</v>
      </c>
    </row>
    <row r="83" customFormat="false" ht="15" hidden="false" customHeight="false" outlineLevel="0" collapsed="false">
      <c r="A83" s="3" t="s">
        <v>114</v>
      </c>
      <c r="B83" s="9" t="n">
        <v>0.08</v>
      </c>
      <c r="D83" s="6" t="s">
        <v>115</v>
      </c>
    </row>
    <row r="84" customFormat="false" ht="15" hidden="false" customHeight="false" outlineLevel="0" collapsed="false">
      <c r="A84" s="3" t="s">
        <v>116</v>
      </c>
      <c r="B84" s="9" t="n">
        <v>0.18</v>
      </c>
      <c r="D84" s="6" t="s">
        <v>117</v>
      </c>
    </row>
    <row r="85" customFormat="false" ht="15" hidden="false" customHeight="false" outlineLevel="0" collapsed="false">
      <c r="A85" s="3" t="s">
        <v>118</v>
      </c>
      <c r="B85" s="7" t="n">
        <v>781.9</v>
      </c>
      <c r="D85" s="6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3.5"/>
  </cols>
  <sheetData>
    <row r="1" customFormat="false" ht="16.15" hidden="false" customHeight="false" outlineLevel="0" collapsed="false">
      <c r="A1" s="1" t="s">
        <v>120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4" t="s">
        <v>121</v>
      </c>
    </row>
    <row r="3" customFormat="false" ht="15" hidden="false" customHeight="false" outlineLevel="0" collapsed="false">
      <c r="A3" s="12" t="s">
        <v>122</v>
      </c>
      <c r="B3" s="12" t="s">
        <v>123</v>
      </c>
      <c r="C3" s="12" t="s">
        <v>124</v>
      </c>
      <c r="D3" s="12" t="s">
        <v>125</v>
      </c>
      <c r="E3" s="12" t="s">
        <v>126</v>
      </c>
      <c r="F3" s="12" t="s">
        <v>127</v>
      </c>
      <c r="G3" s="12" t="s">
        <v>125</v>
      </c>
    </row>
    <row r="4" customFormat="false" ht="15" hidden="false" customHeight="false" outlineLevel="0" collapsed="false">
      <c r="A4" s="3" t="s">
        <v>128</v>
      </c>
      <c r="B4" s="7" t="n">
        <v>1068211</v>
      </c>
      <c r="C4" s="7" t="n">
        <v>1204807</v>
      </c>
      <c r="D4" s="13" t="n">
        <f aca="false">C4/B4-1</f>
        <v>0.127873612984701</v>
      </c>
      <c r="E4" s="7" t="n">
        <v>457</v>
      </c>
      <c r="F4" s="7" t="n">
        <v>506</v>
      </c>
      <c r="G4" s="13" t="n">
        <f aca="false">F4/E4-1</f>
        <v>0.107221006564551</v>
      </c>
    </row>
    <row r="5" customFormat="false" ht="15" hidden="false" customHeight="false" outlineLevel="0" collapsed="false">
      <c r="A5" s="3" t="s">
        <v>129</v>
      </c>
      <c r="B5" s="7" t="n">
        <v>66859</v>
      </c>
      <c r="C5" s="7" t="n">
        <v>75107</v>
      </c>
      <c r="D5" s="13" t="n">
        <f aca="false">C5/B5-1</f>
        <v>0.123364094587116</v>
      </c>
      <c r="E5" s="7" t="n">
        <v>18446</v>
      </c>
      <c r="F5" s="7" t="n">
        <v>21266</v>
      </c>
      <c r="G5" s="13" t="n">
        <f aca="false">F5/E5-1</f>
        <v>0.15287867288301</v>
      </c>
    </row>
    <row r="6" customFormat="false" ht="15" hidden="false" customHeight="false" outlineLevel="0" collapsed="false">
      <c r="A6" s="3" t="s">
        <v>130</v>
      </c>
      <c r="B6" s="7" t="n">
        <v>42558</v>
      </c>
      <c r="C6" s="7" t="n">
        <v>43415</v>
      </c>
      <c r="D6" s="13" t="n">
        <f aca="false">C6/B6-1</f>
        <v>0.0201372244936322</v>
      </c>
      <c r="E6" s="7" t="n">
        <v>24951</v>
      </c>
      <c r="F6" s="7" t="n">
        <v>30086</v>
      </c>
      <c r="G6" s="13" t="n">
        <f aca="false">F6/E6-1</f>
        <v>0.205803374614244</v>
      </c>
    </row>
    <row r="7" customFormat="false" ht="15" hidden="false" customHeight="false" outlineLevel="0" collapsed="false">
      <c r="A7" s="3" t="s">
        <v>131</v>
      </c>
      <c r="B7" s="7" t="n">
        <v>174597</v>
      </c>
      <c r="C7" s="7" t="n">
        <v>192620</v>
      </c>
      <c r="D7" s="13" t="n">
        <f aca="false">C7/B7-1</f>
        <v>0.103226286820507</v>
      </c>
      <c r="E7" s="7" t="n">
        <v>1043</v>
      </c>
      <c r="F7" s="7" t="n">
        <v>1348</v>
      </c>
      <c r="G7" s="13" t="n">
        <f aca="false">F7/E7-1</f>
        <v>0.292425695110259</v>
      </c>
    </row>
    <row r="8" customFormat="false" ht="15" hidden="false" customHeight="false" outlineLevel="0" collapsed="false">
      <c r="A8" s="3" t="s">
        <v>132</v>
      </c>
      <c r="B8" s="7" t="n">
        <v>5510</v>
      </c>
      <c r="C8" s="7" t="n">
        <v>6089</v>
      </c>
      <c r="D8" s="13" t="n">
        <f aca="false">C8/B8-1</f>
        <v>0.10508166969147</v>
      </c>
      <c r="E8" s="7" t="n">
        <v>71124</v>
      </c>
      <c r="F8" s="7" t="n">
        <v>78253</v>
      </c>
      <c r="G8" s="13" t="n">
        <f aca="false">F8/E8-1</f>
        <v>0.100233395197121</v>
      </c>
    </row>
    <row r="10" customFormat="false" ht="15" hidden="false" customHeight="false" outlineLevel="0" collapsed="false">
      <c r="A10" s="3" t="s">
        <v>133</v>
      </c>
      <c r="B10" s="7" t="n">
        <v>1472534</v>
      </c>
    </row>
    <row r="11" customFormat="false" ht="15" hidden="false" customHeight="false" outlineLevel="0" collapsed="false">
      <c r="A11" s="3" t="s">
        <v>134</v>
      </c>
      <c r="B11" s="7" t="n">
        <v>14</v>
      </c>
      <c r="C11" s="7" t="n">
        <v>880</v>
      </c>
      <c r="D11" s="7" t="n">
        <v>440</v>
      </c>
    </row>
    <row r="13" customFormat="false" ht="15" hidden="false" customHeight="false" outlineLevel="0" collapsed="false">
      <c r="A13" s="12" t="s">
        <v>135</v>
      </c>
      <c r="B13" s="12" t="s">
        <v>136</v>
      </c>
      <c r="C13" s="12" t="s">
        <v>137</v>
      </c>
      <c r="D13" s="12" t="s">
        <v>125</v>
      </c>
      <c r="E13" s="12" t="s">
        <v>138</v>
      </c>
      <c r="F13" s="12" t="s">
        <v>139</v>
      </c>
      <c r="G13" s="12"/>
    </row>
    <row r="14" customFormat="false" ht="15" hidden="false" customHeight="false" outlineLevel="0" collapsed="false">
      <c r="A14" s="3" t="s">
        <v>140</v>
      </c>
      <c r="B14" s="7" t="n">
        <v>1910</v>
      </c>
      <c r="C14" s="7" t="n">
        <v>2461</v>
      </c>
      <c r="D14" s="13" t="n">
        <f aca="false">C14/B14-1</f>
        <v>0.28848167539267</v>
      </c>
      <c r="E14" s="7" t="n">
        <v>623</v>
      </c>
      <c r="F14" s="14" t="n">
        <v>0.31</v>
      </c>
    </row>
    <row r="15" customFormat="false" ht="15" hidden="false" customHeight="false" outlineLevel="0" collapsed="false">
      <c r="A15" s="3" t="s">
        <v>141</v>
      </c>
      <c r="B15" s="7" t="n">
        <v>1179</v>
      </c>
      <c r="C15" s="7" t="n">
        <v>1579</v>
      </c>
      <c r="D15" s="13" t="n">
        <f aca="false">C15/B15-1</f>
        <v>0.339270568278202</v>
      </c>
      <c r="E15" s="7" t="n">
        <v>420</v>
      </c>
      <c r="F15" s="14" t="n">
        <v>0.21</v>
      </c>
    </row>
    <row r="16" customFormat="false" ht="15" hidden="false" customHeight="false" outlineLevel="0" collapsed="false">
      <c r="A16" s="3" t="s">
        <v>142</v>
      </c>
      <c r="B16" s="7" t="n">
        <v>814</v>
      </c>
      <c r="C16" s="7" t="n">
        <v>1074</v>
      </c>
      <c r="D16" s="13" t="n">
        <f aca="false">C16/B16-1</f>
        <v>0.31941031941032</v>
      </c>
      <c r="E16" s="7" t="n">
        <v>269</v>
      </c>
      <c r="F16" s="14" t="n">
        <v>0.13</v>
      </c>
    </row>
    <row r="17" customFormat="false" ht="15" hidden="false" customHeight="false" outlineLevel="0" collapsed="false">
      <c r="A17" s="3" t="s">
        <v>143</v>
      </c>
      <c r="B17" s="7" t="n">
        <v>827</v>
      </c>
      <c r="C17" s="7" t="n">
        <v>1057</v>
      </c>
      <c r="D17" s="13" t="n">
        <f aca="false">C17/B17-1</f>
        <v>0.278113663845224</v>
      </c>
      <c r="E17" s="7" t="n">
        <v>240</v>
      </c>
      <c r="F17" s="14" t="n">
        <v>0.12</v>
      </c>
    </row>
    <row r="18" customFormat="false" ht="15" hidden="false" customHeight="false" outlineLevel="0" collapsed="false">
      <c r="A18" s="3" t="s">
        <v>144</v>
      </c>
      <c r="B18" s="7" t="n">
        <v>257</v>
      </c>
      <c r="C18" s="7" t="n">
        <v>354</v>
      </c>
      <c r="D18" s="13" t="n">
        <f aca="false">C18/B18-1</f>
        <v>0.377431906614786</v>
      </c>
      <c r="E18" s="7" t="n">
        <v>81</v>
      </c>
      <c r="F18" s="14" t="n">
        <v>0.04</v>
      </c>
    </row>
    <row r="19" customFormat="false" ht="15" hidden="false" customHeight="false" outlineLevel="0" collapsed="false">
      <c r="A19" s="3" t="s">
        <v>145</v>
      </c>
      <c r="B19" s="7" t="n">
        <v>248</v>
      </c>
      <c r="E19" s="7" t="n">
        <v>108</v>
      </c>
      <c r="F19" s="14" t="n">
        <v>0.05</v>
      </c>
    </row>
    <row r="20" customFormat="false" ht="15" hidden="false" customHeight="false" outlineLevel="0" collapsed="false">
      <c r="A20" s="3" t="s">
        <v>146</v>
      </c>
      <c r="B20" s="7" t="n">
        <v>0</v>
      </c>
      <c r="E20" s="7" t="n">
        <v>154</v>
      </c>
      <c r="F20" s="14" t="n">
        <v>0.08</v>
      </c>
    </row>
    <row r="22" customFormat="false" ht="15" hidden="false" customHeight="false" outlineLevel="0" collapsed="false">
      <c r="A22" s="6" t="s">
        <v>147</v>
      </c>
    </row>
    <row r="24" customFormat="false" ht="15" hidden="false" customHeight="false" outlineLevel="0" collapsed="false">
      <c r="A24" s="17" t="s">
        <v>148</v>
      </c>
    </row>
    <row r="25" customFormat="false" ht="15" hidden="false" customHeight="false" outlineLevel="0" collapsed="false">
      <c r="A25" s="6" t="s">
        <v>149</v>
      </c>
    </row>
    <row r="27" customFormat="false" ht="15" hidden="false" customHeight="false" outlineLevel="0" collapsed="false">
      <c r="A27" s="12" t="s">
        <v>150</v>
      </c>
      <c r="B27" s="12" t="s">
        <v>68</v>
      </c>
      <c r="C27" s="12" t="s">
        <v>69</v>
      </c>
      <c r="D27" s="12" t="s">
        <v>70</v>
      </c>
      <c r="E27" s="12" t="s">
        <v>71</v>
      </c>
      <c r="F27" s="12" t="s">
        <v>72</v>
      </c>
    </row>
    <row r="28" customFormat="false" ht="15" hidden="false" customHeight="false" outlineLevel="0" collapsed="false">
      <c r="A28" s="3" t="s">
        <v>151</v>
      </c>
      <c r="B28" s="14" t="n">
        <v>0.25</v>
      </c>
      <c r="C28" s="14" t="n">
        <v>0.6</v>
      </c>
      <c r="D28" s="14" t="n">
        <v>0.85</v>
      </c>
      <c r="E28" s="14" t="n">
        <v>1</v>
      </c>
      <c r="F28" s="14" t="n">
        <v>1</v>
      </c>
    </row>
    <row r="29" customFormat="false" ht="15" hidden="false" customHeight="false" outlineLevel="0" collapsed="false">
      <c r="A29" s="3" t="s">
        <v>152</v>
      </c>
      <c r="B29" s="14" t="n">
        <v>0</v>
      </c>
      <c r="C29" s="14" t="n">
        <v>0.25</v>
      </c>
      <c r="D29" s="14" t="n">
        <v>0.6</v>
      </c>
      <c r="E29" s="14" t="n">
        <v>0.85</v>
      </c>
      <c r="F29" s="14" t="n">
        <v>1</v>
      </c>
    </row>
    <row r="30" customFormat="false" ht="15" hidden="false" customHeight="false" outlineLevel="0" collapsed="false">
      <c r="A30" s="3" t="s">
        <v>150</v>
      </c>
      <c r="B30" s="8" t="n">
        <f aca="false">880+240*B28+200*B29</f>
        <v>940</v>
      </c>
      <c r="C30" s="8" t="n">
        <f aca="false">880+240*C28+200*C29</f>
        <v>1074</v>
      </c>
      <c r="D30" s="8" t="n">
        <f aca="false">880+240*D28+200*D29</f>
        <v>1204</v>
      </c>
      <c r="E30" s="8" t="n">
        <f aca="false">880+240*E28+200*E29</f>
        <v>1290</v>
      </c>
      <c r="F30" s="8" t="n">
        <f aca="false">880+240*F28+200*F29</f>
        <v>1320</v>
      </c>
    </row>
    <row r="31" customFormat="false" ht="15" hidden="false" customHeight="false" outlineLevel="0" collapsed="false">
      <c r="A31" s="3" t="s">
        <v>153</v>
      </c>
      <c r="B31" s="13" t="n">
        <f aca="false">B30/880-1</f>
        <v>0.0681818181818181</v>
      </c>
      <c r="C31" s="13" t="n">
        <f aca="false">C30/B30-1</f>
        <v>0.142553191489362</v>
      </c>
      <c r="D31" s="13" t="n">
        <f aca="false">D30/C30-1</f>
        <v>0.121042830540037</v>
      </c>
      <c r="E31" s="13" t="n">
        <f aca="false">E30/D30-1</f>
        <v>0.0714285714285714</v>
      </c>
      <c r="F31" s="13" t="n">
        <f aca="false">F30/E30-1</f>
        <v>0.0232558139534884</v>
      </c>
    </row>
    <row r="33" customFormat="false" ht="15" hidden="false" customHeight="false" outlineLevel="0" collapsed="false">
      <c r="A33" s="12" t="s">
        <v>154</v>
      </c>
      <c r="B33" s="12" t="s">
        <v>68</v>
      </c>
      <c r="C33" s="12" t="s">
        <v>69</v>
      </c>
      <c r="D33" s="12" t="s">
        <v>70</v>
      </c>
      <c r="E33" s="12" t="s">
        <v>71</v>
      </c>
      <c r="F33" s="12" t="s">
        <v>72</v>
      </c>
    </row>
    <row r="34" customFormat="false" ht="15" hidden="false" customHeight="false" outlineLevel="0" collapsed="false">
      <c r="A34" s="17" t="s">
        <v>155</v>
      </c>
      <c r="B34" s="8" t="n">
        <f aca="false">1204807*(1+B35)*(1+$K$34*B31)</f>
        <v>1395385.56181818</v>
      </c>
      <c r="C34" s="8" t="n">
        <f aca="false">B34*(1+C35)*(1+$K$34*C31)</f>
        <v>1659276.72280161</v>
      </c>
      <c r="D34" s="8" t="n">
        <f aca="false">C34*(1+D35)*(1+$K$34*D31)</f>
        <v>1935668.34822917</v>
      </c>
      <c r="E34" s="8" t="n">
        <f aca="false">D34*(1+E35)*(1+$K$34*E31)</f>
        <v>2185231.30312586</v>
      </c>
      <c r="F34" s="8" t="n">
        <f aca="false">E34*(1+F35)*(1+$K$34*F31)</f>
        <v>2387492.24699658</v>
      </c>
      <c r="K34" s="15" t="n">
        <v>0.5</v>
      </c>
      <c r="L34" s="6" t="s">
        <v>156</v>
      </c>
    </row>
    <row r="35" customFormat="false" ht="15" hidden="false" customHeight="false" outlineLevel="0" collapsed="false">
      <c r="A35" s="3" t="s">
        <v>157</v>
      </c>
      <c r="B35" s="14" t="n">
        <v>0.12</v>
      </c>
      <c r="C35" s="14" t="n">
        <v>0.11</v>
      </c>
      <c r="D35" s="14" t="n">
        <v>0.1</v>
      </c>
      <c r="E35" s="14" t="n">
        <v>0.09</v>
      </c>
      <c r="F35" s="14" t="n">
        <v>0.08</v>
      </c>
    </row>
    <row r="36" customFormat="false" ht="15" hidden="false" customHeight="false" outlineLevel="0" collapsed="false">
      <c r="A36" s="3" t="s">
        <v>158</v>
      </c>
      <c r="B36" s="8" t="n">
        <f aca="false">J36*(1+0.1)</f>
        <v>556.6</v>
      </c>
      <c r="C36" s="8" t="n">
        <f aca="false">B36*(1+0.09)</f>
        <v>606.694</v>
      </c>
      <c r="D36" s="8" t="n">
        <f aca="false">C36*(1+0.08)</f>
        <v>655.22952</v>
      </c>
      <c r="E36" s="8" t="n">
        <f aca="false">D36*(1+0.07)</f>
        <v>701.0955864</v>
      </c>
      <c r="F36" s="8" t="n">
        <f aca="false">E36*(1+0.06)</f>
        <v>743.161321584</v>
      </c>
      <c r="J36" s="7" t="n">
        <v>506</v>
      </c>
    </row>
    <row r="37" customFormat="false" ht="15" hidden="false" customHeight="false" outlineLevel="0" collapsed="false">
      <c r="A37" s="3" t="s">
        <v>159</v>
      </c>
      <c r="B37" s="18" t="n">
        <f aca="false">B34*B36/1000000</f>
        <v>776.671603708</v>
      </c>
      <c r="C37" s="18" t="n">
        <f aca="false">C34*C36/1000000</f>
        <v>1006.6732320634</v>
      </c>
      <c r="D37" s="18" t="n">
        <f aca="false">D34*D36/1000000</f>
        <v>1268.30704268939</v>
      </c>
      <c r="E37" s="18" t="n">
        <f aca="false">E34*E36/1000000</f>
        <v>1532.05602188466</v>
      </c>
      <c r="F37" s="18" t="n">
        <f aca="false">F34*F36/1000000</f>
        <v>1774.29189354953</v>
      </c>
    </row>
    <row r="38" customFormat="false" ht="15" hidden="false" customHeight="false" outlineLevel="0" collapsed="false">
      <c r="A38" s="17" t="s">
        <v>160</v>
      </c>
      <c r="B38" s="8" t="n">
        <f aca="false">75107*(1+B39)*(1+$K$38*B31)</f>
        <v>89053.0043181818</v>
      </c>
      <c r="C38" s="8" t="n">
        <f aca="false">B38*(1+C39)*(1+$K$38*C31)</f>
        <v>111922.573725</v>
      </c>
      <c r="D38" s="8" t="n">
        <f aca="false">C38*(1+D39)*(1+$K$38*D31)</f>
        <v>136762.2987465</v>
      </c>
      <c r="E38" s="8" t="n">
        <f aca="false">D38*(1+E39)*(1+$K$38*E31)</f>
        <v>156788.206777238</v>
      </c>
      <c r="F38" s="8" t="n">
        <f aca="false">E38*(1+F39)*(1+$K$38*F31)</f>
        <v>170060.510792799</v>
      </c>
      <c r="K38" s="15" t="n">
        <v>1</v>
      </c>
      <c r="L38" s="6" t="s">
        <v>156</v>
      </c>
    </row>
    <row r="39" customFormat="false" ht="15" hidden="false" customHeight="false" outlineLevel="0" collapsed="false">
      <c r="A39" s="3" t="s">
        <v>157</v>
      </c>
      <c r="B39" s="14" t="n">
        <v>0.11</v>
      </c>
      <c r="C39" s="14" t="n">
        <v>0.1</v>
      </c>
      <c r="D39" s="14" t="n">
        <v>0.09</v>
      </c>
      <c r="E39" s="14" t="n">
        <v>0.07</v>
      </c>
      <c r="F39" s="14" t="n">
        <v>0.06</v>
      </c>
    </row>
    <row r="40" customFormat="false" ht="15" hidden="false" customHeight="false" outlineLevel="0" collapsed="false">
      <c r="A40" s="3" t="s">
        <v>158</v>
      </c>
      <c r="B40" s="8" t="n">
        <f aca="false">J40*(1+0.14)</f>
        <v>24243.24</v>
      </c>
      <c r="C40" s="8" t="n">
        <f aca="false">B40*(1+0.12)</f>
        <v>27152.4288</v>
      </c>
      <c r="D40" s="8" t="n">
        <f aca="false">C40*(1+0.1)</f>
        <v>29867.67168</v>
      </c>
      <c r="E40" s="8" t="n">
        <f aca="false">D40*(1+0.08)</f>
        <v>32257.0854144</v>
      </c>
      <c r="F40" s="8" t="n">
        <f aca="false">E40*(1+0.07)</f>
        <v>34515.081393408</v>
      </c>
      <c r="J40" s="7" t="n">
        <v>21266</v>
      </c>
    </row>
    <row r="41" customFormat="false" ht="15" hidden="false" customHeight="false" outlineLevel="0" collapsed="false">
      <c r="A41" s="3" t="s">
        <v>159</v>
      </c>
      <c r="B41" s="18" t="n">
        <f aca="false">B38*B40/1000000</f>
        <v>2158.93335640672</v>
      </c>
      <c r="C41" s="18" t="n">
        <f aca="false">C38*C40/1000000</f>
        <v>3038.96971418081</v>
      </c>
      <c r="D41" s="18" t="n">
        <f aca="false">D38*D40/1000000</f>
        <v>4084.77143716254</v>
      </c>
      <c r="E41" s="18" t="n">
        <f aca="false">E38*E40/1000000</f>
        <v>5057.53057798396</v>
      </c>
      <c r="F41" s="18" t="n">
        <f aca="false">F38*F40/1000000</f>
        <v>5869.652371818</v>
      </c>
    </row>
    <row r="42" customFormat="false" ht="15" hidden="false" customHeight="false" outlineLevel="0" collapsed="false">
      <c r="A42" s="17" t="s">
        <v>161</v>
      </c>
      <c r="B42" s="8" t="n">
        <f aca="false">43415*(1+B43)*(1+$K$42*B31)</f>
        <v>47766.3670454546</v>
      </c>
      <c r="C42" s="8" t="n">
        <f aca="false">B42*(1+C43)*(1+$K$42*C31)</f>
        <v>56758.6397181818</v>
      </c>
      <c r="D42" s="8" t="n">
        <f aca="false">C42*(1+D43)*(1+$K$42*D31)</f>
        <v>66810.3094336364</v>
      </c>
      <c r="E42" s="8" t="n">
        <f aca="false">D42*(1+E43)*(1+$K$42*E31)</f>
        <v>75519.5104848068</v>
      </c>
      <c r="F42" s="8" t="n">
        <f aca="false">E42*(1+F43)*(1+$K$42*F31)</f>
        <v>81912.32486073</v>
      </c>
      <c r="K42" s="15" t="n">
        <v>1</v>
      </c>
      <c r="L42" s="6" t="s">
        <v>156</v>
      </c>
    </row>
    <row r="43" customFormat="false" ht="15" hidden="false" customHeight="false" outlineLevel="0" collapsed="false">
      <c r="A43" s="3" t="s">
        <v>157</v>
      </c>
      <c r="B43" s="14" t="n">
        <v>0.03</v>
      </c>
      <c r="C43" s="14" t="n">
        <v>0.04</v>
      </c>
      <c r="D43" s="14" t="n">
        <v>0.05</v>
      </c>
      <c r="E43" s="14" t="n">
        <v>0.055</v>
      </c>
      <c r="F43" s="14" t="n">
        <v>0.06</v>
      </c>
    </row>
    <row r="44" customFormat="false" ht="15" hidden="false" customHeight="false" outlineLevel="0" collapsed="false">
      <c r="A44" s="3" t="s">
        <v>158</v>
      </c>
      <c r="B44" s="8" t="n">
        <f aca="false">J44*(1+0.15)</f>
        <v>34598.9</v>
      </c>
      <c r="C44" s="8" t="n">
        <f aca="false">B44*(1+0.12)</f>
        <v>38750.768</v>
      </c>
      <c r="D44" s="8" t="n">
        <f aca="false">C44*(1+0.09)</f>
        <v>42238.33712</v>
      </c>
      <c r="E44" s="8" t="n">
        <f aca="false">D44*(1+0.07)</f>
        <v>45195.0207184</v>
      </c>
      <c r="F44" s="8" t="n">
        <f aca="false">E44*(1+0.06)</f>
        <v>47906.721961504</v>
      </c>
      <c r="J44" s="7" t="n">
        <v>30086</v>
      </c>
    </row>
    <row r="45" customFormat="false" ht="15" hidden="false" customHeight="false" outlineLevel="0" collapsed="false">
      <c r="A45" s="3" t="s">
        <v>159</v>
      </c>
      <c r="B45" s="18" t="n">
        <f aca="false">B42*B44/1000000</f>
        <v>1652.66375676898</v>
      </c>
      <c r="C45" s="18" t="n">
        <f aca="false">C42*C44/1000000</f>
        <v>2199.44087971485</v>
      </c>
      <c r="D45" s="18" t="n">
        <f aca="false">D42*D44/1000000</f>
        <v>2821.95637294945</v>
      </c>
      <c r="E45" s="18" t="n">
        <f aca="false">E42*E44/1000000</f>
        <v>3413.10584100427</v>
      </c>
      <c r="F45" s="18" t="n">
        <f aca="false">F42*F44/1000000</f>
        <v>3924.15097232338</v>
      </c>
    </row>
    <row r="46" customFormat="false" ht="15" hidden="false" customHeight="false" outlineLevel="0" collapsed="false">
      <c r="A46" s="17" t="s">
        <v>162</v>
      </c>
      <c r="B46" s="8" t="n">
        <f aca="false">192620*(1+B47)*(1+$K$46*B31)</f>
        <v>219105.25</v>
      </c>
      <c r="C46" s="8" t="n">
        <f aca="false">B46*(1+C47)*(1+$K$46*C31)</f>
        <v>255847.335699468</v>
      </c>
      <c r="D46" s="8" t="n">
        <f aca="false">C46*(1+D47)*(1+$K$46*D31)</f>
        <v>293038.104832989</v>
      </c>
      <c r="E46" s="8" t="n">
        <f aca="false">D46*(1+E47)*(1+$K$46*E31)</f>
        <v>324749.014034559</v>
      </c>
      <c r="F46" s="8" t="n">
        <f aca="false">E46*(1+F47)*(1+$K$46*F31)</f>
        <v>348236.675282174</v>
      </c>
      <c r="K46" s="15" t="n">
        <v>0.5</v>
      </c>
      <c r="L46" s="6" t="s">
        <v>156</v>
      </c>
    </row>
    <row r="47" customFormat="false" ht="15" hidden="false" customHeight="false" outlineLevel="0" collapsed="false">
      <c r="A47" s="3" t="s">
        <v>157</v>
      </c>
      <c r="B47" s="14" t="n">
        <v>0.1</v>
      </c>
      <c r="C47" s="14" t="n">
        <v>0.09</v>
      </c>
      <c r="D47" s="14" t="n">
        <v>0.08</v>
      </c>
      <c r="E47" s="14" t="n">
        <v>0.07</v>
      </c>
      <c r="F47" s="14" t="n">
        <v>0.06</v>
      </c>
    </row>
    <row r="48" customFormat="false" ht="15" hidden="false" customHeight="false" outlineLevel="0" collapsed="false">
      <c r="A48" s="3" t="s">
        <v>158</v>
      </c>
      <c r="B48" s="8" t="n">
        <f aca="false">J48*(1+0.18)</f>
        <v>1590.64</v>
      </c>
      <c r="C48" s="8" t="n">
        <f aca="false">B48*(1+0.13)</f>
        <v>1797.4232</v>
      </c>
      <c r="D48" s="8" t="n">
        <f aca="false">C48*(1+0.1)</f>
        <v>1977.16552</v>
      </c>
      <c r="E48" s="8" t="n">
        <f aca="false">D48*(1+0.08)</f>
        <v>2135.3387616</v>
      </c>
      <c r="F48" s="8" t="n">
        <f aca="false">E48*(1+0.06)</f>
        <v>2263.459087296</v>
      </c>
      <c r="J48" s="7" t="n">
        <v>1348</v>
      </c>
    </row>
    <row r="49" customFormat="false" ht="15" hidden="false" customHeight="false" outlineLevel="0" collapsed="false">
      <c r="A49" s="3" t="s">
        <v>159</v>
      </c>
      <c r="B49" s="18" t="n">
        <f aca="false">B46*B48/1000000</f>
        <v>348.51757486</v>
      </c>
      <c r="C49" s="18" t="n">
        <f aca="false">C46*C48/1000000</f>
        <v>459.865936844412</v>
      </c>
      <c r="D49" s="18" t="n">
        <f aca="false">D46*D48/1000000</f>
        <v>579.384836921931</v>
      </c>
      <c r="E49" s="18" t="n">
        <f aca="false">E46*E48/1000000</f>
        <v>693.449157459375</v>
      </c>
      <c r="F49" s="18" t="n">
        <f aca="false">F46*F48/1000000</f>
        <v>788.219467197184</v>
      </c>
    </row>
    <row r="50" customFormat="false" ht="15" hidden="false" customHeight="false" outlineLevel="0" collapsed="false">
      <c r="A50" s="17" t="s">
        <v>163</v>
      </c>
      <c r="B50" s="8" t="n">
        <f aca="false">6089*(1+B51)*(1+$K$50*B31)</f>
        <v>7154.575</v>
      </c>
      <c r="C50" s="8" t="n">
        <f aca="false">B50*(1+C51)*(1+$K$50*C31)</f>
        <v>8910.185925</v>
      </c>
      <c r="D50" s="8" t="n">
        <f aca="false">C50*(1+D51)*(1+$K$50*D31)</f>
        <v>10787.796054</v>
      </c>
      <c r="E50" s="8" t="n">
        <f aca="false">D50*(1+E51)*(1+$K$50*E31)</f>
        <v>12367.43761905</v>
      </c>
      <c r="F50" s="8" t="n">
        <f aca="false">E50*(1+F51)*(1+$K$50*F31)</f>
        <v>13414.355594244</v>
      </c>
      <c r="K50" s="15" t="n">
        <v>1</v>
      </c>
      <c r="L50" s="6" t="s">
        <v>156</v>
      </c>
    </row>
    <row r="51" customFormat="false" ht="15" hidden="false" customHeight="false" outlineLevel="0" collapsed="false">
      <c r="A51" s="3" t="s">
        <v>157</v>
      </c>
      <c r="B51" s="14" t="n">
        <v>0.1</v>
      </c>
      <c r="C51" s="14" t="n">
        <v>0.09</v>
      </c>
      <c r="D51" s="14" t="n">
        <v>0.08</v>
      </c>
      <c r="E51" s="14" t="n">
        <v>0.07</v>
      </c>
      <c r="F51" s="14" t="n">
        <v>0.06</v>
      </c>
    </row>
    <row r="52" customFormat="false" ht="15" hidden="false" customHeight="false" outlineLevel="0" collapsed="false">
      <c r="A52" s="3" t="s">
        <v>158</v>
      </c>
      <c r="B52" s="8" t="n">
        <f aca="false">J52*(1+0.1)</f>
        <v>86078.3</v>
      </c>
      <c r="C52" s="8" t="n">
        <f aca="false">B52*(1+0.09)</f>
        <v>93825.347</v>
      </c>
      <c r="D52" s="8" t="n">
        <f aca="false">C52*(1+0.08)</f>
        <v>101331.37476</v>
      </c>
      <c r="E52" s="8" t="n">
        <f aca="false">D52*(1+0.07)</f>
        <v>108424.5709932</v>
      </c>
      <c r="F52" s="8" t="n">
        <f aca="false">E52*(1+0.06)</f>
        <v>114930.045252792</v>
      </c>
      <c r="J52" s="7" t="n">
        <v>78253</v>
      </c>
    </row>
    <row r="53" customFormat="false" ht="15" hidden="false" customHeight="false" outlineLevel="0" collapsed="false">
      <c r="A53" s="3" t="s">
        <v>159</v>
      </c>
      <c r="B53" s="18" t="n">
        <f aca="false">B50*B52/1000000</f>
        <v>615.8536532225</v>
      </c>
      <c r="C53" s="18" t="n">
        <f aca="false">C50*C52/1000000</f>
        <v>836.001286247641</v>
      </c>
      <c r="D53" s="18" t="n">
        <f aca="false">D50*D52/1000000</f>
        <v>1093.14220478232</v>
      </c>
      <c r="E53" s="18" t="n">
        <f aca="false">E50*E52/1000000</f>
        <v>1340.93411813066</v>
      </c>
      <c r="F53" s="18" t="n">
        <f aca="false">F50*F52/1000000</f>
        <v>1541.71249548351</v>
      </c>
    </row>
    <row r="54" customFormat="false" ht="15" hidden="false" customHeight="false" outlineLevel="0" collapsed="false">
      <c r="A54" s="17" t="s">
        <v>164</v>
      </c>
      <c r="B54" s="8" t="n">
        <f aca="false">2182000*(1+B55)*(1+$K$54*B31)</f>
        <v>2594844.31818182</v>
      </c>
      <c r="C54" s="8" t="n">
        <f aca="false">B54*(1+C55)*(1+$K$54*C31)</f>
        <v>3141169.46606625</v>
      </c>
      <c r="D54" s="8" t="n">
        <f aca="false">C54*(1+D55)*(1+$K$54*D31)</f>
        <v>3697718.01140866</v>
      </c>
      <c r="E54" s="8" t="n">
        <f aca="false">D54*(1+E55)*(1+$K$54*E31)</f>
        <v>4174459.51216527</v>
      </c>
      <c r="F54" s="8" t="n">
        <f aca="false">E54*(1+F55)*(1+$K$54*F31)</f>
        <v>4518609.72078448</v>
      </c>
      <c r="K54" s="15" t="n">
        <v>0.5</v>
      </c>
      <c r="L54" s="6" t="s">
        <v>156</v>
      </c>
    </row>
    <row r="55" customFormat="false" ht="15" hidden="false" customHeight="false" outlineLevel="0" collapsed="false">
      <c r="A55" s="3" t="s">
        <v>157</v>
      </c>
      <c r="B55" s="14" t="n">
        <v>0.15</v>
      </c>
      <c r="C55" s="14" t="n">
        <v>0.13</v>
      </c>
      <c r="D55" s="14" t="n">
        <v>0.11</v>
      </c>
      <c r="E55" s="14" t="n">
        <v>0.09</v>
      </c>
      <c r="F55" s="14" t="n">
        <v>0.07</v>
      </c>
    </row>
    <row r="56" customFormat="false" ht="15" hidden="false" customHeight="false" outlineLevel="0" collapsed="false">
      <c r="A56" s="3" t="s">
        <v>158</v>
      </c>
      <c r="B56" s="8" t="n">
        <f aca="false">J56*(1+0.14)</f>
        <v>411.54</v>
      </c>
      <c r="C56" s="8" t="n">
        <f aca="false">B56*(1+0.11)</f>
        <v>456.8094</v>
      </c>
      <c r="D56" s="8" t="n">
        <f aca="false">C56*(1+0.09)</f>
        <v>497.922246</v>
      </c>
      <c r="E56" s="8" t="n">
        <f aca="false">D56*(1+0.07)</f>
        <v>532.77680322</v>
      </c>
      <c r="F56" s="8" t="n">
        <f aca="false">E56*(1+0.06)</f>
        <v>564.7434114132</v>
      </c>
      <c r="J56" s="7" t="n">
        <v>361</v>
      </c>
    </row>
    <row r="57" customFormat="false" ht="15" hidden="false" customHeight="false" outlineLevel="0" collapsed="false">
      <c r="A57" s="3" t="s">
        <v>159</v>
      </c>
      <c r="B57" s="18" t="n">
        <f aca="false">B54*B56/1000000</f>
        <v>1067.88223070455</v>
      </c>
      <c r="C57" s="18" t="n">
        <f aca="false">C54*C56/1000000</f>
        <v>1434.91573909204</v>
      </c>
      <c r="D57" s="18" t="n">
        <f aca="false">D54*D56/1000000</f>
        <v>1841.17605731525</v>
      </c>
      <c r="E57" s="18" t="n">
        <f aca="false">E54*E56/1000000</f>
        <v>2224.05519406273</v>
      </c>
      <c r="F57" s="18" t="n">
        <f aca="false">F54*F56/1000000</f>
        <v>2551.85506856067</v>
      </c>
    </row>
    <row r="58" customFormat="false" ht="15" hidden="false" customHeight="false" outlineLevel="0" collapsed="false">
      <c r="A58" s="17" t="s">
        <v>165</v>
      </c>
      <c r="B58" s="8" t="n">
        <f aca="false">385000*(1+B59)*(1+$K$58*B31)</f>
        <v>457843.75</v>
      </c>
      <c r="C58" s="8" t="n">
        <f aca="false">B58*(1+C59)*(1+$K$58*C31)</f>
        <v>554239.342087766</v>
      </c>
      <c r="D58" s="8" t="n">
        <f aca="false">C58*(1+D59)*(1+$K$58*D31)</f>
        <v>652438.787530858</v>
      </c>
      <c r="E58" s="8" t="n">
        <f aca="false">D58*(1+E59)*(1+$K$58*E31)</f>
        <v>736556.788351801</v>
      </c>
      <c r="F58" s="8" t="n">
        <f aca="false">E58*(1+F59)*(1+$K$58*F31)</f>
        <v>797279.900321734</v>
      </c>
      <c r="K58" s="15" t="n">
        <v>0.5</v>
      </c>
      <c r="L58" s="6" t="s">
        <v>156</v>
      </c>
    </row>
    <row r="59" customFormat="false" ht="15" hidden="false" customHeight="false" outlineLevel="0" collapsed="false">
      <c r="A59" s="3" t="s">
        <v>157</v>
      </c>
      <c r="B59" s="14" t="n">
        <v>0.15</v>
      </c>
      <c r="C59" s="14" t="n">
        <v>0.13</v>
      </c>
      <c r="D59" s="14" t="n">
        <v>0.11</v>
      </c>
      <c r="E59" s="14" t="n">
        <v>0.09</v>
      </c>
      <c r="F59" s="14" t="n">
        <v>0.07</v>
      </c>
    </row>
    <row r="60" customFormat="false" ht="15" hidden="false" customHeight="false" outlineLevel="0" collapsed="false">
      <c r="A60" s="3" t="s">
        <v>158</v>
      </c>
      <c r="B60" s="8" t="n">
        <f aca="false">J60*(1+0.14)</f>
        <v>1554.96</v>
      </c>
      <c r="C60" s="8" t="n">
        <f aca="false">B60*(1+0.11)</f>
        <v>1726.0056</v>
      </c>
      <c r="D60" s="8" t="n">
        <f aca="false">C60*(1+0.09)</f>
        <v>1881.346104</v>
      </c>
      <c r="E60" s="8" t="n">
        <f aca="false">D60*(1+0.07)</f>
        <v>2013.04033128</v>
      </c>
      <c r="F60" s="8" t="n">
        <f aca="false">E60*(1+0.06)</f>
        <v>2133.8227511568</v>
      </c>
      <c r="J60" s="7" t="n">
        <v>1364</v>
      </c>
    </row>
    <row r="61" customFormat="false" ht="15" hidden="false" customHeight="false" outlineLevel="0" collapsed="false">
      <c r="A61" s="3" t="s">
        <v>159</v>
      </c>
      <c r="B61" s="18" t="n">
        <f aca="false">B58*B60/1000000</f>
        <v>711.9287175</v>
      </c>
      <c r="C61" s="18" t="n">
        <f aca="false">C58*C60/1000000</f>
        <v>956.6202081838</v>
      </c>
      <c r="D61" s="18" t="n">
        <f aca="false">D58*D60/1000000</f>
        <v>1227.46317101966</v>
      </c>
      <c r="E61" s="18" t="n">
        <f aca="false">E58*E60/1000000</f>
        <v>1482.71852123024</v>
      </c>
      <c r="F61" s="18" t="n">
        <f aca="false">F58*F60/1000000</f>
        <v>1701.25399034654</v>
      </c>
    </row>
    <row r="62" customFormat="false" ht="15" hidden="false" customHeight="false" outlineLevel="0" collapsed="false">
      <c r="A62" s="17" t="s">
        <v>166</v>
      </c>
      <c r="B62" s="18" t="n">
        <f aca="false">B37+B41+B45+B49+B53+B57+B61</f>
        <v>7332.45089317074</v>
      </c>
      <c r="C62" s="18" t="n">
        <f aca="false">C37+C41+C45+C49+C53+C57+C61</f>
        <v>9932.48699632696</v>
      </c>
      <c r="D62" s="18" t="n">
        <f aca="false">D37+D41+D45+D49+D53+D57+D61</f>
        <v>12916.2011228406</v>
      </c>
      <c r="E62" s="18" t="n">
        <f aca="false">E37+E41+E45+E49+E53+E57+E61</f>
        <v>15743.8494317559</v>
      </c>
      <c r="F62" s="18" t="n">
        <f aca="false">F37+F41+F45+F49+F53+F57+F61</f>
        <v>18151.1362592788</v>
      </c>
    </row>
    <row r="63" customFormat="false" ht="15" hidden="false" customHeight="false" outlineLevel="0" collapsed="false">
      <c r="A63" s="3" t="s">
        <v>167</v>
      </c>
      <c r="B63" s="8" t="n">
        <f aca="false">J63*(1+B31)*(1+$B$64)</f>
        <v>1921.13013509182</v>
      </c>
      <c r="C63" s="8" t="n">
        <f aca="false">B63*(1+C31)*(1+$B$64)</f>
        <v>2370.59283648479</v>
      </c>
      <c r="D63" s="8" t="n">
        <f aca="false">C63*(1+D31)*(1+$B$64)</f>
        <v>2870.13899174851</v>
      </c>
      <c r="E63" s="8" t="n">
        <f aca="false">D63*(1+E31)*(1+$B$64)</f>
        <v>3321.16083330899</v>
      </c>
      <c r="F63" s="8" t="n">
        <f aca="false">E63*(1+F31)*(1+$B$64)</f>
        <v>3670.26890229868</v>
      </c>
      <c r="J63" s="7" t="n">
        <v>1665.282229</v>
      </c>
    </row>
    <row r="64" customFormat="false" ht="15" hidden="false" customHeight="false" outlineLevel="0" collapsed="false">
      <c r="A64" s="3" t="s">
        <v>168</v>
      </c>
      <c r="B64" s="14" t="n">
        <v>0.08</v>
      </c>
    </row>
    <row r="65" customFormat="false" ht="15" hidden="false" customHeight="false" outlineLevel="0" collapsed="false">
      <c r="A65" s="17" t="s">
        <v>169</v>
      </c>
      <c r="B65" s="18" t="n">
        <f aca="false">B62+B63</f>
        <v>9253.58102826256</v>
      </c>
      <c r="C65" s="18" t="n">
        <f aca="false">C62+C63</f>
        <v>12303.0798328117</v>
      </c>
      <c r="D65" s="18" t="n">
        <f aca="false">D62+D63</f>
        <v>15786.3401145891</v>
      </c>
      <c r="E65" s="18" t="n">
        <f aca="false">E62+E63</f>
        <v>19065.0102650649</v>
      </c>
      <c r="F65" s="18" t="n">
        <f aca="false">F62+F63</f>
        <v>21821.4051615775</v>
      </c>
    </row>
    <row r="66" customFormat="false" ht="15" hidden="false" customHeight="false" outlineLevel="0" collapsed="false">
      <c r="A66" s="6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3.5"/>
  </cols>
  <sheetData>
    <row r="1" customFormat="false" ht="16.15" hidden="false" customHeight="false" outlineLevel="0" collapsed="false">
      <c r="A1" s="1" t="s">
        <v>171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6" t="s">
        <v>172</v>
      </c>
    </row>
    <row r="3" customFormat="false" ht="15" hidden="false" customHeight="false" outlineLevel="0" collapsed="false">
      <c r="A3" s="12" t="s">
        <v>173</v>
      </c>
      <c r="B3" s="12" t="s">
        <v>68</v>
      </c>
      <c r="C3" s="12" t="s">
        <v>69</v>
      </c>
      <c r="D3" s="12" t="s">
        <v>70</v>
      </c>
      <c r="E3" s="12" t="s">
        <v>71</v>
      </c>
      <c r="F3" s="12" t="s">
        <v>72</v>
      </c>
      <c r="G3" s="12"/>
      <c r="H3" s="12" t="s">
        <v>174</v>
      </c>
      <c r="I3" s="12" t="s">
        <v>99</v>
      </c>
    </row>
    <row r="4" customFormat="false" ht="15" hidden="false" customHeight="false" outlineLevel="0" collapsed="false">
      <c r="A4" s="3" t="s">
        <v>175</v>
      </c>
      <c r="B4" s="19" t="n">
        <f aca="false">'Facilities &amp; Volumes'!B65</f>
        <v>9253.58102826256</v>
      </c>
      <c r="C4" s="19" t="n">
        <f aca="false">'Facilities &amp; Volumes'!C65</f>
        <v>12303.0798328117</v>
      </c>
      <c r="D4" s="19" t="n">
        <f aca="false">'Facilities &amp; Volumes'!D65</f>
        <v>15786.3401145891</v>
      </c>
      <c r="E4" s="19" t="n">
        <f aca="false">'Facilities &amp; Volumes'!E65</f>
        <v>19065.0102650649</v>
      </c>
      <c r="F4" s="19" t="n">
        <f aca="false">'Facilities &amp; Volumes'!F65</f>
        <v>21821.4051615775</v>
      </c>
      <c r="H4" s="3" t="s">
        <v>176</v>
      </c>
      <c r="I4" s="8" t="n">
        <f aca="false">F13</f>
        <v>3594.18097109719</v>
      </c>
    </row>
    <row r="5" customFormat="false" ht="15" hidden="false" customHeight="false" outlineLevel="0" collapsed="false">
      <c r="A5" s="3" t="s">
        <v>177</v>
      </c>
      <c r="B5" s="8" t="n">
        <f aca="false">B4*Assumptions!B40</f>
        <v>1989.51992107645</v>
      </c>
      <c r="C5" s="8" t="n">
        <f aca="false">C4*Assumptions!C40</f>
        <v>3014.25455903888</v>
      </c>
      <c r="D5" s="8" t="n">
        <f aca="false">D4*Assumptions!D40</f>
        <v>4183.3801303661</v>
      </c>
      <c r="E5" s="8" t="n">
        <f aca="false">E4*Assumptions!E40</f>
        <v>5242.87782289285</v>
      </c>
      <c r="F5" s="8" t="n">
        <f aca="false">F4*Assumptions!F40</f>
        <v>6109.9934452417</v>
      </c>
      <c r="H5" s="3" t="s">
        <v>178</v>
      </c>
      <c r="I5" s="8" t="n">
        <f aca="false">I4*(1+Assumptions!B31)</f>
        <v>3773.89001965205</v>
      </c>
    </row>
    <row r="6" customFormat="false" ht="15" hidden="false" customHeight="false" outlineLevel="0" collapsed="false">
      <c r="A6" s="3" t="s">
        <v>179</v>
      </c>
      <c r="B6" s="19" t="n">
        <f aca="false">-Assumptions!B42</f>
        <v>-480</v>
      </c>
      <c r="C6" s="19" t="n">
        <f aca="false">-Assumptions!C42</f>
        <v>-560</v>
      </c>
      <c r="D6" s="19" t="n">
        <f aca="false">-Assumptions!D42</f>
        <v>-620</v>
      </c>
      <c r="E6" s="19" t="n">
        <f aca="false">-Assumptions!E42</f>
        <v>-680</v>
      </c>
      <c r="F6" s="19" t="n">
        <f aca="false">-Assumptions!F42</f>
        <v>-740</v>
      </c>
      <c r="H6" s="3" t="s">
        <v>180</v>
      </c>
      <c r="I6" s="11" t="n">
        <f aca="false">Assumptions!B30-Assumptions!B31</f>
        <v>0.128666555476574</v>
      </c>
    </row>
    <row r="7" customFormat="false" ht="15" hidden="false" customHeight="false" outlineLevel="0" collapsed="false">
      <c r="A7" s="3" t="s">
        <v>181</v>
      </c>
      <c r="B7" s="8" t="n">
        <f aca="false">B5+B6</f>
        <v>1509.51992107645</v>
      </c>
      <c r="C7" s="8" t="n">
        <f aca="false">C5+C6</f>
        <v>2454.25455903888</v>
      </c>
      <c r="D7" s="8" t="n">
        <f aca="false">D5+D6</f>
        <v>3563.3801303661</v>
      </c>
      <c r="E7" s="8" t="n">
        <f aca="false">E5+E6</f>
        <v>4562.87782289285</v>
      </c>
      <c r="F7" s="8" t="n">
        <f aca="false">F5+F6</f>
        <v>5369.9934452417</v>
      </c>
      <c r="H7" s="3" t="s">
        <v>182</v>
      </c>
      <c r="I7" s="18" t="n">
        <f aca="false">I5/I6</f>
        <v>29330.7767949004</v>
      </c>
    </row>
    <row r="8" customFormat="false" ht="15" hidden="false" customHeight="false" outlineLevel="0" collapsed="false">
      <c r="A8" s="3" t="s">
        <v>183</v>
      </c>
      <c r="B8" s="8" t="n">
        <f aca="false">B7*(1-Assumptions!$B$20)</f>
        <v>1169.87793883425</v>
      </c>
      <c r="C8" s="8" t="n">
        <f aca="false">C7*(1-Assumptions!$B$20)</f>
        <v>1902.04728325513</v>
      </c>
      <c r="D8" s="8" t="n">
        <f aca="false">D7*(1-Assumptions!$B$20)</f>
        <v>2761.61960103373</v>
      </c>
      <c r="E8" s="8" t="n">
        <f aca="false">E7*(1-Assumptions!$B$20)</f>
        <v>3536.23031274196</v>
      </c>
      <c r="F8" s="8" t="n">
        <f aca="false">F7*(1-Assumptions!$B$20)</f>
        <v>4161.74492006232</v>
      </c>
      <c r="H8" s="3" t="s">
        <v>184</v>
      </c>
      <c r="I8" s="20" t="n">
        <f aca="false">F15</f>
        <v>0.386368600829511</v>
      </c>
    </row>
    <row r="9" customFormat="false" ht="15" hidden="false" customHeight="false" outlineLevel="0" collapsed="false">
      <c r="A9" s="3" t="s">
        <v>185</v>
      </c>
      <c r="B9" s="8" t="n">
        <f aca="false">-B6</f>
        <v>480</v>
      </c>
      <c r="C9" s="8" t="n">
        <f aca="false">-C6</f>
        <v>560</v>
      </c>
      <c r="D9" s="8" t="n">
        <f aca="false">-D6</f>
        <v>620</v>
      </c>
      <c r="E9" s="8" t="n">
        <f aca="false">-E6</f>
        <v>680</v>
      </c>
      <c r="F9" s="8" t="n">
        <f aca="false">-F6</f>
        <v>740</v>
      </c>
      <c r="H9" s="3" t="s">
        <v>186</v>
      </c>
      <c r="I9" s="18" t="n">
        <f aca="false">I7*I8</f>
        <v>11332.4911914884</v>
      </c>
    </row>
    <row r="10" customFormat="false" ht="15" hidden="false" customHeight="false" outlineLevel="0" collapsed="false">
      <c r="A10" s="3" t="s">
        <v>187</v>
      </c>
      <c r="B10" s="19" t="n">
        <f aca="false">-Assumptions!B43</f>
        <v>-1400</v>
      </c>
      <c r="C10" s="19" t="n">
        <f aca="false">-Assumptions!C43</f>
        <v>-1100</v>
      </c>
      <c r="D10" s="19" t="n">
        <f aca="false">-Assumptions!D43</f>
        <v>-1150</v>
      </c>
      <c r="E10" s="19" t="n">
        <f aca="false">-Assumptions!E43</f>
        <v>-1220</v>
      </c>
      <c r="F10" s="19" t="n">
        <f aca="false">-Assumptions!F43</f>
        <v>-1280</v>
      </c>
      <c r="H10" s="3" t="s">
        <v>188</v>
      </c>
      <c r="I10" s="8" t="n">
        <f aca="false">I7-B19</f>
        <v>4802.33670396678</v>
      </c>
    </row>
    <row r="11" customFormat="false" ht="15" hidden="false" customHeight="false" outlineLevel="0" collapsed="false">
      <c r="A11" s="3" t="s">
        <v>189</v>
      </c>
      <c r="B11" s="8" t="n">
        <f aca="false">B4*Assumptions!B44</f>
        <v>0</v>
      </c>
      <c r="C11" s="8" t="n">
        <f aca="false">C4*Assumptions!C44</f>
        <v>98.424638662494</v>
      </c>
      <c r="D11" s="8" t="n">
        <f aca="false">D4*Assumptions!D44</f>
        <v>157.863401145891</v>
      </c>
      <c r="E11" s="8" t="n">
        <f aca="false">E4*Assumptions!E44</f>
        <v>190.650102650649</v>
      </c>
      <c r="F11" s="8" t="n">
        <f aca="false">F4*Assumptions!F44</f>
        <v>218.214051615775</v>
      </c>
    </row>
    <row r="12" customFormat="false" ht="15" hidden="false" customHeight="false" outlineLevel="0" collapsed="false">
      <c r="A12" s="3" t="s">
        <v>190</v>
      </c>
      <c r="B12" s="8" t="n">
        <f aca="false">-(B11-Assumptions!$B$34)</f>
        <v>-116.6</v>
      </c>
      <c r="C12" s="8" t="n">
        <f aca="false">-(C11-B11)</f>
        <v>-98.424638662494</v>
      </c>
      <c r="D12" s="8" t="n">
        <f aca="false">-(D11-C11)</f>
        <v>-59.4387624833967</v>
      </c>
      <c r="E12" s="8" t="n">
        <f aca="false">-(E11-D11)</f>
        <v>-32.7867015047584</v>
      </c>
      <c r="F12" s="8" t="n">
        <f aca="false">-(F11-E11)</f>
        <v>-27.5639489651261</v>
      </c>
      <c r="H12" s="6" t="s">
        <v>191</v>
      </c>
    </row>
    <row r="13" customFormat="false" ht="15" hidden="false" customHeight="false" outlineLevel="0" collapsed="false">
      <c r="A13" s="17" t="s">
        <v>192</v>
      </c>
      <c r="B13" s="18" t="n">
        <f aca="false">B8+B9+B10+B12</f>
        <v>133.277938834249</v>
      </c>
      <c r="C13" s="18" t="n">
        <f aca="false">C8+C9+C10+C12</f>
        <v>1263.62264459264</v>
      </c>
      <c r="D13" s="18" t="n">
        <f aca="false">D8+D9+D10+D12</f>
        <v>2172.18083855033</v>
      </c>
      <c r="E13" s="18" t="n">
        <f aca="false">E8+E9+E10+E12</f>
        <v>2963.4436112372</v>
      </c>
      <c r="F13" s="18" t="n">
        <f aca="false">F8+F9+F10+F12</f>
        <v>3594.18097109719</v>
      </c>
    </row>
    <row r="14" customFormat="false" ht="15" hidden="false" customHeight="false" outlineLevel="0" collapsed="false">
      <c r="A14" s="3" t="s">
        <v>193</v>
      </c>
      <c r="B14" s="11" t="n">
        <f aca="false">B48</f>
        <v>0.251496817569322</v>
      </c>
      <c r="C14" s="11" t="n">
        <f aca="false">C48</f>
        <v>0.228162850102713</v>
      </c>
      <c r="D14" s="11" t="n">
        <f aca="false">D48</f>
        <v>0.203414702789643</v>
      </c>
      <c r="E14" s="11" t="n">
        <f aca="false">E48</f>
        <v>0.18715163455534</v>
      </c>
      <c r="F14" s="11" t="n">
        <f aca="false">F48</f>
        <v>0.178666555476574</v>
      </c>
      <c r="H14" s="6" t="s">
        <v>194</v>
      </c>
    </row>
    <row r="15" customFormat="false" ht="15" hidden="false" customHeight="false" outlineLevel="0" collapsed="false">
      <c r="A15" s="3" t="s">
        <v>195</v>
      </c>
      <c r="B15" s="20" t="n">
        <f aca="false">1/(1+B14)</f>
        <v>0.799043182500629</v>
      </c>
      <c r="C15" s="20" t="n">
        <f aca="false">C49</f>
        <v>0.650600351927111</v>
      </c>
      <c r="D15" s="20" t="n">
        <f aca="false">D49</f>
        <v>0.540628555076608</v>
      </c>
      <c r="E15" s="20" t="n">
        <f aca="false">E49</f>
        <v>0.455399747884023</v>
      </c>
      <c r="F15" s="20" t="n">
        <f aca="false">F49</f>
        <v>0.386368600829511</v>
      </c>
      <c r="H15" s="6" t="s">
        <v>196</v>
      </c>
    </row>
    <row r="16" customFormat="false" ht="15" hidden="false" customHeight="false" outlineLevel="0" collapsed="false">
      <c r="A16" s="17" t="s">
        <v>197</v>
      </c>
      <c r="B16" s="18" t="n">
        <f aca="false">B13*B15</f>
        <v>106.494828403242</v>
      </c>
      <c r="C16" s="18" t="n">
        <f aca="false">C13*C15</f>
        <v>822.113337275036</v>
      </c>
      <c r="D16" s="18" t="n">
        <f aca="false">D13*D15</f>
        <v>1174.34298811056</v>
      </c>
      <c r="E16" s="18" t="n">
        <f aca="false">E13*E15</f>
        <v>1349.55147342594</v>
      </c>
      <c r="F16" s="18" t="n">
        <f aca="false">F13*F15</f>
        <v>1388.67867293088</v>
      </c>
    </row>
    <row r="18" customFormat="false" ht="15" hidden="false" customHeight="false" outlineLevel="0" collapsed="false">
      <c r="A18" s="3" t="s">
        <v>198</v>
      </c>
      <c r="B18" s="8" t="n">
        <f aca="false">SUM(B16:F16)</f>
        <v>4841.18130014566</v>
      </c>
    </row>
    <row r="19" customFormat="false" ht="15" hidden="false" customHeight="false" outlineLevel="0" collapsed="false">
      <c r="A19" s="3" t="s">
        <v>199</v>
      </c>
      <c r="B19" s="8" t="n">
        <f aca="false">F8*(1+Assumptions!B31)*(1-Assumptions!B31/Assumptions!B84)/(Assumptions!B30-Assumptions!B31)</f>
        <v>24528.4400909336</v>
      </c>
    </row>
    <row r="20" customFormat="false" ht="15" hidden="false" customHeight="false" outlineLevel="0" collapsed="false">
      <c r="A20" s="3" t="s">
        <v>200</v>
      </c>
      <c r="B20" s="8" t="n">
        <f aca="false">B19*F15</f>
        <v>9477.01907846453</v>
      </c>
    </row>
    <row r="21" customFormat="false" ht="15" hidden="false" customHeight="false" outlineLevel="0" collapsed="false">
      <c r="A21" s="17" t="s">
        <v>201</v>
      </c>
      <c r="B21" s="18" t="n">
        <f aca="false">B18+B20</f>
        <v>14318.2003786102</v>
      </c>
    </row>
    <row r="22" customFormat="false" ht="15" hidden="false" customHeight="false" outlineLevel="0" collapsed="false">
      <c r="A22" s="3" t="s">
        <v>202</v>
      </c>
      <c r="B22" s="13" t="n">
        <f aca="false">B20/B21</f>
        <v>0.661886188757503</v>
      </c>
    </row>
    <row r="23" customFormat="false" ht="15" hidden="false" customHeight="false" outlineLevel="0" collapsed="false">
      <c r="A23" s="3" t="s">
        <v>203</v>
      </c>
      <c r="B23" s="8" t="n">
        <f aca="false">-Assumptions!B7</f>
        <v>-3164.1</v>
      </c>
    </row>
    <row r="24" customFormat="false" ht="15" hidden="false" customHeight="false" outlineLevel="0" collapsed="false">
      <c r="A24" s="3" t="s">
        <v>204</v>
      </c>
      <c r="B24" s="8" t="n">
        <f aca="false">-Assumptions!B85</f>
        <v>-781.9</v>
      </c>
    </row>
    <row r="25" customFormat="false" ht="15" hidden="false" customHeight="false" outlineLevel="0" collapsed="false">
      <c r="A25" s="3" t="s">
        <v>205</v>
      </c>
      <c r="B25" s="8" t="n">
        <f aca="false">Assumptions!B9</f>
        <v>18.6</v>
      </c>
    </row>
    <row r="26" customFormat="false" ht="15" hidden="false" customHeight="false" outlineLevel="0" collapsed="false">
      <c r="A26" s="17" t="s">
        <v>206</v>
      </c>
      <c r="B26" s="18" t="n">
        <f aca="false">B21+B23+B24+B25</f>
        <v>10390.8003786102</v>
      </c>
    </row>
    <row r="27" customFormat="false" ht="15" hidden="false" customHeight="false" outlineLevel="0" collapsed="false">
      <c r="A27" s="17" t="s">
        <v>207</v>
      </c>
      <c r="B27" s="21" t="n">
        <f aca="false">B26/Assumptions!B5</f>
        <v>7.16903572416875</v>
      </c>
    </row>
    <row r="28" customFormat="false" ht="15" hidden="false" customHeight="false" outlineLevel="0" collapsed="false">
      <c r="A28" s="3" t="s">
        <v>208</v>
      </c>
      <c r="B28" s="13" t="n">
        <f aca="false">B27/Assumptions!B4-1</f>
        <v>-0.56045151905771</v>
      </c>
    </row>
    <row r="30" customFormat="false" ht="15" hidden="false" customHeight="false" outlineLevel="0" collapsed="false">
      <c r="A30" s="17" t="s">
        <v>209</v>
      </c>
    </row>
    <row r="32" customFormat="false" ht="15" hidden="false" customHeight="false" outlineLevel="0" collapsed="false">
      <c r="A32" s="3" t="s">
        <v>210</v>
      </c>
      <c r="B32" s="20" t="n">
        <f aca="false">1/(1+Assumptions!$B$24)^1</f>
        <v>0.799043182500629</v>
      </c>
      <c r="C32" s="20" t="n">
        <f aca="false">1/(1+Assumptions!$B$24)^2</f>
        <v>0.638470007500733</v>
      </c>
      <c r="D32" s="20" t="n">
        <f aca="false">1/(1+Assumptions!$B$24)^3</f>
        <v>0.510165106724586</v>
      </c>
      <c r="E32" s="20" t="n">
        <f aca="false">1/(1+Assumptions!$B$24)^4</f>
        <v>0.407643950477986</v>
      </c>
      <c r="F32" s="20" t="n">
        <f aca="false">1/(1+Assumptions!$B$24)^5</f>
        <v>0.325725119517059</v>
      </c>
    </row>
    <row r="33" customFormat="false" ht="15" hidden="false" customHeight="false" outlineLevel="0" collapsed="false">
      <c r="A33" s="3" t="s">
        <v>211</v>
      </c>
      <c r="B33" s="8" t="n">
        <f aca="false">SUMPRODUCT(B13:F13,B32:F32)+F8*(1+Assumptions!B32)*(1-Assumptions!B32/Assumptions!B84)/(Assumptions!B24-Assumptions!B32)*F32</f>
        <v>9501.93977680499</v>
      </c>
    </row>
    <row r="34" customFormat="false" ht="15" hidden="false" customHeight="false" outlineLevel="0" collapsed="false">
      <c r="A34" s="17" t="s">
        <v>212</v>
      </c>
      <c r="B34" s="21" t="n">
        <f aca="false">(B33-Assumptions!B7-Assumptions!B85+Assumptions!B9)/Assumptions!B5</f>
        <v>3.84610168125086</v>
      </c>
    </row>
    <row r="35" customFormat="false" ht="15" hidden="false" customHeight="false" outlineLevel="0" collapsed="false">
      <c r="A35" s="3" t="s">
        <v>213</v>
      </c>
      <c r="B35" s="13" t="n">
        <f aca="false">F8*(1+Assumptions!B32)*(1-Assumptions!B32/Assumptions!B84)/(Assumptions!B24-Assumptions!B32)*F32/B33</f>
        <v>0.53691605634885</v>
      </c>
    </row>
    <row r="37" customFormat="false" ht="15" hidden="false" customHeight="false" outlineLevel="0" collapsed="false">
      <c r="A37" s="17" t="s">
        <v>214</v>
      </c>
    </row>
    <row r="38" customFormat="false" ht="15" hidden="false" customHeight="false" outlineLevel="0" collapsed="false">
      <c r="A38" s="3" t="s">
        <v>215</v>
      </c>
      <c r="B38" s="20" t="n">
        <f aca="false">1/(1+B48-0.01)</f>
        <v>0.805479310013747</v>
      </c>
      <c r="C38" s="20" t="n">
        <f aca="false">B38/(1+C48-0.01)</f>
        <v>0.661224654770772</v>
      </c>
      <c r="D38" s="20" t="n">
        <f aca="false">C38/(1+D48-0.01)</f>
        <v>0.554061093118042</v>
      </c>
      <c r="E38" s="20" t="n">
        <f aca="false">D38/(1+E48-0.01)</f>
        <v>0.470679457814569</v>
      </c>
      <c r="F38" s="20" t="n">
        <f aca="false">E38/(1+F48-0.01)</f>
        <v>0.402749146545594</v>
      </c>
    </row>
    <row r="39" customFormat="false" ht="15" hidden="false" customHeight="false" outlineLevel="0" collapsed="false">
      <c r="A39" s="3" t="s">
        <v>216</v>
      </c>
      <c r="B39" s="8" t="n">
        <f aca="false">SUMPRODUCT(B13:F13,B38:F38)+F8*(1+Assumptions!B31)*(1-Assumptions!B31/Assumptions!B84)/(Assumptions!B30-0.01-Assumptions!B31)*F38</f>
        <v>15700.0902491715</v>
      </c>
    </row>
    <row r="40" customFormat="false" ht="15" hidden="false" customHeight="false" outlineLevel="0" collapsed="false">
      <c r="A40" s="17" t="s">
        <v>217</v>
      </c>
      <c r="B40" s="21" t="n">
        <f aca="false">(B39-Assumptions!B7-Assumptions!B85+Assumptions!B9)/Assumptions!B5</f>
        <v>8.12245774056266</v>
      </c>
    </row>
    <row r="41" customFormat="false" ht="15" hidden="false" customHeight="false" outlineLevel="0" collapsed="false">
      <c r="A41" s="3" t="s">
        <v>218</v>
      </c>
      <c r="B41" s="13" t="n">
        <f aca="false">F8*(1+Assumptions!B31)*(1-Assumptions!B31/Assumptions!B84)/(Assumptions!B30-0.01-Assumptions!B31)*F38/B39</f>
        <v>0.68224403613826</v>
      </c>
    </row>
    <row r="43" customFormat="false" ht="15" hidden="false" customHeight="false" outlineLevel="0" collapsed="false">
      <c r="A43" s="6" t="s">
        <v>219</v>
      </c>
    </row>
    <row r="45" customFormat="false" ht="15" hidden="false" customHeight="false" outlineLevel="0" collapsed="false">
      <c r="A45" s="12" t="s">
        <v>220</v>
      </c>
      <c r="B45" s="12" t="s">
        <v>68</v>
      </c>
      <c r="C45" s="12" t="s">
        <v>69</v>
      </c>
      <c r="D45" s="12" t="s">
        <v>70</v>
      </c>
      <c r="E45" s="12" t="s">
        <v>71</v>
      </c>
      <c r="F45" s="12" t="s">
        <v>72</v>
      </c>
    </row>
    <row r="46" customFormat="false" ht="15" hidden="false" customHeight="false" outlineLevel="0" collapsed="false">
      <c r="A46" s="3" t="s">
        <v>221</v>
      </c>
      <c r="B46" s="9" t="n">
        <v>0.2015</v>
      </c>
      <c r="C46" s="9" t="n">
        <v>0.185</v>
      </c>
      <c r="D46" s="9" t="n">
        <v>0.1675</v>
      </c>
      <c r="E46" s="9" t="n">
        <v>0.156</v>
      </c>
      <c r="F46" s="9" t="n">
        <v>0.15</v>
      </c>
    </row>
    <row r="47" customFormat="false" ht="15" hidden="false" customHeight="false" outlineLevel="0" collapsed="false">
      <c r="A47" s="3" t="s">
        <v>222</v>
      </c>
      <c r="B47" s="22" t="n">
        <f aca="false">($B$46-B46)/($B$46-$F$46)</f>
        <v>0</v>
      </c>
      <c r="C47" s="22" t="n">
        <f aca="false">($B$46-C46)/($B$46-$F$46)</f>
        <v>0.320388349514563</v>
      </c>
      <c r="D47" s="22" t="n">
        <f aca="false">($B$46-D46)/($B$46-$F$46)</f>
        <v>0.660194174757281</v>
      </c>
      <c r="E47" s="22" t="n">
        <f aca="false">($B$46-E46)/($B$46-$F$46)</f>
        <v>0.883495145631068</v>
      </c>
      <c r="F47" s="22" t="n">
        <f aca="false">($B$46-F46)/($B$46-$F$46)</f>
        <v>1</v>
      </c>
    </row>
    <row r="48" customFormat="false" ht="15" hidden="false" customHeight="false" outlineLevel="0" collapsed="false">
      <c r="A48" s="3" t="s">
        <v>223</v>
      </c>
      <c r="B48" s="11" t="n">
        <f aca="false">Assumptions!$B$24-(Assumptions!$B$24-Assumptions!$B$30)*B47</f>
        <v>0.251496817569322</v>
      </c>
      <c r="C48" s="11" t="n">
        <f aca="false">Assumptions!$B$24-(Assumptions!$B$24-Assumptions!$B$30)*C47</f>
        <v>0.228162850102713</v>
      </c>
      <c r="D48" s="11" t="n">
        <f aca="false">Assumptions!$B$24-(Assumptions!$B$24-Assumptions!$B$30)*D47</f>
        <v>0.203414702789643</v>
      </c>
      <c r="E48" s="11" t="n">
        <f aca="false">Assumptions!$B$24-(Assumptions!$B$24-Assumptions!$B$30)*E47</f>
        <v>0.18715163455534</v>
      </c>
      <c r="F48" s="11" t="n">
        <f aca="false">Assumptions!$B$24-(Assumptions!$B$24-Assumptions!$B$30)*F47</f>
        <v>0.178666555476574</v>
      </c>
    </row>
    <row r="49" customFormat="false" ht="15" hidden="false" customHeight="false" outlineLevel="0" collapsed="false">
      <c r="A49" s="3" t="s">
        <v>224</v>
      </c>
      <c r="B49" s="20" t="n">
        <f aca="false">1/(1+B48)</f>
        <v>0.799043182500629</v>
      </c>
      <c r="C49" s="20" t="n">
        <f aca="false">B49/(1+C48)</f>
        <v>0.650600351927111</v>
      </c>
      <c r="D49" s="20" t="n">
        <f aca="false">C49/(1+D48)</f>
        <v>0.540628555076608</v>
      </c>
      <c r="E49" s="20" t="n">
        <f aca="false">D49/(1+E48)</f>
        <v>0.455399747884023</v>
      </c>
      <c r="F49" s="20" t="n">
        <f aca="false">E49/(1+F48)</f>
        <v>0.386368600829511</v>
      </c>
    </row>
    <row r="50" customFormat="false" ht="15" hidden="false" customHeight="false" outlineLevel="0" collapsed="false">
      <c r="A50" s="3" t="s">
        <v>225</v>
      </c>
      <c r="B50" s="3" t="str">
        <f aca="false">IF(Assumptions!$B$30&lt;Assumptions!$B$24,"PASS","FAIL")</f>
        <v>PASS</v>
      </c>
    </row>
    <row r="51" customFormat="false" ht="15" hidden="false" customHeight="false" outlineLevel="0" collapsed="false">
      <c r="A51" s="6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3.5"/>
  </cols>
  <sheetData>
    <row r="1" customFormat="false" ht="16.15" hidden="false" customHeight="false" outlineLevel="0" collapsed="false">
      <c r="A1" s="1" t="s">
        <v>227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4" t="s">
        <v>228</v>
      </c>
    </row>
    <row r="3" customFormat="false" ht="15" hidden="false" customHeight="false" outlineLevel="0" collapsed="false">
      <c r="A3" s="12" t="s">
        <v>173</v>
      </c>
      <c r="B3" s="12" t="s">
        <v>229</v>
      </c>
      <c r="C3" s="12" t="s">
        <v>230</v>
      </c>
      <c r="D3" s="12" t="s">
        <v>231</v>
      </c>
      <c r="E3" s="12" t="s">
        <v>68</v>
      </c>
      <c r="F3" s="12" t="s">
        <v>69</v>
      </c>
      <c r="G3" s="12" t="s">
        <v>70</v>
      </c>
      <c r="H3" s="12" t="s">
        <v>71</v>
      </c>
      <c r="I3" s="12" t="s">
        <v>72</v>
      </c>
    </row>
    <row r="4" customFormat="false" ht="15" hidden="false" customHeight="false" outlineLevel="0" collapsed="false">
      <c r="A4" s="3" t="s">
        <v>175</v>
      </c>
      <c r="B4" s="7" t="n">
        <v>3595.3</v>
      </c>
      <c r="C4" s="7" t="n">
        <v>5420.4</v>
      </c>
      <c r="D4" s="7" t="n">
        <v>7227.3</v>
      </c>
      <c r="E4" s="19" t="n">
        <f aca="false">DCF!B4</f>
        <v>9253.58102826256</v>
      </c>
      <c r="F4" s="19" t="n">
        <f aca="false">DCF!C4</f>
        <v>12303.0798328117</v>
      </c>
      <c r="G4" s="19" t="n">
        <f aca="false">DCF!D4</f>
        <v>15786.3401145891</v>
      </c>
      <c r="H4" s="19" t="n">
        <f aca="false">DCF!E4</f>
        <v>19065.0102650649</v>
      </c>
      <c r="I4" s="19" t="n">
        <f aca="false">DCF!F4</f>
        <v>21821.4051615775</v>
      </c>
    </row>
    <row r="5" customFormat="false" ht="15" hidden="false" customHeight="false" outlineLevel="0" collapsed="false">
      <c r="A5" s="3" t="s">
        <v>232</v>
      </c>
      <c r="B5" s="7" t="n">
        <v>-2386.7</v>
      </c>
      <c r="C5" s="7" t="n">
        <v>-3407.1</v>
      </c>
      <c r="D5" s="7" t="n">
        <v>-4368.8</v>
      </c>
      <c r="E5" s="8" t="n">
        <f aca="false">-E4*(1-Assumptions!B41)</f>
        <v>-5968.55976322935</v>
      </c>
      <c r="F5" s="8" t="n">
        <f aca="false">-F4*(1-Assumptions!C41)</f>
        <v>-7566.39409717922</v>
      </c>
      <c r="G5" s="8" t="n">
        <f aca="false">-G4*(1-Assumptions!D41)</f>
        <v>-9550.73576932638</v>
      </c>
      <c r="H5" s="8" t="n">
        <f aca="false">-H4*(1-Assumptions!E41)</f>
        <v>-11439.0061590389</v>
      </c>
      <c r="I5" s="8" t="n">
        <f aca="false">-I4*(1-Assumptions!F41)</f>
        <v>-13092.8430969465</v>
      </c>
    </row>
    <row r="6" customFormat="false" ht="15" hidden="false" customHeight="false" outlineLevel="0" collapsed="false">
      <c r="A6" s="17" t="s">
        <v>233</v>
      </c>
      <c r="B6" s="18" t="n">
        <f aca="false">B4+B5</f>
        <v>1208.6</v>
      </c>
      <c r="C6" s="18" t="n">
        <f aca="false">C4+C5</f>
        <v>2013.3</v>
      </c>
      <c r="D6" s="18" t="n">
        <f aca="false">D4+D5</f>
        <v>2858.5</v>
      </c>
      <c r="E6" s="18" t="n">
        <f aca="false">E4+E5</f>
        <v>3285.02126503321</v>
      </c>
      <c r="F6" s="18" t="n">
        <f aca="false">F4+F5</f>
        <v>4736.68573563252</v>
      </c>
      <c r="G6" s="18" t="n">
        <f aca="false">G4+G5</f>
        <v>6235.60434526268</v>
      </c>
      <c r="H6" s="18" t="n">
        <f aca="false">H4+H5</f>
        <v>7626.00410602596</v>
      </c>
      <c r="I6" s="18" t="n">
        <f aca="false">I4+I5</f>
        <v>8728.562064631</v>
      </c>
    </row>
    <row r="7" customFormat="false" ht="15" hidden="false" customHeight="false" outlineLevel="0" collapsed="false">
      <c r="A7" s="3" t="s">
        <v>234</v>
      </c>
      <c r="B7" s="7" t="n">
        <v>-559.2</v>
      </c>
      <c r="C7" s="7" t="n">
        <v>-850.6</v>
      </c>
      <c r="D7" s="7" t="n">
        <v>-1358.7</v>
      </c>
      <c r="E7" s="8" t="n">
        <f aca="false">DCF!B7-E6</f>
        <v>-1775.50134395676</v>
      </c>
      <c r="F7" s="8" t="n">
        <f aca="false">DCF!C7-F6</f>
        <v>-2282.43117659364</v>
      </c>
      <c r="G7" s="8" t="n">
        <f aca="false">DCF!D7-G6</f>
        <v>-2672.22421489658</v>
      </c>
      <c r="H7" s="8" t="n">
        <f aca="false">DCF!E7-H6</f>
        <v>-3063.12628313311</v>
      </c>
      <c r="I7" s="8" t="n">
        <f aca="false">DCF!F7-I6</f>
        <v>-3358.5686193893</v>
      </c>
    </row>
    <row r="8" customFormat="false" ht="15" hidden="false" customHeight="false" outlineLevel="0" collapsed="false">
      <c r="A8" s="17" t="s">
        <v>181</v>
      </c>
      <c r="B8" s="23" t="n">
        <v>649.4</v>
      </c>
      <c r="C8" s="23" t="n">
        <v>1162.8</v>
      </c>
      <c r="D8" s="23" t="n">
        <v>1499.8</v>
      </c>
      <c r="E8" s="24" t="n">
        <f aca="false">DCF!B7</f>
        <v>1509.51992107645</v>
      </c>
      <c r="F8" s="24" t="n">
        <f aca="false">DCF!C7</f>
        <v>2454.25455903888</v>
      </c>
      <c r="G8" s="24" t="n">
        <f aca="false">DCF!D7</f>
        <v>3563.3801303661</v>
      </c>
      <c r="H8" s="24" t="n">
        <f aca="false">DCF!E7</f>
        <v>4562.87782289285</v>
      </c>
      <c r="I8" s="24" t="n">
        <f aca="false">DCF!F7</f>
        <v>5369.9934452417</v>
      </c>
    </row>
    <row r="9" customFormat="false" ht="15" hidden="false" customHeight="false" outlineLevel="0" collapsed="false">
      <c r="A9" s="3" t="s">
        <v>235</v>
      </c>
      <c r="B9" s="7" t="n">
        <v>-41.7</v>
      </c>
      <c r="C9" s="7" t="n">
        <v>-79.1</v>
      </c>
      <c r="D9" s="7" t="n">
        <v>-180.7</v>
      </c>
      <c r="E9" s="19" t="n">
        <f aca="false">Assumptions!B45</f>
        <v>-255</v>
      </c>
      <c r="F9" s="19" t="n">
        <f aca="false">Assumptions!C45</f>
        <v>-230</v>
      </c>
      <c r="G9" s="19" t="n">
        <f aca="false">Assumptions!D45</f>
        <v>-160</v>
      </c>
      <c r="H9" s="19" t="n">
        <f aca="false">Assumptions!E45</f>
        <v>-90</v>
      </c>
      <c r="I9" s="19" t="n">
        <f aca="false">Assumptions!F45</f>
        <v>-30</v>
      </c>
    </row>
    <row r="10" customFormat="false" ht="15" hidden="false" customHeight="false" outlineLevel="0" collapsed="false">
      <c r="A10" s="3" t="s">
        <v>236</v>
      </c>
      <c r="B10" s="8" t="n">
        <f aca="false">B8+B9</f>
        <v>607.7</v>
      </c>
      <c r="C10" s="8" t="n">
        <f aca="false">C8+C9</f>
        <v>1083.7</v>
      </c>
      <c r="D10" s="8" t="n">
        <f aca="false">D8+D9</f>
        <v>1319.1</v>
      </c>
      <c r="E10" s="8" t="n">
        <f aca="false">E8+E9</f>
        <v>1254.51992107645</v>
      </c>
      <c r="F10" s="8" t="n">
        <f aca="false">F8+F9</f>
        <v>2224.25455903888</v>
      </c>
      <c r="G10" s="8" t="n">
        <f aca="false">G8+G9</f>
        <v>3403.3801303661</v>
      </c>
      <c r="H10" s="8" t="n">
        <f aca="false">H8+H9</f>
        <v>4472.87782289285</v>
      </c>
      <c r="I10" s="8" t="n">
        <f aca="false">I8+I9</f>
        <v>5339.9934452417</v>
      </c>
    </row>
    <row r="11" customFormat="false" ht="15" hidden="false" customHeight="false" outlineLevel="0" collapsed="false">
      <c r="A11" s="3" t="s">
        <v>237</v>
      </c>
      <c r="B11" s="7" t="n">
        <v>-138.4</v>
      </c>
      <c r="C11" s="7" t="n">
        <v>-266.7</v>
      </c>
      <c r="D11" s="7" t="n">
        <v>-351.2</v>
      </c>
      <c r="E11" s="8" t="n">
        <f aca="false">-E10*Assumptions!$B$35</f>
        <v>-307.35738066373</v>
      </c>
      <c r="F11" s="8" t="n">
        <f aca="false">-F10*Assumptions!$B$35</f>
        <v>-544.942366964525</v>
      </c>
      <c r="G11" s="8" t="n">
        <f aca="false">-G10*Assumptions!$B$35</f>
        <v>-833.828131939695</v>
      </c>
      <c r="H11" s="8" t="n">
        <f aca="false">-H10*Assumptions!$B$35</f>
        <v>-1095.85506660875</v>
      </c>
      <c r="I11" s="8" t="n">
        <f aca="false">-I10*Assumptions!$B$35</f>
        <v>-1308.29839408422</v>
      </c>
    </row>
    <row r="12" customFormat="false" ht="15" hidden="false" customHeight="false" outlineLevel="0" collapsed="false">
      <c r="A12" s="17" t="s">
        <v>238</v>
      </c>
      <c r="B12" s="18" t="n">
        <f aca="false">B10+B11</f>
        <v>469.3</v>
      </c>
      <c r="C12" s="18" t="n">
        <f aca="false">C10+C11</f>
        <v>817</v>
      </c>
      <c r="D12" s="18" t="n">
        <f aca="false">D10+D11</f>
        <v>967.9</v>
      </c>
      <c r="E12" s="18" t="n">
        <f aca="false">E10+E11</f>
        <v>947.16254041272</v>
      </c>
      <c r="F12" s="18" t="n">
        <f aca="false">F10+F11</f>
        <v>1679.31219207435</v>
      </c>
      <c r="G12" s="18" t="n">
        <f aca="false">G10+G11</f>
        <v>2569.55199842641</v>
      </c>
      <c r="H12" s="18" t="n">
        <f aca="false">H10+H11</f>
        <v>3377.0227562841</v>
      </c>
      <c r="I12" s="18" t="n">
        <f aca="false">I10+I11</f>
        <v>4031.69505115749</v>
      </c>
    </row>
    <row r="13" customFormat="false" ht="15" hidden="false" customHeight="false" outlineLevel="0" collapsed="false">
      <c r="A13" s="3" t="s">
        <v>239</v>
      </c>
      <c r="B13" s="7" t="n">
        <v>418.2</v>
      </c>
      <c r="C13" s="7" t="n">
        <v>723.3</v>
      </c>
      <c r="D13" s="7" t="n">
        <v>823.9</v>
      </c>
      <c r="E13" s="8" t="n">
        <f aca="false">E12*Assumptions!B46</f>
        <v>795.616533946685</v>
      </c>
      <c r="F13" s="8" t="n">
        <f aca="false">F12*Assumptions!C46</f>
        <v>1427.4153632632</v>
      </c>
      <c r="G13" s="8" t="n">
        <f aca="false">G12*Assumptions!D46</f>
        <v>2184.11919866245</v>
      </c>
      <c r="H13" s="8" t="n">
        <f aca="false">H12*Assumptions!E46</f>
        <v>2870.46934284149</v>
      </c>
      <c r="I13" s="8" t="n">
        <f aca="false">I12*Assumptions!F46</f>
        <v>3426.94079348386</v>
      </c>
    </row>
    <row r="14" customFormat="false" ht="15" hidden="false" customHeight="false" outlineLevel="0" collapsed="false">
      <c r="A14" s="3" t="s">
        <v>240</v>
      </c>
      <c r="B14" s="7" t="n">
        <v>51.1</v>
      </c>
      <c r="C14" s="7" t="n">
        <v>93.7</v>
      </c>
      <c r="D14" s="7" t="n">
        <v>144</v>
      </c>
      <c r="E14" s="8" t="n">
        <f aca="false">E12-E13</f>
        <v>151.546006466035</v>
      </c>
      <c r="F14" s="8" t="n">
        <f aca="false">F12-F13</f>
        <v>251.896828811153</v>
      </c>
      <c r="G14" s="8" t="n">
        <f aca="false">G12-G13</f>
        <v>385.432799763961</v>
      </c>
      <c r="H14" s="8" t="n">
        <f aca="false">H12-H13</f>
        <v>506.553413442615</v>
      </c>
      <c r="I14" s="8" t="n">
        <f aca="false">I12-I13</f>
        <v>604.754257673623</v>
      </c>
    </row>
    <row r="15" customFormat="false" ht="15" hidden="false" customHeight="false" outlineLevel="0" collapsed="false">
      <c r="A15" s="3" t="s">
        <v>241</v>
      </c>
      <c r="B15" s="25" t="n">
        <f aca="false">B13/Assumptions!$B$5</f>
        <v>0.288533186145991</v>
      </c>
      <c r="C15" s="25" t="n">
        <f aca="false">C13/Assumptions!$B$5</f>
        <v>0.499034083068856</v>
      </c>
      <c r="D15" s="25" t="n">
        <f aca="false">D13/Assumptions!$B$5</f>
        <v>0.568442113978198</v>
      </c>
      <c r="E15" s="25" t="n">
        <f aca="false">E13/Assumptions!$B$5</f>
        <v>0.548928200597961</v>
      </c>
      <c r="F15" s="25" t="n">
        <f aca="false">F13/Assumptions!$B$5</f>
        <v>0.984831905107769</v>
      </c>
      <c r="G15" s="25" t="n">
        <f aca="false">G13/Assumptions!$B$5</f>
        <v>1.50691265258897</v>
      </c>
      <c r="H15" s="25" t="n">
        <f aca="false">H13/Assumptions!$B$5</f>
        <v>1.98045352755725</v>
      </c>
      <c r="I15" s="25" t="n">
        <f aca="false">I13/Assumptions!$B$5</f>
        <v>2.36438581032418</v>
      </c>
    </row>
    <row r="16" customFormat="false" ht="15" hidden="false" customHeight="false" outlineLevel="0" collapsed="false">
      <c r="A16" s="3" t="s">
        <v>242</v>
      </c>
      <c r="B16" s="7" t="n">
        <v>954</v>
      </c>
      <c r="C16" s="7" t="n">
        <v>1529</v>
      </c>
      <c r="D16" s="7" t="n">
        <v>2137</v>
      </c>
    </row>
    <row r="17" customFormat="false" ht="15" hidden="false" customHeight="false" outlineLevel="0" collapsed="false">
      <c r="A17" s="3" t="s">
        <v>243</v>
      </c>
      <c r="B17" s="7" t="n">
        <v>810.8</v>
      </c>
      <c r="C17" s="7" t="n">
        <v>1347.1</v>
      </c>
      <c r="D17" s="7" t="n">
        <v>1719.5</v>
      </c>
      <c r="E17" s="19" t="n">
        <f aca="false">DCF!B5</f>
        <v>1989.51992107645</v>
      </c>
      <c r="F17" s="19" t="n">
        <f aca="false">DCF!C5</f>
        <v>3014.25455903888</v>
      </c>
      <c r="G17" s="19" t="n">
        <f aca="false">DCF!D5</f>
        <v>4183.3801303661</v>
      </c>
      <c r="H17" s="19" t="n">
        <f aca="false">DCF!E5</f>
        <v>5242.87782289285</v>
      </c>
      <c r="I17" s="19" t="n">
        <f aca="false">DCF!F5</f>
        <v>6109.9934452417</v>
      </c>
    </row>
    <row r="19" customFormat="false" ht="15" hidden="false" customHeight="false" outlineLevel="0" collapsed="false">
      <c r="A19" s="6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3.5"/>
  </cols>
  <sheetData>
    <row r="1" customFormat="false" ht="16.15" hidden="false" customHeight="false" outlineLevel="0" collapsed="false">
      <c r="A1" s="1" t="s">
        <v>245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4" t="s">
        <v>246</v>
      </c>
    </row>
    <row r="3" customFormat="false" ht="15" hidden="false" customHeight="false" outlineLevel="0" collapsed="false">
      <c r="A3" s="12" t="s">
        <v>173</v>
      </c>
      <c r="B3" s="12" t="s">
        <v>229</v>
      </c>
      <c r="C3" s="12" t="s">
        <v>230</v>
      </c>
      <c r="D3" s="12" t="s">
        <v>231</v>
      </c>
      <c r="E3" s="12" t="s">
        <v>68</v>
      </c>
      <c r="F3" s="12" t="s">
        <v>69</v>
      </c>
      <c r="G3" s="12" t="s">
        <v>70</v>
      </c>
      <c r="H3" s="12" t="s">
        <v>71</v>
      </c>
      <c r="I3" s="12" t="s">
        <v>72</v>
      </c>
    </row>
    <row r="4" customFormat="false" ht="15" hidden="false" customHeight="false" outlineLevel="0" collapsed="false">
      <c r="A4" s="3" t="s">
        <v>247</v>
      </c>
      <c r="B4" s="7" t="n">
        <v>2720.9</v>
      </c>
      <c r="C4" s="7" t="n">
        <v>5131.5</v>
      </c>
      <c r="D4" s="7" t="n">
        <v>7877.9</v>
      </c>
      <c r="E4" s="8" t="n">
        <f aca="false">D4+Assumptions!B43-Assumptions!B42</f>
        <v>8797.9</v>
      </c>
      <c r="F4" s="8" t="n">
        <f aca="false">E4+Assumptions!C43-Assumptions!C42</f>
        <v>9337.9</v>
      </c>
      <c r="G4" s="8" t="n">
        <f aca="false">F4+Assumptions!D43-Assumptions!D42</f>
        <v>9867.9</v>
      </c>
      <c r="H4" s="8" t="n">
        <f aca="false">G4+Assumptions!E43-Assumptions!E42</f>
        <v>10407.9</v>
      </c>
      <c r="I4" s="8" t="n">
        <f aca="false">H4+Assumptions!F43-Assumptions!F42</f>
        <v>10947.9</v>
      </c>
    </row>
    <row r="5" customFormat="false" ht="15" hidden="false" customHeight="false" outlineLevel="0" collapsed="false">
      <c r="A5" s="3" t="s">
        <v>248</v>
      </c>
      <c r="B5" s="7" t="n">
        <v>292</v>
      </c>
      <c r="C5" s="7" t="n">
        <v>320.5</v>
      </c>
      <c r="D5" s="7" t="n">
        <v>281.3</v>
      </c>
      <c r="E5" s="8" t="n">
        <f aca="false">-'Income Statement'!E5/365*Assumptions!$B$59</f>
        <v>376.101026176096</v>
      </c>
      <c r="F5" s="8" t="n">
        <f aca="false">-'Income Statement'!F5/365*Assumptions!$B$59</f>
        <v>476.786477356499</v>
      </c>
      <c r="G5" s="8" t="n">
        <f aca="false">-'Income Statement'!G5/365*Assumptions!$B$59</f>
        <v>601.827185464402</v>
      </c>
      <c r="H5" s="8" t="n">
        <f aca="false">-'Income Statement'!H5/365*Assumptions!$B$59</f>
        <v>720.814086733961</v>
      </c>
      <c r="I5" s="8" t="n">
        <f aca="false">-'Income Statement'!I5/365*Assumptions!$B$59</f>
        <v>825.028469122657</v>
      </c>
    </row>
    <row r="6" customFormat="false" ht="15" hidden="false" customHeight="false" outlineLevel="0" collapsed="false">
      <c r="A6" s="3" t="s">
        <v>249</v>
      </c>
      <c r="B6" s="7" t="n">
        <v>648.5</v>
      </c>
      <c r="C6" s="7" t="n">
        <v>1046.8</v>
      </c>
      <c r="D6" s="7" t="n">
        <v>1241.5</v>
      </c>
      <c r="E6" s="8" t="n">
        <f aca="false">'Income Statement'!E4/365*Assumptions!$B$60</f>
        <v>1597.19343775491</v>
      </c>
      <c r="F6" s="8" t="n">
        <f aca="false">'Income Statement'!F4/365*Assumptions!$B$60</f>
        <v>2123.54528621134</v>
      </c>
      <c r="G6" s="8" t="n">
        <f aca="false">'Income Statement'!G4/365*Assumptions!$B$60</f>
        <v>2724.76555402496</v>
      </c>
      <c r="H6" s="8" t="n">
        <f aca="false">'Income Statement'!H4/365*Assumptions!$B$60</f>
        <v>3290.67300465504</v>
      </c>
      <c r="I6" s="8" t="n">
        <f aca="false">'Income Statement'!I4/365*Assumptions!$B$60</f>
        <v>3766.43431555995</v>
      </c>
    </row>
    <row r="7" customFormat="false" ht="15" hidden="false" customHeight="false" outlineLevel="0" collapsed="false">
      <c r="A7" s="3" t="s">
        <v>250</v>
      </c>
      <c r="B7" s="7" t="n">
        <v>468.8</v>
      </c>
      <c r="C7" s="7" t="n">
        <v>617.7</v>
      </c>
      <c r="D7" s="7" t="n">
        <v>293</v>
      </c>
      <c r="E7" s="8" t="n">
        <f aca="false">'Income Statement'!E4*Assumptions!$B$61</f>
        <v>323.87533598919</v>
      </c>
      <c r="F7" s="8" t="n">
        <f aca="false">'Income Statement'!F4*Assumptions!$B$61</f>
        <v>430.607794148411</v>
      </c>
      <c r="G7" s="8" t="n">
        <f aca="false">'Income Statement'!G4*Assumptions!$B$61</f>
        <v>552.521904010617</v>
      </c>
      <c r="H7" s="8" t="n">
        <f aca="false">'Income Statement'!H4*Assumptions!$B$61</f>
        <v>667.275359277272</v>
      </c>
      <c r="I7" s="8" t="n">
        <f aca="false">'Income Statement'!I4*Assumptions!$B$61</f>
        <v>763.749180655213</v>
      </c>
    </row>
    <row r="8" customFormat="false" ht="15" hidden="false" customHeight="false" outlineLevel="0" collapsed="false">
      <c r="A8" s="3" t="s">
        <v>251</v>
      </c>
      <c r="B8" s="7" t="n">
        <v>357.9</v>
      </c>
      <c r="C8" s="7" t="n">
        <v>473.2</v>
      </c>
      <c r="D8" s="7" t="n">
        <v>547.5</v>
      </c>
      <c r="E8" s="8" t="n">
        <f aca="false">E17-E4-E5-E6-E7</f>
        <v>748.467048971296</v>
      </c>
      <c r="F8" s="8" t="n">
        <f aca="false">F17-F4-F5-F6-F7</f>
        <v>1368.85912461434</v>
      </c>
      <c r="G8" s="8" t="n">
        <f aca="false">G17-G4-G5-G6-G7</f>
        <v>2705.21412179022</v>
      </c>
      <c r="H8" s="8" t="n">
        <f aca="false">H17-H4-H5-H6-H7</f>
        <v>4676.19011605078</v>
      </c>
      <c r="I8" s="8" t="n">
        <f aca="false">I17-I4-I5-I6-I7</f>
        <v>7118.35412149049</v>
      </c>
    </row>
    <row r="9" customFormat="false" ht="15" hidden="false" customHeight="false" outlineLevel="0" collapsed="false">
      <c r="A9" s="17" t="s">
        <v>252</v>
      </c>
      <c r="B9" s="18" t="n">
        <f aca="false">SUM(B4:B8)</f>
        <v>4488.1</v>
      </c>
      <c r="C9" s="18" t="n">
        <f aca="false">SUM(C4:C8)</f>
        <v>7589.7</v>
      </c>
      <c r="D9" s="18" t="n">
        <f aca="false">SUM(D4:D8)</f>
        <v>10241.2</v>
      </c>
      <c r="E9" s="18" t="n">
        <f aca="false">SUM(E4:E8)</f>
        <v>11843.5368488915</v>
      </c>
      <c r="F9" s="18" t="n">
        <f aca="false">SUM(F4:F8)</f>
        <v>13737.6986823306</v>
      </c>
      <c r="G9" s="18" t="n">
        <f aca="false">SUM(G4:G8)</f>
        <v>16452.2287652902</v>
      </c>
      <c r="H9" s="18" t="n">
        <f aca="false">SUM(H4:H8)</f>
        <v>19762.8525667171</v>
      </c>
      <c r="I9" s="18" t="n">
        <f aca="false">SUM(I4:I8)</f>
        <v>23421.4660868283</v>
      </c>
    </row>
    <row r="11" customFormat="false" ht="15" hidden="false" customHeight="false" outlineLevel="0" collapsed="false">
      <c r="A11" s="3" t="s">
        <v>253</v>
      </c>
      <c r="B11" s="7" t="n">
        <v>2249.8</v>
      </c>
      <c r="C11" s="7" t="n">
        <v>2899.6</v>
      </c>
      <c r="D11" s="7" t="n">
        <v>3622.3</v>
      </c>
      <c r="E11" s="8" t="n">
        <f aca="false">D11+'Income Statement'!E13-Assumptions!B47*0.85</f>
        <v>4290.41653394668</v>
      </c>
      <c r="F11" s="8" t="n">
        <f aca="false">E11+'Income Statement'!F13-Assumptions!C47*0.85</f>
        <v>5547.83189720988</v>
      </c>
      <c r="G11" s="8" t="n">
        <f aca="false">F11+'Income Statement'!G13-Assumptions!D47*0.85</f>
        <v>7476.95109587233</v>
      </c>
      <c r="H11" s="8" t="n">
        <f aca="false">G11+'Income Statement'!H13-Assumptions!E47*0.85</f>
        <v>9964.92043871381</v>
      </c>
      <c r="I11" s="8" t="n">
        <f aca="false">H11+'Income Statement'!I13-Assumptions!F47*0.85</f>
        <v>12881.8612321977</v>
      </c>
    </row>
    <row r="12" customFormat="false" ht="15" hidden="false" customHeight="false" outlineLevel="0" collapsed="false">
      <c r="A12" s="3" t="s">
        <v>254</v>
      </c>
      <c r="B12" s="7" t="n">
        <v>196.5</v>
      </c>
      <c r="C12" s="7" t="n">
        <v>278.2</v>
      </c>
      <c r="D12" s="7" t="n">
        <v>418</v>
      </c>
      <c r="E12" s="8" t="n">
        <f aca="false">D12+'Income Statement'!E14-Assumptions!B47*0.15</f>
        <v>547.046006466035</v>
      </c>
      <c r="F12" s="8" t="n">
        <f aca="false">E12+'Income Statement'!F14-Assumptions!C47*0.15</f>
        <v>768.942835277188</v>
      </c>
      <c r="G12" s="8" t="n">
        <f aca="false">F12+'Income Statement'!G14-Assumptions!D47*0.15</f>
        <v>1109.37563504115</v>
      </c>
      <c r="H12" s="8" t="n">
        <f aca="false">G12+'Income Statement'!H14-Assumptions!E47*0.15</f>
        <v>1548.42904848376</v>
      </c>
      <c r="I12" s="8" t="n">
        <f aca="false">H12+'Income Statement'!I14-Assumptions!F47*0.15</f>
        <v>2063.18330615739</v>
      </c>
    </row>
    <row r="13" customFormat="false" ht="15" hidden="false" customHeight="false" outlineLevel="0" collapsed="false">
      <c r="A13" s="3" t="s">
        <v>255</v>
      </c>
      <c r="B13" s="7" t="n">
        <v>873.5</v>
      </c>
      <c r="C13" s="7" t="n">
        <v>2457.7</v>
      </c>
      <c r="D13" s="7" t="n">
        <v>3702.7</v>
      </c>
      <c r="E13" s="19" t="n">
        <f aca="false">Assumptions!B48</f>
        <v>3900</v>
      </c>
      <c r="F13" s="19" t="n">
        <f aca="false">Assumptions!C48</f>
        <v>3400</v>
      </c>
      <c r="G13" s="19" t="n">
        <f aca="false">Assumptions!D48</f>
        <v>2800</v>
      </c>
      <c r="H13" s="19" t="n">
        <f aca="false">Assumptions!E48</f>
        <v>2200</v>
      </c>
      <c r="I13" s="19" t="n">
        <f aca="false">Assumptions!F48</f>
        <v>1600</v>
      </c>
    </row>
    <row r="14" customFormat="false" ht="15" hidden="false" customHeight="false" outlineLevel="0" collapsed="false">
      <c r="A14" s="3" t="s">
        <v>256</v>
      </c>
      <c r="B14" s="7" t="n">
        <v>928.1</v>
      </c>
      <c r="C14" s="7" t="n">
        <v>1523.4</v>
      </c>
      <c r="D14" s="7" t="n">
        <v>1932.4</v>
      </c>
      <c r="E14" s="8" t="n">
        <f aca="false">'Income Statement'!E4*Assumptions!$B$62</f>
        <v>2405.93106734827</v>
      </c>
      <c r="F14" s="8" t="n">
        <f aca="false">'Income Statement'!F4*Assumptions!$B$62</f>
        <v>3198.80075653105</v>
      </c>
      <c r="G14" s="8" t="n">
        <f aca="false">'Income Statement'!G4*Assumptions!$B$62</f>
        <v>4104.44842979316</v>
      </c>
      <c r="H14" s="8" t="n">
        <f aca="false">'Income Statement'!H4*Assumptions!$B$62</f>
        <v>4956.90266891687</v>
      </c>
      <c r="I14" s="8" t="n">
        <f aca="false">'Income Statement'!I4*Assumptions!$B$62</f>
        <v>5673.56534201015</v>
      </c>
    </row>
    <row r="15" customFormat="false" ht="15" hidden="false" customHeight="false" outlineLevel="0" collapsed="false">
      <c r="A15" s="3" t="s">
        <v>257</v>
      </c>
      <c r="B15" s="7" t="n">
        <v>75.6</v>
      </c>
      <c r="C15" s="7" t="n">
        <v>199</v>
      </c>
      <c r="D15" s="7" t="n">
        <v>284.2</v>
      </c>
      <c r="E15" s="8" t="n">
        <f aca="false">'Income Statement'!E4*Assumptions!$B$63</f>
        <v>370.143241130502</v>
      </c>
      <c r="F15" s="8" t="n">
        <f aca="false">'Income Statement'!F4*Assumptions!$B$63</f>
        <v>492.12319331247</v>
      </c>
      <c r="G15" s="8" t="n">
        <f aca="false">'Income Statement'!G4*Assumptions!$B$63</f>
        <v>631.453604583563</v>
      </c>
      <c r="H15" s="8" t="n">
        <f aca="false">'Income Statement'!H4*Assumptions!$B$63</f>
        <v>762.600410602596</v>
      </c>
      <c r="I15" s="8" t="n">
        <f aca="false">'Income Statement'!I4*Assumptions!$B$63</f>
        <v>872.8562064631</v>
      </c>
    </row>
    <row r="16" customFormat="false" ht="15" hidden="false" customHeight="false" outlineLevel="0" collapsed="false">
      <c r="A16" s="3" t="s">
        <v>258</v>
      </c>
      <c r="B16" s="7" t="n">
        <v>164.6</v>
      </c>
      <c r="C16" s="7" t="n">
        <v>231.9</v>
      </c>
      <c r="D16" s="7" t="n">
        <v>281.5</v>
      </c>
      <c r="E16" s="19" t="n">
        <f aca="false">Assumptions!$B$64</f>
        <v>330</v>
      </c>
      <c r="F16" s="19" t="n">
        <f aca="false">Assumptions!$B$64</f>
        <v>330</v>
      </c>
      <c r="G16" s="19" t="n">
        <f aca="false">Assumptions!$B$64</f>
        <v>330</v>
      </c>
      <c r="H16" s="19" t="n">
        <f aca="false">Assumptions!$B$64</f>
        <v>330</v>
      </c>
      <c r="I16" s="19" t="n">
        <f aca="false">Assumptions!$B$64</f>
        <v>330</v>
      </c>
    </row>
    <row r="17" customFormat="false" ht="15" hidden="false" customHeight="false" outlineLevel="0" collapsed="false">
      <c r="A17" s="17" t="s">
        <v>259</v>
      </c>
      <c r="B17" s="18" t="n">
        <f aca="false">SUM(B11:B16)</f>
        <v>4488.1</v>
      </c>
      <c r="C17" s="18" t="n">
        <f aca="false">SUM(C11:C16)</f>
        <v>7589.8</v>
      </c>
      <c r="D17" s="18" t="n">
        <f aca="false">SUM(D11:D16)</f>
        <v>10241.1</v>
      </c>
      <c r="E17" s="18" t="n">
        <f aca="false">SUM(E11:E16)</f>
        <v>11843.5368488915</v>
      </c>
      <c r="F17" s="18" t="n">
        <f aca="false">SUM(F11:F16)</f>
        <v>13737.6986823306</v>
      </c>
      <c r="G17" s="18" t="n">
        <f aca="false">SUM(G11:G16)</f>
        <v>16452.2287652902</v>
      </c>
      <c r="H17" s="18" t="n">
        <f aca="false">SUM(H11:H16)</f>
        <v>19762.8525667171</v>
      </c>
      <c r="I17" s="18" t="n">
        <f aca="false">SUM(I11:I16)</f>
        <v>23421.4660868283</v>
      </c>
    </row>
    <row r="18" customFormat="false" ht="15" hidden="false" customHeight="false" outlineLevel="0" collapsed="false">
      <c r="A18" s="3" t="s">
        <v>260</v>
      </c>
      <c r="B18" s="26" t="n">
        <f aca="false">B9-B17</f>
        <v>0</v>
      </c>
      <c r="C18" s="26" t="n">
        <f aca="false">C9-C17</f>
        <v>-0.100000000000364</v>
      </c>
      <c r="D18" s="26" t="n">
        <f aca="false">D9-D17</f>
        <v>0.0999999999985448</v>
      </c>
    </row>
    <row r="20" customFormat="false" ht="15" hidden="false" customHeight="false" outlineLevel="0" collapsed="false">
      <c r="A20" s="6" t="s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0" min="2" style="0" width="13.5"/>
  </cols>
  <sheetData>
    <row r="1" customFormat="false" ht="16.15" hidden="false" customHeight="false" outlineLevel="0" collapsed="false">
      <c r="A1" s="1" t="s">
        <v>262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4" t="s">
        <v>263</v>
      </c>
    </row>
    <row r="3" customFormat="false" ht="15" hidden="false" customHeight="false" outlineLevel="0" collapsed="false">
      <c r="A3" s="12" t="s">
        <v>173</v>
      </c>
      <c r="B3" s="12" t="s">
        <v>229</v>
      </c>
      <c r="C3" s="12" t="s">
        <v>230</v>
      </c>
      <c r="D3" s="12" t="s">
        <v>231</v>
      </c>
      <c r="E3" s="12" t="s">
        <v>68</v>
      </c>
      <c r="F3" s="12" t="s">
        <v>69</v>
      </c>
      <c r="G3" s="12" t="s">
        <v>70</v>
      </c>
      <c r="H3" s="12" t="s">
        <v>71</v>
      </c>
      <c r="I3" s="12" t="s">
        <v>72</v>
      </c>
    </row>
    <row r="4" customFormat="false" ht="15" hidden="false" customHeight="false" outlineLevel="0" collapsed="false">
      <c r="A4" s="3" t="s">
        <v>264</v>
      </c>
      <c r="B4" s="7" t="n">
        <v>521.6</v>
      </c>
      <c r="C4" s="7" t="n">
        <v>1423.3</v>
      </c>
      <c r="D4" s="7" t="n">
        <v>1835.5</v>
      </c>
    </row>
    <row r="5" customFormat="false" ht="15" hidden="false" customHeight="false" outlineLevel="0" collapsed="false">
      <c r="A5" s="3" t="s">
        <v>265</v>
      </c>
      <c r="B5" s="7" t="n">
        <v>-797.7</v>
      </c>
      <c r="C5" s="7" t="n">
        <v>-2665.6</v>
      </c>
      <c r="D5" s="7" t="n">
        <v>-2599.3</v>
      </c>
    </row>
    <row r="6" customFormat="false" ht="15" hidden="false" customHeight="false" outlineLevel="0" collapsed="false">
      <c r="A6" s="3" t="s">
        <v>266</v>
      </c>
      <c r="B6" s="7" t="n">
        <v>291.1</v>
      </c>
      <c r="C6" s="7" t="n">
        <v>1357.6</v>
      </c>
      <c r="D6" s="7" t="n">
        <v>840.6</v>
      </c>
    </row>
    <row r="7" customFormat="false" ht="15" hidden="false" customHeight="false" outlineLevel="0" collapsed="false">
      <c r="A7" s="3" t="s">
        <v>267</v>
      </c>
      <c r="B7" s="7" t="n">
        <v>-64.9</v>
      </c>
      <c r="C7" s="7" t="n">
        <v>-113.2</v>
      </c>
      <c r="D7" s="7" t="n">
        <v>-146.3</v>
      </c>
    </row>
    <row r="8" customFormat="false" ht="15" hidden="false" customHeight="false" outlineLevel="0" collapsed="false">
      <c r="A8" s="3" t="s">
        <v>268</v>
      </c>
      <c r="B8" s="7" t="n">
        <v>-825.2</v>
      </c>
      <c r="C8" s="7" t="n">
        <v>-2704</v>
      </c>
      <c r="D8" s="7" t="n">
        <v>-2650.5</v>
      </c>
    </row>
    <row r="10" customFormat="false" ht="15" hidden="false" customHeight="false" outlineLevel="0" collapsed="false">
      <c r="A10" s="17" t="s">
        <v>269</v>
      </c>
    </row>
    <row r="11" customFormat="false" ht="15" hidden="false" customHeight="false" outlineLevel="0" collapsed="false">
      <c r="A11" s="3" t="s">
        <v>238</v>
      </c>
      <c r="E11" s="8" t="n">
        <f aca="false">'Income Statement'!E12</f>
        <v>947.16254041272</v>
      </c>
      <c r="F11" s="8" t="n">
        <f aca="false">'Income Statement'!F12</f>
        <v>1679.31219207435</v>
      </c>
      <c r="G11" s="8" t="n">
        <f aca="false">'Income Statement'!G12</f>
        <v>2569.55199842641</v>
      </c>
      <c r="H11" s="8" t="n">
        <f aca="false">'Income Statement'!H12</f>
        <v>3377.0227562841</v>
      </c>
      <c r="I11" s="8" t="n">
        <f aca="false">'Income Statement'!I12</f>
        <v>4031.69505115749</v>
      </c>
    </row>
    <row r="12" customFormat="false" ht="15" hidden="false" customHeight="false" outlineLevel="0" collapsed="false">
      <c r="A12" s="3" t="s">
        <v>185</v>
      </c>
      <c r="E12" s="8" t="n">
        <f aca="false">Assumptions!B42</f>
        <v>480</v>
      </c>
      <c r="F12" s="8" t="n">
        <f aca="false">Assumptions!C42</f>
        <v>560</v>
      </c>
      <c r="G12" s="8" t="n">
        <f aca="false">Assumptions!D42</f>
        <v>620</v>
      </c>
      <c r="H12" s="8" t="n">
        <f aca="false">Assumptions!E42</f>
        <v>680</v>
      </c>
      <c r="I12" s="8" t="n">
        <f aca="false">Assumptions!F42</f>
        <v>740</v>
      </c>
    </row>
    <row r="13" customFormat="false" ht="15" hidden="false" customHeight="false" outlineLevel="0" collapsed="false">
      <c r="A13" s="3" t="s">
        <v>270</v>
      </c>
      <c r="E13" s="8" t="n">
        <f aca="false">-(('Balance Sheet'!E5-'Balance Sheet'!D5)+('Balance Sheet'!E6-'Balance Sheet'!D6)+('Balance Sheet'!E7-'Balance Sheet'!D7)-('Balance Sheet'!E14-'Balance Sheet'!D14))</f>
        <v>-7.83873257192749</v>
      </c>
      <c r="F13" s="8" t="n">
        <f aca="false">-(('Balance Sheet'!F5-'Balance Sheet'!E5)+('Balance Sheet'!F6-'Balance Sheet'!E6)+('Balance Sheet'!F7-'Balance Sheet'!E7)-('Balance Sheet'!F14-'Balance Sheet'!E14))</f>
        <v>59.0999313867292</v>
      </c>
      <c r="G13" s="8" t="n">
        <f aca="false">-(('Balance Sheet'!G5-'Balance Sheet'!F5)+('Balance Sheet'!G6-'Balance Sheet'!F6)+('Balance Sheet'!G7-'Balance Sheet'!F7)-('Balance Sheet'!G14-'Balance Sheet'!F14))</f>
        <v>57.4725874783737</v>
      </c>
      <c r="H13" s="8" t="n">
        <f aca="false">-(('Balance Sheet'!H5-'Balance Sheet'!G5)+('Balance Sheet'!H6-'Balance Sheet'!G6)+('Balance Sheet'!H7-'Balance Sheet'!G7)-('Balance Sheet'!H14-'Balance Sheet'!G14))</f>
        <v>52.806431957429</v>
      </c>
      <c r="I13" s="8" t="n">
        <f aca="false">-(('Balance Sheet'!I5-'Balance Sheet'!H5)+('Balance Sheet'!I6-'Balance Sheet'!H6)+('Balance Sheet'!I7-'Balance Sheet'!H7)-('Balance Sheet'!I14-'Balance Sheet'!H14))</f>
        <v>40.2131584217249</v>
      </c>
    </row>
    <row r="14" customFormat="false" ht="15" hidden="false" customHeight="false" outlineLevel="0" collapsed="false">
      <c r="A14" s="3" t="s">
        <v>271</v>
      </c>
      <c r="E14" s="8" t="n">
        <f aca="false">-Assumptions!B43</f>
        <v>-1400</v>
      </c>
      <c r="F14" s="8" t="n">
        <f aca="false">-Assumptions!C43</f>
        <v>-1100</v>
      </c>
      <c r="G14" s="8" t="n">
        <f aca="false">-Assumptions!D43</f>
        <v>-1150</v>
      </c>
      <c r="H14" s="8" t="n">
        <f aca="false">-Assumptions!E43</f>
        <v>-1220</v>
      </c>
      <c r="I14" s="8" t="n">
        <f aca="false">-Assumptions!F43</f>
        <v>-1280</v>
      </c>
    </row>
    <row r="15" customFormat="false" ht="15" hidden="false" customHeight="false" outlineLevel="0" collapsed="false">
      <c r="A15" s="3" t="s">
        <v>272</v>
      </c>
      <c r="E15" s="8" t="n">
        <f aca="false">-Assumptions!B47</f>
        <v>-150</v>
      </c>
      <c r="F15" s="8" t="n">
        <f aca="false">-Assumptions!C47</f>
        <v>-200</v>
      </c>
      <c r="G15" s="8" t="n">
        <f aca="false">-Assumptions!D47</f>
        <v>-300</v>
      </c>
      <c r="H15" s="8" t="n">
        <f aca="false">-Assumptions!E47</f>
        <v>-450</v>
      </c>
      <c r="I15" s="8" t="n">
        <f aca="false">-Assumptions!F47</f>
        <v>-600</v>
      </c>
    </row>
    <row r="16" customFormat="false" ht="15" hidden="false" customHeight="false" outlineLevel="0" collapsed="false">
      <c r="A16" s="3" t="s">
        <v>273</v>
      </c>
      <c r="E16" s="8" t="n">
        <f aca="false">'Balance Sheet'!E13-'Balance Sheet'!D13</f>
        <v>197.3</v>
      </c>
      <c r="F16" s="8" t="n">
        <f aca="false">'Balance Sheet'!F13-'Balance Sheet'!E13</f>
        <v>-500</v>
      </c>
      <c r="G16" s="8" t="n">
        <f aca="false">'Balance Sheet'!G13-'Balance Sheet'!F13</f>
        <v>-600</v>
      </c>
      <c r="H16" s="8" t="n">
        <f aca="false">'Balance Sheet'!H13-'Balance Sheet'!G13</f>
        <v>-600</v>
      </c>
      <c r="I16" s="8" t="n">
        <f aca="false">'Balance Sheet'!I13-'Balance Sheet'!H13</f>
        <v>-600</v>
      </c>
    </row>
    <row r="17" customFormat="false" ht="15" hidden="false" customHeight="false" outlineLevel="0" collapsed="false">
      <c r="A17" s="3" t="s">
        <v>274</v>
      </c>
      <c r="E17" s="8" t="n">
        <f aca="false">('Balance Sheet'!E15-'Balance Sheet'!D15)+('Balance Sheet'!E16-'Balance Sheet'!D16)</f>
        <v>134.443241130502</v>
      </c>
      <c r="F17" s="8" t="n">
        <f aca="false">('Balance Sheet'!F15-'Balance Sheet'!E15)+('Balance Sheet'!F16-'Balance Sheet'!E16)</f>
        <v>121.979952181968</v>
      </c>
      <c r="G17" s="8" t="n">
        <f aca="false">('Balance Sheet'!G15-'Balance Sheet'!F15)+('Balance Sheet'!G16-'Balance Sheet'!F16)</f>
        <v>139.330411271093</v>
      </c>
      <c r="H17" s="8" t="n">
        <f aca="false">('Balance Sheet'!H15-'Balance Sheet'!G15)+('Balance Sheet'!H16-'Balance Sheet'!G16)</f>
        <v>131.146806019033</v>
      </c>
      <c r="I17" s="8" t="n">
        <f aca="false">('Balance Sheet'!I15-'Balance Sheet'!H15)+('Balance Sheet'!I16-'Balance Sheet'!H16)</f>
        <v>110.255795860504</v>
      </c>
    </row>
    <row r="18" customFormat="false" ht="15" hidden="false" customHeight="false" outlineLevel="0" collapsed="false">
      <c r="A18" s="3" t="s">
        <v>275</v>
      </c>
      <c r="E18" s="18" t="n">
        <f aca="false">SUM(E11:E17)</f>
        <v>201.067048971295</v>
      </c>
      <c r="F18" s="18" t="n">
        <f aca="false">SUM(F11:F17)</f>
        <v>620.39207564305</v>
      </c>
      <c r="G18" s="18" t="n">
        <f aca="false">SUM(G11:G17)</f>
        <v>1336.35499717587</v>
      </c>
      <c r="H18" s="18" t="n">
        <f aca="false">SUM(H11:H17)</f>
        <v>1970.97599426056</v>
      </c>
      <c r="I18" s="18" t="n">
        <f aca="false">SUM(I11:I17)</f>
        <v>2442.16400543972</v>
      </c>
    </row>
    <row r="19" customFormat="false" ht="15" hidden="false" customHeight="false" outlineLevel="0" collapsed="false">
      <c r="A19" s="6" t="s">
        <v>276</v>
      </c>
    </row>
    <row r="21" customFormat="false" ht="15" hidden="false" customHeight="false" outlineLevel="0" collapsed="false">
      <c r="A21" s="17" t="s">
        <v>277</v>
      </c>
    </row>
    <row r="22" customFormat="false" ht="15" hidden="false" customHeight="false" outlineLevel="0" collapsed="false">
      <c r="A22" s="12"/>
      <c r="B22" s="12" t="s">
        <v>68</v>
      </c>
      <c r="C22" s="12" t="s">
        <v>69</v>
      </c>
      <c r="D22" s="12" t="s">
        <v>70</v>
      </c>
      <c r="E22" s="12" t="s">
        <v>71</v>
      </c>
      <c r="F22" s="12" t="s">
        <v>72</v>
      </c>
    </row>
    <row r="23" customFormat="false" ht="15" hidden="false" customHeight="false" outlineLevel="0" collapsed="false">
      <c r="A23" s="3" t="s">
        <v>278</v>
      </c>
      <c r="B23" s="8" t="n">
        <f aca="false">E18</f>
        <v>201.067048971295</v>
      </c>
      <c r="C23" s="8" t="n">
        <f aca="false">F18</f>
        <v>620.39207564305</v>
      </c>
      <c r="D23" s="8" t="n">
        <f aca="false">G18</f>
        <v>1336.35499717587</v>
      </c>
      <c r="E23" s="8" t="n">
        <f aca="false">H18</f>
        <v>1970.97599426056</v>
      </c>
      <c r="F23" s="8" t="n">
        <f aca="false">I18</f>
        <v>2442.16400543972</v>
      </c>
    </row>
    <row r="24" customFormat="false" ht="15" hidden="false" customHeight="false" outlineLevel="0" collapsed="false">
      <c r="A24" s="3" t="s">
        <v>279</v>
      </c>
      <c r="B24" s="8" t="n">
        <f aca="false">'Balance Sheet'!E8-'Balance Sheet'!D8</f>
        <v>200.967048971296</v>
      </c>
      <c r="C24" s="8" t="n">
        <f aca="false">'Balance Sheet'!F8-'Balance Sheet'!E8</f>
        <v>620.392075643048</v>
      </c>
      <c r="D24" s="8" t="n">
        <f aca="false">'Balance Sheet'!G8-'Balance Sheet'!F8</f>
        <v>1336.35499717587</v>
      </c>
      <c r="E24" s="8" t="n">
        <f aca="false">'Balance Sheet'!H8-'Balance Sheet'!G8</f>
        <v>1970.97599426056</v>
      </c>
      <c r="F24" s="8" t="n">
        <f aca="false">'Balance Sheet'!I8-'Balance Sheet'!H8</f>
        <v>2442.16400543971</v>
      </c>
    </row>
    <row r="25" customFormat="false" ht="15" hidden="false" customHeight="false" outlineLevel="0" collapsed="false">
      <c r="A25" s="17" t="s">
        <v>280</v>
      </c>
      <c r="B25" s="18" t="n">
        <f aca="false">B23-B24</f>
        <v>0.0999999999993975</v>
      </c>
      <c r="C25" s="18" t="n">
        <f aca="false">C23-C24</f>
        <v>0</v>
      </c>
      <c r="D25" s="18" t="n">
        <f aca="false">D23-D24</f>
        <v>0</v>
      </c>
      <c r="E25" s="18" t="n">
        <f aca="false">E23-E24</f>
        <v>0</v>
      </c>
      <c r="F25" s="18" t="n">
        <f aca="false">F23-F24</f>
        <v>0</v>
      </c>
    </row>
    <row r="26" customFormat="false" ht="15" hidden="false" customHeight="false" outlineLevel="0" collapsed="false">
      <c r="A26" s="3" t="s">
        <v>281</v>
      </c>
      <c r="B26" s="3" t="str">
        <f aca="false">IF(ABS(B25)&lt;1,"PASS","FAIL")</f>
        <v>PASS</v>
      </c>
      <c r="C26" s="3" t="str">
        <f aca="false">IF(ABS(C25)&lt;1,"PASS","FAIL")</f>
        <v>PASS</v>
      </c>
      <c r="D26" s="3" t="str">
        <f aca="false">IF(ABS(D25)&lt;1,"PASS","FAIL")</f>
        <v>PASS</v>
      </c>
      <c r="E26" s="3" t="str">
        <f aca="false">IF(ABS(E25)&lt;1,"PASS","FAIL")</f>
        <v>PASS</v>
      </c>
      <c r="F26" s="3" t="str">
        <f aca="false">IF(ABS(F25)&lt;1,"PASS","FAIL")</f>
        <v>PASS</v>
      </c>
    </row>
    <row r="27" customFormat="false" ht="15" hidden="false" customHeight="false" outlineLevel="0" collapsed="false">
      <c r="A27" s="6" t="s">
        <v>282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3.5"/>
  </cols>
  <sheetData>
    <row r="1" customFormat="false" ht="16.15" hidden="false" customHeight="false" outlineLevel="0" collapsed="false">
      <c r="A1" s="1" t="s">
        <v>283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4" t="s">
        <v>284</v>
      </c>
    </row>
    <row r="3" customFormat="false" ht="15" hidden="false" customHeight="false" outlineLevel="0" collapsed="false">
      <c r="A3" s="12"/>
      <c r="B3" s="12" t="s">
        <v>90</v>
      </c>
      <c r="C3" s="12" t="s">
        <v>91</v>
      </c>
      <c r="D3" s="12" t="s">
        <v>92</v>
      </c>
      <c r="E3" s="12"/>
      <c r="F3" s="12"/>
    </row>
    <row r="4" customFormat="false" ht="15" hidden="false" customHeight="false" outlineLevel="0" collapsed="false">
      <c r="A4" s="3" t="s">
        <v>285</v>
      </c>
      <c r="B4" s="27" t="n">
        <f aca="false">Assumptions!B54</f>
        <v>14</v>
      </c>
      <c r="C4" s="27" t="n">
        <f aca="false">Assumptions!C54</f>
        <v>18</v>
      </c>
      <c r="D4" s="27" t="n">
        <f aca="false">Assumptions!D54</f>
        <v>22</v>
      </c>
    </row>
    <row r="5" customFormat="false" ht="15" hidden="false" customHeight="false" outlineLevel="0" collapsed="false">
      <c r="A5" s="3" t="s">
        <v>286</v>
      </c>
      <c r="B5" s="19" t="n">
        <f aca="false">Assumptions!D55</f>
        <v>1320</v>
      </c>
    </row>
    <row r="6" customFormat="false" ht="15" hidden="false" customHeight="false" outlineLevel="0" collapsed="false">
      <c r="A6" s="3" t="s">
        <v>201</v>
      </c>
      <c r="B6" s="8" t="n">
        <f aca="false">B4*$B$5</f>
        <v>18480</v>
      </c>
      <c r="C6" s="8" t="n">
        <f aca="false">C4*$B$5</f>
        <v>23760</v>
      </c>
      <c r="D6" s="8" t="n">
        <f aca="false">D4*$B$5</f>
        <v>29040</v>
      </c>
    </row>
    <row r="7" customFormat="false" ht="15" hidden="false" customHeight="false" outlineLevel="0" collapsed="false">
      <c r="A7" s="3" t="s">
        <v>287</v>
      </c>
      <c r="B7" s="28" t="n">
        <v>0.719081752388332</v>
      </c>
    </row>
    <row r="8" customFormat="false" ht="15" hidden="false" customHeight="false" outlineLevel="0" collapsed="false">
      <c r="A8" s="3" t="s">
        <v>288</v>
      </c>
      <c r="B8" s="8" t="n">
        <f aca="false">B6*$B$7</f>
        <v>13288.6307841364</v>
      </c>
      <c r="C8" s="8" t="n">
        <f aca="false">C6*$B$7</f>
        <v>17085.3824367468</v>
      </c>
      <c r="D8" s="8" t="n">
        <f aca="false">D6*$B$7</f>
        <v>20882.1340893572</v>
      </c>
    </row>
    <row r="9" customFormat="false" ht="15" hidden="false" customHeight="false" outlineLevel="0" collapsed="false">
      <c r="A9" s="3" t="s">
        <v>289</v>
      </c>
      <c r="B9" s="8" t="n">
        <f aca="false">-Assumptions!$B$7-Assumptions!$B$85+Assumptions!$B$9</f>
        <v>-3927.4</v>
      </c>
      <c r="C9" s="8" t="n">
        <f aca="false">-Assumptions!$B$7-Assumptions!$B$85+Assumptions!$B$9</f>
        <v>-3927.4</v>
      </c>
      <c r="D9" s="8" t="n">
        <f aca="false">-Assumptions!$B$7-Assumptions!$B$85+Assumptions!$B$9</f>
        <v>-3927.4</v>
      </c>
    </row>
    <row r="10" customFormat="false" ht="15" hidden="false" customHeight="false" outlineLevel="0" collapsed="false">
      <c r="A10" s="3" t="s">
        <v>206</v>
      </c>
      <c r="B10" s="8" t="n">
        <f aca="false">B8+B9</f>
        <v>9361.23078413638</v>
      </c>
      <c r="C10" s="8" t="n">
        <f aca="false">C8+C9</f>
        <v>13157.9824367468</v>
      </c>
      <c r="D10" s="8" t="n">
        <f aca="false">D8+D9</f>
        <v>16954.7340893572</v>
      </c>
    </row>
    <row r="11" customFormat="false" ht="15" hidden="false" customHeight="false" outlineLevel="0" collapsed="false">
      <c r="A11" s="17" t="s">
        <v>290</v>
      </c>
      <c r="B11" s="21" t="n">
        <f aca="false">B10/Assumptions!$B$5</f>
        <v>6.45869379338787</v>
      </c>
      <c r="C11" s="21" t="n">
        <f aca="false">C10/Assumptions!$B$5</f>
        <v>9.07822715382004</v>
      </c>
      <c r="D11" s="21" t="n">
        <f aca="false">D10/Assumptions!$B$5</f>
        <v>11.6977605142522</v>
      </c>
    </row>
    <row r="13" customFormat="false" ht="15" hidden="false" customHeight="false" outlineLevel="0" collapsed="false">
      <c r="A13" s="3" t="s">
        <v>291</v>
      </c>
    </row>
    <row r="14" customFormat="false" ht="15" hidden="false" customHeight="false" outlineLevel="0" collapsed="false">
      <c r="A14" s="3" t="s">
        <v>292</v>
      </c>
      <c r="B14" s="25" t="n">
        <v>10.04</v>
      </c>
      <c r="C14" s="25" t="n">
        <v>13.68</v>
      </c>
      <c r="D14" s="25" t="n">
        <v>17.33</v>
      </c>
    </row>
    <row r="15" customFormat="false" ht="15" hidden="false" customHeight="false" outlineLevel="0" collapsed="false">
      <c r="A15" s="3" t="s">
        <v>293</v>
      </c>
      <c r="B15" s="25" t="n">
        <v>5.79</v>
      </c>
      <c r="C15" s="25" t="n">
        <v>8.22</v>
      </c>
      <c r="D15" s="25" t="n">
        <v>10.65</v>
      </c>
    </row>
    <row r="16" customFormat="false" ht="15" hidden="false" customHeight="false" outlineLevel="0" collapsed="false">
      <c r="A16" s="6" t="s">
        <v>294</v>
      </c>
    </row>
    <row r="18" customFormat="false" ht="15" hidden="false" customHeight="false" outlineLevel="0" collapsed="false">
      <c r="A18" s="6" t="s">
        <v>295</v>
      </c>
    </row>
    <row r="19" customFormat="false" ht="15" hidden="false" customHeight="false" outlineLevel="0" collapsed="false">
      <c r="A19" s="6" t="s">
        <v>296</v>
      </c>
    </row>
    <row r="20" customFormat="false" ht="15" hidden="false" customHeight="false" outlineLevel="0" collapsed="false">
      <c r="A20" s="6" t="s">
        <v>297</v>
      </c>
    </row>
    <row r="21" customFormat="false" ht="15" hidden="false" customHeight="false" outlineLevel="0" collapsed="false">
      <c r="A21" s="6" t="s">
        <v>298</v>
      </c>
    </row>
    <row r="22" customFormat="false" ht="15" hidden="false" customHeight="false" outlineLevel="0" collapsed="false">
      <c r="A22" s="6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3.5"/>
  </cols>
  <sheetData>
    <row r="1" customFormat="false" ht="16.15" hidden="false" customHeight="false" outlineLevel="0" collapsed="false">
      <c r="A1" s="1" t="s">
        <v>300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4" t="s">
        <v>301</v>
      </c>
    </row>
    <row r="4" customFormat="false" ht="15" hidden="false" customHeight="false" outlineLevel="0" collapsed="false">
      <c r="A4" s="3" t="s">
        <v>302</v>
      </c>
      <c r="B4" s="29" t="n">
        <f aca="false">'Income Statement'!F15</f>
        <v>0.984831905107769</v>
      </c>
    </row>
    <row r="5" customFormat="false" ht="15" hidden="false" customHeight="false" outlineLevel="0" collapsed="false">
      <c r="A5" s="3" t="s">
        <v>303</v>
      </c>
      <c r="B5" s="28" t="n">
        <v>0.705955467300976</v>
      </c>
    </row>
    <row r="6" customFormat="false" ht="15" hidden="false" customHeight="false" outlineLevel="0" collapsed="false">
      <c r="A6" s="12" t="s">
        <v>304</v>
      </c>
      <c r="B6" s="12" t="s">
        <v>90</v>
      </c>
      <c r="C6" s="12" t="s">
        <v>91</v>
      </c>
      <c r="D6" s="12" t="s">
        <v>92</v>
      </c>
      <c r="E6" s="12"/>
      <c r="F6" s="12"/>
    </row>
    <row r="7" customFormat="false" ht="15" hidden="false" customHeight="false" outlineLevel="0" collapsed="false">
      <c r="A7" s="3" t="s">
        <v>305</v>
      </c>
      <c r="B7" s="27" t="n">
        <f aca="false">Assumptions!B52</f>
        <v>15</v>
      </c>
      <c r="C7" s="27" t="n">
        <f aca="false">Assumptions!C52</f>
        <v>19</v>
      </c>
      <c r="D7" s="27" t="n">
        <f aca="false">Assumptions!D52</f>
        <v>23</v>
      </c>
    </row>
    <row r="8" customFormat="false" ht="15" hidden="false" customHeight="false" outlineLevel="0" collapsed="false">
      <c r="A8" s="3" t="s">
        <v>306</v>
      </c>
      <c r="B8" s="25" t="n">
        <f aca="false">B7*$B$4</f>
        <v>14.7724785766165</v>
      </c>
      <c r="C8" s="25" t="n">
        <f aca="false">C7*$B$4</f>
        <v>18.7118061970476</v>
      </c>
      <c r="D8" s="25" t="n">
        <f aca="false">D7*$B$4</f>
        <v>22.6511338174787</v>
      </c>
    </row>
    <row r="9" customFormat="false" ht="15" hidden="false" customHeight="false" outlineLevel="0" collapsed="false">
      <c r="A9" s="17" t="s">
        <v>307</v>
      </c>
      <c r="B9" s="21" t="n">
        <f aca="false">B8*$B$5</f>
        <v>10.428712016749</v>
      </c>
      <c r="C9" s="21" t="n">
        <f aca="false">C8*$B$5</f>
        <v>13.209701887882</v>
      </c>
      <c r="D9" s="21" t="n">
        <f aca="false">D8*$B$5</f>
        <v>15.9906917590151</v>
      </c>
    </row>
    <row r="10" customFormat="false" ht="15" hidden="false" customHeight="false" outlineLevel="0" collapsed="false">
      <c r="A10" s="6" t="s">
        <v>308</v>
      </c>
    </row>
    <row r="12" customFormat="false" ht="15" hidden="false" customHeight="false" outlineLevel="0" collapsed="false">
      <c r="A12" s="6" t="s">
        <v>309</v>
      </c>
    </row>
    <row r="13" customFormat="false" ht="15" hidden="false" customHeight="false" outlineLevel="0" collapsed="false">
      <c r="A13" s="3" t="s">
        <v>310</v>
      </c>
      <c r="B13" s="8" t="n">
        <f aca="false">Assumptions!B7*Assumptions!B28</f>
        <v>474.615</v>
      </c>
    </row>
    <row r="14" customFormat="false" ht="15" hidden="false" customHeight="false" outlineLevel="0" collapsed="false">
      <c r="A14" s="3" t="s">
        <v>311</v>
      </c>
      <c r="B14" s="8" t="n">
        <f aca="false">(DCF!B7-B13)*(1-Assumptions!B20)*Assumptions!B46</f>
        <v>673.723103620769</v>
      </c>
    </row>
    <row r="15" customFormat="false" ht="15" hidden="false" customHeight="false" outlineLevel="0" collapsed="false">
      <c r="A15" s="12" t="s">
        <v>312</v>
      </c>
      <c r="B15" s="12" t="s">
        <v>90</v>
      </c>
      <c r="C15" s="12" t="s">
        <v>91</v>
      </c>
      <c r="D15" s="12" t="s">
        <v>92</v>
      </c>
      <c r="E15" s="12"/>
      <c r="F15" s="12"/>
    </row>
    <row r="16" customFormat="false" ht="15" hidden="false" customHeight="false" outlineLevel="0" collapsed="false">
      <c r="A16" s="3" t="s">
        <v>313</v>
      </c>
      <c r="B16" s="27" t="n">
        <f aca="false">Assumptions!B53</f>
        <v>15</v>
      </c>
      <c r="C16" s="27" t="n">
        <f aca="false">Assumptions!C53</f>
        <v>18</v>
      </c>
      <c r="D16" s="27" t="n">
        <f aca="false">Assumptions!D53</f>
        <v>22</v>
      </c>
    </row>
    <row r="17" customFormat="false" ht="15" hidden="false" customHeight="false" outlineLevel="0" collapsed="false">
      <c r="A17" s="17" t="s">
        <v>314</v>
      </c>
      <c r="B17" s="21" t="n">
        <f aca="false">B16*$B$14/Assumptions!$B$5</f>
        <v>6.97243449310855</v>
      </c>
      <c r="C17" s="21" t="n">
        <f aca="false">C16*$B$14/Assumptions!$B$5</f>
        <v>8.36692139173026</v>
      </c>
      <c r="D17" s="21" t="n">
        <f aca="false">D16*$B$14/Assumptions!$B$5</f>
        <v>10.2262372565592</v>
      </c>
    </row>
    <row r="19" customFormat="false" ht="15" hidden="false" customHeight="false" outlineLevel="0" collapsed="false">
      <c r="A19" s="6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3.5"/>
  </cols>
  <sheetData>
    <row r="1" customFormat="false" ht="16.15" hidden="false" customHeight="false" outlineLevel="0" collapsed="false">
      <c r="A1" s="1" t="s">
        <v>316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4" t="s">
        <v>317</v>
      </c>
    </row>
    <row r="3" customFormat="false" ht="15" hidden="false" customHeight="false" outlineLevel="0" collapsed="false">
      <c r="A3" s="12" t="s">
        <v>318</v>
      </c>
      <c r="B3" s="12" t="s">
        <v>90</v>
      </c>
      <c r="C3" s="12" t="s">
        <v>91</v>
      </c>
      <c r="D3" s="12" t="s">
        <v>92</v>
      </c>
      <c r="E3" s="12" t="s">
        <v>319</v>
      </c>
      <c r="F3" s="12" t="s">
        <v>320</v>
      </c>
    </row>
    <row r="4" customFormat="false" ht="15" hidden="false" customHeight="false" outlineLevel="0" collapsed="false">
      <c r="A4" s="3" t="s">
        <v>321</v>
      </c>
      <c r="B4" s="29" t="n">
        <f aca="false">DCF!B34</f>
        <v>3.84610168125086</v>
      </c>
      <c r="C4" s="29" t="n">
        <f aca="false">DCF!B27</f>
        <v>7.16903572416875</v>
      </c>
      <c r="D4" s="29" t="n">
        <f aca="false">DCF!B40</f>
        <v>8.12245774056266</v>
      </c>
      <c r="E4" s="30" t="n">
        <f aca="false">Assumptions!B56</f>
        <v>0.4</v>
      </c>
      <c r="F4" s="13" t="n">
        <f aca="false">C4/Assumptions!B4-1</f>
        <v>-0.56045151905771</v>
      </c>
    </row>
    <row r="5" customFormat="false" ht="15" hidden="false" customHeight="false" outlineLevel="0" collapsed="false">
      <c r="A5" s="3" t="s">
        <v>322</v>
      </c>
      <c r="B5" s="29" t="n">
        <f aca="false">'Relative &amp; Normalized'!B9</f>
        <v>10.428712016749</v>
      </c>
      <c r="C5" s="29" t="n">
        <f aca="false">'Relative &amp; Normalized'!C9</f>
        <v>13.209701887882</v>
      </c>
      <c r="D5" s="29" t="n">
        <f aca="false">'Relative &amp; Normalized'!D9</f>
        <v>15.9906917590151</v>
      </c>
      <c r="E5" s="30" t="n">
        <f aca="false">Assumptions!C56</f>
        <v>0.25</v>
      </c>
      <c r="F5" s="13" t="n">
        <f aca="false">C5/Assumptions!B4-1</f>
        <v>-0.190085721159899</v>
      </c>
    </row>
    <row r="6" customFormat="false" ht="15" hidden="false" customHeight="false" outlineLevel="0" collapsed="false">
      <c r="A6" s="3" t="s">
        <v>323</v>
      </c>
      <c r="B6" s="29" t="n">
        <f aca="false">'Relative &amp; Normalized'!B17</f>
        <v>6.97243449310855</v>
      </c>
      <c r="C6" s="29" t="n">
        <f aca="false">'Relative &amp; Normalized'!C17</f>
        <v>8.36692139173026</v>
      </c>
      <c r="D6" s="29" t="n">
        <f aca="false">'Relative &amp; Normalized'!D17</f>
        <v>10.2262372565592</v>
      </c>
      <c r="E6" s="30" t="n">
        <f aca="false">Assumptions!D56</f>
        <v>0.2</v>
      </c>
      <c r="F6" s="13" t="n">
        <f aca="false">C6/Assumptions!B4-1</f>
        <v>-0.487006658998758</v>
      </c>
    </row>
    <row r="7" customFormat="false" ht="15" hidden="false" customHeight="false" outlineLevel="0" collapsed="false">
      <c r="A7" s="3" t="s">
        <v>324</v>
      </c>
      <c r="B7" s="29" t="n">
        <f aca="false">'EV per Bed'!B11</f>
        <v>6.45869379338787</v>
      </c>
      <c r="C7" s="29" t="n">
        <f aca="false">'EV per Bed'!C11</f>
        <v>9.07822715382004</v>
      </c>
      <c r="D7" s="29" t="n">
        <f aca="false">'EV per Bed'!D11</f>
        <v>11.6977605142522</v>
      </c>
      <c r="E7" s="30" t="n">
        <f aca="false">Assumptions!E56</f>
        <v>0.15</v>
      </c>
      <c r="F7" s="13" t="n">
        <f aca="false">C7/Assumptions!B4-1</f>
        <v>-0.443395024290617</v>
      </c>
    </row>
    <row r="8" customFormat="false" ht="15" hidden="false" customHeight="false" outlineLevel="0" collapsed="false">
      <c r="A8" s="17" t="s">
        <v>325</v>
      </c>
      <c r="B8" s="21" t="n">
        <f aca="false">SUMPRODUCT(B4:B7,$E$4:$E$7)</f>
        <v>6.50890964431748</v>
      </c>
      <c r="C8" s="21" t="n">
        <f aca="false">SUMPRODUCT(C4:C7,$E$4:$E$7)</f>
        <v>9.20515811305707</v>
      </c>
      <c r="D8" s="21" t="n">
        <f aca="false">SUMPRODUCT(D4:D7,$E$4:$E$7)</f>
        <v>11.0465675644285</v>
      </c>
      <c r="F8" s="31" t="n">
        <f aca="false">C8/Assumptions!B4-1</f>
        <v>-0.435612623356403</v>
      </c>
    </row>
    <row r="10" customFormat="false" ht="15" hidden="false" customHeight="false" outlineLevel="0" collapsed="false">
      <c r="A10" s="6" t="s">
        <v>326</v>
      </c>
    </row>
    <row r="12" customFormat="false" ht="15" hidden="false" customHeight="false" outlineLevel="0" collapsed="false">
      <c r="A12" s="6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3.5"/>
  </cols>
  <sheetData>
    <row r="1" customFormat="false" ht="16.15" hidden="false" customHeight="false" outlineLevel="0" collapsed="false">
      <c r="A1" s="1" t="s">
        <v>328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4" t="s">
        <v>329</v>
      </c>
    </row>
    <row r="3" customFormat="false" ht="15" hidden="false" customHeight="false" outlineLevel="0" collapsed="false">
      <c r="A3" s="12" t="s">
        <v>330</v>
      </c>
      <c r="B3" s="12" t="s">
        <v>331</v>
      </c>
      <c r="C3" s="12" t="s">
        <v>332</v>
      </c>
      <c r="D3" s="12" t="s">
        <v>333</v>
      </c>
      <c r="E3" s="12"/>
      <c r="F3" s="12"/>
    </row>
    <row r="4" customFormat="false" ht="15" hidden="false" customHeight="false" outlineLevel="0" collapsed="false">
      <c r="A4" s="3" t="s">
        <v>201</v>
      </c>
      <c r="B4" s="19" t="n">
        <f aca="false">DCF!B33</f>
        <v>9501.93977680499</v>
      </c>
      <c r="C4" s="19" t="n">
        <f aca="false">DCF!B21</f>
        <v>14318.2003786102</v>
      </c>
      <c r="D4" s="19" t="n">
        <f aca="false">DCF!B39</f>
        <v>15700.0902491715</v>
      </c>
    </row>
    <row r="5" customFormat="false" ht="15" hidden="false" customHeight="false" outlineLevel="0" collapsed="false">
      <c r="A5" s="3" t="s">
        <v>334</v>
      </c>
      <c r="B5" s="8" t="n">
        <f aca="false">-Assumptions!$B$7</f>
        <v>-3164.1</v>
      </c>
      <c r="C5" s="8" t="n">
        <f aca="false">-Assumptions!$B$7</f>
        <v>-3164.1</v>
      </c>
      <c r="D5" s="8" t="n">
        <f aca="false">-Assumptions!$B$7</f>
        <v>-3164.1</v>
      </c>
    </row>
    <row r="6" customFormat="false" ht="15" hidden="false" customHeight="false" outlineLevel="0" collapsed="false">
      <c r="A6" s="3" t="s">
        <v>335</v>
      </c>
      <c r="B6" s="8" t="n">
        <f aca="false">-Assumptions!$B$85+Assumptions!$B$9</f>
        <v>-763.3</v>
      </c>
      <c r="C6" s="8" t="n">
        <f aca="false">-Assumptions!$B$85+Assumptions!$B$9</f>
        <v>-763.3</v>
      </c>
      <c r="D6" s="8" t="n">
        <f aca="false">-Assumptions!$B$85+Assumptions!$B$9</f>
        <v>-763.3</v>
      </c>
    </row>
    <row r="7" customFormat="false" ht="15" hidden="false" customHeight="false" outlineLevel="0" collapsed="false">
      <c r="A7" s="17" t="s">
        <v>206</v>
      </c>
      <c r="B7" s="18" t="n">
        <f aca="false">B4+B5+B6</f>
        <v>5574.53977680499</v>
      </c>
      <c r="C7" s="18" t="n">
        <f aca="false">C4+C5+C6</f>
        <v>10390.8003786102</v>
      </c>
      <c r="D7" s="18" t="n">
        <f aca="false">D4+D5+D6</f>
        <v>11772.6902491715</v>
      </c>
    </row>
    <row r="8" customFormat="false" ht="15" hidden="false" customHeight="false" outlineLevel="0" collapsed="false">
      <c r="A8" s="17" t="s">
        <v>336</v>
      </c>
      <c r="B8" s="21" t="n">
        <f aca="false">B7/Assumptions!$B$5</f>
        <v>3.84610168125086</v>
      </c>
      <c r="C8" s="21" t="n">
        <f aca="false">C7/Assumptions!$B$5</f>
        <v>7.16903572416875</v>
      </c>
      <c r="D8" s="21" t="n">
        <f aca="false">D7/Assumptions!$B$5</f>
        <v>8.12245774056266</v>
      </c>
    </row>
    <row r="9" customFormat="false" ht="15" hidden="false" customHeight="false" outlineLevel="0" collapsed="false">
      <c r="A9" s="3" t="s">
        <v>337</v>
      </c>
      <c r="B9" s="30" t="n">
        <f aca="false">DCF!B35</f>
        <v>0.53691605634885</v>
      </c>
      <c r="C9" s="30" t="n">
        <f aca="false">DCF!B22</f>
        <v>0.661886188757503</v>
      </c>
      <c r="D9" s="30" t="n">
        <f aca="false">DCF!B41</f>
        <v>0.68224403613826</v>
      </c>
    </row>
    <row r="11" customFormat="false" ht="15" hidden="false" customHeight="false" outlineLevel="0" collapsed="false">
      <c r="A11" s="6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3.5"/>
  </cols>
  <sheetData>
    <row r="1" customFormat="false" ht="16.15" hidden="false" customHeight="false" outlineLevel="0" collapsed="false">
      <c r="A1" s="1" t="s">
        <v>339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4" t="s">
        <v>340</v>
      </c>
    </row>
    <row r="3" customFormat="false" ht="15" hidden="false" customHeight="false" outlineLevel="0" collapsed="false">
      <c r="A3" s="12" t="s">
        <v>173</v>
      </c>
      <c r="B3" s="12" t="s">
        <v>341</v>
      </c>
      <c r="C3" s="12" t="s">
        <v>229</v>
      </c>
      <c r="D3" s="12" t="s">
        <v>230</v>
      </c>
      <c r="E3" s="12" t="s">
        <v>231</v>
      </c>
      <c r="F3" s="12" t="s">
        <v>68</v>
      </c>
      <c r="G3" s="12" t="s">
        <v>69</v>
      </c>
      <c r="H3" s="12" t="s">
        <v>70</v>
      </c>
      <c r="I3" s="12" t="s">
        <v>71</v>
      </c>
      <c r="J3" s="12" t="s">
        <v>72</v>
      </c>
    </row>
    <row r="4" customFormat="false" ht="15" hidden="false" customHeight="false" outlineLevel="0" collapsed="false">
      <c r="A4" s="3" t="s">
        <v>175</v>
      </c>
      <c r="B4" s="7" t="n">
        <v>2646</v>
      </c>
      <c r="C4" s="7" t="n">
        <v>3595.3</v>
      </c>
      <c r="D4" s="7" t="n">
        <v>5420.4</v>
      </c>
      <c r="E4" s="7" t="n">
        <v>7227.3</v>
      </c>
      <c r="F4" s="8" t="n">
        <v>9253.58102826256</v>
      </c>
      <c r="G4" s="8" t="n">
        <v>12303.0798328118</v>
      </c>
      <c r="H4" s="8" t="n">
        <v>15786.3401145891</v>
      </c>
      <c r="I4" s="8" t="n">
        <v>19065.0102650649</v>
      </c>
      <c r="J4" s="8" t="n">
        <v>21821.4051615775</v>
      </c>
    </row>
    <row r="5" customFormat="false" ht="15" hidden="false" customHeight="false" outlineLevel="0" collapsed="false">
      <c r="A5" s="3" t="s">
        <v>233</v>
      </c>
      <c r="B5" s="7" t="n">
        <v>873</v>
      </c>
      <c r="C5" s="7" t="n">
        <v>1208.6</v>
      </c>
      <c r="D5" s="7" t="n">
        <v>2013.3</v>
      </c>
      <c r="E5" s="7" t="n">
        <v>2858.5</v>
      </c>
      <c r="F5" s="8" t="n">
        <v>3285.02126503321</v>
      </c>
      <c r="G5" s="8" t="n">
        <v>4736.68573563252</v>
      </c>
      <c r="H5" s="8" t="n">
        <v>6235.60434526268</v>
      </c>
      <c r="I5" s="8" t="n">
        <v>7626.00410602596</v>
      </c>
      <c r="J5" s="8" t="n">
        <v>8728.562064631</v>
      </c>
    </row>
    <row r="6" customFormat="false" ht="15" hidden="false" customHeight="false" outlineLevel="0" collapsed="false">
      <c r="A6" s="3" t="s">
        <v>342</v>
      </c>
      <c r="B6" s="7" t="n">
        <v>709</v>
      </c>
      <c r="C6" s="7" t="n">
        <v>954</v>
      </c>
      <c r="D6" s="7" t="n">
        <v>1529</v>
      </c>
      <c r="E6" s="7" t="n">
        <v>2137</v>
      </c>
    </row>
    <row r="7" customFormat="false" ht="15" hidden="false" customHeight="false" outlineLevel="0" collapsed="false">
      <c r="A7" s="3" t="s">
        <v>343</v>
      </c>
      <c r="C7" s="7" t="n">
        <v>810.8</v>
      </c>
      <c r="D7" s="7" t="n">
        <v>1347.1</v>
      </c>
      <c r="E7" s="7" t="n">
        <v>1719.5</v>
      </c>
      <c r="F7" s="8" t="n">
        <v>1989.51992107645</v>
      </c>
      <c r="G7" s="8" t="n">
        <v>3014.25455903888</v>
      </c>
      <c r="H7" s="8" t="n">
        <v>4183.3801303661</v>
      </c>
      <c r="I7" s="8" t="n">
        <v>5242.87782289285</v>
      </c>
      <c r="J7" s="8" t="n">
        <v>6109.9934452417</v>
      </c>
    </row>
    <row r="8" customFormat="false" ht="15" hidden="false" customHeight="false" outlineLevel="0" collapsed="false">
      <c r="A8" s="3" t="s">
        <v>181</v>
      </c>
      <c r="C8" s="7" t="n">
        <v>649.4</v>
      </c>
      <c r="D8" s="7" t="n">
        <v>1162.8</v>
      </c>
      <c r="E8" s="7" t="n">
        <v>1499.8</v>
      </c>
      <c r="F8" s="8" t="n">
        <v>1509.51992107645</v>
      </c>
      <c r="G8" s="8" t="n">
        <v>2454.25455903888</v>
      </c>
      <c r="H8" s="8" t="n">
        <v>3563.3801303661</v>
      </c>
      <c r="I8" s="8" t="n">
        <v>4562.87782289285</v>
      </c>
      <c r="J8" s="8" t="n">
        <v>5369.9934452417</v>
      </c>
    </row>
    <row r="9" customFormat="false" ht="15" hidden="false" customHeight="false" outlineLevel="0" collapsed="false">
      <c r="A9" s="3" t="s">
        <v>238</v>
      </c>
      <c r="B9" s="7" t="n">
        <v>357</v>
      </c>
      <c r="C9" s="7" t="n">
        <v>469.3</v>
      </c>
      <c r="D9" s="7" t="n">
        <v>817</v>
      </c>
      <c r="E9" s="7" t="n">
        <v>967.9</v>
      </c>
      <c r="F9" s="8" t="n">
        <v>947.16254041272</v>
      </c>
      <c r="G9" s="8" t="n">
        <v>1679.31219207435</v>
      </c>
      <c r="H9" s="8" t="n">
        <v>2569.55199842641</v>
      </c>
      <c r="I9" s="8" t="n">
        <v>3377.0227562841</v>
      </c>
      <c r="J9" s="8" t="n">
        <v>4031.69505115749</v>
      </c>
    </row>
    <row r="10" customFormat="false" ht="15" hidden="false" customHeight="false" outlineLevel="0" collapsed="false">
      <c r="A10" s="3" t="s">
        <v>344</v>
      </c>
      <c r="C10" s="7" t="n">
        <v>418.2</v>
      </c>
      <c r="D10" s="7" t="n">
        <v>723.3</v>
      </c>
      <c r="E10" s="7" t="n">
        <v>823.9</v>
      </c>
      <c r="F10" s="8" t="n">
        <v>795.616533946685</v>
      </c>
      <c r="G10" s="8" t="n">
        <v>1427.4153632632</v>
      </c>
      <c r="H10" s="8" t="n">
        <v>2184.11919866245</v>
      </c>
      <c r="I10" s="8" t="n">
        <v>2870.46934284149</v>
      </c>
      <c r="J10" s="8" t="n">
        <v>3426.94079348386</v>
      </c>
    </row>
    <row r="11" customFormat="false" ht="15" hidden="false" customHeight="false" outlineLevel="0" collapsed="false">
      <c r="A11" s="3" t="s">
        <v>345</v>
      </c>
      <c r="C11" s="5" t="n">
        <v>0.29</v>
      </c>
      <c r="D11" s="5" t="n">
        <v>0.5</v>
      </c>
      <c r="E11" s="5" t="n">
        <v>0.67</v>
      </c>
      <c r="F11" s="25" t="n">
        <v>0.548928200597961</v>
      </c>
      <c r="G11" s="25" t="n">
        <v>0.984831905107769</v>
      </c>
      <c r="H11" s="25" t="n">
        <v>1.50691265258897</v>
      </c>
      <c r="I11" s="25" t="n">
        <v>1.98045352755726</v>
      </c>
      <c r="J11" s="25" t="n">
        <v>2.36438581032418</v>
      </c>
    </row>
    <row r="12" customFormat="false" ht="15" hidden="false" customHeight="false" outlineLevel="0" collapsed="false">
      <c r="A12" s="3" t="s">
        <v>346</v>
      </c>
      <c r="C12" s="7" t="n">
        <v>825.2</v>
      </c>
      <c r="D12" s="7" t="n">
        <v>2704</v>
      </c>
      <c r="E12" s="7" t="n">
        <v>2650.5</v>
      </c>
      <c r="F12" s="8" t="n">
        <v>1400</v>
      </c>
      <c r="G12" s="8" t="n">
        <v>1100</v>
      </c>
      <c r="H12" s="8" t="n">
        <v>1150</v>
      </c>
      <c r="I12" s="8" t="n">
        <v>1220</v>
      </c>
      <c r="J12" s="8" t="n">
        <v>1280</v>
      </c>
    </row>
    <row r="13" customFormat="false" ht="15" hidden="false" customHeight="false" outlineLevel="0" collapsed="false">
      <c r="A13" s="3" t="s">
        <v>347</v>
      </c>
      <c r="F13" s="8" t="n">
        <v>133.277938834249</v>
      </c>
      <c r="G13" s="8" t="n">
        <v>1263.62264459264</v>
      </c>
      <c r="H13" s="8" t="n">
        <v>2172.18083855033</v>
      </c>
      <c r="I13" s="8" t="n">
        <v>2963.4436112372</v>
      </c>
      <c r="J13" s="8" t="n">
        <v>3594.18097109719</v>
      </c>
    </row>
    <row r="15" customFormat="false" ht="15" hidden="false" customHeight="false" outlineLevel="0" collapsed="false">
      <c r="A15" s="3" t="s">
        <v>348</v>
      </c>
      <c r="C15" s="13" t="n">
        <f aca="false">C4/B4-1</f>
        <v>0.358767951625095</v>
      </c>
      <c r="D15" s="13" t="n">
        <f aca="false">D4/C4-1</f>
        <v>0.507634967874725</v>
      </c>
      <c r="E15" s="13" t="n">
        <f aca="false">E4/D4-1</f>
        <v>0.333351782156299</v>
      </c>
      <c r="F15" s="13" t="n">
        <f aca="false">F4/E4-1</f>
        <v>0.280364870458202</v>
      </c>
      <c r="G15" s="13" t="n">
        <f aca="false">G4/F4-1</f>
        <v>0.329547965834559</v>
      </c>
      <c r="H15" s="13" t="n">
        <f aca="false">H4/G4-1</f>
        <v>0.283121001335585</v>
      </c>
      <c r="I15" s="13" t="n">
        <f aca="false">I4/H4-1</f>
        <v>0.207690327629888</v>
      </c>
      <c r="J15" s="13" t="n">
        <f aca="false">J4/I4-1</f>
        <v>0.144578726063604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3.5"/>
  </cols>
  <sheetData>
    <row r="1" customFormat="false" ht="16.15" hidden="false" customHeight="false" outlineLevel="0" collapsed="false">
      <c r="A1" s="1" t="s">
        <v>349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4" t="s">
        <v>350</v>
      </c>
    </row>
    <row r="3" customFormat="false" ht="15" hidden="false" customHeight="false" outlineLevel="0" collapsed="false">
      <c r="A3" s="12" t="s">
        <v>351</v>
      </c>
      <c r="B3" s="12" t="s">
        <v>352</v>
      </c>
      <c r="C3" s="12" t="s">
        <v>353</v>
      </c>
      <c r="D3" s="12" t="s">
        <v>354</v>
      </c>
      <c r="E3" s="12" t="s">
        <v>355</v>
      </c>
      <c r="F3" s="12" t="s">
        <v>356</v>
      </c>
      <c r="G3" s="12" t="s">
        <v>357</v>
      </c>
      <c r="H3" s="12" t="s">
        <v>358</v>
      </c>
      <c r="I3" s="32" t="s">
        <v>359</v>
      </c>
    </row>
    <row r="4" customFormat="false" ht="15" hidden="false" customHeight="false" outlineLevel="0" collapsed="false">
      <c r="A4" s="3" t="s">
        <v>360</v>
      </c>
      <c r="B4" s="5" t="n">
        <v>11.7545233944542</v>
      </c>
      <c r="C4" s="5" t="n">
        <v>13.5915617520759</v>
      </c>
      <c r="D4" s="5" t="n">
        <v>14.3694043646529</v>
      </c>
      <c r="E4" s="5" t="n">
        <v>15.4605934634827</v>
      </c>
      <c r="F4" s="5" t="n">
        <v>16.5427152894023</v>
      </c>
      <c r="G4" s="5" t="n">
        <v>17.7135832215434</v>
      </c>
      <c r="H4" s="5" t="n">
        <v>19.0755770783941</v>
      </c>
      <c r="I4" s="5" t="n">
        <v>20.1663728291695</v>
      </c>
    </row>
    <row r="5" customFormat="false" ht="15" hidden="false" customHeight="false" outlineLevel="0" collapsed="false">
      <c r="A5" s="3" t="s">
        <v>361</v>
      </c>
      <c r="B5" s="5" t="n">
        <v>9.25629412892583</v>
      </c>
      <c r="C5" s="5" t="n">
        <v>12.1193328913482</v>
      </c>
      <c r="D5" s="5" t="n">
        <v>13.3461346831769</v>
      </c>
      <c r="E5" s="5" t="n">
        <v>15.1285784449513</v>
      </c>
      <c r="F5" s="5" t="n">
        <v>17.0178661337637</v>
      </c>
      <c r="G5" s="5" t="n">
        <v>19.1506083249246</v>
      </c>
      <c r="H5" s="5" t="n">
        <v>21.7230781188555</v>
      </c>
      <c r="I5" s="5" t="n">
        <v>23.8321271637469</v>
      </c>
    </row>
    <row r="7" customFormat="false" ht="15" hidden="false" customHeight="false" outlineLevel="0" collapsed="false">
      <c r="A7" s="12" t="s">
        <v>362</v>
      </c>
      <c r="B7" s="12" t="s">
        <v>99</v>
      </c>
      <c r="C7" s="12"/>
      <c r="D7" s="12" t="s">
        <v>363</v>
      </c>
      <c r="E7" s="12" t="s">
        <v>364</v>
      </c>
      <c r="F7" s="12" t="s">
        <v>365</v>
      </c>
      <c r="G7" s="12"/>
      <c r="H7" s="12"/>
    </row>
    <row r="8" customFormat="false" ht="15" hidden="false" customHeight="false" outlineLevel="0" collapsed="false">
      <c r="A8" s="3" t="s">
        <v>366</v>
      </c>
      <c r="B8" s="14" t="n">
        <v>0.59962</v>
      </c>
      <c r="D8" s="3" t="s">
        <v>367</v>
      </c>
      <c r="E8" s="14" t="n">
        <v>0.32718</v>
      </c>
      <c r="F8" s="14" t="n">
        <v>0.60402</v>
      </c>
    </row>
    <row r="9" customFormat="false" ht="15" hidden="false" customHeight="false" outlineLevel="0" collapsed="false">
      <c r="A9" s="3" t="s">
        <v>368</v>
      </c>
      <c r="B9" s="14" t="n">
        <v>0.37802</v>
      </c>
      <c r="D9" s="3" t="s">
        <v>369</v>
      </c>
      <c r="E9" s="14" t="n">
        <v>0.08562</v>
      </c>
      <c r="F9" s="14" t="n">
        <v>0.3013</v>
      </c>
    </row>
    <row r="10" customFormat="false" ht="15" hidden="false" customHeight="false" outlineLevel="0" collapsed="false">
      <c r="A10" s="3" t="s">
        <v>370</v>
      </c>
      <c r="B10" s="14" t="n">
        <v>0.20266</v>
      </c>
      <c r="D10" s="3" t="s">
        <v>371</v>
      </c>
      <c r="E10" s="14" t="n">
        <v>0.02904</v>
      </c>
      <c r="F10" s="14" t="n">
        <v>0.1504</v>
      </c>
    </row>
    <row r="11" customFormat="false" ht="15" hidden="false" customHeight="false" outlineLevel="0" collapsed="false">
      <c r="A11" s="3" t="s">
        <v>372</v>
      </c>
      <c r="B11" s="14" t="n">
        <v>0.21542</v>
      </c>
      <c r="D11" s="3" t="s">
        <v>373</v>
      </c>
      <c r="E11" s="14" t="n">
        <v>0.30844</v>
      </c>
      <c r="F11" s="14" t="n">
        <v>0.49994</v>
      </c>
    </row>
    <row r="12" customFormat="false" ht="15" hidden="false" customHeight="false" outlineLevel="0" collapsed="false">
      <c r="A12" s="3" t="s">
        <v>374</v>
      </c>
      <c r="B12" s="14" t="n">
        <v>0.08402</v>
      </c>
      <c r="D12" s="3" t="s">
        <v>375</v>
      </c>
      <c r="E12" s="14" t="n">
        <v>0.04916</v>
      </c>
      <c r="F12" s="14" t="n">
        <v>0.16336</v>
      </c>
    </row>
    <row r="13" customFormat="false" ht="15" hidden="false" customHeight="false" outlineLevel="0" collapsed="false">
      <c r="A13" s="3" t="s">
        <v>376</v>
      </c>
      <c r="B13" s="14" t="n">
        <v>0.41932</v>
      </c>
      <c r="D13" s="3" t="s">
        <v>377</v>
      </c>
      <c r="E13" s="14" t="n">
        <v>0.00894</v>
      </c>
      <c r="F13" s="14" t="n">
        <v>0.04876</v>
      </c>
    </row>
    <row r="16" customFormat="false" ht="15" hidden="false" customHeight="false" outlineLevel="0" collapsed="false">
      <c r="A16" s="6" t="s">
        <v>378</v>
      </c>
    </row>
    <row r="17" customFormat="false" ht="15" hidden="false" customHeight="false" outlineLevel="0" collapsed="false">
      <c r="A17" s="6" t="s">
        <v>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3.5"/>
  </cols>
  <sheetData>
    <row r="1" customFormat="false" ht="16.15" hidden="false" customHeight="false" outlineLevel="0" collapsed="false">
      <c r="A1" s="1" t="s">
        <v>380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4" t="s">
        <v>381</v>
      </c>
    </row>
    <row r="3" customFormat="false" ht="15" hidden="false" customHeight="false" outlineLevel="0" collapsed="false">
      <c r="A3" s="12" t="s">
        <v>382</v>
      </c>
      <c r="B3" s="12" t="s">
        <v>383</v>
      </c>
      <c r="C3" s="12" t="s">
        <v>384</v>
      </c>
      <c r="D3" s="12" t="s">
        <v>385</v>
      </c>
      <c r="E3" s="12" t="s">
        <v>386</v>
      </c>
      <c r="F3" s="12" t="s">
        <v>387</v>
      </c>
    </row>
    <row r="4" customFormat="false" ht="15" hidden="false" customHeight="false" outlineLevel="0" collapsed="false">
      <c r="A4" s="3" t="s">
        <v>388</v>
      </c>
      <c r="B4" s="5" t="n">
        <v>8.6</v>
      </c>
      <c r="C4" s="5" t="n">
        <v>8.8</v>
      </c>
      <c r="D4" s="5" t="n">
        <v>9</v>
      </c>
      <c r="E4" s="5" t="n">
        <v>9.2</v>
      </c>
      <c r="F4" s="5" t="n">
        <v>9.4</v>
      </c>
    </row>
    <row r="5" customFormat="false" ht="15" hidden="false" customHeight="false" outlineLevel="0" collapsed="false">
      <c r="A5" s="3" t="s">
        <v>389</v>
      </c>
      <c r="B5" s="5" t="n">
        <v>7.8</v>
      </c>
      <c r="C5" s="5" t="n">
        <v>7.9</v>
      </c>
      <c r="D5" s="5" t="n">
        <v>8</v>
      </c>
      <c r="E5" s="5" t="n">
        <v>8.2</v>
      </c>
      <c r="F5" s="5" t="n">
        <v>8.3</v>
      </c>
    </row>
    <row r="6" customFormat="false" ht="15" hidden="false" customHeight="false" outlineLevel="0" collapsed="false">
      <c r="A6" s="3" t="s">
        <v>390</v>
      </c>
      <c r="B6" s="5" t="n">
        <v>7.1</v>
      </c>
      <c r="C6" s="5" t="n">
        <v>7.2</v>
      </c>
      <c r="D6" s="5" t="n">
        <v>7.2</v>
      </c>
      <c r="E6" s="5" t="n">
        <v>7.3</v>
      </c>
      <c r="F6" s="5" t="n">
        <v>7.4</v>
      </c>
    </row>
    <row r="7" customFormat="false" ht="15" hidden="false" customHeight="false" outlineLevel="0" collapsed="false">
      <c r="A7" s="3" t="s">
        <v>391</v>
      </c>
      <c r="B7" s="5" t="n">
        <v>6.5</v>
      </c>
      <c r="C7" s="5" t="n">
        <v>6.5</v>
      </c>
      <c r="D7" s="5" t="n">
        <v>6.6</v>
      </c>
      <c r="E7" s="5" t="n">
        <v>6.6</v>
      </c>
      <c r="F7" s="5" t="n">
        <v>6.6</v>
      </c>
    </row>
    <row r="8" customFormat="false" ht="15" hidden="false" customHeight="false" outlineLevel="0" collapsed="false">
      <c r="A8" s="3" t="s">
        <v>392</v>
      </c>
      <c r="B8" s="5" t="n">
        <v>6</v>
      </c>
      <c r="C8" s="5" t="n">
        <v>6</v>
      </c>
      <c r="D8" s="5" t="n">
        <v>6</v>
      </c>
      <c r="E8" s="5" t="n">
        <v>6</v>
      </c>
      <c r="F8" s="5" t="n">
        <v>6</v>
      </c>
    </row>
    <row r="11" customFormat="false" ht="15" hidden="false" customHeight="false" outlineLevel="0" collapsed="false">
      <c r="A11" s="12" t="s">
        <v>393</v>
      </c>
      <c r="B11" s="12" t="s">
        <v>383</v>
      </c>
      <c r="C11" s="12" t="s">
        <v>384</v>
      </c>
      <c r="D11" s="12" t="s">
        <v>385</v>
      </c>
      <c r="E11" s="12" t="s">
        <v>386</v>
      </c>
      <c r="F11" s="12" t="s">
        <v>387</v>
      </c>
    </row>
    <row r="12" customFormat="false" ht="15" hidden="false" customHeight="false" outlineLevel="0" collapsed="false">
      <c r="A12" s="3" t="s">
        <v>394</v>
      </c>
      <c r="B12" s="5" t="n">
        <v>5.5</v>
      </c>
      <c r="C12" s="5" t="n">
        <v>6</v>
      </c>
      <c r="D12" s="5" t="n">
        <v>6.5</v>
      </c>
      <c r="E12" s="5" t="n">
        <v>7.1</v>
      </c>
      <c r="F12" s="5" t="n">
        <v>7.8</v>
      </c>
    </row>
    <row r="13" customFormat="false" ht="15" hidden="false" customHeight="false" outlineLevel="0" collapsed="false">
      <c r="A13" s="3" t="s">
        <v>395</v>
      </c>
      <c r="B13" s="5" t="n">
        <v>6.4</v>
      </c>
      <c r="C13" s="5" t="n">
        <v>6.9</v>
      </c>
      <c r="D13" s="5" t="n">
        <v>7.5</v>
      </c>
      <c r="E13" s="5" t="n">
        <v>8.2</v>
      </c>
      <c r="F13" s="5" t="n">
        <v>9</v>
      </c>
    </row>
    <row r="14" customFormat="false" ht="15" hidden="false" customHeight="false" outlineLevel="0" collapsed="false">
      <c r="A14" s="3" t="s">
        <v>396</v>
      </c>
      <c r="B14" s="5" t="n">
        <v>7.3</v>
      </c>
      <c r="C14" s="5" t="n">
        <v>7.9</v>
      </c>
      <c r="D14" s="5" t="n">
        <v>8.5</v>
      </c>
      <c r="E14" s="5" t="n">
        <v>9.3</v>
      </c>
      <c r="F14" s="5" t="n">
        <v>10.2</v>
      </c>
    </row>
    <row r="15" customFormat="false" ht="15" hidden="false" customHeight="false" outlineLevel="0" collapsed="false">
      <c r="A15" s="3" t="s">
        <v>397</v>
      </c>
      <c r="B15" s="5" t="n">
        <v>8.2</v>
      </c>
      <c r="C15" s="5" t="n">
        <v>8.8</v>
      </c>
      <c r="D15" s="5" t="n">
        <v>9.6</v>
      </c>
      <c r="E15" s="5" t="n">
        <v>10.4</v>
      </c>
      <c r="F15" s="5" t="n">
        <v>11.3</v>
      </c>
    </row>
    <row r="16" customFormat="false" ht="15" hidden="false" customHeight="false" outlineLevel="0" collapsed="false">
      <c r="A16" s="3" t="s">
        <v>398</v>
      </c>
      <c r="B16" s="5" t="n">
        <v>9.2</v>
      </c>
      <c r="C16" s="5" t="n">
        <v>9.8</v>
      </c>
      <c r="D16" s="5" t="n">
        <v>10.6</v>
      </c>
      <c r="E16" s="5" t="n">
        <v>11.4</v>
      </c>
      <c r="F16" s="5" t="n">
        <v>12.5</v>
      </c>
    </row>
    <row r="19" customFormat="false" ht="15" hidden="false" customHeight="false" outlineLevel="0" collapsed="false">
      <c r="A19" s="32" t="s">
        <v>399</v>
      </c>
    </row>
    <row r="20" customFormat="false" ht="15" hidden="false" customHeight="false" outlineLevel="0" collapsed="false">
      <c r="A20" s="6" t="s">
        <v>400</v>
      </c>
    </row>
    <row r="21" customFormat="false" ht="15" hidden="false" customHeight="false" outlineLevel="0" collapsed="false">
      <c r="A21" s="6"/>
    </row>
    <row r="22" customFormat="false" ht="15" hidden="false" customHeight="false" outlineLevel="0" collapsed="false">
      <c r="A22" s="6" t="s">
        <v>401</v>
      </c>
    </row>
    <row r="23" customFormat="false" ht="15" hidden="false" customHeight="false" outlineLevel="0" collapsed="false">
      <c r="A23" s="6" t="s">
        <v>402</v>
      </c>
    </row>
    <row r="24" customFormat="false" ht="15" hidden="false" customHeight="false" outlineLevel="0" collapsed="false">
      <c r="A24" s="6" t="s">
        <v>403</v>
      </c>
    </row>
    <row r="25" customFormat="false" ht="15" hidden="false" customHeight="false" outlineLevel="0" collapsed="false">
      <c r="A25" s="6" t="s">
        <v>404</v>
      </c>
    </row>
    <row r="26" customFormat="false" ht="15" hidden="false" customHeight="false" outlineLevel="0" collapsed="false">
      <c r="A26" s="6" t="s">
        <v>405</v>
      </c>
    </row>
    <row r="27" customFormat="false" ht="15" hidden="false" customHeight="false" outlineLevel="0" collapsed="false">
      <c r="A27" s="6" t="s">
        <v>406</v>
      </c>
    </row>
    <row r="28" customFormat="false" ht="15" hidden="false" customHeight="false" outlineLevel="0" collapsed="false">
      <c r="A28" s="6" t="s">
        <v>407</v>
      </c>
    </row>
    <row r="29" customFormat="false" ht="15" hidden="false" customHeight="false" outlineLevel="0" collapsed="false">
      <c r="A29" s="6" t="s">
        <v>408</v>
      </c>
    </row>
    <row r="31" customFormat="false" ht="15" hidden="false" customHeight="false" outlineLevel="0" collapsed="false">
      <c r="A31" s="12" t="s">
        <v>409</v>
      </c>
      <c r="B31" s="12" t="s">
        <v>346</v>
      </c>
      <c r="C31" s="12" t="s">
        <v>410</v>
      </c>
      <c r="D31" s="12" t="s">
        <v>411</v>
      </c>
      <c r="E31" s="12" t="s">
        <v>412</v>
      </c>
      <c r="F31" s="12" t="s">
        <v>413</v>
      </c>
      <c r="G31" s="12" t="s">
        <v>414</v>
      </c>
      <c r="H31" s="12" t="s">
        <v>415</v>
      </c>
      <c r="I31" s="12" t="s">
        <v>416</v>
      </c>
    </row>
    <row r="32" customFormat="false" ht="15" hidden="false" customHeight="false" outlineLevel="0" collapsed="false">
      <c r="A32" s="3" t="n">
        <v>2021</v>
      </c>
      <c r="B32" s="7" t="n">
        <v>282</v>
      </c>
      <c r="C32" s="14" t="n">
        <v>0.37</v>
      </c>
      <c r="D32" s="3" t="s">
        <v>417</v>
      </c>
      <c r="E32" s="7" t="n">
        <v>394.9</v>
      </c>
      <c r="F32" s="14"/>
      <c r="G32" s="14"/>
      <c r="H32" s="14"/>
      <c r="I32" s="14"/>
    </row>
    <row r="33" customFormat="false" ht="15" hidden="false" customHeight="false" outlineLevel="0" collapsed="false">
      <c r="A33" s="3" t="n">
        <v>2022</v>
      </c>
      <c r="B33" s="7" t="n">
        <v>331.7</v>
      </c>
      <c r="C33" s="14" t="n">
        <v>0.47</v>
      </c>
      <c r="D33" s="3" t="s">
        <v>417</v>
      </c>
      <c r="E33" s="7" t="n">
        <v>344.2</v>
      </c>
      <c r="F33" s="14" t="n">
        <v>-0.128</v>
      </c>
      <c r="G33" s="14" t="n">
        <v>0.17</v>
      </c>
      <c r="H33" s="14" t="n">
        <v>0.193</v>
      </c>
      <c r="I33" s="14" t="n">
        <v>0.03281</v>
      </c>
    </row>
    <row r="34" customFormat="false" ht="15" hidden="false" customHeight="false" outlineLevel="0" collapsed="false">
      <c r="A34" s="3" t="n">
        <v>2023</v>
      </c>
      <c r="B34" s="7" t="n">
        <v>825.2</v>
      </c>
      <c r="C34" s="14" t="n">
        <v>0.99</v>
      </c>
      <c r="D34" s="3" t="s">
        <v>418</v>
      </c>
      <c r="E34" s="7" t="n">
        <v>503.3</v>
      </c>
      <c r="F34" s="14" t="n">
        <v>0.462</v>
      </c>
      <c r="G34" s="14" t="n">
        <v>0.211</v>
      </c>
      <c r="H34" s="14" t="n">
        <v>1.319</v>
      </c>
      <c r="I34" s="14" t="n">
        <v>0.278309</v>
      </c>
    </row>
    <row r="35" customFormat="false" ht="15" hidden="false" customHeight="false" outlineLevel="0" collapsed="false">
      <c r="A35" s="3" t="n">
        <v>2024</v>
      </c>
      <c r="B35" s="7" t="n">
        <v>2704</v>
      </c>
      <c r="C35" s="14" t="n">
        <v>1.89</v>
      </c>
      <c r="D35" s="3" t="s">
        <v>419</v>
      </c>
      <c r="E35" s="7" t="n">
        <v>901.2</v>
      </c>
      <c r="F35" s="14" t="n">
        <v>0.791</v>
      </c>
      <c r="G35" s="14" t="n">
        <v>0.23</v>
      </c>
      <c r="H35" s="14" t="n">
        <v>2.796</v>
      </c>
      <c r="I35" s="14" t="n">
        <v>0.64308</v>
      </c>
    </row>
    <row r="36" customFormat="false" ht="15" hidden="false" customHeight="false" outlineLevel="0" collapsed="false">
      <c r="A36" s="3" t="n">
        <v>2025</v>
      </c>
      <c r="B36" s="7" t="n">
        <v>2650.5</v>
      </c>
      <c r="C36" s="14" t="n">
        <v>1.5</v>
      </c>
      <c r="D36" s="3" t="s">
        <v>419</v>
      </c>
      <c r="E36" s="7" t="n">
        <v>1162.3</v>
      </c>
      <c r="F36" s="14" t="n">
        <v>0.29</v>
      </c>
      <c r="G36" s="14" t="n">
        <v>0.179</v>
      </c>
      <c r="H36" s="14" t="n">
        <v>2.091</v>
      </c>
      <c r="I36" s="14" t="n">
        <v>0.374289</v>
      </c>
    </row>
    <row r="38" customFormat="false" ht="15" hidden="false" customHeight="false" outlineLevel="0" collapsed="false">
      <c r="A38" s="6" t="s">
        <v>420</v>
      </c>
    </row>
    <row r="39" customFormat="false" ht="15" hidden="false" customHeight="false" outlineLevel="0" collapsed="false">
      <c r="A39" s="6" t="s">
        <v>421</v>
      </c>
    </row>
    <row r="40" customFormat="false" ht="15" hidden="false" customHeight="false" outlineLevel="0" collapsed="false">
      <c r="A40" s="6" t="s">
        <v>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3.5"/>
  </cols>
  <sheetData>
    <row r="1" customFormat="false" ht="16.15" hidden="false" customHeight="false" outlineLevel="0" collapsed="false">
      <c r="A1" s="1" t="s">
        <v>423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4" t="s">
        <v>424</v>
      </c>
    </row>
    <row r="3" customFormat="false" ht="15" hidden="false" customHeight="false" outlineLevel="0" collapsed="false">
      <c r="A3" s="12"/>
      <c r="B3" s="12" t="s">
        <v>230</v>
      </c>
      <c r="C3" s="12" t="s">
        <v>231</v>
      </c>
      <c r="D3" s="12" t="s">
        <v>68</v>
      </c>
      <c r="E3" s="12" t="s">
        <v>69</v>
      </c>
      <c r="F3" s="12" t="s">
        <v>70</v>
      </c>
    </row>
    <row r="4" customFormat="false" ht="15" hidden="false" customHeight="false" outlineLevel="0" collapsed="false">
      <c r="A4" s="3" t="s">
        <v>345</v>
      </c>
      <c r="B4" s="29" t="n">
        <f aca="false">'Income Statement'!C15</f>
        <v>0.499034083068856</v>
      </c>
      <c r="C4" s="29" t="n">
        <f aca="false">'Income Statement'!D15</f>
        <v>0.568442113978198</v>
      </c>
      <c r="D4" s="29" t="n">
        <f aca="false">'Income Statement'!E15</f>
        <v>0.548928200597961</v>
      </c>
      <c r="E4" s="29" t="n">
        <f aca="false">'Income Statement'!F15</f>
        <v>0.984831905107769</v>
      </c>
      <c r="F4" s="29" t="n">
        <f aca="false">'Income Statement'!G15</f>
        <v>1.50691265258897</v>
      </c>
    </row>
    <row r="5" customFormat="false" ht="15" hidden="false" customHeight="false" outlineLevel="0" collapsed="false">
      <c r="A5" s="3" t="s">
        <v>425</v>
      </c>
      <c r="B5" s="25" t="n">
        <f aca="false">'Income Statement'!C4/Assumptions!$B$5</f>
        <v>3.73975438112322</v>
      </c>
      <c r="C5" s="25" t="n">
        <f aca="false">'Income Statement'!D4/Assumptions!$B$5</f>
        <v>4.98640816889748</v>
      </c>
      <c r="D5" s="25" t="n">
        <f aca="false">'Income Statement'!E4/Assumptions!$B$5</f>
        <v>6.38442184922213</v>
      </c>
      <c r="E5" s="25" t="n">
        <f aca="false">'Income Statement'!F4/Assumptions!$B$5</f>
        <v>8.488395082663</v>
      </c>
      <c r="F5" s="25" t="n">
        <f aca="false">'Income Statement'!G4/Assumptions!$B$5</f>
        <v>10.8916379981986</v>
      </c>
    </row>
    <row r="6" customFormat="false" ht="15" hidden="false" customHeight="false" outlineLevel="0" collapsed="false">
      <c r="A6" s="3" t="s">
        <v>426</v>
      </c>
      <c r="B6" s="25" t="n">
        <f aca="false">'Balance Sheet'!C11/Assumptions!$B$5</f>
        <v>2.00055195253208</v>
      </c>
      <c r="C6" s="25" t="n">
        <f aca="false">'Balance Sheet'!D11/Assumptions!$B$5</f>
        <v>2.49917207120188</v>
      </c>
      <c r="D6" s="25" t="n">
        <f aca="false">'Balance Sheet'!E11/Assumptions!$B$5</f>
        <v>2.96013283699923</v>
      </c>
      <c r="E6" s="25" t="n">
        <f aca="false">'Balance Sheet'!F11/Assumptions!$B$5</f>
        <v>3.82767482903952</v>
      </c>
      <c r="F6" s="25" t="n">
        <f aca="false">'Balance Sheet'!G11/Assumptions!$B$5</f>
        <v>5.15865261202727</v>
      </c>
    </row>
    <row r="7" customFormat="false" ht="15" hidden="false" customHeight="false" outlineLevel="0" collapsed="false">
      <c r="A7" s="3" t="s">
        <v>427</v>
      </c>
      <c r="B7" s="8" t="n">
        <f aca="false">'Balance Sheet'!C13-'Balance Sheet'!C8</f>
        <v>1984.5</v>
      </c>
      <c r="C7" s="8" t="n">
        <f aca="false">'Balance Sheet'!D13-'Balance Sheet'!D8</f>
        <v>3155.2</v>
      </c>
      <c r="D7" s="8" t="n">
        <f aca="false">'Balance Sheet'!E13-'Balance Sheet'!E8</f>
        <v>3151.5329510287</v>
      </c>
      <c r="E7" s="8" t="n">
        <f aca="false">'Balance Sheet'!F13-'Balance Sheet'!F8</f>
        <v>2031.14087538566</v>
      </c>
      <c r="F7" s="8" t="n">
        <f aca="false">'Balance Sheet'!G13-'Balance Sheet'!G8</f>
        <v>94.7858782097833</v>
      </c>
    </row>
    <row r="8" customFormat="false" ht="15" hidden="false" customHeight="false" outlineLevel="0" collapsed="false">
      <c r="A8" s="3" t="s">
        <v>428</v>
      </c>
      <c r="B8" s="33" t="n">
        <f aca="false">B7/'Income Statement'!C17</f>
        <v>1.47316457575533</v>
      </c>
      <c r="C8" s="33" t="n">
        <f aca="false">C7/'Income Statement'!D17</f>
        <v>1.83495202093632</v>
      </c>
      <c r="D8" s="33" t="n">
        <f aca="false">D7/'Income Statement'!E17</f>
        <v>1.58406704936311</v>
      </c>
      <c r="E8" s="33" t="n">
        <f aca="false">E7/'Income Statement'!F17</f>
        <v>0.673845169876198</v>
      </c>
      <c r="F8" s="33" t="n">
        <f aca="false">F7/'Income Statement'!G17</f>
        <v>0.0226577253933384</v>
      </c>
    </row>
    <row r="10" customFormat="false" ht="15" hidden="false" customHeight="false" outlineLevel="0" collapsed="false">
      <c r="A10" s="12" t="s">
        <v>429</v>
      </c>
      <c r="B10" s="12" t="s">
        <v>430</v>
      </c>
      <c r="C10" s="12" t="s">
        <v>431</v>
      </c>
      <c r="D10" s="12"/>
      <c r="E10" s="12"/>
      <c r="F10" s="12"/>
    </row>
    <row r="11" customFormat="false" ht="15" hidden="false" customHeight="false" outlineLevel="0" collapsed="false">
      <c r="A11" s="3" t="s">
        <v>432</v>
      </c>
      <c r="B11" s="33" t="n">
        <f aca="false">Assumptions!B4/'Income Statement'!E15</f>
        <v>29.7124468778123</v>
      </c>
      <c r="C11" s="33" t="n">
        <f aca="false">Summary!C8/'Income Statement'!E15</f>
        <v>16.7693299470307</v>
      </c>
    </row>
    <row r="12" customFormat="false" ht="15" hidden="false" customHeight="false" outlineLevel="0" collapsed="false">
      <c r="A12" s="3" t="s">
        <v>433</v>
      </c>
      <c r="B12" s="33" t="n">
        <f aca="false">Assumptions!B4/'Income Statement'!F15</f>
        <v>16.5612018816706</v>
      </c>
      <c r="C12" s="33" t="n">
        <f aca="false">Summary!C8/'Income Statement'!F15</f>
        <v>9.34693328406106</v>
      </c>
    </row>
    <row r="13" customFormat="false" ht="15" hidden="false" customHeight="false" outlineLevel="0" collapsed="false">
      <c r="A13" s="3" t="s">
        <v>434</v>
      </c>
      <c r="B13" s="33" t="n">
        <f aca="false">(Assumptions!B6+Assumptions!B7+Assumptions!B8-Assumptions!B9)/DCF!B5</f>
        <v>13.6907470548285</v>
      </c>
      <c r="C13" s="33" t="n">
        <f aca="false">(Summary!C8*Assumptions!B5+Assumptions!B7+Assumptions!B8-Assumptions!B9)/DCF!B5</f>
        <v>8.51474568794427</v>
      </c>
    </row>
    <row r="14" customFormat="false" ht="15" hidden="false" customHeight="false" outlineLevel="0" collapsed="false">
      <c r="A14" s="3" t="s">
        <v>435</v>
      </c>
      <c r="B14" s="33" t="n">
        <f aca="false">(Assumptions!B6+Assumptions!B7+Assumptions!B8-Assumptions!B9)/DCF!C5</f>
        <v>9.03640136109974</v>
      </c>
      <c r="C14" s="33" t="n">
        <f aca="false">(Summary!C8*Assumptions!B5+Assumptions!B7+Assumptions!B8-Assumptions!B9)/DCF!C5</f>
        <v>5.62004828632207</v>
      </c>
    </row>
    <row r="15" customFormat="false" ht="15" hidden="false" customHeight="false" outlineLevel="0" collapsed="false">
      <c r="A15" s="3" t="s">
        <v>436</v>
      </c>
      <c r="B15" s="34" t="n">
        <f aca="false">(Assumptions!B6+Assumptions!B7+Assumptions!B8-Assumptions!B9)/Assumptions!B55</f>
        <v>30.9522886363636</v>
      </c>
    </row>
    <row r="16" customFormat="false" ht="15" hidden="false" customHeight="false" outlineLevel="0" collapsed="false">
      <c r="A16" s="3" t="s">
        <v>437</v>
      </c>
      <c r="B16" s="34" t="n">
        <f aca="false">(Assumptions!B6+Assumptions!B7+Assumptions!B8-Assumptions!B9)/Assumptions!D55</f>
        <v>20.6348590909091</v>
      </c>
    </row>
    <row r="18" customFormat="false" ht="15" hidden="false" customHeight="false" outlineLevel="0" collapsed="false">
      <c r="A18" s="6" t="s">
        <v>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3.5"/>
  </cols>
  <sheetData>
    <row r="1" customFormat="false" ht="16.15" hidden="false" customHeight="false" outlineLevel="0" collapsed="false">
      <c r="A1" s="1" t="s">
        <v>439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4" t="s">
        <v>440</v>
      </c>
    </row>
    <row r="3" customFormat="false" ht="15" hidden="false" customHeight="false" outlineLevel="0" collapsed="false">
      <c r="A3" s="12" t="s">
        <v>441</v>
      </c>
      <c r="B3" s="12" t="s">
        <v>442</v>
      </c>
      <c r="C3" s="12" t="s">
        <v>443</v>
      </c>
      <c r="D3" s="12" t="s">
        <v>444</v>
      </c>
      <c r="E3" s="12" t="s">
        <v>445</v>
      </c>
      <c r="F3" s="12" t="s">
        <v>446</v>
      </c>
    </row>
    <row r="4" customFormat="false" ht="15" hidden="false" customHeight="false" outlineLevel="0" collapsed="false">
      <c r="A4" s="3" t="s">
        <v>447</v>
      </c>
      <c r="B4" s="3" t="s">
        <v>448</v>
      </c>
      <c r="C4" s="35" t="s">
        <v>449</v>
      </c>
      <c r="D4" s="35" t="s">
        <v>450</v>
      </c>
      <c r="E4" s="35" t="s">
        <v>451</v>
      </c>
      <c r="F4" s="35" t="s">
        <v>452</v>
      </c>
    </row>
    <row r="5" customFormat="false" ht="15" hidden="false" customHeight="false" outlineLevel="0" collapsed="false">
      <c r="A5" s="3" t="s">
        <v>453</v>
      </c>
      <c r="B5" s="3" t="s">
        <v>448</v>
      </c>
      <c r="C5" s="35" t="s">
        <v>454</v>
      </c>
      <c r="D5" s="35" t="s">
        <v>455</v>
      </c>
      <c r="E5" s="35" t="s">
        <v>456</v>
      </c>
      <c r="F5" s="35" t="s">
        <v>457</v>
      </c>
    </row>
    <row r="6" customFormat="false" ht="15" hidden="false" customHeight="false" outlineLevel="0" collapsed="false">
      <c r="A6" s="3" t="s">
        <v>458</v>
      </c>
      <c r="B6" s="3" t="s">
        <v>448</v>
      </c>
      <c r="C6" s="35" t="s">
        <v>459</v>
      </c>
      <c r="D6" s="35" t="s">
        <v>460</v>
      </c>
      <c r="E6" s="35" t="s">
        <v>461</v>
      </c>
      <c r="F6" s="35" t="s">
        <v>462</v>
      </c>
    </row>
    <row r="7" customFormat="false" ht="15" hidden="false" customHeight="false" outlineLevel="0" collapsed="false">
      <c r="A7" s="3" t="s">
        <v>463</v>
      </c>
      <c r="B7" s="3" t="s">
        <v>464</v>
      </c>
      <c r="C7" s="35" t="s">
        <v>465</v>
      </c>
      <c r="D7" s="35" t="s">
        <v>466</v>
      </c>
      <c r="E7" s="35" t="s">
        <v>467</v>
      </c>
      <c r="F7" s="35" t="s">
        <v>468</v>
      </c>
    </row>
    <row r="8" customFormat="false" ht="15" hidden="false" customHeight="false" outlineLevel="0" collapsed="false">
      <c r="A8" s="3" t="s">
        <v>469</v>
      </c>
      <c r="B8" s="3" t="s">
        <v>448</v>
      </c>
      <c r="C8" s="35" t="s">
        <v>470</v>
      </c>
      <c r="D8" s="35" t="s">
        <v>471</v>
      </c>
      <c r="E8" s="35" t="s">
        <v>472</v>
      </c>
      <c r="F8" s="35" t="s">
        <v>473</v>
      </c>
    </row>
    <row r="9" customFormat="false" ht="15" hidden="false" customHeight="false" outlineLevel="0" collapsed="false">
      <c r="A9" s="3" t="s">
        <v>474</v>
      </c>
      <c r="B9" s="3" t="s">
        <v>475</v>
      </c>
      <c r="C9" s="35" t="s">
        <v>476</v>
      </c>
      <c r="D9" s="35" t="s">
        <v>471</v>
      </c>
      <c r="E9" s="35" t="s">
        <v>477</v>
      </c>
      <c r="F9" s="35" t="s">
        <v>478</v>
      </c>
    </row>
    <row r="10" customFormat="false" ht="15" hidden="false" customHeight="false" outlineLevel="0" collapsed="false">
      <c r="A10" s="3" t="s">
        <v>479</v>
      </c>
      <c r="B10" s="3" t="s">
        <v>475</v>
      </c>
      <c r="C10" s="3" t="s">
        <v>480</v>
      </c>
      <c r="D10" s="3" t="s">
        <v>481</v>
      </c>
      <c r="E10" s="3" t="s">
        <v>482</v>
      </c>
      <c r="F10" s="3" t="s">
        <v>483</v>
      </c>
    </row>
    <row r="12" customFormat="false" ht="15" hidden="false" customHeight="false" outlineLevel="0" collapsed="false">
      <c r="A12" s="6" t="s">
        <v>484</v>
      </c>
    </row>
    <row r="13" customFormat="false" ht="15" hidden="false" customHeight="false" outlineLevel="0" collapsed="false">
      <c r="A13" s="6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2026-07-13T14:11:47Z</dcterms:created>
  <dc:creator>openpyxl</dc:creator>
  <dc:description/>
  <dc:language>en-US</dc:language>
  <cp:lastModifiedBy/>
  <dcterms:modified xsi:type="dcterms:W3CDTF">2026-07-13T14:11:47Z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