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Reserves-NAV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<sst xmlns="http://schemas.openxmlformats.org/spreadsheetml/2006/main" count="334" uniqueCount="272">
  <si>
    <t xml:space="preserve">Testahil · Independent Valuation Study — Educational Analysis · Not investment advice</t>
  </si>
  <si>
    <t xml:space="preserve">Saudi Aramco (TADAWUL: 2222) — companion model.</t>
  </si>
  <si>
    <t xml:space="preserve">Educational valuation exercise; NOT investment advice, NOT a recommendation, NOT personalised. The preparer is not</t>
  </si>
  <si>
    <t xml:space="preserve">licensed by any securities regulator. All values are model outputs shown as ranges/distributions.</t>
  </si>
  <si>
    <t xml:space="preserve">Wiring: every downstream cell links to the Assumptions sheet (the single blue-cell input layer). Change one blue</t>
  </si>
  <si>
    <t xml:space="preserve">input — the oil-linked revenue growth, an EBIT margin, the WACC, the required yield, a reserve mark — and the whole</t>
  </si>
  <si>
    <t xml:space="preserve">integrated model (3-year actual + 5-year forecast IS/BS/CF, the 5-year FCFF DCF, and the five-lens synthesis)</t>
  </si>
  <si>
    <t xml:space="preserve">reprices. Blue = input; black = formula; green = link from another sheet.</t>
  </si>
  <si>
    <t xml:space="preserve">Reporting currency SAR; financials in USD millions as Aramco reports, converted at the 3.75 peg. Company figures are</t>
  </si>
  <si>
    <t xml:space="preserve">Aramco FY2023–FY2025 disclosure; forward inputs are the preparer's judgments and are flagged. Spot as of 1 Jul 2026.</t>
  </si>
  <si>
    <t xml:space="preserve">Primary lens: explicit 5-year FCFF DCF, cross-checked by a dividend-yield model, relative multiples, a reserves-NAV</t>
  </si>
  <si>
    <t xml:space="preserve">and through-cycle earnings power.</t>
  </si>
  <si>
    <t xml:space="preserve">Summary — Saudi Aramco (TADAWUL: 2222) · Independent Valuation Study</t>
  </si>
  <si>
    <t xml:space="preserve">Spot price (SAR)</t>
  </si>
  <si>
    <t xml:space="preserve">Weighted central estimate (SAR)</t>
  </si>
  <si>
    <t xml:space="preserve">vs spot</t>
  </si>
  <si>
    <t xml:space="preserve">DCF (FCFF, 5-yr) — primary (SAR)</t>
  </si>
  <si>
    <t xml:space="preserve">Dividend-yield support (SAR)</t>
  </si>
  <si>
    <t xml:space="preserve">Relative multiples (SAR)</t>
  </si>
  <si>
    <t xml:space="preserve">Reserves-NAV / SOTP (SAR)</t>
  </si>
  <si>
    <t xml:space="preserve">Normalized earnings (SAR)</t>
  </si>
  <si>
    <t xml:space="preserve">Fwd dividend yield</t>
  </si>
  <si>
    <t xml:space="preserve">MC median T+60 (SAR)</t>
  </si>
  <si>
    <t xml:space="preserve">MC P5–P95 T+60 (SAR)</t>
  </si>
  <si>
    <t xml:space="preserve">21.99 – 30.35</t>
  </si>
  <si>
    <t xml:space="preserve">Fundamental valuation — five lenses, weighted synthesis</t>
  </si>
  <si>
    <t xml:space="preserve">Dividend-yield support model</t>
  </si>
  <si>
    <t xml:space="preserve">Fwd base dividend / share (SAR)</t>
  </si>
  <si>
    <t xml:space="preserve">Required dividend yield</t>
  </si>
  <si>
    <t xml:space="preserve">Value per share (SAR) = div / yield</t>
  </si>
  <si>
    <t xml:space="preserve">Five-lens synthesis</t>
  </si>
  <si>
    <t xml:space="preserve">Lens</t>
  </si>
  <si>
    <t xml:space="preserve">Fair value (SAR)</t>
  </si>
  <si>
    <t xml:space="preserve">Weight</t>
  </si>
  <si>
    <t xml:space="preserve">Contribution</t>
  </si>
  <si>
    <t xml:space="preserve">DCF (FCFF) — primary</t>
  </si>
  <si>
    <t xml:space="preserve">Dividend-yield support</t>
  </si>
  <si>
    <t xml:space="preserve">Relative multiples</t>
  </si>
  <si>
    <t xml:space="preserve">Reserves-NAV / SOTP</t>
  </si>
  <si>
    <t xml:space="preserve">Normalized earnings power</t>
  </si>
  <si>
    <t xml:space="preserve">ASSUMPTIONS — the single input layer (blue = input, black/green = formula/link)</t>
  </si>
  <si>
    <t xml:space="preserve">ANCHORS</t>
  </si>
  <si>
    <t xml:space="preserve">TADAWUL close 01-Jul-2026 (attached OHLC)</t>
  </si>
  <si>
    <t xml:space="preserve">Shares outstanding (m)</t>
  </si>
  <si>
    <t xml:space="preserve">Aramco FY2025 financials: 242bn shares</t>
  </si>
  <si>
    <t xml:space="preserve">USD/SAR peg</t>
  </si>
  <si>
    <t xml:space="preserve">SAMA peg</t>
  </si>
  <si>
    <t xml:space="preserve">Consolidated net debt ($m)</t>
  </si>
  <si>
    <t xml:space="preserve">gearing 3.8% Dec-25 → ~$18bn</t>
  </si>
  <si>
    <t xml:space="preserve">WACC</t>
  </si>
  <si>
    <t xml:space="preserve">sovereign-adjusted; low leverage</t>
  </si>
  <si>
    <t xml:space="preserve">Terminal growth</t>
  </si>
  <si>
    <t xml:space="preserve">mature; small volume/gas offset</t>
  </si>
  <si>
    <t xml:space="preserve">Effective tax &amp; govt take</t>
  </si>
  <si>
    <t xml:space="preserve">EBIT→NI bridge FY25 (royalty in COGS; income tax+zakat)</t>
  </si>
  <si>
    <t xml:space="preserve">RESERVES-NAV / SOTP (primary asset lens)</t>
  </si>
  <si>
    <t xml:space="preserve">Proved reserves (bn boe)</t>
  </si>
  <si>
    <t xml:space="preserve">Aramco investor overview end-2025</t>
  </si>
  <si>
    <t xml:space="preserve">Net value per boe ($)</t>
  </si>
  <si>
    <t xml:space="preserve">after royalty/tax/concession haircut</t>
  </si>
  <si>
    <t xml:space="preserve">Downstream &amp; chemicals EV ($m)</t>
  </si>
  <si>
    <t xml:space="preserve">refining+chemicals franchise</t>
  </si>
  <si>
    <t xml:space="preserve">RELATIVE &amp; NORMALIZED</t>
  </si>
  <si>
    <t xml:space="preserve">Normalized EBITDA ($m)</t>
  </si>
  <si>
    <t xml:space="preserve">~EBIT 199 + D&amp;A 35 at mid-cycle</t>
  </si>
  <si>
    <t xml:space="preserve">Fair EV/EBITDA (x)</t>
  </si>
  <si>
    <t xml:space="preserve">premium to majors ~5x, below Aramco 7.3x</t>
  </si>
  <si>
    <t xml:space="preserve">Mid-cycle net income ($m)</t>
  </si>
  <si>
    <t xml:space="preserve">through-cycle at ~$72 oil</t>
  </si>
  <si>
    <t xml:space="preserve">Justified P/E (x)</t>
  </si>
  <si>
    <t xml:space="preserve">premium to majors, discount to peak</t>
  </si>
  <si>
    <t xml:space="preserve">DIVIDEND-YIELD SUPPORT</t>
  </si>
  <si>
    <t xml:space="preserve">base run-rate $87.56bn (Q4-25 base ×4)</t>
  </si>
  <si>
    <t xml:space="preserve">Aramco's own 5.0-5.3% band</t>
  </si>
  <si>
    <t xml:space="preserve">SYNTHESIS WEIGHTS (sum = 100%)</t>
  </si>
  <si>
    <t xml:space="preserve">w DCF</t>
  </si>
  <si>
    <t xml:space="preserve">w Dividend-yield</t>
  </si>
  <si>
    <t xml:space="preserve">w Relative</t>
  </si>
  <si>
    <t xml:space="preserve">w Reserves-NAV</t>
  </si>
  <si>
    <t xml:space="preserve">w Normalized</t>
  </si>
  <si>
    <t xml:space="preserve">WORKING CAPITAL (% of revenue)</t>
  </si>
  <si>
    <t xml:space="preserve">Inventory %</t>
  </si>
  <si>
    <t xml:space="preserve">Receivables %</t>
  </si>
  <si>
    <t xml:space="preserve">Payables %</t>
  </si>
  <si>
    <t xml:space="preserve">MONTE CARLO</t>
  </si>
  <si>
    <t xml:space="preserve">Diffusion vol (annualized)</t>
  </si>
  <si>
    <t xml:space="preserve">trailing 252-day</t>
  </si>
  <si>
    <t xml:space="preserve">Net 3-month drift</t>
  </si>
  <si>
    <t xml:space="preserve">7 continuous factors</t>
  </si>
  <si>
    <t xml:space="preserve">KVOL (calibration multiplier)</t>
  </si>
  <si>
    <t xml:space="preserve">Step 0: passes at 1.00, no fudge</t>
  </si>
  <si>
    <t xml:space="preserve">FORECAST DRIVERS (FY26E–FY30E)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</si>
  <si>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</si>
  <si>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</si>
  <si>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</si>
  <si>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</si>
  <si>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</si>
  <si>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Revenue growth</t>
  </si>
  <si>
    <t xml:space="preserve">EBIT margin</t>
  </si>
  <si>
    <t xml:space="preserve">D&amp;A (% of revenue)</t>
  </si>
  <si>
    <t xml:space="preserve">Finance cost ($m)</t>
  </si>
  <si>
    <t xml:space="preserve">Other income ($m)</t>
  </si>
  <si>
    <t xml:space="preserve">Capex ($m)</t>
  </si>
  <si>
    <t xml:space="preserve">Dividend ($m)</t>
  </si>
  <si>
    <t xml:space="preserve">Debt drawdown ($m, +=issue)</t>
  </si>
  <si>
    <t xml:space="preserve">Dividend runs above free cash flow at soft oil; the gap is funded by debt drawdown — the model shows gearing drift, the study's crux.</t>
  </si>
  <si>
    <t xml:space="preserve">Reserves-based NAV / SOTP — asset cross-check</t>
  </si>
  <si>
    <t xml:space="preserve">Upstream NAV ($m)</t>
  </si>
  <si>
    <t xml:space="preserve">Gross asset value ($m)</t>
  </si>
  <si>
    <t xml:space="preserve">Less net debt ($m)</t>
  </si>
  <si>
    <t xml:space="preserve">Equity NAV ($m)</t>
  </si>
  <si>
    <t xml:space="preserve">Equity NAV (SAR m)</t>
  </si>
  <si>
    <t xml:space="preserve">NAV per share (SAR)</t>
  </si>
  <si>
    <t xml:space="preserve">Reserves marked conservatively for the concession/royalty/income-tax take; the equity claim is encumbered.</t>
  </si>
  <si>
    <t xml:space="preserve">Segment &amp; operating scorecard (FY2025)</t>
  </si>
  <si>
    <t xml:space="preserve">Segment</t>
  </si>
  <si>
    <t xml:space="preserve">Character</t>
  </si>
  <si>
    <t xml:space="preserve">Read</t>
  </si>
  <si>
    <t xml:space="preserve">Upstream</t>
  </si>
  <si>
    <t xml:space="preserve">~9 mmbd crude under OPEC+; MSC ~12 mmbd; ~$3.75 lifting</t>
  </si>
  <si>
    <t xml:space="preserve">Cash engine; lowest-cost barrel</t>
  </si>
  <si>
    <t xml:space="preserve">Downstream</t>
  </si>
  <si>
    <t xml:space="preserve">Refining, marketing, trading; integrated</t>
  </si>
  <si>
    <t xml:space="preserve">Scale + integration; margin-cyclical</t>
  </si>
  <si>
    <t xml:space="preserve">Chemicals</t>
  </si>
  <si>
    <t xml:space="preserve">SABIC-anchored; feedstock advantage</t>
  </si>
  <si>
    <t xml:space="preserve">Growth optionality; margin pressure</t>
  </si>
  <si>
    <t xml:space="preserve">Gas / new energies</t>
  </si>
  <si>
    <t xml:space="preserve">Jafurah, Tanajib; +~80% sales gas by 2030</t>
  </si>
  <si>
    <t xml:space="preserve">Volume-growth leg; long-dated</t>
  </si>
  <si>
    <t xml:space="preserve">Reserves</t>
  </si>
  <si>
    <t xml:space="preserve">247.2bn boe hydrocarbon base</t>
  </si>
  <si>
    <t xml:space="preserve">Multi-decade; concession-encumbered</t>
  </si>
  <si>
    <t xml:space="preserve">Relative multiples &amp; through-cycle normalized earnings</t>
  </si>
  <si>
    <t xml:space="preserve">A · Relative multiples</t>
  </si>
  <si>
    <t xml:space="preserve">Implied EV ($m)</t>
  </si>
  <si>
    <t xml:space="preserve">Equity value ($m)</t>
  </si>
  <si>
    <t xml:space="preserve">Value per share (SAR)</t>
  </si>
  <si>
    <t xml:space="preserve">B · Through-cycle normalized earnings</t>
  </si>
  <si>
    <t xml:space="preserve">Normalized EPS (SAR)</t>
  </si>
  <si>
    <t xml:space="preserve">Discounted cash flow — explicit 5-year FCFF (primary lens)</t>
  </si>
  <si>
    <t xml:space="preserve">NOPAT + D&amp;A − capex − ΔWC, discounted at WACC. Links to Income Statement / Balance Sheet / Assumptions.</t>
  </si>
  <si>
    <t xml:space="preserve">($m)</t>
  </si>
  <si>
    <t xml:space="preserve">EBIT</t>
  </si>
  <si>
    <t xml:space="preserve">NOPAT = EBIT×(1−tax)</t>
  </si>
  <si>
    <t xml:space="preserve">+ D&amp;A</t>
  </si>
  <si>
    <t xml:space="preserve">− Capex</t>
  </si>
  <si>
    <t xml:space="preserve">− Increase in net WC</t>
  </si>
  <si>
    <t xml:space="preserve">FCFF</t>
  </si>
  <si>
    <t xml:space="preserve">Discount factor</t>
  </si>
  <si>
    <t xml:space="preserve">PV of FCFF</t>
  </si>
  <si>
    <t xml:space="preserve">Σ PV of explicit FCFF (FY26–30)</t>
  </si>
  <si>
    <t xml:space="preserve">Terminal value (Gordon)</t>
  </si>
  <si>
    <t xml:space="preserve">PV of terminal value</t>
  </si>
  <si>
    <t xml:space="preserve">Enterprise value</t>
  </si>
  <si>
    <t xml:space="preserve">less: consolidated net debt</t>
  </si>
  <si>
    <t xml:space="preserve">Equity value</t>
  </si>
  <si>
    <t xml:space="preserve">Equity value (SAR m)</t>
  </si>
  <si>
    <t xml:space="preserve">Fair value per share (SAR)</t>
  </si>
  <si>
    <t xml:space="preserve">% terminal of EV</t>
  </si>
  <si>
    <t xml:space="preserve">A full 5-year FCFF build off the integrated statements — not a perpetuity shortcut. WACC and terminal growth are the swing inputs (§1.9).</t>
  </si>
  <si>
    <t xml:space="preserve">Income statement ($m, consolidated)</t>
  </si>
  <si>
    <t xml:space="preserve">FY23–FY25 disclosed (blue); FY26E–FY30E forecast (formulas linking to Assumptions). Source: Aramco FY press releases 2023–2025.</t>
  </si>
  <si>
    <t xml:space="preserve">FY23</t>
  </si>
  <si>
    <t xml:space="preserve">FY24</t>
  </si>
  <si>
    <t xml:space="preserve">FY25</t>
  </si>
  <si>
    <t xml:space="preserve">Total revenue &amp; other income</t>
  </si>
  <si>
    <t xml:space="preserve">D&amp;A</t>
  </si>
  <si>
    <t xml:space="preserve">EBITDA</t>
  </si>
  <si>
    <t xml:space="preserve">EBITDA margin</t>
  </si>
  <si>
    <t xml:space="preserve">Finance cost</t>
  </si>
  <si>
    <t xml:space="preserve">Other income</t>
  </si>
  <si>
    <t xml:space="preserve">PBT</t>
  </si>
  <si>
    <t xml:space="preserve">Tax &amp; government take</t>
  </si>
  <si>
    <t xml:space="preserve">PAT (net income)</t>
  </si>
  <si>
    <t xml:space="preserve">Single revenue line with a blended EBIT margin; Aramco does not disclose clean segment revenue. Forecast revenue growth tracks the oil deck (§1.9).</t>
  </si>
  <si>
    <t xml:space="preserve">Balance sheet ($m, consolidated)</t>
  </si>
  <si>
    <t xml:space="preserve">Historical anchored to disclosed/estimated equity, borrowings, cash; PP&amp;E plugs to balance. Forecast rolls forward.</t>
  </si>
  <si>
    <t xml:space="preserve">PP&amp;E + intangibles (plug/roll)</t>
  </si>
  <si>
    <t xml:space="preserve">Inventory</t>
  </si>
  <si>
    <t xml:space="preserve">Receivables</t>
  </si>
  <si>
    <t xml:space="preserve">Cash &amp; equivalents</t>
  </si>
  <si>
    <t xml:space="preserve">Current investments</t>
  </si>
  <si>
    <t xml:space="preserve">Other assets</t>
  </si>
  <si>
    <t xml:space="preserve">Total assets</t>
  </si>
  <si>
    <t xml:space="preserve">Equity</t>
  </si>
  <si>
    <t xml:space="preserve">Borrowings</t>
  </si>
  <si>
    <t xml:space="preserve">Provisions</t>
  </si>
  <si>
    <t xml:space="preserve">Payables</t>
  </si>
  <si>
    <t xml:space="preserve">Other liabilities</t>
  </si>
  <si>
    <t xml:space="preserve">Total liabilities &amp; equity</t>
  </si>
  <si>
    <t xml:space="preserve">Balance check (assets − L&amp;E)</t>
  </si>
  <si>
    <t xml:space="preserve">Net debt</t>
  </si>
  <si>
    <t xml:space="preserve">PP&amp;E is the historical balancing plug (TMPV convention); the FY26E–FY30E balance-check row is identically zero by construction.</t>
  </si>
  <si>
    <t xml:space="preserve">Cash flow ($m, forecast) — derived from IS &amp; BS; closing cash ties to the Balance Sheet</t>
  </si>
  <si>
    <t xml:space="preserve">PAT</t>
  </si>
  <si>
    <t xml:space="preserve">− Increase in net working capital</t>
  </si>
  <si>
    <t xml:space="preserve">Operating cash flow</t>
  </si>
  <si>
    <t xml:space="preserve">Free cash flow</t>
  </si>
  <si>
    <t xml:space="preserve">− Dividend</t>
  </si>
  <si>
    <t xml:space="preserve">+ Debt drawdown</t>
  </si>
  <si>
    <t xml:space="preserve">Net change in cash</t>
  </si>
  <si>
    <t xml:space="preserve">Opening cash</t>
  </si>
  <si>
    <t xml:space="preserve">Closing cash</t>
  </si>
  <si>
    <t xml:space="preserve">FCF = OCF − capex. At the deck, the dividend exceeds FCF in the early years; debt drawdown funds the gap and closing cash ties to the Balance Sheet.</t>
  </si>
  <si>
    <t xml:space="preserve">Summary financials — every cell links to the statement sheets</t>
  </si>
  <si>
    <t xml:space="preserve">($m unless noted)</t>
  </si>
  <si>
    <t xml:space="preserve">Revenue</t>
  </si>
  <si>
    <t xml:space="preserve">Net income (PAT)</t>
  </si>
  <si>
    <t xml:space="preserve">Free cash flow (forecast)</t>
  </si>
  <si>
    <t xml:space="preserve">Monte Carlo — 16 factors (7C+9 discrete), 50,000 paths, seed 42 (outputs from engine)</t>
  </si>
  <si>
    <t xml:space="preserve">Spot (SAR)</t>
  </si>
  <si>
    <t xml:space="preserve">Realized vol (1Y)</t>
  </si>
  <si>
    <t xml:space="preserve">Net continuous drift 3M</t>
  </si>
  <si>
    <t xml:space="preserve">Sim path vol (with events)</t>
  </si>
  <si>
    <t xml:space="preserve">Percentile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</si>
  <si>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</si>
  <si>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</si>
  <si>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</si>
  <si>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</si>
  <si>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</si>
  <si>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</t>
  </si>
  <si>
    <t xml:space="preserve">T+60</t>
  </si>
  <si>
    <t xml:space="preserve">T+60 touch probabilities</t>
  </si>
  <si>
    <t xml:space="preserve">P(touch SAR 23 by T+60)</t>
  </si>
  <si>
    <t xml:space="preserve">P(touch SAR 24 by T+60)</t>
  </si>
  <si>
    <t xml:space="preserve">P(touch SAR 25 by T+60)</t>
  </si>
  <si>
    <t xml:space="preserve">P(touch SAR 27 by T+60)</t>
  </si>
  <si>
    <t xml:space="preserve">P(touch SAR 28 by T+60)</t>
  </si>
  <si>
    <t xml:space="preserve">P(touch SAR 29 by T+60)</t>
  </si>
  <si>
    <t xml:space="preserve">Paths diffuse from spot; the §1 value gap is kept OUT of the drift — fundamental and probabilistic lenses stay independent.</t>
  </si>
  <si>
    <t xml:space="preserve">Sensitivity — DCF fair value per share (SAR): terminal growth × WACC</t>
  </si>
  <si>
    <t xml:space="preserve">WACC ↓ / term g →</t>
  </si>
  <si>
    <t xml:space="preserve">0.5%</t>
  </si>
  <si>
    <t xml:space="preserve">1.0%</t>
  </si>
  <si>
    <t xml:space="preserve">1.5%</t>
  </si>
  <si>
    <t xml:space="preserve">2.0%</t>
  </si>
  <si>
    <t xml:space="preserve">2.5%</t>
  </si>
  <si>
    <t xml:space="preserve">6.00%</t>
  </si>
  <si>
    <t xml:space="preserve">6.50%</t>
  </si>
  <si>
    <t xml:space="preserve">6.75%</t>
  </si>
  <si>
    <t xml:space="preserve">7.00%</t>
  </si>
  <si>
    <t xml:space="preserve">7.50%</t>
  </si>
  <si>
    <t xml:space="preserve">Holds the explicit-period PV fixed and flexes the terminal value; the DCF sheet is the base. Spot SAR 26.24 for reference.</t>
  </si>
  <si>
    <t xml:space="preserve">Per-share &amp; ratio dashboard (links to Assumptions &amp; statements)</t>
  </si>
  <si>
    <t xml:space="preserve">Shares (m)</t>
  </si>
  <si>
    <t xml:space="preserve">Market cap (SAR m)</t>
  </si>
  <si>
    <t xml:space="preserve">Market cap ($m)</t>
  </si>
  <si>
    <t xml:space="preserve">EV ($m)</t>
  </si>
  <si>
    <t xml:space="preserve">EPS FY25 (SAR)</t>
  </si>
  <si>
    <t xml:space="preserve">P/E FY25 (x)</t>
  </si>
  <si>
    <t xml:space="preserve">EV/EBITDA FY25 (x)</t>
  </si>
  <si>
    <t xml:space="preserve">Fwd base div/share (SAR)</t>
  </si>
  <si>
    <t xml:space="preserve">Dividend / FY25 FCF (payout)</t>
  </si>
  <si>
    <t xml:space="preserve">Gearing FY25</t>
  </si>
  <si>
    <t xml:space="preserve">Peer set &amp; sector context (international majors &amp; NOC comparators)</t>
  </si>
  <si>
    <t xml:space="preserve">Company</t>
  </si>
  <si>
    <t xml:space="preserve">EV/EBITDA (x)</t>
  </si>
  <si>
    <t xml:space="preserve">P/E (x)</t>
  </si>
  <si>
    <t xml:space="preserve">Div yield</t>
  </si>
  <si>
    <t xml:space="preserve">Note</t>
  </si>
  <si>
    <t xml:space="preserve">Saudi Aramco (2222)</t>
  </si>
  <si>
    <t xml:space="preserve">lowest-cost; sovereign; premium multiple</t>
  </si>
  <si>
    <t xml:space="preserve">ExxonMobil (XOM)</t>
  </si>
  <si>
    <t xml:space="preserve">integrated major</t>
  </si>
  <si>
    <t xml:space="preserve">Chevron (CVX)</t>
  </si>
  <si>
    <t xml:space="preserve">Shell (SHEL)</t>
  </si>
  <si>
    <t xml:space="preserve">integrated + LNG</t>
  </si>
  <si>
    <t xml:space="preserve">TotalEnergies (TTE)</t>
  </si>
  <si>
    <t xml:space="preserve">integrated + power</t>
  </si>
  <si>
    <t xml:space="preserve">PetroChina (857)</t>
  </si>
  <si>
    <t xml:space="preserve">NOC comparator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</si>
</sst>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0.0%"/>
    <numFmt numFmtId="167" formatCode="#,##0"/>
    <numFmt numFmtId="168" formatCode="0.00"/>
    <numFmt numFmtId="169" formatCode="\$#,##0;&quot;($&quot;#,##0\);\-"/>
    <numFmt numFmtId="170" formatCode="#,##0.0"/>
    <numFmt numFmtId="171" formatCode="0.0\x"/>
    <numFmt numFmtId="172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B5E5E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5E5E"/>
        <bgColor rgb="FF008080"/>
      </patternFill>
    </fill>
    <fill>
      <patternFill patternType="solid">
        <fgColor rgb="FFEA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71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5E5E"/>
      <rgbColor rgb="FFC0C0C0"/>
      <rgbColor rgb="FF808080"/>
      <rgbColor rgb="FF9999FF"/>
      <rgbColor rgb="FF993366"/>
      <rgbColor rgb="FFFFFFCC"/>
      <rgbColor rgb="FFEA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  <col collapsed="false" customWidth="true" hidden="false" outlineLevel="0" max="10" min="2" style="1" width="13"/>
  </cols>
  <sheetData>
    <row r="1" customFormat="false" ht="21.75" hidden="false" customHeight="tru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4"/>
    </row>
    <row r="8" customFormat="false" ht="15" hidden="false" customHeight="false" outlineLevel="0" collapsed="false">
      <c r="A8" s="4" t="s">
        <v>4</v>
      </c>
    </row>
    <row r="9" customFormat="false" ht="15" hidden="false" customHeight="false" outlineLevel="0" collapsed="false">
      <c r="A9" s="4" t="s">
        <v>5</v>
      </c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4" t="s">
        <v>8</v>
      </c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4" t="s">
        <v>10</v>
      </c>
    </row>
    <row r="17" customFormat="false" ht="15" hidden="false" customHeight="false" outlineLevel="0" collapsed="false">
      <c r="A17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3"/>
  </cols>
  <sheetData>
    <row r="1" customFormat="false" ht="21.75" hidden="false" customHeight="true" outlineLevel="0" collapsed="false">
      <c r="A1" s="5" t="s">
        <v>12</v>
      </c>
      <c r="B1" s="5"/>
      <c r="C1" s="5"/>
      <c r="D1" s="5"/>
    </row>
    <row r="3" customFormat="false" ht="15" hidden="false" customHeight="false" outlineLevel="0" collapsed="false">
      <c r="A3" s="3" t="s">
        <v>13</v>
      </c>
      <c r="B3" s="6" t="n">
        <f aca="false">Assumptions!$B$4</f>
        <v>26.24</v>
      </c>
    </row>
    <row r="4" customFormat="false" ht="15" hidden="false" customHeight="false" outlineLevel="0" collapsed="false">
      <c r="A4" s="3" t="s">
        <v>14</v>
      </c>
      <c r="B4" s="6" t="n">
        <f aca="false">'Fundamental Valuation'!$B$15</f>
        <v>25.0357733091247</v>
      </c>
    </row>
    <row r="5" customFormat="false" ht="15" hidden="false" customHeight="false" outlineLevel="0" collapsed="false">
      <c r="A5" s="4" t="s">
        <v>15</v>
      </c>
      <c r="B5" s="7" t="n">
        <f aca="false">'Fundamental Valuation'!$B$15/Assumptions!$B$4-1</f>
        <v>-0.045892785475429</v>
      </c>
    </row>
    <row r="6" customFormat="false" ht="15" hidden="false" customHeight="false" outlineLevel="0" collapsed="false">
      <c r="A6" s="4" t="s">
        <v>16</v>
      </c>
      <c r="B6" s="6" t="n">
        <f aca="false">DCF!$B$20</f>
        <v>23.4677358343997</v>
      </c>
    </row>
    <row r="7" customFormat="false" ht="15" hidden="false" customHeight="false" outlineLevel="0" collapsed="false">
      <c r="A7" s="4" t="s">
        <v>17</v>
      </c>
      <c r="B7" s="6" t="n">
        <f aca="false">'Fundamental Valuation'!$B$6</f>
        <v>26.0926573426573</v>
      </c>
    </row>
    <row r="8" customFormat="false" ht="15" hidden="false" customHeight="false" outlineLevel="0" collapsed="false">
      <c r="A8" s="4" t="s">
        <v>18</v>
      </c>
      <c r="B8" s="6" t="n">
        <f aca="false">'Relative &amp; Normalized'!$B$9</f>
        <v>21.4757231404959</v>
      </c>
    </row>
    <row r="9" customFormat="false" ht="15" hidden="false" customHeight="false" outlineLevel="0" collapsed="false">
      <c r="A9" s="4" t="s">
        <v>19</v>
      </c>
      <c r="B9" s="6" t="n">
        <f aca="false">'Reserves-NAV'!$B$12</f>
        <v>29.6327479338843</v>
      </c>
    </row>
    <row r="10" customFormat="false" ht="15" hidden="false" customHeight="false" outlineLevel="0" collapsed="false">
      <c r="A10" s="4" t="s">
        <v>20</v>
      </c>
      <c r="B10" s="6" t="n">
        <f aca="false">'Relative &amp; Normalized'!$B$16</f>
        <v>23.2438016528926</v>
      </c>
    </row>
    <row r="11" customFormat="false" ht="15" hidden="false" customHeight="false" outlineLevel="0" collapsed="false">
      <c r="A11" s="4" t="s">
        <v>21</v>
      </c>
      <c r="B11" s="7" t="n">
        <f aca="false">Assumptions!$B$21/Assumptions!$B$4</f>
        <v>0.0517080099778271</v>
      </c>
    </row>
    <row r="12" customFormat="false" ht="15" hidden="false" customHeight="false" outlineLevel="0" collapsed="false">
      <c r="A12" s="4" t="s">
        <v>22</v>
      </c>
      <c r="B12" s="8" t="n">
        <v>26.12</v>
      </c>
    </row>
    <row r="13" customFormat="false" ht="15" hidden="false" customHeight="false" outlineLevel="0" collapsed="false">
      <c r="A13" s="4" t="s">
        <v>23</v>
      </c>
      <c r="B13" s="9" t="s">
        <v>24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3"/>
  </cols>
  <sheetData>
    <row r="1" customFormat="false" ht="21.75" hidden="false" customHeight="true" outlineLevel="0" collapsed="false">
      <c r="A1" s="5" t="s">
        <v>25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10" t="s">
        <v>26</v>
      </c>
      <c r="B3" s="10"/>
      <c r="C3" s="10"/>
      <c r="D3" s="10"/>
      <c r="E3" s="10"/>
    </row>
    <row r="4" customFormat="false" ht="15" hidden="false" customHeight="false" outlineLevel="0" collapsed="false">
      <c r="A4" s="4" t="s">
        <v>27</v>
      </c>
      <c r="B4" s="6" t="n">
        <f aca="false">Assumptions!$B$21</f>
        <v>1.35681818181818</v>
      </c>
    </row>
    <row r="5" customFormat="false" ht="15" hidden="false" customHeight="false" outlineLevel="0" collapsed="false">
      <c r="A5" s="4" t="s">
        <v>28</v>
      </c>
      <c r="B5" s="11" t="n">
        <f aca="false">Assumptions!$B$22</f>
        <v>0.052</v>
      </c>
    </row>
    <row r="6" customFormat="false" ht="15" hidden="false" customHeight="false" outlineLevel="0" collapsed="false">
      <c r="A6" s="3" t="s">
        <v>29</v>
      </c>
      <c r="B6" s="12" t="n">
        <f aca="false">B4/B5</f>
        <v>26.0926573426573</v>
      </c>
    </row>
    <row r="8" customFormat="false" ht="15" hidden="false" customHeight="false" outlineLevel="0" collapsed="false">
      <c r="A8" s="10" t="s">
        <v>30</v>
      </c>
      <c r="B8" s="10"/>
      <c r="C8" s="10"/>
      <c r="D8" s="10"/>
      <c r="E8" s="10"/>
    </row>
    <row r="9" customFormat="false" ht="15" hidden="false" customHeight="false" outlineLevel="0" collapsed="false">
      <c r="A9" s="3" t="s">
        <v>31</v>
      </c>
      <c r="B9" s="3" t="s">
        <v>32</v>
      </c>
      <c r="C9" s="3" t="s">
        <v>15</v>
      </c>
      <c r="D9" s="3" t="s">
        <v>33</v>
      </c>
      <c r="E9" s="3" t="s">
        <v>34</v>
      </c>
    </row>
    <row r="10" customFormat="false" ht="15" hidden="false" customHeight="false" outlineLevel="0" collapsed="false">
      <c r="A10" s="4" t="s">
        <v>35</v>
      </c>
      <c r="B10" s="6" t="n">
        <f aca="false">DCF!$B$20</f>
        <v>23.4677358343997</v>
      </c>
      <c r="C10" s="7" t="n">
        <f aca="false">B10/Assumptions!$B$4-1</f>
        <v>-0.105650311189035</v>
      </c>
      <c r="D10" s="11" t="n">
        <f aca="false">Assumptions!$B$24</f>
        <v>0.3</v>
      </c>
      <c r="E10" s="12" t="n">
        <f aca="false">B10*D10</f>
        <v>7.04032075031991</v>
      </c>
    </row>
    <row r="11" customFormat="false" ht="15" hidden="false" customHeight="false" outlineLevel="0" collapsed="false">
      <c r="A11" s="4" t="s">
        <v>36</v>
      </c>
      <c r="B11" s="6" t="n">
        <f aca="false">'Fundamental Valuation'!$B$6</f>
        <v>26.0926573426573</v>
      </c>
      <c r="C11" s="7" t="n">
        <f aca="false">B11/Assumptions!$B$4-1</f>
        <v>-0.00561519273409494</v>
      </c>
      <c r="D11" s="11" t="n">
        <f aca="false">Assumptions!$B$25</f>
        <v>0.25</v>
      </c>
      <c r="E11" s="12" t="n">
        <f aca="false">B11*D11</f>
        <v>6.52316433566434</v>
      </c>
    </row>
    <row r="12" customFormat="false" ht="15" hidden="false" customHeight="false" outlineLevel="0" collapsed="false">
      <c r="A12" s="4" t="s">
        <v>37</v>
      </c>
      <c r="B12" s="6" t="n">
        <f aca="false">'Relative &amp; Normalized'!$B$9</f>
        <v>21.4757231404959</v>
      </c>
      <c r="C12" s="7" t="n">
        <f aca="false">B12/Assumptions!$B$4-1</f>
        <v>-0.181565429096956</v>
      </c>
      <c r="D12" s="11" t="n">
        <f aca="false">Assumptions!$B$26</f>
        <v>0.15</v>
      </c>
      <c r="E12" s="12" t="n">
        <f aca="false">B12*D12</f>
        <v>3.22135847107438</v>
      </c>
    </row>
    <row r="13" customFormat="false" ht="15" hidden="false" customHeight="false" outlineLevel="0" collapsed="false">
      <c r="A13" s="4" t="s">
        <v>38</v>
      </c>
      <c r="B13" s="6" t="n">
        <f aca="false">'Reserves-NAV'!$B$12</f>
        <v>29.6327479338843</v>
      </c>
      <c r="C13" s="7" t="n">
        <f aca="false">B13/Assumptions!$B$4-1</f>
        <v>0.129296796260834</v>
      </c>
      <c r="D13" s="11" t="n">
        <f aca="false">Assumptions!$B$27</f>
        <v>0.2</v>
      </c>
      <c r="E13" s="12" t="n">
        <f aca="false">B13*D13</f>
        <v>5.92654958677686</v>
      </c>
    </row>
    <row r="14" customFormat="false" ht="15" hidden="false" customHeight="false" outlineLevel="0" collapsed="false">
      <c r="A14" s="4" t="s">
        <v>39</v>
      </c>
      <c r="B14" s="6" t="n">
        <f aca="false">'Relative &amp; Normalized'!$B$16</f>
        <v>23.2438016528926</v>
      </c>
      <c r="C14" s="7" t="n">
        <f aca="false">B14/Assumptions!$B$4-1</f>
        <v>-0.11418438822818</v>
      </c>
      <c r="D14" s="11" t="n">
        <f aca="false">Assumptions!$B$28</f>
        <v>0.1</v>
      </c>
      <c r="E14" s="12" t="n">
        <f aca="false">B14*D14</f>
        <v>2.32438016528926</v>
      </c>
    </row>
    <row r="15" customFormat="false" ht="15" hidden="false" customHeight="false" outlineLevel="0" collapsed="false">
      <c r="A15" s="3" t="s">
        <v>14</v>
      </c>
      <c r="B15" s="12" t="n">
        <f aca="false">SUM(E10:E14)</f>
        <v>25.0357733091247</v>
      </c>
      <c r="C15" s="7" t="n">
        <f aca="false">B15/Assumptions!$B$4-1</f>
        <v>-0.045892785475429</v>
      </c>
    </row>
  </sheetData>
  <mergeCells count="3">
    <mergeCell ref="A1:I1"/>
    <mergeCell ref="A3:E3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3"/>
  </cols>
  <sheetData>
    <row r="1" customFormat="false" ht="21.75" hidden="false" customHeight="true" outlineLevel="0" collapsed="false">
      <c r="A1" s="5" t="s">
        <v>40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10" t="s">
        <v>41</v>
      </c>
      <c r="B3" s="10"/>
      <c r="C3" s="10"/>
      <c r="D3" s="10"/>
      <c r="E3" s="10"/>
      <c r="F3" s="10"/>
      <c r="G3" s="10"/>
      <c r="H3" s="10"/>
      <c r="I3" s="10"/>
    </row>
    <row r="4" customFormat="false" ht="15" hidden="false" customHeight="false" outlineLevel="0" collapsed="false">
      <c r="A4" s="4" t="s">
        <v>13</v>
      </c>
      <c r="B4" s="8" t="n">
        <v>26.24</v>
      </c>
      <c r="C4" s="13" t="s">
        <v>42</v>
      </c>
    </row>
    <row r="5" customFormat="false" ht="15" hidden="false" customHeight="false" outlineLevel="0" collapsed="false">
      <c r="A5" s="4" t="s">
        <v>43</v>
      </c>
      <c r="B5" s="14" t="n">
        <v>242000</v>
      </c>
      <c r="C5" s="13" t="s">
        <v>44</v>
      </c>
    </row>
    <row r="6" customFormat="false" ht="15" hidden="false" customHeight="false" outlineLevel="0" collapsed="false">
      <c r="A6" s="4" t="s">
        <v>45</v>
      </c>
      <c r="B6" s="15" t="n">
        <v>3.75</v>
      </c>
      <c r="C6" s="13" t="s">
        <v>46</v>
      </c>
    </row>
    <row r="7" customFormat="false" ht="15" hidden="false" customHeight="false" outlineLevel="0" collapsed="false">
      <c r="A7" s="4" t="s">
        <v>47</v>
      </c>
      <c r="B7" s="16" t="n">
        <v>18100</v>
      </c>
      <c r="C7" s="13" t="s">
        <v>48</v>
      </c>
    </row>
    <row r="8" customFormat="false" ht="15" hidden="false" customHeight="false" outlineLevel="0" collapsed="false">
      <c r="A8" s="4" t="s">
        <v>49</v>
      </c>
      <c r="B8" s="17" t="n">
        <v>0.0675</v>
      </c>
      <c r="C8" s="13" t="s">
        <v>50</v>
      </c>
    </row>
    <row r="9" customFormat="false" ht="15" hidden="false" customHeight="false" outlineLevel="0" collapsed="false">
      <c r="A9" s="4" t="s">
        <v>51</v>
      </c>
      <c r="B9" s="17" t="n">
        <v>0.015</v>
      </c>
      <c r="C9" s="13" t="s">
        <v>52</v>
      </c>
    </row>
    <row r="10" customFormat="false" ht="15" hidden="false" customHeight="false" outlineLevel="0" collapsed="false">
      <c r="A10" s="4" t="s">
        <v>53</v>
      </c>
      <c r="B10" s="17" t="n">
        <v>0.52</v>
      </c>
      <c r="C10" s="13" t="s">
        <v>54</v>
      </c>
    </row>
    <row r="11" customFormat="false" ht="15" hidden="false" customHeight="false" outlineLevel="0" collapsed="false">
      <c r="A11" s="10" t="s">
        <v>55</v>
      </c>
      <c r="B11" s="10"/>
      <c r="C11" s="10"/>
      <c r="D11" s="10"/>
      <c r="E11" s="10"/>
      <c r="F11" s="10"/>
      <c r="G11" s="10"/>
      <c r="H11" s="10"/>
      <c r="I11" s="10"/>
    </row>
    <row r="12" customFormat="false" ht="15" hidden="false" customHeight="false" outlineLevel="0" collapsed="false">
      <c r="A12" s="4" t="s">
        <v>56</v>
      </c>
      <c r="B12" s="18" t="n">
        <v>247.2</v>
      </c>
      <c r="C12" s="13" t="s">
        <v>57</v>
      </c>
    </row>
    <row r="13" customFormat="false" ht="15" hidden="false" customHeight="false" outlineLevel="0" collapsed="false">
      <c r="A13" s="4" t="s">
        <v>58</v>
      </c>
      <c r="B13" s="18" t="n">
        <v>7</v>
      </c>
      <c r="C13" s="13" t="s">
        <v>59</v>
      </c>
    </row>
    <row r="14" customFormat="false" ht="15" hidden="false" customHeight="false" outlineLevel="0" collapsed="false">
      <c r="A14" s="4" t="s">
        <v>60</v>
      </c>
      <c r="B14" s="16" t="n">
        <v>200000</v>
      </c>
      <c r="C14" s="13" t="s">
        <v>61</v>
      </c>
    </row>
    <row r="15" customFormat="false" ht="15" hidden="false" customHeight="false" outlineLevel="0" collapsed="false">
      <c r="A15" s="10" t="s">
        <v>62</v>
      </c>
      <c r="B15" s="10"/>
      <c r="C15" s="10"/>
      <c r="D15" s="10"/>
      <c r="E15" s="10"/>
      <c r="F15" s="10"/>
      <c r="G15" s="10"/>
      <c r="H15" s="10"/>
      <c r="I15" s="10"/>
    </row>
    <row r="16" customFormat="false" ht="15" hidden="false" customHeight="false" outlineLevel="0" collapsed="false">
      <c r="A16" s="4" t="s">
        <v>63</v>
      </c>
      <c r="B16" s="16" t="n">
        <v>234000</v>
      </c>
      <c r="C16" s="13" t="s">
        <v>64</v>
      </c>
    </row>
    <row r="17" customFormat="false" ht="15" hidden="false" customHeight="false" outlineLevel="0" collapsed="false">
      <c r="A17" s="4" t="s">
        <v>65</v>
      </c>
      <c r="B17" s="19" t="n">
        <v>6</v>
      </c>
      <c r="C17" s="13" t="s">
        <v>66</v>
      </c>
    </row>
    <row r="18" customFormat="false" ht="15" hidden="false" customHeight="false" outlineLevel="0" collapsed="false">
      <c r="A18" s="4" t="s">
        <v>67</v>
      </c>
      <c r="B18" s="16" t="n">
        <v>100000</v>
      </c>
      <c r="C18" s="13" t="s">
        <v>68</v>
      </c>
    </row>
    <row r="19" customFormat="false" ht="15" hidden="false" customHeight="false" outlineLevel="0" collapsed="false">
      <c r="A19" s="4" t="s">
        <v>69</v>
      </c>
      <c r="B19" s="19" t="n">
        <v>15</v>
      </c>
      <c r="C19" s="13" t="s">
        <v>70</v>
      </c>
    </row>
    <row r="20" customFormat="false" ht="15" hidden="false" customHeight="false" outlineLevel="0" collapsed="false">
      <c r="A20" s="10" t="s">
        <v>71</v>
      </c>
      <c r="B20" s="10"/>
      <c r="C20" s="10"/>
      <c r="D20" s="10"/>
      <c r="E20" s="10"/>
      <c r="F20" s="10"/>
      <c r="G20" s="10"/>
      <c r="H20" s="10"/>
      <c r="I20" s="10"/>
    </row>
    <row r="21" customFormat="false" ht="15" hidden="false" customHeight="false" outlineLevel="0" collapsed="false">
      <c r="A21" s="4" t="s">
        <v>27</v>
      </c>
      <c r="B21" s="12" t="n">
        <f aca="false">87560/Assumptions!$B$5*Assumptions!$B$6</f>
        <v>1.35681818181818</v>
      </c>
      <c r="C21" s="13" t="s">
        <v>72</v>
      </c>
    </row>
    <row r="22" customFormat="false" ht="15" hidden="false" customHeight="false" outlineLevel="0" collapsed="false">
      <c r="A22" s="4" t="s">
        <v>28</v>
      </c>
      <c r="B22" s="17" t="n">
        <v>0.052</v>
      </c>
      <c r="C22" s="13" t="s">
        <v>73</v>
      </c>
    </row>
    <row r="23" customFormat="false" ht="15" hidden="false" customHeight="false" outlineLevel="0" collapsed="false">
      <c r="A23" s="10" t="s">
        <v>74</v>
      </c>
      <c r="B23" s="10"/>
      <c r="C23" s="10"/>
      <c r="D23" s="10"/>
      <c r="E23" s="10"/>
      <c r="F23" s="10"/>
      <c r="G23" s="10"/>
      <c r="H23" s="10"/>
      <c r="I23" s="10"/>
    </row>
    <row r="24" customFormat="false" ht="15" hidden="false" customHeight="false" outlineLevel="0" collapsed="false">
      <c r="A24" s="4" t="s">
        <v>75</v>
      </c>
      <c r="B24" s="17" t="n">
        <v>0.3</v>
      </c>
    </row>
    <row r="25" customFormat="false" ht="15" hidden="false" customHeight="false" outlineLevel="0" collapsed="false">
      <c r="A25" s="4" t="s">
        <v>76</v>
      </c>
      <c r="B25" s="17" t="n">
        <v>0.25</v>
      </c>
    </row>
    <row r="26" customFormat="false" ht="15" hidden="false" customHeight="false" outlineLevel="0" collapsed="false">
      <c r="A26" s="4" t="s">
        <v>77</v>
      </c>
      <c r="B26" s="17" t="n">
        <v>0.15</v>
      </c>
    </row>
    <row r="27" customFormat="false" ht="15" hidden="false" customHeight="false" outlineLevel="0" collapsed="false">
      <c r="A27" s="4" t="s">
        <v>78</v>
      </c>
      <c r="B27" s="17" t="n">
        <v>0.2</v>
      </c>
    </row>
    <row r="28" customFormat="false" ht="15" hidden="false" customHeight="false" outlineLevel="0" collapsed="false">
      <c r="A28" s="4" t="s">
        <v>79</v>
      </c>
      <c r="B28" s="17" t="n">
        <v>0.1</v>
      </c>
    </row>
    <row r="29" customFormat="false" ht="15" hidden="false" customHeight="false" outlineLevel="0" collapsed="false">
      <c r="A29" s="10" t="s">
        <v>80</v>
      </c>
      <c r="B29" s="10"/>
      <c r="C29" s="10"/>
      <c r="D29" s="10"/>
      <c r="E29" s="10"/>
      <c r="F29" s="10"/>
      <c r="G29" s="10"/>
      <c r="H29" s="10"/>
      <c r="I29" s="10"/>
    </row>
    <row r="30" customFormat="false" ht="15" hidden="false" customHeight="false" outlineLevel="0" collapsed="false">
      <c r="A30" s="4" t="s">
        <v>81</v>
      </c>
      <c r="B30" s="17" t="n">
        <v>0.055</v>
      </c>
    </row>
    <row r="31" customFormat="false" ht="15" hidden="false" customHeight="false" outlineLevel="0" collapsed="false">
      <c r="A31" s="4" t="s">
        <v>82</v>
      </c>
      <c r="B31" s="17" t="n">
        <v>0.09</v>
      </c>
    </row>
    <row r="32" customFormat="false" ht="15" hidden="false" customHeight="false" outlineLevel="0" collapsed="false">
      <c r="A32" s="4" t="s">
        <v>83</v>
      </c>
      <c r="B32" s="17" t="n">
        <v>0.11</v>
      </c>
    </row>
    <row r="33" customFormat="false" ht="15" hidden="false" customHeight="false" outlineLevel="0" collapsed="false">
      <c r="A33" s="10" t="s">
        <v>84</v>
      </c>
      <c r="B33" s="10"/>
      <c r="C33" s="10"/>
      <c r="D33" s="10"/>
      <c r="E33" s="10"/>
      <c r="F33" s="10"/>
      <c r="G33" s="10"/>
      <c r="H33" s="10"/>
      <c r="I33" s="10"/>
    </row>
    <row r="34" customFormat="false" ht="15" hidden="false" customHeight="false" outlineLevel="0" collapsed="false">
      <c r="A34" s="4" t="s">
        <v>85</v>
      </c>
      <c r="B34" s="20" t="n">
        <v>0.1512</v>
      </c>
      <c r="C34" s="13" t="s">
        <v>86</v>
      </c>
    </row>
    <row r="35" customFormat="false" ht="15" hidden="false" customHeight="false" outlineLevel="0" collapsed="false">
      <c r="A35" s="4" t="s">
        <v>87</v>
      </c>
      <c r="B35" s="20" t="n">
        <v>0.006</v>
      </c>
      <c r="C35" s="13" t="s">
        <v>88</v>
      </c>
    </row>
    <row r="36" customFormat="false" ht="15" hidden="false" customHeight="false" outlineLevel="0" collapsed="false">
      <c r="A36" s="4" t="s">
        <v>89</v>
      </c>
      <c r="B36" s="15" t="n">
        <v>1</v>
      </c>
      <c r="C36" s="13" t="s">
        <v>90</v>
      </c>
    </row>
    <row r="37" customFormat="false" ht="15" hidden="false" customHeight="false" outlineLevel="0" collapsed="false">
      <c r="A37" s="10" t="s">
        <v>91</v>
      </c>
      <c r="B37" s="10"/>
      <c r="C37" s="10"/>
      <c r="D37" s="10"/>
      <c r="E37" s="10"/>
      <c r="F37" s="10"/>
      <c r="G37" s="10"/>
      <c r="H37" s="10"/>
      <c r="I37" s="10"/>
    </row>
    <row r="38" customFormat="false" ht="15" hidden="false" customHeight="false" outlineLevel="0" collapsed="false">
      <c r="A38" s="4"/>
      <c r="B38" s="3" t="s">
        <v>92</v>
      </c>
      <c r="C38" s="3" t="s">
        <v>93</v>
      </c>
      <c r="D38" s="3" t="s">
        <v>94</v>
      </c>
      <c r="E38" s="3" t="s">
        <v>95</v>
      </c>
      <c r="F38" s="3" t="s">
        <v>96</v>
      </c>
    </row>
    <row r="39" customFormat="false" ht="15" hidden="false" customHeight="false" outlineLevel="0" collapsed="false">
      <c r="A39" s="4" t="s">
        <v>97</v>
      </c>
      <c r="B39" s="17" t="n">
        <v>0.01</v>
      </c>
      <c r="C39" s="17" t="n">
        <v>0.03</v>
      </c>
      <c r="D39" s="17" t="n">
        <v>0.02</v>
      </c>
      <c r="E39" s="17" t="n">
        <v>0.01</v>
      </c>
      <c r="F39" s="17" t="n">
        <v>0</v>
      </c>
    </row>
    <row r="40" customFormat="false" ht="15" hidden="false" customHeight="false" outlineLevel="0" collapsed="false">
      <c r="A40" s="4" t="s">
        <v>98</v>
      </c>
      <c r="B40" s="17" t="n">
        <v>0.445</v>
      </c>
      <c r="C40" s="17" t="n">
        <v>0.45</v>
      </c>
      <c r="D40" s="17" t="n">
        <v>0.45</v>
      </c>
      <c r="E40" s="17" t="n">
        <v>0.445</v>
      </c>
      <c r="F40" s="17" t="n">
        <v>0.445</v>
      </c>
    </row>
    <row r="41" customFormat="false" ht="15" hidden="false" customHeight="false" outlineLevel="0" collapsed="false">
      <c r="A41" s="4" t="s">
        <v>99</v>
      </c>
      <c r="B41" s="17" t="n">
        <v>0.078</v>
      </c>
      <c r="C41" s="17" t="n">
        <v>0.077</v>
      </c>
      <c r="D41" s="17" t="n">
        <v>0.076</v>
      </c>
      <c r="E41" s="17" t="n">
        <v>0.075</v>
      </c>
      <c r="F41" s="17" t="n">
        <v>0.074</v>
      </c>
    </row>
    <row r="42" customFormat="false" ht="15" hidden="false" customHeight="false" outlineLevel="0" collapsed="false">
      <c r="A42" s="4" t="s">
        <v>100</v>
      </c>
      <c r="B42" s="16" t="n">
        <v>5000</v>
      </c>
      <c r="C42" s="16" t="n">
        <v>4800</v>
      </c>
      <c r="D42" s="16" t="n">
        <v>4600</v>
      </c>
      <c r="E42" s="16" t="n">
        <v>4400</v>
      </c>
      <c r="F42" s="16" t="n">
        <v>4200</v>
      </c>
    </row>
    <row r="43" customFormat="false" ht="15" hidden="false" customHeight="false" outlineLevel="0" collapsed="false">
      <c r="A43" s="4" t="s">
        <v>101</v>
      </c>
      <c r="B43" s="16" t="n">
        <v>3000</v>
      </c>
      <c r="C43" s="16" t="n">
        <v>3000</v>
      </c>
      <c r="D43" s="16" t="n">
        <v>3000</v>
      </c>
      <c r="E43" s="16" t="n">
        <v>3000</v>
      </c>
      <c r="F43" s="16" t="n">
        <v>3000</v>
      </c>
    </row>
    <row r="44" customFormat="false" ht="15" hidden="false" customHeight="false" outlineLevel="0" collapsed="false">
      <c r="A44" s="4" t="s">
        <v>102</v>
      </c>
      <c r="B44" s="16" t="n">
        <v>53000</v>
      </c>
      <c r="C44" s="16" t="n">
        <v>54000</v>
      </c>
      <c r="D44" s="16" t="n">
        <v>53000</v>
      </c>
      <c r="E44" s="16" t="n">
        <v>52000</v>
      </c>
      <c r="F44" s="16" t="n">
        <v>52000</v>
      </c>
    </row>
    <row r="45" customFormat="false" ht="15" hidden="false" customHeight="false" outlineLevel="0" collapsed="false">
      <c r="A45" s="4" t="s">
        <v>103</v>
      </c>
      <c r="B45" s="16" t="n">
        <v>87600</v>
      </c>
      <c r="C45" s="16" t="n">
        <v>91000</v>
      </c>
      <c r="D45" s="16" t="n">
        <v>95000</v>
      </c>
      <c r="E45" s="16" t="n">
        <v>99000</v>
      </c>
      <c r="F45" s="16" t="n">
        <v>103000</v>
      </c>
    </row>
    <row r="46" customFormat="false" ht="15" hidden="false" customHeight="false" outlineLevel="0" collapsed="false">
      <c r="A46" s="4" t="s">
        <v>104</v>
      </c>
      <c r="B46" s="16" t="n">
        <v>10000</v>
      </c>
      <c r="C46" s="16" t="n">
        <v>10000</v>
      </c>
      <c r="D46" s="16" t="n">
        <v>10000</v>
      </c>
      <c r="E46" s="16" t="n">
        <v>11000</v>
      </c>
      <c r="F46" s="16" t="n">
        <v>12000</v>
      </c>
    </row>
    <row r="47" customFormat="false" ht="15" hidden="false" customHeight="false" outlineLevel="0" collapsed="false">
      <c r="A47" s="21" t="s">
        <v>105</v>
      </c>
      <c r="B47" s="21"/>
      <c r="C47" s="21"/>
      <c r="D47" s="21"/>
      <c r="E47" s="21"/>
      <c r="F47" s="21"/>
      <c r="G47" s="21"/>
      <c r="H47" s="21"/>
      <c r="I47" s="21"/>
    </row>
  </sheetData>
  <mergeCells count="10">
    <mergeCell ref="A1:I1"/>
    <mergeCell ref="A3:I3"/>
    <mergeCell ref="A11:I11"/>
    <mergeCell ref="A15:I15"/>
    <mergeCell ref="A20:I20"/>
    <mergeCell ref="A23:I23"/>
    <mergeCell ref="A29:I29"/>
    <mergeCell ref="A33:I33"/>
    <mergeCell ref="A37:I37"/>
    <mergeCell ref="A47:I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3"/>
  </cols>
  <sheetData>
    <row r="1" customFormat="false" ht="21.75" hidden="false" customHeight="true" outlineLevel="0" collapsed="false">
      <c r="A1" s="5" t="s">
        <v>106</v>
      </c>
      <c r="B1" s="5"/>
      <c r="C1" s="5"/>
      <c r="D1" s="5"/>
      <c r="E1" s="5"/>
      <c r="F1" s="5"/>
      <c r="G1" s="5"/>
      <c r="H1" s="5"/>
      <c r="I1" s="5"/>
    </row>
    <row r="4" customFormat="false" ht="15" hidden="false" customHeight="false" outlineLevel="0" collapsed="false">
      <c r="A4" s="4" t="s">
        <v>56</v>
      </c>
      <c r="B4" s="22" t="n">
        <f aca="false">Assumptions!$B$12</f>
        <v>247.2</v>
      </c>
    </row>
    <row r="5" customFormat="false" ht="15" hidden="false" customHeight="false" outlineLevel="0" collapsed="false">
      <c r="A5" s="4" t="s">
        <v>58</v>
      </c>
      <c r="B5" s="22" t="n">
        <f aca="false">Assumptions!$B$13</f>
        <v>7</v>
      </c>
    </row>
    <row r="6" customFormat="false" ht="15" hidden="false" customHeight="false" outlineLevel="0" collapsed="false">
      <c r="A6" s="4" t="s">
        <v>107</v>
      </c>
      <c r="B6" s="23" t="n">
        <f aca="false">B4*B5*1000</f>
        <v>1730400</v>
      </c>
    </row>
    <row r="7" customFormat="false" ht="15" hidden="false" customHeight="false" outlineLevel="0" collapsed="false">
      <c r="A7" s="4" t="s">
        <v>60</v>
      </c>
      <c r="B7" s="24" t="n">
        <f aca="false">Assumptions!$B$14</f>
        <v>200000</v>
      </c>
    </row>
    <row r="8" customFormat="false" ht="15" hidden="false" customHeight="false" outlineLevel="0" collapsed="false">
      <c r="A8" s="25" t="s">
        <v>108</v>
      </c>
      <c r="B8" s="23" t="n">
        <f aca="false">B6+B7</f>
        <v>1930400</v>
      </c>
    </row>
    <row r="9" customFormat="false" ht="15" hidden="false" customHeight="false" outlineLevel="0" collapsed="false">
      <c r="A9" s="4" t="s">
        <v>109</v>
      </c>
      <c r="B9" s="24" t="n">
        <f aca="false">-Assumptions!$B$7</f>
        <v>-18100</v>
      </c>
    </row>
    <row r="10" customFormat="false" ht="15" hidden="false" customHeight="false" outlineLevel="0" collapsed="false">
      <c r="A10" s="4" t="s">
        <v>110</v>
      </c>
      <c r="B10" s="23" t="n">
        <f aca="false">B8+B9</f>
        <v>1912300</v>
      </c>
    </row>
    <row r="11" customFormat="false" ht="15" hidden="false" customHeight="false" outlineLevel="0" collapsed="false">
      <c r="A11" s="4" t="s">
        <v>111</v>
      </c>
      <c r="B11" s="26" t="n">
        <f aca="false">B10*Assumptions!$B$6</f>
        <v>7171125</v>
      </c>
    </row>
    <row r="12" customFormat="false" ht="15" hidden="false" customHeight="false" outlineLevel="0" collapsed="false">
      <c r="A12" s="3" t="s">
        <v>112</v>
      </c>
      <c r="B12" s="12" t="n">
        <f aca="false">B11/Assumptions!$B$5</f>
        <v>29.6327479338843</v>
      </c>
    </row>
    <row r="13" customFormat="false" ht="15" hidden="false" customHeight="false" outlineLevel="0" collapsed="false">
      <c r="A13" s="4" t="s">
        <v>15</v>
      </c>
      <c r="B13" s="7" t="n">
        <f aca="false">B12/Assumptions!$B$4-1</f>
        <v>0.129296796260834</v>
      </c>
    </row>
    <row r="14" customFormat="false" ht="15" hidden="false" customHeight="false" outlineLevel="0" collapsed="false">
      <c r="A14" s="21" t="s">
        <v>113</v>
      </c>
      <c r="B14" s="21"/>
      <c r="C14" s="21"/>
      <c r="D14" s="21"/>
    </row>
  </sheetData>
  <mergeCells count="2">
    <mergeCell ref="A1:I1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0"/>
    <col collapsed="false" customWidth="true" hidden="false" outlineLevel="0" max="3" min="3" style="1" width="40"/>
    <col collapsed="false" customWidth="true" hidden="false" outlineLevel="0" max="10" min="4" style="1" width="13"/>
  </cols>
  <sheetData>
    <row r="1" customFormat="false" ht="21.75" hidden="false" customHeight="true" outlineLevel="0" collapsed="false">
      <c r="A1" s="5" t="s">
        <v>114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3" t="s">
        <v>115</v>
      </c>
      <c r="B3" s="3" t="s">
        <v>116</v>
      </c>
      <c r="C3" s="3" t="s">
        <v>117</v>
      </c>
    </row>
    <row r="4" customFormat="false" ht="23.85" hidden="false" customHeight="false" outlineLevel="0" collapsed="false">
      <c r="A4" s="4" t="s">
        <v>118</v>
      </c>
      <c r="B4" s="27" t="s">
        <v>119</v>
      </c>
      <c r="C4" s="27" t="s">
        <v>120</v>
      </c>
    </row>
    <row r="5" customFormat="false" ht="15" hidden="false" customHeight="false" outlineLevel="0" collapsed="false">
      <c r="A5" s="4" t="s">
        <v>121</v>
      </c>
      <c r="B5" s="27" t="s">
        <v>122</v>
      </c>
      <c r="C5" s="27" t="s">
        <v>123</v>
      </c>
    </row>
    <row r="6" customFormat="false" ht="15" hidden="false" customHeight="false" outlineLevel="0" collapsed="false">
      <c r="A6" s="4" t="s">
        <v>124</v>
      </c>
      <c r="B6" s="27" t="s">
        <v>125</v>
      </c>
      <c r="C6" s="27" t="s">
        <v>126</v>
      </c>
    </row>
    <row r="7" customFormat="false" ht="15" hidden="false" customHeight="false" outlineLevel="0" collapsed="false">
      <c r="A7" s="4" t="s">
        <v>127</v>
      </c>
      <c r="B7" s="27" t="s">
        <v>128</v>
      </c>
      <c r="C7" s="27" t="s">
        <v>129</v>
      </c>
    </row>
    <row r="8" customFormat="false" ht="15" hidden="false" customHeight="false" outlineLevel="0" collapsed="false">
      <c r="A8" s="4" t="s">
        <v>130</v>
      </c>
      <c r="B8" s="27" t="s">
        <v>131</v>
      </c>
      <c r="C8" s="27" t="s">
        <v>132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3"/>
  </cols>
  <sheetData>
    <row r="1" customFormat="false" ht="21.75" hidden="false" customHeight="true" outlineLevel="0" collapsed="false">
      <c r="A1" s="5" t="s">
        <v>133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10" t="s">
        <v>134</v>
      </c>
      <c r="B3" s="10"/>
      <c r="C3" s="10"/>
      <c r="D3" s="10"/>
    </row>
    <row r="4" customFormat="false" ht="15" hidden="false" customHeight="false" outlineLevel="0" collapsed="false">
      <c r="A4" s="4" t="s">
        <v>63</v>
      </c>
      <c r="B4" s="24" t="n">
        <f aca="false">Assumptions!$B$16</f>
        <v>234000</v>
      </c>
    </row>
    <row r="5" customFormat="false" ht="15" hidden="false" customHeight="false" outlineLevel="0" collapsed="false">
      <c r="A5" s="4" t="s">
        <v>65</v>
      </c>
      <c r="B5" s="28" t="n">
        <f aca="false">Assumptions!$B$17</f>
        <v>6</v>
      </c>
    </row>
    <row r="6" customFormat="false" ht="15" hidden="false" customHeight="false" outlineLevel="0" collapsed="false">
      <c r="A6" s="4" t="s">
        <v>135</v>
      </c>
      <c r="B6" s="23" t="n">
        <f aca="false">B4*B5</f>
        <v>1404000</v>
      </c>
    </row>
    <row r="7" customFormat="false" ht="15" hidden="false" customHeight="false" outlineLevel="0" collapsed="false">
      <c r="A7" s="4" t="s">
        <v>109</v>
      </c>
      <c r="B7" s="24" t="n">
        <f aca="false">-Assumptions!$B$7</f>
        <v>-18100</v>
      </c>
    </row>
    <row r="8" customFormat="false" ht="15" hidden="false" customHeight="false" outlineLevel="0" collapsed="false">
      <c r="A8" s="4" t="s">
        <v>136</v>
      </c>
      <c r="B8" s="23" t="n">
        <f aca="false">B6+B7</f>
        <v>1385900</v>
      </c>
    </row>
    <row r="9" customFormat="false" ht="15" hidden="false" customHeight="false" outlineLevel="0" collapsed="false">
      <c r="A9" s="3" t="s">
        <v>137</v>
      </c>
      <c r="B9" s="12" t="n">
        <f aca="false">B8*Assumptions!$B$6/Assumptions!$B$5</f>
        <v>21.4757231404959</v>
      </c>
    </row>
    <row r="10" customFormat="false" ht="15" hidden="false" customHeight="false" outlineLevel="0" collapsed="false">
      <c r="A10" s="4" t="s">
        <v>15</v>
      </c>
      <c r="B10" s="7" t="n">
        <f aca="false">B9/Assumptions!$B$4-1</f>
        <v>-0.181565429096956</v>
      </c>
    </row>
    <row r="12" customFormat="false" ht="15" hidden="false" customHeight="false" outlineLevel="0" collapsed="false">
      <c r="A12" s="10" t="s">
        <v>138</v>
      </c>
      <c r="B12" s="10"/>
      <c r="C12" s="10"/>
      <c r="D12" s="10"/>
    </row>
    <row r="13" customFormat="false" ht="15" hidden="false" customHeight="false" outlineLevel="0" collapsed="false">
      <c r="A13" s="4" t="s">
        <v>67</v>
      </c>
      <c r="B13" s="24" t="n">
        <f aca="false">Assumptions!$B$18</f>
        <v>100000</v>
      </c>
    </row>
    <row r="14" customFormat="false" ht="15" hidden="false" customHeight="false" outlineLevel="0" collapsed="false">
      <c r="A14" s="4" t="s">
        <v>139</v>
      </c>
      <c r="B14" s="12" t="n">
        <f aca="false">B13*Assumptions!$B$6/Assumptions!$B$5</f>
        <v>1.5495867768595</v>
      </c>
    </row>
    <row r="15" customFormat="false" ht="15" hidden="false" customHeight="false" outlineLevel="0" collapsed="false">
      <c r="A15" s="4" t="s">
        <v>69</v>
      </c>
      <c r="B15" s="28" t="n">
        <f aca="false">Assumptions!$B$19</f>
        <v>15</v>
      </c>
    </row>
    <row r="16" customFormat="false" ht="15" hidden="false" customHeight="false" outlineLevel="0" collapsed="false">
      <c r="A16" s="3" t="s">
        <v>137</v>
      </c>
      <c r="B16" s="12" t="n">
        <f aca="false">B14*B15</f>
        <v>23.2438016528926</v>
      </c>
    </row>
    <row r="17" customFormat="false" ht="15" hidden="false" customHeight="false" outlineLevel="0" collapsed="false">
      <c r="A17" s="4" t="s">
        <v>15</v>
      </c>
      <c r="B17" s="7" t="n">
        <f aca="false">B16/Assumptions!$B$4-1</f>
        <v>-0.11418438822818</v>
      </c>
    </row>
  </sheetData>
  <mergeCells count="3">
    <mergeCell ref="A1:I1"/>
    <mergeCell ref="A3:D3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3"/>
  </cols>
  <sheetData>
    <row r="1" customFormat="false" ht="21.75" hidden="false" customHeight="true" outlineLevel="0" collapsed="false">
      <c r="A1" s="5" t="s">
        <v>140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21" t="s">
        <v>141</v>
      </c>
      <c r="B2" s="21"/>
      <c r="C2" s="21"/>
      <c r="D2" s="21"/>
      <c r="E2" s="21"/>
      <c r="F2" s="21"/>
      <c r="G2" s="21"/>
      <c r="H2" s="21"/>
      <c r="I2" s="21"/>
    </row>
    <row r="3" customFormat="false" ht="15" hidden="false" customHeight="false" outlineLevel="0" collapsed="false">
      <c r="A3" s="3" t="s">
        <v>142</v>
      </c>
      <c r="B3" s="3" t="s">
        <v>92</v>
      </c>
      <c r="C3" s="3" t="s">
        <v>93</v>
      </c>
      <c r="D3" s="3" t="s">
        <v>94</v>
      </c>
      <c r="E3" s="3" t="s">
        <v>95</v>
      </c>
      <c r="F3" s="3" t="s">
        <v>96</v>
      </c>
    </row>
    <row r="4" customFormat="false" ht="15" hidden="false" customHeight="false" outlineLevel="0" collapsed="false">
      <c r="A4" s="4" t="s">
        <v>143</v>
      </c>
      <c r="B4" s="24" t="n">
        <f aca="false">'Income Statement'!E5</f>
        <v>200319.865</v>
      </c>
      <c r="C4" s="24" t="n">
        <f aca="false">'Income Statement'!F5</f>
        <v>208647.7695</v>
      </c>
      <c r="D4" s="24" t="n">
        <f aca="false">'Income Statement'!G5</f>
        <v>212820.72489</v>
      </c>
      <c r="E4" s="24" t="n">
        <f aca="false">'Income Statement'!H5</f>
        <v>212560.61067069</v>
      </c>
      <c r="F4" s="24" t="n">
        <f aca="false">'Income Statement'!I5</f>
        <v>212560.61067069</v>
      </c>
    </row>
    <row r="5" customFormat="false" ht="15" hidden="false" customHeight="false" outlineLevel="0" collapsed="false">
      <c r="A5" s="4" t="s">
        <v>144</v>
      </c>
      <c r="B5" s="23" t="n">
        <f aca="false">B4*(1-Assumptions!$B$10)</f>
        <v>96153.5352</v>
      </c>
      <c r="C5" s="23" t="n">
        <f aca="false">C4*(1-Assumptions!$B$10)</f>
        <v>100150.92936</v>
      </c>
      <c r="D5" s="23" t="n">
        <f aca="false">D4*(1-Assumptions!$B$10)</f>
        <v>102153.9479472</v>
      </c>
      <c r="E5" s="23" t="n">
        <f aca="false">E4*(1-Assumptions!$B$10)</f>
        <v>102029.093121931</v>
      </c>
      <c r="F5" s="23" t="n">
        <f aca="false">F4*(1-Assumptions!$B$10)</f>
        <v>102029.093121931</v>
      </c>
    </row>
    <row r="6" customFormat="false" ht="15" hidden="false" customHeight="false" outlineLevel="0" collapsed="false">
      <c r="A6" s="4" t="s">
        <v>145</v>
      </c>
      <c r="B6" s="24" t="n">
        <f aca="false">'Income Statement'!E6</f>
        <v>35112.246</v>
      </c>
      <c r="C6" s="24" t="n">
        <f aca="false">'Income Statement'!F6</f>
        <v>35701.95167</v>
      </c>
      <c r="D6" s="24" t="n">
        <f aca="false">'Income Statement'!G6</f>
        <v>35943.0557592</v>
      </c>
      <c r="E6" s="24" t="n">
        <f aca="false">'Income Statement'!H6</f>
        <v>35824.82202315</v>
      </c>
      <c r="F6" s="24" t="n">
        <f aca="false">'Income Statement'!I6</f>
        <v>35347.157729508</v>
      </c>
    </row>
    <row r="7" customFormat="false" ht="15" hidden="false" customHeight="false" outlineLevel="0" collapsed="false">
      <c r="A7" s="4" t="s">
        <v>146</v>
      </c>
      <c r="B7" s="23" t="n">
        <f aca="false">-Assumptions!$B$44</f>
        <v>-53000</v>
      </c>
      <c r="C7" s="23" t="n">
        <f aca="false">-Assumptions!$C$44</f>
        <v>-54000</v>
      </c>
      <c r="D7" s="23" t="n">
        <f aca="false">-Assumptions!$D$44</f>
        <v>-53000</v>
      </c>
      <c r="E7" s="23" t="n">
        <f aca="false">-Assumptions!$E$44</f>
        <v>-52000</v>
      </c>
      <c r="F7" s="23" t="n">
        <f aca="false">-Assumptions!$F$44</f>
        <v>-52000</v>
      </c>
    </row>
    <row r="8" customFormat="false" ht="15" hidden="false" customHeight="false" outlineLevel="0" collapsed="false">
      <c r="A8" s="4" t="s">
        <v>147</v>
      </c>
      <c r="B8" s="24" t="n">
        <f aca="false">-(('Balance Sheet'!E5+'Balance Sheet'!E6-'Balance Sheet'!E15)-('Balance Sheet'!D5+'Balance Sheet'!D6-'Balance Sheet'!D15))</f>
        <v>-155.995000000003</v>
      </c>
      <c r="C8" s="24" t="n">
        <f aca="false">-(('Balance Sheet'!F5+'Balance Sheet'!F6-'Balance Sheet'!F15)-('Balance Sheet'!E5+'Balance Sheet'!E6-'Balance Sheet'!E15))</f>
        <v>-472.664849999994</v>
      </c>
      <c r="D8" s="24" t="n">
        <f aca="false">-(('Balance Sheet'!G5+'Balance Sheet'!G6-'Balance Sheet'!G15)-('Balance Sheet'!F5+'Balance Sheet'!F6-'Balance Sheet'!F15))</f>
        <v>-324.563197000003</v>
      </c>
      <c r="E8" s="24" t="n">
        <f aca="false">-(('Balance Sheet'!H5+'Balance Sheet'!H6-'Balance Sheet'!H15)-('Balance Sheet'!G5+'Balance Sheet'!G6-'Balance Sheet'!G15))</f>
        <v>-165.527230469997</v>
      </c>
      <c r="F8" s="24" t="n">
        <f aca="false">-(('Balance Sheet'!I5+'Balance Sheet'!I6-'Balance Sheet'!I15)-('Balance Sheet'!H5+'Balance Sheet'!H6-'Balance Sheet'!H15))</f>
        <v>-0</v>
      </c>
    </row>
    <row r="9" customFormat="false" ht="15" hidden="false" customHeight="false" outlineLevel="0" collapsed="false">
      <c r="A9" s="25" t="s">
        <v>148</v>
      </c>
      <c r="B9" s="23" t="n">
        <f aca="false">B5+B6+B7+B8</f>
        <v>78109.7862</v>
      </c>
      <c r="C9" s="23" t="n">
        <f aca="false">C5+C6+C7+C8</f>
        <v>81380.21618</v>
      </c>
      <c r="D9" s="23" t="n">
        <f aca="false">D5+D6+D7+D8</f>
        <v>84772.4405094</v>
      </c>
      <c r="E9" s="23" t="n">
        <f aca="false">E5+E6+E7+E8</f>
        <v>85688.3879146112</v>
      </c>
      <c r="F9" s="23" t="n">
        <f aca="false">F5+F6+F7+F8</f>
        <v>85376.2508514392</v>
      </c>
    </row>
    <row r="10" customFormat="false" ht="15" hidden="false" customHeight="false" outlineLevel="0" collapsed="false">
      <c r="A10" s="4" t="s">
        <v>149</v>
      </c>
      <c r="B10" s="29" t="n">
        <f aca="false">1/(1+Assumptions!$B$8)^1</f>
        <v>0.936768149882904</v>
      </c>
      <c r="C10" s="29" t="n">
        <f aca="false">1/(1+Assumptions!$B$8)^2</f>
        <v>0.877534566635039</v>
      </c>
      <c r="D10" s="29" t="n">
        <f aca="false">1/(1+Assumptions!$B$8)^3</f>
        <v>0.822046432445002</v>
      </c>
      <c r="E10" s="29" t="n">
        <f aca="false">1/(1+Assumptions!$B$8)^4</f>
        <v>0.770066915639346</v>
      </c>
      <c r="F10" s="29" t="n">
        <f aca="false">1/(1+Assumptions!$B$8)^5</f>
        <v>0.721374159849504</v>
      </c>
    </row>
    <row r="11" customFormat="false" ht="15" hidden="false" customHeight="false" outlineLevel="0" collapsed="false">
      <c r="A11" s="25" t="s">
        <v>150</v>
      </c>
      <c r="B11" s="23" t="n">
        <f aca="false">B9*B10</f>
        <v>73170.7599063232</v>
      </c>
      <c r="C11" s="23" t="n">
        <f aca="false">C9*C10</f>
        <v>71413.9527381821</v>
      </c>
      <c r="D11" s="23" t="n">
        <f aca="false">D9*D10</f>
        <v>69686.8822904084</v>
      </c>
      <c r="E11" s="23" t="n">
        <f aca="false">E9*E10</f>
        <v>65985.7925875124</v>
      </c>
      <c r="F11" s="23" t="n">
        <f aca="false">F9*F10</f>
        <v>61588.2212290575</v>
      </c>
    </row>
    <row r="13" customFormat="false" ht="15" hidden="false" customHeight="false" outlineLevel="0" collapsed="false">
      <c r="A13" s="4" t="s">
        <v>151</v>
      </c>
      <c r="B13" s="23" t="n">
        <f aca="false">SUM(B11:F11)</f>
        <v>341845.608751484</v>
      </c>
    </row>
    <row r="14" customFormat="false" ht="15" hidden="false" customHeight="false" outlineLevel="0" collapsed="false">
      <c r="A14" s="4" t="s">
        <v>152</v>
      </c>
      <c r="B14" s="23" t="n">
        <f aca="false">F9*(1+Assumptions!$B$9)/(Assumptions!$B$8-Assumptions!$B$9)</f>
        <v>1650607.51646116</v>
      </c>
    </row>
    <row r="15" customFormat="false" ht="15" hidden="false" customHeight="false" outlineLevel="0" collapsed="false">
      <c r="A15" s="4" t="s">
        <v>153</v>
      </c>
      <c r="B15" s="23" t="n">
        <f aca="false">B14*F10</f>
        <v>1190705.61042844</v>
      </c>
    </row>
    <row r="16" customFormat="false" ht="15" hidden="false" customHeight="false" outlineLevel="0" collapsed="false">
      <c r="A16" s="4" t="s">
        <v>154</v>
      </c>
      <c r="B16" s="23" t="n">
        <f aca="false">B13+B15</f>
        <v>1532551.21917993</v>
      </c>
    </row>
    <row r="17" customFormat="false" ht="15" hidden="false" customHeight="false" outlineLevel="0" collapsed="false">
      <c r="A17" s="4" t="s">
        <v>155</v>
      </c>
      <c r="B17" s="23" t="n">
        <f aca="false">-Assumptions!$B$7</f>
        <v>-18100</v>
      </c>
    </row>
    <row r="18" customFormat="false" ht="15" hidden="false" customHeight="false" outlineLevel="0" collapsed="false">
      <c r="A18" s="4" t="s">
        <v>156</v>
      </c>
      <c r="B18" s="23" t="n">
        <f aca="false">B16+B17</f>
        <v>1514451.21917993</v>
      </c>
    </row>
    <row r="19" customFormat="false" ht="15" hidden="false" customHeight="false" outlineLevel="0" collapsed="false">
      <c r="A19" s="4" t="s">
        <v>157</v>
      </c>
      <c r="B19" s="26" t="n">
        <f aca="false">B18*Assumptions!$B$6</f>
        <v>5679192.07192473</v>
      </c>
    </row>
    <row r="20" customFormat="false" ht="15" hidden="false" customHeight="false" outlineLevel="0" collapsed="false">
      <c r="A20" s="3" t="s">
        <v>158</v>
      </c>
      <c r="B20" s="12" t="n">
        <f aca="false">B19/Assumptions!$B$5</f>
        <v>23.4677358343997</v>
      </c>
    </row>
    <row r="21" customFormat="false" ht="15" hidden="false" customHeight="false" outlineLevel="0" collapsed="false">
      <c r="A21" s="4" t="s">
        <v>159</v>
      </c>
      <c r="B21" s="7" t="n">
        <f aca="false">B15/B16</f>
        <v>0.776943436230206</v>
      </c>
    </row>
    <row r="22" customFormat="false" ht="15" hidden="false" customHeight="false" outlineLevel="0" collapsed="false">
      <c r="A22" s="4" t="s">
        <v>15</v>
      </c>
      <c r="B22" s="7" t="n">
        <f aca="false">B20/Assumptions!$B$4-1</f>
        <v>-0.105650311189035</v>
      </c>
    </row>
    <row r="24" customFormat="false" ht="15" hidden="false" customHeight="false" outlineLevel="0" collapsed="false">
      <c r="A24" s="21" t="s">
        <v>160</v>
      </c>
      <c r="B24" s="21"/>
      <c r="C24" s="21"/>
      <c r="D24" s="21"/>
      <c r="E24" s="21"/>
      <c r="F24" s="21"/>
      <c r="G24" s="21"/>
      <c r="H24" s="21"/>
      <c r="I24" s="21"/>
    </row>
  </sheetData>
  <mergeCells count="3">
    <mergeCell ref="A1:I1"/>
    <mergeCell ref="A2:I2"/>
    <mergeCell ref="A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3"/>
  </cols>
  <sheetData>
    <row r="1" customFormat="false" ht="21.75" hidden="false" customHeight="true" outlineLevel="0" collapsed="false">
      <c r="A1" s="5" t="s">
        <v>161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21" t="s">
        <v>162</v>
      </c>
      <c r="B2" s="21"/>
      <c r="C2" s="21"/>
      <c r="D2" s="21"/>
      <c r="E2" s="21"/>
      <c r="F2" s="21"/>
      <c r="G2" s="21"/>
      <c r="H2" s="21"/>
      <c r="I2" s="21"/>
    </row>
    <row r="3" customFormat="false" ht="15" hidden="false" customHeight="false" outlineLevel="0" collapsed="false">
      <c r="A3" s="3" t="s">
        <v>142</v>
      </c>
      <c r="B3" s="3" t="s">
        <v>163</v>
      </c>
      <c r="C3" s="3" t="s">
        <v>164</v>
      </c>
      <c r="D3" s="3" t="s">
        <v>165</v>
      </c>
      <c r="E3" s="3" t="s">
        <v>92</v>
      </c>
      <c r="F3" s="3" t="s">
        <v>93</v>
      </c>
      <c r="G3" s="3" t="s">
        <v>94</v>
      </c>
      <c r="H3" s="3" t="s">
        <v>95</v>
      </c>
      <c r="I3" s="3" t="s">
        <v>96</v>
      </c>
    </row>
    <row r="4" customFormat="false" ht="15" hidden="false" customHeight="false" outlineLevel="0" collapsed="false">
      <c r="A4" s="25" t="s">
        <v>166</v>
      </c>
      <c r="B4" s="16" t="n">
        <v>440900</v>
      </c>
      <c r="C4" s="16" t="n">
        <v>480400</v>
      </c>
      <c r="D4" s="16" t="n">
        <v>445700</v>
      </c>
      <c r="E4" s="23" t="n">
        <f aca="false">D4*(1+Assumptions!$B$39)</f>
        <v>450157</v>
      </c>
      <c r="F4" s="23" t="n">
        <f aca="false">E4*(1+Assumptions!$C$39)</f>
        <v>463661.71</v>
      </c>
      <c r="G4" s="23" t="n">
        <f aca="false">F4*(1+Assumptions!$D$39)</f>
        <v>472934.9442</v>
      </c>
      <c r="H4" s="23" t="n">
        <f aca="false">G4*(1+Assumptions!$E$39)</f>
        <v>477664.293642</v>
      </c>
      <c r="I4" s="23" t="n">
        <f aca="false">H4*(1+Assumptions!$F$39)</f>
        <v>477664.293642</v>
      </c>
    </row>
    <row r="5" customFormat="false" ht="15" hidden="false" customHeight="false" outlineLevel="0" collapsed="false">
      <c r="A5" s="4" t="s">
        <v>143</v>
      </c>
      <c r="B5" s="16" t="n">
        <v>230000</v>
      </c>
      <c r="C5" s="16" t="n">
        <v>210000</v>
      </c>
      <c r="D5" s="16" t="n">
        <v>199000</v>
      </c>
      <c r="E5" s="23" t="n">
        <f aca="false">E4*Assumptions!$B$40</f>
        <v>200319.865</v>
      </c>
      <c r="F5" s="23" t="n">
        <f aca="false">F4*Assumptions!$C$40</f>
        <v>208647.7695</v>
      </c>
      <c r="G5" s="23" t="n">
        <f aca="false">G4*Assumptions!$D$40</f>
        <v>212820.72489</v>
      </c>
      <c r="H5" s="23" t="n">
        <f aca="false">H4*Assumptions!$E$40</f>
        <v>212560.61067069</v>
      </c>
      <c r="I5" s="23" t="n">
        <f aca="false">I4*Assumptions!$F$40</f>
        <v>212560.61067069</v>
      </c>
    </row>
    <row r="6" customFormat="false" ht="15" hidden="false" customHeight="false" outlineLevel="0" collapsed="false">
      <c r="A6" s="4" t="s">
        <v>167</v>
      </c>
      <c r="B6" s="16" t="n">
        <v>32000</v>
      </c>
      <c r="C6" s="16" t="n">
        <v>34000</v>
      </c>
      <c r="D6" s="16" t="n">
        <v>35000</v>
      </c>
      <c r="E6" s="23" t="n">
        <f aca="false">E4*Assumptions!$B$41</f>
        <v>35112.246</v>
      </c>
      <c r="F6" s="23" t="n">
        <f aca="false">F4*Assumptions!$C$41</f>
        <v>35701.95167</v>
      </c>
      <c r="G6" s="23" t="n">
        <f aca="false">G4*Assumptions!$D$41</f>
        <v>35943.0557592</v>
      </c>
      <c r="H6" s="23" t="n">
        <f aca="false">H4*Assumptions!$E$41</f>
        <v>35824.82202315</v>
      </c>
      <c r="I6" s="23" t="n">
        <f aca="false">I4*Assumptions!$F$41</f>
        <v>35347.157729508</v>
      </c>
    </row>
    <row r="7" customFormat="false" ht="15" hidden="false" customHeight="false" outlineLevel="0" collapsed="false">
      <c r="A7" s="4" t="s">
        <v>168</v>
      </c>
      <c r="B7" s="23" t="n">
        <f aca="false">B5+B6</f>
        <v>262000</v>
      </c>
      <c r="C7" s="23" t="n">
        <f aca="false">C5+C6</f>
        <v>244000</v>
      </c>
      <c r="D7" s="23" t="n">
        <f aca="false">D5+D6</f>
        <v>234000</v>
      </c>
      <c r="E7" s="23" t="n">
        <f aca="false">E5+E6</f>
        <v>235432.111</v>
      </c>
      <c r="F7" s="23" t="n">
        <f aca="false">F5+F6</f>
        <v>244349.72117</v>
      </c>
      <c r="G7" s="23" t="n">
        <f aca="false">G5+G6</f>
        <v>248763.7806492</v>
      </c>
      <c r="H7" s="23" t="n">
        <f aca="false">H5+H6</f>
        <v>248385.43269384</v>
      </c>
      <c r="I7" s="23" t="n">
        <f aca="false">I5+I6</f>
        <v>247907.768400198</v>
      </c>
    </row>
    <row r="8" customFormat="false" ht="15" hidden="false" customHeight="false" outlineLevel="0" collapsed="false">
      <c r="A8" s="4" t="s">
        <v>169</v>
      </c>
      <c r="B8" s="7" t="n">
        <f aca="false">B7/B4</f>
        <v>0.594239056475391</v>
      </c>
      <c r="C8" s="7" t="n">
        <f aca="false">C7/C4</f>
        <v>0.507910074937552</v>
      </c>
      <c r="D8" s="7" t="n">
        <f aca="false">D7/D4</f>
        <v>0.525016827462419</v>
      </c>
      <c r="E8" s="7" t="n">
        <f aca="false">E7/E4</f>
        <v>0.523</v>
      </c>
      <c r="F8" s="7" t="n">
        <f aca="false">F7/F4</f>
        <v>0.527</v>
      </c>
      <c r="G8" s="7" t="n">
        <f aca="false">G7/G4</f>
        <v>0.526</v>
      </c>
      <c r="H8" s="7" t="n">
        <f aca="false">H7/H4</f>
        <v>0.52</v>
      </c>
      <c r="I8" s="7" t="n">
        <f aca="false">I7/I4</f>
        <v>0.519</v>
      </c>
    </row>
    <row r="9" customFormat="false" ht="15" hidden="false" customHeight="false" outlineLevel="0" collapsed="false">
      <c r="A9" s="4" t="s">
        <v>170</v>
      </c>
      <c r="B9" s="16" t="n">
        <v>3000</v>
      </c>
      <c r="C9" s="16" t="n">
        <v>4000</v>
      </c>
      <c r="D9" s="16" t="n">
        <v>5000</v>
      </c>
      <c r="E9" s="24" t="n">
        <f aca="false">Assumptions!$B$42</f>
        <v>5000</v>
      </c>
      <c r="F9" s="24" t="n">
        <f aca="false">Assumptions!$C$42</f>
        <v>4800</v>
      </c>
      <c r="G9" s="24" t="n">
        <f aca="false">Assumptions!$D$42</f>
        <v>4600</v>
      </c>
      <c r="H9" s="24" t="n">
        <f aca="false">Assumptions!$E$42</f>
        <v>4400</v>
      </c>
      <c r="I9" s="24" t="n">
        <f aca="false">Assumptions!$F$42</f>
        <v>4200</v>
      </c>
    </row>
    <row r="10" customFormat="false" ht="15" hidden="false" customHeight="false" outlineLevel="0" collapsed="false">
      <c r="A10" s="4" t="s">
        <v>171</v>
      </c>
      <c r="B10" s="16" t="n">
        <v>3000</v>
      </c>
      <c r="C10" s="16" t="n">
        <v>3000</v>
      </c>
      <c r="D10" s="16" t="n">
        <v>3000</v>
      </c>
      <c r="E10" s="24" t="n">
        <f aca="false">Assumptions!$B$43</f>
        <v>3000</v>
      </c>
      <c r="F10" s="24" t="n">
        <f aca="false">Assumptions!$C$43</f>
        <v>3000</v>
      </c>
      <c r="G10" s="24" t="n">
        <f aca="false">Assumptions!$D$43</f>
        <v>3000</v>
      </c>
      <c r="H10" s="24" t="n">
        <f aca="false">Assumptions!$E$43</f>
        <v>3000</v>
      </c>
      <c r="I10" s="24" t="n">
        <f aca="false">Assumptions!$F$43</f>
        <v>3000</v>
      </c>
    </row>
    <row r="11" customFormat="false" ht="15" hidden="false" customHeight="false" outlineLevel="0" collapsed="false">
      <c r="A11" s="4" t="s">
        <v>172</v>
      </c>
      <c r="B11" s="23" t="n">
        <f aca="false">B5-B9+B10</f>
        <v>230000</v>
      </c>
      <c r="C11" s="23" t="n">
        <f aca="false">C5-C9+C10</f>
        <v>209000</v>
      </c>
      <c r="D11" s="23" t="n">
        <f aca="false">D5-D9+D10</f>
        <v>197000</v>
      </c>
      <c r="E11" s="23" t="n">
        <f aca="false">E5-E9+E10</f>
        <v>198319.865</v>
      </c>
      <c r="F11" s="23" t="n">
        <f aca="false">F5-F9+F10</f>
        <v>206847.7695</v>
      </c>
      <c r="G11" s="23" t="n">
        <f aca="false">G5-G9+G10</f>
        <v>211220.72489</v>
      </c>
      <c r="H11" s="23" t="n">
        <f aca="false">H5-H9+H10</f>
        <v>211160.61067069</v>
      </c>
      <c r="I11" s="23" t="n">
        <f aca="false">I5-I9+I10</f>
        <v>211360.61067069</v>
      </c>
    </row>
    <row r="12" customFormat="false" ht="15" hidden="false" customHeight="false" outlineLevel="0" collapsed="false">
      <c r="A12" s="4" t="s">
        <v>173</v>
      </c>
      <c r="B12" s="23" t="n">
        <f aca="false">B11-B13</f>
        <v>108700</v>
      </c>
      <c r="C12" s="23" t="n">
        <f aca="false">C11-C13</f>
        <v>102754</v>
      </c>
      <c r="D12" s="23" t="n">
        <f aca="false">D11-D13</f>
        <v>103600</v>
      </c>
      <c r="E12" s="23" t="n">
        <f aca="false">MAX(0,E11)*Assumptions!$B$10</f>
        <v>103126.3298</v>
      </c>
      <c r="F12" s="23" t="n">
        <f aca="false">MAX(0,F11)*Assumptions!$B$10</f>
        <v>107560.84014</v>
      </c>
      <c r="G12" s="23" t="n">
        <f aca="false">MAX(0,G11)*Assumptions!$B$10</f>
        <v>109834.7769428</v>
      </c>
      <c r="H12" s="23" t="n">
        <f aca="false">MAX(0,H11)*Assumptions!$B$10</f>
        <v>109803.517548759</v>
      </c>
      <c r="I12" s="23" t="n">
        <f aca="false">MAX(0,I11)*Assumptions!$B$10</f>
        <v>109907.517548759</v>
      </c>
    </row>
    <row r="13" customFormat="false" ht="15" hidden="false" customHeight="false" outlineLevel="0" collapsed="false">
      <c r="A13" s="25" t="s">
        <v>174</v>
      </c>
      <c r="B13" s="16" t="n">
        <v>121300</v>
      </c>
      <c r="C13" s="16" t="n">
        <v>106246</v>
      </c>
      <c r="D13" s="16" t="n">
        <v>93400</v>
      </c>
      <c r="E13" s="23" t="n">
        <f aca="false">E11-E12</f>
        <v>95193.5352</v>
      </c>
      <c r="F13" s="23" t="n">
        <f aca="false">F11-F12</f>
        <v>99286.92936</v>
      </c>
      <c r="G13" s="23" t="n">
        <f aca="false">G11-G12</f>
        <v>101385.9479472</v>
      </c>
      <c r="H13" s="23" t="n">
        <f aca="false">H11-H12</f>
        <v>101357.093121931</v>
      </c>
      <c r="I13" s="23" t="n">
        <f aca="false">I11-I12</f>
        <v>101453.093121931</v>
      </c>
    </row>
    <row r="15" customFormat="false" ht="15" hidden="false" customHeight="false" outlineLevel="0" collapsed="false">
      <c r="A15" s="21" t="s">
        <v>175</v>
      </c>
      <c r="B15" s="21"/>
      <c r="C15" s="21"/>
      <c r="D15" s="21"/>
      <c r="E15" s="21"/>
      <c r="F15" s="21"/>
      <c r="G15" s="21"/>
      <c r="H15" s="21"/>
      <c r="I15" s="21"/>
    </row>
  </sheetData>
  <mergeCells count="3">
    <mergeCell ref="A1:I1"/>
    <mergeCell ref="A2:I2"/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3"/>
  </cols>
  <sheetData>
    <row r="1" customFormat="false" ht="21.75" hidden="false" customHeight="true" outlineLevel="0" collapsed="false">
      <c r="A1" s="5" t="s">
        <v>176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21" t="s">
        <v>177</v>
      </c>
      <c r="B2" s="21"/>
      <c r="C2" s="21"/>
      <c r="D2" s="21"/>
      <c r="E2" s="21"/>
      <c r="F2" s="21"/>
      <c r="G2" s="21"/>
      <c r="H2" s="21"/>
      <c r="I2" s="21"/>
    </row>
    <row r="3" customFormat="false" ht="15" hidden="false" customHeight="false" outlineLevel="0" collapsed="false">
      <c r="A3" s="3" t="s">
        <v>142</v>
      </c>
      <c r="B3" s="3" t="s">
        <v>163</v>
      </c>
      <c r="C3" s="3" t="s">
        <v>164</v>
      </c>
      <c r="D3" s="3" t="s">
        <v>165</v>
      </c>
      <c r="E3" s="3" t="s">
        <v>92</v>
      </c>
      <c r="F3" s="3" t="s">
        <v>93</v>
      </c>
      <c r="G3" s="3" t="s">
        <v>94</v>
      </c>
      <c r="H3" s="3" t="s">
        <v>95</v>
      </c>
      <c r="I3" s="3" t="s">
        <v>96</v>
      </c>
    </row>
    <row r="4" customFormat="false" ht="15" hidden="false" customHeight="false" outlineLevel="0" collapsed="false">
      <c r="A4" s="4" t="s">
        <v>178</v>
      </c>
      <c r="B4" s="23" t="n">
        <f aca="false">(B12+B13+B14+B15+B16)-(B5+B6+B7+B8+B9)</f>
        <v>456268.5</v>
      </c>
      <c r="C4" s="23" t="n">
        <f aca="false">(C12+C13+C14+C15+C16)-(C5+C6+C7+C8+C9)</f>
        <v>537886</v>
      </c>
      <c r="D4" s="23" t="n">
        <f aca="false">(D12+D13+D14+D15+D16)-(D5+D6+D7+D8+D9)</f>
        <v>561632.5</v>
      </c>
      <c r="E4" s="24" t="n">
        <f aca="false">D4+Assumptions!$B$44-'Income Statement'!E6</f>
        <v>579520.254</v>
      </c>
      <c r="F4" s="24" t="n">
        <f aca="false">E4+Assumptions!$C$44-'Income Statement'!F6</f>
        <v>597818.30233</v>
      </c>
      <c r="G4" s="24" t="n">
        <f aca="false">F4+Assumptions!$D$44-'Income Statement'!G6</f>
        <v>614875.2465708</v>
      </c>
      <c r="H4" s="24" t="n">
        <f aca="false">G4+Assumptions!$E$44-'Income Statement'!H6</f>
        <v>631050.42454765</v>
      </c>
      <c r="I4" s="24" t="n">
        <f aca="false">H4+Assumptions!$F$44-'Income Statement'!I6</f>
        <v>647703.266818142</v>
      </c>
    </row>
    <row r="5" customFormat="false" ht="15" hidden="false" customHeight="false" outlineLevel="0" collapsed="false">
      <c r="A5" s="4" t="s">
        <v>179</v>
      </c>
      <c r="B5" s="24" t="n">
        <f aca="false">'Income Statement'!B4*Assumptions!$B$30</f>
        <v>24249.5</v>
      </c>
      <c r="C5" s="24" t="n">
        <f aca="false">'Income Statement'!C4*Assumptions!$B$30</f>
        <v>26422</v>
      </c>
      <c r="D5" s="24" t="n">
        <f aca="false">'Income Statement'!D4*Assumptions!$B$30</f>
        <v>24513.5</v>
      </c>
      <c r="E5" s="24" t="n">
        <f aca="false">'Income Statement'!E4*Assumptions!$B$30</f>
        <v>24758.635</v>
      </c>
      <c r="F5" s="24" t="n">
        <f aca="false">'Income Statement'!F4*Assumptions!$B$30</f>
        <v>25501.39405</v>
      </c>
      <c r="G5" s="24" t="n">
        <f aca="false">'Income Statement'!G4*Assumptions!$B$30</f>
        <v>26011.421931</v>
      </c>
      <c r="H5" s="24" t="n">
        <f aca="false">'Income Statement'!H4*Assumptions!$B$30</f>
        <v>26271.53615031</v>
      </c>
      <c r="I5" s="24" t="n">
        <f aca="false">'Income Statement'!I4*Assumptions!$B$30</f>
        <v>26271.53615031</v>
      </c>
    </row>
    <row r="6" customFormat="false" ht="15" hidden="false" customHeight="false" outlineLevel="0" collapsed="false">
      <c r="A6" s="4" t="s">
        <v>180</v>
      </c>
      <c r="B6" s="24" t="n">
        <f aca="false">'Income Statement'!B4*Assumptions!$B$31</f>
        <v>39681</v>
      </c>
      <c r="C6" s="24" t="n">
        <f aca="false">'Income Statement'!C4*Assumptions!$B$31</f>
        <v>43236</v>
      </c>
      <c r="D6" s="24" t="n">
        <f aca="false">'Income Statement'!D4*Assumptions!$B$31</f>
        <v>40113</v>
      </c>
      <c r="E6" s="24" t="n">
        <f aca="false">'Income Statement'!E4*Assumptions!$B$31</f>
        <v>40514.13</v>
      </c>
      <c r="F6" s="24" t="n">
        <f aca="false">'Income Statement'!F4*Assumptions!$B$31</f>
        <v>41729.5539</v>
      </c>
      <c r="G6" s="24" t="n">
        <f aca="false">'Income Statement'!G4*Assumptions!$B$31</f>
        <v>42564.144978</v>
      </c>
      <c r="H6" s="24" t="n">
        <f aca="false">'Income Statement'!H4*Assumptions!$B$31</f>
        <v>42989.78642778</v>
      </c>
      <c r="I6" s="24" t="n">
        <f aca="false">'Income Statement'!I4*Assumptions!$B$31</f>
        <v>42989.78642778</v>
      </c>
    </row>
    <row r="7" customFormat="false" ht="15" hidden="false" customHeight="false" outlineLevel="0" collapsed="false">
      <c r="A7" s="4" t="s">
        <v>181</v>
      </c>
      <c r="B7" s="16" t="n">
        <v>50000</v>
      </c>
      <c r="C7" s="16" t="n">
        <v>40000</v>
      </c>
      <c r="D7" s="16" t="n">
        <v>42000</v>
      </c>
      <c r="E7" s="24" t="n">
        <f aca="false">D7+('Income Statement'!E13+'Income Statement'!E6-((E5+E6-E15)-(D5+D6-D15))-Assumptions!$B$44-Assumptions!$B$45+Assumptions!$B$46)</f>
        <v>41549.7862</v>
      </c>
      <c r="F7" s="24" t="n">
        <f aca="false">E7+('Income Statement'!F13+'Income Statement'!F6-((F5+F6-F15)-(E5+E6-E15))-Assumptions!$C$44-Assumptions!$C$45+Assumptions!$C$46)</f>
        <v>41066.00238</v>
      </c>
      <c r="G7" s="24" t="n">
        <f aca="false">F7+('Income Statement'!G13+'Income Statement'!G6-((G5+G6-G15)-(F5+F6-F15))-Assumptions!$D$44-Assumptions!$D$45+Assumptions!$D$46)</f>
        <v>40070.4428894</v>
      </c>
      <c r="H7" s="24" t="n">
        <f aca="false">G7+('Income Statement'!H13+'Income Statement'!H6-((H5+H6-H15)-(G5+G6-G15))-Assumptions!$E$44-Assumptions!$E$45+Assumptions!$E$46)</f>
        <v>37086.8308040112</v>
      </c>
      <c r="I7" s="24" t="n">
        <f aca="false">H7+('Income Statement'!I13+'Income Statement'!I6-((I5+I6-I15)-(H5+H6-H15))-Assumptions!$F$44-Assumptions!$F$45+Assumptions!$F$46)</f>
        <v>30887.0816554504</v>
      </c>
    </row>
    <row r="8" customFormat="false" ht="15" hidden="false" customHeight="false" outlineLevel="0" collapsed="false">
      <c r="A8" s="4" t="s">
        <v>182</v>
      </c>
      <c r="B8" s="16" t="n">
        <v>20000</v>
      </c>
      <c r="C8" s="16" t="n">
        <v>18000</v>
      </c>
      <c r="D8" s="16" t="n">
        <v>18000</v>
      </c>
      <c r="E8" s="23" t="n">
        <f aca="false">D8</f>
        <v>18000</v>
      </c>
      <c r="F8" s="23" t="n">
        <f aca="false">E8</f>
        <v>18000</v>
      </c>
      <c r="G8" s="23" t="n">
        <f aca="false">F8</f>
        <v>18000</v>
      </c>
      <c r="H8" s="23" t="n">
        <f aca="false">G8</f>
        <v>18000</v>
      </c>
      <c r="I8" s="23" t="n">
        <f aca="false">H8</f>
        <v>18000</v>
      </c>
    </row>
    <row r="9" customFormat="false" ht="15" hidden="false" customHeight="false" outlineLevel="0" collapsed="false">
      <c r="A9" s="4" t="s">
        <v>183</v>
      </c>
      <c r="B9" s="16" t="n">
        <v>30000</v>
      </c>
      <c r="C9" s="16" t="n">
        <v>32000</v>
      </c>
      <c r="D9" s="16" t="n">
        <v>34000</v>
      </c>
      <c r="E9" s="23" t="n">
        <f aca="false">D9</f>
        <v>34000</v>
      </c>
      <c r="F9" s="23" t="n">
        <f aca="false">E9</f>
        <v>34000</v>
      </c>
      <c r="G9" s="23" t="n">
        <f aca="false">F9</f>
        <v>34000</v>
      </c>
      <c r="H9" s="23" t="n">
        <f aca="false">G9</f>
        <v>34000</v>
      </c>
      <c r="I9" s="23" t="n">
        <f aca="false">H9</f>
        <v>34000</v>
      </c>
    </row>
    <row r="10" customFormat="false" ht="15" hidden="false" customHeight="false" outlineLevel="0" collapsed="false">
      <c r="A10" s="25" t="s">
        <v>184</v>
      </c>
      <c r="B10" s="23" t="n">
        <f aca="false">SUM(B4:B9)</f>
        <v>620199</v>
      </c>
      <c r="C10" s="23" t="n">
        <f aca="false">SUM(C4:C9)</f>
        <v>697544</v>
      </c>
      <c r="D10" s="23" t="n">
        <f aca="false">SUM(D4:D9)</f>
        <v>720259</v>
      </c>
      <c r="E10" s="23" t="n">
        <f aca="false">SUM(E4:E9)</f>
        <v>738342.8052</v>
      </c>
      <c r="F10" s="23" t="n">
        <f aca="false">SUM(F4:F9)</f>
        <v>758115.25266</v>
      </c>
      <c r="G10" s="23" t="n">
        <f aca="false">SUM(G4:G9)</f>
        <v>775521.2563692</v>
      </c>
      <c r="H10" s="23" t="n">
        <f aca="false">SUM(H4:H9)</f>
        <v>789398.577929751</v>
      </c>
      <c r="I10" s="23" t="n">
        <f aca="false">SUM(I4:I9)</f>
        <v>799851.671051682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4" t="s">
        <v>185</v>
      </c>
      <c r="B12" s="16" t="n">
        <v>426700</v>
      </c>
      <c r="C12" s="16" t="n">
        <v>442700</v>
      </c>
      <c r="D12" s="16" t="n">
        <v>459132</v>
      </c>
      <c r="E12" s="24" t="n">
        <f aca="false">D12+'Income Statement'!E13-Assumptions!$B$45</f>
        <v>466725.5352</v>
      </c>
      <c r="F12" s="24" t="n">
        <f aca="false">E12+'Income Statement'!F13-Assumptions!$C$45</f>
        <v>475012.46456</v>
      </c>
      <c r="G12" s="24" t="n">
        <f aca="false">F12+'Income Statement'!G13-Assumptions!$D$45</f>
        <v>481398.4125072</v>
      </c>
      <c r="H12" s="24" t="n">
        <f aca="false">G12+'Income Statement'!H13-Assumptions!$E$45</f>
        <v>483755.505629131</v>
      </c>
      <c r="I12" s="24" t="n">
        <f aca="false">H12+'Income Statement'!I13-Assumptions!$F$45</f>
        <v>482208.598751062</v>
      </c>
    </row>
    <row r="13" customFormat="false" ht="15" hidden="false" customHeight="false" outlineLevel="0" collapsed="false">
      <c r="A13" s="4" t="s">
        <v>186</v>
      </c>
      <c r="B13" s="16" t="n">
        <v>45000</v>
      </c>
      <c r="C13" s="16" t="n">
        <v>80000</v>
      </c>
      <c r="D13" s="16" t="n">
        <v>78100</v>
      </c>
      <c r="E13" s="23" t="n">
        <f aca="false">D13+Assumptions!$B$46</f>
        <v>88100</v>
      </c>
      <c r="F13" s="23" t="n">
        <f aca="false">E13+Assumptions!$C$46</f>
        <v>98100</v>
      </c>
      <c r="G13" s="23" t="n">
        <f aca="false">F13+Assumptions!$D$46</f>
        <v>108100</v>
      </c>
      <c r="H13" s="23" t="n">
        <f aca="false">G13+Assumptions!$E$46</f>
        <v>119100</v>
      </c>
      <c r="I13" s="23" t="n">
        <f aca="false">H13+Assumptions!$F$46</f>
        <v>131100</v>
      </c>
    </row>
    <row r="14" customFormat="false" ht="15" hidden="false" customHeight="false" outlineLevel="0" collapsed="false">
      <c r="A14" s="4" t="s">
        <v>187</v>
      </c>
      <c r="B14" s="16" t="n">
        <v>40000</v>
      </c>
      <c r="C14" s="16" t="n">
        <v>42000</v>
      </c>
      <c r="D14" s="16" t="n">
        <v>44000</v>
      </c>
      <c r="E14" s="23" t="n">
        <f aca="false">D14</f>
        <v>44000</v>
      </c>
      <c r="F14" s="23" t="n">
        <f aca="false">E14</f>
        <v>44000</v>
      </c>
      <c r="G14" s="23" t="n">
        <f aca="false">F14</f>
        <v>44000</v>
      </c>
      <c r="H14" s="23" t="n">
        <f aca="false">G14</f>
        <v>44000</v>
      </c>
      <c r="I14" s="23" t="n">
        <f aca="false">H14</f>
        <v>44000</v>
      </c>
    </row>
    <row r="15" customFormat="false" ht="15" hidden="false" customHeight="false" outlineLevel="0" collapsed="false">
      <c r="A15" s="4" t="s">
        <v>188</v>
      </c>
      <c r="B15" s="24" t="n">
        <f aca="false">'Income Statement'!B4*Assumptions!$B$32</f>
        <v>48499</v>
      </c>
      <c r="C15" s="24" t="n">
        <f aca="false">'Income Statement'!C4*Assumptions!$B$32</f>
        <v>52844</v>
      </c>
      <c r="D15" s="24" t="n">
        <f aca="false">'Income Statement'!D4*Assumptions!$B$32</f>
        <v>49027</v>
      </c>
      <c r="E15" s="24" t="n">
        <f aca="false">'Income Statement'!E4*Assumptions!$B$32</f>
        <v>49517.27</v>
      </c>
      <c r="F15" s="24" t="n">
        <f aca="false">'Income Statement'!F4*Assumptions!$B$32</f>
        <v>51002.7881</v>
      </c>
      <c r="G15" s="24" t="n">
        <f aca="false">'Income Statement'!G4*Assumptions!$B$32</f>
        <v>52022.843862</v>
      </c>
      <c r="H15" s="24" t="n">
        <f aca="false">'Income Statement'!H4*Assumptions!$B$32</f>
        <v>52543.07230062</v>
      </c>
      <c r="I15" s="24" t="n">
        <f aca="false">'Income Statement'!I4*Assumptions!$B$32</f>
        <v>52543.07230062</v>
      </c>
    </row>
    <row r="16" customFormat="false" ht="15" hidden="false" customHeight="false" outlineLevel="0" collapsed="false">
      <c r="A16" s="4" t="s">
        <v>189</v>
      </c>
      <c r="B16" s="16" t="n">
        <v>60000</v>
      </c>
      <c r="C16" s="16" t="n">
        <v>80000</v>
      </c>
      <c r="D16" s="16" t="n">
        <v>90000</v>
      </c>
      <c r="E16" s="23" t="n">
        <f aca="false">D16</f>
        <v>90000</v>
      </c>
      <c r="F16" s="23" t="n">
        <f aca="false">E16</f>
        <v>90000</v>
      </c>
      <c r="G16" s="23" t="n">
        <f aca="false">F16</f>
        <v>90000</v>
      </c>
      <c r="H16" s="23" t="n">
        <f aca="false">G16</f>
        <v>90000</v>
      </c>
      <c r="I16" s="23" t="n">
        <f aca="false">H16</f>
        <v>90000</v>
      </c>
    </row>
    <row r="17" customFormat="false" ht="15" hidden="false" customHeight="false" outlineLevel="0" collapsed="false">
      <c r="A17" s="25" t="s">
        <v>190</v>
      </c>
      <c r="B17" s="23" t="n">
        <f aca="false">B12+B13+B14+B15+B16</f>
        <v>620199</v>
      </c>
      <c r="C17" s="23" t="n">
        <f aca="false">C12+C13+C14+C15+C16</f>
        <v>697544</v>
      </c>
      <c r="D17" s="23" t="n">
        <f aca="false">D12+D13+D14+D15+D16</f>
        <v>720259</v>
      </c>
      <c r="E17" s="23" t="n">
        <f aca="false">E12+E13+E14+E15+E16</f>
        <v>738342.8052</v>
      </c>
      <c r="F17" s="23" t="n">
        <f aca="false">F12+F13+F14+F15+F16</f>
        <v>758115.25266</v>
      </c>
      <c r="G17" s="23" t="n">
        <f aca="false">G12+G13+G14+G15+G16</f>
        <v>775521.2563692</v>
      </c>
      <c r="H17" s="23" t="n">
        <f aca="false">H12+H13+H14+H15+H16</f>
        <v>789398.577929751</v>
      </c>
      <c r="I17" s="23" t="n">
        <f aca="false">I12+I13+I14+I15+I16</f>
        <v>799851.671051682</v>
      </c>
    </row>
    <row r="18" customFormat="false" ht="15" hidden="false" customHeight="false" outlineLevel="0" collapsed="false">
      <c r="A18" s="4" t="s">
        <v>191</v>
      </c>
      <c r="B18" s="23" t="n">
        <f aca="false">B10-B17</f>
        <v>0</v>
      </c>
      <c r="C18" s="23" t="n">
        <f aca="false">C10-C17</f>
        <v>0</v>
      </c>
      <c r="D18" s="23" t="n">
        <f aca="false">D10-D17</f>
        <v>0</v>
      </c>
      <c r="E18" s="23" t="n">
        <f aca="false">E10-E17</f>
        <v>0</v>
      </c>
      <c r="F18" s="23" t="n">
        <f aca="false">F10-F17</f>
        <v>0</v>
      </c>
      <c r="G18" s="23" t="n">
        <f aca="false">G10-G17</f>
        <v>0</v>
      </c>
      <c r="H18" s="23" t="n">
        <f aca="false">H10-H17</f>
        <v>0</v>
      </c>
      <c r="I18" s="23" t="n">
        <f aca="false">I10-I17</f>
        <v>0</v>
      </c>
    </row>
    <row r="19" customFormat="false" ht="15" hidden="false" customHeight="false" outlineLevel="0" collapsed="false">
      <c r="A19" s="4" t="s">
        <v>192</v>
      </c>
      <c r="B19" s="23" t="n">
        <f aca="false">B13-B7-B8</f>
        <v>-25000</v>
      </c>
      <c r="C19" s="23" t="n">
        <f aca="false">C13-C7-C8</f>
        <v>22000</v>
      </c>
      <c r="D19" s="23" t="n">
        <f aca="false">D13-D7-D8</f>
        <v>18100</v>
      </c>
      <c r="E19" s="23" t="n">
        <f aca="false">E13-E7-E8</f>
        <v>28550.2138</v>
      </c>
      <c r="F19" s="23" t="n">
        <f aca="false">F13-F7-F8</f>
        <v>39033.99762</v>
      </c>
      <c r="G19" s="23" t="n">
        <f aca="false">G13-G7-G8</f>
        <v>50029.5571106</v>
      </c>
      <c r="H19" s="23" t="n">
        <f aca="false">H13-H7-H8</f>
        <v>64013.1691959888</v>
      </c>
      <c r="I19" s="23" t="n">
        <f aca="false">I13-I7-I8</f>
        <v>82212.9183445496</v>
      </c>
    </row>
    <row r="21" customFormat="false" ht="15" hidden="false" customHeight="false" outlineLevel="0" collapsed="false">
      <c r="A21" s="21" t="s">
        <v>193</v>
      </c>
      <c r="B21" s="21"/>
      <c r="C21" s="21"/>
      <c r="D21" s="21"/>
      <c r="E21" s="21"/>
      <c r="F21" s="21"/>
      <c r="G21" s="21"/>
      <c r="H21" s="21"/>
      <c r="I21" s="21"/>
    </row>
  </sheetData>
  <mergeCells count="3">
    <mergeCell ref="A1:I1"/>
    <mergeCell ref="A2:I2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3"/>
  </cols>
  <sheetData>
    <row r="1" customFormat="false" ht="21.75" hidden="false" customHeight="true" outlineLevel="0" collapsed="false">
      <c r="A1" s="5" t="s">
        <v>194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3" t="s">
        <v>142</v>
      </c>
      <c r="B3" s="3" t="s">
        <v>92</v>
      </c>
      <c r="C3" s="3" t="s">
        <v>93</v>
      </c>
      <c r="D3" s="3" t="s">
        <v>94</v>
      </c>
      <c r="E3" s="3" t="s">
        <v>95</v>
      </c>
      <c r="F3" s="3" t="s">
        <v>96</v>
      </c>
    </row>
    <row r="4" customFormat="false" ht="15" hidden="false" customHeight="false" outlineLevel="0" collapsed="false">
      <c r="A4" s="4" t="s">
        <v>195</v>
      </c>
      <c r="B4" s="24" t="n">
        <f aca="false">'Income Statement'!E13</f>
        <v>95193.5352</v>
      </c>
      <c r="C4" s="24" t="n">
        <f aca="false">'Income Statement'!F13</f>
        <v>99286.92936</v>
      </c>
      <c r="D4" s="24" t="n">
        <f aca="false">'Income Statement'!G13</f>
        <v>101385.9479472</v>
      </c>
      <c r="E4" s="24" t="n">
        <f aca="false">'Income Statement'!H13</f>
        <v>101357.093121931</v>
      </c>
      <c r="F4" s="24" t="n">
        <f aca="false">'Income Statement'!I13</f>
        <v>101453.093121931</v>
      </c>
    </row>
    <row r="5" customFormat="false" ht="15" hidden="false" customHeight="false" outlineLevel="0" collapsed="false">
      <c r="A5" s="4" t="s">
        <v>145</v>
      </c>
      <c r="B5" s="24" t="n">
        <f aca="false">'Income Statement'!E6</f>
        <v>35112.246</v>
      </c>
      <c r="C5" s="24" t="n">
        <f aca="false">'Income Statement'!F6</f>
        <v>35701.95167</v>
      </c>
      <c r="D5" s="24" t="n">
        <f aca="false">'Income Statement'!G6</f>
        <v>35943.0557592</v>
      </c>
      <c r="E5" s="24" t="n">
        <f aca="false">'Income Statement'!H6</f>
        <v>35824.82202315</v>
      </c>
      <c r="F5" s="24" t="n">
        <f aca="false">'Income Statement'!I6</f>
        <v>35347.157729508</v>
      </c>
    </row>
    <row r="6" customFormat="false" ht="15" hidden="false" customHeight="false" outlineLevel="0" collapsed="false">
      <c r="A6" s="4" t="s">
        <v>196</v>
      </c>
      <c r="B6" s="24" t="n">
        <f aca="false">-(('Balance Sheet'!E5+'Balance Sheet'!E6-'Balance Sheet'!E15)-('Balance Sheet'!D5+'Balance Sheet'!D6-'Balance Sheet'!D15))</f>
        <v>-155.995000000003</v>
      </c>
      <c r="C6" s="24" t="n">
        <f aca="false">-(('Balance Sheet'!F5+'Balance Sheet'!F6-'Balance Sheet'!F15)-('Balance Sheet'!E5+'Balance Sheet'!E6-'Balance Sheet'!E15))</f>
        <v>-472.664849999994</v>
      </c>
      <c r="D6" s="24" t="n">
        <f aca="false">-(('Balance Sheet'!G5+'Balance Sheet'!G6-'Balance Sheet'!G15)-('Balance Sheet'!F5+'Balance Sheet'!F6-'Balance Sheet'!F15))</f>
        <v>-324.563197000003</v>
      </c>
      <c r="E6" s="24" t="n">
        <f aca="false">-(('Balance Sheet'!H5+'Balance Sheet'!H6-'Balance Sheet'!H15)-('Balance Sheet'!G5+'Balance Sheet'!G6-'Balance Sheet'!G15))</f>
        <v>-165.527230469997</v>
      </c>
      <c r="F6" s="24" t="n">
        <f aca="false">-(('Balance Sheet'!I5+'Balance Sheet'!I6-'Balance Sheet'!I15)-('Balance Sheet'!H5+'Balance Sheet'!H6-'Balance Sheet'!H15))</f>
        <v>-0</v>
      </c>
    </row>
    <row r="7" customFormat="false" ht="15" hidden="false" customHeight="false" outlineLevel="0" collapsed="false">
      <c r="A7" s="25" t="s">
        <v>197</v>
      </c>
      <c r="B7" s="23" t="n">
        <f aca="false">B4+B5+B6</f>
        <v>130149.7862</v>
      </c>
      <c r="C7" s="23" t="n">
        <f aca="false">C4+C5+C6</f>
        <v>134516.21618</v>
      </c>
      <c r="D7" s="23" t="n">
        <f aca="false">D4+D5+D6</f>
        <v>137004.4405094</v>
      </c>
      <c r="E7" s="23" t="n">
        <f aca="false">E4+E5+E6</f>
        <v>137016.387914611</v>
      </c>
      <c r="F7" s="23" t="n">
        <f aca="false">F4+F5+F6</f>
        <v>136800.250851439</v>
      </c>
    </row>
    <row r="8" customFormat="false" ht="15" hidden="false" customHeight="false" outlineLevel="0" collapsed="false">
      <c r="A8" s="4" t="s">
        <v>146</v>
      </c>
      <c r="B8" s="23" t="n">
        <f aca="false">-Assumptions!$B$44</f>
        <v>-53000</v>
      </c>
      <c r="C8" s="23" t="n">
        <f aca="false">-Assumptions!$C$44</f>
        <v>-54000</v>
      </c>
      <c r="D8" s="23" t="n">
        <f aca="false">-Assumptions!$D$44</f>
        <v>-53000</v>
      </c>
      <c r="E8" s="23" t="n">
        <f aca="false">-Assumptions!$E$44</f>
        <v>-52000</v>
      </c>
      <c r="F8" s="23" t="n">
        <f aca="false">-Assumptions!$F$44</f>
        <v>-52000</v>
      </c>
    </row>
    <row r="9" customFormat="false" ht="15" hidden="false" customHeight="false" outlineLevel="0" collapsed="false">
      <c r="A9" s="25" t="s">
        <v>198</v>
      </c>
      <c r="B9" s="23" t="n">
        <f aca="false">B7+B8</f>
        <v>77149.7862</v>
      </c>
      <c r="C9" s="23" t="n">
        <f aca="false">C7+C8</f>
        <v>80516.21618</v>
      </c>
      <c r="D9" s="23" t="n">
        <f aca="false">D7+D8</f>
        <v>84004.4405094</v>
      </c>
      <c r="E9" s="23" t="n">
        <f aca="false">E7+E8</f>
        <v>85016.3879146112</v>
      </c>
      <c r="F9" s="23" t="n">
        <f aca="false">F7+F8</f>
        <v>84800.2508514392</v>
      </c>
    </row>
    <row r="10" customFormat="false" ht="15" hidden="false" customHeight="false" outlineLevel="0" collapsed="false">
      <c r="A10" s="4" t="s">
        <v>199</v>
      </c>
      <c r="B10" s="23" t="n">
        <f aca="false">-Assumptions!$B$45</f>
        <v>-87600</v>
      </c>
      <c r="C10" s="23" t="n">
        <f aca="false">-Assumptions!$C$45</f>
        <v>-91000</v>
      </c>
      <c r="D10" s="23" t="n">
        <f aca="false">-Assumptions!$D$45</f>
        <v>-95000</v>
      </c>
      <c r="E10" s="23" t="n">
        <f aca="false">-Assumptions!$E$45</f>
        <v>-99000</v>
      </c>
      <c r="F10" s="23" t="n">
        <f aca="false">-Assumptions!$F$45</f>
        <v>-103000</v>
      </c>
    </row>
    <row r="11" customFormat="false" ht="15" hidden="false" customHeight="false" outlineLevel="0" collapsed="false">
      <c r="A11" s="4" t="s">
        <v>200</v>
      </c>
      <c r="B11" s="23" t="n">
        <f aca="false">Assumptions!$B$46</f>
        <v>10000</v>
      </c>
      <c r="C11" s="23" t="n">
        <f aca="false">Assumptions!$C$46</f>
        <v>10000</v>
      </c>
      <c r="D11" s="23" t="n">
        <f aca="false">Assumptions!$D$46</f>
        <v>10000</v>
      </c>
      <c r="E11" s="23" t="n">
        <f aca="false">Assumptions!$E$46</f>
        <v>11000</v>
      </c>
      <c r="F11" s="23" t="n">
        <f aca="false">Assumptions!$F$46</f>
        <v>12000</v>
      </c>
    </row>
    <row r="12" customFormat="false" ht="15" hidden="false" customHeight="false" outlineLevel="0" collapsed="false">
      <c r="A12" s="4" t="s">
        <v>201</v>
      </c>
      <c r="B12" s="23" t="n">
        <f aca="false">B9+B10+B11</f>
        <v>-450.213799999998</v>
      </c>
      <c r="C12" s="23" t="n">
        <f aca="false">C9+C10+C11</f>
        <v>-483.783819999982</v>
      </c>
      <c r="D12" s="23" t="n">
        <f aca="false">D9+D10+D11</f>
        <v>-995.55949059999</v>
      </c>
      <c r="E12" s="23" t="n">
        <f aca="false">E9+E10+E11</f>
        <v>-2983.6120853888</v>
      </c>
      <c r="F12" s="23" t="n">
        <f aca="false">F9+F10+F11</f>
        <v>-6199.7491485608</v>
      </c>
    </row>
    <row r="13" customFormat="false" ht="15" hidden="false" customHeight="false" outlineLevel="0" collapsed="false">
      <c r="A13" s="4" t="s">
        <v>202</v>
      </c>
      <c r="B13" s="24" t="n">
        <f aca="false">'Balance Sheet'!D7</f>
        <v>42000</v>
      </c>
      <c r="C13" s="24" t="n">
        <f aca="false">'Balance Sheet'!E7</f>
        <v>41549.7862</v>
      </c>
      <c r="D13" s="24" t="n">
        <f aca="false">'Balance Sheet'!F7</f>
        <v>41066.00238</v>
      </c>
      <c r="E13" s="24" t="n">
        <f aca="false">'Balance Sheet'!G7</f>
        <v>40070.4428894</v>
      </c>
      <c r="F13" s="24" t="n">
        <f aca="false">'Balance Sheet'!H7</f>
        <v>37086.8308040112</v>
      </c>
    </row>
    <row r="14" customFormat="false" ht="15" hidden="false" customHeight="false" outlineLevel="0" collapsed="false">
      <c r="A14" s="25" t="s">
        <v>203</v>
      </c>
      <c r="B14" s="23" t="n">
        <f aca="false">B13+B12</f>
        <v>41549.7862</v>
      </c>
      <c r="C14" s="23" t="n">
        <f aca="false">C13+C12</f>
        <v>41066.00238</v>
      </c>
      <c r="D14" s="23" t="n">
        <f aca="false">D13+D12</f>
        <v>40070.4428894</v>
      </c>
      <c r="E14" s="23" t="n">
        <f aca="false">E13+E12</f>
        <v>37086.8308040112</v>
      </c>
      <c r="F14" s="23" t="n">
        <f aca="false">F13+F12</f>
        <v>30887.0816554504</v>
      </c>
    </row>
    <row r="16" customFormat="false" ht="15" hidden="false" customHeight="false" outlineLevel="0" collapsed="false">
      <c r="A16" s="21" t="s">
        <v>204</v>
      </c>
      <c r="B16" s="21"/>
      <c r="C16" s="21"/>
      <c r="D16" s="21"/>
      <c r="E16" s="21"/>
      <c r="F16" s="21"/>
      <c r="G16" s="21"/>
      <c r="H16" s="21"/>
      <c r="I16" s="21"/>
    </row>
  </sheetData>
  <mergeCells count="2">
    <mergeCell ref="A1:I1"/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3"/>
  </cols>
  <sheetData>
    <row r="1" customFormat="false" ht="21.75" hidden="false" customHeight="true" outlineLevel="0" collapsed="false">
      <c r="A1" s="5" t="s">
        <v>205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3" t="s">
        <v>206</v>
      </c>
      <c r="B3" s="3" t="s">
        <v>163</v>
      </c>
      <c r="C3" s="3" t="s">
        <v>164</v>
      </c>
      <c r="D3" s="3" t="s">
        <v>165</v>
      </c>
      <c r="E3" s="3" t="s">
        <v>92</v>
      </c>
      <c r="F3" s="3" t="s">
        <v>93</v>
      </c>
      <c r="G3" s="3" t="s">
        <v>94</v>
      </c>
      <c r="H3" s="3" t="s">
        <v>95</v>
      </c>
      <c r="I3" s="3" t="s">
        <v>96</v>
      </c>
    </row>
    <row r="4" customFormat="false" ht="15" hidden="false" customHeight="false" outlineLevel="0" collapsed="false">
      <c r="A4" s="4" t="s">
        <v>207</v>
      </c>
      <c r="B4" s="24" t="n">
        <f aca="false">'Income Statement'!B4</f>
        <v>440900</v>
      </c>
      <c r="C4" s="24" t="n">
        <f aca="false">'Income Statement'!C4</f>
        <v>480400</v>
      </c>
      <c r="D4" s="24" t="n">
        <f aca="false">'Income Statement'!D4</f>
        <v>445700</v>
      </c>
      <c r="E4" s="24" t="n">
        <f aca="false">'Income Statement'!E4</f>
        <v>450157</v>
      </c>
      <c r="F4" s="24" t="n">
        <f aca="false">'Income Statement'!F4</f>
        <v>463661.71</v>
      </c>
      <c r="G4" s="24" t="n">
        <f aca="false">'Income Statement'!G4</f>
        <v>472934.9442</v>
      </c>
      <c r="H4" s="24" t="n">
        <f aca="false">'Income Statement'!H4</f>
        <v>477664.293642</v>
      </c>
      <c r="I4" s="24" t="n">
        <f aca="false">'Income Statement'!I4</f>
        <v>477664.293642</v>
      </c>
    </row>
    <row r="5" customFormat="false" ht="15" hidden="false" customHeight="false" outlineLevel="0" collapsed="false">
      <c r="A5" s="4" t="s">
        <v>143</v>
      </c>
      <c r="B5" s="24" t="n">
        <f aca="false">'Income Statement'!B5</f>
        <v>230000</v>
      </c>
      <c r="C5" s="24" t="n">
        <f aca="false">'Income Statement'!C5</f>
        <v>210000</v>
      </c>
      <c r="D5" s="24" t="n">
        <f aca="false">'Income Statement'!D5</f>
        <v>199000</v>
      </c>
      <c r="E5" s="24" t="n">
        <f aca="false">'Income Statement'!E5</f>
        <v>200319.865</v>
      </c>
      <c r="F5" s="24" t="n">
        <f aca="false">'Income Statement'!F5</f>
        <v>208647.7695</v>
      </c>
      <c r="G5" s="24" t="n">
        <f aca="false">'Income Statement'!G5</f>
        <v>212820.72489</v>
      </c>
      <c r="H5" s="24" t="n">
        <f aca="false">'Income Statement'!H5</f>
        <v>212560.61067069</v>
      </c>
      <c r="I5" s="24" t="n">
        <f aca="false">'Income Statement'!I5</f>
        <v>212560.61067069</v>
      </c>
    </row>
    <row r="6" customFormat="false" ht="15" hidden="false" customHeight="false" outlineLevel="0" collapsed="false">
      <c r="A6" s="4" t="s">
        <v>168</v>
      </c>
      <c r="B6" s="24" t="n">
        <f aca="false">'Income Statement'!B7</f>
        <v>262000</v>
      </c>
      <c r="C6" s="24" t="n">
        <f aca="false">'Income Statement'!C7</f>
        <v>244000</v>
      </c>
      <c r="D6" s="24" t="n">
        <f aca="false">'Income Statement'!D7</f>
        <v>234000</v>
      </c>
      <c r="E6" s="24" t="n">
        <f aca="false">'Income Statement'!E7</f>
        <v>235432.111</v>
      </c>
      <c r="F6" s="24" t="n">
        <f aca="false">'Income Statement'!F7</f>
        <v>244349.72117</v>
      </c>
      <c r="G6" s="24" t="n">
        <f aca="false">'Income Statement'!G7</f>
        <v>248763.7806492</v>
      </c>
      <c r="H6" s="24" t="n">
        <f aca="false">'Income Statement'!H7</f>
        <v>248385.43269384</v>
      </c>
      <c r="I6" s="24" t="n">
        <f aca="false">'Income Statement'!I7</f>
        <v>247907.768400198</v>
      </c>
    </row>
    <row r="7" customFormat="false" ht="15" hidden="false" customHeight="false" outlineLevel="0" collapsed="false">
      <c r="A7" s="4" t="s">
        <v>208</v>
      </c>
      <c r="B7" s="24" t="n">
        <f aca="false">'Income Statement'!B13</f>
        <v>121300</v>
      </c>
      <c r="C7" s="24" t="n">
        <f aca="false">'Income Statement'!C13</f>
        <v>106246</v>
      </c>
      <c r="D7" s="24" t="n">
        <f aca="false">'Income Statement'!D13</f>
        <v>93400</v>
      </c>
      <c r="E7" s="24" t="n">
        <f aca="false">'Income Statement'!E13</f>
        <v>95193.5352</v>
      </c>
      <c r="F7" s="24" t="n">
        <f aca="false">'Income Statement'!F13</f>
        <v>99286.92936</v>
      </c>
      <c r="G7" s="24" t="n">
        <f aca="false">'Income Statement'!G13</f>
        <v>101385.9479472</v>
      </c>
      <c r="H7" s="24" t="n">
        <f aca="false">'Income Statement'!H13</f>
        <v>101357.093121931</v>
      </c>
      <c r="I7" s="24" t="n">
        <f aca="false">'Income Statement'!I13</f>
        <v>101453.093121931</v>
      </c>
    </row>
    <row r="8" customFormat="false" ht="15" hidden="false" customHeight="false" outlineLevel="0" collapsed="false">
      <c r="A8" s="4" t="s">
        <v>192</v>
      </c>
      <c r="B8" s="24" t="n">
        <f aca="false">'Balance Sheet'!B19</f>
        <v>-25000</v>
      </c>
      <c r="C8" s="24" t="n">
        <f aca="false">'Balance Sheet'!C19</f>
        <v>22000</v>
      </c>
      <c r="D8" s="24" t="n">
        <f aca="false">'Balance Sheet'!D19</f>
        <v>18100</v>
      </c>
      <c r="E8" s="24" t="n">
        <f aca="false">'Balance Sheet'!E19</f>
        <v>28550.2138</v>
      </c>
      <c r="F8" s="24" t="n">
        <f aca="false">'Balance Sheet'!F19</f>
        <v>39033.99762</v>
      </c>
      <c r="G8" s="24" t="n">
        <f aca="false">'Balance Sheet'!G19</f>
        <v>50029.5571106</v>
      </c>
      <c r="H8" s="24" t="n">
        <f aca="false">'Balance Sheet'!H19</f>
        <v>64013.1691959888</v>
      </c>
      <c r="I8" s="24" t="n">
        <f aca="false">'Balance Sheet'!I19</f>
        <v>82212.9183445496</v>
      </c>
    </row>
    <row r="9" customFormat="false" ht="15" hidden="false" customHeight="false" outlineLevel="0" collapsed="false">
      <c r="A9" s="4" t="s">
        <v>185</v>
      </c>
      <c r="B9" s="24" t="n">
        <f aca="false">'Balance Sheet'!B12</f>
        <v>426700</v>
      </c>
      <c r="C9" s="24" t="n">
        <f aca="false">'Balance Sheet'!C12</f>
        <v>442700</v>
      </c>
      <c r="D9" s="24" t="n">
        <f aca="false">'Balance Sheet'!D12</f>
        <v>459132</v>
      </c>
      <c r="E9" s="24" t="n">
        <f aca="false">'Balance Sheet'!E12</f>
        <v>466725.5352</v>
      </c>
      <c r="F9" s="24" t="n">
        <f aca="false">'Balance Sheet'!F12</f>
        <v>475012.46456</v>
      </c>
      <c r="G9" s="24" t="n">
        <f aca="false">'Balance Sheet'!G12</f>
        <v>481398.4125072</v>
      </c>
      <c r="H9" s="24" t="n">
        <f aca="false">'Balance Sheet'!H12</f>
        <v>483755.505629131</v>
      </c>
      <c r="I9" s="24" t="n">
        <f aca="false">'Balance Sheet'!I12</f>
        <v>482208.598751062</v>
      </c>
    </row>
    <row r="11" customFormat="false" ht="15" hidden="false" customHeight="false" outlineLevel="0" collapsed="false">
      <c r="A11" s="4" t="s">
        <v>209</v>
      </c>
      <c r="E11" s="24" t="n">
        <f aca="false">'Cash Flow'!B9</f>
        <v>77149.7862</v>
      </c>
      <c r="F11" s="24" t="n">
        <f aca="false">'Cash Flow'!C9</f>
        <v>80516.21618</v>
      </c>
      <c r="G11" s="24" t="n">
        <f aca="false">'Cash Flow'!D9</f>
        <v>84004.4405094</v>
      </c>
      <c r="H11" s="24" t="n">
        <f aca="false">'Cash Flow'!E9</f>
        <v>85016.3879146112</v>
      </c>
      <c r="I11" s="24" t="n">
        <f aca="false">'Cash Flow'!F9</f>
        <v>84800.2508514392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3"/>
  </cols>
  <sheetData>
    <row r="1" customFormat="false" ht="21.75" hidden="false" customHeight="true" outlineLevel="0" collapsed="false">
      <c r="A1" s="5" t="s">
        <v>210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4" t="s">
        <v>211</v>
      </c>
      <c r="B3" s="8" t="n">
        <v>26.24</v>
      </c>
    </row>
    <row r="4" customFormat="false" ht="15" hidden="false" customHeight="false" outlineLevel="0" collapsed="false">
      <c r="A4" s="4" t="s">
        <v>212</v>
      </c>
      <c r="B4" s="17" t="n">
        <v>0.151166498564755</v>
      </c>
    </row>
    <row r="5" customFormat="false" ht="15" hidden="false" customHeight="false" outlineLevel="0" collapsed="false">
      <c r="A5" s="4" t="s">
        <v>213</v>
      </c>
      <c r="B5" s="17" t="n">
        <v>0.006</v>
      </c>
    </row>
    <row r="6" customFormat="false" ht="15" hidden="false" customHeight="false" outlineLevel="0" collapsed="false">
      <c r="A6" s="4" t="s">
        <v>214</v>
      </c>
      <c r="B6" s="17" t="n">
        <v>0.204573847509903</v>
      </c>
    </row>
    <row r="8" customFormat="false" ht="15" hidden="false" customHeight="false" outlineLevel="0" collapsed="false">
      <c r="A8" s="3" t="s">
        <v>215</v>
      </c>
      <c r="B8" s="3" t="s">
        <v>216</v>
      </c>
      <c r="C8" s="3" t="s">
        <v>217</v>
      </c>
      <c r="D8" s="3" t="s">
        <v>218</v>
      </c>
      <c r="E8" s="3" t="s">
        <v>219</v>
      </c>
      <c r="F8" s="3" t="s">
        <v>220</v>
      </c>
    </row>
    <row r="9" customFormat="false" ht="15" hidden="false" customHeight="false" outlineLevel="0" collapsed="false">
      <c r="A9" s="4" t="s">
        <v>221</v>
      </c>
      <c r="B9" s="8" t="n">
        <v>23.8</v>
      </c>
      <c r="C9" s="8" t="n">
        <v>25.33</v>
      </c>
      <c r="D9" s="8" t="n">
        <v>26.23</v>
      </c>
      <c r="E9" s="8" t="n">
        <v>27.13</v>
      </c>
      <c r="F9" s="8" t="n">
        <v>28.57</v>
      </c>
    </row>
    <row r="10" customFormat="false" ht="15" hidden="false" customHeight="false" outlineLevel="0" collapsed="false">
      <c r="A10" s="4" t="s">
        <v>222</v>
      </c>
      <c r="B10" s="8" t="n">
        <v>21.99</v>
      </c>
      <c r="C10" s="8" t="n">
        <v>24.47</v>
      </c>
      <c r="D10" s="8" t="n">
        <v>26.12</v>
      </c>
      <c r="E10" s="8" t="n">
        <v>27.78</v>
      </c>
      <c r="F10" s="8" t="n">
        <v>30.35</v>
      </c>
    </row>
    <row r="12" customFormat="false" ht="15" hidden="false" customHeight="false" outlineLevel="0" collapsed="false">
      <c r="A12" s="3" t="s">
        <v>223</v>
      </c>
    </row>
    <row r="13" customFormat="false" ht="15" hidden="false" customHeight="false" outlineLevel="0" collapsed="false">
      <c r="A13" s="4" t="s">
        <v>224</v>
      </c>
      <c r="B13" s="17" t="n">
        <v>0.163</v>
      </c>
    </row>
    <row r="14" customFormat="false" ht="15" hidden="false" customHeight="false" outlineLevel="0" collapsed="false">
      <c r="A14" s="4" t="s">
        <v>225</v>
      </c>
      <c r="B14" s="17" t="n">
        <v>0.312</v>
      </c>
    </row>
    <row r="15" customFormat="false" ht="15" hidden="false" customHeight="false" outlineLevel="0" collapsed="false">
      <c r="A15" s="4" t="s">
        <v>226</v>
      </c>
      <c r="B15" s="17" t="n">
        <v>0.542</v>
      </c>
    </row>
    <row r="16" customFormat="false" ht="15" hidden="false" customHeight="false" outlineLevel="0" collapsed="false">
      <c r="A16" s="4" t="s">
        <v>227</v>
      </c>
      <c r="B16" s="17" t="n">
        <v>0.672</v>
      </c>
    </row>
    <row r="17" customFormat="false" ht="15" hidden="false" customHeight="false" outlineLevel="0" collapsed="false">
      <c r="A17" s="4" t="s">
        <v>228</v>
      </c>
      <c r="B17" s="17" t="n">
        <v>0.403</v>
      </c>
    </row>
    <row r="18" customFormat="false" ht="15" hidden="false" customHeight="false" outlineLevel="0" collapsed="false">
      <c r="A18" s="4" t="s">
        <v>229</v>
      </c>
      <c r="B18" s="17" t="n">
        <v>0.223</v>
      </c>
    </row>
    <row r="20" customFormat="false" ht="15" hidden="false" customHeight="false" outlineLevel="0" collapsed="false">
      <c r="A20" s="21" t="s">
        <v>230</v>
      </c>
      <c r="B20" s="21"/>
      <c r="C20" s="21"/>
      <c r="D20" s="21"/>
      <c r="E20" s="21"/>
      <c r="F20" s="21"/>
      <c r="G20" s="21"/>
      <c r="H20" s="21"/>
      <c r="I20" s="21"/>
    </row>
  </sheetData>
  <mergeCells count="2">
    <mergeCell ref="A1:I1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3"/>
  </cols>
  <sheetData>
    <row r="1" customFormat="false" ht="21.75" hidden="false" customHeight="true" outlineLevel="0" collapsed="false">
      <c r="A1" s="5" t="s">
        <v>231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3" t="s">
        <v>232</v>
      </c>
      <c r="B3" s="30" t="s">
        <v>233</v>
      </c>
      <c r="C3" s="30" t="s">
        <v>234</v>
      </c>
      <c r="D3" s="30" t="s">
        <v>235</v>
      </c>
      <c r="E3" s="30" t="s">
        <v>236</v>
      </c>
      <c r="F3" s="30" t="s">
        <v>237</v>
      </c>
    </row>
    <row r="4" customFormat="false" ht="15" hidden="false" customHeight="false" outlineLevel="0" collapsed="false">
      <c r="A4" s="4" t="s">
        <v>238</v>
      </c>
      <c r="B4" s="12" t="n">
        <f aca="false">((DCF!$B$13)+(DCF!$F$9*(1+0.005)/(0.06-0.005))*(1/(1+0.06)^5)-Assumptions!$B$7)*Assumptions!$B$6/Assumptions!$B$5</f>
        <v>23.0812641448589</v>
      </c>
      <c r="C4" s="12" t="n">
        <f aca="false">((DCF!$B$13)+(DCF!$F$9*(1+0.01)/(0.06-0.01))*(1/(1+0.06)^5)-Assumptions!$B$7)*Assumptions!$B$6/Assumptions!$B$5</f>
        <v>24.9865793389924</v>
      </c>
      <c r="D4" s="12" t="n">
        <f aca="false">((DCF!$B$13)+(DCF!$F$9*(1+0.015)/(0.06-0.015))*(1/(1+0.06)^5)-Assumptions!$B$7)*Assumptions!$B$6/Assumptions!$B$5</f>
        <v>27.3152979096</v>
      </c>
      <c r="E4" s="12" t="n">
        <f aca="false">((DCF!$B$13)+(DCF!$F$9*(1+0.02)/(0.06-0.02))*(1/(1+0.06)^5)-Assumptions!$B$7)*Assumptions!$B$6/Assumptions!$B$5</f>
        <v>30.2261961228595</v>
      </c>
      <c r="F4" s="12" t="n">
        <f aca="false">((DCF!$B$13)+(DCF!$F$9*(1+0.025)/(0.06-0.025))*(1/(1+0.06)^5)-Assumptions!$B$7)*Assumptions!$B$6/Assumptions!$B$5</f>
        <v>33.9687795399074</v>
      </c>
    </row>
    <row r="5" customFormat="false" ht="15" hidden="false" customHeight="false" outlineLevel="0" collapsed="false">
      <c r="A5" s="4" t="s">
        <v>239</v>
      </c>
      <c r="B5" s="12" t="n">
        <f aca="false">((DCF!$B$13)+(DCF!$F$9*(1+0.005)/(0.065-0.005))*(1/(1+0.065)^5)-Assumptions!$B$7)*Assumptions!$B$6/Assumptions!$B$5</f>
        <v>21.1908053622192</v>
      </c>
      <c r="C5" s="12" t="n">
        <f aca="false">((DCF!$B$13)+(DCF!$F$9*(1+0.01)/(0.065-0.01))*(1/(1+0.065)^5)-Assumptions!$B$7)*Assumptions!$B$6/Assumptions!$B$5</f>
        <v>22.7489602082197</v>
      </c>
      <c r="D5" s="12" t="n">
        <f aca="false">((DCF!$B$13)+(DCF!$F$9*(1+0.015)/(0.065-0.015))*(1/(1+0.065)^5)-Assumptions!$B$7)*Assumptions!$B$6/Assumptions!$B$5</f>
        <v>24.6187460234202</v>
      </c>
      <c r="E5" s="12" t="n">
        <f aca="false">((DCF!$B$13)+(DCF!$F$9*(1+0.02)/(0.065-0.02))*(1/(1+0.065)^5)-Assumptions!$B$7)*Assumptions!$B$6/Assumptions!$B$5</f>
        <v>26.9040397975542</v>
      </c>
      <c r="F5" s="12" t="n">
        <f aca="false">((DCF!$B$13)+(DCF!$F$9*(1+0.025)/(0.065-0.025))*(1/(1+0.065)^5)-Assumptions!$B$7)*Assumptions!$B$6/Assumptions!$B$5</f>
        <v>29.7606570152218</v>
      </c>
    </row>
    <row r="6" customFormat="false" ht="15" hidden="false" customHeight="false" outlineLevel="0" collapsed="false">
      <c r="A6" s="4" t="s">
        <v>240</v>
      </c>
      <c r="B6" s="12" t="n">
        <f aca="false">((DCF!$B$13)+(DCF!$F$9*(1+0.005)/(0.0675-0.005))*(1/(1+0.0675)^5)-Assumptions!$B$7)*Assumptions!$B$6/Assumptions!$B$5</f>
        <v>20.362875094753</v>
      </c>
      <c r="C6" s="12" t="n">
        <f aca="false">((DCF!$B$13)+(DCF!$F$9*(1+0.01)/(0.0675-0.01))*(1/(1+0.0675)^5)-Assumptions!$B$7)*Assumptions!$B$6/Assumptions!$B$5</f>
        <v>21.7803115193743</v>
      </c>
      <c r="D6" s="12" t="n">
        <f aca="false">((DCF!$B$13)+(DCF!$F$9*(1+0.015)/(0.0675-0.015))*(1/(1+0.0675)^5)-Assumptions!$B$7)*Assumptions!$B$6/Assumptions!$B$5</f>
        <v>23.4677358343997</v>
      </c>
      <c r="E6" s="12" t="n">
        <f aca="false">((DCF!$B$13)+(DCF!$F$9*(1+0.02)/(0.0675-0.02))*(1/(1+0.0675)^5)-Assumptions!$B$7)*Assumptions!$B$6/Assumptions!$B$5</f>
        <v>25.510407373641</v>
      </c>
      <c r="F6" s="12" t="n">
        <f aca="false">((DCF!$B$13)+(DCF!$F$9*(1+0.025)/(0.0675-0.025))*(1/(1+0.0675)^5)-Assumptions!$B$7)*Assumptions!$B$6/Assumptions!$B$5</f>
        <v>28.0337075103507</v>
      </c>
    </row>
    <row r="7" customFormat="false" ht="15" hidden="false" customHeight="false" outlineLevel="0" collapsed="false">
      <c r="A7" s="4" t="s">
        <v>241</v>
      </c>
      <c r="B7" s="12" t="n">
        <f aca="false">((DCF!$B$13)+(DCF!$F$9*(1+0.005)/(0.07-0.005))*(1/(1+0.07)^5)-Assumptions!$B$7)*Assumptions!$B$6/Assumptions!$B$5</f>
        <v>19.6010597385456</v>
      </c>
      <c r="C7" s="12" t="n">
        <f aca="false">((DCF!$B$13)+(DCF!$F$9*(1+0.01)/(0.07-0.01))*(1/(1+0.07)^5)-Assumptions!$B$7)*Assumptions!$B$6/Assumptions!$B$5</f>
        <v>20.8950269389019</v>
      </c>
      <c r="D7" s="12" t="n">
        <f aca="false">((DCF!$B$13)+(DCF!$F$9*(1+0.015)/(0.07-0.015))*(1/(1+0.07)^5)-Assumptions!$B$7)*Assumptions!$B$6/Assumptions!$B$5</f>
        <v>22.4242609029592</v>
      </c>
      <c r="E7" s="12" t="n">
        <f aca="false">((DCF!$B$13)+(DCF!$F$9*(1+0.02)/(0.07-0.02))*(1/(1+0.07)^5)-Assumptions!$B$7)*Assumptions!$B$6/Assumptions!$B$5</f>
        <v>24.2593416598281</v>
      </c>
      <c r="F7" s="12" t="n">
        <f aca="false">((DCF!$B$13)+(DCF!$F$9*(1+0.025)/(0.07-0.025))*(1/(1+0.07)^5)-Assumptions!$B$7)*Assumptions!$B$6/Assumptions!$B$5</f>
        <v>26.5022181404455</v>
      </c>
    </row>
    <row r="8" customFormat="false" ht="15" hidden="false" customHeight="false" outlineLevel="0" collapsed="false">
      <c r="A8" s="4" t="s">
        <v>242</v>
      </c>
      <c r="B8" s="12" t="n">
        <f aca="false">((DCF!$B$13)+(DCF!$F$9*(1+0.005)/(0.075-0.005))*(1/(1+0.075)^5)-Assumptions!$B$7)*Assumptions!$B$6/Assumptions!$B$5</f>
        <v>18.2472930114014</v>
      </c>
      <c r="C8" s="12" t="n">
        <f aca="false">((DCF!$B$13)+(DCF!$F$9*(1+0.01)/(0.075-0.01))*(1/(1+0.075)^5)-Assumptions!$B$7)*Assumptions!$B$6/Assumptions!$B$5</f>
        <v>19.3359165787638</v>
      </c>
      <c r="D8" s="12" t="n">
        <f aca="false">((DCF!$B$13)+(DCF!$F$9*(1+0.015)/(0.075-0.015))*(1/(1+0.075)^5)-Assumptions!$B$7)*Assumptions!$B$6/Assumptions!$B$5</f>
        <v>20.6059774073533</v>
      </c>
      <c r="E8" s="12" t="n">
        <f aca="false">((DCF!$B$13)+(DCF!$F$9*(1+0.02)/(0.075-0.02))*(1/(1+0.075)^5)-Assumptions!$B$7)*Assumptions!$B$6/Assumptions!$B$5</f>
        <v>22.1069583865953</v>
      </c>
      <c r="F8" s="12" t="n">
        <f aca="false">((DCF!$B$13)+(DCF!$F$9*(1+0.025)/(0.075-0.025))*(1/(1+0.075)^5)-Assumptions!$B$7)*Assumptions!$B$6/Assumptions!$B$5</f>
        <v>23.9081355616858</v>
      </c>
    </row>
    <row r="10" customFormat="false" ht="15" hidden="false" customHeight="false" outlineLevel="0" collapsed="false">
      <c r="A10" s="21" t="s">
        <v>243</v>
      </c>
      <c r="B10" s="21"/>
      <c r="C10" s="21"/>
      <c r="D10" s="21"/>
      <c r="E10" s="21"/>
      <c r="F10" s="21"/>
      <c r="G10" s="21"/>
      <c r="H10" s="21"/>
      <c r="I10" s="21"/>
    </row>
  </sheetData>
  <mergeCells count="2">
    <mergeCell ref="A1:I1"/>
    <mergeCell ref="A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3"/>
  </cols>
  <sheetData>
    <row r="1" customFormat="false" ht="21.75" hidden="false" customHeight="true" outlineLevel="0" collapsed="false">
      <c r="A1" s="5" t="s">
        <v>244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4" t="s">
        <v>211</v>
      </c>
      <c r="B3" s="12" t="n">
        <f aca="false">Assumptions!$B$4</f>
        <v>26.24</v>
      </c>
    </row>
    <row r="4" customFormat="false" ht="15" hidden="false" customHeight="false" outlineLevel="0" collapsed="false">
      <c r="A4" s="4" t="s">
        <v>245</v>
      </c>
      <c r="B4" s="26" t="n">
        <f aca="false">Assumptions!$B$5</f>
        <v>242000</v>
      </c>
    </row>
    <row r="5" customFormat="false" ht="15" hidden="false" customHeight="false" outlineLevel="0" collapsed="false">
      <c r="A5" s="4" t="s">
        <v>246</v>
      </c>
      <c r="B5" s="26" t="n">
        <f aca="false">Assumptions!$B$4*Assumptions!$B$5</f>
        <v>6350080</v>
      </c>
    </row>
    <row r="6" customFormat="false" ht="15" hidden="false" customHeight="false" outlineLevel="0" collapsed="false">
      <c r="A6" s="4" t="s">
        <v>247</v>
      </c>
      <c r="B6" s="23" t="n">
        <f aca="false">Assumptions!$B$4*Assumptions!$B$5/Assumptions!$B$6</f>
        <v>1693354.66666667</v>
      </c>
    </row>
    <row r="7" customFormat="false" ht="15" hidden="false" customHeight="false" outlineLevel="0" collapsed="false">
      <c r="A7" s="4" t="s">
        <v>248</v>
      </c>
      <c r="B7" s="23" t="n">
        <f aca="false">Assumptions!$B$4*Assumptions!$B$5/Assumptions!$B$6+Assumptions!$B$7</f>
        <v>1711454.66666667</v>
      </c>
    </row>
    <row r="8" customFormat="false" ht="15" hidden="false" customHeight="false" outlineLevel="0" collapsed="false">
      <c r="A8" s="4" t="s">
        <v>249</v>
      </c>
      <c r="B8" s="6" t="n">
        <f aca="false">'Income Statement'!D13*Assumptions!$B$6/Assumptions!$B$5</f>
        <v>1.44731404958678</v>
      </c>
    </row>
    <row r="9" customFormat="false" ht="15" hidden="false" customHeight="false" outlineLevel="0" collapsed="false">
      <c r="A9" s="4" t="s">
        <v>250</v>
      </c>
      <c r="B9" s="28" t="n">
        <f aca="false">Assumptions!$B$4/('Income Statement'!D13*Assumptions!$B$6/Assumptions!$B$5)</f>
        <v>18.1301356174161</v>
      </c>
    </row>
    <row r="10" customFormat="false" ht="15" hidden="false" customHeight="false" outlineLevel="0" collapsed="false">
      <c r="A10" s="4" t="s">
        <v>251</v>
      </c>
      <c r="B10" s="28" t="n">
        <f aca="false">(Assumptions!$B$4*Assumptions!$B$5/Assumptions!$B$6+Assumptions!$B$7)/'Income Statement'!D7</f>
        <v>7.31390883190883</v>
      </c>
    </row>
    <row r="11" customFormat="false" ht="15" hidden="false" customHeight="false" outlineLevel="0" collapsed="false">
      <c r="A11" s="4" t="s">
        <v>252</v>
      </c>
      <c r="B11" s="12" t="n">
        <f aca="false">Assumptions!$B$21</f>
        <v>1.35681818181818</v>
      </c>
    </row>
    <row r="12" customFormat="false" ht="15" hidden="false" customHeight="false" outlineLevel="0" collapsed="false">
      <c r="A12" s="4" t="s">
        <v>21</v>
      </c>
      <c r="B12" s="7" t="n">
        <f aca="false">Assumptions!$B$21/Assumptions!$B$4</f>
        <v>0.0517080099778271</v>
      </c>
    </row>
    <row r="13" customFormat="false" ht="15" hidden="false" customHeight="false" outlineLevel="0" collapsed="false">
      <c r="A13" s="4" t="s">
        <v>253</v>
      </c>
      <c r="B13" s="7" t="n">
        <f aca="false">87560/85400</f>
        <v>1.02529274004684</v>
      </c>
    </row>
    <row r="14" customFormat="false" ht="15" hidden="false" customHeight="false" outlineLevel="0" collapsed="false">
      <c r="A14" s="4" t="s">
        <v>254</v>
      </c>
      <c r="B14" s="11" t="n">
        <f aca="false">'Balance Sheet'!D19/('Balance Sheet'!D19+'Balance Sheet'!D12)</f>
        <v>0.0379270459650652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3"/>
    <col collapsed="false" customWidth="true" hidden="false" outlineLevel="0" max="5" min="5" style="1" width="40"/>
    <col collapsed="false" customWidth="true" hidden="false" outlineLevel="0" max="10" min="6" style="1" width="13"/>
  </cols>
  <sheetData>
    <row r="1" customFormat="false" ht="21.75" hidden="false" customHeight="true" outlineLevel="0" collapsed="false">
      <c r="A1" s="5" t="s">
        <v>255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3" t="s">
        <v>256</v>
      </c>
      <c r="B3" s="3" t="s">
        <v>257</v>
      </c>
      <c r="C3" s="3" t="s">
        <v>258</v>
      </c>
      <c r="D3" s="3" t="s">
        <v>259</v>
      </c>
      <c r="E3" s="3" t="s">
        <v>260</v>
      </c>
    </row>
    <row r="4" customFormat="false" ht="15" hidden="false" customHeight="false" outlineLevel="0" collapsed="false">
      <c r="A4" s="3" t="s">
        <v>261</v>
      </c>
      <c r="B4" s="28" t="n">
        <f aca="false">'Per-Share &amp; Ratios'!B10</f>
        <v>7.31390883190883</v>
      </c>
      <c r="C4" s="28" t="n">
        <f aca="false">'Per-Share &amp; Ratios'!B8</f>
        <v>1.44731404958678</v>
      </c>
      <c r="D4" s="11" t="n">
        <f aca="false">'Per-Share &amp; Ratios'!B12</f>
        <v>0.0517080099778271</v>
      </c>
      <c r="E4" s="27" t="s">
        <v>262</v>
      </c>
    </row>
    <row r="5" customFormat="false" ht="15" hidden="false" customHeight="false" outlineLevel="0" collapsed="false">
      <c r="A5" s="4" t="s">
        <v>263</v>
      </c>
      <c r="B5" s="19" t="n">
        <v>5.5</v>
      </c>
      <c r="C5" s="19" t="n">
        <v>13</v>
      </c>
      <c r="D5" s="17" t="n">
        <v>0.035</v>
      </c>
      <c r="E5" s="27" t="s">
        <v>264</v>
      </c>
    </row>
    <row r="6" customFormat="false" ht="15" hidden="false" customHeight="false" outlineLevel="0" collapsed="false">
      <c r="A6" s="4" t="s">
        <v>265</v>
      </c>
      <c r="B6" s="19" t="n">
        <v>5.8</v>
      </c>
      <c r="C6" s="19" t="n">
        <v>13.5</v>
      </c>
      <c r="D6" s="17" t="n">
        <v>0.045</v>
      </c>
      <c r="E6" s="27" t="s">
        <v>264</v>
      </c>
    </row>
    <row r="7" customFormat="false" ht="15" hidden="false" customHeight="false" outlineLevel="0" collapsed="false">
      <c r="A7" s="4" t="s">
        <v>266</v>
      </c>
      <c r="B7" s="19" t="n">
        <v>4.5</v>
      </c>
      <c r="C7" s="19" t="n">
        <v>9.5</v>
      </c>
      <c r="D7" s="17" t="n">
        <v>0.04</v>
      </c>
      <c r="E7" s="27" t="s">
        <v>267</v>
      </c>
    </row>
    <row r="8" customFormat="false" ht="15" hidden="false" customHeight="false" outlineLevel="0" collapsed="false">
      <c r="A8" s="4" t="s">
        <v>268</v>
      </c>
      <c r="B8" s="19" t="n">
        <v>4.2</v>
      </c>
      <c r="C8" s="19" t="n">
        <v>8.5</v>
      </c>
      <c r="D8" s="17" t="n">
        <v>0.055</v>
      </c>
      <c r="E8" s="27" t="s">
        <v>269</v>
      </c>
    </row>
    <row r="9" customFormat="false" ht="15" hidden="false" customHeight="false" outlineLevel="0" collapsed="false">
      <c r="A9" s="4" t="s">
        <v>270</v>
      </c>
      <c r="B9" s="19" t="n">
        <v>3.5</v>
      </c>
      <c r="C9" s="19" t="n">
        <v>8</v>
      </c>
      <c r="D9" s="17" t="n">
        <v>0.06</v>
      </c>
      <c r="E9" s="27" t="s">
        <v>271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2026-07-01T08:44:20Z</dcterms:created>
  <dc:creator>openpyxl</dc:creator>
  <dc:description/>
  <dc:language>en-US</dc:language>
  <cp:lastModifiedBy/>
  <dcterms:modified xsi:type="dcterms:W3CDTF">2026-07-01T08:44:20Z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