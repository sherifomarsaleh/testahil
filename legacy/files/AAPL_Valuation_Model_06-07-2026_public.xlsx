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undamental Valuation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SOTP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Relative &amp; Normalized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Income Statement" sheetId="9" state="visible" r:id="rId9"/>
    <sheet xmlns:r="http://schemas.openxmlformats.org/officeDocument/2006/relationships" name="Balance Sheet" sheetId="10" state="visible" r:id="rId10"/>
    <sheet xmlns:r="http://schemas.openxmlformats.org/officeDocument/2006/relationships" name="Cash Flow" sheetId="11" state="visible" r:id="rId11"/>
    <sheet xmlns:r="http://schemas.openxmlformats.org/officeDocument/2006/relationships" name="Summary Financials" sheetId="12" state="visible" r:id="rId12"/>
    <sheet xmlns:r="http://schemas.openxmlformats.org/officeDocument/2006/relationships" name="Monte Carlo" sheetId="13" state="visible" r:id="rId13"/>
    <sheet xmlns:r="http://schemas.openxmlformats.org/officeDocument/2006/relationships" name="Sensitivity" sheetId="14" state="visible" r:id="rId14"/>
    <sheet xmlns:r="http://schemas.openxmlformats.org/officeDocument/2006/relationships" name="Per-Share &amp; Ratios" sheetId="15" state="visible" r:id="rId15"/>
    <sheet xmlns:r="http://schemas.openxmlformats.org/officeDocument/2006/relationships" name="Peer &amp; Secto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"/>
    <numFmt numFmtId="165" formatCode="#,##0.0"/>
    <numFmt numFmtId="166" formatCode="$#,##0"/>
    <numFmt numFmtId="167" formatCode="0.0%"/>
    <numFmt numFmtId="168" formatCode="$#,##0.0"/>
    <numFmt numFmtId="169" formatCode="0.000"/>
    <numFmt numFmtId="170" formatCode="0.0&quot;x&quot;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sz val="10"/>
    </font>
    <font>
      <name val="Arial"/>
      <b val="1"/>
      <i val="1"/>
      <color rgb="001B5E5E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1B5E5E"/>
      </patternFill>
    </fill>
    <fill>
      <patternFill patternType="solid">
        <fgColor rgb="002A8F8F"/>
      </patternFill>
    </fill>
    <fill>
      <patternFill patternType="solid">
        <fgColor rgb="00DCE9E9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top style="thin">
        <color rgb="00666666"/>
      </top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3" borderId="1" applyAlignment="1" pivotButton="0" quotePrefix="0" xfId="0">
      <alignment horizontal="left"/>
    </xf>
    <xf numFmtId="0" fontId="4" fillId="3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164" fontId="8" fillId="0" borderId="1" applyAlignment="1" pivotButton="0" quotePrefix="0" xfId="0">
      <alignment horizontal="right"/>
    </xf>
    <xf numFmtId="165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0" fontId="8" fillId="0" borderId="1" applyAlignment="1" pivotButton="0" quotePrefix="0" xfId="0">
      <alignment horizontal="right"/>
    </xf>
    <xf numFmtId="167" fontId="8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left"/>
    </xf>
    <xf numFmtId="164" fontId="7" fillId="4" borderId="1" applyAlignment="1" pivotButton="0" quotePrefix="0" xfId="0">
      <alignment horizontal="right"/>
    </xf>
    <xf numFmtId="167" fontId="5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3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168" fontId="8" fillId="0" borderId="1" applyAlignment="1" pivotButton="0" quotePrefix="0" xfId="0">
      <alignment horizontal="right"/>
    </xf>
    <xf numFmtId="168" fontId="7" fillId="0" borderId="1" applyAlignment="1" pivotButton="0" quotePrefix="0" xfId="0">
      <alignment horizontal="right"/>
    </xf>
    <xf numFmtId="168" fontId="6" fillId="0" borderId="1" applyAlignment="1" pivotButton="0" quotePrefix="0" xfId="0">
      <alignment horizontal="right"/>
    </xf>
    <xf numFmtId="168" fontId="7" fillId="0" borderId="2" applyAlignment="1" pivotButton="0" quotePrefix="0" xfId="0">
      <alignment horizontal="right"/>
    </xf>
    <xf numFmtId="168" fontId="5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169" fontId="8" fillId="0" borderId="1" applyAlignment="1" pivotButton="0" quotePrefix="0" xfId="0">
      <alignment horizontal="right"/>
    </xf>
    <xf numFmtId="167" fontId="4" fillId="3" borderId="1" applyAlignment="1" pivotButton="0" quotePrefix="0" xfId="0">
      <alignment horizontal="center"/>
    </xf>
    <xf numFmtId="166" fontId="5" fillId="0" borderId="1" applyAlignment="1" pivotButton="0" quotePrefix="0" xfId="0">
      <alignment horizontal="right"/>
    </xf>
    <xf numFmtId="166" fontId="7" fillId="4" borderId="1" applyAlignment="1" pivotButton="0" quotePrefix="0" xfId="0">
      <alignment horizontal="right"/>
    </xf>
    <xf numFmtId="170" fontId="8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 ht="26" customHeight="1">
      <c r="A1" s="1" t="inlineStr">
        <is>
          <t>Testahil · Independent Valuation Study — Educational Analysis · Not investment advice</t>
        </is>
      </c>
    </row>
    <row r="3">
      <c r="A3" s="2" t="inlineStr"/>
    </row>
    <row r="4">
      <c r="A4" s="3" t="inlineStr">
        <is>
          <t>Apple Inc. (NASDAQ: AAPL) — valuation model workbook</t>
        </is>
      </c>
    </row>
    <row r="5">
      <c r="A5" s="2" t="inlineStr"/>
    </row>
    <row r="6">
      <c r="A6" s="2" t="inlineStr">
        <is>
          <t>This workbook accompanies the Testahil valuation study. It is an educational model, not investment advice,</t>
        </is>
      </c>
    </row>
    <row r="7">
      <c r="A7" s="2" t="inlineStr">
        <is>
          <t>not a recommendation, and not a price target. Testahil publishes fair-value ranges and probability</t>
        </is>
      </c>
    </row>
    <row r="8">
      <c r="A8" s="3" t="inlineStr">
        <is>
          <t>distributions — never a buy / sell / hold rating.</t>
        </is>
      </c>
    </row>
    <row r="9">
      <c r="A9" s="2" t="inlineStr"/>
    </row>
    <row r="10">
      <c r="A10" s="3" t="inlineStr">
        <is>
          <t>How the model is wired</t>
        </is>
      </c>
    </row>
    <row r="11">
      <c r="A11" s="2" t="inlineStr">
        <is>
          <t xml:space="preserve">  •  The Assumptions sheet is the single blue-cell input layer. Every blue cell is an input you can change.</t>
        </is>
      </c>
    </row>
    <row r="12">
      <c r="A12" s="2" t="inlineStr">
        <is>
          <t xml:space="preserve">  •  All downstream sheets link back to Assumptions — change one growth rate, margin, multiple or the WACC</t>
        </is>
      </c>
    </row>
    <row r="13">
      <c r="A13" s="2" t="inlineStr">
        <is>
          <t xml:space="preserve">     and the whole model reprices.</t>
        </is>
      </c>
    </row>
    <row r="14">
      <c r="A14" s="2" t="inlineStr">
        <is>
          <t xml:space="preserve">  •  Black text = formulas / calculations.  Blue text = hard-coded inputs.  Green text = cross-sheet links.</t>
        </is>
      </c>
    </row>
    <row r="15">
      <c r="A15" s="2" t="inlineStr">
        <is>
          <t xml:space="preserve">  •  Historical figures (FY2023–FY2025) are from Apple's Form 10-K filings; forecasts (FY2026E–FY2030E)</t>
        </is>
      </c>
    </row>
    <row r="16">
      <c r="A16" s="2" t="inlineStr">
        <is>
          <t xml:space="preserve">     are the model's own, driven from Assumptions.</t>
        </is>
      </c>
    </row>
    <row r="17">
      <c r="A17" s="2" t="inlineStr"/>
    </row>
    <row r="18">
      <c r="A18" s="3" t="inlineStr">
        <is>
          <t>Reading order</t>
        </is>
      </c>
    </row>
    <row r="19">
      <c r="A19" s="2" t="inlineStr">
        <is>
          <t xml:space="preserve">  Summary  →  Fundamental Valuation  →  Assumptions  →  SOTP / Segments / Relative &amp; Normalized / DCF</t>
        </is>
      </c>
    </row>
    <row r="20">
      <c r="A20" s="2" t="inlineStr">
        <is>
          <t xml:space="preserve">  →  Income Statement / Balance Sheet / Cash Flow / Summary Financials  →  Monte Carlo  →  Sensitivity</t>
        </is>
      </c>
    </row>
    <row r="21">
      <c r="A21" s="2" t="inlineStr">
        <is>
          <t xml:space="preserve">  →  Per-Share &amp; Ratios  →  Peer &amp; Sector.</t>
        </is>
      </c>
    </row>
    <row r="22">
      <c r="A22" s="2" t="inlineStr"/>
    </row>
    <row r="23">
      <c r="A23" s="3" t="inlineStr">
        <is>
          <t>The preparer may hold, and may in the future take or dispose of, a position in the security discussed.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1" t="inlineStr">
        <is>
          <t>Summary — Apple Inc. (NASDAQ: AAPL)</t>
        </is>
      </c>
    </row>
    <row r="3" ht="16" customHeight="1">
      <c r="A3" s="4" t="inlineStr">
        <is>
          <t>Item</t>
        </is>
      </c>
      <c r="B3" s="5" t="inlineStr">
        <is>
          <t>Value</t>
        </is>
      </c>
    </row>
    <row r="4">
      <c r="A4" s="6" t="inlineStr">
        <is>
          <t>Spot price (USD)</t>
        </is>
      </c>
      <c r="B4" s="7">
        <f>Assumptions!$B$4</f>
        <v/>
      </c>
    </row>
    <row r="5">
      <c r="A5" s="6" t="inlineStr">
        <is>
          <t>Shares outstanding (bn)</t>
        </is>
      </c>
      <c r="B5" s="8">
        <f>Assumptions!$B$5</f>
        <v/>
      </c>
    </row>
    <row r="6">
      <c r="A6" s="6" t="inlineStr">
        <is>
          <t>Market cap (USD bn)</t>
        </is>
      </c>
      <c r="B6" s="9">
        <f>Assumptions!$B$4*Assumptions!$B$5</f>
        <v/>
      </c>
    </row>
    <row r="7">
      <c r="A7" s="6" t="inlineStr">
        <is>
          <t>Weighted central fair value — base (USD)</t>
        </is>
      </c>
      <c r="B7" s="7">
        <f>'Fundamental Valuation'!C8</f>
        <v/>
      </c>
    </row>
    <row r="8">
      <c r="A8" s="6" t="inlineStr">
        <is>
          <t>Central range — bear→bull (USD)</t>
        </is>
      </c>
      <c r="B8" s="10">
        <f>'Fundamental Valuation'!B8&amp;"  –  "&amp;TEXT('Fundamental Valuation'!D8,"$0.00")</f>
        <v/>
      </c>
    </row>
    <row r="9">
      <c r="A9" s="6" t="inlineStr">
        <is>
          <t>Spot vs central (base)</t>
        </is>
      </c>
      <c r="B9" s="11">
        <f>'Fundamental Valuation'!C10</f>
        <v/>
      </c>
    </row>
    <row r="10">
      <c r="A10" s="6" t="inlineStr">
        <is>
          <t>DCF fair value — base (USD)</t>
        </is>
      </c>
      <c r="B10" s="7">
        <f>DCF!B23</f>
        <v/>
      </c>
    </row>
    <row r="11">
      <c r="A11" s="6" t="inlineStr">
        <is>
          <t>WACC  |  Ke = rf+β·ERP  |  g</t>
        </is>
      </c>
      <c r="B11" s="11">
        <f>Assumptions!$B$11</f>
        <v/>
      </c>
    </row>
    <row r="12">
      <c r="A12" s="6" t="inlineStr">
        <is>
          <t>Monte Carlo — P(above spot) T+60</t>
        </is>
      </c>
      <c r="B12" s="12" t="n">
        <v>0.40154</v>
      </c>
    </row>
    <row r="13">
      <c r="A13" s="6" t="inlineStr">
        <is>
          <t>Monte Carlo — median T+60 (USD)</t>
        </is>
      </c>
      <c r="B13" s="13" t="n">
        <v>302.5890631415905</v>
      </c>
    </row>
    <row r="14">
      <c r="A14" s="6" t="inlineStr">
        <is>
          <t>Monte Carlo — 50% band T+60 (USD)</t>
        </is>
      </c>
      <c r="B14" s="14" t="inlineStr">
        <is>
          <t>276 – 333</t>
        </is>
      </c>
    </row>
    <row r="16">
      <c r="A16" s="15" t="inlineStr">
        <is>
          <t>Educational analysis — not investment advice, not a rating, not a price target.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26" customHeight="1">
      <c r="A1" s="1" t="inlineStr">
        <is>
          <t>Fundamental valuation — four-lens synthesis</t>
        </is>
      </c>
    </row>
    <row r="3" ht="16" customHeight="1">
      <c r="A3" s="4" t="inlineStr">
        <is>
          <t>Lens</t>
        </is>
      </c>
      <c r="B3" s="5" t="inlineStr">
        <is>
          <t>Bear</t>
        </is>
      </c>
      <c r="C3" s="5" t="inlineStr">
        <is>
          <t>Base</t>
        </is>
      </c>
      <c r="D3" s="5" t="inlineStr">
        <is>
          <t>Bull</t>
        </is>
      </c>
      <c r="E3" s="5" t="inlineStr">
        <is>
          <t>Weight</t>
        </is>
      </c>
    </row>
    <row r="4">
      <c r="A4" s="6" t="inlineStr">
        <is>
          <t>Consolidated DCF</t>
        </is>
      </c>
      <c r="B4" s="16" t="n">
        <v>143.1</v>
      </c>
      <c r="C4" s="7">
        <f>DCF!B23</f>
        <v/>
      </c>
      <c r="D4" s="16" t="n">
        <v>199.8</v>
      </c>
      <c r="E4" s="11">
        <f>Assumptions!B35</f>
        <v/>
      </c>
    </row>
    <row r="5">
      <c r="A5" s="6" t="inlineStr">
        <is>
          <t>Relative multiples</t>
        </is>
      </c>
      <c r="B5" s="7">
        <f>'Relative &amp; Normalized'!B6</f>
        <v/>
      </c>
      <c r="C5" s="7">
        <f>'Relative &amp; Normalized'!C6</f>
        <v/>
      </c>
      <c r="D5" s="7">
        <f>'Relative &amp; Normalized'!D6</f>
        <v/>
      </c>
      <c r="E5" s="11">
        <f>Assumptions!B36</f>
        <v/>
      </c>
    </row>
    <row r="6">
      <c r="A6" s="6" t="inlineStr">
        <is>
          <t>Normalized earnings</t>
        </is>
      </c>
      <c r="B6" s="7">
        <f>'Relative &amp; Normalized'!B9</f>
        <v/>
      </c>
      <c r="C6" s="7">
        <f>'Relative &amp; Normalized'!C9</f>
        <v/>
      </c>
      <c r="D6" s="7">
        <f>'Relative &amp; Normalized'!D9</f>
        <v/>
      </c>
      <c r="E6" s="11">
        <f>Assumptions!B37</f>
        <v/>
      </c>
    </row>
    <row r="7">
      <c r="A7" s="6" t="inlineStr">
        <is>
          <t>Segment sum-of-parts</t>
        </is>
      </c>
      <c r="B7" s="16" t="n">
        <v>157</v>
      </c>
      <c r="C7" s="7">
        <f>SOTP!B12</f>
        <v/>
      </c>
      <c r="D7" s="16" t="n">
        <v>210.9</v>
      </c>
      <c r="E7" s="11">
        <f>Assumptions!B38</f>
        <v/>
      </c>
    </row>
    <row r="8">
      <c r="A8" s="17" t="inlineStr">
        <is>
          <t>Weighted central</t>
        </is>
      </c>
      <c r="B8" s="18">
        <f>SUMPRODUCT(B4:B7,$E4:$E7)</f>
        <v/>
      </c>
      <c r="C8" s="18">
        <f>SUMPRODUCT(C4:C7,$E4:$E7)</f>
        <v/>
      </c>
      <c r="D8" s="18">
        <f>SUMPRODUCT(D4:D7,$E4:$E7)</f>
        <v/>
      </c>
    </row>
    <row r="9">
      <c r="A9" s="6" t="inlineStr">
        <is>
          <t>Spot price</t>
        </is>
      </c>
      <c r="C9" s="7">
        <f>Assumptions!$B$4</f>
        <v/>
      </c>
    </row>
    <row r="10">
      <c r="A10" s="6" t="inlineStr">
        <is>
          <t>Spot vs central (base)</t>
        </is>
      </c>
      <c r="C10" s="19">
        <f>C9/C8-1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" customWidth="1" min="8" max="8"/>
    <col width="40" customWidth="1" min="9" max="9"/>
  </cols>
  <sheetData>
    <row r="1" ht="26" customHeight="1">
      <c r="A1" s="1" t="inlineStr">
        <is>
          <t>Assumptions — the single blue-cell input layer</t>
        </is>
      </c>
    </row>
    <row r="3" ht="16" customHeight="1">
      <c r="A3" s="4" t="inlineStr">
        <is>
          <t>Market data &amp; cost of capital</t>
        </is>
      </c>
      <c r="B3" s="5" t="inlineStr">
        <is>
          <t>Value</t>
        </is>
      </c>
    </row>
    <row r="4">
      <c r="A4" s="6" t="inlineStr">
        <is>
          <t>Spot price (USD)</t>
        </is>
      </c>
      <c r="B4" s="13" t="n">
        <v>313.09</v>
      </c>
    </row>
    <row r="5">
      <c r="A5" s="6" t="inlineStr">
        <is>
          <t>Shares outstanding (bn)</t>
        </is>
      </c>
      <c r="B5" s="20" t="n">
        <v>14.776</v>
      </c>
    </row>
    <row r="6">
      <c r="A6" s="6" t="inlineStr">
        <is>
          <t>Net cash (USD bn)</t>
        </is>
      </c>
      <c r="B6" s="21" t="n">
        <v>34.4</v>
      </c>
    </row>
    <row r="7">
      <c r="A7" s="6" t="inlineStr">
        <is>
          <t>Risk-free rate (rf)</t>
        </is>
      </c>
      <c r="B7" s="12" t="n">
        <v>0.045</v>
      </c>
    </row>
    <row r="8">
      <c r="A8" s="6" t="inlineStr">
        <is>
          <t>Equity risk premium (ERP)</t>
        </is>
      </c>
      <c r="B8" s="12" t="n">
        <v>0.05</v>
      </c>
    </row>
    <row r="9">
      <c r="A9" s="6" t="inlineStr">
        <is>
          <t>Beta</t>
        </is>
      </c>
      <c r="B9" s="20" t="n">
        <v>1.1</v>
      </c>
    </row>
    <row r="10">
      <c r="A10" s="17" t="inlineStr">
        <is>
          <t>Cost of equity  Ke = rf + β·ERP</t>
        </is>
      </c>
      <c r="B10" s="19">
        <f>B7+B9*B8</f>
        <v/>
      </c>
    </row>
    <row r="11">
      <c r="A11" s="6" t="inlineStr">
        <is>
          <t>WACC (base)</t>
        </is>
      </c>
      <c r="B11" s="12" t="n">
        <v>0.095</v>
      </c>
    </row>
    <row r="12">
      <c r="A12" s="6" t="inlineStr">
        <is>
          <t>Terminal growth g (base)</t>
        </is>
      </c>
      <c r="B12" s="12" t="n">
        <v>0.035</v>
      </c>
    </row>
    <row r="13">
      <c r="A13" s="6" t="inlineStr">
        <is>
          <t>Normalized tax rate</t>
        </is>
      </c>
      <c r="B13" s="12" t="n">
        <v>0.16</v>
      </c>
    </row>
    <row r="15" ht="16" customHeight="1">
      <c r="A15" s="4" t="inlineStr">
        <is>
          <t>Segment revenue growth (YoY)</t>
        </is>
      </c>
      <c r="B15" s="5" t="inlineStr">
        <is>
          <t>FY26E</t>
        </is>
      </c>
      <c r="C15" s="5" t="inlineStr">
        <is>
          <t>FY27E</t>
        </is>
      </c>
      <c r="D15" s="5" t="inlineStr">
        <is>
          <t>FY28E</t>
        </is>
      </c>
      <c r="E15" s="5" t="inlineStr">
        <is>
          <t>FY29E</t>
        </is>
      </c>
      <c r="F15" s="5" t="inlineStr">
        <is>
          <t>FY30E</t>
        </is>
      </c>
    </row>
    <row r="16">
      <c r="A16" s="6" t="inlineStr">
        <is>
          <t>iPhone</t>
        </is>
      </c>
      <c r="B16" s="12" t="n">
        <v>0.04</v>
      </c>
      <c r="C16" s="12" t="n">
        <v>0.03</v>
      </c>
      <c r="D16" s="12" t="n">
        <v>0.03</v>
      </c>
      <c r="E16" s="12" t="n">
        <v>0.025</v>
      </c>
      <c r="F16" s="12" t="n">
        <v>0.02</v>
      </c>
    </row>
    <row r="17">
      <c r="A17" s="6" t="inlineStr">
        <is>
          <t>Mac</t>
        </is>
      </c>
      <c r="B17" s="12" t="n">
        <v>0.05</v>
      </c>
      <c r="C17" s="12" t="n">
        <v>0.04</v>
      </c>
      <c r="D17" s="12" t="n">
        <v>0.04</v>
      </c>
      <c r="E17" s="12" t="n">
        <v>0.03</v>
      </c>
      <c r="F17" s="12" t="n">
        <v>0.03</v>
      </c>
    </row>
    <row r="18">
      <c r="A18" s="6" t="inlineStr">
        <is>
          <t>iPad</t>
        </is>
      </c>
      <c r="B18" s="12" t="n">
        <v>0.03</v>
      </c>
      <c r="C18" s="12" t="n">
        <v>0.03</v>
      </c>
      <c r="D18" s="12" t="n">
        <v>0.02</v>
      </c>
      <c r="E18" s="12" t="n">
        <v>0.02</v>
      </c>
      <c r="F18" s="12" t="n">
        <v>0.02</v>
      </c>
    </row>
    <row r="19">
      <c r="A19" s="6" t="inlineStr">
        <is>
          <t>Wearables</t>
        </is>
      </c>
      <c r="B19" s="12" t="n">
        <v>0.01</v>
      </c>
      <c r="C19" s="12" t="n">
        <v>0.02</v>
      </c>
      <c r="D19" s="12" t="n">
        <v>0.03</v>
      </c>
      <c r="E19" s="12" t="n">
        <v>0.03</v>
      </c>
      <c r="F19" s="12" t="n">
        <v>0.03</v>
      </c>
    </row>
    <row r="20">
      <c r="A20" s="6" t="inlineStr">
        <is>
          <t>Services</t>
        </is>
      </c>
      <c r="B20" s="12" t="n">
        <v>0.13</v>
      </c>
      <c r="C20" s="12" t="n">
        <v>0.12</v>
      </c>
      <c r="D20" s="12" t="n">
        <v>0.11</v>
      </c>
      <c r="E20" s="12" t="n">
        <v>0.1</v>
      </c>
      <c r="F20" s="12" t="n">
        <v>0.1</v>
      </c>
    </row>
    <row r="21">
      <c r="A21" s="17" t="inlineStr">
        <is>
          <t>EBIT margin</t>
        </is>
      </c>
      <c r="B21" s="12" t="n">
        <v>0.325</v>
      </c>
      <c r="C21" s="12" t="n">
        <v>0.33</v>
      </c>
      <c r="D21" s="12" t="n">
        <v>0.335</v>
      </c>
      <c r="E21" s="12" t="n">
        <v>0.34</v>
      </c>
      <c r="F21" s="12" t="n">
        <v>0.345</v>
      </c>
    </row>
    <row r="22">
      <c r="A22" s="6" t="inlineStr">
        <is>
          <t>Depreciation &amp; amort. (USD bn)</t>
        </is>
      </c>
      <c r="B22" s="20" t="n">
        <v>12.5</v>
      </c>
      <c r="C22" s="20" t="n">
        <v>13.2</v>
      </c>
      <c r="D22" s="20" t="n">
        <v>13.9</v>
      </c>
      <c r="E22" s="20" t="n">
        <v>14.6</v>
      </c>
      <c r="F22" s="20" t="n">
        <v>15.3</v>
      </c>
    </row>
    <row r="23">
      <c r="A23" s="6" t="inlineStr">
        <is>
          <t>Capex (USD bn)</t>
        </is>
      </c>
      <c r="B23" s="20" t="n">
        <v>12.5</v>
      </c>
      <c r="C23" s="20" t="n">
        <v>13</v>
      </c>
      <c r="D23" s="20" t="n">
        <v>13.5</v>
      </c>
      <c r="E23" s="20" t="n">
        <v>14</v>
      </c>
      <c r="F23" s="20" t="n">
        <v>14.5</v>
      </c>
    </row>
    <row r="24">
      <c r="A24" s="6" t="inlineStr">
        <is>
          <t>Δ net working capital (USD bn)</t>
        </is>
      </c>
      <c r="B24" s="20" t="n">
        <v>2</v>
      </c>
      <c r="C24" s="20" t="n">
        <v>2</v>
      </c>
      <c r="D24" s="20" t="n">
        <v>2</v>
      </c>
      <c r="E24" s="20" t="n">
        <v>2</v>
      </c>
      <c r="F24" s="20" t="n">
        <v>2</v>
      </c>
    </row>
    <row r="25">
      <c r="A25" s="6" t="inlineStr">
        <is>
          <t>Diluted shares (bn)</t>
        </is>
      </c>
      <c r="B25" s="20" t="n">
        <v>14.55</v>
      </c>
      <c r="C25" s="20" t="n">
        <v>14.15</v>
      </c>
      <c r="D25" s="20" t="n">
        <v>13.8</v>
      </c>
      <c r="E25" s="20" t="n">
        <v>13.5</v>
      </c>
      <c r="F25" s="20" t="n">
        <v>13.25</v>
      </c>
    </row>
    <row r="27" ht="16" customHeight="1">
      <c r="A27" s="4" t="inlineStr">
        <is>
          <t>Valuation-lens inputs</t>
        </is>
      </c>
      <c r="B27" s="5" t="inlineStr">
        <is>
          <t>Bear</t>
        </is>
      </c>
      <c r="C27" s="5" t="inlineStr">
        <is>
          <t>Base</t>
        </is>
      </c>
      <c r="D27" s="5" t="inlineStr">
        <is>
          <t>Bull</t>
        </is>
      </c>
    </row>
    <row r="28">
      <c r="A28" s="6" t="inlineStr">
        <is>
          <t>Forward P/E multiple (×)</t>
        </is>
      </c>
      <c r="B28" s="20" t="n">
        <v>26</v>
      </c>
      <c r="C28" s="20" t="n">
        <v>30</v>
      </c>
      <c r="D28" s="20" t="n">
        <v>34</v>
      </c>
    </row>
    <row r="29">
      <c r="A29" s="6" t="inlineStr">
        <is>
          <t>Normalized EPS (USD)</t>
        </is>
      </c>
      <c r="B29" s="13" t="n">
        <v>7.9</v>
      </c>
      <c r="C29" s="6" t="inlineStr">
        <is>
          <t>Normalized P/E (×)</t>
        </is>
      </c>
    </row>
    <row r="30">
      <c r="A30" s="6" t="inlineStr">
        <is>
          <t>Normalized P/E (×)</t>
        </is>
      </c>
      <c r="B30" s="20" t="n">
        <v>27</v>
      </c>
      <c r="C30" s="20" t="n">
        <v>32</v>
      </c>
      <c r="D30" s="20" t="n">
        <v>36</v>
      </c>
    </row>
    <row r="31">
      <c r="A31" s="6" t="inlineStr">
        <is>
          <t>Services EBIT margin (of svc rev)</t>
        </is>
      </c>
      <c r="B31" s="12" t="n">
        <v>0.42</v>
      </c>
    </row>
    <row r="32">
      <c r="A32" s="6" t="inlineStr">
        <is>
          <t>Products EBIT margin (of prod rev)</t>
        </is>
      </c>
      <c r="B32" s="12" t="n">
        <v>0.3</v>
      </c>
    </row>
    <row r="33">
      <c r="A33" s="6" t="inlineStr">
        <is>
          <t>Services EV / EBIT multiple (×)</t>
        </is>
      </c>
      <c r="B33" s="20" t="n">
        <v>22</v>
      </c>
      <c r="C33" s="20" t="n">
        <v>26</v>
      </c>
      <c r="D33" s="20" t="n">
        <v>30</v>
      </c>
    </row>
    <row r="34">
      <c r="A34" s="6" t="inlineStr">
        <is>
          <t>Products EV / EBIT multiple (×)</t>
        </is>
      </c>
      <c r="B34" s="20" t="n">
        <v>12</v>
      </c>
      <c r="C34" s="20" t="n">
        <v>14</v>
      </c>
      <c r="D34" s="20" t="n">
        <v>16</v>
      </c>
    </row>
    <row r="35">
      <c r="A35" s="6" t="inlineStr">
        <is>
          <t>Lens weight — DCF</t>
        </is>
      </c>
      <c r="B35" s="12" t="n">
        <v>0.3</v>
      </c>
    </row>
    <row r="36">
      <c r="A36" s="6" t="inlineStr">
        <is>
          <t>Lens weight — Relative</t>
        </is>
      </c>
      <c r="B36" s="12" t="n">
        <v>0.3</v>
      </c>
    </row>
    <row r="37">
      <c r="A37" s="6" t="inlineStr">
        <is>
          <t>Lens weight — Normalized</t>
        </is>
      </c>
      <c r="B37" s="12" t="n">
        <v>0.2</v>
      </c>
    </row>
    <row r="38">
      <c r="A38" s="6" t="inlineStr">
        <is>
          <t>Lens weight — Segment SOTP</t>
        </is>
      </c>
      <c r="B38" s="12" t="n">
        <v>0.2</v>
      </c>
    </row>
    <row r="40" ht="16" customHeight="1">
      <c r="A40" s="4" t="inlineStr">
        <is>
          <t>Monte Carlo parameters</t>
        </is>
      </c>
      <c r="B40" s="5" t="inlineStr">
        <is>
          <t>Value</t>
        </is>
      </c>
    </row>
    <row r="41">
      <c r="A41" s="6" t="inlineStr">
        <is>
          <t>Paths</t>
        </is>
      </c>
      <c r="B41" s="22" t="n">
        <v>50000</v>
      </c>
    </row>
    <row r="42">
      <c r="A42" s="6" t="inlineStr">
        <is>
          <t>Seed</t>
        </is>
      </c>
      <c r="B42" s="22" t="n">
        <v>42</v>
      </c>
    </row>
    <row r="43">
      <c r="A43" s="6" t="inlineStr">
        <is>
          <t>Horizon (trading days)</t>
        </is>
      </c>
      <c r="B43" s="22" t="n">
        <v>60</v>
      </c>
    </row>
    <row r="44">
      <c r="A44" s="6" t="inlineStr">
        <is>
          <t>Diffusion vol — YZ-HAR (ann.)</t>
        </is>
      </c>
      <c r="B44" s="12" t="n">
        <v>0.2843208644932081</v>
      </c>
    </row>
    <row r="45">
      <c r="A45" s="6" t="inlineStr">
        <is>
          <t>Drift mode</t>
        </is>
      </c>
      <c r="B45" s="23" t="inlineStr">
        <is>
          <t>zero (international)</t>
        </is>
      </c>
    </row>
    <row r="46">
      <c r="A46" s="6" t="inlineStr">
        <is>
          <t>Innovation shape</t>
        </is>
      </c>
      <c r="B46" s="23" t="inlineStr">
        <is>
          <t>Student-t(5)</t>
        </is>
      </c>
    </row>
    <row r="47">
      <c r="A47" s="6" t="inlineStr">
        <is>
          <t>Continuous factors</t>
        </is>
      </c>
      <c r="B47" s="22" t="n">
        <v>7</v>
      </c>
    </row>
    <row r="48">
      <c r="A48" s="6" t="inlineStr">
        <is>
          <t>Discrete event factors</t>
        </is>
      </c>
      <c r="B48" s="22" t="n">
        <v>9</v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 ht="26" customHeight="1">
      <c r="A1" s="1" t="inlineStr">
        <is>
          <t>Segment sum-of-parts — Services vs Products (base case)</t>
        </is>
      </c>
    </row>
    <row r="3" ht="16" customHeight="1">
      <c r="A3" s="4" t="inlineStr"/>
      <c r="B3" s="5" t="inlineStr">
        <is>
          <t>USD bn</t>
        </is>
      </c>
    </row>
    <row r="4">
      <c r="A4" s="6" t="inlineStr">
        <is>
          <t>Services revenue (FY26E)</t>
        </is>
      </c>
      <c r="B4" s="24">
        <f>Segments!E8</f>
        <v/>
      </c>
    </row>
    <row r="5">
      <c r="A5" s="6" t="inlineStr">
        <is>
          <t>Services EBIT (× margin)</t>
        </is>
      </c>
      <c r="B5" s="24">
        <f>B4*Assumptions!B31</f>
        <v/>
      </c>
    </row>
    <row r="6">
      <c r="A6" s="17" t="inlineStr">
        <is>
          <t>Services value (× EV/EBIT base)</t>
        </is>
      </c>
      <c r="B6" s="25">
        <f>B5*Assumptions!C33</f>
        <v/>
      </c>
    </row>
    <row r="7">
      <c r="A7" s="6" t="inlineStr">
        <is>
          <t>Products revenue (FY26E)</t>
        </is>
      </c>
      <c r="B7" s="24">
        <f>Segments!E11</f>
        <v/>
      </c>
    </row>
    <row r="8">
      <c r="A8" s="6" t="inlineStr">
        <is>
          <t>Products EBIT (× margin)</t>
        </is>
      </c>
      <c r="B8" s="24">
        <f>B7*Assumptions!B32</f>
        <v/>
      </c>
    </row>
    <row r="9">
      <c r="A9" s="17" t="inlineStr">
        <is>
          <t>Products value (× EV/EBIT base)</t>
        </is>
      </c>
      <c r="B9" s="25">
        <f>B8*Assumptions!C34</f>
        <v/>
      </c>
    </row>
    <row r="10">
      <c r="A10" s="6" t="inlineStr">
        <is>
          <t>+ Net cash</t>
        </is>
      </c>
      <c r="B10" s="24">
        <f>Assumptions!$B$6</f>
        <v/>
      </c>
    </row>
    <row r="11">
      <c r="A11" s="17" t="inlineStr">
        <is>
          <t>Equity value</t>
        </is>
      </c>
      <c r="B11" s="25">
        <f>B6+B9+B10</f>
        <v/>
      </c>
    </row>
    <row r="12">
      <c r="A12" s="17" t="inlineStr">
        <is>
          <t>Fair value per share (USD)</t>
        </is>
      </c>
      <c r="B12" s="18">
        <f>B11/Assumptions!$B$5</f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6" customHeight="1">
      <c r="A1" s="1" t="inlineStr">
        <is>
          <t>Segment revenue — actual (10-K) and forecast</t>
        </is>
      </c>
    </row>
    <row r="3" ht="16" customHeight="1">
      <c r="A3" s="4" t="inlineStr">
        <is>
          <t>USD bn</t>
        </is>
      </c>
      <c r="B3" s="5" t="inlineStr">
        <is>
          <t>FY23</t>
        </is>
      </c>
      <c r="C3" s="5" t="inlineStr">
        <is>
          <t>FY24</t>
        </is>
      </c>
      <c r="D3" s="5" t="inlineStr">
        <is>
          <t>FY25</t>
        </is>
      </c>
      <c r="E3" s="5" t="inlineStr">
        <is>
          <t>FY26E</t>
        </is>
      </c>
      <c r="F3" s="5" t="inlineStr">
        <is>
          <t>FY27E</t>
        </is>
      </c>
      <c r="G3" s="5" t="inlineStr">
        <is>
          <t>FY28E</t>
        </is>
      </c>
      <c r="H3" s="5" t="inlineStr">
        <is>
          <t>FY29E</t>
        </is>
      </c>
      <c r="I3" s="5" t="inlineStr">
        <is>
          <t>FY30E</t>
        </is>
      </c>
    </row>
    <row r="4">
      <c r="A4" s="6" t="inlineStr">
        <is>
          <t>iPhone</t>
        </is>
      </c>
      <c r="B4" s="26" t="n">
        <v>200.583</v>
      </c>
      <c r="C4" s="26" t="n">
        <v>201.183</v>
      </c>
      <c r="D4" s="26" t="n">
        <v>209.59</v>
      </c>
      <c r="E4" s="24">
        <f>D4*(1+Assumptions!$B$16)</f>
        <v/>
      </c>
      <c r="F4" s="24">
        <f>E4*(1+Assumptions!$C$16)</f>
        <v/>
      </c>
      <c r="G4" s="24">
        <f>F4*(1+Assumptions!$D$16)</f>
        <v/>
      </c>
      <c r="H4" s="24">
        <f>G4*(1+Assumptions!$E$16)</f>
        <v/>
      </c>
      <c r="I4" s="24">
        <f>H4*(1+Assumptions!$F$16)</f>
        <v/>
      </c>
    </row>
    <row r="5">
      <c r="A5" s="6" t="inlineStr">
        <is>
          <t>Mac</t>
        </is>
      </c>
      <c r="B5" s="26" t="n">
        <v>29.357</v>
      </c>
      <c r="C5" s="26" t="n">
        <v>29.984</v>
      </c>
      <c r="D5" s="26" t="n">
        <v>33.71</v>
      </c>
      <c r="E5" s="24">
        <f>D5*(1+Assumptions!$B$17)</f>
        <v/>
      </c>
      <c r="F5" s="24">
        <f>E5*(1+Assumptions!$C$17)</f>
        <v/>
      </c>
      <c r="G5" s="24">
        <f>F5*(1+Assumptions!$D$17)</f>
        <v/>
      </c>
      <c r="H5" s="24">
        <f>G5*(1+Assumptions!$E$17)</f>
        <v/>
      </c>
      <c r="I5" s="24">
        <f>H5*(1+Assumptions!$F$17)</f>
        <v/>
      </c>
    </row>
    <row r="6">
      <c r="A6" s="6" t="inlineStr">
        <is>
          <t>iPad</t>
        </is>
      </c>
      <c r="B6" s="26" t="n">
        <v>28.3</v>
      </c>
      <c r="C6" s="26" t="n">
        <v>26.694</v>
      </c>
      <c r="D6" s="26" t="n">
        <v>28.02</v>
      </c>
      <c r="E6" s="24">
        <f>D6*(1+Assumptions!$B$18)</f>
        <v/>
      </c>
      <c r="F6" s="24">
        <f>E6*(1+Assumptions!$C$18)</f>
        <v/>
      </c>
      <c r="G6" s="24">
        <f>F6*(1+Assumptions!$D$18)</f>
        <v/>
      </c>
      <c r="H6" s="24">
        <f>G6*(1+Assumptions!$E$18)</f>
        <v/>
      </c>
      <c r="I6" s="24">
        <f>H6*(1+Assumptions!$F$18)</f>
        <v/>
      </c>
    </row>
    <row r="7">
      <c r="A7" s="6" t="inlineStr">
        <is>
          <t>Wearables</t>
        </is>
      </c>
      <c r="B7" s="26" t="n">
        <v>39.845</v>
      </c>
      <c r="C7" s="26" t="n">
        <v>37.005</v>
      </c>
      <c r="D7" s="26" t="n">
        <v>35.69</v>
      </c>
      <c r="E7" s="24">
        <f>D7*(1+Assumptions!$B$19)</f>
        <v/>
      </c>
      <c r="F7" s="24">
        <f>E7*(1+Assumptions!$C$19)</f>
        <v/>
      </c>
      <c r="G7" s="24">
        <f>F7*(1+Assumptions!$D$19)</f>
        <v/>
      </c>
      <c r="H7" s="24">
        <f>G7*(1+Assumptions!$E$19)</f>
        <v/>
      </c>
      <c r="I7" s="24">
        <f>H7*(1+Assumptions!$F$19)</f>
        <v/>
      </c>
    </row>
    <row r="8">
      <c r="A8" s="6" t="inlineStr">
        <is>
          <t>Services</t>
        </is>
      </c>
      <c r="B8" s="26" t="n">
        <v>85.2</v>
      </c>
      <c r="C8" s="26" t="n">
        <v>96.169</v>
      </c>
      <c r="D8" s="26" t="n">
        <v>109.16</v>
      </c>
      <c r="E8" s="24">
        <f>D8*(1+Assumptions!$B$20)</f>
        <v/>
      </c>
      <c r="F8" s="24">
        <f>E8*(1+Assumptions!$C$20)</f>
        <v/>
      </c>
      <c r="G8" s="24">
        <f>F8*(1+Assumptions!$D$20)</f>
        <v/>
      </c>
      <c r="H8" s="24">
        <f>G8*(1+Assumptions!$E$20)</f>
        <v/>
      </c>
      <c r="I8" s="24">
        <f>H8*(1+Assumptions!$F$20)</f>
        <v/>
      </c>
    </row>
    <row r="9">
      <c r="A9" s="17" t="inlineStr">
        <is>
          <t>Total revenue</t>
        </is>
      </c>
      <c r="B9" s="27">
        <f>SUM(B4:B8)</f>
        <v/>
      </c>
      <c r="C9" s="27">
        <f>SUM(C4:C8)</f>
        <v/>
      </c>
      <c r="D9" s="27">
        <f>SUM(D4:D8)</f>
        <v/>
      </c>
      <c r="E9" s="27">
        <f>SUM(E4:E8)</f>
        <v/>
      </c>
      <c r="F9" s="27">
        <f>SUM(F4:F8)</f>
        <v/>
      </c>
      <c r="G9" s="27">
        <f>SUM(G4:G8)</f>
        <v/>
      </c>
      <c r="H9" s="27">
        <f>SUM(H4:H8)</f>
        <v/>
      </c>
      <c r="I9" s="27">
        <f>SUM(I4:I8)</f>
        <v/>
      </c>
    </row>
    <row r="10">
      <c r="A10" s="6" t="inlineStr">
        <is>
          <t>Services % of revenue</t>
        </is>
      </c>
      <c r="B10" s="19">
        <f>B8/B9</f>
        <v/>
      </c>
      <c r="C10" s="19">
        <f>C8/C9</f>
        <v/>
      </c>
      <c r="D10" s="19">
        <f>D8/D9</f>
        <v/>
      </c>
      <c r="E10" s="19">
        <f>E8/E9</f>
        <v/>
      </c>
      <c r="F10" s="19">
        <f>F8/F9</f>
        <v/>
      </c>
      <c r="G10" s="19">
        <f>G8/G9</f>
        <v/>
      </c>
      <c r="H10" s="19">
        <f>H8/H9</f>
        <v/>
      </c>
      <c r="I10" s="19">
        <f>I8/I9</f>
        <v/>
      </c>
    </row>
    <row r="11">
      <c r="A11" s="6" t="inlineStr">
        <is>
          <t>Products revenue</t>
        </is>
      </c>
      <c r="B11" s="28">
        <f>B9-B8</f>
        <v/>
      </c>
      <c r="C11" s="28">
        <f>C9-C8</f>
        <v/>
      </c>
      <c r="D11" s="28">
        <f>D9-D8</f>
        <v/>
      </c>
      <c r="E11" s="28">
        <f>E9-E8</f>
        <v/>
      </c>
      <c r="F11" s="28">
        <f>F9-F8</f>
        <v/>
      </c>
      <c r="G11" s="28">
        <f>G9-G8</f>
        <v/>
      </c>
      <c r="H11" s="28">
        <f>H9-H8</f>
        <v/>
      </c>
      <c r="I11" s="28">
        <f>I9-I8</f>
        <v/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</cols>
  <sheetData>
    <row r="1" ht="26" customHeight="1">
      <c r="A1" s="1" t="inlineStr">
        <is>
          <t>Relative multiples &amp; normalized earnings power</t>
        </is>
      </c>
    </row>
    <row r="3" ht="16" customHeight="1">
      <c r="A3" s="4" t="inlineStr"/>
      <c r="B3" s="5" t="inlineStr">
        <is>
          <t>Bear</t>
        </is>
      </c>
      <c r="C3" s="5" t="inlineStr">
        <is>
          <t>Base</t>
        </is>
      </c>
      <c r="D3" s="5" t="inlineStr">
        <is>
          <t>Bull</t>
        </is>
      </c>
    </row>
    <row r="4">
      <c r="A4" s="6" t="inlineStr">
        <is>
          <t>Forward EPS FY26E (USD)</t>
        </is>
      </c>
      <c r="B4" s="7">
        <f>'Income Statement'!E16</f>
        <v/>
      </c>
      <c r="C4" s="7">
        <f>'Income Statement'!E16</f>
        <v/>
      </c>
      <c r="D4" s="7">
        <f>'Income Statement'!E16</f>
        <v/>
      </c>
    </row>
    <row r="5">
      <c r="A5" s="6" t="inlineStr">
        <is>
          <t>Forward P/E multiple (×)</t>
        </is>
      </c>
      <c r="B5" s="8">
        <f>Assumptions!B28</f>
        <v/>
      </c>
      <c r="C5" s="8">
        <f>Assumptions!C28</f>
        <v/>
      </c>
      <c r="D5" s="8">
        <f>Assumptions!D28</f>
        <v/>
      </c>
    </row>
    <row r="6">
      <c r="A6" s="17" t="inlineStr">
        <is>
          <t>Relative fair value (USD)</t>
        </is>
      </c>
      <c r="B6" s="29">
        <f>B4*B5</f>
        <v/>
      </c>
      <c r="C6" s="29">
        <f>C4*C5</f>
        <v/>
      </c>
      <c r="D6" s="29">
        <f>D4*D5</f>
        <v/>
      </c>
    </row>
    <row r="7">
      <c r="A7" s="6" t="inlineStr">
        <is>
          <t>Normalized EPS (USD)</t>
        </is>
      </c>
      <c r="B7" s="7">
        <f>Assumptions!B29</f>
        <v/>
      </c>
      <c r="C7" s="7">
        <f>Assumptions!B29</f>
        <v/>
      </c>
      <c r="D7" s="7">
        <f>Assumptions!B29</f>
        <v/>
      </c>
    </row>
    <row r="8">
      <c r="A8" s="6" t="inlineStr">
        <is>
          <t>Normalized P/E (×)</t>
        </is>
      </c>
      <c r="B8" s="8">
        <f>Assumptions!B30</f>
        <v/>
      </c>
      <c r="C8" s="8">
        <f>Assumptions!C30</f>
        <v/>
      </c>
      <c r="D8" s="8">
        <f>Assumptions!D30</f>
        <v/>
      </c>
    </row>
    <row r="9">
      <c r="A9" s="17" t="inlineStr">
        <is>
          <t>Normalized fair value (USD)</t>
        </is>
      </c>
      <c r="B9" s="29">
        <f>B7*B8</f>
        <v/>
      </c>
      <c r="C9" s="29">
        <f>C7*C8</f>
        <v/>
      </c>
      <c r="D9" s="29">
        <f>D7*D8</f>
        <v/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6" customHeight="1">
      <c r="A1" s="1" t="inlineStr">
        <is>
          <t>Discounted cash flow — consolidated, five-year explicit (USD bn)</t>
        </is>
      </c>
    </row>
    <row r="3" ht="16" customHeight="1">
      <c r="A3" s="4" t="inlineStr">
        <is>
          <t>USD bn</t>
        </is>
      </c>
      <c r="B3" s="5" t="inlineStr">
        <is>
          <t>FY26E</t>
        </is>
      </c>
      <c r="C3" s="5" t="inlineStr">
        <is>
          <t>FY27E</t>
        </is>
      </c>
      <c r="D3" s="5" t="inlineStr">
        <is>
          <t>FY28E</t>
        </is>
      </c>
      <c r="E3" s="5" t="inlineStr">
        <is>
          <t>FY29E</t>
        </is>
      </c>
      <c r="F3" s="5" t="inlineStr">
        <is>
          <t>FY30E</t>
        </is>
      </c>
    </row>
    <row r="4">
      <c r="A4" s="6" t="inlineStr">
        <is>
          <t>Revenue</t>
        </is>
      </c>
      <c r="B4" s="24">
        <f>'Income Statement'!E4</f>
        <v/>
      </c>
      <c r="C4" s="24">
        <f>'Income Statement'!F4</f>
        <v/>
      </c>
      <c r="D4" s="24">
        <f>'Income Statement'!G4</f>
        <v/>
      </c>
      <c r="E4" s="24">
        <f>'Income Statement'!H4</f>
        <v/>
      </c>
      <c r="F4" s="24">
        <f>'Income Statement'!I4</f>
        <v/>
      </c>
    </row>
    <row r="5">
      <c r="A5" s="6" t="inlineStr">
        <is>
          <t>EBITDA</t>
        </is>
      </c>
      <c r="B5" s="24">
        <f>'Income Statement'!E11</f>
        <v/>
      </c>
      <c r="C5" s="24">
        <f>'Income Statement'!F11</f>
        <v/>
      </c>
      <c r="D5" s="24">
        <f>'Income Statement'!G11</f>
        <v/>
      </c>
      <c r="E5" s="24">
        <f>'Income Statement'!H11</f>
        <v/>
      </c>
      <c r="F5" s="24">
        <f>'Income Statement'!I11</f>
        <v/>
      </c>
    </row>
    <row r="6">
      <c r="A6" s="6" t="inlineStr">
        <is>
          <t xml:space="preserve">  Depreciation &amp; amortization</t>
        </is>
      </c>
      <c r="B6" s="24">
        <f>'Income Statement'!E10</f>
        <v/>
      </c>
      <c r="C6" s="24">
        <f>'Income Statement'!F10</f>
        <v/>
      </c>
      <c r="D6" s="24">
        <f>'Income Statement'!G10</f>
        <v/>
      </c>
      <c r="E6" s="24">
        <f>'Income Statement'!H10</f>
        <v/>
      </c>
      <c r="F6" s="24">
        <f>'Income Statement'!I10</f>
        <v/>
      </c>
    </row>
    <row r="7">
      <c r="A7" s="17" t="inlineStr">
        <is>
          <t>EBIT</t>
        </is>
      </c>
      <c r="B7" s="25">
        <f>'Income Statement'!E8</f>
        <v/>
      </c>
      <c r="C7" s="25">
        <f>'Income Statement'!F8</f>
        <v/>
      </c>
      <c r="D7" s="25">
        <f>'Income Statement'!G8</f>
        <v/>
      </c>
      <c r="E7" s="25">
        <f>'Income Statement'!H8</f>
        <v/>
      </c>
      <c r="F7" s="25">
        <f>'Income Statement'!I8</f>
        <v/>
      </c>
    </row>
    <row r="8">
      <c r="A8" s="6" t="inlineStr">
        <is>
          <t>NOPAT = EBIT × (1 − t)</t>
        </is>
      </c>
      <c r="B8" s="24">
        <f>B7*(1-Assumptions!$B$13)</f>
        <v/>
      </c>
      <c r="C8" s="24">
        <f>C7*(1-Assumptions!$B$13)</f>
        <v/>
      </c>
      <c r="D8" s="24">
        <f>D7*(1-Assumptions!$B$13)</f>
        <v/>
      </c>
      <c r="E8" s="24">
        <f>E7*(1-Assumptions!$B$13)</f>
        <v/>
      </c>
      <c r="F8" s="24">
        <f>F7*(1-Assumptions!$B$13)</f>
        <v/>
      </c>
    </row>
    <row r="9">
      <c r="A9" s="6" t="inlineStr">
        <is>
          <t xml:space="preserve">  + Depreciation &amp; amortization</t>
        </is>
      </c>
      <c r="B9" s="28">
        <f>B6</f>
        <v/>
      </c>
      <c r="C9" s="28">
        <f>C6</f>
        <v/>
      </c>
      <c r="D9" s="28">
        <f>D6</f>
        <v/>
      </c>
      <c r="E9" s="28">
        <f>E6</f>
        <v/>
      </c>
      <c r="F9" s="28">
        <f>F6</f>
        <v/>
      </c>
    </row>
    <row r="10">
      <c r="A10" s="6" t="inlineStr">
        <is>
          <t xml:space="preserve">  − Capex</t>
        </is>
      </c>
      <c r="B10" s="24">
        <f>-Assumptions!B23</f>
        <v/>
      </c>
      <c r="C10" s="24">
        <f>-Assumptions!C23</f>
        <v/>
      </c>
      <c r="D10" s="24">
        <f>-Assumptions!D23</f>
        <v/>
      </c>
      <c r="E10" s="24">
        <f>-Assumptions!E23</f>
        <v/>
      </c>
      <c r="F10" s="24">
        <f>-Assumptions!F23</f>
        <v/>
      </c>
    </row>
    <row r="11">
      <c r="A11" s="6" t="inlineStr">
        <is>
          <t xml:space="preserve">  − Δ working capital</t>
        </is>
      </c>
      <c r="B11" s="24">
        <f>-Assumptions!B24</f>
        <v/>
      </c>
      <c r="C11" s="24">
        <f>-Assumptions!C24</f>
        <v/>
      </c>
      <c r="D11" s="24">
        <f>-Assumptions!D24</f>
        <v/>
      </c>
      <c r="E11" s="24">
        <f>-Assumptions!E24</f>
        <v/>
      </c>
      <c r="F11" s="24">
        <f>-Assumptions!F24</f>
        <v/>
      </c>
    </row>
    <row r="12">
      <c r="A12" s="17" t="inlineStr">
        <is>
          <t>Free cash flow to firm (FCFF)</t>
        </is>
      </c>
      <c r="B12" s="25">
        <f>B8+B9+B10+B11</f>
        <v/>
      </c>
      <c r="C12" s="25">
        <f>C8+C9+C10+C11</f>
        <v/>
      </c>
      <c r="D12" s="25">
        <f>D8+D9+D10+D11</f>
        <v/>
      </c>
      <c r="E12" s="25">
        <f>E8+E9+E10+E11</f>
        <v/>
      </c>
      <c r="F12" s="25">
        <f>F8+F9+F10+F11</f>
        <v/>
      </c>
    </row>
    <row r="13">
      <c r="A13" s="6" t="inlineStr">
        <is>
          <t>Discount factor @ WACC</t>
        </is>
      </c>
      <c r="B13" s="30">
        <f>1/(1+Assumptions!$B$11)^1</f>
        <v/>
      </c>
      <c r="C13" s="30">
        <f>1/(1+Assumptions!$B$11)^2</f>
        <v/>
      </c>
      <c r="D13" s="30">
        <f>1/(1+Assumptions!$B$11)^3</f>
        <v/>
      </c>
      <c r="E13" s="30">
        <f>1/(1+Assumptions!$B$11)^4</f>
        <v/>
      </c>
      <c r="F13" s="30">
        <f>1/(1+Assumptions!$B$11)^5</f>
        <v/>
      </c>
    </row>
    <row r="14">
      <c r="A14" s="17" t="inlineStr">
        <is>
          <t>PV of FCFF</t>
        </is>
      </c>
      <c r="B14" s="25">
        <f>B12*B13</f>
        <v/>
      </c>
      <c r="C14" s="25">
        <f>C12*C13</f>
        <v/>
      </c>
      <c r="D14" s="25">
        <f>D12*D13</f>
        <v/>
      </c>
      <c r="E14" s="25">
        <f>E12*E13</f>
        <v/>
      </c>
      <c r="F14" s="25">
        <f>F12*F13</f>
        <v/>
      </c>
    </row>
    <row r="16">
      <c r="A16" s="17" t="inlineStr">
        <is>
          <t>Sum PV of explicit FCFF</t>
        </is>
      </c>
      <c r="B16" s="25">
        <f>SUM(B14:F14)</f>
        <v/>
      </c>
    </row>
    <row r="17">
      <c r="A17" s="6" t="inlineStr">
        <is>
          <t>Terminal value = FCFF₅·(1+g)/(WACC−g)</t>
        </is>
      </c>
      <c r="B17" s="28">
        <f>F12*(1+Assumptions!$B$12)/(Assumptions!$B$11-Assumptions!$B$12)</f>
        <v/>
      </c>
    </row>
    <row r="18">
      <c r="A18" s="6" t="inlineStr">
        <is>
          <t>PV of terminal value</t>
        </is>
      </c>
      <c r="B18" s="28">
        <f>B17/(1+Assumptions!$B$11)^5</f>
        <v/>
      </c>
    </row>
    <row r="19">
      <c r="A19" s="17" t="inlineStr">
        <is>
          <t>Enterprise value</t>
        </is>
      </c>
      <c r="B19" s="25">
        <f>B16+B18</f>
        <v/>
      </c>
    </row>
    <row r="20">
      <c r="A20" s="6" t="inlineStr">
        <is>
          <t>TV as % of EV</t>
        </is>
      </c>
      <c r="B20" s="19">
        <f>B18/B19</f>
        <v/>
      </c>
    </row>
    <row r="21">
      <c r="A21" s="6" t="inlineStr">
        <is>
          <t>+ Net cash</t>
        </is>
      </c>
      <c r="B21" s="24">
        <f>Assumptions!$B$6</f>
        <v/>
      </c>
    </row>
    <row r="22">
      <c r="A22" s="17" t="inlineStr">
        <is>
          <t>Equity value</t>
        </is>
      </c>
      <c r="B22" s="25">
        <f>B19+B21</f>
        <v/>
      </c>
    </row>
    <row r="23">
      <c r="A23" s="17" t="inlineStr">
        <is>
          <t>Fair value per share (USD)</t>
        </is>
      </c>
      <c r="B23" s="18">
        <f>B22/Assumptions!$B$5</f>
        <v/>
      </c>
    </row>
    <row r="24">
      <c r="A24" s="6" t="inlineStr">
        <is>
          <t>Ke = rf + β·ERP  |  WACC  |  g</t>
        </is>
      </c>
      <c r="B24" s="19">
        <f>Assumptions!$B$10</f>
        <v/>
      </c>
      <c r="C24" s="19">
        <f>Assumptions!$B$11</f>
        <v/>
      </c>
      <c r="D24" s="19">
        <f>Assumptions!$B$12</f>
        <v/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6" customHeight="1">
      <c r="A1" s="1" t="inlineStr">
        <is>
          <t>Income statement — 3 years actual + 5-year forecast (USD bn)</t>
        </is>
      </c>
    </row>
    <row r="3" ht="16" customHeight="1">
      <c r="A3" s="4" t="inlineStr">
        <is>
          <t>USD bn</t>
        </is>
      </c>
      <c r="B3" s="5" t="inlineStr">
        <is>
          <t>FY23</t>
        </is>
      </c>
      <c r="C3" s="5" t="inlineStr">
        <is>
          <t>FY24</t>
        </is>
      </c>
      <c r="D3" s="5" t="inlineStr">
        <is>
          <t>FY25</t>
        </is>
      </c>
      <c r="E3" s="5" t="inlineStr">
        <is>
          <t>FY26E</t>
        </is>
      </c>
      <c r="F3" s="5" t="inlineStr">
        <is>
          <t>FY27E</t>
        </is>
      </c>
      <c r="G3" s="5" t="inlineStr">
        <is>
          <t>FY28E</t>
        </is>
      </c>
      <c r="H3" s="5" t="inlineStr">
        <is>
          <t>FY29E</t>
        </is>
      </c>
      <c r="I3" s="5" t="inlineStr">
        <is>
          <t>FY30E</t>
        </is>
      </c>
    </row>
    <row r="4">
      <c r="A4" s="17" t="inlineStr">
        <is>
          <t>Revenue</t>
        </is>
      </c>
      <c r="B4" s="25">
        <f>Segments!B9</f>
        <v/>
      </c>
      <c r="C4" s="25">
        <f>Segments!C9</f>
        <v/>
      </c>
      <c r="D4" s="25">
        <f>Segments!D9</f>
        <v/>
      </c>
      <c r="E4" s="25">
        <f>Segments!E9</f>
        <v/>
      </c>
      <c r="F4" s="25">
        <f>Segments!F9</f>
        <v/>
      </c>
      <c r="G4" s="25">
        <f>Segments!G9</f>
        <v/>
      </c>
      <c r="H4" s="25">
        <f>Segments!H9</f>
        <v/>
      </c>
      <c r="I4" s="25">
        <f>Segments!I9</f>
        <v/>
      </c>
    </row>
    <row r="5">
      <c r="A5" s="6" t="inlineStr">
        <is>
          <t>Gross profit</t>
        </is>
      </c>
      <c r="B5" s="26" t="n">
        <v>169.148</v>
      </c>
      <c r="C5" s="26" t="n">
        <v>180.683</v>
      </c>
      <c r="D5" s="26" t="n">
        <v>195.201</v>
      </c>
      <c r="E5" s="28">
        <f>E4*0.469</f>
        <v/>
      </c>
      <c r="F5" s="28">
        <f>F4*0.472</f>
        <v/>
      </c>
      <c r="G5" s="28">
        <f>G4*0.475</f>
        <v/>
      </c>
      <c r="H5" s="28">
        <f>H4*0.478</f>
        <v/>
      </c>
      <c r="I5" s="28">
        <f>I4*0.48</f>
        <v/>
      </c>
    </row>
    <row r="6">
      <c r="A6" s="6" t="inlineStr">
        <is>
          <t>Gross margin</t>
        </is>
      </c>
      <c r="B6" s="19">
        <f>B5/B4</f>
        <v/>
      </c>
      <c r="C6" s="19">
        <f>C5/C4</f>
        <v/>
      </c>
      <c r="D6" s="19">
        <f>D5/D4</f>
        <v/>
      </c>
      <c r="E6" s="19">
        <f>E5/E4</f>
        <v/>
      </c>
      <c r="F6" s="19">
        <f>F5/F4</f>
        <v/>
      </c>
      <c r="G6" s="19">
        <f>G5/G4</f>
        <v/>
      </c>
      <c r="H6" s="19">
        <f>H5/H4</f>
        <v/>
      </c>
      <c r="I6" s="19">
        <f>I5/I4</f>
        <v/>
      </c>
    </row>
    <row r="7">
      <c r="A7" s="6" t="inlineStr">
        <is>
          <t>Operating expenses</t>
        </is>
      </c>
      <c r="B7" s="26" t="n">
        <v>54.84699999999999</v>
      </c>
      <c r="C7" s="26" t="n">
        <v>57.467</v>
      </c>
      <c r="D7" s="26" t="n">
        <v>62.151</v>
      </c>
      <c r="E7" s="28">
        <f>E5-E8</f>
        <v/>
      </c>
      <c r="F7" s="28">
        <f>F5-F8</f>
        <v/>
      </c>
      <c r="G7" s="28">
        <f>G5-G8</f>
        <v/>
      </c>
      <c r="H7" s="28">
        <f>H5-H8</f>
        <v/>
      </c>
      <c r="I7" s="28">
        <f>I5-I8</f>
        <v/>
      </c>
    </row>
    <row r="8">
      <c r="A8" s="17" t="inlineStr">
        <is>
          <t>Operating income (EBIT)</t>
        </is>
      </c>
      <c r="B8" s="25" t="n">
        <v>114.301</v>
      </c>
      <c r="C8" s="25" t="n">
        <v>123.216</v>
      </c>
      <c r="D8" s="25" t="n">
        <v>133.05</v>
      </c>
      <c r="E8" s="25">
        <f>E4*Assumptions!$B$21</f>
        <v/>
      </c>
      <c r="F8" s="25">
        <f>F4*Assumptions!$C$21</f>
        <v/>
      </c>
      <c r="G8" s="25">
        <f>G4*Assumptions!$D$21</f>
        <v/>
      </c>
      <c r="H8" s="25">
        <f>H4*Assumptions!$E$21</f>
        <v/>
      </c>
      <c r="I8" s="25">
        <f>I4*Assumptions!$F$21</f>
        <v/>
      </c>
    </row>
    <row r="9">
      <c r="A9" s="6" t="inlineStr">
        <is>
          <t>EBIT margin</t>
        </is>
      </c>
      <c r="B9" s="19">
        <f>B8/B4</f>
        <v/>
      </c>
      <c r="C9" s="19">
        <f>C8/C4</f>
        <v/>
      </c>
      <c r="D9" s="19">
        <f>D8/D4</f>
        <v/>
      </c>
      <c r="E9" s="19">
        <f>E8/E4</f>
        <v/>
      </c>
      <c r="F9" s="19">
        <f>F8/F4</f>
        <v/>
      </c>
      <c r="G9" s="19">
        <f>G8/G4</f>
        <v/>
      </c>
      <c r="H9" s="19">
        <f>H8/H4</f>
        <v/>
      </c>
      <c r="I9" s="19">
        <f>I8/I4</f>
        <v/>
      </c>
    </row>
    <row r="10">
      <c r="A10" s="6" t="inlineStr">
        <is>
          <t>Depreciation &amp; amortization</t>
        </is>
      </c>
      <c r="B10" s="26" t="n">
        <v>11.519</v>
      </c>
      <c r="C10" s="26" t="n">
        <v>11.445</v>
      </c>
      <c r="D10" s="26" t="n">
        <v>12</v>
      </c>
      <c r="E10" s="24">
        <f>Assumptions!B22</f>
        <v/>
      </c>
      <c r="F10" s="24">
        <f>Assumptions!C22</f>
        <v/>
      </c>
      <c r="G10" s="24">
        <f>Assumptions!D22</f>
        <v/>
      </c>
      <c r="H10" s="24">
        <f>Assumptions!E22</f>
        <v/>
      </c>
      <c r="I10" s="24">
        <f>Assumptions!F22</f>
        <v/>
      </c>
    </row>
    <row r="11">
      <c r="A11" s="17" t="inlineStr">
        <is>
          <t>EBITDA</t>
        </is>
      </c>
      <c r="B11" s="25">
        <f>B8+B10</f>
        <v/>
      </c>
      <c r="C11" s="25">
        <f>C8+C10</f>
        <v/>
      </c>
      <c r="D11" s="25">
        <f>D8+D10</f>
        <v/>
      </c>
      <c r="E11" s="25">
        <f>E8+E10</f>
        <v/>
      </c>
      <c r="F11" s="25">
        <f>F8+F10</f>
        <v/>
      </c>
      <c r="G11" s="25">
        <f>G8+G10</f>
        <v/>
      </c>
      <c r="H11" s="25">
        <f>H8+H10</f>
        <v/>
      </c>
      <c r="I11" s="25">
        <f>I8+I10</f>
        <v/>
      </c>
    </row>
    <row r="12">
      <c r="A12" s="6" t="inlineStr">
        <is>
          <t>Pre-tax income</t>
        </is>
      </c>
      <c r="B12" s="26" t="n">
        <v>113.736</v>
      </c>
      <c r="C12" s="26" t="n">
        <v>123.485</v>
      </c>
      <c r="D12" s="26" t="n">
        <v>132.729</v>
      </c>
      <c r="E12" s="28">
        <f>E8</f>
        <v/>
      </c>
      <c r="F12" s="28">
        <f>F8</f>
        <v/>
      </c>
      <c r="G12" s="28">
        <f>G8</f>
        <v/>
      </c>
      <c r="H12" s="28">
        <f>H8</f>
        <v/>
      </c>
      <c r="I12" s="28">
        <f>I8</f>
        <v/>
      </c>
    </row>
    <row r="13">
      <c r="A13" s="6" t="inlineStr">
        <is>
          <t>Income tax</t>
        </is>
      </c>
      <c r="B13" s="26" t="n">
        <v>16.741</v>
      </c>
      <c r="C13" s="26" t="n">
        <v>29.749</v>
      </c>
      <c r="D13" s="26" t="n">
        <v>20.719</v>
      </c>
      <c r="E13" s="24">
        <f>E12*Assumptions!$B$13</f>
        <v/>
      </c>
      <c r="F13" s="24">
        <f>F12*Assumptions!$B$13</f>
        <v/>
      </c>
      <c r="G13" s="24">
        <f>G12*Assumptions!$B$13</f>
        <v/>
      </c>
      <c r="H13" s="24">
        <f>H12*Assumptions!$B$13</f>
        <v/>
      </c>
      <c r="I13" s="24">
        <f>I12*Assumptions!$B$13</f>
        <v/>
      </c>
    </row>
    <row r="14">
      <c r="A14" s="17" t="inlineStr">
        <is>
          <t>Net income</t>
        </is>
      </c>
      <c r="B14" s="25" t="n">
        <v>96.995</v>
      </c>
      <c r="C14" s="25" t="n">
        <v>93.736</v>
      </c>
      <c r="D14" s="25" t="n">
        <v>112.01</v>
      </c>
      <c r="E14" s="25">
        <f>E12-E13</f>
        <v/>
      </c>
      <c r="F14" s="25">
        <f>F12-F13</f>
        <v/>
      </c>
      <c r="G14" s="25">
        <f>G12-G13</f>
        <v/>
      </c>
      <c r="H14" s="25">
        <f>H12-H13</f>
        <v/>
      </c>
      <c r="I14" s="25">
        <f>I12-I13</f>
        <v/>
      </c>
    </row>
    <row r="15">
      <c r="A15" s="6" t="inlineStr">
        <is>
          <t>Diluted shares (bn)</t>
        </is>
      </c>
      <c r="B15" s="20" t="n">
        <v>15.813</v>
      </c>
      <c r="C15" s="20" t="n">
        <v>15.408</v>
      </c>
      <c r="D15" s="20" t="n">
        <v>15</v>
      </c>
      <c r="E15" s="8">
        <f>Assumptions!B25</f>
        <v/>
      </c>
      <c r="F15" s="8">
        <f>Assumptions!C25</f>
        <v/>
      </c>
      <c r="G15" s="8">
        <f>Assumptions!D25</f>
        <v/>
      </c>
      <c r="H15" s="8">
        <f>Assumptions!E25</f>
        <v/>
      </c>
      <c r="I15" s="8">
        <f>Assumptions!F25</f>
        <v/>
      </c>
    </row>
    <row r="16">
      <c r="A16" s="17" t="inlineStr">
        <is>
          <t>Diluted EPS (USD)</t>
        </is>
      </c>
      <c r="B16" s="29">
        <f>B14/B15</f>
        <v/>
      </c>
      <c r="C16" s="29">
        <f>C14/C15</f>
        <v/>
      </c>
      <c r="D16" s="29">
        <f>D14/D15</f>
        <v/>
      </c>
      <c r="E16" s="29">
        <f>E14/E15</f>
        <v/>
      </c>
      <c r="F16" s="29">
        <f>F14/F15</f>
        <v/>
      </c>
      <c r="G16" s="29">
        <f>G14/G15</f>
        <v/>
      </c>
      <c r="H16" s="29">
        <f>H14/H15</f>
        <v/>
      </c>
      <c r="I16" s="29">
        <f>I14/I15</f>
        <v/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6" customHeight="1">
      <c r="A1" s="1" t="inlineStr">
        <is>
          <t>Balance sheet — 3 years actual + 5-year forecast (USD bn)</t>
        </is>
      </c>
    </row>
    <row r="3" ht="16" customHeight="1">
      <c r="A3" s="4" t="inlineStr">
        <is>
          <t>USD bn</t>
        </is>
      </c>
      <c r="B3" s="5" t="inlineStr">
        <is>
          <t>FY23</t>
        </is>
      </c>
      <c r="C3" s="5" t="inlineStr">
        <is>
          <t>FY24</t>
        </is>
      </c>
      <c r="D3" s="5" t="inlineStr">
        <is>
          <t>FY25</t>
        </is>
      </c>
      <c r="E3" s="5" t="inlineStr">
        <is>
          <t>FY26E</t>
        </is>
      </c>
      <c r="F3" s="5" t="inlineStr">
        <is>
          <t>FY27E</t>
        </is>
      </c>
      <c r="G3" s="5" t="inlineStr">
        <is>
          <t>FY28E</t>
        </is>
      </c>
      <c r="H3" s="5" t="inlineStr">
        <is>
          <t>FY29E</t>
        </is>
      </c>
      <c r="I3" s="5" t="inlineStr">
        <is>
          <t>FY30E</t>
        </is>
      </c>
    </row>
    <row r="4">
      <c r="A4" s="6" t="inlineStr">
        <is>
          <t>Cash &amp; marketable securities</t>
        </is>
      </c>
      <c r="B4" s="26" t="n">
        <v>166</v>
      </c>
      <c r="C4" s="26" t="n">
        <v>140.8</v>
      </c>
      <c r="D4" s="26" t="n">
        <v>132.4</v>
      </c>
      <c r="E4" s="28">
        <f>D4</f>
        <v/>
      </c>
      <c r="F4" s="28">
        <f>E4</f>
        <v/>
      </c>
      <c r="G4" s="28">
        <f>F4</f>
        <v/>
      </c>
      <c r="H4" s="28">
        <f>G4</f>
        <v/>
      </c>
      <c r="I4" s="28">
        <f>H4</f>
        <v/>
      </c>
    </row>
    <row r="5">
      <c r="A5" s="6" t="inlineStr">
        <is>
          <t>Other assets</t>
        </is>
      </c>
      <c r="B5" s="26" t="n">
        <v>186.6</v>
      </c>
      <c r="C5" s="26" t="n">
        <v>224.2</v>
      </c>
      <c r="D5" s="26" t="n">
        <v>212.6</v>
      </c>
      <c r="E5" s="28">
        <f>D5*1.02</f>
        <v/>
      </c>
      <c r="F5" s="28">
        <f>E5*1.02</f>
        <v/>
      </c>
      <c r="G5" s="28">
        <f>F5*1.02</f>
        <v/>
      </c>
      <c r="H5" s="28">
        <f>G5*1.02</f>
        <v/>
      </c>
      <c r="I5" s="28">
        <f>H5*1.02</f>
        <v/>
      </c>
    </row>
    <row r="6">
      <c r="A6" s="17" t="inlineStr">
        <is>
          <t>Total assets</t>
        </is>
      </c>
      <c r="B6" s="25">
        <f>B4+B5</f>
        <v/>
      </c>
      <c r="C6" s="25">
        <f>C4+C5</f>
        <v/>
      </c>
      <c r="D6" s="25">
        <f>D4+D5</f>
        <v/>
      </c>
      <c r="E6" s="25">
        <f>E4+E5</f>
        <v/>
      </c>
      <c r="F6" s="25">
        <f>F4+F5</f>
        <v/>
      </c>
      <c r="G6" s="25">
        <f>G4+G5</f>
        <v/>
      </c>
      <c r="H6" s="25">
        <f>H4+H5</f>
        <v/>
      </c>
      <c r="I6" s="25">
        <f>I4+I5</f>
        <v/>
      </c>
    </row>
    <row r="7">
      <c r="A7" s="6" t="inlineStr">
        <is>
          <t>Total debt</t>
        </is>
      </c>
      <c r="B7" s="26" t="n">
        <v>111.1</v>
      </c>
      <c r="C7" s="26" t="n">
        <v>106.6</v>
      </c>
      <c r="D7" s="26" t="n">
        <v>98</v>
      </c>
      <c r="E7" s="28">
        <f>D7</f>
        <v/>
      </c>
      <c r="F7" s="28">
        <f>E7</f>
        <v/>
      </c>
      <c r="G7" s="28">
        <f>F7</f>
        <v/>
      </c>
      <c r="H7" s="28">
        <f>G7</f>
        <v/>
      </c>
      <c r="I7" s="28">
        <f>H7</f>
        <v/>
      </c>
    </row>
    <row r="8">
      <c r="A8" s="6" t="inlineStr">
        <is>
          <t>Other liabilities</t>
        </is>
      </c>
      <c r="B8" s="26" t="n">
        <v>179.3</v>
      </c>
      <c r="C8" s="26" t="n">
        <v>201.4</v>
      </c>
      <c r="D8" s="26" t="n">
        <v>186</v>
      </c>
      <c r="E8" s="28">
        <f>D8</f>
        <v/>
      </c>
      <c r="F8" s="28">
        <f>E8</f>
        <v/>
      </c>
      <c r="G8" s="28">
        <f>F8</f>
        <v/>
      </c>
      <c r="H8" s="28">
        <f>G8</f>
        <v/>
      </c>
      <c r="I8" s="28">
        <f>H8</f>
        <v/>
      </c>
    </row>
    <row r="9">
      <c r="A9" s="17" t="inlineStr">
        <is>
          <t>Total liabilities</t>
        </is>
      </c>
      <c r="B9" s="25">
        <f>B7+B8</f>
        <v/>
      </c>
      <c r="C9" s="25">
        <f>C7+C8</f>
        <v/>
      </c>
      <c r="D9" s="25">
        <f>D7+D8</f>
        <v/>
      </c>
      <c r="E9" s="25">
        <f>E7+E8</f>
        <v/>
      </c>
      <c r="F9" s="25">
        <f>F7+F8</f>
        <v/>
      </c>
      <c r="G9" s="25">
        <f>G7+G8</f>
        <v/>
      </c>
      <c r="H9" s="25">
        <f>H7+H8</f>
        <v/>
      </c>
      <c r="I9" s="25">
        <f>I7+I8</f>
        <v/>
      </c>
    </row>
    <row r="10">
      <c r="A10" s="17" t="inlineStr">
        <is>
          <t>Shareholders' equity</t>
        </is>
      </c>
      <c r="B10" s="25" t="n">
        <v>62.146</v>
      </c>
      <c r="C10" s="25" t="n">
        <v>56.95</v>
      </c>
      <c r="D10" s="25" t="n">
        <v>61</v>
      </c>
      <c r="E10" s="25">
        <f>D10+'Income Statement'!E14*0.05</f>
        <v/>
      </c>
      <c r="F10" s="25">
        <f>E10+'Income Statement'!F14*0.05</f>
        <v/>
      </c>
      <c r="G10" s="25">
        <f>F10+'Income Statement'!G14*0.05</f>
        <v/>
      </c>
      <c r="H10" s="25">
        <f>G10+'Income Statement'!H14*0.05</f>
        <v/>
      </c>
      <c r="I10" s="25">
        <f>H10+'Income Statement'!I14*0.05</f>
        <v/>
      </c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Cash flow — five-year forecast (USD bn)</t>
        </is>
      </c>
    </row>
    <row r="3" ht="16" customHeight="1">
      <c r="A3" s="4" t="inlineStr">
        <is>
          <t>USD bn</t>
        </is>
      </c>
      <c r="B3" s="5" t="inlineStr">
        <is>
          <t>FY26E</t>
        </is>
      </c>
      <c r="C3" s="5" t="inlineStr">
        <is>
          <t>FY27E</t>
        </is>
      </c>
      <c r="D3" s="5" t="inlineStr">
        <is>
          <t>FY28E</t>
        </is>
      </c>
      <c r="E3" s="5" t="inlineStr">
        <is>
          <t>FY29E</t>
        </is>
      </c>
      <c r="F3" s="5" t="inlineStr">
        <is>
          <t>FY30E</t>
        </is>
      </c>
    </row>
    <row r="4">
      <c r="A4" s="6" t="inlineStr">
        <is>
          <t>Net income</t>
        </is>
      </c>
      <c r="B4" s="24">
        <f>'Income Statement'!E14</f>
        <v/>
      </c>
      <c r="C4" s="24">
        <f>'Income Statement'!F14</f>
        <v/>
      </c>
      <c r="D4" s="24">
        <f>'Income Statement'!G14</f>
        <v/>
      </c>
      <c r="E4" s="24">
        <f>'Income Statement'!H14</f>
        <v/>
      </c>
      <c r="F4" s="24">
        <f>'Income Statement'!I14</f>
        <v/>
      </c>
    </row>
    <row r="5">
      <c r="A5" s="6" t="inlineStr">
        <is>
          <t>+ Depreciation &amp; amortization</t>
        </is>
      </c>
      <c r="B5" s="24">
        <f>'Income Statement'!E10</f>
        <v/>
      </c>
      <c r="C5" s="24">
        <f>'Income Statement'!F10</f>
        <v/>
      </c>
      <c r="D5" s="24">
        <f>'Income Statement'!G10</f>
        <v/>
      </c>
      <c r="E5" s="24">
        <f>'Income Statement'!H10</f>
        <v/>
      </c>
      <c r="F5" s="24">
        <f>'Income Statement'!I10</f>
        <v/>
      </c>
    </row>
    <row r="6">
      <c r="A6" s="6" t="inlineStr">
        <is>
          <t>− Δ working capital</t>
        </is>
      </c>
      <c r="B6" s="24">
        <f>-Assumptions!B24</f>
        <v/>
      </c>
      <c r="C6" s="24">
        <f>-Assumptions!C24</f>
        <v/>
      </c>
      <c r="D6" s="24">
        <f>-Assumptions!D24</f>
        <v/>
      </c>
      <c r="E6" s="24">
        <f>-Assumptions!E24</f>
        <v/>
      </c>
      <c r="F6" s="24">
        <f>-Assumptions!F24</f>
        <v/>
      </c>
    </row>
    <row r="7">
      <c r="A7" s="17" t="inlineStr">
        <is>
          <t>Operating cash flow</t>
        </is>
      </c>
      <c r="B7" s="25">
        <f>B4+B5+B6</f>
        <v/>
      </c>
      <c r="C7" s="25">
        <f>C4+C5+C6</f>
        <v/>
      </c>
      <c r="D7" s="25">
        <f>D4+D5+D6</f>
        <v/>
      </c>
      <c r="E7" s="25">
        <f>E4+E5+E6</f>
        <v/>
      </c>
      <c r="F7" s="25">
        <f>F4+F5+F6</f>
        <v/>
      </c>
    </row>
    <row r="8">
      <c r="A8" s="6" t="inlineStr">
        <is>
          <t>− Capex</t>
        </is>
      </c>
      <c r="B8" s="24">
        <f>-Assumptions!B23</f>
        <v/>
      </c>
      <c r="C8" s="24">
        <f>-Assumptions!C23</f>
        <v/>
      </c>
      <c r="D8" s="24">
        <f>-Assumptions!D23</f>
        <v/>
      </c>
      <c r="E8" s="24">
        <f>-Assumptions!E23</f>
        <v/>
      </c>
      <c r="F8" s="24">
        <f>-Assumptions!F23</f>
        <v/>
      </c>
    </row>
    <row r="9">
      <c r="A9" s="17" t="inlineStr">
        <is>
          <t>Free cash flow</t>
        </is>
      </c>
      <c r="B9" s="25">
        <f>B7+B8</f>
        <v/>
      </c>
      <c r="C9" s="25">
        <f>C7+C8</f>
        <v/>
      </c>
      <c r="D9" s="25">
        <f>D7+D8</f>
        <v/>
      </c>
      <c r="E9" s="25">
        <f>E7+E8</f>
        <v/>
      </c>
      <c r="F9" s="25">
        <f>F7+F8</f>
        <v/>
      </c>
    </row>
    <row r="10">
      <c r="A10" s="6" t="inlineStr">
        <is>
          <t>Capital returned (buyback + dividend)</t>
        </is>
      </c>
      <c r="B10" s="28">
        <f>-B9*0.95</f>
        <v/>
      </c>
      <c r="C10" s="28">
        <f>-C9*0.95</f>
        <v/>
      </c>
      <c r="D10" s="28">
        <f>-D9*0.95</f>
        <v/>
      </c>
      <c r="E10" s="28">
        <f>-E9*0.95</f>
        <v/>
      </c>
      <c r="F10" s="28">
        <f>-F9*0.95</f>
        <v/>
      </c>
    </row>
    <row r="11">
      <c r="A11" s="6" t="inlineStr">
        <is>
          <t>Net change in cash</t>
        </is>
      </c>
      <c r="B11" s="28">
        <f>B9+B10</f>
        <v/>
      </c>
      <c r="C11" s="28">
        <f>C9+C10</f>
        <v/>
      </c>
      <c r="D11" s="28">
        <f>D9+D10</f>
        <v/>
      </c>
      <c r="E11" s="28">
        <f>E9+E10</f>
        <v/>
      </c>
      <c r="F11" s="28">
        <f>F9+F10</f>
        <v/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6" customHeight="1">
      <c r="A1" s="1" t="inlineStr">
        <is>
          <t>Summary financials — links to statement sheets (USD bn)</t>
        </is>
      </c>
    </row>
    <row r="3" ht="16" customHeight="1">
      <c r="A3" s="4" t="inlineStr">
        <is>
          <t>USD bn</t>
        </is>
      </c>
      <c r="B3" s="5" t="inlineStr">
        <is>
          <t>FY23</t>
        </is>
      </c>
      <c r="C3" s="5" t="inlineStr">
        <is>
          <t>FY24</t>
        </is>
      </c>
      <c r="D3" s="5" t="inlineStr">
        <is>
          <t>FY25</t>
        </is>
      </c>
      <c r="E3" s="5" t="inlineStr">
        <is>
          <t>FY26E</t>
        </is>
      </c>
      <c r="F3" s="5" t="inlineStr">
        <is>
          <t>FY27E</t>
        </is>
      </c>
      <c r="G3" s="5" t="inlineStr">
        <is>
          <t>FY28E</t>
        </is>
      </c>
      <c r="H3" s="5" t="inlineStr">
        <is>
          <t>FY29E</t>
        </is>
      </c>
      <c r="I3" s="5" t="inlineStr">
        <is>
          <t>FY30E</t>
        </is>
      </c>
    </row>
    <row r="4">
      <c r="A4" s="6" t="inlineStr">
        <is>
          <t>Revenue</t>
        </is>
      </c>
      <c r="B4" s="24">
        <f>'Income Statement'!B4</f>
        <v/>
      </c>
      <c r="C4" s="24">
        <f>'Income Statement'!C4</f>
        <v/>
      </c>
      <c r="D4" s="24">
        <f>'Income Statement'!D4</f>
        <v/>
      </c>
      <c r="E4" s="24">
        <f>'Income Statement'!E4</f>
        <v/>
      </c>
      <c r="F4" s="24">
        <f>'Income Statement'!F4</f>
        <v/>
      </c>
      <c r="G4" s="24">
        <f>'Income Statement'!G4</f>
        <v/>
      </c>
      <c r="H4" s="24">
        <f>'Income Statement'!H4</f>
        <v/>
      </c>
      <c r="I4" s="24">
        <f>'Income Statement'!I4</f>
        <v/>
      </c>
    </row>
    <row r="5">
      <c r="A5" s="6" t="inlineStr">
        <is>
          <t>Gross profit</t>
        </is>
      </c>
      <c r="B5" s="24">
        <f>'Income Statement'!B5</f>
        <v/>
      </c>
      <c r="C5" s="24">
        <f>'Income Statement'!C5</f>
        <v/>
      </c>
      <c r="D5" s="24">
        <f>'Income Statement'!D5</f>
        <v/>
      </c>
      <c r="E5" s="24">
        <f>'Income Statement'!E5</f>
        <v/>
      </c>
      <c r="F5" s="24">
        <f>'Income Statement'!F5</f>
        <v/>
      </c>
      <c r="G5" s="24">
        <f>'Income Statement'!G5</f>
        <v/>
      </c>
      <c r="H5" s="24">
        <f>'Income Statement'!H5</f>
        <v/>
      </c>
      <c r="I5" s="24">
        <f>'Income Statement'!I5</f>
        <v/>
      </c>
    </row>
    <row r="6">
      <c r="A6" s="6" t="inlineStr">
        <is>
          <t>EBIT</t>
        </is>
      </c>
      <c r="B6" s="24">
        <f>'Income Statement'!B8</f>
        <v/>
      </c>
      <c r="C6" s="24">
        <f>'Income Statement'!C8</f>
        <v/>
      </c>
      <c r="D6" s="24">
        <f>'Income Statement'!D8</f>
        <v/>
      </c>
      <c r="E6" s="24">
        <f>'Income Statement'!E8</f>
        <v/>
      </c>
      <c r="F6" s="24">
        <f>'Income Statement'!F8</f>
        <v/>
      </c>
      <c r="G6" s="24">
        <f>'Income Statement'!G8</f>
        <v/>
      </c>
      <c r="H6" s="24">
        <f>'Income Statement'!H8</f>
        <v/>
      </c>
      <c r="I6" s="24">
        <f>'Income Statement'!I8</f>
        <v/>
      </c>
    </row>
    <row r="7">
      <c r="A7" s="6" t="inlineStr">
        <is>
          <t>EBITDA</t>
        </is>
      </c>
      <c r="B7" s="24">
        <f>'Income Statement'!B11</f>
        <v/>
      </c>
      <c r="C7" s="24">
        <f>'Income Statement'!C11</f>
        <v/>
      </c>
      <c r="D7" s="24">
        <f>'Income Statement'!D11</f>
        <v/>
      </c>
      <c r="E7" s="24">
        <f>'Income Statement'!E11</f>
        <v/>
      </c>
      <c r="F7" s="24">
        <f>'Income Statement'!F11</f>
        <v/>
      </c>
      <c r="G7" s="24">
        <f>'Income Statement'!G11</f>
        <v/>
      </c>
      <c r="H7" s="24">
        <f>'Income Statement'!H11</f>
        <v/>
      </c>
      <c r="I7" s="24">
        <f>'Income Statement'!I11</f>
        <v/>
      </c>
    </row>
    <row r="8">
      <c r="A8" s="6" t="inlineStr">
        <is>
          <t>Net income</t>
        </is>
      </c>
      <c r="B8" s="24">
        <f>'Income Statement'!B14</f>
        <v/>
      </c>
      <c r="C8" s="24">
        <f>'Income Statement'!C14</f>
        <v/>
      </c>
      <c r="D8" s="24">
        <f>'Income Statement'!D14</f>
        <v/>
      </c>
      <c r="E8" s="24">
        <f>'Income Statement'!E14</f>
        <v/>
      </c>
      <c r="F8" s="24">
        <f>'Income Statement'!F14</f>
        <v/>
      </c>
      <c r="G8" s="24">
        <f>'Income Statement'!G14</f>
        <v/>
      </c>
      <c r="H8" s="24">
        <f>'Income Statement'!H14</f>
        <v/>
      </c>
      <c r="I8" s="24">
        <f>'Income Statement'!I14</f>
        <v/>
      </c>
    </row>
    <row r="9">
      <c r="A9" s="6" t="inlineStr">
        <is>
          <t>Diluted EPS (USD)</t>
        </is>
      </c>
      <c r="B9" s="7">
        <f>'Income Statement'!B16</f>
        <v/>
      </c>
      <c r="C9" s="7">
        <f>'Income Statement'!C16</f>
        <v/>
      </c>
      <c r="D9" s="7">
        <f>'Income Statement'!D16</f>
        <v/>
      </c>
      <c r="E9" s="7">
        <f>'Income Statement'!E16</f>
        <v/>
      </c>
      <c r="F9" s="7">
        <f>'Income Statement'!F16</f>
        <v/>
      </c>
      <c r="G9" s="7">
        <f>'Income Statement'!G16</f>
        <v/>
      </c>
      <c r="H9" s="7">
        <f>'Income Statement'!H16</f>
        <v/>
      </c>
      <c r="I9" s="7">
        <f>'Income Statement'!I16</f>
        <v/>
      </c>
    </row>
    <row r="10">
      <c r="A10" s="6" t="inlineStr">
        <is>
          <t>Revenue growth</t>
        </is>
      </c>
      <c r="C10" s="19">
        <f>C4/B4-1</f>
        <v/>
      </c>
      <c r="D10" s="19">
        <f>D4/C4-1</f>
        <v/>
      </c>
      <c r="E10" s="19">
        <f>E4/D4-1</f>
        <v/>
      </c>
      <c r="F10" s="19">
        <f>F4/E4-1</f>
        <v/>
      </c>
      <c r="G10" s="19">
        <f>G4/F4-1</f>
        <v/>
      </c>
      <c r="H10" s="19">
        <f>H4/G4-1</f>
        <v/>
      </c>
      <c r="I10" s="19">
        <f>I4/H4-1</f>
        <v/>
      </c>
    </row>
  </sheetData>
  <mergeCells count="1"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6" customHeight="1">
      <c r="A1" s="1" t="inlineStr">
        <is>
          <t>Monte Carlo — probability read &amp; percentiles (50,000 paths, seed 42)</t>
        </is>
      </c>
    </row>
    <row r="3" ht="16" customHeight="1">
      <c r="A3" s="4" t="inlineStr">
        <is>
          <t>The probability read (T+60)</t>
        </is>
      </c>
      <c r="B3" s="5" t="inlineStr">
        <is>
          <t>Value</t>
        </is>
      </c>
    </row>
    <row r="4">
      <c r="A4" s="6" t="inlineStr">
        <is>
          <t>P(price above spot)</t>
        </is>
      </c>
      <c r="B4" s="12" t="n">
        <v>0.40154</v>
      </c>
    </row>
    <row r="5">
      <c r="A5" s="6" t="inlineStr">
        <is>
          <t>P(+10%)  vs  P(−10%)</t>
        </is>
      </c>
      <c r="B5" s="14" t="inlineStr">
        <is>
          <t>18%  vs  30%</t>
        </is>
      </c>
    </row>
    <row r="6">
      <c r="A6" s="6" t="inlineStr">
        <is>
          <t>Up:down odds ratio</t>
        </is>
      </c>
      <c r="B6" s="20" t="n">
        <v>0.5932628797886393</v>
      </c>
    </row>
    <row r="7">
      <c r="A7" s="6" t="inlineStr">
        <is>
          <t>Median level (USD)  /  % move</t>
        </is>
      </c>
      <c r="B7" s="14" t="inlineStr">
        <is>
          <t>303  (-3.4%)</t>
        </is>
      </c>
    </row>
    <row r="8">
      <c r="A8" s="6" t="inlineStr">
        <is>
          <t>50% band 25th–75th (USD)</t>
        </is>
      </c>
      <c r="B8" s="14" t="inlineStr">
        <is>
          <t>276 – 333</t>
        </is>
      </c>
    </row>
    <row r="9">
      <c r="A9" s="6" t="inlineStr">
        <is>
          <t>Touch(+10%)  /  Touch(−10%)</t>
        </is>
      </c>
      <c r="B9" s="14" t="inlineStr">
        <is>
          <t>37%  /  50%</t>
        </is>
      </c>
    </row>
    <row r="11" ht="16" customHeight="1">
      <c r="A11" s="4" t="inlineStr">
        <is>
          <t>Percentile (USD)</t>
        </is>
      </c>
      <c r="B11" s="5" t="inlineStr">
        <is>
          <t>5th</t>
        </is>
      </c>
      <c r="C11" s="5" t="inlineStr">
        <is>
          <t>25th</t>
        </is>
      </c>
      <c r="D11" s="5" t="inlineStr">
        <is>
          <t>50th</t>
        </is>
      </c>
      <c r="E11" s="5" t="inlineStr">
        <is>
          <t>75th</t>
        </is>
      </c>
      <c r="F11" s="5" t="inlineStr">
        <is>
          <t>95th</t>
        </is>
      </c>
    </row>
    <row r="12">
      <c r="A12" s="6" t="inlineStr">
        <is>
          <t>T+20</t>
        </is>
      </c>
      <c r="B12" s="21" t="n">
        <v>267.1777243993583</v>
      </c>
      <c r="C12" s="21" t="n">
        <v>293.2299612174718</v>
      </c>
      <c r="D12" s="21" t="n">
        <v>309.9458359875021</v>
      </c>
      <c r="E12" s="21" t="n">
        <v>327.0760139158572</v>
      </c>
      <c r="F12" s="21" t="n">
        <v>356.3433013639269</v>
      </c>
    </row>
    <row r="13">
      <c r="A13" s="6" t="inlineStr">
        <is>
          <t>T+60</t>
        </is>
      </c>
      <c r="B13" s="21" t="n">
        <v>236.775523580687</v>
      </c>
      <c r="C13" s="21" t="n">
        <v>275.5369871704385</v>
      </c>
      <c r="D13" s="21" t="n">
        <v>302.5890631415905</v>
      </c>
      <c r="E13" s="21" t="n">
        <v>332.7485792584849</v>
      </c>
      <c r="F13" s="21" t="n">
        <v>386.104925536749</v>
      </c>
    </row>
    <row r="15" ht="16" customHeight="1">
      <c r="A15" s="4" t="inlineStr">
        <is>
          <t>Touch ladder — level (USD)</t>
        </is>
      </c>
      <c r="B15" s="5" t="inlineStr">
        <is>
          <t>by T+20</t>
        </is>
      </c>
      <c r="C15" s="5" t="inlineStr">
        <is>
          <t>by T+60</t>
        </is>
      </c>
    </row>
    <row r="16">
      <c r="A16" s="14" t="n">
        <v>250</v>
      </c>
      <c r="B16" s="12" t="n">
        <v>0.01902</v>
      </c>
      <c r="C16" s="12" t="n">
        <v>0.1541</v>
      </c>
    </row>
    <row r="17">
      <c r="A17" s="14" t="n">
        <v>266</v>
      </c>
      <c r="B17" s="12" t="n">
        <v>0.06702</v>
      </c>
      <c r="C17" s="12" t="n">
        <v>0.2945</v>
      </c>
    </row>
    <row r="18">
      <c r="A18" s="14" t="n">
        <v>282</v>
      </c>
      <c r="B18" s="12" t="n">
        <v>0.20558</v>
      </c>
      <c r="C18" s="12" t="n">
        <v>0.5004999999999999</v>
      </c>
    </row>
    <row r="19">
      <c r="A19" s="14" t="n">
        <v>297</v>
      </c>
      <c r="B19" s="12" t="n">
        <v>0.47444</v>
      </c>
      <c r="C19" s="12" t="n">
        <v>0.71952</v>
      </c>
    </row>
    <row r="20">
      <c r="A20" s="14" t="n">
        <v>329</v>
      </c>
      <c r="B20" s="12" t="n">
        <v>0.41156</v>
      </c>
      <c r="C20" s="12" t="n">
        <v>0.59512</v>
      </c>
    </row>
    <row r="21">
      <c r="A21" s="14" t="n">
        <v>344</v>
      </c>
      <c r="B21" s="12" t="n">
        <v>0.17614</v>
      </c>
      <c r="C21" s="12" t="n">
        <v>0.37784</v>
      </c>
    </row>
    <row r="22">
      <c r="A22" s="14" t="n">
        <v>360</v>
      </c>
      <c r="B22" s="12" t="n">
        <v>0.06732</v>
      </c>
      <c r="C22" s="12" t="n">
        <v>0.22632</v>
      </c>
    </row>
    <row r="23">
      <c r="A23" s="14" t="n">
        <v>376</v>
      </c>
      <c r="B23" s="12" t="n">
        <v>0.026</v>
      </c>
      <c r="C23" s="12" t="n">
        <v>0.1335</v>
      </c>
    </row>
    <row r="25">
      <c r="A25" s="15" t="inlineStr">
        <is>
          <t>Diffusion sized by YZ-HAR; zero drift (international); Student-t(5) innovations; presentation-only read.</t>
        </is>
      </c>
    </row>
  </sheetData>
  <mergeCells count="1">
    <mergeCell ref="A1:F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 ht="26" customHeight="1">
      <c r="A1" s="1" t="inlineStr">
        <is>
          <t>DCF sensitivity — fair value per share, WACC × terminal g (USD)</t>
        </is>
      </c>
    </row>
    <row r="3">
      <c r="A3" s="5" t="inlineStr">
        <is>
          <t>WACC ↓ / g →</t>
        </is>
      </c>
      <c r="B3" s="31" t="n">
        <v>0.025</v>
      </c>
      <c r="C3" s="31" t="n">
        <v>0.03</v>
      </c>
      <c r="D3" s="31" t="n">
        <v>0.035</v>
      </c>
      <c r="E3" s="31" t="n">
        <v>0.04</v>
      </c>
      <c r="F3" s="31" t="n">
        <v>0.045</v>
      </c>
    </row>
    <row r="4">
      <c r="A4" s="31" t="n">
        <v>0.08500000000000001</v>
      </c>
      <c r="B4" s="32" t="n">
        <v>157.7</v>
      </c>
      <c r="C4" s="32" t="n">
        <v>169.2</v>
      </c>
      <c r="D4" s="32" t="n">
        <v>183</v>
      </c>
      <c r="E4" s="32" t="n">
        <v>199.8</v>
      </c>
      <c r="F4" s="32" t="n">
        <v>220.9</v>
      </c>
    </row>
    <row r="5">
      <c r="A5" s="31" t="n">
        <v>0.09</v>
      </c>
      <c r="B5" s="32" t="n">
        <v>145.5</v>
      </c>
      <c r="C5" s="32" t="n">
        <v>155.1</v>
      </c>
      <c r="D5" s="32" t="n">
        <v>166.4</v>
      </c>
      <c r="E5" s="32" t="n">
        <v>179.9</v>
      </c>
      <c r="F5" s="32" t="n">
        <v>196.4</v>
      </c>
    </row>
    <row r="6">
      <c r="A6" s="31" t="n">
        <v>0.095</v>
      </c>
      <c r="B6" s="32" t="n">
        <v>135.1</v>
      </c>
      <c r="C6" s="32" t="n">
        <v>143.1</v>
      </c>
      <c r="D6" s="33" t="n">
        <v>152.5</v>
      </c>
      <c r="E6" s="32" t="n">
        <v>163.6</v>
      </c>
      <c r="F6" s="32" t="n">
        <v>176.9</v>
      </c>
    </row>
    <row r="7">
      <c r="A7" s="31" t="n">
        <v>0.1</v>
      </c>
      <c r="B7" s="32" t="n">
        <v>126.1</v>
      </c>
      <c r="C7" s="32" t="n">
        <v>132.9</v>
      </c>
      <c r="D7" s="32" t="n">
        <v>140.8</v>
      </c>
      <c r="E7" s="32" t="n">
        <v>150</v>
      </c>
      <c r="F7" s="32" t="n">
        <v>160.9</v>
      </c>
    </row>
    <row r="8">
      <c r="A8" s="31" t="n">
        <v>0.105</v>
      </c>
      <c r="B8" s="32" t="n">
        <v>118.2</v>
      </c>
      <c r="C8" s="32" t="n">
        <v>124</v>
      </c>
      <c r="D8" s="32" t="n">
        <v>130.8</v>
      </c>
      <c r="E8" s="32" t="n">
        <v>138.5</v>
      </c>
      <c r="F8" s="32" t="n">
        <v>147.5</v>
      </c>
    </row>
    <row r="10">
      <c r="A10" s="15" t="inlineStr">
        <is>
          <t>Base case shaded. Ke = rf + β·ERP = 10.0%.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6" customHeight="1">
      <c r="A1" s="1" t="inlineStr">
        <is>
          <t>Per-share &amp; ratios dashboard</t>
        </is>
      </c>
    </row>
    <row r="3" ht="16" customHeight="1">
      <c r="A3" s="4" t="inlineStr">
        <is>
          <t>Metric</t>
        </is>
      </c>
      <c r="B3" s="5" t="inlineStr">
        <is>
          <t>FY23</t>
        </is>
      </c>
      <c r="C3" s="5" t="inlineStr">
        <is>
          <t>FY24</t>
        </is>
      </c>
      <c r="D3" s="5" t="inlineStr">
        <is>
          <t>FY25</t>
        </is>
      </c>
      <c r="E3" s="5" t="inlineStr">
        <is>
          <t>FY26E</t>
        </is>
      </c>
      <c r="F3" s="5" t="inlineStr">
        <is>
          <t>FY27E</t>
        </is>
      </c>
      <c r="G3" s="5" t="inlineStr">
        <is>
          <t>FY28E</t>
        </is>
      </c>
      <c r="H3" s="5" t="inlineStr">
        <is>
          <t>FY29E</t>
        </is>
      </c>
      <c r="I3" s="5" t="inlineStr">
        <is>
          <t>FY30E</t>
        </is>
      </c>
    </row>
    <row r="4">
      <c r="A4" s="6" t="inlineStr">
        <is>
          <t>Diluted EPS (USD)</t>
        </is>
      </c>
      <c r="B4" s="7">
        <f>'Income Statement'!B16</f>
        <v/>
      </c>
      <c r="C4" s="7">
        <f>'Income Statement'!C16</f>
        <v/>
      </c>
      <c r="D4" s="7">
        <f>'Income Statement'!D16</f>
        <v/>
      </c>
      <c r="E4" s="7">
        <f>'Income Statement'!E16</f>
        <v/>
      </c>
      <c r="F4" s="7">
        <f>'Income Statement'!F16</f>
        <v/>
      </c>
      <c r="G4" s="7">
        <f>'Income Statement'!G16</f>
        <v/>
      </c>
      <c r="H4" s="7">
        <f>'Income Statement'!H16</f>
        <v/>
      </c>
      <c r="I4" s="7">
        <f>'Income Statement'!I16</f>
        <v/>
      </c>
    </row>
    <row r="5">
      <c r="A5" s="6" t="inlineStr">
        <is>
          <t>Revenue (USD bn)</t>
        </is>
      </c>
      <c r="B5" s="9">
        <f>'Income Statement'!B4</f>
        <v/>
      </c>
      <c r="C5" s="9">
        <f>'Income Statement'!C4</f>
        <v/>
      </c>
      <c r="D5" s="9">
        <f>'Income Statement'!D4</f>
        <v/>
      </c>
      <c r="E5" s="9">
        <f>'Income Statement'!E4</f>
        <v/>
      </c>
      <c r="F5" s="9">
        <f>'Income Statement'!F4</f>
        <v/>
      </c>
      <c r="G5" s="9">
        <f>'Income Statement'!G4</f>
        <v/>
      </c>
      <c r="H5" s="9">
        <f>'Income Statement'!H4</f>
        <v/>
      </c>
      <c r="I5" s="9">
        <f>'Income Statement'!I4</f>
        <v/>
      </c>
    </row>
    <row r="6">
      <c r="A6" s="6" t="inlineStr">
        <is>
          <t>EBITDA (USD bn)</t>
        </is>
      </c>
      <c r="B6" s="9">
        <f>'Income Statement'!B11</f>
        <v/>
      </c>
      <c r="C6" s="9">
        <f>'Income Statement'!C11</f>
        <v/>
      </c>
      <c r="D6" s="9">
        <f>'Income Statement'!D11</f>
        <v/>
      </c>
      <c r="E6" s="9">
        <f>'Income Statement'!E11</f>
        <v/>
      </c>
      <c r="F6" s="9">
        <f>'Income Statement'!F11</f>
        <v/>
      </c>
      <c r="G6" s="9">
        <f>'Income Statement'!G11</f>
        <v/>
      </c>
      <c r="H6" s="9">
        <f>'Income Statement'!H11</f>
        <v/>
      </c>
      <c r="I6" s="9">
        <f>'Income Statement'!I11</f>
        <v/>
      </c>
    </row>
    <row r="7">
      <c r="A7" s="6" t="inlineStr">
        <is>
          <t>Net income (USD bn)</t>
        </is>
      </c>
      <c r="B7" s="9">
        <f>'Income Statement'!B14</f>
        <v/>
      </c>
      <c r="C7" s="9">
        <f>'Income Statement'!C14</f>
        <v/>
      </c>
      <c r="D7" s="9">
        <f>'Income Statement'!D14</f>
        <v/>
      </c>
      <c r="E7" s="9">
        <f>'Income Statement'!E14</f>
        <v/>
      </c>
      <c r="F7" s="9">
        <f>'Income Statement'!F14</f>
        <v/>
      </c>
      <c r="G7" s="9">
        <f>'Income Statement'!G14</f>
        <v/>
      </c>
      <c r="H7" s="9">
        <f>'Income Statement'!H14</f>
        <v/>
      </c>
      <c r="I7" s="9">
        <f>'Income Statement'!I14</f>
        <v/>
      </c>
    </row>
    <row r="8">
      <c r="A8" s="6" t="inlineStr">
        <is>
          <t>Gross margin</t>
        </is>
      </c>
      <c r="B8" s="11">
        <f>'Income Statement'!B6</f>
        <v/>
      </c>
      <c r="C8" s="11">
        <f>'Income Statement'!C6</f>
        <v/>
      </c>
      <c r="D8" s="11">
        <f>'Income Statement'!D6</f>
        <v/>
      </c>
      <c r="E8" s="11">
        <f>'Income Statement'!E6</f>
        <v/>
      </c>
      <c r="F8" s="11">
        <f>'Income Statement'!F6</f>
        <v/>
      </c>
      <c r="G8" s="11">
        <f>'Income Statement'!G6</f>
        <v/>
      </c>
      <c r="H8" s="11">
        <f>'Income Statement'!H6</f>
        <v/>
      </c>
      <c r="I8" s="11">
        <f>'Income Statement'!I6</f>
        <v/>
      </c>
    </row>
    <row r="9">
      <c r="A9" s="6" t="inlineStr">
        <is>
          <t>EBIT margin</t>
        </is>
      </c>
      <c r="B9" s="11">
        <f>'Income Statement'!B9</f>
        <v/>
      </c>
      <c r="C9" s="11">
        <f>'Income Statement'!C9</f>
        <v/>
      </c>
      <c r="D9" s="11">
        <f>'Income Statement'!D9</f>
        <v/>
      </c>
      <c r="E9" s="11">
        <f>'Income Statement'!E9</f>
        <v/>
      </c>
      <c r="F9" s="11">
        <f>'Income Statement'!F9</f>
        <v/>
      </c>
      <c r="G9" s="11">
        <f>'Income Statement'!G9</f>
        <v/>
      </c>
      <c r="H9" s="11">
        <f>'Income Statement'!H9</f>
        <v/>
      </c>
      <c r="I9" s="11">
        <f>'Income Statement'!I9</f>
        <v/>
      </c>
    </row>
    <row r="10">
      <c r="A10" s="6" t="inlineStr">
        <is>
          <t>P/E (× spot)</t>
        </is>
      </c>
      <c r="B10" s="34">
        <f>Assumptions!$B$4/'Income Statement'!B16</f>
        <v/>
      </c>
      <c r="C10" s="34">
        <f>Assumptions!$B$4/'Income Statement'!C16</f>
        <v/>
      </c>
      <c r="D10" s="34">
        <f>Assumptions!$B$4/'Income Statement'!D16</f>
        <v/>
      </c>
      <c r="E10" s="34">
        <f>Assumptions!$B$4/'Income Statement'!E16</f>
        <v/>
      </c>
      <c r="F10" s="34">
        <f>Assumptions!$B$4/'Income Statement'!F16</f>
        <v/>
      </c>
      <c r="G10" s="34">
        <f>Assumptions!$B$4/'Income Statement'!G16</f>
        <v/>
      </c>
      <c r="H10" s="34">
        <f>Assumptions!$B$4/'Income Statement'!H16</f>
        <v/>
      </c>
      <c r="I10" s="34">
        <f>Assumptions!$B$4/'Income Statement'!I16</f>
        <v/>
      </c>
    </row>
    <row r="11">
      <c r="A11" s="6" t="inlineStr">
        <is>
          <t>EV/EBITDA (× spot)</t>
        </is>
      </c>
      <c r="B11" s="34">
        <f>(Assumptions!$B$4*Assumptions!$B$5-Assumptions!$B$6)/'Income Statement'!B11</f>
        <v/>
      </c>
      <c r="C11" s="34">
        <f>(Assumptions!$B$4*Assumptions!$B$5-Assumptions!$B$6)/'Income Statement'!C11</f>
        <v/>
      </c>
      <c r="D11" s="34">
        <f>(Assumptions!$B$4*Assumptions!$B$5-Assumptions!$B$6)/'Income Statement'!D11</f>
        <v/>
      </c>
      <c r="E11" s="34">
        <f>(Assumptions!$B$4*Assumptions!$B$5-Assumptions!$B$6)/'Income Statement'!E11</f>
        <v/>
      </c>
      <c r="F11" s="34">
        <f>(Assumptions!$B$4*Assumptions!$B$5-Assumptions!$B$6)/'Income Statement'!F11</f>
        <v/>
      </c>
      <c r="G11" s="34">
        <f>(Assumptions!$B$4*Assumptions!$B$5-Assumptions!$B$6)/'Income Statement'!G11</f>
        <v/>
      </c>
      <c r="H11" s="34">
        <f>(Assumptions!$B$4*Assumptions!$B$5-Assumptions!$B$6)/'Income Statement'!H11</f>
        <v/>
      </c>
      <c r="I11" s="34">
        <f>(Assumptions!$B$4*Assumptions!$B$5-Assumptions!$B$6)/'Income Statement'!I11</f>
        <v/>
      </c>
    </row>
    <row r="12">
      <c r="A12" s="6" t="inlineStr">
        <is>
          <t>FCF yield (spot mkt cap)</t>
        </is>
      </c>
      <c r="E12" s="11">
        <f>'Cash Flow'!B9/(Assumptions!$B$4*Assumptions!$B$5)</f>
        <v/>
      </c>
      <c r="F12" s="11">
        <f>'Cash Flow'!C9/(Assumptions!$B$4*Assumptions!$B$5)</f>
        <v/>
      </c>
      <c r="G12" s="11">
        <f>'Cash Flow'!D9/(Assumptions!$B$4*Assumptions!$B$5)</f>
        <v/>
      </c>
      <c r="H12" s="11">
        <f>'Cash Flow'!E9/(Assumptions!$B$4*Assumptions!$B$5)</f>
        <v/>
      </c>
      <c r="I12" s="11">
        <f>'Cash Flow'!F9/(Assumptions!$B$4*Assumptions!$B$5)</f>
        <v/>
      </c>
    </row>
    <row r="13">
      <c r="A13" s="6" t="inlineStr">
        <is>
          <t>Net cash (USD bn)</t>
        </is>
      </c>
      <c r="B13" s="9">
        <f>'Balance Sheet'!B4-'Balance Sheet'!B7</f>
        <v/>
      </c>
      <c r="C13" s="9">
        <f>'Balance Sheet'!C4-'Balance Sheet'!C7</f>
        <v/>
      </c>
      <c r="D13" s="9">
        <f>'Balance Sheet'!D4-'Balance Sheet'!D7</f>
        <v/>
      </c>
      <c r="E13" s="9">
        <f>'Balance Sheet'!E4-'Balance Sheet'!E7</f>
        <v/>
      </c>
      <c r="F13" s="9">
        <f>'Balance Sheet'!F4-'Balance Sheet'!F7</f>
        <v/>
      </c>
      <c r="G13" s="9">
        <f>'Balance Sheet'!G4-'Balance Sheet'!G7</f>
        <v/>
      </c>
      <c r="H13" s="9">
        <f>'Balance Sheet'!H4-'Balance Sheet'!H7</f>
        <v/>
      </c>
      <c r="I13" s="9">
        <f>'Balance Sheet'!I4-'Balance Sheet'!I7</f>
        <v/>
      </c>
    </row>
  </sheetData>
  <mergeCells count="1">
    <mergeCell ref="A1:I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26" customHeight="1">
      <c r="A1" s="1" t="inlineStr">
        <is>
          <t>Peer set &amp; sector context — mega-cap technology</t>
        </is>
      </c>
    </row>
    <row r="3" ht="16" customHeight="1">
      <c r="A3" s="4" t="inlineStr">
        <is>
          <t>Company</t>
        </is>
      </c>
      <c r="B3" s="5" t="inlineStr">
        <is>
          <t>Fwd P/E (×)</t>
        </is>
      </c>
      <c r="C3" s="5" t="inlineStr">
        <is>
          <t>EV/EBITDA (×)</t>
        </is>
      </c>
      <c r="D3" s="5" t="inlineStr">
        <is>
          <t>Rev growth</t>
        </is>
      </c>
      <c r="E3" s="5" t="inlineStr">
        <is>
          <t>Note</t>
        </is>
      </c>
    </row>
    <row r="4">
      <c r="A4" s="17" t="inlineStr">
        <is>
          <t>Apple (AAPL)</t>
        </is>
      </c>
      <c r="B4" s="20" t="n">
        <v>38</v>
      </c>
      <c r="C4" s="20" t="n">
        <v>27</v>
      </c>
      <c r="D4" s="12" t="n">
        <v>0.06</v>
      </c>
      <c r="E4" s="6" t="inlineStr">
        <is>
          <t>subject</t>
        </is>
      </c>
    </row>
    <row r="5">
      <c r="A5" s="6" t="inlineStr">
        <is>
          <t>Microsoft (MSFT)</t>
        </is>
      </c>
      <c r="B5" s="20" t="n">
        <v>32</v>
      </c>
      <c r="C5" s="20" t="n">
        <v>22</v>
      </c>
      <c r="D5" s="12" t="n">
        <v>0.13</v>
      </c>
      <c r="E5" s="6" t="inlineStr">
        <is>
          <t>cloud/AI</t>
        </is>
      </c>
    </row>
    <row r="6">
      <c r="A6" s="6" t="inlineStr">
        <is>
          <t>Alphabet (GOOGL)</t>
        </is>
      </c>
      <c r="B6" s="20" t="n">
        <v>22</v>
      </c>
      <c r="C6" s="20" t="n">
        <v>15</v>
      </c>
      <c r="D6" s="12" t="n">
        <v>0.13</v>
      </c>
      <c r="E6" s="6" t="inlineStr">
        <is>
          <t>search/cloud</t>
        </is>
      </c>
    </row>
    <row r="7">
      <c r="A7" s="6" t="inlineStr">
        <is>
          <t>Amazon (AMZN)</t>
        </is>
      </c>
      <c r="B7" s="20" t="n">
        <v>34</v>
      </c>
      <c r="C7" s="20" t="n">
        <v>16</v>
      </c>
      <c r="D7" s="12" t="n">
        <v>0.11</v>
      </c>
      <c r="E7" s="6" t="inlineStr">
        <is>
          <t>retail/AWS</t>
        </is>
      </c>
    </row>
    <row r="8">
      <c r="A8" s="6" t="inlineStr">
        <is>
          <t>Nvidia (NVDA)</t>
        </is>
      </c>
      <c r="B8" s="20" t="n">
        <v>34</v>
      </c>
      <c r="C8" s="20" t="n">
        <v>30</v>
      </c>
      <c r="D8" s="12" t="n">
        <v>0.5</v>
      </c>
      <c r="E8" s="6" t="inlineStr">
        <is>
          <t>AI compute</t>
        </is>
      </c>
    </row>
    <row r="9">
      <c r="A9" s="6" t="inlineStr">
        <is>
          <t>Meta (META)</t>
        </is>
      </c>
      <c r="B9" s="20" t="n">
        <v>24</v>
      </c>
      <c r="C9" s="20" t="n">
        <v>14</v>
      </c>
      <c r="D9" s="12" t="n">
        <v>0.16</v>
      </c>
      <c r="E9" s="6" t="inlineStr">
        <is>
          <t>ads/AI</t>
        </is>
      </c>
    </row>
    <row r="10">
      <c r="A10" s="17" t="inlineStr">
        <is>
          <t>Mega-cap median</t>
        </is>
      </c>
      <c r="B10" s="20" t="n">
        <v>31</v>
      </c>
      <c r="C10" s="20" t="n">
        <v>18</v>
      </c>
      <c r="D10" s="12" t="n">
        <v>0.13</v>
      </c>
      <c r="E10" s="6" t="inlineStr">
        <is>
          <t>ex-AAPL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2026-07-06T21:00:44Z</dcterms:created>
  <dcterms:modified xmlns:dcterms="http://purl.org/dc/terms/" xmlns:xsi="http://www.w3.org/2001/XMLSchema-instance" xsi:type="dcterms:W3CDTF">2026-07-06T21:00:44Z</dcterms:modified>
</cp:coreProperties>
</file>