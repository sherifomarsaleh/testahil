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 sheetId="1" state="visible" r:id="rId3"/>
    <sheet name="2_Assumptions" sheetId="2" state="visible" r:id="rId4"/>
    <sheet name="3_AtAGlance" sheetId="3" state="visible" r:id="rId5"/>
    <sheet name="4_IS" sheetId="4" state="visible" r:id="rId6"/>
    <sheet name="5_BS" sheetId="5" state="visible" r:id="rId7"/>
    <sheet name="6_CF_FCFF" sheetId="6" state="visible" r:id="rId8"/>
    <sheet name="7_DCF" sheetId="7" state="visible" r:id="rId9"/>
    <sheet name="8_SOTP" sheetId="8" state="visible" r:id="rId10"/>
    <sheet name="9_Sensitivity" sheetId="9" state="visible" r:id="rId11"/>
    <sheet name="10_MC_Inputs" sheetId="10" state="visible" r:id="rId12"/>
    <sheet name="11_MC_Output" sheetId="11" state="visible" r:id="rId13"/>
    <sheet name="12_Segments" sheetId="12" state="visible" r:id="rId14"/>
    <sheet name="13_Portfolio" sheetId="13" state="visible" r:id="rId15"/>
    <sheet name="14_Research_Register" sheetId="14" state="visible" r:id="rId16"/>
    <sheet name="15_Ledger" sheetId="15" state="visible" r:id="rId17"/>
    <sheet name="16_Experts"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<sst xmlns="http://schemas.openxmlformats.org/spreadsheetml/2006/main" count="726" uniqueCount="508">
  <si>
    <t xml:space="preserve">Two Point Zero Group PJSC (ADX: 2POINTZERO) — Independent Valuation Study</t>
  </si>
  <si>
    <t xml:space="preserve">Publisher</t>
  </si>
  <si>
    <t xml:space="preserve">Testahil — independent equity research (educational; not investment advice)</t>
  </si>
  <si>
    <t xml:space="preserve">Anchor date</t>
  </si>
  <si>
    <t xml:space="preserve">2026-07-03 close (last day in the price history used)</t>
  </si>
  <si>
    <t xml:space="preserve">Spot / shares / mkt cap</t>
  </si>
  <si>
    <t xml:space="preserve">AED 2.16 · 34,564 mn shares · AED 74.7 bn (~US$20.3 bn)</t>
  </si>
  <si>
    <t xml:space="preserve">Instrument class</t>
  </si>
  <si>
    <t xml:space="preserve">Investment holding company — valued as a sum of its parts, not on a blended margin</t>
  </si>
  <si>
    <t xml:space="preserve">Weighted central (12-mo)</t>
  </si>
  <si>
    <t xml:space="preserve">AED 1.91  (range 1.55–2.27)</t>
  </si>
  <si>
    <t xml:space="preserve">Spot vs central</t>
  </si>
  <si>
    <t xml:space="preserve">+13.2% — fully valued</t>
  </si>
  <si>
    <t xml:space="preserve">60-day MC band (5–95%)</t>
  </si>
  <si>
    <t xml:space="preserve">AED 1.59 – 3.00 · median 2.18</t>
  </si>
  <si>
    <t xml:space="preserve">Calibration</t>
  </si>
  <si>
    <t xml:space="preserve">Walk-forward backtest, 14 windows: PARITY. CRPS skill +0.18% vs a carry-anchored random walk; 90% CI straddles zero. Coverage 50/79/93 against 50/80/90 targets. Honest tier: the distribution is calibrated; no single-name edge is demonstrated.</t>
  </si>
  <si>
    <t xml:space="preserve">THE CRUX</t>
  </si>
  <si>
    <t xml:space="preserve">The investment portfolio is carried at AED 58.7 bn against AED 48.0 bn invested — a AED 10.7 bn mark-up. But the TAQA stake sold in June was worth AED 21.6 bn against AED 10 bn paid. Strip it out and the REST of the portfolio is carried AED 0.9 bn BELOW cost. The entire gain was one listed stake — and it has been sold, with the proceeds redeployed into unlisted assets.</t>
  </si>
  <si>
    <t xml:space="preserve">Assumptions — the single blue-cell input layer</t>
  </si>
  <si>
    <t xml:space="preserve">Blue = hardcoded input. Every other cell in the model is a formula referencing these.</t>
  </si>
  <si>
    <t xml:space="preserve">Input</t>
  </si>
  <si>
    <t xml:space="preserve">Value</t>
  </si>
  <si>
    <t xml:space="preserve">Unit</t>
  </si>
  <si>
    <t xml:space="preserve">Source</t>
  </si>
  <si>
    <t xml:space="preserve">Spot</t>
  </si>
  <si>
    <t xml:space="preserve">AED</t>
  </si>
  <si>
    <t xml:space="preserve">ADX close, 3-Jul-2026</t>
  </si>
  <si>
    <t xml:space="preserve">Shares outstanding</t>
  </si>
  <si>
    <t xml:space="preserve">bn</t>
  </si>
  <si>
    <t xml:space="preserve">Share capital AED 8,640,907k / AED 0.25 par = 34,563.6 mn</t>
  </si>
  <si>
    <t xml:space="preserve">— Q1-2026 disclosure (the only clean merged quarter) —</t>
  </si>
  <si>
    <t xml:space="preserve">Q1 revenue</t>
  </si>
  <si>
    <t xml:space="preserve">AED bn</t>
  </si>
  <si>
    <t xml:space="preserve">Q1-2026 results release, 4-May-2026 (ADX)</t>
  </si>
  <si>
    <t xml:space="preserve">Q1 gross margin</t>
  </si>
  <si>
    <t xml:space="preserve">%</t>
  </si>
  <si>
    <t xml:space="preserve">Gross profit AED 3.0 bn / revenue 9.9 bn — DISCLOSED</t>
  </si>
  <si>
    <t xml:space="preserve">Q1 G&amp;A</t>
  </si>
  <si>
    <t xml:space="preserve">DISCLOSED. 18.2% of revenue</t>
  </si>
  <si>
    <t xml:space="preserve">Q1 investment &amp; other income</t>
  </si>
  <si>
    <t xml:space="preserve">DISCLOSED — separate from revenue; does not scale with it</t>
  </si>
  <si>
    <t xml:space="preserve">Q1 unrealised fair-value gains</t>
  </si>
  <si>
    <t xml:space="preserve">DISCLOSED, inside reported net profit</t>
  </si>
  <si>
    <t xml:space="preserve">Q1 one-off: associate disposal gain</t>
  </si>
  <si>
    <t xml:space="preserve">DISCLOSED one-off</t>
  </si>
  <si>
    <t xml:space="preserve">Q1 one-off: digital-asset impairment</t>
  </si>
  <si>
    <t xml:space="preserve">Q1 reported net profit</t>
  </si>
  <si>
    <t xml:space="preserve">DISCLOSED</t>
  </si>
  <si>
    <t xml:space="preserve">Q1 EPS</t>
  </si>
  <si>
    <t xml:space="preserve">PUBLISHED (ADX). Gives the attributable split directly — no proxy needed</t>
  </si>
  <si>
    <t xml:space="preserve">Q1 investment portfolio</t>
  </si>
  <si>
    <t xml:space="preserve">DISCLOSED management mark</t>
  </si>
  <si>
    <t xml:space="preserve">Q1 portfolio — invested cost</t>
  </si>
  <si>
    <t xml:space="preserve">Q1 cash</t>
  </si>
  <si>
    <t xml:space="preserve">— TAQA disposal (completed 11-Jun-2026) —</t>
  </si>
  <si>
    <t xml:space="preserve">TAQA shares sold</t>
  </si>
  <si>
    <t xml:space="preserve">bn sh</t>
  </si>
  <si>
    <t xml:space="preserve">9,095,702,934 shares (7.29% of TAQA) — ADX filing</t>
  </si>
  <si>
    <t xml:space="preserve">TAQA share price at deal</t>
  </si>
  <si>
    <t xml:space="preserve">TAQA close on the transaction date</t>
  </si>
  <si>
    <t xml:space="preserve">TAQA original cost</t>
  </si>
  <si>
    <t xml:space="preserve">Multiply acquired 7.3% of TAQA for AED 10 bn (2022)</t>
  </si>
  <si>
    <t xml:space="preserve">— Forecast drivers (judgment) —</t>
  </si>
  <si>
    <t xml:space="preserve">FY25 revenue — merged-basis proxy</t>
  </si>
  <si>
    <t xml:space="preserve">Base for the working-capital bridge only. Judgment — flagged</t>
  </si>
  <si>
    <t xml:space="preserve">D&amp;A % of revenue</t>
  </si>
  <si>
    <t xml:space="preserve">Backed out of the company's own adjusted-EBITDA definition (~AED 0.2 bn/qtr)</t>
  </si>
  <si>
    <t xml:space="preserve">Effective tax rate</t>
  </si>
  <si>
    <t xml:space="preserve">UAE Domestic Minimum Top-up Tax — a 15% floor from 1-Jan-2025. Statutory, NOT a glide</t>
  </si>
  <si>
    <t xml:space="preserve">Terminal growth</t>
  </si>
  <si>
    <t xml:space="preserve">UAE long-run nominal proxy; sensitised 2.0–4.0%</t>
  </si>
  <si>
    <t xml:space="preserve">Portfolio opacity discount</t>
  </si>
  <si>
    <t xml:space="preserve">The book is now wholly unlisted post-TAQA. Judgment; sensitised 15–35%</t>
  </si>
  <si>
    <t xml:space="preserve">Holdco structural discount</t>
  </si>
  <si>
    <t xml:space="preserve">Agency / related-party / float. Judgment; sensitised 2.5–12.5%</t>
  </si>
  <si>
    <t xml:space="preserve">Operating-business multiple</t>
  </si>
  <si>
    <t xml:space="preserve">x</t>
  </si>
  <si>
    <t xml:space="preserve">Owners' earnings from the operating legs; band 8–12x</t>
  </si>
  <si>
    <t xml:space="preserve">— Cost of capital —</t>
  </si>
  <si>
    <t xml:space="preserve">Risk-free (AED, long)</t>
  </si>
  <si>
    <t xml:space="preserve">UAE federal AED T-bond, ≤16 bp over the 4.58% US 10-year</t>
  </si>
  <si>
    <t xml:space="preserve">Equity risk premium — rating</t>
  </si>
  <si>
    <t xml:space="preserve">Damodaran, Jan-2026 (UAE, Aa2)</t>
  </si>
  <si>
    <t xml:space="preserve">Equity risk premium — CDS</t>
  </si>
  <si>
    <t xml:space="preserve">Damodaran, Jan-2026 (Abu Dhabi CDS basis)</t>
  </si>
  <si>
    <t xml:space="preserve">Beta</t>
  </si>
  <si>
    <t xml:space="preserve">Regression failed the usability test (no usable ADX index series) → 1.0; band 0.8–1.3</t>
  </si>
  <si>
    <t xml:space="preserve">Cost of debt (pre-tax)</t>
  </si>
  <si>
    <t xml:space="preserve">EIBOR + ~210 bp holdco spread. Judgment — flagged</t>
  </si>
  <si>
    <t xml:space="preserve">Net debt</t>
  </si>
  <si>
    <t xml:space="preserve">The COMPANY's own post-TAQA guidance: net debt / equity 0.17x</t>
  </si>
  <si>
    <t xml:space="preserve">— Balance sheet (audited FY2025) —</t>
  </si>
  <si>
    <t xml:space="preserve">Total assets</t>
  </si>
  <si>
    <t xml:space="preserve">Audited FY2025 (Deloitte, unmodified)</t>
  </si>
  <si>
    <t xml:space="preserve">Total liabilities</t>
  </si>
  <si>
    <t xml:space="preserve">Audited FY2025</t>
  </si>
  <si>
    <t xml:space="preserve">Owners equity</t>
  </si>
  <si>
    <t xml:space="preserve">Non-controlling interests</t>
  </si>
  <si>
    <t xml:space="preserve">FY25 investment portfolio</t>
  </si>
  <si>
    <t xml:space="preserve">FY2025 management mark</t>
  </si>
  <si>
    <t xml:space="preserve">FY25 cash</t>
  </si>
  <si>
    <t xml:space="preserve">— Multiples —</t>
  </si>
  <si>
    <t xml:space="preserve">Fair P/E — reported basis</t>
  </si>
  <si>
    <t xml:space="preserve">GCC holdco band 8–11x</t>
  </si>
  <si>
    <t xml:space="preserve">Fair P/E — underlying basis</t>
  </si>
  <si>
    <t xml:space="preserve">Band 7.5–10.5x</t>
  </si>
  <si>
    <t xml:space="preserve">Normalised fair-value contribution</t>
  </si>
  <si>
    <t xml:space="preserve">Below the Q1-annualised AED 4.4 bn: the asset generating the gains has been sold</t>
  </si>
  <si>
    <t xml:space="preserve">— Monte Carlo —</t>
  </si>
  <si>
    <t xml:space="preserve">Carry anchor</t>
  </si>
  <si>
    <t xml:space="preserve">CBUAE base rate 3.65% (held 17-Jun-2026), imported via the dollar peg</t>
  </si>
  <si>
    <t xml:space="preserve">Dividend yield in window</t>
  </si>
  <si>
    <t xml:space="preserve">No dividend declared; policy intent from 2027</t>
  </si>
  <si>
    <t xml:space="preserve">At a glance</t>
  </si>
  <si>
    <t xml:space="preserve">Metric</t>
  </si>
  <si>
    <t xml:space="preserve">FY2023</t>
  </si>
  <si>
    <t xml:space="preserve">FY2024</t>
  </si>
  <si>
    <t xml:space="preserve">FY2025</t>
  </si>
  <si>
    <t xml:space="preserve">Q1-2026</t>
  </si>
  <si>
    <t xml:space="preserve">Revenue (AED bn)</t>
  </si>
  <si>
    <t xml:space="preserve">Net profit — reported</t>
  </si>
  <si>
    <t xml:space="preserve">Net profit — underlying (ex-marks)</t>
  </si>
  <si>
    <t xml:space="preserve">n/d</t>
  </si>
  <si>
    <t xml:space="preserve">Net profit — attributable</t>
  </si>
  <si>
    <t xml:space="preserve">EPS (AED)</t>
  </si>
  <si>
    <t xml:space="preserve">Owners' equity</t>
  </si>
  <si>
    <t xml:space="preserve">—</t>
  </si>
  <si>
    <t xml:space="preserve">Total equity</t>
  </si>
  <si>
    <t xml:space="preserve">Cash</t>
  </si>
  <si>
    <t xml:space="preserve">Investment portfolio (mgmt mark)</t>
  </si>
  <si>
    <t xml:space="preserve">  — invested cost</t>
  </si>
  <si>
    <t xml:space="preserve">BVPS — owners (AED)</t>
  </si>
  <si>
    <t xml:space="preserve">DPS</t>
  </si>
  <si>
    <t xml:space="preserve">FY2023 and FY2024 are Multiply Group standalone — a different company. FY2025 consolidates the November-2025 reverse merger for roughly one to two months only. Q1-2026 is the first clean quarter of the merged group and is the base for every forecast here. Read FY-on-FY changes as a change of perimeter, not as growth. NOTE the FY2023 line: reported profit (AED 0.55 bn) came in BELOW underlying profit (AED 1.1 bn) because fair-value marks were NEGATIVE that year — the same line that added AED 1.1 bn in Q1-2026.</t>
  </si>
  <si>
    <t xml:space="preserve">Income statement — the operating businesses, separated from the portfolio (AED bn)</t>
  </si>
  <si>
    <t xml:space="preserve">The group earns two ways. The operating businesses turn revenue into profit. The investment portfolio throws off income and marks that have nothing to do with revenue. They are modelled apart — a blended margin on revenue cannot see the second.</t>
  </si>
  <si>
    <t xml:space="preserve">Line</t>
  </si>
  <si>
    <t xml:space="preserve">FY23</t>
  </si>
  <si>
    <t xml:space="preserve">FY24</t>
  </si>
  <si>
    <t xml:space="preserve">FY25</t>
  </si>
  <si>
    <t xml:space="preserve">FY26e</t>
  </si>
  <si>
    <t xml:space="preserve">FY27e</t>
  </si>
  <si>
    <t xml:space="preserve">FY28e</t>
  </si>
  <si>
    <t xml:space="preserve">FY29e</t>
  </si>
  <si>
    <t xml:space="preserve">FY30e</t>
  </si>
  <si>
    <t xml:space="preserve">OPERATING BUSINESSES</t>
  </si>
  <si>
    <t xml:space="preserve">Revenue</t>
  </si>
  <si>
    <t xml:space="preserve">Gross profit</t>
  </si>
  <si>
    <t xml:space="preserve">less G&amp;A</t>
  </si>
  <si>
    <t xml:space="preserve">Operating EBITDA</t>
  </si>
  <si>
    <t xml:space="preserve">less D&amp;A</t>
  </si>
  <si>
    <t xml:space="preserve">Operating EBIT</t>
  </si>
  <si>
    <t xml:space="preserve">PORTFOLIO &amp; CORPORATE</t>
  </si>
  <si>
    <t xml:space="preserve">Investment &amp; other income</t>
  </si>
  <si>
    <t xml:space="preserve">Share of JV result</t>
  </si>
  <si>
    <t xml:space="preserve">Unrealised fair-value marks</t>
  </si>
  <si>
    <t xml:space="preserve">One-offs</t>
  </si>
  <si>
    <t xml:space="preserve">GROUP</t>
  </si>
  <si>
    <t xml:space="preserve">less net finance costs</t>
  </si>
  <si>
    <t xml:space="preserve">Profit before tax</t>
  </si>
  <si>
    <t xml:space="preserve">less tax</t>
  </si>
  <si>
    <t xml:space="preserve">MEMO — underlying NP (ex-marks, ex-one-offs)</t>
  </si>
  <si>
    <t xml:space="preserve">Row 13 is the point. Investment &amp; other income (~AED 4.8 bn a year) is DISCLOSED separately from revenue, and the company's own Q1 vertical split puts 59% of group profit in the Investments line — on ~0% of group revenue. Any model that applies a single margin to revenue and stops there is valuing a different company. Row 15 (the marks) is set to a normalised AED 2.0 bn, well below the AED 4.4 bn that annualising Q1 would give, because the asset that generated the gains has been sold.</t>
  </si>
  <si>
    <t xml:space="preserve">Balance sheet — and the reconciliation that anchors the valuation (AED bn)</t>
  </si>
  <si>
    <t xml:space="preserve">  of which investment portfolio</t>
  </si>
  <si>
    <t xml:space="preserve">  of which cash</t>
  </si>
  <si>
    <t xml:space="preserve">  of which operating assets (residual)</t>
  </si>
  <si>
    <t xml:space="preserve">RECONCILIATION — what the owners' book contains</t>
  </si>
  <si>
    <t xml:space="preserve">Operating businesses, net book (100%)</t>
  </si>
  <si>
    <t xml:space="preserve">  less NCI</t>
  </si>
  <si>
    <t xml:space="preserve">Operating businesses, net book (owners')</t>
  </si>
  <si>
    <t xml:space="preserve">Investment portfolio (at fair value)</t>
  </si>
  <si>
    <t xml:space="preserve">Cash (at par)</t>
  </si>
  <si>
    <t xml:space="preserve">Owners book equity (must tie to audited)</t>
  </si>
  <si>
    <t xml:space="preserve">BVPS (AED)</t>
  </si>
  <si>
    <t xml:space="preserve">Row 19 must equal the audited owners' equity exactly — and it does. That is what makes this a valuation and not an assertion: the audited book ALREADY carries the portfolio at fair value, cash at par and debt at par, with only the operating businesses held at book. So the only honest adjustments a sum-of-the-parts can make are (a) re-mark the operating businesses, (b) discount the portfolio for the fact that nobody outside can price it, and (c) discount the wrapper. That is exactly what sheet 8 does.</t>
  </si>
  <si>
    <t xml:space="preserve">Cash flow (AED bn)</t>
  </si>
  <si>
    <t xml:space="preserve">Net cash generated from operating activities</t>
  </si>
  <si>
    <t xml:space="preserve">Net finance costs (P&amp;L)</t>
  </si>
  <si>
    <t xml:space="preserve">Dividends paid to shareholders</t>
  </si>
  <si>
    <t xml:space="preserve">TAQA disposal proceeds (June 2026)</t>
  </si>
  <si>
    <t xml:space="preserve">Redeployed: Traverse Midstream ($2.25bn)</t>
  </si>
  <si>
    <t xml:space="preserve">Redeployed: Mopani (~$1.1bn)</t>
  </si>
  <si>
    <t xml:space="preserve">Redeployed: Alphamin (~$367mn)</t>
  </si>
  <si>
    <t xml:space="preserve">Redeployed: ISEM (60.8%)</t>
  </si>
  <si>
    <t xml:space="preserve">Net of announced redeployment</t>
  </si>
  <si>
    <t xml:space="preserve">The June TAQA sale raised AED 21.6 bn. It has not been banked: within the same half-year the company announced AED 14.4 bn of purchases (Traverse, Mopani, Alphamin, ISEM), and its own post-transaction guidance is net debt / equity of 0.17x — a low-leverage balance sheet, but NOT the net-cash position a AED 21.6 bn windfall might suggest. This matters for the valuation: the proceeds of selling the one asset with a daily screen price have been redeployed into assets with none.</t>
  </si>
  <si>
    <t xml:space="preserve">Discounted cash flow — the OPERATING businesses only (AED bn)</t>
  </si>
  <si>
    <t xml:space="preserve">This DCF values what revenue produces. It cannot value the investment portfolio — that is added separately in sheet 8. Margins here are the DISCLOSED ones (gross 30%, G&amp;A 18%), not a blended figure with portfolio income inside it.</t>
  </si>
  <si>
    <t xml:space="preserve">less G&amp;A (incl. D&amp;A)</t>
  </si>
  <si>
    <t xml:space="preserve">add back D&amp;A</t>
  </si>
  <si>
    <t xml:space="preserve">Operating EBITDA (memo)</t>
  </si>
  <si>
    <t xml:space="preserve">NOPAT</t>
  </si>
  <si>
    <t xml:space="preserve">less Capex</t>
  </si>
  <si>
    <t xml:space="preserve">less ΔWC</t>
  </si>
  <si>
    <t xml:space="preserve">Free cash flow to the firm</t>
  </si>
  <si>
    <t xml:space="preserve">Discount factor</t>
  </si>
  <si>
    <t xml:space="preserve">PV of FCFF</t>
  </si>
  <si>
    <t xml:space="preserve">Sum of PV (FY26–30)</t>
  </si>
  <si>
    <t xml:space="preserve">WACC (rating basis)</t>
  </si>
  <si>
    <t xml:space="preserve">Terminal value</t>
  </si>
  <si>
    <t xml:space="preserve">Cost of equity (rf + beta x ERP)</t>
  </si>
  <si>
    <t xml:space="preserve">Cost of debt, after tax</t>
  </si>
  <si>
    <t xml:space="preserve">Equity weight</t>
  </si>
  <si>
    <t xml:space="preserve">Debt weight</t>
  </si>
  <si>
    <t xml:space="preserve">PV of terminal value</t>
  </si>
  <si>
    <t xml:space="preserve">Enterprise value — operating businesses</t>
  </si>
  <si>
    <t xml:space="preserve">Terminal value as % of EV</t>
  </si>
  <si>
    <t xml:space="preserve">Cost of equity — CDS basis</t>
  </si>
  <si>
    <t xml:space="preserve">Driver block (blue = input)</t>
  </si>
  <si>
    <t xml:space="preserve">Revenue growth</t>
  </si>
  <si>
    <t xml:space="preserve">base</t>
  </si>
  <si>
    <t xml:space="preserve">Capex % revenue</t>
  </si>
  <si>
    <t xml:space="preserve">ΔWC % of Δrevenue</t>
  </si>
  <si>
    <t xml:space="preserve">Terminal value is over 80% of this enterprise value. That is disclosed, not buried, and it is the first reason this lens is treated as a ceiling rather than an anchor. The second is that it values only the revenue-generating legs — the portfolio is handled in sheet 8, where it belongs.</t>
  </si>
  <si>
    <t xml:space="preserve">Sum-of-the-parts — the primary lens (AED bn)</t>
  </si>
  <si>
    <t xml:space="preserve">Start from the audited owners' book, which already carries the portfolio at fair value and cash at par. Re-mark only what needs re-marking; discount only what cannot be verified.</t>
  </si>
  <si>
    <t xml:space="preserve">Leg</t>
  </si>
  <si>
    <t xml:space="preserve">Basis</t>
  </si>
  <si>
    <t xml:space="preserve">Operating businesses — net book (owners')</t>
  </si>
  <si>
    <t xml:space="preserve">Sheet 5 reconciliation</t>
  </si>
  <si>
    <t xml:space="preserve">Operating businesses — owners' earnings</t>
  </si>
  <si>
    <t xml:space="preserve">Operating EBIT less finance, taxed, owners' share</t>
  </si>
  <si>
    <t xml:space="preserve">Operating businesses — MARKED (x multiple)</t>
  </si>
  <si>
    <t xml:space="preserve">Owners' earnings x the multiple on sheet 2</t>
  </si>
  <si>
    <t xml:space="preserve">  re-mark vs book</t>
  </si>
  <si>
    <t xml:space="preserve">The uplift the book does not carry</t>
  </si>
  <si>
    <t xml:space="preserve">Investment portfolio (management mark)</t>
  </si>
  <si>
    <t xml:space="preserve">Q1-2026 disclosure</t>
  </si>
  <si>
    <t xml:space="preserve">  less opacity discount</t>
  </si>
  <si>
    <t xml:space="preserve">Wholly unlisted post-TAQA — nobody outside can price it</t>
  </si>
  <si>
    <t xml:space="preserve">At par</t>
  </si>
  <si>
    <t xml:space="preserve">Gross asset value (owners')</t>
  </si>
  <si>
    <t xml:space="preserve">Sum of the marked legs</t>
  </si>
  <si>
    <t xml:space="preserve">  less holdco structural discount</t>
  </si>
  <si>
    <t xml:space="preserve">Agency, related-party density, thin float</t>
  </si>
  <si>
    <t xml:space="preserve">SUM-OF-THE-PARTS NAV (owners')</t>
  </si>
  <si>
    <t xml:space="preserve">per share (AED)</t>
  </si>
  <si>
    <t xml:space="preserve">THE CRUX — the portfolio's mark-up, decomposed</t>
  </si>
  <si>
    <t xml:space="preserve">Invested cost</t>
  </si>
  <si>
    <t xml:space="preserve">Carrying value</t>
  </si>
  <si>
    <t xml:space="preserve">Mark-up</t>
  </si>
  <si>
    <t xml:space="preserve">Whole portfolio</t>
  </si>
  <si>
    <t xml:space="preserve">TAQA (listed — SOLD June 2026)</t>
  </si>
  <si>
    <t xml:space="preserve">Everything else (all unlisted)</t>
  </si>
  <si>
    <t xml:space="preserve">Read row 21. Every dirham of the portfolio's AED 10.7 bn mark-up came from a single listed stake in TAQA — and that stake was sold in June 2026, with the proceeds redeployed into private midstream, private mining and private packaging. What remains is carried BELOW what was paid for it. This is the strongest evidence in the study for a wide opacity discount, and it is the company's own disclosure that produces it.</t>
  </si>
  <si>
    <t xml:space="preserve">Sensitivities — every grid a live formula</t>
  </si>
  <si>
    <t xml:space="preserve">Fair value /share: WACC (down) x terminal growth (across)</t>
  </si>
  <si>
    <t xml:space="preserve">Fair value /share: operating EBITDA margin (the driver v1 got wrong)</t>
  </si>
  <si>
    <t xml:space="preserve">margin</t>
  </si>
  <si>
    <t xml:space="preserve">Fair value (AED/share)</t>
  </si>
  <si>
    <t xml:space="preserve">The disclosed operating EBITDA margin is 13.8% (gross 30%, G&amp;A 18%, D&amp;A 2%). The first version of this model used 25% — a figure that had the portfolio's investment income buried inside it. That single error moved fair value by more than a dirham a share.</t>
  </si>
  <si>
    <t xml:space="preserve">NAV /share: portfolio opacity discount (down) x holdco structural discount (across)</t>
  </si>
  <si>
    <t xml:space="preserve">opacity</t>
  </si>
  <si>
    <t xml:space="preserve">Beta (assumed 1.0 — the regression failed)</t>
  </si>
  <si>
    <t xml:space="preserve">beta</t>
  </si>
  <si>
    <t xml:space="preserve">Cost of equity</t>
  </si>
  <si>
    <t xml:space="preserve">WACC</t>
  </si>
  <si>
    <t xml:space="preserve">Fair value /share</t>
  </si>
  <si>
    <t xml:space="preserve">The synthesis — four lenses, published weights</t>
  </si>
  <si>
    <t xml:space="preserve">Lens</t>
  </si>
  <si>
    <t xml:space="preserve">Low</t>
  </si>
  <si>
    <t xml:space="preserve">Base</t>
  </si>
  <si>
    <t xml:space="preserve">High</t>
  </si>
  <si>
    <t xml:space="preserve">Weight</t>
  </si>
  <si>
    <t xml:space="preserve">Sum-of-the-parts NAV (primary)</t>
  </si>
  <si>
    <t xml:space="preserve">DCF + portfolio (ceiling)</t>
  </si>
  <si>
    <t xml:space="preserve">Relative — reported earnings</t>
  </si>
  <si>
    <t xml:space="preserve">Underlying earnings (floor)</t>
  </si>
  <si>
    <t xml:space="preserve">Weighted central</t>
  </si>
  <si>
    <t xml:space="preserve">Spot vs weighted central</t>
  </si>
  <si>
    <t xml:space="preserve">Monte Carlo — engine and inputs</t>
  </si>
  <si>
    <t xml:space="preserve">Engine</t>
  </si>
  <si>
    <t xml:space="preserve">Carry-anchored Yang–Zhang volatility with HAR dynamics and Student-t innovations. 50,000 paths, seed 42.</t>
  </si>
  <si>
    <t xml:space="preserve">3.65% — the CBUAE base rate (held 17-Jun-2026), imported from the Fed via the dollar peg. Drift over 60 sessions = ln(1+r) x 60/252 = 0.854%.</t>
  </si>
  <si>
    <t xml:space="preserve">Dividend in window</t>
  </si>
  <si>
    <t xml:space="preserve">Zero. No dividend has been declared; management states a policy intent from 2027, so no ex-date falls inside the forecast window.</t>
  </si>
  <si>
    <t xml:space="preserve">Cone width</t>
  </si>
  <si>
    <t xml:space="preserve">Gap-aware Yang–Zhang variance proxy, HAR(1/5/22) dynamics, bias-corrected and shrunk to the trailing 252-day proxy, then scaled by a width factor of 1.049 fitted on the 14-name UAE panel.</t>
  </si>
  <si>
    <t xml:space="preserve">Tail shape</t>
  </si>
  <si>
    <t xml:space="preserve">Student-t with 10 degrees of freedom, fitted on the same panel. HONEST CAVEAT: this parameter is only weakly identified — every value from 5 to Gaussian sits inside the 95% likelihood interval, and it trades off against the width factor. The pair is fitted; neither number alone is precise.</t>
  </si>
  <si>
    <t xml:space="preserve">60-day sigma</t>
  </si>
  <si>
    <t xml:space="preserve">0.1870 (log). Annualised anchor volatility 38.3%.</t>
  </si>
  <si>
    <t xml:space="preserve">Structural break</t>
  </si>
  <si>
    <t xml:space="preserve">The volatility pool starts January 2022, when the UAE moved to a Monday–Friday week and the overnight-gap day changed.</t>
  </si>
  <si>
    <t xml:space="preserve">Independence</t>
  </si>
  <si>
    <t xml:space="preserve">The drift carries ONLY the carry rate. The gap between price and our fundamental estimate is never fed into the simulation — if it were, the two would be one opinion counted twice.</t>
  </si>
  <si>
    <t xml:space="preserve">Walk-forward, 14 non-overlapping 60-day windows: CRPS skill +0.18% against a carry-anchored random walk, with a 90% interval that straddles zero. Coverage 50/79/93 against 50/80/90 targets. Verdict: the distribution is honestly calibrated; no single-name forecasting edge is demonstrated.</t>
  </si>
  <si>
    <t xml:space="preserve">Live caveat</t>
  </si>
  <si>
    <t xml:space="preserve">The price history ends 3 July 2026. On 7–8 July the US–Iran ceasefire collapsed and strikes resumed. Nothing in this simulation embeds that. Read the downside percentiles as floors on risk, not ceilings.</t>
  </si>
  <si>
    <t xml:space="preserve">Monte Carlo — output</t>
  </si>
  <si>
    <t xml:space="preserve">The probability read (T+60)</t>
  </si>
  <si>
    <t xml:space="preserve">Question</t>
  </si>
  <si>
    <t xml:space="preserve">Answer</t>
  </si>
  <si>
    <t xml:space="preserve">Price above AED 2.16 at T+60?</t>
  </si>
  <si>
    <t xml:space="preserve">52%</t>
  </si>
  <si>
    <t xml:space="preserve">Gain 10%+ vs loss 10%+ (odds)</t>
  </si>
  <si>
    <t xml:space="preserve">32% vs 26%  —  1.21 : 1</t>
  </si>
  <si>
    <t xml:space="preserve">Median level, and its move</t>
  </si>
  <si>
    <t xml:space="preserve">AED 2.18   (+0.9%)</t>
  </si>
  <si>
    <t xml:space="preserve">The 50% band (25th–75th)</t>
  </si>
  <si>
    <t xml:space="preserve">AED 1.93 – 2.46   (-11% to +14%)</t>
  </si>
  <si>
    <t xml:space="preserve">Touch +10% / touch −10% at any point</t>
  </si>
  <si>
    <t xml:space="preserve">57% / 50%</t>
  </si>
  <si>
    <t xml:space="preserve">Percentile map</t>
  </si>
  <si>
    <t xml:space="preserve">Percentile</t>
  </si>
  <si>
    <t xml:space="preserve">T+20 (AED)</t>
  </si>
  <si>
    <t xml:space="preserve">T+60 (AED)</t>
  </si>
  <si>
    <t xml:space="preserve">vs spot (T+60)</t>
  </si>
  <si>
    <t xml:space="preserve">p5</t>
  </si>
  <si>
    <t xml:space="preserve">p10</t>
  </si>
  <si>
    <t xml:space="preserve">p25</t>
  </si>
  <si>
    <t xml:space="preserve">p50</t>
  </si>
  <si>
    <t xml:space="preserve">p75</t>
  </si>
  <si>
    <t xml:space="preserve">p90</t>
  </si>
  <si>
    <t xml:space="preserve">p95</t>
  </si>
  <si>
    <t xml:space="preserve">Level ladder — P(finish above)</t>
  </si>
  <si>
    <t xml:space="preserve">Level (AED)</t>
  </si>
  <si>
    <t xml:space="preserve">P(above at T+60)</t>
  </si>
  <si>
    <t xml:space="preserve">The probabilities and percentiles are outputs of the same 50,000 paths (blue = simulation output, pasted once). They are presentation only: computed after the simulation, they never feed back into the drift or the width.</t>
  </si>
  <si>
    <t xml:space="preserve">The verticals — and the fact that reframed this valuation</t>
  </si>
  <si>
    <t xml:space="preserve">Vertical (Q1-2026)</t>
  </si>
  <si>
    <t xml:space="preserve">% of REVENUE</t>
  </si>
  <si>
    <t xml:space="preserve">% of PROFIT</t>
  </si>
  <si>
    <t xml:space="preserve">What it means</t>
  </si>
  <si>
    <t xml:space="preserve">Consumer (Ghitha, Tendam, beauty)</t>
  </si>
  <si>
    <t xml:space="preserve">Half the revenue, a twelfth of the profit. Ghitha's Q1 gross margin was 20%.</t>
  </si>
  <si>
    <t xml:space="preserve">Mining &amp; trading (IRH)</t>
  </si>
  <si>
    <t xml:space="preserve">High revenue, thin margin — commodity trading.</t>
  </si>
  <si>
    <t xml:space="preserve">Energy</t>
  </si>
  <si>
    <t xml:space="preserve">Proportionate.</t>
  </si>
  <si>
    <t xml:space="preserve">Investments</t>
  </si>
  <si>
    <t xml:space="preserve">NO revenue. 59% of the profit. A revenue-margin model cannot see this line at all.</t>
  </si>
  <si>
    <t xml:space="preserve">Disclosed subsidiary detail (Q1-2026)</t>
  </si>
  <si>
    <t xml:space="preserve">Company</t>
  </si>
  <si>
    <t xml:space="preserve">Profit (AED bn)</t>
  </si>
  <si>
    <t xml:space="preserve">Note</t>
  </si>
  <si>
    <t xml:space="preserve">Ghitha (food)</t>
  </si>
  <si>
    <t xml:space="preserve">Gross profit, not net. Revenue +23% YoY</t>
  </si>
  <si>
    <t xml:space="preserve">Emirates Driving Co (mobility)</t>
  </si>
  <si>
    <t xml:space="preserve">Net profit +9% YoY</t>
  </si>
  <si>
    <t xml:space="preserve">Tendam (fashion, 67.91%)</t>
  </si>
  <si>
    <t xml:space="preserve">Acquired Jul-2025 for AED 2.578 bn</t>
  </si>
  <si>
    <t xml:space="preserve">ISEM (packaging, 60.8%)</t>
  </si>
  <si>
    <t xml:space="preserve">Acquired Q1-2026 for AED 0.704 bn</t>
  </si>
  <si>
    <t xml:space="preserve">Source: Q1-2026 results release (ADX, 4 May 2026). The revenue/profit split by vertical is the company's own chart. It is the single most important disclosure in this study: it proves that the majority of group profit is produced by an asset base, not by a sales line — which is why the primary lens here is a sum of the parts and not a margin applied to revenue.</t>
  </si>
  <si>
    <t xml:space="preserve">The investment portfolio — and the two earnings framings</t>
  </si>
  <si>
    <t xml:space="preserve">Comment</t>
  </si>
  <si>
    <t xml:space="preserve">Whole portfolio (Q1-2026)</t>
  </si>
  <si>
    <t xml:space="preserve">A AED 10.7 bn gain on paper</t>
  </si>
  <si>
    <t xml:space="preserve">TAQA (listed; SOLD 11-Jun-2026)</t>
  </si>
  <si>
    <t xml:space="preserve">9,095,702,934 shares x AED 2.37</t>
  </si>
  <si>
    <t xml:space="preserve">Carried BELOW cost. The gain WAS TAQA.</t>
  </si>
  <si>
    <t xml:space="preserve">Where the proceeds went — all unlisted</t>
  </si>
  <si>
    <t xml:space="preserve">Traverse Midstream (US, 100%)</t>
  </si>
  <si>
    <t xml:space="preserve">Mopani (Zambia, via IRH)</t>
  </si>
  <si>
    <t xml:space="preserve">Alphamin (tin, via IRH)</t>
  </si>
  <si>
    <t xml:space="preserve">Total announced</t>
  </si>
  <si>
    <t xml:space="preserve">The two earnings framings</t>
  </si>
  <si>
    <t xml:space="preserve">Framing</t>
  </si>
  <si>
    <t xml:space="preserve">Group NP (AED bn)</t>
  </si>
  <si>
    <t xml:space="preserve">Attributable EPS</t>
  </si>
  <si>
    <t xml:space="preserve">x9.5</t>
  </si>
  <si>
    <t xml:space="preserve">Underlying (ex-marks, ex-one-offs)</t>
  </si>
  <si>
    <t xml:space="preserve">What the businesses actually earn</t>
  </si>
  <si>
    <t xml:space="preserve">Reported, marks normalised</t>
  </si>
  <si>
    <t xml:space="preserve">The base case. Below Q1-annualised — the asset generating the gains is gone</t>
  </si>
  <si>
    <t xml:space="preserve">Reported, Q1 marks annualised</t>
  </si>
  <si>
    <t xml:space="preserve">What annualising one quarter would give. Not used.</t>
  </si>
  <si>
    <t xml:space="preserve">The attributable ratio here (84.2%) is not a balance-sheet proxy — it is derived from the PUBLISHED Q1-2026 earnings per share of AED 0.056, which fixes attributable profit at AED 1.94 bn against a reported AED 2.3 bn. The FY2025 ratio was 94.8%, but FY2025 barely consolidated the minority-heavy subsidiaries. Q1-2026 is the right one to use.</t>
  </si>
  <si>
    <t xml:space="preserve">Research register — every source, including the searches that found nothing</t>
  </si>
  <si>
    <t xml:space="preserve">Area</t>
  </si>
  <si>
    <t xml:space="preserve">Topic</t>
  </si>
  <si>
    <t xml:space="preserve">Class</t>
  </si>
  <si>
    <t xml:space="preserve">Finding</t>
  </si>
  <si>
    <t xml:space="preserve">Date</t>
  </si>
  <si>
    <t xml:space="preserve">Global</t>
  </si>
  <si>
    <t xml:space="preserve">Rates / the peg</t>
  </si>
  <si>
    <t xml:space="preserve">S</t>
  </si>
  <si>
    <t xml:space="preserve">Fed 3.50–3.75% (Jun-26); CBUAE base rate 3.65% held 17-Jun-26. The dirham peg imports it.</t>
  </si>
  <si>
    <t xml:space="preserve">CBUAE; market data</t>
  </si>
  <si>
    <t xml:space="preserve">06-Jul-26</t>
  </si>
  <si>
    <t xml:space="preserve">Equity risk premium</t>
  </si>
  <si>
    <t xml:space="preserve">UAE (Aa2) 4.87%; Abu Dhabi CDS basis 4.93%.</t>
  </si>
  <si>
    <t xml:space="preserve">Damodaran, NYU Stern</t>
  </si>
  <si>
    <t xml:space="preserve">05-Jan-26</t>
  </si>
  <si>
    <t xml:space="preserve">Oil</t>
  </si>
  <si>
    <t xml:space="preserve">Brent ~$78 after the July escalation.</t>
  </si>
  <si>
    <t xml:space="preserve">Press</t>
  </si>
  <si>
    <t xml:space="preserve">09-Jul-26</t>
  </si>
  <si>
    <t xml:space="preserve">Country</t>
  </si>
  <si>
    <t xml:space="preserve">War</t>
  </si>
  <si>
    <t xml:space="preserve">War from 28-Feb; ceasefire 8-Apr; memorandum 17-Jun; CEASEFIRE COLLAPSED 7-8 Jul — Trump declared it over at the NATO summit; US struck 80+ targets. POST-DATES the price data.</t>
  </si>
  <si>
    <t xml:space="preserve">Al Jazeera; CNN; Britannica</t>
  </si>
  <si>
    <t xml:space="preserve">Tax</t>
  </si>
  <si>
    <t xml:space="preserve">UAE Domestic Minimum Top-up Tax: a 15% minimum effective rate for large multinational groups, for financial years starting on or after 1 Jan 2025. It is a FLOOR, not a phase-in. Cabinet Decision 142 of 2024.</t>
  </si>
  <si>
    <t xml:space="preserve">UAE Ministry of Finance; PwC; EY; KPMG</t>
  </si>
  <si>
    <t xml:space="preserve">11-Jul-26</t>
  </si>
  <si>
    <t xml:space="preserve">Sovereign funding</t>
  </si>
  <si>
    <t xml:space="preserve">C</t>
  </si>
  <si>
    <t xml:space="preserve">Federal AED bonds price within ~16 bp of US Treasuries.</t>
  </si>
  <si>
    <t xml:space="preserve">Ministry of Finance; AGBI</t>
  </si>
  <si>
    <t xml:space="preserve">Mar-26</t>
  </si>
  <si>
    <t xml:space="preserve">Industry</t>
  </si>
  <si>
    <t xml:space="preserve">The IHC complex</t>
  </si>
  <si>
    <t xml:space="preserve">IHC (market cap ~AED 855 bn) trades at a large premium to conventional NAV; Alpha Dhabi de-rated toward marked NAV. 2POINTZERO trades at a DISCOUNT to book — unlike either.</t>
  </si>
  <si>
    <t xml:space="preserve">Company filings; market data</t>
  </si>
  <si>
    <t xml:space="preserve">Platforms</t>
  </si>
  <si>
    <t xml:space="preserve">Lunate AUM ~US$110 bn; Beltone acquired Baobab for EUR 197.6 mn.</t>
  </si>
  <si>
    <t xml:space="preserve">Company releases</t>
  </si>
  <si>
    <t xml:space="preserve">H1-26</t>
  </si>
  <si>
    <t xml:space="preserve">FY2023 (Multiply)</t>
  </si>
  <si>
    <t xml:space="preserve">B</t>
  </si>
  <si>
    <t xml:space="preserve">Revenue AED 1.3 bn (+15%); REPORTED net profit AED 552 mn; net profit EXCLUDING fair-value changes AED 1.1 bn. The marks were NEGATIVE that year.</t>
  </si>
  <si>
    <t xml:space="preserve">Multiply Group FY2023 release</t>
  </si>
  <si>
    <t xml:space="preserve">07-Feb-24</t>
  </si>
  <si>
    <t xml:space="preserve">FY2024 (Multiply)</t>
  </si>
  <si>
    <t xml:space="preserve">Revenue 1.703; NP 0.189; attributable −0.006; assets 43.0; owners' equity 28.9.</t>
  </si>
  <si>
    <t xml:space="preserve">Audited FY2024</t>
  </si>
  <si>
    <t xml:space="preserve">Feb-25</t>
  </si>
  <si>
    <t xml:space="preserve">FY2025 audited</t>
  </si>
  <si>
    <t xml:space="preserve">Revenue 7.004; NP 3.628 (attributable 3.440; EPS 0.246); assets 133.669; owners 83.876; NCI 10.769; cash 9.184. Deloitte, unmodified.</t>
  </si>
  <si>
    <t xml:space="preserve">Audited FY2025 consolidated FS</t>
  </si>
  <si>
    <t xml:space="preserve">05-Feb-26</t>
  </si>
  <si>
    <t xml:space="preserve">FY2025 one-offs</t>
  </si>
  <si>
    <t xml:space="preserve">PAL Cooling disposal +2.725; Kalyon impairment −0.845.</t>
  </si>
  <si>
    <t xml:space="preserve">Revenue 9.9; gross profit 3.0 (30%); G&amp;A (1.8); investment &amp; other income 1.2; one-offs +0.1 / (0.4); adj EBITDA 2.5; reported NP 2.3 INCLUDING 1.1 of unrealised marks; cash 9.5; debt/equity 0.31; portfolio 58.7 on 48.0 invested.</t>
  </si>
  <si>
    <t xml:space="preserve">Q1-2026 results release (ADX)</t>
  </si>
  <si>
    <t xml:space="preserve">04-May-26</t>
  </si>
  <si>
    <t xml:space="preserve">Q1-2026 EPS</t>
  </si>
  <si>
    <t xml:space="preserve">D</t>
  </si>
  <si>
    <t xml:space="preserve">AED 0.056 — PUBLISHED. Fixes attributable profit at AED 1.94 bn (84.2% of reported). Replaces the balance-sheet proxy used in the first draft.</t>
  </si>
  <si>
    <t xml:space="preserve">ADX interim disclosure</t>
  </si>
  <si>
    <t xml:space="preserve">May-26</t>
  </si>
  <si>
    <t xml:space="preserve">Vertical split</t>
  </si>
  <si>
    <t xml:space="preserve">Revenue: Consumer 52%, Mining 37%, Energy 12%, Investments ~0%. PROFIT: Investments 59%, Mining 22%, Energy 12%, Consumer 8%. The single most important disclosure here.</t>
  </si>
  <si>
    <t xml:space="preserve">Q1-2026 results release</t>
  </si>
  <si>
    <t xml:space="preserve">TAQA disposal</t>
  </si>
  <si>
    <t xml:space="preserve">Full 7.29% stake (9,095,702,934 shares) sold to Abu Dhabi Power (L'IMAD), completed 11-Jun-26. TAQA closed at AED 2.37 → the stake was worth ~AED 21.5 bn. Multiply had paid AED 10 bn for it in 2022.</t>
  </si>
  <si>
    <t xml:space="preserve">ADX filings; The National</t>
  </si>
  <si>
    <t xml:space="preserve">11-Jun-26</t>
  </si>
  <si>
    <t xml:space="preserve">Post-TAQA balance sheet</t>
  </si>
  <si>
    <t xml:space="preserve">The COMPANY's own guidance: net debt/equity 0.17x, net debt/EBITDA ~2.0x. So the proceeds did NOT create a net-cash pile.</t>
  </si>
  <si>
    <t xml:space="preserve">Company release</t>
  </si>
  <si>
    <t xml:space="preserve">Redeployment</t>
  </si>
  <si>
    <t xml:space="preserve">Traverse Midstream ($2.25 bn), Mopani (~$1.1 bn), Alphamin (~$367 mn), ISEM (AED 704 mn) — AED ~14.4 bn, ALL unlisted.</t>
  </si>
  <si>
    <t xml:space="preserve">Reverse merger</t>
  </si>
  <si>
    <t xml:space="preserve">Nov-2025: Multiply absorbed 2PointZero Holding (100%) and Ghitha (83.9%); renamed; 34,563.6 mn shares.</t>
  </si>
  <si>
    <t xml:space="preserve">Merger circular; ADX</t>
  </si>
  <si>
    <t xml:space="preserve">Nov-25</t>
  </si>
  <si>
    <t xml:space="preserve">Ownership</t>
  </si>
  <si>
    <t xml:space="preserve">IHC-affiliated 60.57%; free float 39.05%.</t>
  </si>
  <si>
    <t xml:space="preserve">ADX disclosure</t>
  </si>
  <si>
    <t xml:space="preserve">14-Apr-26</t>
  </si>
  <si>
    <t xml:space="preserve">Dividend</t>
  </si>
  <si>
    <t xml:space="preserve">None declared. Policy intent from 2027.</t>
  </si>
  <si>
    <t xml:space="preserve">Guidance</t>
  </si>
  <si>
    <t xml:space="preserve">NEG</t>
  </si>
  <si>
    <t xml:space="preserve">NOT FOUND: no numeric revenue, margin or capex guidance is published. Every forecast driver here is therefore top-down.</t>
  </si>
  <si>
    <t xml:space="preserve">Searched IR, results calls</t>
  </si>
  <si>
    <t xml:space="preserve">Portfolio composition</t>
  </si>
  <si>
    <t xml:space="preserve">NOT FOUND: no stake-by-stake breakdown of the AED 58.7 bn portfolio is published. This is the whole basis of the opacity discount.</t>
  </si>
  <si>
    <t xml:space="preserve">Searched IR, annual report</t>
  </si>
  <si>
    <t xml:space="preserve">Segment P&amp;L</t>
  </si>
  <si>
    <t xml:space="preserve">NOT FOUND: no full segment income statement for the merged perimeter. Only the % splits above.</t>
  </si>
  <si>
    <t xml:space="preserve">Searched IR</t>
  </si>
  <si>
    <t xml:space="preserve">Borrowings note</t>
  </si>
  <si>
    <t xml:space="preserve">NOT machine-extractable. Net debt is taken from the company's own 0.17x post-transaction guidance instead of being derived.</t>
  </si>
  <si>
    <t xml:space="preserve">Searched FY2025 FS</t>
  </si>
  <si>
    <t xml:space="preserve">Class: B = changes the base for the forecast · S = a structural driver · D = unlocks a driver we could not otherwise build · C = context · NEG = a dated search that found nothing. Negative searches are recorded because what a company does NOT disclose is evidence too — here, four of them are the direct justification for the discount applied in sheet 8.</t>
  </si>
  <si>
    <t xml:space="preserve">Calibration Ledger — the forecasts we will be graded on</t>
  </si>
  <si>
    <t xml:space="preserve">ticker</t>
  </si>
  <si>
    <t xml:space="preserve">origin</t>
  </si>
  <si>
    <t xml:space="preserve">horizon</t>
  </si>
  <si>
    <t xml:space="preserve">spot</t>
  </si>
  <si>
    <t xml:space="preserve">vol</t>
  </si>
  <si>
    <t xml:space="preserve">engine</t>
  </si>
  <si>
    <t xml:space="preserve">grade date</t>
  </si>
  <si>
    <t xml:space="preserve">2POINTZERO</t>
  </si>
  <si>
    <t xml:space="preserve">2026-07-03</t>
  </si>
  <si>
    <t xml:space="preserve">mc_v3 carry-anchored YZ-HAR-t, nu=10, width_cal=1.049 (AE 14-name fit)</t>
  </si>
  <si>
    <t xml:space="preserve">2026-07-31</t>
  </si>
  <si>
    <t xml:space="preserve">2026-09-25</t>
  </si>
  <si>
    <t xml:space="preserve">The calibration record (never printed in the study itself):</t>
  </si>
  <si>
    <t xml:space="preserve">14 non-overlapping 60-day windows on the post-2022 history.</t>
  </si>
  <si>
    <t xml:space="preserve">CRPS skill +0.18% against a carry-anchored random-walk cone; 90% interval [−1.10%, +1.30%] — it straddles zero.</t>
  </si>
  <si>
    <t xml:space="preserve">Coverage 50 / 79 / 93% against 50 / 80 / 90 targets. Interval skill +2.5%.</t>
  </si>
  <si>
    <t xml:space="preserve">Robust across bootstrap block sizes: PARITY at every one. No structural failure.</t>
  </si>
  <si>
    <t xml:space="preserve">Verdict PARITY: the distribution is honestly calibrated, but no single-name edge is demonstrated. We publish that rather than dress it up.</t>
  </si>
  <si>
    <t xml:space="preserve">Judgment calls logged for future grading:</t>
  </si>
  <si>
    <t xml:space="preserve">Operating-business multiple 10x · portfolio opacity discount 25% · holdco structural discount 7.5% · revenue growth +10/8/7/6% · normalised fair-value contribution AED 2.0 bn · capex 3.0%→2.5% · working capital 25%→10% · terminal growth 3.0% · cost of debt 6.0% · FY25 merged-basis revenue proxy AED 36 bn.</t>
  </si>
  <si>
    <t xml:space="preserve">The expert panel — three independent methods</t>
  </si>
  <si>
    <t xml:space="preserve">Expert</t>
  </si>
  <si>
    <t xml:space="preserve">Method</t>
  </si>
  <si>
    <t xml:space="preserve">What would prove them wrong</t>
  </si>
  <si>
    <t xml:space="preserve">Expert 1</t>
  </si>
  <si>
    <t xml:space="preserve">Sum-of-the-parts: mark the operating businesses on their earnings; discount the portfolio for the fact that it is unlisted and, stripped of TAQA, has never marked up.</t>
  </si>
  <si>
    <t xml:space="preserve">Two consecutive disposals of unlisted portfolio assets at or above carrying value. That would prove the marks conservative and collapse the opacity discount.</t>
  </si>
  <si>
    <t xml:space="preserve">Expert 2</t>
  </si>
  <si>
    <t xml:space="preserve">Underlying owner earnings: strip out every unrealised mark and one-off, take the attributable share from the published EPS, capitalise at 7.5–10.5x.</t>
  </si>
  <si>
    <t xml:space="preserve">Two quarters of underlying attributable earnings compounding above ~15%. A single large asset sale at carrying value concedes the argument to Expert 1.</t>
  </si>
  <si>
    <t xml:space="preserve">Expert 3</t>
  </si>
  <si>
    <t xml:space="preserve">Regime tree: the marks are accepted (25%) / gravity pulls price to a fair discount (45%) / the marks are doubted (30%).</t>
  </si>
  <si>
    <t xml:space="preserve">A durable ceasefire plus one clean disposal at book moves weight to the first state; any portfolio impairment entrenches the third.</t>
  </si>
  <si>
    <t xml:space="preserve">Panel</t>
  </si>
  <si>
    <t xml:space="preserve">median of the three</t>
  </si>
  <si>
    <t xml:space="preserve">The panel spans AED 1.39–1.97 against a weighted central of 1.91, with spot at 2.16. Experts 1 and 3 both anchor to the book and land close together; Expert 2 refuses the book entirely and sits far below. The gap between them is one question — are unrealised marks on an unlisted portfolio an asset you can underwrite? — and this study's answer is: less than the market currently assumes.</t>
  </si>
</sst>
</file>

<file path=xl/styles.xml><?xml version="1.0" encoding="utf-8"?>
<styleSheet xmlns="http://schemas.openxmlformats.org/spreadsheetml/2006/main">
  <numFmts count="11">
    <numFmt numFmtId="164" formatCode="General"/>
    <numFmt numFmtId="165" formatCode="0.00"/>
    <numFmt numFmtId="166" formatCode="0.0000"/>
    <numFmt numFmtId="167" formatCode="0.0"/>
    <numFmt numFmtId="168" formatCode="0.0%"/>
    <numFmt numFmtId="169" formatCode="0.000"/>
    <numFmt numFmtId="170" formatCode="0.00%"/>
    <numFmt numFmtId="171" formatCode="#,##0.000"/>
    <numFmt numFmtId="172" formatCode="0%"/>
    <numFmt numFmtId="173" formatCode="\+0.0%;\-0.0%"/>
    <numFmt numFmtId="174" formatCode="#,##0.00"/>
  </numFmts>
  <fonts count="12">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name val="Arial"/>
      <family val="0"/>
      <charset val="1"/>
    </font>
    <font>
      <sz val="10"/>
      <name val="Arial"/>
      <family val="0"/>
      <charset val="1"/>
    </font>
    <font>
      <b val="true"/>
      <sz val="10"/>
      <color rgb="FFB0413E"/>
      <name val="Arial"/>
      <family val="0"/>
      <charset val="1"/>
    </font>
    <font>
      <b val="true"/>
      <sz val="13"/>
      <name val="Arial"/>
      <family val="0"/>
      <charset val="1"/>
    </font>
    <font>
      <i val="true"/>
      <sz val="8"/>
      <color rgb="FF555555"/>
      <name val="Arial"/>
      <family val="0"/>
      <charset val="1"/>
    </font>
    <font>
      <sz val="10"/>
      <color rgb="FF0000FF"/>
      <name val="Arial"/>
      <family val="0"/>
      <charset val="1"/>
    </font>
    <font>
      <sz val="10"/>
      <color rgb="FF008000"/>
      <name val="Arial"/>
      <family val="0"/>
      <charset val="1"/>
    </font>
  </fonts>
  <fills count="5">
    <fill>
      <patternFill patternType="none"/>
    </fill>
    <fill>
      <patternFill patternType="gray125"/>
    </fill>
    <fill>
      <patternFill patternType="solid">
        <fgColor rgb="FF1F2430"/>
        <bgColor rgb="FF333300"/>
      </patternFill>
    </fill>
    <fill>
      <patternFill patternType="solid">
        <fgColor rgb="FFF3ECDC"/>
        <bgColor rgb="FFFFFFFF"/>
      </patternFill>
    </fill>
    <fill>
      <patternFill patternType="solid">
        <fgColor rgb="FFC8A64B"/>
        <bgColor rgb="FFFF9900"/>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6" fontId="10" fillId="0"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center" vertical="bottom" textRotation="0" wrapText="false" indent="0" shrinkToFit="false"/>
      <protection locked="true" hidden="false"/>
    </xf>
    <xf numFmtId="168" fontId="10" fillId="0" borderId="0" xfId="0" applyFont="true" applyBorder="false" applyAlignment="true" applyProtection="false">
      <alignment horizontal="center" vertical="bottom" textRotation="0" wrapText="false" indent="0" shrinkToFit="false"/>
      <protection locked="true" hidden="false"/>
    </xf>
    <xf numFmtId="169" fontId="10" fillId="0" borderId="0" xfId="0" applyFont="true" applyBorder="false" applyAlignment="true" applyProtection="false">
      <alignment horizontal="center" vertical="bottom" textRotation="0" wrapText="false" indent="0" shrinkToFit="false"/>
      <protection locked="true" hidden="false"/>
    </xf>
    <xf numFmtId="170" fontId="10" fillId="0" borderId="0" xfId="0" applyFont="true" applyBorder="false" applyAlignment="true" applyProtection="false">
      <alignment horizontal="center" vertical="bottom" textRotation="0" wrapText="false" indent="0" shrinkToFit="false"/>
      <protection locked="true" hidden="false"/>
    </xf>
    <xf numFmtId="171" fontId="6" fillId="0" borderId="0" xfId="0" applyFont="true" applyBorder="false" applyAlignment="true" applyProtection="false">
      <alignment horizontal="center" vertical="bottom" textRotation="0" wrapText="false" indent="0" shrinkToFit="false"/>
      <protection locked="true" hidden="false"/>
    </xf>
    <xf numFmtId="171" fontId="11"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9" fontId="11"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false" applyAlignment="true" applyProtection="false">
      <alignment horizontal="center" vertical="bottom" textRotation="0" wrapText="false" indent="0" shrinkToFit="false"/>
      <protection locked="true" hidden="false"/>
    </xf>
    <xf numFmtId="171" fontId="5" fillId="4" borderId="0" xfId="0" applyFont="true" applyBorder="false" applyAlignment="true" applyProtection="false">
      <alignment horizontal="center" vertical="bottom" textRotation="0" wrapText="fals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71" fontId="10" fillId="0" borderId="0" xfId="0" applyFont="tru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0" fontId="5" fillId="4" borderId="0" xfId="0" applyFont="true" applyBorder="false" applyAlignment="true" applyProtection="false">
      <alignment horizontal="center"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9" fontId="5" fillId="4" borderId="0" xfId="0" applyFont="true" applyBorder="false" applyAlignment="true" applyProtection="false">
      <alignment horizontal="center" vertical="bottom" textRotation="0" wrapText="false" indent="0" shrinkToFit="false"/>
      <protection locked="true" hidden="false"/>
    </xf>
    <xf numFmtId="171" fontId="7" fillId="0" borderId="0" xfId="0" applyFont="true" applyBorder="fals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8" fontId="4" fillId="2" borderId="1"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70" fontId="5" fillId="0" borderId="0" xfId="0" applyFont="true" applyBorder="false" applyAlignment="true" applyProtection="false">
      <alignment horizontal="center" vertical="bottom" textRotation="0" wrapText="false" indent="0" shrinkToFit="false"/>
      <protection locked="true" hidden="false"/>
    </xf>
    <xf numFmtId="165" fontId="5" fillId="4" borderId="0" xfId="0" applyFont="true" applyBorder="fals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72" fontId="6" fillId="0" borderId="0" xfId="0" applyFont="true" applyBorder="fals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72" fontId="5" fillId="0"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7"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72" fontId="10" fillId="0" borderId="0" xfId="0" applyFont="true" applyBorder="false" applyAlignment="true" applyProtection="false">
      <alignment horizontal="center" vertical="bottom" textRotation="0" wrapText="false" indent="0" shrinkToFit="false"/>
      <protection locked="true" hidden="false"/>
    </xf>
    <xf numFmtId="173" fontId="7"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72" fontId="0" fillId="0" borderId="0" xfId="0" applyFont="false" applyBorder="false" applyAlignment="true" applyProtection="false">
      <alignment horizontal="center" vertical="bottom" textRotation="0" wrapText="false" indent="0" shrinkToFit="false"/>
      <protection locked="true" hidden="false"/>
    </xf>
    <xf numFmtId="172" fontId="7"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74"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B0413E"/>
      <rgbColor rgb="FFF3ECD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C8A64B"/>
      <rgbColor rgb="FF003366"/>
      <rgbColor rgb="FF339966"/>
      <rgbColor rgb="FF003300"/>
      <rgbColor rgb="FF333300"/>
      <rgbColor rgb="FF993300"/>
      <rgbColor rgb="FF993366"/>
      <rgbColor rgb="FF333399"/>
      <rgbColor rgb="FF1F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8"/>
  </cols>
  <sheetData>
    <row r="1" customFormat="false" ht="25.5" hidden="false" customHeight="true" outlineLevel="0" collapsed="false">
      <c r="A1" s="1" t="s">
        <v>0</v>
      </c>
      <c r="B1" s="1"/>
    </row>
    <row r="4" customFormat="false" ht="15.75" hidden="false" customHeight="true" outlineLevel="0" collapsed="false">
      <c r="A4" s="2" t="s">
        <v>1</v>
      </c>
      <c r="B4" s="3" t="s">
        <v>2</v>
      </c>
    </row>
    <row r="5" customFormat="false" ht="15.75" hidden="false" customHeight="true" outlineLevel="0" collapsed="false">
      <c r="A5" s="2" t="s">
        <v>3</v>
      </c>
      <c r="B5" s="3" t="s">
        <v>4</v>
      </c>
    </row>
    <row r="6" customFormat="false" ht="15.75" hidden="false" customHeight="true" outlineLevel="0" collapsed="false">
      <c r="A6" s="2" t="s">
        <v>5</v>
      </c>
      <c r="B6" s="3" t="s">
        <v>6</v>
      </c>
    </row>
    <row r="7" customFormat="false" ht="31.5" hidden="false" customHeight="true" outlineLevel="0" collapsed="false">
      <c r="A7" s="2" t="s">
        <v>7</v>
      </c>
      <c r="B7" s="3" t="s">
        <v>8</v>
      </c>
    </row>
    <row r="8" customFormat="false" ht="15.75" hidden="false" customHeight="true" outlineLevel="0" collapsed="false">
      <c r="A8" s="2" t="s">
        <v>9</v>
      </c>
      <c r="B8" s="3" t="s">
        <v>10</v>
      </c>
    </row>
    <row r="9" customFormat="false" ht="15.75" hidden="false" customHeight="true" outlineLevel="0" collapsed="false">
      <c r="A9" s="2" t="s">
        <v>11</v>
      </c>
      <c r="B9" s="3" t="s">
        <v>12</v>
      </c>
    </row>
    <row r="10" customFormat="false" ht="15.75" hidden="false" customHeight="true" outlineLevel="0" collapsed="false">
      <c r="A10" s="2" t="s">
        <v>13</v>
      </c>
      <c r="B10" s="3" t="s">
        <v>14</v>
      </c>
    </row>
    <row r="11" customFormat="false" ht="55.5" hidden="false" customHeight="true" outlineLevel="0" collapsed="false">
      <c r="A11" s="2" t="s">
        <v>15</v>
      </c>
      <c r="B11" s="3" t="s">
        <v>16</v>
      </c>
    </row>
    <row r="12" customFormat="false" ht="55.5" hidden="false" customHeight="true" outlineLevel="0" collapsed="false">
      <c r="A12" s="2" t="s">
        <v>17</v>
      </c>
      <c r="B12" s="4" t="s">
        <v>18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12"/>
    <col collapsed="false" customWidth="true" hidden="false" outlineLevel="0" max="4" min="4" style="0" width="70"/>
  </cols>
  <sheetData>
    <row r="1" customFormat="false" ht="16.15" hidden="false" customHeight="false" outlineLevel="0" collapsed="false">
      <c r="A1" s="5" t="s">
        <v>19</v>
      </c>
      <c r="B1" s="5"/>
      <c r="C1" s="5"/>
      <c r="D1" s="5"/>
    </row>
    <row r="2" customFormat="false" ht="15" hidden="false" customHeight="false" outlineLevel="0" collapsed="false">
      <c r="A2" s="6" t="s">
        <v>20</v>
      </c>
    </row>
    <row r="3" customFormat="false" ht="15" hidden="false" customHeight="false" outlineLevel="0" collapsed="false">
      <c r="A3" s="7" t="s">
        <v>21</v>
      </c>
      <c r="B3" s="7" t="s">
        <v>22</v>
      </c>
      <c r="C3" s="7" t="s">
        <v>23</v>
      </c>
      <c r="D3" s="7" t="s">
        <v>24</v>
      </c>
    </row>
    <row r="4" customFormat="false" ht="25.5" hidden="false" customHeight="true" outlineLevel="0" collapsed="false">
      <c r="A4" s="8" t="s">
        <v>25</v>
      </c>
      <c r="B4" s="9" t="n">
        <v>2.16</v>
      </c>
      <c r="C4" s="8" t="s">
        <v>26</v>
      </c>
      <c r="D4" s="10" t="s">
        <v>27</v>
      </c>
    </row>
    <row r="5" customFormat="false" ht="25.5" hidden="false" customHeight="true" outlineLevel="0" collapsed="false">
      <c r="A5" s="8" t="s">
        <v>28</v>
      </c>
      <c r="B5" s="11" t="n">
        <v>34.5636</v>
      </c>
      <c r="C5" s="8" t="s">
        <v>29</v>
      </c>
      <c r="D5" s="10" t="s">
        <v>30</v>
      </c>
    </row>
    <row r="6" customFormat="false" ht="15" hidden="false" customHeight="false" outlineLevel="0" collapsed="false">
      <c r="A6" s="12" t="s">
        <v>31</v>
      </c>
      <c r="B6" s="12"/>
      <c r="C6" s="12"/>
      <c r="D6" s="12"/>
    </row>
    <row r="7" customFormat="false" ht="25.5" hidden="false" customHeight="true" outlineLevel="0" collapsed="false">
      <c r="A7" s="8" t="s">
        <v>32</v>
      </c>
      <c r="B7" s="13" t="n">
        <v>9.9</v>
      </c>
      <c r="C7" s="8" t="s">
        <v>33</v>
      </c>
      <c r="D7" s="10" t="s">
        <v>34</v>
      </c>
    </row>
    <row r="8" customFormat="false" ht="25.5" hidden="false" customHeight="true" outlineLevel="0" collapsed="false">
      <c r="A8" s="8" t="s">
        <v>35</v>
      </c>
      <c r="B8" s="14" t="n">
        <v>0.3</v>
      </c>
      <c r="C8" s="8" t="s">
        <v>36</v>
      </c>
      <c r="D8" s="10" t="s">
        <v>37</v>
      </c>
    </row>
    <row r="9" customFormat="false" ht="25.5" hidden="false" customHeight="true" outlineLevel="0" collapsed="false">
      <c r="A9" s="8" t="s">
        <v>38</v>
      </c>
      <c r="B9" s="13" t="n">
        <v>1.8</v>
      </c>
      <c r="C9" s="8" t="s">
        <v>33</v>
      </c>
      <c r="D9" s="10" t="s">
        <v>39</v>
      </c>
    </row>
    <row r="10" customFormat="false" ht="25.5" hidden="false" customHeight="true" outlineLevel="0" collapsed="false">
      <c r="A10" s="8" t="s">
        <v>40</v>
      </c>
      <c r="B10" s="13" t="n">
        <v>1.2</v>
      </c>
      <c r="C10" s="8" t="s">
        <v>33</v>
      </c>
      <c r="D10" s="10" t="s">
        <v>41</v>
      </c>
    </row>
    <row r="11" customFormat="false" ht="25.5" hidden="false" customHeight="true" outlineLevel="0" collapsed="false">
      <c r="A11" s="8" t="s">
        <v>42</v>
      </c>
      <c r="B11" s="13" t="n">
        <v>1.1</v>
      </c>
      <c r="C11" s="8" t="s">
        <v>33</v>
      </c>
      <c r="D11" s="10" t="s">
        <v>43</v>
      </c>
    </row>
    <row r="12" customFormat="false" ht="25.5" hidden="false" customHeight="true" outlineLevel="0" collapsed="false">
      <c r="A12" s="8" t="s">
        <v>44</v>
      </c>
      <c r="B12" s="13" t="n">
        <v>0.1</v>
      </c>
      <c r="C12" s="8" t="s">
        <v>33</v>
      </c>
      <c r="D12" s="10" t="s">
        <v>45</v>
      </c>
    </row>
    <row r="13" customFormat="false" ht="25.5" hidden="false" customHeight="true" outlineLevel="0" collapsed="false">
      <c r="A13" s="8" t="s">
        <v>46</v>
      </c>
      <c r="B13" s="13" t="n">
        <v>-0.4</v>
      </c>
      <c r="C13" s="8" t="s">
        <v>33</v>
      </c>
      <c r="D13" s="10" t="s">
        <v>45</v>
      </c>
    </row>
    <row r="14" customFormat="false" ht="25.5" hidden="false" customHeight="true" outlineLevel="0" collapsed="false">
      <c r="A14" s="8" t="s">
        <v>47</v>
      </c>
      <c r="B14" s="13" t="n">
        <v>2.3</v>
      </c>
      <c r="C14" s="8" t="s">
        <v>33</v>
      </c>
      <c r="D14" s="10" t="s">
        <v>48</v>
      </c>
    </row>
    <row r="15" customFormat="false" ht="25.5" hidden="false" customHeight="true" outlineLevel="0" collapsed="false">
      <c r="A15" s="8" t="s">
        <v>49</v>
      </c>
      <c r="B15" s="15" t="n">
        <v>0.056</v>
      </c>
      <c r="C15" s="8" t="s">
        <v>26</v>
      </c>
      <c r="D15" s="10" t="s">
        <v>50</v>
      </c>
    </row>
    <row r="16" customFormat="false" ht="25.5" hidden="false" customHeight="true" outlineLevel="0" collapsed="false">
      <c r="A16" s="8" t="s">
        <v>51</v>
      </c>
      <c r="B16" s="13" t="n">
        <v>58.7</v>
      </c>
      <c r="C16" s="8" t="s">
        <v>33</v>
      </c>
      <c r="D16" s="10" t="s">
        <v>52</v>
      </c>
    </row>
    <row r="17" customFormat="false" ht="25.5" hidden="false" customHeight="true" outlineLevel="0" collapsed="false">
      <c r="A17" s="8" t="s">
        <v>53</v>
      </c>
      <c r="B17" s="13" t="n">
        <v>48</v>
      </c>
      <c r="C17" s="8" t="s">
        <v>33</v>
      </c>
      <c r="D17" s="10" t="s">
        <v>48</v>
      </c>
    </row>
    <row r="18" customFormat="false" ht="25.5" hidden="false" customHeight="true" outlineLevel="0" collapsed="false">
      <c r="A18" s="8" t="s">
        <v>54</v>
      </c>
      <c r="B18" s="13" t="n">
        <v>9.5</v>
      </c>
      <c r="C18" s="8" t="s">
        <v>33</v>
      </c>
      <c r="D18" s="10" t="s">
        <v>48</v>
      </c>
    </row>
    <row r="19" customFormat="false" ht="15" hidden="false" customHeight="false" outlineLevel="0" collapsed="false">
      <c r="A19" s="12" t="s">
        <v>55</v>
      </c>
      <c r="B19" s="12"/>
      <c r="C19" s="12"/>
      <c r="D19" s="12"/>
    </row>
    <row r="20" customFormat="false" ht="25.5" hidden="false" customHeight="true" outlineLevel="0" collapsed="false">
      <c r="A20" s="8" t="s">
        <v>56</v>
      </c>
      <c r="B20" s="11" t="n">
        <v>9.095702934</v>
      </c>
      <c r="C20" s="8" t="s">
        <v>57</v>
      </c>
      <c r="D20" s="10" t="s">
        <v>58</v>
      </c>
    </row>
    <row r="21" customFormat="false" ht="25.5" hidden="false" customHeight="true" outlineLevel="0" collapsed="false">
      <c r="A21" s="8" t="s">
        <v>59</v>
      </c>
      <c r="B21" s="9" t="n">
        <v>2.37</v>
      </c>
      <c r="C21" s="8" t="s">
        <v>26</v>
      </c>
      <c r="D21" s="10" t="s">
        <v>60</v>
      </c>
    </row>
    <row r="22" customFormat="false" ht="25.5" hidden="false" customHeight="true" outlineLevel="0" collapsed="false">
      <c r="A22" s="8" t="s">
        <v>61</v>
      </c>
      <c r="B22" s="13" t="n">
        <v>10</v>
      </c>
      <c r="C22" s="8" t="s">
        <v>33</v>
      </c>
      <c r="D22" s="10" t="s">
        <v>62</v>
      </c>
    </row>
    <row r="23" customFormat="false" ht="15" hidden="false" customHeight="false" outlineLevel="0" collapsed="false">
      <c r="A23" s="12" t="s">
        <v>63</v>
      </c>
      <c r="B23" s="12"/>
      <c r="C23" s="12"/>
      <c r="D23" s="12"/>
    </row>
    <row r="24" customFormat="false" ht="25.5" hidden="false" customHeight="true" outlineLevel="0" collapsed="false">
      <c r="A24" s="8" t="s">
        <v>64</v>
      </c>
      <c r="B24" s="13" t="n">
        <v>36</v>
      </c>
      <c r="C24" s="8" t="s">
        <v>33</v>
      </c>
      <c r="D24" s="10" t="s">
        <v>65</v>
      </c>
    </row>
    <row r="25" customFormat="false" ht="25.5" hidden="false" customHeight="true" outlineLevel="0" collapsed="false">
      <c r="A25" s="8" t="s">
        <v>66</v>
      </c>
      <c r="B25" s="14" t="n">
        <v>0.02</v>
      </c>
      <c r="C25" s="8" t="s">
        <v>36</v>
      </c>
      <c r="D25" s="10" t="s">
        <v>67</v>
      </c>
    </row>
    <row r="26" customFormat="false" ht="25.5" hidden="false" customHeight="true" outlineLevel="0" collapsed="false">
      <c r="A26" s="8" t="s">
        <v>68</v>
      </c>
      <c r="B26" s="14" t="n">
        <v>0.15</v>
      </c>
      <c r="C26" s="8" t="s">
        <v>36</v>
      </c>
      <c r="D26" s="10" t="s">
        <v>69</v>
      </c>
    </row>
    <row r="27" customFormat="false" ht="25.5" hidden="false" customHeight="true" outlineLevel="0" collapsed="false">
      <c r="A27" s="8" t="s">
        <v>70</v>
      </c>
      <c r="B27" s="14" t="n">
        <v>0.03</v>
      </c>
      <c r="C27" s="8" t="s">
        <v>36</v>
      </c>
      <c r="D27" s="10" t="s">
        <v>71</v>
      </c>
    </row>
    <row r="28" customFormat="false" ht="25.5" hidden="false" customHeight="true" outlineLevel="0" collapsed="false">
      <c r="A28" s="8" t="s">
        <v>72</v>
      </c>
      <c r="B28" s="14" t="n">
        <v>0.25</v>
      </c>
      <c r="C28" s="8" t="s">
        <v>36</v>
      </c>
      <c r="D28" s="10" t="s">
        <v>73</v>
      </c>
    </row>
    <row r="29" customFormat="false" ht="25.5" hidden="false" customHeight="true" outlineLevel="0" collapsed="false">
      <c r="A29" s="8" t="s">
        <v>74</v>
      </c>
      <c r="B29" s="14" t="n">
        <v>0.075</v>
      </c>
      <c r="C29" s="8" t="s">
        <v>36</v>
      </c>
      <c r="D29" s="10" t="s">
        <v>75</v>
      </c>
    </row>
    <row r="30" customFormat="false" ht="25.5" hidden="false" customHeight="true" outlineLevel="0" collapsed="false">
      <c r="A30" s="8" t="s">
        <v>76</v>
      </c>
      <c r="B30" s="13" t="n">
        <v>10</v>
      </c>
      <c r="C30" s="8" t="s">
        <v>77</v>
      </c>
      <c r="D30" s="10" t="s">
        <v>78</v>
      </c>
    </row>
    <row r="31" customFormat="false" ht="15" hidden="false" customHeight="false" outlineLevel="0" collapsed="false">
      <c r="A31" s="12" t="s">
        <v>79</v>
      </c>
      <c r="B31" s="12"/>
      <c r="C31" s="12"/>
      <c r="D31" s="12"/>
    </row>
    <row r="32" customFormat="false" ht="25.5" hidden="false" customHeight="true" outlineLevel="0" collapsed="false">
      <c r="A32" s="8" t="s">
        <v>80</v>
      </c>
      <c r="B32" s="16" t="n">
        <v>0.0475</v>
      </c>
      <c r="C32" s="8" t="s">
        <v>36</v>
      </c>
      <c r="D32" s="10" t="s">
        <v>81</v>
      </c>
    </row>
    <row r="33" customFormat="false" ht="25.5" hidden="false" customHeight="true" outlineLevel="0" collapsed="false">
      <c r="A33" s="8" t="s">
        <v>82</v>
      </c>
      <c r="B33" s="16" t="n">
        <v>0.0487</v>
      </c>
      <c r="C33" s="8" t="s">
        <v>36</v>
      </c>
      <c r="D33" s="10" t="s">
        <v>83</v>
      </c>
    </row>
    <row r="34" customFormat="false" ht="25.5" hidden="false" customHeight="true" outlineLevel="0" collapsed="false">
      <c r="A34" s="8" t="s">
        <v>84</v>
      </c>
      <c r="B34" s="16" t="n">
        <v>0.0493</v>
      </c>
      <c r="C34" s="8" t="s">
        <v>36</v>
      </c>
      <c r="D34" s="10" t="s">
        <v>85</v>
      </c>
    </row>
    <row r="35" customFormat="false" ht="25.5" hidden="false" customHeight="true" outlineLevel="0" collapsed="false">
      <c r="A35" s="8" t="s">
        <v>86</v>
      </c>
      <c r="B35" s="9" t="n">
        <v>1</v>
      </c>
      <c r="C35" s="8" t="s">
        <v>77</v>
      </c>
      <c r="D35" s="10" t="s">
        <v>87</v>
      </c>
    </row>
    <row r="36" customFormat="false" ht="25.5" hidden="false" customHeight="true" outlineLevel="0" collapsed="false">
      <c r="A36" s="8" t="s">
        <v>88</v>
      </c>
      <c r="B36" s="16" t="n">
        <v>0.06</v>
      </c>
      <c r="C36" s="8" t="s">
        <v>36</v>
      </c>
      <c r="D36" s="10" t="s">
        <v>89</v>
      </c>
    </row>
    <row r="37" customFormat="false" ht="25.5" hidden="false" customHeight="true" outlineLevel="0" collapsed="false">
      <c r="A37" s="8" t="s">
        <v>90</v>
      </c>
      <c r="B37" s="13" t="n">
        <v>16.08965</v>
      </c>
      <c r="C37" s="8" t="s">
        <v>33</v>
      </c>
      <c r="D37" s="10" t="s">
        <v>91</v>
      </c>
    </row>
    <row r="38" customFormat="false" ht="15" hidden="false" customHeight="false" outlineLevel="0" collapsed="false">
      <c r="A38" s="12" t="s">
        <v>92</v>
      </c>
      <c r="B38" s="12"/>
      <c r="C38" s="12"/>
      <c r="D38" s="12"/>
    </row>
    <row r="39" customFormat="false" ht="25.5" hidden="false" customHeight="true" outlineLevel="0" collapsed="false">
      <c r="A39" s="8" t="s">
        <v>93</v>
      </c>
      <c r="B39" s="15" t="n">
        <v>133.669</v>
      </c>
      <c r="C39" s="8" t="s">
        <v>33</v>
      </c>
      <c r="D39" s="10" t="s">
        <v>94</v>
      </c>
    </row>
    <row r="40" customFormat="false" ht="25.5" hidden="false" customHeight="true" outlineLevel="0" collapsed="false">
      <c r="A40" s="8" t="s">
        <v>95</v>
      </c>
      <c r="B40" s="15" t="n">
        <v>39.024</v>
      </c>
      <c r="C40" s="8" t="s">
        <v>33</v>
      </c>
      <c r="D40" s="10" t="s">
        <v>96</v>
      </c>
    </row>
    <row r="41" customFormat="false" ht="25.5" hidden="false" customHeight="true" outlineLevel="0" collapsed="false">
      <c r="A41" s="8" t="s">
        <v>97</v>
      </c>
      <c r="B41" s="15" t="n">
        <v>83.876</v>
      </c>
      <c r="C41" s="8" t="s">
        <v>33</v>
      </c>
      <c r="D41" s="10" t="s">
        <v>96</v>
      </c>
    </row>
    <row r="42" customFormat="false" ht="25.5" hidden="false" customHeight="true" outlineLevel="0" collapsed="false">
      <c r="A42" s="8" t="s">
        <v>98</v>
      </c>
      <c r="B42" s="15" t="n">
        <v>10.769</v>
      </c>
      <c r="C42" s="8" t="s">
        <v>33</v>
      </c>
      <c r="D42" s="10" t="s">
        <v>96</v>
      </c>
    </row>
    <row r="43" customFormat="false" ht="25.5" hidden="false" customHeight="true" outlineLevel="0" collapsed="false">
      <c r="A43" s="8" t="s">
        <v>99</v>
      </c>
      <c r="B43" s="13" t="n">
        <v>64.1</v>
      </c>
      <c r="C43" s="8" t="s">
        <v>33</v>
      </c>
      <c r="D43" s="10" t="s">
        <v>100</v>
      </c>
    </row>
    <row r="44" customFormat="false" ht="25.5" hidden="false" customHeight="true" outlineLevel="0" collapsed="false">
      <c r="A44" s="8" t="s">
        <v>101</v>
      </c>
      <c r="B44" s="15" t="n">
        <v>9.184</v>
      </c>
      <c r="C44" s="8" t="s">
        <v>33</v>
      </c>
      <c r="D44" s="10" t="s">
        <v>96</v>
      </c>
    </row>
    <row r="45" customFormat="false" ht="15" hidden="false" customHeight="false" outlineLevel="0" collapsed="false">
      <c r="A45" s="12" t="s">
        <v>102</v>
      </c>
      <c r="B45" s="12"/>
      <c r="C45" s="12"/>
      <c r="D45" s="12"/>
    </row>
    <row r="46" customFormat="false" ht="25.5" hidden="false" customHeight="true" outlineLevel="0" collapsed="false">
      <c r="A46" s="8" t="s">
        <v>103</v>
      </c>
      <c r="B46" s="13" t="n">
        <v>9.5</v>
      </c>
      <c r="C46" s="8" t="s">
        <v>77</v>
      </c>
      <c r="D46" s="10" t="s">
        <v>104</v>
      </c>
    </row>
    <row r="47" customFormat="false" ht="25.5" hidden="false" customHeight="true" outlineLevel="0" collapsed="false">
      <c r="A47" s="8" t="s">
        <v>105</v>
      </c>
      <c r="B47" s="13" t="n">
        <v>9.5</v>
      </c>
      <c r="C47" s="8" t="s">
        <v>77</v>
      </c>
      <c r="D47" s="10" t="s">
        <v>106</v>
      </c>
    </row>
    <row r="48" customFormat="false" ht="25.5" hidden="false" customHeight="true" outlineLevel="0" collapsed="false">
      <c r="A48" s="8" t="s">
        <v>107</v>
      </c>
      <c r="B48" s="13" t="n">
        <v>2</v>
      </c>
      <c r="C48" s="8" t="s">
        <v>33</v>
      </c>
      <c r="D48" s="10" t="s">
        <v>108</v>
      </c>
    </row>
    <row r="49" customFormat="false" ht="15" hidden="false" customHeight="false" outlineLevel="0" collapsed="false">
      <c r="A49" s="12" t="s">
        <v>109</v>
      </c>
      <c r="B49" s="12"/>
      <c r="C49" s="12"/>
      <c r="D49" s="12"/>
    </row>
    <row r="50" customFormat="false" ht="25.5" hidden="false" customHeight="true" outlineLevel="0" collapsed="false">
      <c r="A50" s="8" t="s">
        <v>110</v>
      </c>
      <c r="B50" s="16" t="n">
        <v>0.0365</v>
      </c>
      <c r="C50" s="8" t="s">
        <v>36</v>
      </c>
      <c r="D50" s="10" t="s">
        <v>111</v>
      </c>
    </row>
    <row r="51" customFormat="false" ht="25.5" hidden="false" customHeight="true" outlineLevel="0" collapsed="false">
      <c r="A51" s="8" t="s">
        <v>112</v>
      </c>
      <c r="B51" s="14" t="n">
        <v>0</v>
      </c>
      <c r="C51" s="8" t="s">
        <v>36</v>
      </c>
      <c r="D51" s="10" t="s">
        <v>113</v>
      </c>
    </row>
  </sheetData>
  <mergeCells count="8">
    <mergeCell ref="A1:D1"/>
    <mergeCell ref="A6:D6"/>
    <mergeCell ref="A19:D19"/>
    <mergeCell ref="A23:D23"/>
    <mergeCell ref="A31:D31"/>
    <mergeCell ref="A38:D38"/>
    <mergeCell ref="A45:D45"/>
    <mergeCell ref="A49:D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5" min="2" style="0" width="14"/>
  </cols>
  <sheetData>
    <row r="1" customFormat="false" ht="16.15" hidden="false" customHeight="false" outlineLevel="0" collapsed="false">
      <c r="A1" s="5" t="s">
        <v>114</v>
      </c>
      <c r="B1" s="5"/>
      <c r="C1" s="5"/>
      <c r="D1" s="5"/>
      <c r="E1" s="5"/>
    </row>
    <row r="3" customFormat="false" ht="15" hidden="false" customHeight="false" outlineLevel="0" collapsed="false">
      <c r="A3" s="7" t="s">
        <v>115</v>
      </c>
      <c r="B3" s="7" t="s">
        <v>116</v>
      </c>
      <c r="C3" s="7" t="s">
        <v>117</v>
      </c>
      <c r="D3" s="7" t="s">
        <v>118</v>
      </c>
      <c r="E3" s="7" t="s">
        <v>119</v>
      </c>
    </row>
    <row r="4" customFormat="false" ht="15" hidden="false" customHeight="false" outlineLevel="0" collapsed="false">
      <c r="A4" s="8" t="s">
        <v>120</v>
      </c>
      <c r="B4" s="17" t="n">
        <v>1.3</v>
      </c>
      <c r="C4" s="17" t="n">
        <v>1.703</v>
      </c>
      <c r="E4" s="18" t="n">
        <f aca="false">2_Assumptions!$B$7</f>
        <v>9.9</v>
      </c>
    </row>
    <row r="5" customFormat="false" ht="15" hidden="false" customHeight="false" outlineLevel="0" collapsed="false">
      <c r="A5" s="8" t="s">
        <v>121</v>
      </c>
      <c r="B5" s="17" t="n">
        <v>0.552</v>
      </c>
      <c r="C5" s="17" t="n">
        <v>0.189</v>
      </c>
      <c r="D5" s="17" t="n">
        <v>3.628</v>
      </c>
      <c r="E5" s="18" t="n">
        <f aca="false">2_Assumptions!$B$14</f>
        <v>2.3</v>
      </c>
    </row>
    <row r="6" customFormat="false" ht="15" hidden="false" customHeight="false" outlineLevel="0" collapsed="false">
      <c r="A6" s="8" t="s">
        <v>122</v>
      </c>
      <c r="B6" s="17" t="n">
        <v>1.1</v>
      </c>
      <c r="C6" s="19" t="s">
        <v>123</v>
      </c>
      <c r="D6" s="19" t="s">
        <v>123</v>
      </c>
      <c r="E6" s="18" t="n">
        <f aca="false">2_Assumptions!$B$14-2_Assumptions!$B$11-2_Assumptions!$B$12-2_Assumptions!$B$13</f>
        <v>1.5</v>
      </c>
    </row>
    <row r="7" customFormat="false" ht="15" hidden="false" customHeight="false" outlineLevel="0" collapsed="false">
      <c r="A7" s="8" t="s">
        <v>124</v>
      </c>
      <c r="B7" s="19" t="s">
        <v>123</v>
      </c>
      <c r="C7" s="17" t="n">
        <v>-0.006</v>
      </c>
      <c r="D7" s="17" t="n">
        <v>3.44</v>
      </c>
      <c r="E7" s="18" t="n">
        <f aca="false">2_Assumptions!$B$15*2_Assumptions!$B$5</f>
        <v>1.9355616</v>
      </c>
    </row>
    <row r="8" customFormat="false" ht="15" hidden="false" customHeight="false" outlineLevel="0" collapsed="false">
      <c r="A8" s="8" t="s">
        <v>125</v>
      </c>
      <c r="B8" s="17" t="n">
        <v>0.03</v>
      </c>
      <c r="C8" s="19" t="s">
        <v>123</v>
      </c>
      <c r="D8" s="17" t="n">
        <v>0.246</v>
      </c>
      <c r="E8" s="20" t="n">
        <f aca="false">2_Assumptions!$B$15</f>
        <v>0.056</v>
      </c>
    </row>
    <row r="9" customFormat="false" ht="15" hidden="false" customHeight="false" outlineLevel="0" collapsed="false">
      <c r="A9" s="8" t="s">
        <v>93</v>
      </c>
      <c r="B9" s="19" t="s">
        <v>123</v>
      </c>
      <c r="C9" s="17" t="n">
        <v>43.011</v>
      </c>
      <c r="D9" s="18" t="n">
        <f aca="false">2_Assumptions!$B$39</f>
        <v>133.669</v>
      </c>
      <c r="E9" s="17" t="n">
        <v>135.4</v>
      </c>
    </row>
    <row r="10" customFormat="false" ht="15" hidden="false" customHeight="false" outlineLevel="0" collapsed="false">
      <c r="A10" s="8" t="s">
        <v>126</v>
      </c>
      <c r="B10" s="19" t="s">
        <v>123</v>
      </c>
      <c r="C10" s="17" t="n">
        <v>28.905</v>
      </c>
      <c r="D10" s="18" t="n">
        <f aca="false">2_Assumptions!$B$41</f>
        <v>83.876</v>
      </c>
      <c r="E10" s="19" t="s">
        <v>127</v>
      </c>
    </row>
    <row r="11" customFormat="false" ht="15" hidden="false" customHeight="false" outlineLevel="0" collapsed="false">
      <c r="A11" s="8" t="s">
        <v>128</v>
      </c>
      <c r="B11" s="17" t="n">
        <v>30.186</v>
      </c>
      <c r="C11" s="19" t="s">
        <v>123</v>
      </c>
      <c r="D11" s="18" t="n">
        <f aca="false">2_Assumptions!$B$41+2_Assumptions!$B$42</f>
        <v>94.645</v>
      </c>
      <c r="E11" s="19" t="s">
        <v>127</v>
      </c>
    </row>
    <row r="12" customFormat="false" ht="15" hidden="false" customHeight="false" outlineLevel="0" collapsed="false">
      <c r="A12" s="8" t="s">
        <v>129</v>
      </c>
      <c r="B12" s="19" t="s">
        <v>123</v>
      </c>
      <c r="C12" s="19" t="s">
        <v>123</v>
      </c>
      <c r="D12" s="18" t="n">
        <f aca="false">2_Assumptions!$B$44</f>
        <v>9.184</v>
      </c>
      <c r="E12" s="18" t="n">
        <f aca="false">2_Assumptions!$B$18</f>
        <v>9.5</v>
      </c>
    </row>
    <row r="13" customFormat="false" ht="15" hidden="false" customHeight="false" outlineLevel="0" collapsed="false">
      <c r="A13" s="8" t="s">
        <v>130</v>
      </c>
      <c r="B13" s="19" t="s">
        <v>123</v>
      </c>
      <c r="C13" s="19" t="s">
        <v>123</v>
      </c>
      <c r="D13" s="18" t="n">
        <f aca="false">2_Assumptions!$B$43</f>
        <v>64.1</v>
      </c>
      <c r="E13" s="18" t="n">
        <f aca="false">2_Assumptions!$B$16</f>
        <v>58.7</v>
      </c>
    </row>
    <row r="14" customFormat="false" ht="15" hidden="false" customHeight="false" outlineLevel="0" collapsed="false">
      <c r="A14" s="8" t="s">
        <v>131</v>
      </c>
      <c r="B14" s="19" t="s">
        <v>123</v>
      </c>
      <c r="C14" s="19" t="s">
        <v>123</v>
      </c>
      <c r="D14" s="19" t="s">
        <v>123</v>
      </c>
      <c r="E14" s="18" t="n">
        <f aca="false">2_Assumptions!$B$17</f>
        <v>48</v>
      </c>
    </row>
    <row r="15" customFormat="false" ht="15" hidden="false" customHeight="false" outlineLevel="0" collapsed="false">
      <c r="A15" s="8" t="s">
        <v>132</v>
      </c>
      <c r="B15" s="19" t="s">
        <v>123</v>
      </c>
      <c r="C15" s="19" t="s">
        <v>123</v>
      </c>
      <c r="D15" s="18" t="n">
        <f aca="false">2_Assumptions!$B$41/2_Assumptions!$B$5</f>
        <v>2.42671480979991</v>
      </c>
      <c r="E15" s="19" t="s">
        <v>127</v>
      </c>
    </row>
    <row r="16" customFormat="false" ht="15" hidden="false" customHeight="false" outlineLevel="0" collapsed="false">
      <c r="A16" s="8" t="s">
        <v>133</v>
      </c>
      <c r="B16" s="17" t="n">
        <v>0</v>
      </c>
      <c r="C16" s="17" t="n">
        <v>0</v>
      </c>
      <c r="D16" s="17" t="n">
        <v>0</v>
      </c>
      <c r="E16" s="19" t="s">
        <v>127</v>
      </c>
    </row>
    <row r="18" customFormat="false" ht="15" hidden="false" customHeight="true" outlineLevel="0" collapsed="false">
      <c r="A18" s="21" t="s">
        <v>134</v>
      </c>
      <c r="B18" s="21"/>
      <c r="C18" s="21"/>
      <c r="D18" s="21"/>
      <c r="E18" s="21"/>
    </row>
    <row r="19" customFormat="false" ht="15" hidden="false" customHeight="false" outlineLevel="0" collapsed="false">
      <c r="A19" s="21"/>
      <c r="B19" s="21"/>
      <c r="C19" s="21"/>
      <c r="D19" s="21"/>
      <c r="E19" s="21"/>
    </row>
    <row r="20" customFormat="false" ht="15" hidden="false" customHeight="false" outlineLevel="0" collapsed="false">
      <c r="A20" s="21"/>
      <c r="B20" s="21"/>
      <c r="C20" s="21"/>
      <c r="D20" s="21"/>
      <c r="E20" s="21"/>
    </row>
  </sheetData>
  <mergeCells count="2">
    <mergeCell ref="A1:E1"/>
    <mergeCell ref="A18: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9" min="2" style="0" width="13"/>
  </cols>
  <sheetData>
    <row r="1" customFormat="false" ht="16.15" hidden="false" customHeight="false" outlineLevel="0" collapsed="false">
      <c r="A1" s="5" t="s">
        <v>135</v>
      </c>
      <c r="B1" s="5"/>
      <c r="C1" s="5"/>
      <c r="D1" s="5"/>
      <c r="E1" s="5"/>
      <c r="F1" s="5"/>
      <c r="G1" s="5"/>
      <c r="H1" s="5"/>
      <c r="I1" s="5"/>
    </row>
    <row r="2" customFormat="false" ht="25.5" hidden="false" customHeight="true" outlineLevel="0" collapsed="false">
      <c r="A2" s="21" t="s">
        <v>136</v>
      </c>
      <c r="B2" s="21"/>
      <c r="C2" s="21"/>
      <c r="D2" s="21"/>
      <c r="E2" s="21"/>
      <c r="F2" s="21"/>
      <c r="G2" s="21"/>
      <c r="H2" s="21"/>
      <c r="I2" s="21"/>
    </row>
    <row r="3" customFormat="false" ht="15" hidden="false" customHeight="false" outlineLevel="0" collapsed="false">
      <c r="A3" s="7" t="s">
        <v>137</v>
      </c>
      <c r="B3" s="7" t="s">
        <v>138</v>
      </c>
      <c r="C3" s="7" t="s">
        <v>139</v>
      </c>
      <c r="D3" s="7" t="s">
        <v>140</v>
      </c>
      <c r="E3" s="7" t="s">
        <v>141</v>
      </c>
      <c r="F3" s="7" t="s">
        <v>142</v>
      </c>
      <c r="G3" s="7" t="s">
        <v>143</v>
      </c>
      <c r="H3" s="7" t="s">
        <v>144</v>
      </c>
      <c r="I3" s="7" t="s">
        <v>145</v>
      </c>
    </row>
    <row r="4" customFormat="false" ht="15" hidden="false" customHeight="false" outlineLevel="0" collapsed="false">
      <c r="A4" s="22" t="s">
        <v>146</v>
      </c>
    </row>
    <row r="5" customFormat="false" ht="15" hidden="false" customHeight="false" outlineLevel="0" collapsed="false">
      <c r="A5" s="8" t="s">
        <v>147</v>
      </c>
      <c r="B5" s="17" t="n">
        <v>1.3</v>
      </c>
      <c r="C5" s="17" t="n">
        <v>1.703</v>
      </c>
      <c r="D5" s="17" t="n">
        <v>7.004</v>
      </c>
      <c r="E5" s="18" t="n">
        <f aca="false">7_DCF!B4</f>
        <v>39.6</v>
      </c>
      <c r="F5" s="18" t="n">
        <f aca="false">7_DCF!C4</f>
        <v>43.56</v>
      </c>
      <c r="G5" s="18" t="n">
        <f aca="false">7_DCF!D4</f>
        <v>47.0448</v>
      </c>
      <c r="H5" s="18" t="n">
        <f aca="false">7_DCF!E4</f>
        <v>50.337936</v>
      </c>
      <c r="I5" s="18" t="n">
        <f aca="false">7_DCF!F4</f>
        <v>53.35821216</v>
      </c>
    </row>
    <row r="6" customFormat="false" ht="15" hidden="false" customHeight="false" outlineLevel="0" collapsed="false">
      <c r="A6" s="8" t="s">
        <v>148</v>
      </c>
      <c r="B6" s="18" t="n">
        <f aca="false">B5*0.513</f>
        <v>0.6669</v>
      </c>
      <c r="C6" s="19" t="s">
        <v>123</v>
      </c>
      <c r="D6" s="19" t="s">
        <v>123</v>
      </c>
      <c r="E6" s="18" t="n">
        <f aca="false">E5*2_Assumptions!$B$8</f>
        <v>11.88</v>
      </c>
      <c r="F6" s="18" t="n">
        <f aca="false">F5*2_Assumptions!$B$8</f>
        <v>13.068</v>
      </c>
      <c r="G6" s="18" t="n">
        <f aca="false">G5*2_Assumptions!$B$8</f>
        <v>14.11344</v>
      </c>
      <c r="H6" s="18" t="n">
        <f aca="false">H5*2_Assumptions!$B$8</f>
        <v>15.1013808</v>
      </c>
      <c r="I6" s="18" t="n">
        <f aca="false">I5*2_Assumptions!$B$8</f>
        <v>16.007463648</v>
      </c>
    </row>
    <row r="7" customFormat="false" ht="15" hidden="false" customHeight="false" outlineLevel="0" collapsed="false">
      <c r="A7" s="8" t="s">
        <v>149</v>
      </c>
      <c r="B7" s="19" t="s">
        <v>123</v>
      </c>
      <c r="C7" s="19" t="s">
        <v>123</v>
      </c>
      <c r="D7" s="19" t="s">
        <v>123</v>
      </c>
      <c r="E7" s="18" t="n">
        <f aca="false">-E5*(2_Assumptions!$B$9/2_Assumptions!$B$7)</f>
        <v>-7.2</v>
      </c>
      <c r="F7" s="18" t="n">
        <f aca="false">-F5*(2_Assumptions!$B$9/2_Assumptions!$B$7)</f>
        <v>-7.92</v>
      </c>
      <c r="G7" s="18" t="n">
        <f aca="false">-G5*(2_Assumptions!$B$9/2_Assumptions!$B$7)</f>
        <v>-8.5536</v>
      </c>
      <c r="H7" s="18" t="n">
        <f aca="false">-H5*(2_Assumptions!$B$9/2_Assumptions!$B$7)</f>
        <v>-9.152352</v>
      </c>
      <c r="I7" s="18" t="n">
        <f aca="false">-I5*(2_Assumptions!$B$9/2_Assumptions!$B$7)</f>
        <v>-9.70149312</v>
      </c>
    </row>
    <row r="8" customFormat="false" ht="15" hidden="false" customHeight="false" outlineLevel="0" collapsed="false">
      <c r="A8" s="8" t="s">
        <v>150</v>
      </c>
      <c r="B8" s="19" t="s">
        <v>123</v>
      </c>
      <c r="C8" s="19" t="s">
        <v>123</v>
      </c>
      <c r="D8" s="17" t="n">
        <v>3.042</v>
      </c>
      <c r="E8" s="18" t="n">
        <f aca="false">E6+E7+E9*-1</f>
        <v>5.472</v>
      </c>
      <c r="F8" s="18" t="n">
        <f aca="false">F6+F7+F9*-1</f>
        <v>6.0192</v>
      </c>
      <c r="G8" s="18" t="n">
        <f aca="false">G6+G7+G9*-1</f>
        <v>6.500736</v>
      </c>
      <c r="H8" s="18" t="n">
        <f aca="false">H6+H7+H9*-1</f>
        <v>6.95578752</v>
      </c>
      <c r="I8" s="18" t="n">
        <f aca="false">I6+I7+I9*-1</f>
        <v>7.3731347712</v>
      </c>
    </row>
    <row r="9" customFormat="false" ht="15" hidden="false" customHeight="false" outlineLevel="0" collapsed="false">
      <c r="A9" s="8" t="s">
        <v>151</v>
      </c>
      <c r="B9" s="19" t="s">
        <v>123</v>
      </c>
      <c r="C9" s="19" t="s">
        <v>123</v>
      </c>
      <c r="D9" s="19" t="s">
        <v>123</v>
      </c>
      <c r="E9" s="18" t="n">
        <f aca="false">-E5*2_Assumptions!$B$25</f>
        <v>-0.792</v>
      </c>
      <c r="F9" s="18" t="n">
        <f aca="false">-F5*2_Assumptions!$B$25</f>
        <v>-0.8712</v>
      </c>
      <c r="G9" s="18" t="n">
        <f aca="false">-G5*2_Assumptions!$B$25</f>
        <v>-0.940896</v>
      </c>
      <c r="H9" s="18" t="n">
        <f aca="false">-H5*2_Assumptions!$B$25</f>
        <v>-1.00675872</v>
      </c>
      <c r="I9" s="18" t="n">
        <f aca="false">-I5*2_Assumptions!$B$25</f>
        <v>-1.0671642432</v>
      </c>
    </row>
    <row r="10" customFormat="false" ht="15" hidden="false" customHeight="false" outlineLevel="0" collapsed="false">
      <c r="A10" s="8" t="s">
        <v>152</v>
      </c>
      <c r="B10" s="19" t="s">
        <v>123</v>
      </c>
      <c r="C10" s="19" t="s">
        <v>123</v>
      </c>
      <c r="D10" s="19" t="s">
        <v>123</v>
      </c>
      <c r="E10" s="18" t="n">
        <f aca="false">E6+E7</f>
        <v>4.68</v>
      </c>
      <c r="F10" s="18" t="n">
        <f aca="false">F6+F7</f>
        <v>5.148</v>
      </c>
      <c r="G10" s="18" t="n">
        <f aca="false">G6+G7</f>
        <v>5.55984</v>
      </c>
      <c r="H10" s="18" t="n">
        <f aca="false">H6+H7</f>
        <v>5.9490288</v>
      </c>
      <c r="I10" s="18" t="n">
        <f aca="false">I6+I7</f>
        <v>6.305970528</v>
      </c>
    </row>
    <row r="12" customFormat="false" ht="15" hidden="false" customHeight="false" outlineLevel="0" collapsed="false">
      <c r="A12" s="22" t="s">
        <v>153</v>
      </c>
    </row>
    <row r="13" customFormat="false" ht="15" hidden="false" customHeight="false" outlineLevel="0" collapsed="false">
      <c r="A13" s="8" t="s">
        <v>154</v>
      </c>
      <c r="B13" s="19" t="s">
        <v>123</v>
      </c>
      <c r="C13" s="19" t="s">
        <v>123</v>
      </c>
      <c r="D13" s="19" t="s">
        <v>123</v>
      </c>
      <c r="E13" s="17" t="n">
        <f aca="false">2_Assumptions!$B$10*4</f>
        <v>4.8</v>
      </c>
      <c r="F13" s="17" t="n">
        <f aca="false">2_Assumptions!$B$10*4</f>
        <v>4.8</v>
      </c>
      <c r="G13" s="17" t="n">
        <f aca="false">2_Assumptions!$B$10*4</f>
        <v>4.8</v>
      </c>
      <c r="H13" s="17" t="n">
        <f aca="false">2_Assumptions!$B$10*4</f>
        <v>4.8</v>
      </c>
      <c r="I13" s="17" t="n">
        <f aca="false">2_Assumptions!$B$10*4</f>
        <v>4.8</v>
      </c>
    </row>
    <row r="14" customFormat="false" ht="15" hidden="false" customHeight="false" outlineLevel="0" collapsed="false">
      <c r="A14" s="8" t="s">
        <v>155</v>
      </c>
      <c r="B14" s="19" t="s">
        <v>123</v>
      </c>
      <c r="C14" s="19" t="s">
        <v>123</v>
      </c>
      <c r="D14" s="19" t="s">
        <v>123</v>
      </c>
      <c r="E14" s="17" t="n">
        <f aca="false">-0.4</f>
        <v>-0.4</v>
      </c>
      <c r="F14" s="17" t="n">
        <f aca="false">-0.4</f>
        <v>-0.4</v>
      </c>
      <c r="G14" s="17" t="n">
        <f aca="false">-0.4</f>
        <v>-0.4</v>
      </c>
      <c r="H14" s="17" t="n">
        <f aca="false">-0.4</f>
        <v>-0.4</v>
      </c>
      <c r="I14" s="17" t="n">
        <f aca="false">-0.4</f>
        <v>-0.4</v>
      </c>
    </row>
    <row r="15" customFormat="false" ht="15" hidden="false" customHeight="false" outlineLevel="0" collapsed="false">
      <c r="A15" s="8" t="s">
        <v>156</v>
      </c>
      <c r="B15" s="17" t="n">
        <v>-0.548</v>
      </c>
      <c r="C15" s="19" t="s">
        <v>123</v>
      </c>
      <c r="D15" s="19" t="s">
        <v>123</v>
      </c>
      <c r="E15" s="17" t="n">
        <f aca="false">2_Assumptions!$B$48</f>
        <v>2</v>
      </c>
      <c r="F15" s="17" t="n">
        <f aca="false">2_Assumptions!$B$48</f>
        <v>2</v>
      </c>
      <c r="G15" s="17" t="n">
        <f aca="false">2_Assumptions!$B$48</f>
        <v>2</v>
      </c>
      <c r="H15" s="17" t="n">
        <f aca="false">2_Assumptions!$B$48</f>
        <v>2</v>
      </c>
      <c r="I15" s="17" t="n">
        <f aca="false">2_Assumptions!$B$48</f>
        <v>2</v>
      </c>
    </row>
    <row r="16" customFormat="false" ht="15" hidden="false" customHeight="false" outlineLevel="0" collapsed="false">
      <c r="A16" s="8" t="s">
        <v>157</v>
      </c>
      <c r="B16" s="19" t="s">
        <v>123</v>
      </c>
      <c r="C16" s="19" t="s">
        <v>123</v>
      </c>
      <c r="D16" s="17" t="n">
        <v>1.88</v>
      </c>
      <c r="E16" s="17" t="n">
        <v>0</v>
      </c>
      <c r="F16" s="17" t="n">
        <v>0</v>
      </c>
      <c r="G16" s="17" t="n">
        <v>0</v>
      </c>
      <c r="H16" s="17" t="n">
        <v>0</v>
      </c>
      <c r="I16" s="17" t="n">
        <v>0</v>
      </c>
    </row>
    <row r="18" customFormat="false" ht="15" hidden="false" customHeight="false" outlineLevel="0" collapsed="false">
      <c r="A18" s="22" t="s">
        <v>158</v>
      </c>
    </row>
    <row r="19" customFormat="false" ht="15" hidden="false" customHeight="false" outlineLevel="0" collapsed="false">
      <c r="A19" s="8" t="s">
        <v>159</v>
      </c>
      <c r="B19" s="19" t="s">
        <v>123</v>
      </c>
      <c r="C19" s="19" t="s">
        <v>123</v>
      </c>
      <c r="D19" s="17" t="n">
        <v>0.687</v>
      </c>
      <c r="E19" s="17" t="n">
        <f aca="false">-2_Assumptions!$B$37*2_Assumptions!$B$36</f>
        <v>-0.965379</v>
      </c>
      <c r="F19" s="17" t="n">
        <f aca="false">-2_Assumptions!$B$37*2_Assumptions!$B$36</f>
        <v>-0.965379</v>
      </c>
      <c r="G19" s="17" t="n">
        <f aca="false">-2_Assumptions!$B$37*2_Assumptions!$B$36</f>
        <v>-0.965379</v>
      </c>
      <c r="H19" s="17" t="n">
        <f aca="false">-2_Assumptions!$B$37*2_Assumptions!$B$36</f>
        <v>-0.965379</v>
      </c>
      <c r="I19" s="17" t="n">
        <f aca="false">-2_Assumptions!$B$37*2_Assumptions!$B$36</f>
        <v>-0.965379</v>
      </c>
    </row>
    <row r="20" customFormat="false" ht="15" hidden="false" customHeight="false" outlineLevel="0" collapsed="false">
      <c r="A20" s="8" t="s">
        <v>160</v>
      </c>
      <c r="B20" s="19" t="s">
        <v>123</v>
      </c>
      <c r="C20" s="19" t="s">
        <v>123</v>
      </c>
      <c r="D20" s="19" t="s">
        <v>123</v>
      </c>
      <c r="E20" s="17" t="n">
        <f aca="false">E10+E13+E14+E15+E16+E19</f>
        <v>10.114621</v>
      </c>
      <c r="F20" s="17" t="n">
        <f aca="false">F10+F13+F14+F15+F16+F19</f>
        <v>10.582621</v>
      </c>
      <c r="G20" s="17" t="n">
        <f aca="false">G10+G13+G14+G15+G16+G19</f>
        <v>10.994461</v>
      </c>
      <c r="H20" s="17" t="n">
        <f aca="false">H10+H13+H14+H15+H16+H19</f>
        <v>11.3836498</v>
      </c>
      <c r="I20" s="17" t="n">
        <f aca="false">I10+I13+I14+I15+I16+I19</f>
        <v>11.740591528</v>
      </c>
    </row>
    <row r="21" customFormat="false" ht="15" hidden="false" customHeight="false" outlineLevel="0" collapsed="false">
      <c r="A21" s="8" t="s">
        <v>161</v>
      </c>
      <c r="B21" s="19" t="s">
        <v>123</v>
      </c>
      <c r="C21" s="19" t="s">
        <v>123</v>
      </c>
      <c r="D21" s="19" t="s">
        <v>123</v>
      </c>
      <c r="E21" s="17" t="n">
        <f aca="false">-E20*2_Assumptions!$B$26</f>
        <v>-1.51719315</v>
      </c>
      <c r="F21" s="17" t="n">
        <f aca="false">-F20*2_Assumptions!$B$26</f>
        <v>-1.58739315</v>
      </c>
      <c r="G21" s="17" t="n">
        <f aca="false">-G20*2_Assumptions!$B$26</f>
        <v>-1.64916915</v>
      </c>
      <c r="H21" s="17" t="n">
        <f aca="false">-H20*2_Assumptions!$B$26</f>
        <v>-1.70754747</v>
      </c>
      <c r="I21" s="17" t="n">
        <f aca="false">-I20*2_Assumptions!$B$26</f>
        <v>-1.7610887292</v>
      </c>
    </row>
    <row r="22" customFormat="false" ht="15" hidden="false" customHeight="false" outlineLevel="0" collapsed="false">
      <c r="A22" s="8" t="s">
        <v>121</v>
      </c>
      <c r="B22" s="17" t="n">
        <v>0.552</v>
      </c>
      <c r="C22" s="17" t="n">
        <v>0.189</v>
      </c>
      <c r="D22" s="17" t="n">
        <v>3.628</v>
      </c>
      <c r="E22" s="17" t="n">
        <f aca="false">E20+E21</f>
        <v>8.59742785</v>
      </c>
      <c r="F22" s="17" t="n">
        <f aca="false">F20+F21</f>
        <v>8.99522785</v>
      </c>
      <c r="G22" s="17" t="n">
        <f aca="false">G20+G21</f>
        <v>9.34529185</v>
      </c>
      <c r="H22" s="17" t="n">
        <f aca="false">H20+H21</f>
        <v>9.67610233</v>
      </c>
      <c r="I22" s="17" t="n">
        <f aca="false">I20+I21</f>
        <v>9.9795027988</v>
      </c>
    </row>
    <row r="23" customFormat="false" ht="15" hidden="false" customHeight="false" outlineLevel="0" collapsed="false">
      <c r="A23" s="23" t="s">
        <v>124</v>
      </c>
      <c r="B23" s="19" t="s">
        <v>123</v>
      </c>
      <c r="C23" s="17" t="n">
        <v>-0.006</v>
      </c>
      <c r="D23" s="17" t="n">
        <v>3.44</v>
      </c>
      <c r="E23" s="24" t="n">
        <f aca="false">E22*2_Assumptions!$B$15*2_Assumptions!$B$5/2_Assumptions!$B$14</f>
        <v>7.23515269792633</v>
      </c>
      <c r="F23" s="24" t="n">
        <f aca="false">F22*2_Assumptions!$B$15*2_Assumptions!$B$5/2_Assumptions!$B$14</f>
        <v>7.56992069987416</v>
      </c>
      <c r="G23" s="24" t="n">
        <f aca="false">G22*2_Assumptions!$B$15*2_Assumptions!$B$5/2_Assumptions!$B$14</f>
        <v>7.86451654158824</v>
      </c>
      <c r="H23" s="24" t="n">
        <f aca="false">H22*2_Assumptions!$B$15*2_Assumptions!$B$5/2_Assumptions!$B$14</f>
        <v>8.14290961200805</v>
      </c>
      <c r="I23" s="24" t="n">
        <f aca="false">I22*2_Assumptions!$B$15*2_Assumptions!$B$5/2_Assumptions!$B$14</f>
        <v>8.39823582802166</v>
      </c>
    </row>
    <row r="24" customFormat="false" ht="15" hidden="false" customHeight="false" outlineLevel="0" collapsed="false">
      <c r="A24" s="22" t="s">
        <v>125</v>
      </c>
      <c r="B24" s="17" t="n">
        <v>0.03</v>
      </c>
      <c r="C24" s="19" t="s">
        <v>123</v>
      </c>
      <c r="D24" s="17" t="n">
        <v>0.246</v>
      </c>
      <c r="E24" s="25" t="n">
        <f aca="false">E23/2_Assumptions!$B$5</f>
        <v>0.209328678086957</v>
      </c>
      <c r="F24" s="25" t="n">
        <f aca="false">F23/2_Assumptions!$B$5</f>
        <v>0.219014243304348</v>
      </c>
      <c r="G24" s="25" t="n">
        <f aca="false">G23/2_Assumptions!$B$5</f>
        <v>0.227537540695652</v>
      </c>
      <c r="H24" s="25" t="n">
        <f aca="false">H23/2_Assumptions!$B$5</f>
        <v>0.235592056730435</v>
      </c>
      <c r="I24" s="25" t="n">
        <f aca="false">I23/2_Assumptions!$B$5</f>
        <v>0.242979198579478</v>
      </c>
    </row>
    <row r="26" customFormat="false" ht="15" hidden="false" customHeight="false" outlineLevel="0" collapsed="false">
      <c r="A26" s="8" t="s">
        <v>162</v>
      </c>
      <c r="B26" s="17" t="n">
        <v>1.1</v>
      </c>
      <c r="C26" s="19" t="s">
        <v>123</v>
      </c>
      <c r="D26" s="19" t="s">
        <v>123</v>
      </c>
      <c r="E26" s="17" t="n">
        <f aca="false">E22-E15-E16</f>
        <v>6.59742785</v>
      </c>
      <c r="F26" s="17" t="n">
        <f aca="false">F22-F15-F16</f>
        <v>6.99522785</v>
      </c>
      <c r="G26" s="17" t="n">
        <f aca="false">G22-G15-G16</f>
        <v>7.34529185</v>
      </c>
      <c r="H26" s="17" t="n">
        <f aca="false">H22-H15-H16</f>
        <v>7.67610233</v>
      </c>
      <c r="I26" s="17" t="n">
        <f aca="false">I22-I15-I16</f>
        <v>7.9795027988</v>
      </c>
    </row>
    <row r="28" customFormat="false" ht="15" hidden="false" customHeight="true" outlineLevel="0" collapsed="false">
      <c r="A28" s="21" t="s">
        <v>163</v>
      </c>
      <c r="B28" s="21"/>
      <c r="C28" s="21"/>
      <c r="D28" s="21"/>
      <c r="E28" s="21"/>
      <c r="F28" s="21"/>
      <c r="G28" s="21"/>
      <c r="H28" s="21"/>
      <c r="I28" s="21"/>
    </row>
    <row r="29" customFormat="false" ht="15" hidden="false" customHeight="false" outlineLevel="0" collapsed="false">
      <c r="A29" s="21"/>
      <c r="B29" s="21"/>
      <c r="C29" s="21"/>
      <c r="D29" s="21"/>
      <c r="E29" s="21"/>
      <c r="F29" s="21"/>
      <c r="G29" s="21"/>
      <c r="H29" s="21"/>
      <c r="I29" s="21"/>
    </row>
    <row r="30" customFormat="false" ht="15" hidden="false" customHeight="false" outlineLevel="0" collapsed="false">
      <c r="A30" s="21"/>
      <c r="B30" s="21"/>
      <c r="C30" s="21"/>
      <c r="D30" s="21"/>
      <c r="E30" s="21"/>
      <c r="F30" s="21"/>
      <c r="G30" s="21"/>
      <c r="H30" s="21"/>
      <c r="I30" s="21"/>
    </row>
  </sheetData>
  <mergeCells count="3">
    <mergeCell ref="A1:I1"/>
    <mergeCell ref="A2:I2"/>
    <mergeCell ref="A28:I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4" min="2" style="0" width="14"/>
  </cols>
  <sheetData>
    <row r="1" customFormat="false" ht="16.15" hidden="false" customHeight="false" outlineLevel="0" collapsed="false">
      <c r="A1" s="5" t="s">
        <v>164</v>
      </c>
      <c r="B1" s="5"/>
      <c r="C1" s="5"/>
      <c r="D1" s="5"/>
    </row>
    <row r="3" customFormat="false" ht="15" hidden="false" customHeight="false" outlineLevel="0" collapsed="false">
      <c r="A3" s="7" t="s">
        <v>137</v>
      </c>
      <c r="B3" s="7" t="s">
        <v>116</v>
      </c>
      <c r="C3" s="7" t="s">
        <v>117</v>
      </c>
      <c r="D3" s="7" t="s">
        <v>118</v>
      </c>
    </row>
    <row r="4" customFormat="false" ht="15" hidden="false" customHeight="false" outlineLevel="0" collapsed="false">
      <c r="A4" s="8" t="s">
        <v>93</v>
      </c>
      <c r="B4" s="19" t="s">
        <v>123</v>
      </c>
      <c r="C4" s="17" t="n">
        <v>43.011</v>
      </c>
      <c r="D4" s="18" t="n">
        <f aca="false">2_Assumptions!$B$39</f>
        <v>133.669</v>
      </c>
    </row>
    <row r="5" customFormat="false" ht="15" hidden="false" customHeight="false" outlineLevel="0" collapsed="false">
      <c r="A5" s="8" t="s">
        <v>165</v>
      </c>
      <c r="B5" s="19" t="s">
        <v>123</v>
      </c>
      <c r="C5" s="19" t="s">
        <v>123</v>
      </c>
      <c r="D5" s="18" t="n">
        <f aca="false">2_Assumptions!$B$43</f>
        <v>64.1</v>
      </c>
    </row>
    <row r="6" customFormat="false" ht="15" hidden="false" customHeight="false" outlineLevel="0" collapsed="false">
      <c r="A6" s="8" t="s">
        <v>166</v>
      </c>
      <c r="B6" s="19" t="s">
        <v>123</v>
      </c>
      <c r="C6" s="19" t="s">
        <v>123</v>
      </c>
      <c r="D6" s="18" t="n">
        <f aca="false">2_Assumptions!$B$44</f>
        <v>9.184</v>
      </c>
    </row>
    <row r="7" customFormat="false" ht="15" hidden="false" customHeight="false" outlineLevel="0" collapsed="false">
      <c r="A7" s="8" t="s">
        <v>167</v>
      </c>
      <c r="B7" s="19" t="s">
        <v>123</v>
      </c>
      <c r="C7" s="19" t="s">
        <v>123</v>
      </c>
      <c r="D7" s="18" t="n">
        <f aca="false">D4-D5-D6</f>
        <v>60.385</v>
      </c>
    </row>
    <row r="8" customFormat="false" ht="15" hidden="false" customHeight="false" outlineLevel="0" collapsed="false">
      <c r="A8" s="8" t="s">
        <v>95</v>
      </c>
      <c r="B8" s="19" t="s">
        <v>123</v>
      </c>
      <c r="C8" s="19" t="s">
        <v>123</v>
      </c>
      <c r="D8" s="18" t="n">
        <f aca="false">2_Assumptions!$B$40</f>
        <v>39.024</v>
      </c>
    </row>
    <row r="9" customFormat="false" ht="15" hidden="false" customHeight="false" outlineLevel="0" collapsed="false">
      <c r="A9" s="8" t="s">
        <v>126</v>
      </c>
      <c r="B9" s="19" t="s">
        <v>123</v>
      </c>
      <c r="C9" s="17" t="n">
        <v>28.905</v>
      </c>
      <c r="D9" s="18" t="n">
        <f aca="false">2_Assumptions!$B$41</f>
        <v>83.876</v>
      </c>
    </row>
    <row r="10" customFormat="false" ht="15" hidden="false" customHeight="false" outlineLevel="0" collapsed="false">
      <c r="A10" s="8" t="s">
        <v>98</v>
      </c>
      <c r="B10" s="19" t="s">
        <v>123</v>
      </c>
      <c r="C10" s="19" t="s">
        <v>123</v>
      </c>
      <c r="D10" s="18" t="n">
        <f aca="false">2_Assumptions!$B$42</f>
        <v>10.769</v>
      </c>
    </row>
    <row r="11" customFormat="false" ht="15" hidden="false" customHeight="false" outlineLevel="0" collapsed="false">
      <c r="A11" s="8" t="s">
        <v>128</v>
      </c>
      <c r="B11" s="17" t="n">
        <v>30.186</v>
      </c>
      <c r="C11" s="19" t="s">
        <v>123</v>
      </c>
      <c r="D11" s="24" t="n">
        <f aca="false">D9+D10</f>
        <v>94.645</v>
      </c>
    </row>
    <row r="13" customFormat="false" ht="15" hidden="false" customHeight="false" outlineLevel="0" collapsed="false">
      <c r="A13" s="8" t="s">
        <v>168</v>
      </c>
    </row>
    <row r="14" customFormat="false" ht="15" hidden="false" customHeight="false" outlineLevel="0" collapsed="false">
      <c r="A14" s="8" t="s">
        <v>169</v>
      </c>
      <c r="D14" s="18" t="n">
        <f aca="false">D7-D8</f>
        <v>21.361</v>
      </c>
    </row>
    <row r="15" customFormat="false" ht="15" hidden="false" customHeight="false" outlineLevel="0" collapsed="false">
      <c r="A15" s="8" t="s">
        <v>170</v>
      </c>
      <c r="D15" s="18" t="n">
        <f aca="false">-D10</f>
        <v>-10.769</v>
      </c>
    </row>
    <row r="16" customFormat="false" ht="15" hidden="false" customHeight="false" outlineLevel="0" collapsed="false">
      <c r="A16" s="8" t="s">
        <v>171</v>
      </c>
      <c r="D16" s="18" t="n">
        <f aca="false">D14+D15</f>
        <v>10.592</v>
      </c>
    </row>
    <row r="17" customFormat="false" ht="15" hidden="false" customHeight="false" outlineLevel="0" collapsed="false">
      <c r="A17" s="8" t="s">
        <v>172</v>
      </c>
      <c r="D17" s="18" t="n">
        <f aca="false">D5</f>
        <v>64.1</v>
      </c>
    </row>
    <row r="18" customFormat="false" ht="15" hidden="false" customHeight="false" outlineLevel="0" collapsed="false">
      <c r="A18" s="8" t="s">
        <v>173</v>
      </c>
      <c r="D18" s="18" t="n">
        <f aca="false">D6</f>
        <v>9.184</v>
      </c>
    </row>
    <row r="19" customFormat="false" ht="15" hidden="false" customHeight="false" outlineLevel="0" collapsed="false">
      <c r="A19" s="8" t="s">
        <v>174</v>
      </c>
      <c r="D19" s="26" t="n">
        <f aca="false">D16+D17+D18</f>
        <v>83.876</v>
      </c>
    </row>
    <row r="20" customFormat="false" ht="15" hidden="false" customHeight="false" outlineLevel="0" collapsed="false">
      <c r="A20" s="22" t="s">
        <v>175</v>
      </c>
      <c r="D20" s="27" t="n">
        <f aca="false">D19/2_Assumptions!$B$5</f>
        <v>2.42671480979991</v>
      </c>
    </row>
    <row r="22" customFormat="false" ht="15" hidden="false" customHeight="true" outlineLevel="0" collapsed="false">
      <c r="A22" s="21" t="s">
        <v>176</v>
      </c>
      <c r="B22" s="21"/>
      <c r="C22" s="21"/>
      <c r="D22" s="21"/>
    </row>
    <row r="23" customFormat="false" ht="15" hidden="false" customHeight="false" outlineLevel="0" collapsed="false">
      <c r="A23" s="21"/>
      <c r="B23" s="21"/>
      <c r="C23" s="21"/>
      <c r="D23" s="21"/>
    </row>
    <row r="24" customFormat="false" ht="15" hidden="false" customHeight="false" outlineLevel="0" collapsed="false">
      <c r="A24" s="21"/>
      <c r="B24" s="21"/>
      <c r="C24" s="21"/>
      <c r="D24" s="21"/>
    </row>
  </sheetData>
  <mergeCells count="2">
    <mergeCell ref="A1:D1"/>
    <mergeCell ref="A22: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3" min="2" style="0" width="15"/>
  </cols>
  <sheetData>
    <row r="1" customFormat="false" ht="16.15" hidden="false" customHeight="false" outlineLevel="0" collapsed="false">
      <c r="A1" s="5" t="s">
        <v>177</v>
      </c>
      <c r="B1" s="5"/>
      <c r="C1" s="5"/>
    </row>
    <row r="3" customFormat="false" ht="15" hidden="false" customHeight="false" outlineLevel="0" collapsed="false">
      <c r="A3" s="7" t="s">
        <v>137</v>
      </c>
      <c r="B3" s="7" t="s">
        <v>118</v>
      </c>
      <c r="C3" s="7" t="s">
        <v>119</v>
      </c>
    </row>
    <row r="4" customFormat="false" ht="15" hidden="false" customHeight="false" outlineLevel="0" collapsed="false">
      <c r="A4" s="8" t="s">
        <v>178</v>
      </c>
      <c r="B4" s="17" t="n">
        <v>2.9</v>
      </c>
      <c r="C4" s="17" t="n">
        <v>2.6</v>
      </c>
    </row>
    <row r="5" customFormat="false" ht="15" hidden="false" customHeight="false" outlineLevel="0" collapsed="false">
      <c r="A5" s="8" t="s">
        <v>179</v>
      </c>
      <c r="B5" s="17" t="n">
        <v>0.687</v>
      </c>
      <c r="C5" s="17" t="s">
        <v>123</v>
      </c>
    </row>
    <row r="6" customFormat="false" ht="15" hidden="false" customHeight="false" outlineLevel="0" collapsed="false">
      <c r="A6" s="8" t="s">
        <v>180</v>
      </c>
      <c r="B6" s="17" t="n">
        <v>0</v>
      </c>
      <c r="C6" s="17" t="n">
        <v>0</v>
      </c>
    </row>
    <row r="7" customFormat="false" ht="15" hidden="false" customHeight="false" outlineLevel="0" collapsed="false">
      <c r="A7" s="8" t="s">
        <v>181</v>
      </c>
      <c r="C7" s="18" t="n">
        <f aca="false">2_Assumptions!$B$20*2_Assumptions!$B$21</f>
        <v>21.55681595358</v>
      </c>
    </row>
    <row r="8" customFormat="false" ht="15" hidden="false" customHeight="false" outlineLevel="0" collapsed="false">
      <c r="A8" s="8" t="s">
        <v>182</v>
      </c>
      <c r="C8" s="28" t="n">
        <v>-8.263125</v>
      </c>
    </row>
    <row r="9" customFormat="false" ht="15" hidden="false" customHeight="false" outlineLevel="0" collapsed="false">
      <c r="A9" s="8" t="s">
        <v>183</v>
      </c>
      <c r="C9" s="28" t="n">
        <v>-4.03975</v>
      </c>
    </row>
    <row r="10" customFormat="false" ht="15" hidden="false" customHeight="false" outlineLevel="0" collapsed="false">
      <c r="A10" s="8" t="s">
        <v>184</v>
      </c>
      <c r="C10" s="28" t="n">
        <v>-1.3478075</v>
      </c>
    </row>
    <row r="11" customFormat="false" ht="15" hidden="false" customHeight="false" outlineLevel="0" collapsed="false">
      <c r="A11" s="8" t="s">
        <v>185</v>
      </c>
      <c r="C11" s="28" t="n">
        <v>-0.704</v>
      </c>
    </row>
    <row r="12" customFormat="false" ht="15" hidden="false" customHeight="false" outlineLevel="0" collapsed="false">
      <c r="A12" s="23" t="s">
        <v>186</v>
      </c>
      <c r="C12" s="24" t="n">
        <f aca="false">SUM(C7:C11)</f>
        <v>7.20213345358</v>
      </c>
    </row>
    <row r="14" customFormat="false" ht="15" hidden="false" customHeight="true" outlineLevel="0" collapsed="false">
      <c r="A14" s="21" t="s">
        <v>187</v>
      </c>
      <c r="B14" s="21"/>
      <c r="C14" s="21"/>
    </row>
    <row r="15" customFormat="false" ht="15" hidden="false" customHeight="false" outlineLevel="0" collapsed="false">
      <c r="A15" s="21"/>
      <c r="B15" s="21"/>
      <c r="C15" s="21"/>
    </row>
    <row r="16" customFormat="false" ht="15" hidden="false" customHeight="false" outlineLevel="0" collapsed="false">
      <c r="A16" s="21"/>
      <c r="B16" s="21"/>
      <c r="C16" s="21"/>
    </row>
  </sheetData>
  <mergeCells count="2">
    <mergeCell ref="A1:C1"/>
    <mergeCell ref="A14: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6" min="2" style="0" width="14"/>
  </cols>
  <sheetData>
    <row r="1" customFormat="false" ht="16.15" hidden="false" customHeight="false" outlineLevel="0" collapsed="false">
      <c r="A1" s="5" t="s">
        <v>188</v>
      </c>
      <c r="B1" s="5"/>
      <c r="C1" s="5"/>
      <c r="D1" s="5"/>
      <c r="E1" s="5"/>
      <c r="F1" s="5"/>
    </row>
    <row r="2" customFormat="false" ht="25.5" hidden="false" customHeight="true" outlineLevel="0" collapsed="false">
      <c r="A2" s="21" t="s">
        <v>189</v>
      </c>
      <c r="B2" s="21"/>
      <c r="C2" s="21"/>
      <c r="D2" s="21"/>
      <c r="E2" s="21"/>
      <c r="F2" s="21"/>
    </row>
    <row r="3" customFormat="false" ht="15" hidden="false" customHeight="false" outlineLevel="0" collapsed="false">
      <c r="A3" s="7" t="s">
        <v>137</v>
      </c>
      <c r="B3" s="7" t="s">
        <v>141</v>
      </c>
      <c r="C3" s="7" t="s">
        <v>142</v>
      </c>
      <c r="D3" s="7" t="s">
        <v>143</v>
      </c>
      <c r="E3" s="7" t="s">
        <v>144</v>
      </c>
      <c r="F3" s="7" t="s">
        <v>145</v>
      </c>
    </row>
    <row r="4" customFormat="false" ht="15" hidden="false" customHeight="false" outlineLevel="0" collapsed="false">
      <c r="A4" s="8" t="s">
        <v>147</v>
      </c>
      <c r="B4" s="29" t="n">
        <f aca="false">2_Assumptions!$B$7*4</f>
        <v>39.6</v>
      </c>
      <c r="C4" s="29" t="n">
        <f aca="false">B4*(1+C$31)</f>
        <v>43.56</v>
      </c>
      <c r="D4" s="29" t="n">
        <f aca="false">C4*(1+D$31)</f>
        <v>47.0448</v>
      </c>
      <c r="E4" s="29" t="n">
        <f aca="false">D4*(1+E$31)</f>
        <v>50.337936</v>
      </c>
      <c r="F4" s="29" t="n">
        <f aca="false">E4*(1+F$31)</f>
        <v>53.35821216</v>
      </c>
    </row>
    <row r="5" customFormat="false" ht="15" hidden="false" customHeight="false" outlineLevel="0" collapsed="false">
      <c r="A5" s="8" t="s">
        <v>148</v>
      </c>
      <c r="B5" s="29" t="n">
        <f aca="false">B4*2_Assumptions!$B$8</f>
        <v>11.88</v>
      </c>
      <c r="C5" s="29" t="n">
        <f aca="false">C4*2_Assumptions!$B$8</f>
        <v>13.068</v>
      </c>
      <c r="D5" s="29" t="n">
        <f aca="false">D4*2_Assumptions!$B$8</f>
        <v>14.11344</v>
      </c>
      <c r="E5" s="29" t="n">
        <f aca="false">E4*2_Assumptions!$B$8</f>
        <v>15.1013808</v>
      </c>
      <c r="F5" s="29" t="n">
        <f aca="false">F4*2_Assumptions!$B$8</f>
        <v>16.007463648</v>
      </c>
    </row>
    <row r="6" customFormat="false" ht="15" hidden="false" customHeight="false" outlineLevel="0" collapsed="false">
      <c r="A6" s="8" t="s">
        <v>190</v>
      </c>
      <c r="B6" s="29" t="n">
        <f aca="false">-B4*(2_Assumptions!$B$9/2_Assumptions!$B$7)</f>
        <v>-7.2</v>
      </c>
      <c r="C6" s="29" t="n">
        <f aca="false">-C4*(2_Assumptions!$B$9/2_Assumptions!$B$7)</f>
        <v>-7.92</v>
      </c>
      <c r="D6" s="29" t="n">
        <f aca="false">-D4*(2_Assumptions!$B$9/2_Assumptions!$B$7)</f>
        <v>-8.5536</v>
      </c>
      <c r="E6" s="29" t="n">
        <f aca="false">-E4*(2_Assumptions!$B$9/2_Assumptions!$B$7)</f>
        <v>-9.152352</v>
      </c>
      <c r="F6" s="29" t="n">
        <f aca="false">-F4*(2_Assumptions!$B$9/2_Assumptions!$B$7)</f>
        <v>-9.70149312</v>
      </c>
    </row>
    <row r="7" customFormat="false" ht="15" hidden="false" customHeight="false" outlineLevel="0" collapsed="false">
      <c r="A7" s="23" t="s">
        <v>152</v>
      </c>
      <c r="B7" s="29" t="n">
        <f aca="false">B5+B6</f>
        <v>4.68</v>
      </c>
      <c r="C7" s="29" t="n">
        <f aca="false">C5+C6</f>
        <v>5.148</v>
      </c>
      <c r="D7" s="29" t="n">
        <f aca="false">D5+D6</f>
        <v>5.55984</v>
      </c>
      <c r="E7" s="29" t="n">
        <f aca="false">E5+E6</f>
        <v>5.9490288</v>
      </c>
      <c r="F7" s="29" t="n">
        <f aca="false">F5+F6</f>
        <v>6.305970528</v>
      </c>
    </row>
    <row r="8" customFormat="false" ht="15" hidden="false" customHeight="false" outlineLevel="0" collapsed="false">
      <c r="A8" s="8" t="s">
        <v>191</v>
      </c>
      <c r="B8" s="29" t="n">
        <f aca="false">B4*2_Assumptions!$B$25</f>
        <v>0.792</v>
      </c>
      <c r="C8" s="29" t="n">
        <f aca="false">C4*2_Assumptions!$B$25</f>
        <v>0.8712</v>
      </c>
      <c r="D8" s="29" t="n">
        <f aca="false">D4*2_Assumptions!$B$25</f>
        <v>0.940896</v>
      </c>
      <c r="E8" s="29" t="n">
        <f aca="false">E4*2_Assumptions!$B$25</f>
        <v>1.00675872</v>
      </c>
      <c r="F8" s="29" t="n">
        <f aca="false">F4*2_Assumptions!$B$25</f>
        <v>1.0671642432</v>
      </c>
    </row>
    <row r="9" customFormat="false" ht="15" hidden="false" customHeight="false" outlineLevel="0" collapsed="false">
      <c r="A9" s="8" t="s">
        <v>192</v>
      </c>
      <c r="B9" s="29" t="n">
        <f aca="false">B7+B8</f>
        <v>5.472</v>
      </c>
      <c r="C9" s="29" t="n">
        <f aca="false">C7+C8</f>
        <v>6.0192</v>
      </c>
      <c r="D9" s="29" t="n">
        <f aca="false">D7+D8</f>
        <v>6.500736</v>
      </c>
      <c r="E9" s="29" t="n">
        <f aca="false">E7+E8</f>
        <v>6.95578752</v>
      </c>
      <c r="F9" s="29" t="n">
        <f aca="false">F7+F8</f>
        <v>7.3731347712</v>
      </c>
    </row>
    <row r="10" customFormat="false" ht="15" hidden="false" customHeight="false" outlineLevel="0" collapsed="false">
      <c r="A10" s="8" t="s">
        <v>193</v>
      </c>
      <c r="B10" s="29" t="n">
        <f aca="false">B7*(1-2_Assumptions!$B$26)</f>
        <v>3.978</v>
      </c>
      <c r="C10" s="29" t="n">
        <f aca="false">C7*(1-2_Assumptions!$B$26)</f>
        <v>4.3758</v>
      </c>
      <c r="D10" s="29" t="n">
        <f aca="false">D7*(1-2_Assumptions!$B$26)</f>
        <v>4.725864</v>
      </c>
      <c r="E10" s="29" t="n">
        <f aca="false">E7*(1-2_Assumptions!$B$26)</f>
        <v>5.05667448</v>
      </c>
      <c r="F10" s="29" t="n">
        <f aca="false">F7*(1-2_Assumptions!$B$26)</f>
        <v>5.3600749488</v>
      </c>
    </row>
    <row r="11" customFormat="false" ht="15" hidden="false" customHeight="false" outlineLevel="0" collapsed="false">
      <c r="A11" s="8" t="s">
        <v>191</v>
      </c>
      <c r="B11" s="29" t="n">
        <f aca="false">B8</f>
        <v>0.792</v>
      </c>
      <c r="C11" s="29" t="n">
        <f aca="false">C8</f>
        <v>0.8712</v>
      </c>
      <c r="D11" s="29" t="n">
        <f aca="false">D8</f>
        <v>0.940896</v>
      </c>
      <c r="E11" s="29" t="n">
        <f aca="false">E8</f>
        <v>1.00675872</v>
      </c>
      <c r="F11" s="29" t="n">
        <f aca="false">F8</f>
        <v>1.0671642432</v>
      </c>
    </row>
    <row r="12" customFormat="false" ht="15" hidden="false" customHeight="false" outlineLevel="0" collapsed="false">
      <c r="A12" s="8" t="s">
        <v>194</v>
      </c>
      <c r="B12" s="29" t="n">
        <f aca="false">-B4*B$32</f>
        <v>-1.188</v>
      </c>
      <c r="C12" s="29" t="n">
        <f aca="false">-C4*C$32</f>
        <v>-1.26324</v>
      </c>
      <c r="D12" s="29" t="n">
        <f aca="false">-D4*D$32</f>
        <v>-1.3172544</v>
      </c>
      <c r="E12" s="29" t="n">
        <f aca="false">-E4*E$32</f>
        <v>-1.333955304</v>
      </c>
      <c r="F12" s="29" t="n">
        <f aca="false">-F4*F$32</f>
        <v>-1.333955304</v>
      </c>
    </row>
    <row r="13" customFormat="false" ht="15" hidden="false" customHeight="false" outlineLevel="0" collapsed="false">
      <c r="A13" s="8" t="s">
        <v>195</v>
      </c>
      <c r="B13" s="29" t="n">
        <f aca="false">-(B4-2_Assumptions!$B$24)*B$33</f>
        <v>-0.9</v>
      </c>
      <c r="C13" s="29" t="n">
        <f aca="false">-(C4-B4)*C$33</f>
        <v>-0.792</v>
      </c>
      <c r="D13" s="29" t="n">
        <f aca="false">-(D4-C4)*D$33</f>
        <v>-0.52272</v>
      </c>
      <c r="E13" s="29" t="n">
        <f aca="false">-(E4-D4)*E$33</f>
        <v>-0.39517632</v>
      </c>
      <c r="F13" s="29" t="n">
        <f aca="false">-(F4-E4)*F$33</f>
        <v>-0.302027616</v>
      </c>
    </row>
    <row r="14" customFormat="false" ht="15" hidden="false" customHeight="false" outlineLevel="0" collapsed="false">
      <c r="A14" s="23" t="s">
        <v>196</v>
      </c>
      <c r="B14" s="24" t="n">
        <f aca="false">B10+B11+B12+B13</f>
        <v>2.682</v>
      </c>
      <c r="C14" s="24" t="n">
        <f aca="false">C10+C11+C12+C13</f>
        <v>3.19176</v>
      </c>
      <c r="D14" s="24" t="n">
        <f aca="false">D10+D11+D12+D13</f>
        <v>3.8267856</v>
      </c>
      <c r="E14" s="24" t="n">
        <f aca="false">E10+E11+E12+E13</f>
        <v>4.334301576</v>
      </c>
      <c r="F14" s="24" t="n">
        <f aca="false">F10+F11+F12+F13</f>
        <v>4.791256272</v>
      </c>
    </row>
    <row r="15" customFormat="false" ht="15" hidden="false" customHeight="false" outlineLevel="0" collapsed="false">
      <c r="A15" s="8" t="s">
        <v>197</v>
      </c>
      <c r="B15" s="25" t="n">
        <f aca="false">1/(1+$B$19)^1</f>
        <v>0.921946208439512</v>
      </c>
      <c r="C15" s="25" t="n">
        <f aca="false">1/(1+$B$19)^2</f>
        <v>0.849984811255991</v>
      </c>
      <c r="D15" s="25" t="n">
        <f aca="false">1/(1+$B$19)^3</f>
        <v>0.783640273968635</v>
      </c>
      <c r="E15" s="25" t="n">
        <f aca="false">1/(1+$B$19)^4</f>
        <v>0.722474179365883</v>
      </c>
      <c r="F15" s="25" t="n">
        <f aca="false">1/(1+$B$19)^5</f>
        <v>0.666082330361823</v>
      </c>
    </row>
    <row r="16" customFormat="false" ht="15" hidden="false" customHeight="false" outlineLevel="0" collapsed="false">
      <c r="A16" s="23" t="s">
        <v>198</v>
      </c>
      <c r="B16" s="24" t="n">
        <f aca="false">B14*B15</f>
        <v>2.47265973103477</v>
      </c>
      <c r="C16" s="24" t="n">
        <f aca="false">C14*C15</f>
        <v>2.71294752117442</v>
      </c>
      <c r="D16" s="24" t="n">
        <f aca="false">D14*D15</f>
        <v>2.99882331600323</v>
      </c>
      <c r="E16" s="24" t="n">
        <f aca="false">E14*E15</f>
        <v>3.13142097424485</v>
      </c>
      <c r="F16" s="24" t="n">
        <f aca="false">F14*F15</f>
        <v>3.19137114301446</v>
      </c>
    </row>
    <row r="18" customFormat="false" ht="15" hidden="false" customHeight="false" outlineLevel="0" collapsed="false">
      <c r="A18" s="8" t="s">
        <v>199</v>
      </c>
      <c r="B18" s="17" t="n">
        <f aca="false">SUM(B16:F16)</f>
        <v>14.5072226854717</v>
      </c>
    </row>
    <row r="19" customFormat="false" ht="15" hidden="false" customHeight="false" outlineLevel="0" collapsed="false">
      <c r="A19" s="23" t="s">
        <v>200</v>
      </c>
      <c r="B19" s="30" t="n">
        <f aca="false">B23*B21+B24*B22</f>
        <v>0.0846619801090159</v>
      </c>
    </row>
    <row r="20" customFormat="false" ht="15" hidden="false" customHeight="false" outlineLevel="0" collapsed="false">
      <c r="A20" s="8" t="s">
        <v>201</v>
      </c>
      <c r="B20" s="17" t="n">
        <f aca="false">F14*(1+2_Assumptions!$B$27)/($B$19-2_Assumptions!$B$27)</f>
        <v>90.2820196106658</v>
      </c>
    </row>
    <row r="21" customFormat="false" ht="15" hidden="false" customHeight="false" outlineLevel="0" collapsed="false">
      <c r="A21" s="8" t="s">
        <v>202</v>
      </c>
      <c r="B21" s="31" t="n">
        <f aca="false">2_Assumptions!$B$32+2_Assumptions!$B$35*2_Assumptions!$B$33</f>
        <v>0.0962</v>
      </c>
    </row>
    <row r="22" customFormat="false" ht="15" hidden="false" customHeight="false" outlineLevel="0" collapsed="false">
      <c r="A22" s="8" t="s">
        <v>203</v>
      </c>
      <c r="B22" s="31" t="n">
        <f aca="false">2_Assumptions!$B$36*(1-2_Assumptions!$B$26)</f>
        <v>0.051</v>
      </c>
    </row>
    <row r="23" customFormat="false" ht="15" hidden="false" customHeight="false" outlineLevel="0" collapsed="false">
      <c r="A23" s="8" t="s">
        <v>204</v>
      </c>
      <c r="B23" s="32" t="n">
        <f aca="false">2_Assumptions!$B$4*2_Assumptions!$B$5/(2_Assumptions!$B$4*2_Assumptions!$B$5+2_Assumptions!$B$37+2_Assumptions!$B$18)</f>
        <v>0.744734073208317</v>
      </c>
    </row>
    <row r="24" customFormat="false" ht="15" hidden="false" customHeight="false" outlineLevel="0" collapsed="false">
      <c r="A24" s="8" t="s">
        <v>205</v>
      </c>
      <c r="B24" s="32" t="n">
        <f aca="false">1-B23</f>
        <v>0.255265926791684</v>
      </c>
    </row>
    <row r="25" customFormat="false" ht="15" hidden="false" customHeight="false" outlineLevel="0" collapsed="false">
      <c r="A25" s="8" t="s">
        <v>206</v>
      </c>
      <c r="B25" s="17" t="n">
        <f aca="false">B20*F15</f>
        <v>60.1352580120442</v>
      </c>
    </row>
    <row r="26" customFormat="false" ht="15" hidden="false" customHeight="false" outlineLevel="0" collapsed="false">
      <c r="A26" s="23" t="s">
        <v>207</v>
      </c>
      <c r="B26" s="26" t="n">
        <f aca="false">B18+B25</f>
        <v>74.6424806975159</v>
      </c>
    </row>
    <row r="27" customFormat="false" ht="15" hidden="false" customHeight="false" outlineLevel="0" collapsed="false">
      <c r="A27" s="8" t="s">
        <v>208</v>
      </c>
      <c r="B27" s="32" t="n">
        <f aca="false">B25/B26</f>
        <v>0.805643883350269</v>
      </c>
    </row>
    <row r="28" customFormat="false" ht="15" hidden="false" customHeight="false" outlineLevel="0" collapsed="false">
      <c r="A28" s="8" t="s">
        <v>209</v>
      </c>
      <c r="B28" s="31" t="n">
        <f aca="false">2_Assumptions!$B$32+2_Assumptions!$B$35*2_Assumptions!$B$34</f>
        <v>0.0968</v>
      </c>
    </row>
    <row r="30" customFormat="false" ht="15" hidden="false" customHeight="false" outlineLevel="0" collapsed="false">
      <c r="A30" s="23" t="s">
        <v>210</v>
      </c>
    </row>
    <row r="31" customFormat="false" ht="15" hidden="false" customHeight="false" outlineLevel="0" collapsed="false">
      <c r="A31" s="8" t="s">
        <v>211</v>
      </c>
      <c r="B31" s="33" t="s">
        <v>212</v>
      </c>
      <c r="C31" s="14" t="n">
        <v>0.1</v>
      </c>
      <c r="D31" s="14" t="n">
        <v>0.08</v>
      </c>
      <c r="E31" s="14" t="n">
        <v>0.07</v>
      </c>
      <c r="F31" s="14" t="n">
        <v>0.06</v>
      </c>
    </row>
    <row r="32" customFormat="false" ht="15" hidden="false" customHeight="false" outlineLevel="0" collapsed="false">
      <c r="A32" s="8" t="s">
        <v>213</v>
      </c>
      <c r="B32" s="14" t="n">
        <v>0.03</v>
      </c>
      <c r="C32" s="14" t="n">
        <v>0.029</v>
      </c>
      <c r="D32" s="14" t="n">
        <v>0.028</v>
      </c>
      <c r="E32" s="14" t="n">
        <v>0.0265</v>
      </c>
      <c r="F32" s="14" t="n">
        <v>0.025</v>
      </c>
    </row>
    <row r="33" customFormat="false" ht="15" hidden="false" customHeight="false" outlineLevel="0" collapsed="false">
      <c r="A33" s="8" t="s">
        <v>214</v>
      </c>
      <c r="B33" s="14" t="n">
        <v>0.25</v>
      </c>
      <c r="C33" s="14" t="n">
        <v>0.2</v>
      </c>
      <c r="D33" s="14" t="n">
        <v>0.15</v>
      </c>
      <c r="E33" s="14" t="n">
        <v>0.12</v>
      </c>
      <c r="F33" s="14" t="n">
        <v>0.1</v>
      </c>
    </row>
    <row r="35" customFormat="false" ht="15" hidden="false" customHeight="true" outlineLevel="0" collapsed="false">
      <c r="A35" s="21" t="s">
        <v>215</v>
      </c>
      <c r="B35" s="21"/>
      <c r="C35" s="21"/>
      <c r="D35" s="21"/>
      <c r="E35" s="21"/>
      <c r="F35" s="21"/>
    </row>
    <row r="36" customFormat="false" ht="15" hidden="false" customHeight="false" outlineLevel="0" collapsed="false">
      <c r="A36" s="21"/>
      <c r="B36" s="21"/>
      <c r="C36" s="21"/>
      <c r="D36" s="21"/>
      <c r="E36" s="21"/>
      <c r="F36" s="21"/>
    </row>
  </sheetData>
  <mergeCells count="3">
    <mergeCell ref="A1:F1"/>
    <mergeCell ref="A2:F2"/>
    <mergeCell ref="A35: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5"/>
    <col collapsed="false" customWidth="true" hidden="false" outlineLevel="0" max="7" min="7" style="0" width="46"/>
  </cols>
  <sheetData>
    <row r="1" customFormat="false" ht="16.15" hidden="false" customHeight="false" outlineLevel="0" collapsed="false">
      <c r="A1" s="5" t="s">
        <v>216</v>
      </c>
      <c r="B1" s="5"/>
      <c r="C1" s="5"/>
      <c r="D1" s="5"/>
      <c r="E1" s="5"/>
      <c r="F1" s="5"/>
    </row>
    <row r="2" customFormat="false" ht="15" hidden="false" customHeight="true" outlineLevel="0" collapsed="false">
      <c r="A2" s="21" t="s">
        <v>217</v>
      </c>
      <c r="B2" s="21"/>
      <c r="C2" s="21"/>
      <c r="D2" s="21"/>
      <c r="E2" s="21"/>
      <c r="F2" s="21"/>
      <c r="G2" s="21"/>
    </row>
    <row r="4" customFormat="false" ht="15" hidden="false" customHeight="false" outlineLevel="0" collapsed="false">
      <c r="A4" s="7" t="s">
        <v>218</v>
      </c>
      <c r="B4" s="7" t="s">
        <v>33</v>
      </c>
      <c r="C4" s="7"/>
      <c r="D4" s="7"/>
      <c r="E4" s="7"/>
      <c r="F4" s="7"/>
      <c r="G4" s="7" t="s">
        <v>219</v>
      </c>
    </row>
    <row r="5" customFormat="false" ht="15" hidden="false" customHeight="false" outlineLevel="0" collapsed="false">
      <c r="A5" s="8" t="s">
        <v>220</v>
      </c>
      <c r="B5" s="17" t="n">
        <f aca="false">5_BS!D16</f>
        <v>10.592</v>
      </c>
      <c r="G5" s="10" t="s">
        <v>221</v>
      </c>
    </row>
    <row r="6" customFormat="false" ht="15" hidden="false" customHeight="false" outlineLevel="0" collapsed="false">
      <c r="A6" s="8" t="s">
        <v>222</v>
      </c>
      <c r="B6" s="17" t="n">
        <f aca="false">((7_DCF!B4*(2_Assumptions!$B$8-2_Assumptions!$B$9/2_Assumptions!$B$7))-2_Assumptions!$B$37*2_Assumptions!$B$36)*(1-2_Assumptions!$B$26)*(1-(1-2_Assumptions!$B$15*2_Assumptions!$B$5/2_Assumptions!$B$14)/(1-0.59))</f>
        <v>1.93718611747673</v>
      </c>
      <c r="G6" s="10" t="s">
        <v>223</v>
      </c>
    </row>
    <row r="7" customFormat="false" ht="15" hidden="false" customHeight="false" outlineLevel="0" collapsed="false">
      <c r="A7" s="23" t="s">
        <v>224</v>
      </c>
      <c r="B7" s="24" t="n">
        <f aca="false">B6*2_Assumptions!$B$30</f>
        <v>19.3718611747673</v>
      </c>
      <c r="G7" s="10" t="s">
        <v>225</v>
      </c>
    </row>
    <row r="8" customFormat="false" ht="15" hidden="false" customHeight="false" outlineLevel="0" collapsed="false">
      <c r="A8" s="8" t="s">
        <v>226</v>
      </c>
      <c r="B8" s="17" t="n">
        <f aca="false">B7-B5</f>
        <v>8.77986117476733</v>
      </c>
      <c r="G8" s="10" t="s">
        <v>227</v>
      </c>
    </row>
    <row r="9" customFormat="false" ht="15" hidden="false" customHeight="false" outlineLevel="0" collapsed="false">
      <c r="A9" s="8" t="s">
        <v>228</v>
      </c>
      <c r="B9" s="17" t="n">
        <f aca="false">2_Assumptions!$B$16</f>
        <v>58.7</v>
      </c>
      <c r="G9" s="10" t="s">
        <v>229</v>
      </c>
    </row>
    <row r="10" customFormat="false" ht="15" hidden="false" customHeight="false" outlineLevel="0" collapsed="false">
      <c r="A10" s="8" t="s">
        <v>230</v>
      </c>
      <c r="B10" s="17" t="n">
        <f aca="false">-B9*2_Assumptions!$B$28</f>
        <v>-14.675</v>
      </c>
      <c r="G10" s="10" t="s">
        <v>231</v>
      </c>
    </row>
    <row r="11" customFormat="false" ht="15" hidden="false" customHeight="false" outlineLevel="0" collapsed="false">
      <c r="A11" s="8" t="s">
        <v>129</v>
      </c>
      <c r="B11" s="17" t="n">
        <f aca="false">2_Assumptions!$B$18</f>
        <v>9.5</v>
      </c>
      <c r="G11" s="10" t="s">
        <v>232</v>
      </c>
    </row>
    <row r="12" customFormat="false" ht="15" hidden="false" customHeight="false" outlineLevel="0" collapsed="false">
      <c r="A12" s="23" t="s">
        <v>233</v>
      </c>
      <c r="B12" s="24" t="n">
        <f aca="false">B7+B9+B10+B11</f>
        <v>72.8968611747674</v>
      </c>
      <c r="G12" s="10" t="s">
        <v>234</v>
      </c>
    </row>
    <row r="13" customFormat="false" ht="15" hidden="false" customHeight="false" outlineLevel="0" collapsed="false">
      <c r="A13" s="8" t="s">
        <v>235</v>
      </c>
      <c r="B13" s="17" t="n">
        <f aca="false">-B12*2_Assumptions!$B$29</f>
        <v>-5.46726458810755</v>
      </c>
      <c r="G13" s="10" t="s">
        <v>236</v>
      </c>
    </row>
    <row r="14" customFormat="false" ht="15" hidden="false" customHeight="false" outlineLevel="0" collapsed="false">
      <c r="A14" s="23" t="s">
        <v>237</v>
      </c>
      <c r="B14" s="26" t="n">
        <f aca="false">B12+B13</f>
        <v>67.4295965866598</v>
      </c>
      <c r="G14" s="10"/>
    </row>
    <row r="15" customFormat="false" ht="15" hidden="false" customHeight="false" outlineLevel="0" collapsed="false">
      <c r="A15" s="23" t="s">
        <v>238</v>
      </c>
      <c r="B15" s="34" t="n">
        <f aca="false">B14/2_Assumptions!$B$5</f>
        <v>1.9508846470466</v>
      </c>
      <c r="G15" s="10"/>
    </row>
    <row r="17" customFormat="false" ht="15" hidden="false" customHeight="false" outlineLevel="0" collapsed="false">
      <c r="A17" s="22" t="s">
        <v>239</v>
      </c>
    </row>
    <row r="18" customFormat="false" ht="26.85" hidden="false" customHeight="false" outlineLevel="0" collapsed="false">
      <c r="A18" s="7"/>
      <c r="B18" s="7" t="s">
        <v>240</v>
      </c>
      <c r="C18" s="7" t="s">
        <v>241</v>
      </c>
      <c r="D18" s="7" t="s">
        <v>242</v>
      </c>
      <c r="E18" s="7"/>
      <c r="F18" s="7"/>
      <c r="G18" s="7"/>
    </row>
    <row r="19" customFormat="false" ht="15" hidden="false" customHeight="false" outlineLevel="0" collapsed="false">
      <c r="A19" s="8" t="s">
        <v>243</v>
      </c>
      <c r="B19" s="17" t="n">
        <f aca="false">2_Assumptions!$B$17</f>
        <v>48</v>
      </c>
      <c r="C19" s="17" t="n">
        <f aca="false">2_Assumptions!$B$16</f>
        <v>58.7</v>
      </c>
      <c r="D19" s="17" t="n">
        <f aca="false">C19-B19</f>
        <v>10.7</v>
      </c>
    </row>
    <row r="20" customFormat="false" ht="15" hidden="false" customHeight="false" outlineLevel="0" collapsed="false">
      <c r="A20" s="8" t="s">
        <v>244</v>
      </c>
      <c r="B20" s="17" t="n">
        <f aca="false">2_Assumptions!$B$22</f>
        <v>10</v>
      </c>
      <c r="C20" s="17" t="n">
        <f aca="false">2_Assumptions!$B$20*2_Assumptions!$B$21</f>
        <v>21.55681595358</v>
      </c>
      <c r="D20" s="17" t="n">
        <f aca="false">C20-B20</f>
        <v>11.55681595358</v>
      </c>
    </row>
    <row r="21" customFormat="false" ht="15" hidden="false" customHeight="false" outlineLevel="0" collapsed="false">
      <c r="A21" s="23" t="s">
        <v>245</v>
      </c>
      <c r="B21" s="35" t="n">
        <f aca="false">B19-B20</f>
        <v>38</v>
      </c>
      <c r="C21" s="35" t="n">
        <f aca="false">C19-C20</f>
        <v>37.14318404642</v>
      </c>
      <c r="D21" s="35" t="n">
        <f aca="false">C21-B21</f>
        <v>-0.856815953579996</v>
      </c>
    </row>
    <row r="23" customFormat="false" ht="15" hidden="false" customHeight="true" outlineLevel="0" collapsed="false">
      <c r="A23" s="21" t="s">
        <v>246</v>
      </c>
      <c r="B23" s="21"/>
      <c r="C23" s="21"/>
      <c r="D23" s="21"/>
      <c r="E23" s="21"/>
      <c r="F23" s="21"/>
    </row>
    <row r="24" customFormat="false" ht="15" hidden="false" customHeight="false" outlineLevel="0" collapsed="false">
      <c r="A24" s="21"/>
      <c r="B24" s="21"/>
      <c r="C24" s="21"/>
      <c r="D24" s="21"/>
      <c r="E24" s="21"/>
      <c r="F24" s="21"/>
    </row>
    <row r="25" customFormat="false" ht="15" hidden="false" customHeight="false" outlineLevel="0" collapsed="false">
      <c r="A25" s="21"/>
      <c r="B25" s="21"/>
      <c r="C25" s="21"/>
      <c r="D25" s="21"/>
      <c r="E25" s="21"/>
      <c r="F25" s="21"/>
    </row>
  </sheetData>
  <mergeCells count="3">
    <mergeCell ref="A1:F1"/>
    <mergeCell ref="A2:G2"/>
    <mergeCell ref="A23: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6" min="2" style="0" width="15"/>
  </cols>
  <sheetData>
    <row r="1" customFormat="false" ht="16.15" hidden="false" customHeight="false" outlineLevel="0" collapsed="false">
      <c r="A1" s="5" t="s">
        <v>247</v>
      </c>
      <c r="B1" s="5"/>
      <c r="C1" s="5"/>
      <c r="D1" s="5"/>
      <c r="E1" s="5"/>
      <c r="F1" s="5"/>
    </row>
    <row r="3" customFormat="false" ht="26.85" hidden="false" customHeight="false" outlineLevel="0" collapsed="false">
      <c r="A3" s="36" t="s">
        <v>248</v>
      </c>
      <c r="B3" s="37" t="n">
        <v>0.02</v>
      </c>
      <c r="C3" s="37" t="n">
        <v>0.025</v>
      </c>
      <c r="D3" s="37" t="n">
        <v>0.03</v>
      </c>
      <c r="E3" s="37" t="n">
        <v>0.035</v>
      </c>
      <c r="F3" s="37" t="n">
        <v>0.04</v>
      </c>
    </row>
    <row r="4" customFormat="false" ht="15" hidden="false" customHeight="false" outlineLevel="0" collapsed="false">
      <c r="A4" s="31" t="n">
        <v>0.078</v>
      </c>
      <c r="B4" s="38" t="n">
        <f aca="false">(((((((7_DCF!B$4*(2_Assumptions!$B$8-2_Assumptions!$B$9/2_Assumptions!$B$7+2_Assumptions!$B$25))-7_DCF!B$4*2_Assumptions!$B$25)*(1-2_Assumptions!$B$26)+7_DCF!B$4*2_Assumptions!$B$25-7_DCF!B$4*7_DCF!B$32-(7_DCF!B$4-2_Assumptions!$B$24)*7_DCF!B$33)/(1+$A4)^1+(((7_DCF!C$4*(2_Assumptions!$B$8-2_Assumptions!$B$9/2_Assumptions!$B$7+2_Assumptions!$B$25))-7_DCF!C$4*2_Assumptions!$B$25)*(1-2_Assumptions!$B$26)+7_DCF!C$4*2_Assumptions!$B$25-7_DCF!C$4*7_DCF!C$32-(7_DCF!C$4-7_DCF!B$4)*7_DCF!C$33)/(1+$A4)^2+(((7_DCF!D$4*(2_Assumptions!$B$8-2_Assumptions!$B$9/2_Assumptions!$B$7+2_Assumptions!$B$25))-7_DCF!D$4*2_Assumptions!$B$25)*(1-2_Assumptions!$B$26)+7_DCF!D$4*2_Assumptions!$B$25-7_DCF!D$4*7_DCF!D$32-(7_DCF!D$4-7_DCF!C$4)*7_DCF!D$33)/(1+$A4)^3+(((7_DCF!E$4*(2_Assumptions!$B$8-2_Assumptions!$B$9/2_Assumptions!$B$7+2_Assumptions!$B$25))-7_DCF!E$4*2_Assumptions!$B$25)*(1-2_Assumptions!$B$26)+7_DCF!E$4*2_Assumptions!$B$25-7_DCF!E$4*7_DCF!E$32-(7_DCF!E$4-7_DCF!D$4)*7_DCF!E$33)/(1+$A4)^4+(((7_DCF!F$4*(2_Assumptions!$B$8-2_Assumptions!$B$9/2_Assumptions!$B$7+2_Assumptions!$B$25))-7_DCF!F$4*2_Assumptions!$B$25)*(1-2_Assumptions!$B$26)+7_DCF!F$4*2_Assumptions!$B$25-7_DCF!F$4*7_DCF!F$32-(7_DCF!F$4-7_DCF!E$4)*7_DCF!F$33)/(1+$A4)^5+(((7_DCF!F$4*(2_Assumptions!$B$8-2_Assumptions!$B$9/2_Assumptions!$B$7+2_Assumptions!$B$25))-7_DCF!F$4*2_Assumptions!$B$25)*(1-2_Assumptions!$B$26)+7_DCF!F$4*2_Assumptions!$B$25-7_DCF!F$4*7_DCF!F$32-(7_DCF!F$4-7_DCF!E$4)*7_DCF!F$33)*(1+B$3)/(($A4)-(B$3))/(1+$A4)^5))-2_Assumptions!$B$37)*(1-(1-2_Assumptions!$B$15*2_Assumptions!$B$5/2_Assumptions!$B$14)/(1-0.59))+2_Assumptions!$B$16*(1-2_Assumptions!$B$28)+2_Assumptions!$B$18)*(1-2_Assumptions!$B$29)/2_Assumptions!$B$5</f>
        <v>2.36147170182887</v>
      </c>
      <c r="C4" s="38" t="n">
        <f aca="false">(((((((7_DCF!B$4*(2_Assumptions!$B$8-2_Assumptions!$B$9/2_Assumptions!$B$7+2_Assumptions!$B$25))-7_DCF!B$4*2_Assumptions!$B$25)*(1-2_Assumptions!$B$26)+7_DCF!B$4*2_Assumptions!$B$25-7_DCF!B$4*7_DCF!B$32-(7_DCF!B$4-2_Assumptions!$B$24)*7_DCF!B$33)/(1+$A4)^1+(((7_DCF!C$4*(2_Assumptions!$B$8-2_Assumptions!$B$9/2_Assumptions!$B$7+2_Assumptions!$B$25))-7_DCF!C$4*2_Assumptions!$B$25)*(1-2_Assumptions!$B$26)+7_DCF!C$4*2_Assumptions!$B$25-7_DCF!C$4*7_DCF!C$32-(7_DCF!C$4-7_DCF!B$4)*7_DCF!C$33)/(1+$A4)^2+(((7_DCF!D$4*(2_Assumptions!$B$8-2_Assumptions!$B$9/2_Assumptions!$B$7+2_Assumptions!$B$25))-7_DCF!D$4*2_Assumptions!$B$25)*(1-2_Assumptions!$B$26)+7_DCF!D$4*2_Assumptions!$B$25-7_DCF!D$4*7_DCF!D$32-(7_DCF!D$4-7_DCF!C$4)*7_DCF!D$33)/(1+$A4)^3+(((7_DCF!E$4*(2_Assumptions!$B$8-2_Assumptions!$B$9/2_Assumptions!$B$7+2_Assumptions!$B$25))-7_DCF!E$4*2_Assumptions!$B$25)*(1-2_Assumptions!$B$26)+7_DCF!E$4*2_Assumptions!$B$25-7_DCF!E$4*7_DCF!E$32-(7_DCF!E$4-7_DCF!D$4)*7_DCF!E$33)/(1+$A4)^4+(((7_DCF!F$4*(2_Assumptions!$B$8-2_Assumptions!$B$9/2_Assumptions!$B$7+2_Assumptions!$B$25))-7_DCF!F$4*2_Assumptions!$B$25)*(1-2_Assumptions!$B$26)+7_DCF!F$4*2_Assumptions!$B$25-7_DCF!F$4*7_DCF!F$32-(7_DCF!F$4-7_DCF!E$4)*7_DCF!F$33)/(1+$A4)^5+(((7_DCF!F$4*(2_Assumptions!$B$8-2_Assumptions!$B$9/2_Assumptions!$B$7+2_Assumptions!$B$25))-7_DCF!F$4*2_Assumptions!$B$25)*(1-2_Assumptions!$B$26)+7_DCF!F$4*2_Assumptions!$B$25-7_DCF!F$4*7_DCF!F$32-(7_DCF!F$4-7_DCF!E$4)*7_DCF!F$33)*(1+C$3)/(($A4)-(C$3))/(1+$A4)^5))-2_Assumptions!$B$37)*(1-(1-2_Assumptions!$B$15*2_Assumptions!$B$5/2_Assumptions!$B$14)/(1-0.59))+2_Assumptions!$B$16*(1-2_Assumptions!$B$28)+2_Assumptions!$B$18)*(1-2_Assumptions!$B$29)/2_Assumptions!$B$5</f>
        <v>2.45622649185814</v>
      </c>
      <c r="D4" s="38" t="n">
        <f aca="false">(((((((7_DCF!B$4*(2_Assumptions!$B$8-2_Assumptions!$B$9/2_Assumptions!$B$7+2_Assumptions!$B$25))-7_DCF!B$4*2_Assumptions!$B$25)*(1-2_Assumptions!$B$26)+7_DCF!B$4*2_Assumptions!$B$25-7_DCF!B$4*7_DCF!B$32-(7_DCF!B$4-2_Assumptions!$B$24)*7_DCF!B$33)/(1+$A4)^1+(((7_DCF!C$4*(2_Assumptions!$B$8-2_Assumptions!$B$9/2_Assumptions!$B$7+2_Assumptions!$B$25))-7_DCF!C$4*2_Assumptions!$B$25)*(1-2_Assumptions!$B$26)+7_DCF!C$4*2_Assumptions!$B$25-7_DCF!C$4*7_DCF!C$32-(7_DCF!C$4-7_DCF!B$4)*7_DCF!C$33)/(1+$A4)^2+(((7_DCF!D$4*(2_Assumptions!$B$8-2_Assumptions!$B$9/2_Assumptions!$B$7+2_Assumptions!$B$25))-7_DCF!D$4*2_Assumptions!$B$25)*(1-2_Assumptions!$B$26)+7_DCF!D$4*2_Assumptions!$B$25-7_DCF!D$4*7_DCF!D$32-(7_DCF!D$4-7_DCF!C$4)*7_DCF!D$33)/(1+$A4)^3+(((7_DCF!E$4*(2_Assumptions!$B$8-2_Assumptions!$B$9/2_Assumptions!$B$7+2_Assumptions!$B$25))-7_DCF!E$4*2_Assumptions!$B$25)*(1-2_Assumptions!$B$26)+7_DCF!E$4*2_Assumptions!$B$25-7_DCF!E$4*7_DCF!E$32-(7_DCF!E$4-7_DCF!D$4)*7_DCF!E$33)/(1+$A4)^4+(((7_DCF!F$4*(2_Assumptions!$B$8-2_Assumptions!$B$9/2_Assumptions!$B$7+2_Assumptions!$B$25))-7_DCF!F$4*2_Assumptions!$B$25)*(1-2_Assumptions!$B$26)+7_DCF!F$4*2_Assumptions!$B$25-7_DCF!F$4*7_DCF!F$32-(7_DCF!F$4-7_DCF!E$4)*7_DCF!F$33)/(1+$A4)^5+(((7_DCF!F$4*(2_Assumptions!$B$8-2_Assumptions!$B$9/2_Assumptions!$B$7+2_Assumptions!$B$25))-7_DCF!F$4*2_Assumptions!$B$25)*(1-2_Assumptions!$B$26)+7_DCF!F$4*2_Assumptions!$B$25-7_DCF!F$4*7_DCF!F$32-(7_DCF!F$4-7_DCF!E$4)*7_DCF!F$33)*(1+D$3)/(($A4)-(D$3))/(1+$A4)^5))-2_Assumptions!$B$37)*(1-(1-2_Assumptions!$B$15*2_Assumptions!$B$5/2_Assumptions!$B$14)/(1-0.59))+2_Assumptions!$B$16*(1-2_Assumptions!$B$28)+2_Assumptions!$B$18)*(1-2_Assumptions!$B$29)/2_Assumptions!$B$5</f>
        <v>2.5707218631435</v>
      </c>
      <c r="E4" s="38" t="n">
        <f aca="false">(((((((7_DCF!B$4*(2_Assumptions!$B$8-2_Assumptions!$B$9/2_Assumptions!$B$7+2_Assumptions!$B$25))-7_DCF!B$4*2_Assumptions!$B$25)*(1-2_Assumptions!$B$26)+7_DCF!B$4*2_Assumptions!$B$25-7_DCF!B$4*7_DCF!B$32-(7_DCF!B$4-2_Assumptions!$B$24)*7_DCF!B$33)/(1+$A4)^1+(((7_DCF!C$4*(2_Assumptions!$B$8-2_Assumptions!$B$9/2_Assumptions!$B$7+2_Assumptions!$B$25))-7_DCF!C$4*2_Assumptions!$B$25)*(1-2_Assumptions!$B$26)+7_DCF!C$4*2_Assumptions!$B$25-7_DCF!C$4*7_DCF!C$32-(7_DCF!C$4-7_DCF!B$4)*7_DCF!C$33)/(1+$A4)^2+(((7_DCF!D$4*(2_Assumptions!$B$8-2_Assumptions!$B$9/2_Assumptions!$B$7+2_Assumptions!$B$25))-7_DCF!D$4*2_Assumptions!$B$25)*(1-2_Assumptions!$B$26)+7_DCF!D$4*2_Assumptions!$B$25-7_DCF!D$4*7_DCF!D$32-(7_DCF!D$4-7_DCF!C$4)*7_DCF!D$33)/(1+$A4)^3+(((7_DCF!E$4*(2_Assumptions!$B$8-2_Assumptions!$B$9/2_Assumptions!$B$7+2_Assumptions!$B$25))-7_DCF!E$4*2_Assumptions!$B$25)*(1-2_Assumptions!$B$26)+7_DCF!E$4*2_Assumptions!$B$25-7_DCF!E$4*7_DCF!E$32-(7_DCF!E$4-7_DCF!D$4)*7_DCF!E$33)/(1+$A4)^4+(((7_DCF!F$4*(2_Assumptions!$B$8-2_Assumptions!$B$9/2_Assumptions!$B$7+2_Assumptions!$B$25))-7_DCF!F$4*2_Assumptions!$B$25)*(1-2_Assumptions!$B$26)+7_DCF!F$4*2_Assumptions!$B$25-7_DCF!F$4*7_DCF!F$32-(7_DCF!F$4-7_DCF!E$4)*7_DCF!F$33)/(1+$A4)^5+(((7_DCF!F$4*(2_Assumptions!$B$8-2_Assumptions!$B$9/2_Assumptions!$B$7+2_Assumptions!$B$25))-7_DCF!F$4*2_Assumptions!$B$25)*(1-2_Assumptions!$B$26)+7_DCF!F$4*2_Assumptions!$B$25-7_DCF!F$4*7_DCF!F$32-(7_DCF!F$4-7_DCF!E$4)*7_DCF!F$33)*(1+E$3)/(($A4)-(E$3))/(1+$A4)^5))-2_Assumptions!$B$37)*(1-(1-2_Assumptions!$B$15*2_Assumptions!$B$5/2_Assumptions!$B$14)/(1-0.59))+2_Assumptions!$B$16*(1-2_Assumptions!$B$28)+2_Assumptions!$B$18)*(1-2_Assumptions!$B$29)/2_Assumptions!$B$5</f>
        <v>2.71184406496034</v>
      </c>
      <c r="F4" s="38" t="n">
        <f aca="false">(((((((7_DCF!B$4*(2_Assumptions!$B$8-2_Assumptions!$B$9/2_Assumptions!$B$7+2_Assumptions!$B$25))-7_DCF!B$4*2_Assumptions!$B$25)*(1-2_Assumptions!$B$26)+7_DCF!B$4*2_Assumptions!$B$25-7_DCF!B$4*7_DCF!B$32-(7_DCF!B$4-2_Assumptions!$B$24)*7_DCF!B$33)/(1+$A4)^1+(((7_DCF!C$4*(2_Assumptions!$B$8-2_Assumptions!$B$9/2_Assumptions!$B$7+2_Assumptions!$B$25))-7_DCF!C$4*2_Assumptions!$B$25)*(1-2_Assumptions!$B$26)+7_DCF!C$4*2_Assumptions!$B$25-7_DCF!C$4*7_DCF!C$32-(7_DCF!C$4-7_DCF!B$4)*7_DCF!C$33)/(1+$A4)^2+(((7_DCF!D$4*(2_Assumptions!$B$8-2_Assumptions!$B$9/2_Assumptions!$B$7+2_Assumptions!$B$25))-7_DCF!D$4*2_Assumptions!$B$25)*(1-2_Assumptions!$B$26)+7_DCF!D$4*2_Assumptions!$B$25-7_DCF!D$4*7_DCF!D$32-(7_DCF!D$4-7_DCF!C$4)*7_DCF!D$33)/(1+$A4)^3+(((7_DCF!E$4*(2_Assumptions!$B$8-2_Assumptions!$B$9/2_Assumptions!$B$7+2_Assumptions!$B$25))-7_DCF!E$4*2_Assumptions!$B$25)*(1-2_Assumptions!$B$26)+7_DCF!E$4*2_Assumptions!$B$25-7_DCF!E$4*7_DCF!E$32-(7_DCF!E$4-7_DCF!D$4)*7_DCF!E$33)/(1+$A4)^4+(((7_DCF!F$4*(2_Assumptions!$B$8-2_Assumptions!$B$9/2_Assumptions!$B$7+2_Assumptions!$B$25))-7_DCF!F$4*2_Assumptions!$B$25)*(1-2_Assumptions!$B$26)+7_DCF!F$4*2_Assumptions!$B$25-7_DCF!F$4*7_DCF!F$32-(7_DCF!F$4-7_DCF!E$4)*7_DCF!F$33)/(1+$A4)^5+(((7_DCF!F$4*(2_Assumptions!$B$8-2_Assumptions!$B$9/2_Assumptions!$B$7+2_Assumptions!$B$25))-7_DCF!F$4*2_Assumptions!$B$25)*(1-2_Assumptions!$B$26)+7_DCF!F$4*2_Assumptions!$B$25-7_DCF!F$4*7_DCF!F$32-(7_DCF!F$4-7_DCF!E$4)*7_DCF!F$33)*(1+F$3)/(($A4)-(F$3))/(1+$A4)^5))-2_Assumptions!$B$37)*(1-(1-2_Assumptions!$B$15*2_Assumptions!$B$5/2_Assumptions!$B$14)/(1-0.59))+2_Assumptions!$B$16*(1-2_Assumptions!$B$28)+2_Assumptions!$B$18)*(1-2_Assumptions!$B$29)/2_Assumptions!$B$5</f>
        <v>2.89010368830793</v>
      </c>
    </row>
    <row r="5" customFormat="false" ht="15" hidden="false" customHeight="false" outlineLevel="0" collapsed="false">
      <c r="A5" s="31" t="n">
        <v>0.082</v>
      </c>
      <c r="B5" s="38" t="n">
        <f aca="false">(((((((7_DCF!B$4*(2_Assumptions!$B$8-2_Assumptions!$B$9/2_Assumptions!$B$7+2_Assumptions!$B$25))-7_DCF!B$4*2_Assumptions!$B$25)*(1-2_Assumptions!$B$26)+7_DCF!B$4*2_Assumptions!$B$25-7_DCF!B$4*7_DCF!B$32-(7_DCF!B$4-2_Assumptions!$B$24)*7_DCF!B$33)/(1+$A5)^1+(((7_DCF!C$4*(2_Assumptions!$B$8-2_Assumptions!$B$9/2_Assumptions!$B$7+2_Assumptions!$B$25))-7_DCF!C$4*2_Assumptions!$B$25)*(1-2_Assumptions!$B$26)+7_DCF!C$4*2_Assumptions!$B$25-7_DCF!C$4*7_DCF!C$32-(7_DCF!C$4-7_DCF!B$4)*7_DCF!C$33)/(1+$A5)^2+(((7_DCF!D$4*(2_Assumptions!$B$8-2_Assumptions!$B$9/2_Assumptions!$B$7+2_Assumptions!$B$25))-7_DCF!D$4*2_Assumptions!$B$25)*(1-2_Assumptions!$B$26)+7_DCF!D$4*2_Assumptions!$B$25-7_DCF!D$4*7_DCF!D$32-(7_DCF!D$4-7_DCF!C$4)*7_DCF!D$33)/(1+$A5)^3+(((7_DCF!E$4*(2_Assumptions!$B$8-2_Assumptions!$B$9/2_Assumptions!$B$7+2_Assumptions!$B$25))-7_DCF!E$4*2_Assumptions!$B$25)*(1-2_Assumptions!$B$26)+7_DCF!E$4*2_Assumptions!$B$25-7_DCF!E$4*7_DCF!E$32-(7_DCF!E$4-7_DCF!D$4)*7_DCF!E$33)/(1+$A5)^4+(((7_DCF!F$4*(2_Assumptions!$B$8-2_Assumptions!$B$9/2_Assumptions!$B$7+2_Assumptions!$B$25))-7_DCF!F$4*2_Assumptions!$B$25)*(1-2_Assumptions!$B$26)+7_DCF!F$4*2_Assumptions!$B$25-7_DCF!F$4*7_DCF!F$32-(7_DCF!F$4-7_DCF!E$4)*7_DCF!F$33)/(1+$A5)^5+(((7_DCF!F$4*(2_Assumptions!$B$8-2_Assumptions!$B$9/2_Assumptions!$B$7+2_Assumptions!$B$25))-7_DCF!F$4*2_Assumptions!$B$25)*(1-2_Assumptions!$B$26)+7_DCF!F$4*2_Assumptions!$B$25-7_DCF!F$4*7_DCF!F$32-(7_DCF!F$4-7_DCF!E$4)*7_DCF!F$33)*(1+B$3)/(($A5)-(B$3))/(1+$A5)^5))-2_Assumptions!$B$37)*(1-(1-2_Assumptions!$B$15*2_Assumptions!$B$5/2_Assumptions!$B$14)/(1-0.59))+2_Assumptions!$B$16*(1-2_Assumptions!$B$28)+2_Assumptions!$B$18)*(1-2_Assumptions!$B$29)/2_Assumptions!$B$5</f>
        <v>2.28104118606028</v>
      </c>
      <c r="C5" s="38" t="n">
        <f aca="false">(((((((7_DCF!B$4*(2_Assumptions!$B$8-2_Assumptions!$B$9/2_Assumptions!$B$7+2_Assumptions!$B$25))-7_DCF!B$4*2_Assumptions!$B$25)*(1-2_Assumptions!$B$26)+7_DCF!B$4*2_Assumptions!$B$25-7_DCF!B$4*7_DCF!B$32-(7_DCF!B$4-2_Assumptions!$B$24)*7_DCF!B$33)/(1+$A5)^1+(((7_DCF!C$4*(2_Assumptions!$B$8-2_Assumptions!$B$9/2_Assumptions!$B$7+2_Assumptions!$B$25))-7_DCF!C$4*2_Assumptions!$B$25)*(1-2_Assumptions!$B$26)+7_DCF!C$4*2_Assumptions!$B$25-7_DCF!C$4*7_DCF!C$32-(7_DCF!C$4-7_DCF!B$4)*7_DCF!C$33)/(1+$A5)^2+(((7_DCF!D$4*(2_Assumptions!$B$8-2_Assumptions!$B$9/2_Assumptions!$B$7+2_Assumptions!$B$25))-7_DCF!D$4*2_Assumptions!$B$25)*(1-2_Assumptions!$B$26)+7_DCF!D$4*2_Assumptions!$B$25-7_DCF!D$4*7_DCF!D$32-(7_DCF!D$4-7_DCF!C$4)*7_DCF!D$33)/(1+$A5)^3+(((7_DCF!E$4*(2_Assumptions!$B$8-2_Assumptions!$B$9/2_Assumptions!$B$7+2_Assumptions!$B$25))-7_DCF!E$4*2_Assumptions!$B$25)*(1-2_Assumptions!$B$26)+7_DCF!E$4*2_Assumptions!$B$25-7_DCF!E$4*7_DCF!E$32-(7_DCF!E$4-7_DCF!D$4)*7_DCF!E$33)/(1+$A5)^4+(((7_DCF!F$4*(2_Assumptions!$B$8-2_Assumptions!$B$9/2_Assumptions!$B$7+2_Assumptions!$B$25))-7_DCF!F$4*2_Assumptions!$B$25)*(1-2_Assumptions!$B$26)+7_DCF!F$4*2_Assumptions!$B$25-7_DCF!F$4*7_DCF!F$32-(7_DCF!F$4-7_DCF!E$4)*7_DCF!F$33)/(1+$A5)^5+(((7_DCF!F$4*(2_Assumptions!$B$8-2_Assumptions!$B$9/2_Assumptions!$B$7+2_Assumptions!$B$25))-7_DCF!F$4*2_Assumptions!$B$25)*(1-2_Assumptions!$B$26)+7_DCF!F$4*2_Assumptions!$B$25-7_DCF!F$4*7_DCF!F$32-(7_DCF!F$4-7_DCF!E$4)*7_DCF!F$33)*(1+C$3)/(($A5)-(C$3))/(1+$A5)^5))-2_Assumptions!$B$37)*(1-(1-2_Assumptions!$B$15*2_Assumptions!$B$5/2_Assumptions!$B$14)/(1-0.59))+2_Assumptions!$B$16*(1-2_Assumptions!$B$28)+2_Assumptions!$B$18)*(1-2_Assumptions!$B$29)/2_Assumptions!$B$5</f>
        <v>2.36225024762389</v>
      </c>
      <c r="D5" s="38" t="n">
        <f aca="false">(((((((7_DCF!B$4*(2_Assumptions!$B$8-2_Assumptions!$B$9/2_Assumptions!$B$7+2_Assumptions!$B$25))-7_DCF!B$4*2_Assumptions!$B$25)*(1-2_Assumptions!$B$26)+7_DCF!B$4*2_Assumptions!$B$25-7_DCF!B$4*7_DCF!B$32-(7_DCF!B$4-2_Assumptions!$B$24)*7_DCF!B$33)/(1+$A5)^1+(((7_DCF!C$4*(2_Assumptions!$B$8-2_Assumptions!$B$9/2_Assumptions!$B$7+2_Assumptions!$B$25))-7_DCF!C$4*2_Assumptions!$B$25)*(1-2_Assumptions!$B$26)+7_DCF!C$4*2_Assumptions!$B$25-7_DCF!C$4*7_DCF!C$32-(7_DCF!C$4-7_DCF!B$4)*7_DCF!C$33)/(1+$A5)^2+(((7_DCF!D$4*(2_Assumptions!$B$8-2_Assumptions!$B$9/2_Assumptions!$B$7+2_Assumptions!$B$25))-7_DCF!D$4*2_Assumptions!$B$25)*(1-2_Assumptions!$B$26)+7_DCF!D$4*2_Assumptions!$B$25-7_DCF!D$4*7_DCF!D$32-(7_DCF!D$4-7_DCF!C$4)*7_DCF!D$33)/(1+$A5)^3+(((7_DCF!E$4*(2_Assumptions!$B$8-2_Assumptions!$B$9/2_Assumptions!$B$7+2_Assumptions!$B$25))-7_DCF!E$4*2_Assumptions!$B$25)*(1-2_Assumptions!$B$26)+7_DCF!E$4*2_Assumptions!$B$25-7_DCF!E$4*7_DCF!E$32-(7_DCF!E$4-7_DCF!D$4)*7_DCF!E$33)/(1+$A5)^4+(((7_DCF!F$4*(2_Assumptions!$B$8-2_Assumptions!$B$9/2_Assumptions!$B$7+2_Assumptions!$B$25))-7_DCF!F$4*2_Assumptions!$B$25)*(1-2_Assumptions!$B$26)+7_DCF!F$4*2_Assumptions!$B$25-7_DCF!F$4*7_DCF!F$32-(7_DCF!F$4-7_DCF!E$4)*7_DCF!F$33)/(1+$A5)^5+(((7_DCF!F$4*(2_Assumptions!$B$8-2_Assumptions!$B$9/2_Assumptions!$B$7+2_Assumptions!$B$25))-7_DCF!F$4*2_Assumptions!$B$25)*(1-2_Assumptions!$B$26)+7_DCF!F$4*2_Assumptions!$B$25-7_DCF!F$4*7_DCF!F$32-(7_DCF!F$4-7_DCF!E$4)*7_DCF!F$33)*(1+D$3)/(($A5)-(D$3))/(1+$A5)^5))-2_Assumptions!$B$37)*(1-(1-2_Assumptions!$B$15*2_Assumptions!$B$5/2_Assumptions!$B$14)/(1-0.59))+2_Assumptions!$B$16*(1-2_Assumptions!$B$28)+2_Assumptions!$B$18)*(1-2_Assumptions!$B$29)/2_Assumptions!$B$5</f>
        <v>2.45907643641127</v>
      </c>
      <c r="E5" s="38" t="n">
        <f aca="false">(((((((7_DCF!B$4*(2_Assumptions!$B$8-2_Assumptions!$B$9/2_Assumptions!$B$7+2_Assumptions!$B$25))-7_DCF!B$4*2_Assumptions!$B$25)*(1-2_Assumptions!$B$26)+7_DCF!B$4*2_Assumptions!$B$25-7_DCF!B$4*7_DCF!B$32-(7_DCF!B$4-2_Assumptions!$B$24)*7_DCF!B$33)/(1+$A5)^1+(((7_DCF!C$4*(2_Assumptions!$B$8-2_Assumptions!$B$9/2_Assumptions!$B$7+2_Assumptions!$B$25))-7_DCF!C$4*2_Assumptions!$B$25)*(1-2_Assumptions!$B$26)+7_DCF!C$4*2_Assumptions!$B$25-7_DCF!C$4*7_DCF!C$32-(7_DCF!C$4-7_DCF!B$4)*7_DCF!C$33)/(1+$A5)^2+(((7_DCF!D$4*(2_Assumptions!$B$8-2_Assumptions!$B$9/2_Assumptions!$B$7+2_Assumptions!$B$25))-7_DCF!D$4*2_Assumptions!$B$25)*(1-2_Assumptions!$B$26)+7_DCF!D$4*2_Assumptions!$B$25-7_DCF!D$4*7_DCF!D$32-(7_DCF!D$4-7_DCF!C$4)*7_DCF!D$33)/(1+$A5)^3+(((7_DCF!E$4*(2_Assumptions!$B$8-2_Assumptions!$B$9/2_Assumptions!$B$7+2_Assumptions!$B$25))-7_DCF!E$4*2_Assumptions!$B$25)*(1-2_Assumptions!$B$26)+7_DCF!E$4*2_Assumptions!$B$25-7_DCF!E$4*7_DCF!E$32-(7_DCF!E$4-7_DCF!D$4)*7_DCF!E$33)/(1+$A5)^4+(((7_DCF!F$4*(2_Assumptions!$B$8-2_Assumptions!$B$9/2_Assumptions!$B$7+2_Assumptions!$B$25))-7_DCF!F$4*2_Assumptions!$B$25)*(1-2_Assumptions!$B$26)+7_DCF!F$4*2_Assumptions!$B$25-7_DCF!F$4*7_DCF!F$32-(7_DCF!F$4-7_DCF!E$4)*7_DCF!F$33)/(1+$A5)^5+(((7_DCF!F$4*(2_Assumptions!$B$8-2_Assumptions!$B$9/2_Assumptions!$B$7+2_Assumptions!$B$25))-7_DCF!F$4*2_Assumptions!$B$25)*(1-2_Assumptions!$B$26)+7_DCF!F$4*2_Assumptions!$B$25-7_DCF!F$4*7_DCF!F$32-(7_DCF!F$4-7_DCF!E$4)*7_DCF!F$33)*(1+E$3)/(($A5)-(E$3))/(1+$A5)^5))-2_Assumptions!$B$37)*(1-(1-2_Assumptions!$B$15*2_Assumptions!$B$5/2_Assumptions!$B$14)/(1-0.59))+2_Assumptions!$B$16*(1-2_Assumptions!$B$28)+2_Assumptions!$B$18)*(1-2_Assumptions!$B$29)/2_Assumptions!$B$5</f>
        <v>2.57650394196192</v>
      </c>
      <c r="F5" s="38" t="n">
        <f aca="false">(((((((7_DCF!B$4*(2_Assumptions!$B$8-2_Assumptions!$B$9/2_Assumptions!$B$7+2_Assumptions!$B$25))-7_DCF!B$4*2_Assumptions!$B$25)*(1-2_Assumptions!$B$26)+7_DCF!B$4*2_Assumptions!$B$25-7_DCF!B$4*7_DCF!B$32-(7_DCF!B$4-2_Assumptions!$B$24)*7_DCF!B$33)/(1+$A5)^1+(((7_DCF!C$4*(2_Assumptions!$B$8-2_Assumptions!$B$9/2_Assumptions!$B$7+2_Assumptions!$B$25))-7_DCF!C$4*2_Assumptions!$B$25)*(1-2_Assumptions!$B$26)+7_DCF!C$4*2_Assumptions!$B$25-7_DCF!C$4*7_DCF!C$32-(7_DCF!C$4-7_DCF!B$4)*7_DCF!C$33)/(1+$A5)^2+(((7_DCF!D$4*(2_Assumptions!$B$8-2_Assumptions!$B$9/2_Assumptions!$B$7+2_Assumptions!$B$25))-7_DCF!D$4*2_Assumptions!$B$25)*(1-2_Assumptions!$B$26)+7_DCF!D$4*2_Assumptions!$B$25-7_DCF!D$4*7_DCF!D$32-(7_DCF!D$4-7_DCF!C$4)*7_DCF!D$33)/(1+$A5)^3+(((7_DCF!E$4*(2_Assumptions!$B$8-2_Assumptions!$B$9/2_Assumptions!$B$7+2_Assumptions!$B$25))-7_DCF!E$4*2_Assumptions!$B$25)*(1-2_Assumptions!$B$26)+7_DCF!E$4*2_Assumptions!$B$25-7_DCF!E$4*7_DCF!E$32-(7_DCF!E$4-7_DCF!D$4)*7_DCF!E$33)/(1+$A5)^4+(((7_DCF!F$4*(2_Assumptions!$B$8-2_Assumptions!$B$9/2_Assumptions!$B$7+2_Assumptions!$B$25))-7_DCF!F$4*2_Assumptions!$B$25)*(1-2_Assumptions!$B$26)+7_DCF!F$4*2_Assumptions!$B$25-7_DCF!F$4*7_DCF!F$32-(7_DCF!F$4-7_DCF!E$4)*7_DCF!F$33)/(1+$A5)^5+(((7_DCF!F$4*(2_Assumptions!$B$8-2_Assumptions!$B$9/2_Assumptions!$B$7+2_Assumptions!$B$25))-7_DCF!F$4*2_Assumptions!$B$25)*(1-2_Assumptions!$B$26)+7_DCF!F$4*2_Assumptions!$B$25-7_DCF!F$4*7_DCF!F$32-(7_DCF!F$4-7_DCF!E$4)*7_DCF!F$33)*(1+F$3)/(($A5)-(F$3))/(1+$A5)^5))-2_Assumptions!$B$37)*(1-(1-2_Assumptions!$B$15*2_Assumptions!$B$5/2_Assumptions!$B$14)/(1-0.59))+2_Assumptions!$B$16*(1-2_Assumptions!$B$28)+2_Assumptions!$B$18)*(1-2_Assumptions!$B$29)/2_Assumptions!$B$5</f>
        <v>2.72189037740558</v>
      </c>
    </row>
    <row r="6" customFormat="false" ht="15" hidden="false" customHeight="false" outlineLevel="0" collapsed="false">
      <c r="A6" s="39" t="n">
        <v>0.0846619801090159</v>
      </c>
      <c r="B6" s="38" t="n">
        <f aca="false">(((((((7_DCF!B$4*(2_Assumptions!$B$8-2_Assumptions!$B$9/2_Assumptions!$B$7+2_Assumptions!$B$25))-7_DCF!B$4*2_Assumptions!$B$25)*(1-2_Assumptions!$B$26)+7_DCF!B$4*2_Assumptions!$B$25-7_DCF!B$4*7_DCF!B$32-(7_DCF!B$4-2_Assumptions!$B$24)*7_DCF!B$33)/(1+$A6)^1+(((7_DCF!C$4*(2_Assumptions!$B$8-2_Assumptions!$B$9/2_Assumptions!$B$7+2_Assumptions!$B$25))-7_DCF!C$4*2_Assumptions!$B$25)*(1-2_Assumptions!$B$26)+7_DCF!C$4*2_Assumptions!$B$25-7_DCF!C$4*7_DCF!C$32-(7_DCF!C$4-7_DCF!B$4)*7_DCF!C$33)/(1+$A6)^2+(((7_DCF!D$4*(2_Assumptions!$B$8-2_Assumptions!$B$9/2_Assumptions!$B$7+2_Assumptions!$B$25))-7_DCF!D$4*2_Assumptions!$B$25)*(1-2_Assumptions!$B$26)+7_DCF!D$4*2_Assumptions!$B$25-7_DCF!D$4*7_DCF!D$32-(7_DCF!D$4-7_DCF!C$4)*7_DCF!D$33)/(1+$A6)^3+(((7_DCF!E$4*(2_Assumptions!$B$8-2_Assumptions!$B$9/2_Assumptions!$B$7+2_Assumptions!$B$25))-7_DCF!E$4*2_Assumptions!$B$25)*(1-2_Assumptions!$B$26)+7_DCF!E$4*2_Assumptions!$B$25-7_DCF!E$4*7_DCF!E$32-(7_DCF!E$4-7_DCF!D$4)*7_DCF!E$33)/(1+$A6)^4+(((7_DCF!F$4*(2_Assumptions!$B$8-2_Assumptions!$B$9/2_Assumptions!$B$7+2_Assumptions!$B$25))-7_DCF!F$4*2_Assumptions!$B$25)*(1-2_Assumptions!$B$26)+7_DCF!F$4*2_Assumptions!$B$25-7_DCF!F$4*7_DCF!F$32-(7_DCF!F$4-7_DCF!E$4)*7_DCF!F$33)/(1+$A6)^5+(((7_DCF!F$4*(2_Assumptions!$B$8-2_Assumptions!$B$9/2_Assumptions!$B$7+2_Assumptions!$B$25))-7_DCF!F$4*2_Assumptions!$B$25)*(1-2_Assumptions!$B$26)+7_DCF!F$4*2_Assumptions!$B$25-7_DCF!F$4*7_DCF!F$32-(7_DCF!F$4-7_DCF!E$4)*7_DCF!F$33)*(1+B$3)/(($A6)-(B$3))/(1+$A6)^5))-2_Assumptions!$B$37)*(1-(1-2_Assumptions!$B$15*2_Assumptions!$B$5/2_Assumptions!$B$14)/(1-0.59))+2_Assumptions!$B$16*(1-2_Assumptions!$B$28)+2_Assumptions!$B$18)*(1-2_Assumptions!$B$29)/2_Assumptions!$B$5</f>
        <v>2.23305530279915</v>
      </c>
      <c r="C6" s="38" t="n">
        <f aca="false">(((((((7_DCF!B$4*(2_Assumptions!$B$8-2_Assumptions!$B$9/2_Assumptions!$B$7+2_Assumptions!$B$25))-7_DCF!B$4*2_Assumptions!$B$25)*(1-2_Assumptions!$B$26)+7_DCF!B$4*2_Assumptions!$B$25-7_DCF!B$4*7_DCF!B$32-(7_DCF!B$4-2_Assumptions!$B$24)*7_DCF!B$33)/(1+$A6)^1+(((7_DCF!C$4*(2_Assumptions!$B$8-2_Assumptions!$B$9/2_Assumptions!$B$7+2_Assumptions!$B$25))-7_DCF!C$4*2_Assumptions!$B$25)*(1-2_Assumptions!$B$26)+7_DCF!C$4*2_Assumptions!$B$25-7_DCF!C$4*7_DCF!C$32-(7_DCF!C$4-7_DCF!B$4)*7_DCF!C$33)/(1+$A6)^2+(((7_DCF!D$4*(2_Assumptions!$B$8-2_Assumptions!$B$9/2_Assumptions!$B$7+2_Assumptions!$B$25))-7_DCF!D$4*2_Assumptions!$B$25)*(1-2_Assumptions!$B$26)+7_DCF!D$4*2_Assumptions!$B$25-7_DCF!D$4*7_DCF!D$32-(7_DCF!D$4-7_DCF!C$4)*7_DCF!D$33)/(1+$A6)^3+(((7_DCF!E$4*(2_Assumptions!$B$8-2_Assumptions!$B$9/2_Assumptions!$B$7+2_Assumptions!$B$25))-7_DCF!E$4*2_Assumptions!$B$25)*(1-2_Assumptions!$B$26)+7_DCF!E$4*2_Assumptions!$B$25-7_DCF!E$4*7_DCF!E$32-(7_DCF!E$4-7_DCF!D$4)*7_DCF!E$33)/(1+$A6)^4+(((7_DCF!F$4*(2_Assumptions!$B$8-2_Assumptions!$B$9/2_Assumptions!$B$7+2_Assumptions!$B$25))-7_DCF!F$4*2_Assumptions!$B$25)*(1-2_Assumptions!$B$26)+7_DCF!F$4*2_Assumptions!$B$25-7_DCF!F$4*7_DCF!F$32-(7_DCF!F$4-7_DCF!E$4)*7_DCF!F$33)/(1+$A6)^5+(((7_DCF!F$4*(2_Assumptions!$B$8-2_Assumptions!$B$9/2_Assumptions!$B$7+2_Assumptions!$B$25))-7_DCF!F$4*2_Assumptions!$B$25)*(1-2_Assumptions!$B$26)+7_DCF!F$4*2_Assumptions!$B$25-7_DCF!F$4*7_DCF!F$32-(7_DCF!F$4-7_DCF!E$4)*7_DCF!F$33)*(1+C$3)/(($A6)-(C$3))/(1+$A6)^5))-2_Assumptions!$B$37)*(1-(1-2_Assumptions!$B$15*2_Assumptions!$B$5/2_Assumptions!$B$14)/(1-0.59))+2_Assumptions!$B$16*(1-2_Assumptions!$B$28)+2_Assumptions!$B$18)*(1-2_Assumptions!$B$29)/2_Assumptions!$B$5</f>
        <v>2.30671937917673</v>
      </c>
      <c r="D6" s="40" t="n">
        <f aca="false">(((((((7_DCF!B$4*(2_Assumptions!$B$8-2_Assumptions!$B$9/2_Assumptions!$B$7+2_Assumptions!$B$25))-7_DCF!B$4*2_Assumptions!$B$25)*(1-2_Assumptions!$B$26)+7_DCF!B$4*2_Assumptions!$B$25-7_DCF!B$4*7_DCF!B$32-(7_DCF!B$4-2_Assumptions!$B$24)*7_DCF!B$33)/(1+$A6)^1+(((7_DCF!C$4*(2_Assumptions!$B$8-2_Assumptions!$B$9/2_Assumptions!$B$7+2_Assumptions!$B$25))-7_DCF!C$4*2_Assumptions!$B$25)*(1-2_Assumptions!$B$26)+7_DCF!C$4*2_Assumptions!$B$25-7_DCF!C$4*7_DCF!C$32-(7_DCF!C$4-7_DCF!B$4)*7_DCF!C$33)/(1+$A6)^2+(((7_DCF!D$4*(2_Assumptions!$B$8-2_Assumptions!$B$9/2_Assumptions!$B$7+2_Assumptions!$B$25))-7_DCF!D$4*2_Assumptions!$B$25)*(1-2_Assumptions!$B$26)+7_DCF!D$4*2_Assumptions!$B$25-7_DCF!D$4*7_DCF!D$32-(7_DCF!D$4-7_DCF!C$4)*7_DCF!D$33)/(1+$A6)^3+(((7_DCF!E$4*(2_Assumptions!$B$8-2_Assumptions!$B$9/2_Assumptions!$B$7+2_Assumptions!$B$25))-7_DCF!E$4*2_Assumptions!$B$25)*(1-2_Assumptions!$B$26)+7_DCF!E$4*2_Assumptions!$B$25-7_DCF!E$4*7_DCF!E$32-(7_DCF!E$4-7_DCF!D$4)*7_DCF!E$33)/(1+$A6)^4+(((7_DCF!F$4*(2_Assumptions!$B$8-2_Assumptions!$B$9/2_Assumptions!$B$7+2_Assumptions!$B$25))-7_DCF!F$4*2_Assumptions!$B$25)*(1-2_Assumptions!$B$26)+7_DCF!F$4*2_Assumptions!$B$25-7_DCF!F$4*7_DCF!F$32-(7_DCF!F$4-7_DCF!E$4)*7_DCF!F$33)/(1+$A6)^5+(((7_DCF!F$4*(2_Assumptions!$B$8-2_Assumptions!$B$9/2_Assumptions!$B$7+2_Assumptions!$B$25))-7_DCF!F$4*2_Assumptions!$B$25)*(1-2_Assumptions!$B$26)+7_DCF!F$4*2_Assumptions!$B$25-7_DCF!F$4*7_DCF!F$32-(7_DCF!F$4-7_DCF!E$4)*7_DCF!F$33)*(1+D$3)/(($A6)-(D$3))/(1+$A6)^5))-2_Assumptions!$B$37)*(1-(1-2_Assumptions!$B$15*2_Assumptions!$B$5/2_Assumptions!$B$14)/(1-0.59))+2_Assumptions!$B$16*(1-2_Assumptions!$B$28)+2_Assumptions!$B$18)*(1-2_Assumptions!$B$29)/2_Assumptions!$B$5</f>
        <v>2.39385974679563</v>
      </c>
      <c r="E6" s="38" t="n">
        <f aca="false">(((((((7_DCF!B$4*(2_Assumptions!$B$8-2_Assumptions!$B$9/2_Assumptions!$B$7+2_Assumptions!$B$25))-7_DCF!B$4*2_Assumptions!$B$25)*(1-2_Assumptions!$B$26)+7_DCF!B$4*2_Assumptions!$B$25-7_DCF!B$4*7_DCF!B$32-(7_DCF!B$4-2_Assumptions!$B$24)*7_DCF!B$33)/(1+$A6)^1+(((7_DCF!C$4*(2_Assumptions!$B$8-2_Assumptions!$B$9/2_Assumptions!$B$7+2_Assumptions!$B$25))-7_DCF!C$4*2_Assumptions!$B$25)*(1-2_Assumptions!$B$26)+7_DCF!C$4*2_Assumptions!$B$25-7_DCF!C$4*7_DCF!C$32-(7_DCF!C$4-7_DCF!B$4)*7_DCF!C$33)/(1+$A6)^2+(((7_DCF!D$4*(2_Assumptions!$B$8-2_Assumptions!$B$9/2_Assumptions!$B$7+2_Assumptions!$B$25))-7_DCF!D$4*2_Assumptions!$B$25)*(1-2_Assumptions!$B$26)+7_DCF!D$4*2_Assumptions!$B$25-7_DCF!D$4*7_DCF!D$32-(7_DCF!D$4-7_DCF!C$4)*7_DCF!D$33)/(1+$A6)^3+(((7_DCF!E$4*(2_Assumptions!$B$8-2_Assumptions!$B$9/2_Assumptions!$B$7+2_Assumptions!$B$25))-7_DCF!E$4*2_Assumptions!$B$25)*(1-2_Assumptions!$B$26)+7_DCF!E$4*2_Assumptions!$B$25-7_DCF!E$4*7_DCF!E$32-(7_DCF!E$4-7_DCF!D$4)*7_DCF!E$33)/(1+$A6)^4+(((7_DCF!F$4*(2_Assumptions!$B$8-2_Assumptions!$B$9/2_Assumptions!$B$7+2_Assumptions!$B$25))-7_DCF!F$4*2_Assumptions!$B$25)*(1-2_Assumptions!$B$26)+7_DCF!F$4*2_Assumptions!$B$25-7_DCF!F$4*7_DCF!F$32-(7_DCF!F$4-7_DCF!E$4)*7_DCF!F$33)/(1+$A6)^5+(((7_DCF!F$4*(2_Assumptions!$B$8-2_Assumptions!$B$9/2_Assumptions!$B$7+2_Assumptions!$B$25))-7_DCF!F$4*2_Assumptions!$B$25)*(1-2_Assumptions!$B$26)+7_DCF!F$4*2_Assumptions!$B$25-7_DCF!F$4*7_DCF!F$32-(7_DCF!F$4-7_DCF!E$4)*7_DCF!F$33)*(1+E$3)/(($A6)-(E$3))/(1+$A6)^5))-2_Assumptions!$B$37)*(1-(1-2_Assumptions!$B$15*2_Assumptions!$B$5/2_Assumptions!$B$14)/(1-0.59))+2_Assumptions!$B$16*(1-2_Assumptions!$B$28)+2_Assumptions!$B$18)*(1-2_Assumptions!$B$29)/2_Assumptions!$B$5</f>
        <v>2.49854681058483</v>
      </c>
      <c r="F6" s="38" t="n">
        <f aca="false">(((((((7_DCF!B$4*(2_Assumptions!$B$8-2_Assumptions!$B$9/2_Assumptions!$B$7+2_Assumptions!$B$25))-7_DCF!B$4*2_Assumptions!$B$25)*(1-2_Assumptions!$B$26)+7_DCF!B$4*2_Assumptions!$B$25-7_DCF!B$4*7_DCF!B$32-(7_DCF!B$4-2_Assumptions!$B$24)*7_DCF!B$33)/(1+$A6)^1+(((7_DCF!C$4*(2_Assumptions!$B$8-2_Assumptions!$B$9/2_Assumptions!$B$7+2_Assumptions!$B$25))-7_DCF!C$4*2_Assumptions!$B$25)*(1-2_Assumptions!$B$26)+7_DCF!C$4*2_Assumptions!$B$25-7_DCF!C$4*7_DCF!C$32-(7_DCF!C$4-7_DCF!B$4)*7_DCF!C$33)/(1+$A6)^2+(((7_DCF!D$4*(2_Assumptions!$B$8-2_Assumptions!$B$9/2_Assumptions!$B$7+2_Assumptions!$B$25))-7_DCF!D$4*2_Assumptions!$B$25)*(1-2_Assumptions!$B$26)+7_DCF!D$4*2_Assumptions!$B$25-7_DCF!D$4*7_DCF!D$32-(7_DCF!D$4-7_DCF!C$4)*7_DCF!D$33)/(1+$A6)^3+(((7_DCF!E$4*(2_Assumptions!$B$8-2_Assumptions!$B$9/2_Assumptions!$B$7+2_Assumptions!$B$25))-7_DCF!E$4*2_Assumptions!$B$25)*(1-2_Assumptions!$B$26)+7_DCF!E$4*2_Assumptions!$B$25-7_DCF!E$4*7_DCF!E$32-(7_DCF!E$4-7_DCF!D$4)*7_DCF!E$33)/(1+$A6)^4+(((7_DCF!F$4*(2_Assumptions!$B$8-2_Assumptions!$B$9/2_Assumptions!$B$7+2_Assumptions!$B$25))-7_DCF!F$4*2_Assumptions!$B$25)*(1-2_Assumptions!$B$26)+7_DCF!F$4*2_Assumptions!$B$25-7_DCF!F$4*7_DCF!F$32-(7_DCF!F$4-7_DCF!E$4)*7_DCF!F$33)/(1+$A6)^5+(((7_DCF!F$4*(2_Assumptions!$B$8-2_Assumptions!$B$9/2_Assumptions!$B$7+2_Assumptions!$B$25))-7_DCF!F$4*2_Assumptions!$B$25)*(1-2_Assumptions!$B$26)+7_DCF!F$4*2_Assumptions!$B$25-7_DCF!F$4*7_DCF!F$32-(7_DCF!F$4-7_DCF!E$4)*7_DCF!F$33)*(1+F$3)/(($A6)-(F$3))/(1+$A6)^5))-2_Assumptions!$B$37)*(1-(1-2_Assumptions!$B$15*2_Assumptions!$B$5/2_Assumptions!$B$14)/(1-0.59))+2_Assumptions!$B$16*(1-2_Assumptions!$B$28)+2_Assumptions!$B$18)*(1-2_Assumptions!$B$29)/2_Assumptions!$B$5</f>
        <v>2.62667373609394</v>
      </c>
    </row>
    <row r="7" customFormat="false" ht="15" hidden="false" customHeight="false" outlineLevel="0" collapsed="false">
      <c r="A7" s="31" t="n">
        <v>0.09</v>
      </c>
      <c r="B7" s="38" t="n">
        <f aca="false">(((((((7_DCF!B$4*(2_Assumptions!$B$8-2_Assumptions!$B$9/2_Assumptions!$B$7+2_Assumptions!$B$25))-7_DCF!B$4*2_Assumptions!$B$25)*(1-2_Assumptions!$B$26)+7_DCF!B$4*2_Assumptions!$B$25-7_DCF!B$4*7_DCF!B$32-(7_DCF!B$4-2_Assumptions!$B$24)*7_DCF!B$33)/(1+$A7)^1+(((7_DCF!C$4*(2_Assumptions!$B$8-2_Assumptions!$B$9/2_Assumptions!$B$7+2_Assumptions!$B$25))-7_DCF!C$4*2_Assumptions!$B$25)*(1-2_Assumptions!$B$26)+7_DCF!C$4*2_Assumptions!$B$25-7_DCF!C$4*7_DCF!C$32-(7_DCF!C$4-7_DCF!B$4)*7_DCF!C$33)/(1+$A7)^2+(((7_DCF!D$4*(2_Assumptions!$B$8-2_Assumptions!$B$9/2_Assumptions!$B$7+2_Assumptions!$B$25))-7_DCF!D$4*2_Assumptions!$B$25)*(1-2_Assumptions!$B$26)+7_DCF!D$4*2_Assumptions!$B$25-7_DCF!D$4*7_DCF!D$32-(7_DCF!D$4-7_DCF!C$4)*7_DCF!D$33)/(1+$A7)^3+(((7_DCF!E$4*(2_Assumptions!$B$8-2_Assumptions!$B$9/2_Assumptions!$B$7+2_Assumptions!$B$25))-7_DCF!E$4*2_Assumptions!$B$25)*(1-2_Assumptions!$B$26)+7_DCF!E$4*2_Assumptions!$B$25-7_DCF!E$4*7_DCF!E$32-(7_DCF!E$4-7_DCF!D$4)*7_DCF!E$33)/(1+$A7)^4+(((7_DCF!F$4*(2_Assumptions!$B$8-2_Assumptions!$B$9/2_Assumptions!$B$7+2_Assumptions!$B$25))-7_DCF!F$4*2_Assumptions!$B$25)*(1-2_Assumptions!$B$26)+7_DCF!F$4*2_Assumptions!$B$25-7_DCF!F$4*7_DCF!F$32-(7_DCF!F$4-7_DCF!E$4)*7_DCF!F$33)/(1+$A7)^5+(((7_DCF!F$4*(2_Assumptions!$B$8-2_Assumptions!$B$9/2_Assumptions!$B$7+2_Assumptions!$B$25))-7_DCF!F$4*2_Assumptions!$B$25)*(1-2_Assumptions!$B$26)+7_DCF!F$4*2_Assumptions!$B$25-7_DCF!F$4*7_DCF!F$32-(7_DCF!F$4-7_DCF!E$4)*7_DCF!F$33)*(1+B$3)/(($A7)-(B$3))/(1+$A7)^5))-2_Assumptions!$B$37)*(1-(1-2_Assumptions!$B$15*2_Assumptions!$B$5/2_Assumptions!$B$14)/(1-0.59))+2_Assumptions!$B$16*(1-2_Assumptions!$B$28)+2_Assumptions!$B$18)*(1-2_Assumptions!$B$29)/2_Assumptions!$B$5</f>
        <v>2.14788303880088</v>
      </c>
      <c r="C7" s="38" t="n">
        <f aca="false">(((((((7_DCF!B$4*(2_Assumptions!$B$8-2_Assumptions!$B$9/2_Assumptions!$B$7+2_Assumptions!$B$25))-7_DCF!B$4*2_Assumptions!$B$25)*(1-2_Assumptions!$B$26)+7_DCF!B$4*2_Assumptions!$B$25-7_DCF!B$4*7_DCF!B$32-(7_DCF!B$4-2_Assumptions!$B$24)*7_DCF!B$33)/(1+$A7)^1+(((7_DCF!C$4*(2_Assumptions!$B$8-2_Assumptions!$B$9/2_Assumptions!$B$7+2_Assumptions!$B$25))-7_DCF!C$4*2_Assumptions!$B$25)*(1-2_Assumptions!$B$26)+7_DCF!C$4*2_Assumptions!$B$25-7_DCF!C$4*7_DCF!C$32-(7_DCF!C$4-7_DCF!B$4)*7_DCF!C$33)/(1+$A7)^2+(((7_DCF!D$4*(2_Assumptions!$B$8-2_Assumptions!$B$9/2_Assumptions!$B$7+2_Assumptions!$B$25))-7_DCF!D$4*2_Assumptions!$B$25)*(1-2_Assumptions!$B$26)+7_DCF!D$4*2_Assumptions!$B$25-7_DCF!D$4*7_DCF!D$32-(7_DCF!D$4-7_DCF!C$4)*7_DCF!D$33)/(1+$A7)^3+(((7_DCF!E$4*(2_Assumptions!$B$8-2_Assumptions!$B$9/2_Assumptions!$B$7+2_Assumptions!$B$25))-7_DCF!E$4*2_Assumptions!$B$25)*(1-2_Assumptions!$B$26)+7_DCF!E$4*2_Assumptions!$B$25-7_DCF!E$4*7_DCF!E$32-(7_DCF!E$4-7_DCF!D$4)*7_DCF!E$33)/(1+$A7)^4+(((7_DCF!F$4*(2_Assumptions!$B$8-2_Assumptions!$B$9/2_Assumptions!$B$7+2_Assumptions!$B$25))-7_DCF!F$4*2_Assumptions!$B$25)*(1-2_Assumptions!$B$26)+7_DCF!F$4*2_Assumptions!$B$25-7_DCF!F$4*7_DCF!F$32-(7_DCF!F$4-7_DCF!E$4)*7_DCF!F$33)/(1+$A7)^5+(((7_DCF!F$4*(2_Assumptions!$B$8-2_Assumptions!$B$9/2_Assumptions!$B$7+2_Assumptions!$B$25))-7_DCF!F$4*2_Assumptions!$B$25)*(1-2_Assumptions!$B$26)+7_DCF!F$4*2_Assumptions!$B$25-7_DCF!F$4*7_DCF!F$32-(7_DCF!F$4-7_DCF!E$4)*7_DCF!F$33)*(1+C$3)/(($A7)-(C$3))/(1+$A7)^5))-2_Assumptions!$B$37)*(1-(1-2_Assumptions!$B$15*2_Assumptions!$B$5/2_Assumptions!$B$14)/(1-0.59))+2_Assumptions!$B$16*(1-2_Assumptions!$B$28)+2_Assumptions!$B$18)*(1-2_Assumptions!$B$29)/2_Assumptions!$B$5</f>
        <v>2.20912691807542</v>
      </c>
      <c r="D7" s="38" t="n">
        <f aca="false">(((((((7_DCF!B$4*(2_Assumptions!$B$8-2_Assumptions!$B$9/2_Assumptions!$B$7+2_Assumptions!$B$25))-7_DCF!B$4*2_Assumptions!$B$25)*(1-2_Assumptions!$B$26)+7_DCF!B$4*2_Assumptions!$B$25-7_DCF!B$4*7_DCF!B$32-(7_DCF!B$4-2_Assumptions!$B$24)*7_DCF!B$33)/(1+$A7)^1+(((7_DCF!C$4*(2_Assumptions!$B$8-2_Assumptions!$B$9/2_Assumptions!$B$7+2_Assumptions!$B$25))-7_DCF!C$4*2_Assumptions!$B$25)*(1-2_Assumptions!$B$26)+7_DCF!C$4*2_Assumptions!$B$25-7_DCF!C$4*7_DCF!C$32-(7_DCF!C$4-7_DCF!B$4)*7_DCF!C$33)/(1+$A7)^2+(((7_DCF!D$4*(2_Assumptions!$B$8-2_Assumptions!$B$9/2_Assumptions!$B$7+2_Assumptions!$B$25))-7_DCF!D$4*2_Assumptions!$B$25)*(1-2_Assumptions!$B$26)+7_DCF!D$4*2_Assumptions!$B$25-7_DCF!D$4*7_DCF!D$32-(7_DCF!D$4-7_DCF!C$4)*7_DCF!D$33)/(1+$A7)^3+(((7_DCF!E$4*(2_Assumptions!$B$8-2_Assumptions!$B$9/2_Assumptions!$B$7+2_Assumptions!$B$25))-7_DCF!E$4*2_Assumptions!$B$25)*(1-2_Assumptions!$B$26)+7_DCF!E$4*2_Assumptions!$B$25-7_DCF!E$4*7_DCF!E$32-(7_DCF!E$4-7_DCF!D$4)*7_DCF!E$33)/(1+$A7)^4+(((7_DCF!F$4*(2_Assumptions!$B$8-2_Assumptions!$B$9/2_Assumptions!$B$7+2_Assumptions!$B$25))-7_DCF!F$4*2_Assumptions!$B$25)*(1-2_Assumptions!$B$26)+7_DCF!F$4*2_Assumptions!$B$25-7_DCF!F$4*7_DCF!F$32-(7_DCF!F$4-7_DCF!E$4)*7_DCF!F$33)/(1+$A7)^5+(((7_DCF!F$4*(2_Assumptions!$B$8-2_Assumptions!$B$9/2_Assumptions!$B$7+2_Assumptions!$B$25))-7_DCF!F$4*2_Assumptions!$B$25)*(1-2_Assumptions!$B$26)+7_DCF!F$4*2_Assumptions!$B$25-7_DCF!F$4*7_DCF!F$32-(7_DCF!F$4-7_DCF!E$4)*7_DCF!F$33)*(1+D$3)/(($A7)-(D$3))/(1+$A7)^5))-2_Assumptions!$B$37)*(1-(1-2_Assumptions!$B$15*2_Assumptions!$B$5/2_Assumptions!$B$14)/(1-0.59))+2_Assumptions!$B$16*(1-2_Assumptions!$B$28)+2_Assumptions!$B$18)*(1-2_Assumptions!$B$29)/2_Assumptions!$B$5</f>
        <v>2.28057811056238</v>
      </c>
      <c r="E7" s="38" t="n">
        <f aca="false">(((((((7_DCF!B$4*(2_Assumptions!$B$8-2_Assumptions!$B$9/2_Assumptions!$B$7+2_Assumptions!$B$25))-7_DCF!B$4*2_Assumptions!$B$25)*(1-2_Assumptions!$B$26)+7_DCF!B$4*2_Assumptions!$B$25-7_DCF!B$4*7_DCF!B$32-(7_DCF!B$4-2_Assumptions!$B$24)*7_DCF!B$33)/(1+$A7)^1+(((7_DCF!C$4*(2_Assumptions!$B$8-2_Assumptions!$B$9/2_Assumptions!$B$7+2_Assumptions!$B$25))-7_DCF!C$4*2_Assumptions!$B$25)*(1-2_Assumptions!$B$26)+7_DCF!C$4*2_Assumptions!$B$25-7_DCF!C$4*7_DCF!C$32-(7_DCF!C$4-7_DCF!B$4)*7_DCF!C$33)/(1+$A7)^2+(((7_DCF!D$4*(2_Assumptions!$B$8-2_Assumptions!$B$9/2_Assumptions!$B$7+2_Assumptions!$B$25))-7_DCF!D$4*2_Assumptions!$B$25)*(1-2_Assumptions!$B$26)+7_DCF!D$4*2_Assumptions!$B$25-7_DCF!D$4*7_DCF!D$32-(7_DCF!D$4-7_DCF!C$4)*7_DCF!D$33)/(1+$A7)^3+(((7_DCF!E$4*(2_Assumptions!$B$8-2_Assumptions!$B$9/2_Assumptions!$B$7+2_Assumptions!$B$25))-7_DCF!E$4*2_Assumptions!$B$25)*(1-2_Assumptions!$B$26)+7_DCF!E$4*2_Assumptions!$B$25-7_DCF!E$4*7_DCF!E$32-(7_DCF!E$4-7_DCF!D$4)*7_DCF!E$33)/(1+$A7)^4+(((7_DCF!F$4*(2_Assumptions!$B$8-2_Assumptions!$B$9/2_Assumptions!$B$7+2_Assumptions!$B$25))-7_DCF!F$4*2_Assumptions!$B$25)*(1-2_Assumptions!$B$26)+7_DCF!F$4*2_Assumptions!$B$25-7_DCF!F$4*7_DCF!F$32-(7_DCF!F$4-7_DCF!E$4)*7_DCF!F$33)/(1+$A7)^5+(((7_DCF!F$4*(2_Assumptions!$B$8-2_Assumptions!$B$9/2_Assumptions!$B$7+2_Assumptions!$B$25))-7_DCF!F$4*2_Assumptions!$B$25)*(1-2_Assumptions!$B$26)+7_DCF!F$4*2_Assumptions!$B$25-7_DCF!F$4*7_DCF!F$32-(7_DCF!F$4-7_DCF!E$4)*7_DCF!F$33)*(1+E$3)/(($A7)-(E$3))/(1+$A7)^5))-2_Assumptions!$B$37)*(1-(1-2_Assumptions!$B$15*2_Assumptions!$B$5/2_Assumptions!$B$14)/(1-0.59))+2_Assumptions!$B$16*(1-2_Assumptions!$B$28)+2_Assumptions!$B$18)*(1-2_Assumptions!$B$29)/2_Assumptions!$B$5</f>
        <v>2.36502042895606</v>
      </c>
      <c r="F7" s="38" t="n">
        <f aca="false">(((((((7_DCF!B$4*(2_Assumptions!$B$8-2_Assumptions!$B$9/2_Assumptions!$B$7+2_Assumptions!$B$25))-7_DCF!B$4*2_Assumptions!$B$25)*(1-2_Assumptions!$B$26)+7_DCF!B$4*2_Assumptions!$B$25-7_DCF!B$4*7_DCF!B$32-(7_DCF!B$4-2_Assumptions!$B$24)*7_DCF!B$33)/(1+$A7)^1+(((7_DCF!C$4*(2_Assumptions!$B$8-2_Assumptions!$B$9/2_Assumptions!$B$7+2_Assumptions!$B$25))-7_DCF!C$4*2_Assumptions!$B$25)*(1-2_Assumptions!$B$26)+7_DCF!C$4*2_Assumptions!$B$25-7_DCF!C$4*7_DCF!C$32-(7_DCF!C$4-7_DCF!B$4)*7_DCF!C$33)/(1+$A7)^2+(((7_DCF!D$4*(2_Assumptions!$B$8-2_Assumptions!$B$9/2_Assumptions!$B$7+2_Assumptions!$B$25))-7_DCF!D$4*2_Assumptions!$B$25)*(1-2_Assumptions!$B$26)+7_DCF!D$4*2_Assumptions!$B$25-7_DCF!D$4*7_DCF!D$32-(7_DCF!D$4-7_DCF!C$4)*7_DCF!D$33)/(1+$A7)^3+(((7_DCF!E$4*(2_Assumptions!$B$8-2_Assumptions!$B$9/2_Assumptions!$B$7+2_Assumptions!$B$25))-7_DCF!E$4*2_Assumptions!$B$25)*(1-2_Assumptions!$B$26)+7_DCF!E$4*2_Assumptions!$B$25-7_DCF!E$4*7_DCF!E$32-(7_DCF!E$4-7_DCF!D$4)*7_DCF!E$33)/(1+$A7)^4+(((7_DCF!F$4*(2_Assumptions!$B$8-2_Assumptions!$B$9/2_Assumptions!$B$7+2_Assumptions!$B$25))-7_DCF!F$4*2_Assumptions!$B$25)*(1-2_Assumptions!$B$26)+7_DCF!F$4*2_Assumptions!$B$25-7_DCF!F$4*7_DCF!F$32-(7_DCF!F$4-7_DCF!E$4)*7_DCF!F$33)/(1+$A7)^5+(((7_DCF!F$4*(2_Assumptions!$B$8-2_Assumptions!$B$9/2_Assumptions!$B$7+2_Assumptions!$B$25))-7_DCF!F$4*2_Assumptions!$B$25)*(1-2_Assumptions!$B$26)+7_DCF!F$4*2_Assumptions!$B$25-7_DCF!F$4*7_DCF!F$32-(7_DCF!F$4-7_DCF!E$4)*7_DCF!F$33)*(1+F$3)/(($A7)-(F$3))/(1+$A7)^5))-2_Assumptions!$B$37)*(1-(1-2_Assumptions!$B$15*2_Assumptions!$B$5/2_Assumptions!$B$14)/(1-0.59))+2_Assumptions!$B$16*(1-2_Assumptions!$B$28)+2_Assumptions!$B$18)*(1-2_Assumptions!$B$29)/2_Assumptions!$B$5</f>
        <v>2.46635121102847</v>
      </c>
    </row>
    <row r="8" customFormat="false" ht="15" hidden="false" customHeight="false" outlineLevel="0" collapsed="false">
      <c r="A8" s="31" t="n">
        <v>0.095</v>
      </c>
      <c r="B8" s="38" t="n">
        <f aca="false">(((((((7_DCF!B$4*(2_Assumptions!$B$8-2_Assumptions!$B$9/2_Assumptions!$B$7+2_Assumptions!$B$25))-7_DCF!B$4*2_Assumptions!$B$25)*(1-2_Assumptions!$B$26)+7_DCF!B$4*2_Assumptions!$B$25-7_DCF!B$4*7_DCF!B$32-(7_DCF!B$4-2_Assumptions!$B$24)*7_DCF!B$33)/(1+$A8)^1+(((7_DCF!C$4*(2_Assumptions!$B$8-2_Assumptions!$B$9/2_Assumptions!$B$7+2_Assumptions!$B$25))-7_DCF!C$4*2_Assumptions!$B$25)*(1-2_Assumptions!$B$26)+7_DCF!C$4*2_Assumptions!$B$25-7_DCF!C$4*7_DCF!C$32-(7_DCF!C$4-7_DCF!B$4)*7_DCF!C$33)/(1+$A8)^2+(((7_DCF!D$4*(2_Assumptions!$B$8-2_Assumptions!$B$9/2_Assumptions!$B$7+2_Assumptions!$B$25))-7_DCF!D$4*2_Assumptions!$B$25)*(1-2_Assumptions!$B$26)+7_DCF!D$4*2_Assumptions!$B$25-7_DCF!D$4*7_DCF!D$32-(7_DCF!D$4-7_DCF!C$4)*7_DCF!D$33)/(1+$A8)^3+(((7_DCF!E$4*(2_Assumptions!$B$8-2_Assumptions!$B$9/2_Assumptions!$B$7+2_Assumptions!$B$25))-7_DCF!E$4*2_Assumptions!$B$25)*(1-2_Assumptions!$B$26)+7_DCF!E$4*2_Assumptions!$B$25-7_DCF!E$4*7_DCF!E$32-(7_DCF!E$4-7_DCF!D$4)*7_DCF!E$33)/(1+$A8)^4+(((7_DCF!F$4*(2_Assumptions!$B$8-2_Assumptions!$B$9/2_Assumptions!$B$7+2_Assumptions!$B$25))-7_DCF!F$4*2_Assumptions!$B$25)*(1-2_Assumptions!$B$26)+7_DCF!F$4*2_Assumptions!$B$25-7_DCF!F$4*7_DCF!F$32-(7_DCF!F$4-7_DCF!E$4)*7_DCF!F$33)/(1+$A8)^5+(((7_DCF!F$4*(2_Assumptions!$B$8-2_Assumptions!$B$9/2_Assumptions!$B$7+2_Assumptions!$B$25))-7_DCF!F$4*2_Assumptions!$B$25)*(1-2_Assumptions!$B$26)+7_DCF!F$4*2_Assumptions!$B$25-7_DCF!F$4*7_DCF!F$32-(7_DCF!F$4-7_DCF!E$4)*7_DCF!F$33)*(1+B$3)/(($A8)-(B$3))/(1+$A8)^5))-2_Assumptions!$B$37)*(1-(1-2_Assumptions!$B$15*2_Assumptions!$B$5/2_Assumptions!$B$14)/(1-0.59))+2_Assumptions!$B$16*(1-2_Assumptions!$B$28)+2_Assumptions!$B$18)*(1-2_Assumptions!$B$29)/2_Assumptions!$B$5</f>
        <v>2.07916265111731</v>
      </c>
      <c r="C8" s="38" t="n">
        <f aca="false">(((((((7_DCF!B$4*(2_Assumptions!$B$8-2_Assumptions!$B$9/2_Assumptions!$B$7+2_Assumptions!$B$25))-7_DCF!B$4*2_Assumptions!$B$25)*(1-2_Assumptions!$B$26)+7_DCF!B$4*2_Assumptions!$B$25-7_DCF!B$4*7_DCF!B$32-(7_DCF!B$4-2_Assumptions!$B$24)*7_DCF!B$33)/(1+$A8)^1+(((7_DCF!C$4*(2_Assumptions!$B$8-2_Assumptions!$B$9/2_Assumptions!$B$7+2_Assumptions!$B$25))-7_DCF!C$4*2_Assumptions!$B$25)*(1-2_Assumptions!$B$26)+7_DCF!C$4*2_Assumptions!$B$25-7_DCF!C$4*7_DCF!C$32-(7_DCF!C$4-7_DCF!B$4)*7_DCF!C$33)/(1+$A8)^2+(((7_DCF!D$4*(2_Assumptions!$B$8-2_Assumptions!$B$9/2_Assumptions!$B$7+2_Assumptions!$B$25))-7_DCF!D$4*2_Assumptions!$B$25)*(1-2_Assumptions!$B$26)+7_DCF!D$4*2_Assumptions!$B$25-7_DCF!D$4*7_DCF!D$32-(7_DCF!D$4-7_DCF!C$4)*7_DCF!D$33)/(1+$A8)^3+(((7_DCF!E$4*(2_Assumptions!$B$8-2_Assumptions!$B$9/2_Assumptions!$B$7+2_Assumptions!$B$25))-7_DCF!E$4*2_Assumptions!$B$25)*(1-2_Assumptions!$B$26)+7_DCF!E$4*2_Assumptions!$B$25-7_DCF!E$4*7_DCF!E$32-(7_DCF!E$4-7_DCF!D$4)*7_DCF!E$33)/(1+$A8)^4+(((7_DCF!F$4*(2_Assumptions!$B$8-2_Assumptions!$B$9/2_Assumptions!$B$7+2_Assumptions!$B$25))-7_DCF!F$4*2_Assumptions!$B$25)*(1-2_Assumptions!$B$26)+7_DCF!F$4*2_Assumptions!$B$25-7_DCF!F$4*7_DCF!F$32-(7_DCF!F$4-7_DCF!E$4)*7_DCF!F$33)/(1+$A8)^5+(((7_DCF!F$4*(2_Assumptions!$B$8-2_Assumptions!$B$9/2_Assumptions!$B$7+2_Assumptions!$B$25))-7_DCF!F$4*2_Assumptions!$B$25)*(1-2_Assumptions!$B$26)+7_DCF!F$4*2_Assumptions!$B$25-7_DCF!F$4*7_DCF!F$32-(7_DCF!F$4-7_DCF!E$4)*7_DCF!F$33)*(1+C$3)/(($A8)-(C$3))/(1+$A8)^5))-2_Assumptions!$B$37)*(1-(1-2_Assumptions!$B$15*2_Assumptions!$B$5/2_Assumptions!$B$14)/(1-0.59))+2_Assumptions!$B$16*(1-2_Assumptions!$B$28)+2_Assumptions!$B$18)*(1-2_Assumptions!$B$29)/2_Assumptions!$B$5</f>
        <v>2.13127783806865</v>
      </c>
      <c r="D8" s="38" t="n">
        <f aca="false">(((((((7_DCF!B$4*(2_Assumptions!$B$8-2_Assumptions!$B$9/2_Assumptions!$B$7+2_Assumptions!$B$25))-7_DCF!B$4*2_Assumptions!$B$25)*(1-2_Assumptions!$B$26)+7_DCF!B$4*2_Assumptions!$B$25-7_DCF!B$4*7_DCF!B$32-(7_DCF!B$4-2_Assumptions!$B$24)*7_DCF!B$33)/(1+$A8)^1+(((7_DCF!C$4*(2_Assumptions!$B$8-2_Assumptions!$B$9/2_Assumptions!$B$7+2_Assumptions!$B$25))-7_DCF!C$4*2_Assumptions!$B$25)*(1-2_Assumptions!$B$26)+7_DCF!C$4*2_Assumptions!$B$25-7_DCF!C$4*7_DCF!C$32-(7_DCF!C$4-7_DCF!B$4)*7_DCF!C$33)/(1+$A8)^2+(((7_DCF!D$4*(2_Assumptions!$B$8-2_Assumptions!$B$9/2_Assumptions!$B$7+2_Assumptions!$B$25))-7_DCF!D$4*2_Assumptions!$B$25)*(1-2_Assumptions!$B$26)+7_DCF!D$4*2_Assumptions!$B$25-7_DCF!D$4*7_DCF!D$32-(7_DCF!D$4-7_DCF!C$4)*7_DCF!D$33)/(1+$A8)^3+(((7_DCF!E$4*(2_Assumptions!$B$8-2_Assumptions!$B$9/2_Assumptions!$B$7+2_Assumptions!$B$25))-7_DCF!E$4*2_Assumptions!$B$25)*(1-2_Assumptions!$B$26)+7_DCF!E$4*2_Assumptions!$B$25-7_DCF!E$4*7_DCF!E$32-(7_DCF!E$4-7_DCF!D$4)*7_DCF!E$33)/(1+$A8)^4+(((7_DCF!F$4*(2_Assumptions!$B$8-2_Assumptions!$B$9/2_Assumptions!$B$7+2_Assumptions!$B$25))-7_DCF!F$4*2_Assumptions!$B$25)*(1-2_Assumptions!$B$26)+7_DCF!F$4*2_Assumptions!$B$25-7_DCF!F$4*7_DCF!F$32-(7_DCF!F$4-7_DCF!E$4)*7_DCF!F$33)/(1+$A8)^5+(((7_DCF!F$4*(2_Assumptions!$B$8-2_Assumptions!$B$9/2_Assumptions!$B$7+2_Assumptions!$B$25))-7_DCF!F$4*2_Assumptions!$B$25)*(1-2_Assumptions!$B$26)+7_DCF!F$4*2_Assumptions!$B$25-7_DCF!F$4*7_DCF!F$32-(7_DCF!F$4-7_DCF!E$4)*7_DCF!F$33)*(1+D$3)/(($A8)-(D$3))/(1+$A8)^5))-2_Assumptions!$B$37)*(1-(1-2_Assumptions!$B$15*2_Assumptions!$B$5/2_Assumptions!$B$14)/(1-0.59))+2_Assumptions!$B$16*(1-2_Assumptions!$B$28)+2_Assumptions!$B$18)*(1-2_Assumptions!$B$29)/2_Assumptions!$B$5</f>
        <v>2.19141074608943</v>
      </c>
      <c r="E8" s="38" t="n">
        <f aca="false">(((((((7_DCF!B$4*(2_Assumptions!$B$8-2_Assumptions!$B$9/2_Assumptions!$B$7+2_Assumptions!$B$25))-7_DCF!B$4*2_Assumptions!$B$25)*(1-2_Assumptions!$B$26)+7_DCF!B$4*2_Assumptions!$B$25-7_DCF!B$4*7_DCF!B$32-(7_DCF!B$4-2_Assumptions!$B$24)*7_DCF!B$33)/(1+$A8)^1+(((7_DCF!C$4*(2_Assumptions!$B$8-2_Assumptions!$B$9/2_Assumptions!$B$7+2_Assumptions!$B$25))-7_DCF!C$4*2_Assumptions!$B$25)*(1-2_Assumptions!$B$26)+7_DCF!C$4*2_Assumptions!$B$25-7_DCF!C$4*7_DCF!C$32-(7_DCF!C$4-7_DCF!B$4)*7_DCF!C$33)/(1+$A8)^2+(((7_DCF!D$4*(2_Assumptions!$B$8-2_Assumptions!$B$9/2_Assumptions!$B$7+2_Assumptions!$B$25))-7_DCF!D$4*2_Assumptions!$B$25)*(1-2_Assumptions!$B$26)+7_DCF!D$4*2_Assumptions!$B$25-7_DCF!D$4*7_DCF!D$32-(7_DCF!D$4-7_DCF!C$4)*7_DCF!D$33)/(1+$A8)^3+(((7_DCF!E$4*(2_Assumptions!$B$8-2_Assumptions!$B$9/2_Assumptions!$B$7+2_Assumptions!$B$25))-7_DCF!E$4*2_Assumptions!$B$25)*(1-2_Assumptions!$B$26)+7_DCF!E$4*2_Assumptions!$B$25-7_DCF!E$4*7_DCF!E$32-(7_DCF!E$4-7_DCF!D$4)*7_DCF!E$33)/(1+$A8)^4+(((7_DCF!F$4*(2_Assumptions!$B$8-2_Assumptions!$B$9/2_Assumptions!$B$7+2_Assumptions!$B$25))-7_DCF!F$4*2_Assumptions!$B$25)*(1-2_Assumptions!$B$26)+7_DCF!F$4*2_Assumptions!$B$25-7_DCF!F$4*7_DCF!F$32-(7_DCF!F$4-7_DCF!E$4)*7_DCF!F$33)/(1+$A8)^5+(((7_DCF!F$4*(2_Assumptions!$B$8-2_Assumptions!$B$9/2_Assumptions!$B$7+2_Assumptions!$B$25))-7_DCF!F$4*2_Assumptions!$B$25)*(1-2_Assumptions!$B$26)+7_DCF!F$4*2_Assumptions!$B$25-7_DCF!F$4*7_DCF!F$32-(7_DCF!F$4-7_DCF!E$4)*7_DCF!F$33)*(1+E$3)/(($A8)-(E$3))/(1+$A8)^5))-2_Assumptions!$B$37)*(1-(1-2_Assumptions!$B$15*2_Assumptions!$B$5/2_Assumptions!$B$14)/(1-0.59))+2_Assumptions!$B$16*(1-2_Assumptions!$B$28)+2_Assumptions!$B$18)*(1-2_Assumptions!$B$29)/2_Assumptions!$B$5</f>
        <v>2.261565805447</v>
      </c>
      <c r="F8" s="38" t="n">
        <f aca="false">(((((((7_DCF!B$4*(2_Assumptions!$B$8-2_Assumptions!$B$9/2_Assumptions!$B$7+2_Assumptions!$B$25))-7_DCF!B$4*2_Assumptions!$B$25)*(1-2_Assumptions!$B$26)+7_DCF!B$4*2_Assumptions!$B$25-7_DCF!B$4*7_DCF!B$32-(7_DCF!B$4-2_Assumptions!$B$24)*7_DCF!B$33)/(1+$A8)^1+(((7_DCF!C$4*(2_Assumptions!$B$8-2_Assumptions!$B$9/2_Assumptions!$B$7+2_Assumptions!$B$25))-7_DCF!C$4*2_Assumptions!$B$25)*(1-2_Assumptions!$B$26)+7_DCF!C$4*2_Assumptions!$B$25-7_DCF!C$4*7_DCF!C$32-(7_DCF!C$4-7_DCF!B$4)*7_DCF!C$33)/(1+$A8)^2+(((7_DCF!D$4*(2_Assumptions!$B$8-2_Assumptions!$B$9/2_Assumptions!$B$7+2_Assumptions!$B$25))-7_DCF!D$4*2_Assumptions!$B$25)*(1-2_Assumptions!$B$26)+7_DCF!D$4*2_Assumptions!$B$25-7_DCF!D$4*7_DCF!D$32-(7_DCF!D$4-7_DCF!C$4)*7_DCF!D$33)/(1+$A8)^3+(((7_DCF!E$4*(2_Assumptions!$B$8-2_Assumptions!$B$9/2_Assumptions!$B$7+2_Assumptions!$B$25))-7_DCF!E$4*2_Assumptions!$B$25)*(1-2_Assumptions!$B$26)+7_DCF!E$4*2_Assumptions!$B$25-7_DCF!E$4*7_DCF!E$32-(7_DCF!E$4-7_DCF!D$4)*7_DCF!E$33)/(1+$A8)^4+(((7_DCF!F$4*(2_Assumptions!$B$8-2_Assumptions!$B$9/2_Assumptions!$B$7+2_Assumptions!$B$25))-7_DCF!F$4*2_Assumptions!$B$25)*(1-2_Assumptions!$B$26)+7_DCF!F$4*2_Assumptions!$B$25-7_DCF!F$4*7_DCF!F$32-(7_DCF!F$4-7_DCF!E$4)*7_DCF!F$33)/(1+$A8)^5+(((7_DCF!F$4*(2_Assumptions!$B$8-2_Assumptions!$B$9/2_Assumptions!$B$7+2_Assumptions!$B$25))-7_DCF!F$4*2_Assumptions!$B$25)*(1-2_Assumptions!$B$26)+7_DCF!F$4*2_Assumptions!$B$25-7_DCF!F$4*7_DCF!F$32-(7_DCF!F$4-7_DCF!E$4)*7_DCF!F$33)*(1+F$3)/(($A8)-(F$3))/(1+$A8)^5))-2_Assumptions!$B$37)*(1-(1-2_Assumptions!$B$15*2_Assumptions!$B$5/2_Assumptions!$B$14)/(1-0.59))+2_Assumptions!$B$16*(1-2_Assumptions!$B$28)+2_Assumptions!$B$18)*(1-2_Assumptions!$B$29)/2_Assumptions!$B$5</f>
        <v>2.34447633014232</v>
      </c>
    </row>
    <row r="10" customFormat="false" ht="15" hidden="false" customHeight="false" outlineLevel="0" collapsed="false">
      <c r="A10" s="23" t="s">
        <v>249</v>
      </c>
    </row>
    <row r="11" customFormat="false" ht="15" hidden="false" customHeight="false" outlineLevel="0" collapsed="false">
      <c r="A11" s="41" t="s">
        <v>250</v>
      </c>
      <c r="B11" s="37" t="n">
        <v>0.1</v>
      </c>
      <c r="C11" s="37" t="n">
        <v>0.12</v>
      </c>
      <c r="D11" s="37" t="n">
        <v>0.138181818181818</v>
      </c>
      <c r="E11" s="37" t="n">
        <v>0.16</v>
      </c>
      <c r="F11" s="37" t="n">
        <v>0.18</v>
      </c>
    </row>
    <row r="12" customFormat="false" ht="15" hidden="false" customHeight="false" outlineLevel="0" collapsed="false">
      <c r="A12" s="8" t="s">
        <v>251</v>
      </c>
      <c r="B12" s="38" t="n">
        <f aca="false">(((((((7_DCF!B$4*B$11)-7_DCF!B$4*2_Assumptions!$B$25)*(1-2_Assumptions!$B$26)+7_DCF!B$4*2_Assumptions!$B$25-7_DCF!B$4*7_DCF!B$32-(7_DCF!B$4-2_Assumptions!$B$24)*7_DCF!B$33)/(1+7_DCF!$B$19)^1+(((7_DCF!C$4*B$11)-7_DCF!C$4*2_Assumptions!$B$25)*(1-2_Assumptions!$B$26)+7_DCF!C$4*2_Assumptions!$B$25-7_DCF!C$4*7_DCF!C$32-(7_DCF!C$4-7_DCF!B$4)*7_DCF!C$33)/(1+7_DCF!$B$19)^2+(((7_DCF!D$4*B$11)-7_DCF!D$4*2_Assumptions!$B$25)*(1-2_Assumptions!$B$26)+7_DCF!D$4*2_Assumptions!$B$25-7_DCF!D$4*7_DCF!D$32-(7_DCF!D$4-7_DCF!C$4)*7_DCF!D$33)/(1+7_DCF!$B$19)^3+(((7_DCF!E$4*B$11)-7_DCF!E$4*2_Assumptions!$B$25)*(1-2_Assumptions!$B$26)+7_DCF!E$4*2_Assumptions!$B$25-7_DCF!E$4*7_DCF!E$32-(7_DCF!E$4-7_DCF!D$4)*7_DCF!E$33)/(1+7_DCF!$B$19)^4+(((7_DCF!F$4*B$11)-7_DCF!F$4*2_Assumptions!$B$25)*(1-2_Assumptions!$B$26)+7_DCF!F$4*2_Assumptions!$B$25-7_DCF!F$4*7_DCF!F$32-(7_DCF!F$4-7_DCF!E$4)*7_DCF!F$33)/(1+7_DCF!$B$19)^5+(((7_DCF!F$4*B$11)-7_DCF!F$4*2_Assumptions!$B$25)*(1-2_Assumptions!$B$26)+7_DCF!F$4*2_Assumptions!$B$25-7_DCF!F$4*7_DCF!F$32-(7_DCF!F$4-7_DCF!E$4)*7_DCF!F$33)*(1+2_Assumptions!$B$27)/((7_DCF!$B$19)-(2_Assumptions!$B$27))/(1+7_DCF!$B$19)^5))-2_Assumptions!$B$37)*(1-(1-2_Assumptions!$B$15*2_Assumptions!$B$5/2_Assumptions!$B$14)/(1-0.59))+2_Assumptions!$B$16*(1-2_Assumptions!$B$28)+2_Assumptions!$B$18)*(1-2_Assumptions!$B$29)/2_Assumptions!$B$5</f>
        <v>1.93983325339497</v>
      </c>
      <c r="C12" s="38" t="n">
        <f aca="false">(((((((7_DCF!B$4*C$11)-7_DCF!B$4*2_Assumptions!$B$25)*(1-2_Assumptions!$B$26)+7_DCF!B$4*2_Assumptions!$B$25-7_DCF!B$4*7_DCF!B$32-(7_DCF!B$4-2_Assumptions!$B$24)*7_DCF!B$33)/(1+7_DCF!$B$19)^1+(((7_DCF!C$4*C$11)-7_DCF!C$4*2_Assumptions!$B$25)*(1-2_Assumptions!$B$26)+7_DCF!C$4*2_Assumptions!$B$25-7_DCF!C$4*7_DCF!C$32-(7_DCF!C$4-7_DCF!B$4)*7_DCF!C$33)/(1+7_DCF!$B$19)^2+(((7_DCF!D$4*C$11)-7_DCF!D$4*2_Assumptions!$B$25)*(1-2_Assumptions!$B$26)+7_DCF!D$4*2_Assumptions!$B$25-7_DCF!D$4*7_DCF!D$32-(7_DCF!D$4-7_DCF!C$4)*7_DCF!D$33)/(1+7_DCF!$B$19)^3+(((7_DCF!E$4*C$11)-7_DCF!E$4*2_Assumptions!$B$25)*(1-2_Assumptions!$B$26)+7_DCF!E$4*2_Assumptions!$B$25-7_DCF!E$4*7_DCF!E$32-(7_DCF!E$4-7_DCF!D$4)*7_DCF!E$33)/(1+7_DCF!$B$19)^4+(((7_DCF!F$4*C$11)-7_DCF!F$4*2_Assumptions!$B$25)*(1-2_Assumptions!$B$26)+7_DCF!F$4*2_Assumptions!$B$25-7_DCF!F$4*7_DCF!F$32-(7_DCF!F$4-7_DCF!E$4)*7_DCF!F$33)/(1+7_DCF!$B$19)^5+(((7_DCF!F$4*C$11)-7_DCF!F$4*2_Assumptions!$B$25)*(1-2_Assumptions!$B$26)+7_DCF!F$4*2_Assumptions!$B$25-7_DCF!F$4*7_DCF!F$32-(7_DCF!F$4-7_DCF!E$4)*7_DCF!F$33)*(1+2_Assumptions!$B$27)/((7_DCF!$B$19)-(2_Assumptions!$B$27))/(1+7_DCF!$B$19)^5))-2_Assumptions!$B$37)*(1-(1-2_Assumptions!$B$15*2_Assumptions!$B$5/2_Assumptions!$B$14)/(1-0.59))+2_Assumptions!$B$16*(1-2_Assumptions!$B$28)+2_Assumptions!$B$18)*(1-2_Assumptions!$B$29)/2_Assumptions!$B$5</f>
        <v>2.17765665470007</v>
      </c>
      <c r="D12" s="40" t="n">
        <f aca="false">(((((((7_DCF!B$4*D$11)-7_DCF!B$4*2_Assumptions!$B$25)*(1-2_Assumptions!$B$26)+7_DCF!B$4*2_Assumptions!$B$25-7_DCF!B$4*7_DCF!B$32-(7_DCF!B$4-2_Assumptions!$B$24)*7_DCF!B$33)/(1+7_DCF!$B$19)^1+(((7_DCF!C$4*D$11)-7_DCF!C$4*2_Assumptions!$B$25)*(1-2_Assumptions!$B$26)+7_DCF!C$4*2_Assumptions!$B$25-7_DCF!C$4*7_DCF!C$32-(7_DCF!C$4-7_DCF!B$4)*7_DCF!C$33)/(1+7_DCF!$B$19)^2+(((7_DCF!D$4*D$11)-7_DCF!D$4*2_Assumptions!$B$25)*(1-2_Assumptions!$B$26)+7_DCF!D$4*2_Assumptions!$B$25-7_DCF!D$4*7_DCF!D$32-(7_DCF!D$4-7_DCF!C$4)*7_DCF!D$33)/(1+7_DCF!$B$19)^3+(((7_DCF!E$4*D$11)-7_DCF!E$4*2_Assumptions!$B$25)*(1-2_Assumptions!$B$26)+7_DCF!E$4*2_Assumptions!$B$25-7_DCF!E$4*7_DCF!E$32-(7_DCF!E$4-7_DCF!D$4)*7_DCF!E$33)/(1+7_DCF!$B$19)^4+(((7_DCF!F$4*D$11)-7_DCF!F$4*2_Assumptions!$B$25)*(1-2_Assumptions!$B$26)+7_DCF!F$4*2_Assumptions!$B$25-7_DCF!F$4*7_DCF!F$32-(7_DCF!F$4-7_DCF!E$4)*7_DCF!F$33)/(1+7_DCF!$B$19)^5+(((7_DCF!F$4*D$11)-7_DCF!F$4*2_Assumptions!$B$25)*(1-2_Assumptions!$B$26)+7_DCF!F$4*2_Assumptions!$B$25-7_DCF!F$4*7_DCF!F$32-(7_DCF!F$4-7_DCF!E$4)*7_DCF!F$33)*(1+2_Assumptions!$B$27)/((7_DCF!$B$19)-(2_Assumptions!$B$27))/(1+7_DCF!$B$19)^5))-2_Assumptions!$B$37)*(1-(1-2_Assumptions!$B$15*2_Assumptions!$B$5/2_Assumptions!$B$14)/(1-0.59))+2_Assumptions!$B$16*(1-2_Assumptions!$B$28)+2_Assumptions!$B$18)*(1-2_Assumptions!$B$29)/2_Assumptions!$B$5</f>
        <v>2.39385974679563</v>
      </c>
      <c r="E12" s="38" t="n">
        <f aca="false">(((((((7_DCF!B$4*E$11)-7_DCF!B$4*2_Assumptions!$B$25)*(1-2_Assumptions!$B$26)+7_DCF!B$4*2_Assumptions!$B$25-7_DCF!B$4*7_DCF!B$32-(7_DCF!B$4-2_Assumptions!$B$24)*7_DCF!B$33)/(1+7_DCF!$B$19)^1+(((7_DCF!C$4*E$11)-7_DCF!C$4*2_Assumptions!$B$25)*(1-2_Assumptions!$B$26)+7_DCF!C$4*2_Assumptions!$B$25-7_DCF!C$4*7_DCF!C$32-(7_DCF!C$4-7_DCF!B$4)*7_DCF!C$33)/(1+7_DCF!$B$19)^2+(((7_DCF!D$4*E$11)-7_DCF!D$4*2_Assumptions!$B$25)*(1-2_Assumptions!$B$26)+7_DCF!D$4*2_Assumptions!$B$25-7_DCF!D$4*7_DCF!D$32-(7_DCF!D$4-7_DCF!C$4)*7_DCF!D$33)/(1+7_DCF!$B$19)^3+(((7_DCF!E$4*E$11)-7_DCF!E$4*2_Assumptions!$B$25)*(1-2_Assumptions!$B$26)+7_DCF!E$4*2_Assumptions!$B$25-7_DCF!E$4*7_DCF!E$32-(7_DCF!E$4-7_DCF!D$4)*7_DCF!E$33)/(1+7_DCF!$B$19)^4+(((7_DCF!F$4*E$11)-7_DCF!F$4*2_Assumptions!$B$25)*(1-2_Assumptions!$B$26)+7_DCF!F$4*2_Assumptions!$B$25-7_DCF!F$4*7_DCF!F$32-(7_DCF!F$4-7_DCF!E$4)*7_DCF!F$33)/(1+7_DCF!$B$19)^5+(((7_DCF!F$4*E$11)-7_DCF!F$4*2_Assumptions!$B$25)*(1-2_Assumptions!$B$26)+7_DCF!F$4*2_Assumptions!$B$25-7_DCF!F$4*7_DCF!F$32-(7_DCF!F$4-7_DCF!E$4)*7_DCF!F$33)*(1+2_Assumptions!$B$27)/((7_DCF!$B$19)-(2_Assumptions!$B$27))/(1+7_DCF!$B$19)^5))-2_Assumptions!$B$37)*(1-(1-2_Assumptions!$B$15*2_Assumptions!$B$5/2_Assumptions!$B$14)/(1-0.59))+2_Assumptions!$B$16*(1-2_Assumptions!$B$28)+2_Assumptions!$B$18)*(1-2_Assumptions!$B$29)/2_Assumptions!$B$5</f>
        <v>2.65330345731029</v>
      </c>
      <c r="F12" s="38" t="n">
        <f aca="false">(((((((7_DCF!B$4*F$11)-7_DCF!B$4*2_Assumptions!$B$25)*(1-2_Assumptions!$B$26)+7_DCF!B$4*2_Assumptions!$B$25-7_DCF!B$4*7_DCF!B$32-(7_DCF!B$4-2_Assumptions!$B$24)*7_DCF!B$33)/(1+7_DCF!$B$19)^1+(((7_DCF!C$4*F$11)-7_DCF!C$4*2_Assumptions!$B$25)*(1-2_Assumptions!$B$26)+7_DCF!C$4*2_Assumptions!$B$25-7_DCF!C$4*7_DCF!C$32-(7_DCF!C$4-7_DCF!B$4)*7_DCF!C$33)/(1+7_DCF!$B$19)^2+(((7_DCF!D$4*F$11)-7_DCF!D$4*2_Assumptions!$B$25)*(1-2_Assumptions!$B$26)+7_DCF!D$4*2_Assumptions!$B$25-7_DCF!D$4*7_DCF!D$32-(7_DCF!D$4-7_DCF!C$4)*7_DCF!D$33)/(1+7_DCF!$B$19)^3+(((7_DCF!E$4*F$11)-7_DCF!E$4*2_Assumptions!$B$25)*(1-2_Assumptions!$B$26)+7_DCF!E$4*2_Assumptions!$B$25-7_DCF!E$4*7_DCF!E$32-(7_DCF!E$4-7_DCF!D$4)*7_DCF!E$33)/(1+7_DCF!$B$19)^4+(((7_DCF!F$4*F$11)-7_DCF!F$4*2_Assumptions!$B$25)*(1-2_Assumptions!$B$26)+7_DCF!F$4*2_Assumptions!$B$25-7_DCF!F$4*7_DCF!F$32-(7_DCF!F$4-7_DCF!E$4)*7_DCF!F$33)/(1+7_DCF!$B$19)^5+(((7_DCF!F$4*F$11)-7_DCF!F$4*2_Assumptions!$B$25)*(1-2_Assumptions!$B$26)+7_DCF!F$4*2_Assumptions!$B$25-7_DCF!F$4*7_DCF!F$32-(7_DCF!F$4-7_DCF!E$4)*7_DCF!F$33)*(1+2_Assumptions!$B$27)/((7_DCF!$B$19)-(2_Assumptions!$B$27))/(1+7_DCF!$B$19)^5))-2_Assumptions!$B$37)*(1-(1-2_Assumptions!$B$15*2_Assumptions!$B$5/2_Assumptions!$B$14)/(1-0.59))+2_Assumptions!$B$16*(1-2_Assumptions!$B$28)+2_Assumptions!$B$18)*(1-2_Assumptions!$B$29)/2_Assumptions!$B$5</f>
        <v>2.8911268586154</v>
      </c>
    </row>
    <row r="13" customFormat="false" ht="15" hidden="false" customHeight="true" outlineLevel="0" collapsed="false">
      <c r="A13" s="21" t="s">
        <v>252</v>
      </c>
      <c r="B13" s="21"/>
      <c r="C13" s="21"/>
      <c r="D13" s="21"/>
      <c r="E13" s="21"/>
      <c r="F13" s="21"/>
    </row>
    <row r="14" customFormat="false" ht="15" hidden="false" customHeight="false" outlineLevel="0" collapsed="false">
      <c r="A14" s="21"/>
      <c r="B14" s="21"/>
      <c r="C14" s="21"/>
      <c r="D14" s="21"/>
      <c r="E14" s="21"/>
      <c r="F14" s="21"/>
    </row>
    <row r="16" customFormat="false" ht="15" hidden="false" customHeight="false" outlineLevel="0" collapsed="false">
      <c r="A16" s="23" t="s">
        <v>253</v>
      </c>
    </row>
    <row r="17" customFormat="false" ht="15" hidden="false" customHeight="false" outlineLevel="0" collapsed="false">
      <c r="A17" s="41" t="s">
        <v>254</v>
      </c>
      <c r="B17" s="37" t="n">
        <v>0.025</v>
      </c>
      <c r="C17" s="37" t="n">
        <v>0.075</v>
      </c>
      <c r="D17" s="37" t="n">
        <v>0.125</v>
      </c>
    </row>
    <row r="18" customFormat="false" ht="15" hidden="false" customHeight="false" outlineLevel="0" collapsed="false">
      <c r="A18" s="42" t="n">
        <v>0.15</v>
      </c>
      <c r="B18" s="43" t="n">
        <f aca="false">(8_SOTP!$B$7+2_Assumptions!$B$16*(1-$A18)+2_Assumptions!$B$18)*(1-B$17)/2_Assumptions!$B$5</f>
        <v>2.22192392127551</v>
      </c>
      <c r="C18" s="43" t="n">
        <f aca="false">(8_SOTP!$B$7+2_Assumptions!$B$16*(1-$A18)+2_Assumptions!$B$18)*(1-C$17)/2_Assumptions!$B$5</f>
        <v>2.10797910479984</v>
      </c>
      <c r="D18" s="43" t="n">
        <f aca="false">(8_SOTP!$B$7+2_Assumptions!$B$16*(1-$A18)+2_Assumptions!$B$18)*(1-D$17)/2_Assumptions!$B$5</f>
        <v>1.99403428832417</v>
      </c>
    </row>
    <row r="19" customFormat="false" ht="15" hidden="false" customHeight="false" outlineLevel="0" collapsed="false">
      <c r="A19" s="44" t="n">
        <v>0.25</v>
      </c>
      <c r="B19" s="43" t="n">
        <f aca="false">(8_SOTP!$B$7+2_Assumptions!$B$16*(1-$A19)+2_Assumptions!$B$18)*(1-B$17)/2_Assumptions!$B$5</f>
        <v>2.05633787121128</v>
      </c>
      <c r="C19" s="34" t="n">
        <f aca="false">(8_SOTP!$B$7+2_Assumptions!$B$16*(1-$A19)+2_Assumptions!$B$18)*(1-C$17)/2_Assumptions!$B$5</f>
        <v>1.9508846470466</v>
      </c>
      <c r="D19" s="43" t="n">
        <f aca="false">(8_SOTP!$B$7+2_Assumptions!$B$16*(1-$A19)+2_Assumptions!$B$18)*(1-D$17)/2_Assumptions!$B$5</f>
        <v>1.84543142288192</v>
      </c>
    </row>
    <row r="20" customFormat="false" ht="15" hidden="false" customHeight="false" outlineLevel="0" collapsed="false">
      <c r="A20" s="42" t="n">
        <v>0.35</v>
      </c>
      <c r="B20" s="43" t="n">
        <f aca="false">(8_SOTP!$B$7+2_Assumptions!$B$16*(1-$A20)+2_Assumptions!$B$18)*(1-B$17)/2_Assumptions!$B$5</f>
        <v>1.89075182114705</v>
      </c>
      <c r="C20" s="43" t="n">
        <f aca="false">(8_SOTP!$B$7+2_Assumptions!$B$16*(1-$A20)+2_Assumptions!$B$18)*(1-C$17)/2_Assumptions!$B$5</f>
        <v>1.79379018929335</v>
      </c>
      <c r="D20" s="43" t="n">
        <f aca="false">(8_SOTP!$B$7+2_Assumptions!$B$16*(1-$A20)+2_Assumptions!$B$18)*(1-D$17)/2_Assumptions!$B$5</f>
        <v>1.69682855743966</v>
      </c>
    </row>
    <row r="22" customFormat="false" ht="15" hidden="false" customHeight="false" outlineLevel="0" collapsed="false">
      <c r="A22" s="23" t="s">
        <v>255</v>
      </c>
    </row>
    <row r="23" customFormat="false" ht="26.85" hidden="false" customHeight="false" outlineLevel="0" collapsed="false">
      <c r="A23" s="7" t="s">
        <v>256</v>
      </c>
      <c r="B23" s="7" t="s">
        <v>257</v>
      </c>
      <c r="C23" s="7" t="s">
        <v>258</v>
      </c>
      <c r="D23" s="7" t="s">
        <v>259</v>
      </c>
      <c r="E23" s="7"/>
      <c r="F23" s="7"/>
    </row>
    <row r="24" customFormat="false" ht="15" hidden="false" customHeight="false" outlineLevel="0" collapsed="false">
      <c r="A24" s="45" t="n">
        <v>0.8</v>
      </c>
      <c r="B24" s="31" t="n">
        <f aca="false">2_Assumptions!$B$32+$A24*2_Assumptions!$B$33</f>
        <v>0.08646</v>
      </c>
      <c r="C24" s="31" t="n">
        <f aca="false">7_DCF!$B$23*B24+7_DCF!$B$24*7_DCF!$B$22</f>
        <v>0.0774082702359669</v>
      </c>
      <c r="D24" s="38" t="n">
        <f aca="false">(((((((7_DCF!B$4*(2_Assumptions!$B$8-2_Assumptions!$B$9/2_Assumptions!$B$7+2_Assumptions!$B$25))-7_DCF!B$4*2_Assumptions!$B$25)*(1-2_Assumptions!$B$26)+7_DCF!B$4*2_Assumptions!$B$25-7_DCF!B$4*7_DCF!B$32-(7_DCF!B$4-2_Assumptions!$B$24)*7_DCF!B$33)/(1+$C24)^1+(((7_DCF!C$4*(2_Assumptions!$B$8-2_Assumptions!$B$9/2_Assumptions!$B$7+2_Assumptions!$B$25))-7_DCF!C$4*2_Assumptions!$B$25)*(1-2_Assumptions!$B$26)+7_DCF!C$4*2_Assumptions!$B$25-7_DCF!C$4*7_DCF!C$32-(7_DCF!C$4-7_DCF!B$4)*7_DCF!C$33)/(1+$C24)^2+(((7_DCF!D$4*(2_Assumptions!$B$8-2_Assumptions!$B$9/2_Assumptions!$B$7+2_Assumptions!$B$25))-7_DCF!D$4*2_Assumptions!$B$25)*(1-2_Assumptions!$B$26)+7_DCF!D$4*2_Assumptions!$B$25-7_DCF!D$4*7_DCF!D$32-(7_DCF!D$4-7_DCF!C$4)*7_DCF!D$33)/(1+$C24)^3+(((7_DCF!E$4*(2_Assumptions!$B$8-2_Assumptions!$B$9/2_Assumptions!$B$7+2_Assumptions!$B$25))-7_DCF!E$4*2_Assumptions!$B$25)*(1-2_Assumptions!$B$26)+7_DCF!E$4*2_Assumptions!$B$25-7_DCF!E$4*7_DCF!E$32-(7_DCF!E$4-7_DCF!D$4)*7_DCF!E$33)/(1+$C24)^4+(((7_DCF!F$4*(2_Assumptions!$B$8-2_Assumptions!$B$9/2_Assumptions!$B$7+2_Assumptions!$B$25))-7_DCF!F$4*2_Assumptions!$B$25)*(1-2_Assumptions!$B$26)+7_DCF!F$4*2_Assumptions!$B$25-7_DCF!F$4*7_DCF!F$32-(7_DCF!F$4-7_DCF!E$4)*7_DCF!F$33)/(1+$C24)^5+(((7_DCF!F$4*(2_Assumptions!$B$8-2_Assumptions!$B$9/2_Assumptions!$B$7+2_Assumptions!$B$25))-7_DCF!F$4*2_Assumptions!$B$25)*(1-2_Assumptions!$B$26)+7_DCF!F$4*2_Assumptions!$B$25-7_DCF!F$4*7_DCF!F$32-(7_DCF!F$4-7_DCF!E$4)*7_DCF!F$33)*(1+2_Assumptions!$B$27)/(($C24)-(2_Assumptions!$B$27))/(1+$C24)^5))-2_Assumptions!$B$37)*(1-(1-2_Assumptions!$B$15*2_Assumptions!$B$5/2_Assumptions!$B$14)/(1-0.59))+2_Assumptions!$B$16*(1-2_Assumptions!$B$28)+2_Assumptions!$B$18)*(1-2_Assumptions!$B$29)/2_Assumptions!$B$5</f>
        <v>2.5888424068766</v>
      </c>
    </row>
    <row r="25" customFormat="false" ht="15" hidden="false" customHeight="false" outlineLevel="0" collapsed="false">
      <c r="A25" s="45" t="n">
        <v>0.9</v>
      </c>
      <c r="B25" s="31" t="n">
        <f aca="false">2_Assumptions!$B$32+$A25*2_Assumptions!$B$33</f>
        <v>0.09133</v>
      </c>
      <c r="C25" s="31" t="n">
        <f aca="false">7_DCF!$B$23*B25+7_DCF!$B$24*7_DCF!$B$22</f>
        <v>0.0810351251724914</v>
      </c>
      <c r="D25" s="38" t="n">
        <f aca="false">(((((((7_DCF!B$4*(2_Assumptions!$B$8-2_Assumptions!$B$9/2_Assumptions!$B$7+2_Assumptions!$B$25))-7_DCF!B$4*2_Assumptions!$B$25)*(1-2_Assumptions!$B$26)+7_DCF!B$4*2_Assumptions!$B$25-7_DCF!B$4*7_DCF!B$32-(7_DCF!B$4-2_Assumptions!$B$24)*7_DCF!B$33)/(1+$C25)^1+(((7_DCF!C$4*(2_Assumptions!$B$8-2_Assumptions!$B$9/2_Assumptions!$B$7+2_Assumptions!$B$25))-7_DCF!C$4*2_Assumptions!$B$25)*(1-2_Assumptions!$B$26)+7_DCF!C$4*2_Assumptions!$B$25-7_DCF!C$4*7_DCF!C$32-(7_DCF!C$4-7_DCF!B$4)*7_DCF!C$33)/(1+$C25)^2+(((7_DCF!D$4*(2_Assumptions!$B$8-2_Assumptions!$B$9/2_Assumptions!$B$7+2_Assumptions!$B$25))-7_DCF!D$4*2_Assumptions!$B$25)*(1-2_Assumptions!$B$26)+7_DCF!D$4*2_Assumptions!$B$25-7_DCF!D$4*7_DCF!D$32-(7_DCF!D$4-7_DCF!C$4)*7_DCF!D$33)/(1+$C25)^3+(((7_DCF!E$4*(2_Assumptions!$B$8-2_Assumptions!$B$9/2_Assumptions!$B$7+2_Assumptions!$B$25))-7_DCF!E$4*2_Assumptions!$B$25)*(1-2_Assumptions!$B$26)+7_DCF!E$4*2_Assumptions!$B$25-7_DCF!E$4*7_DCF!E$32-(7_DCF!E$4-7_DCF!D$4)*7_DCF!E$33)/(1+$C25)^4+(((7_DCF!F$4*(2_Assumptions!$B$8-2_Assumptions!$B$9/2_Assumptions!$B$7+2_Assumptions!$B$25))-7_DCF!F$4*2_Assumptions!$B$25)*(1-2_Assumptions!$B$26)+7_DCF!F$4*2_Assumptions!$B$25-7_DCF!F$4*7_DCF!F$32-(7_DCF!F$4-7_DCF!E$4)*7_DCF!F$33)/(1+$C25)^5+(((7_DCF!F$4*(2_Assumptions!$B$8-2_Assumptions!$B$9/2_Assumptions!$B$7+2_Assumptions!$B$25))-7_DCF!F$4*2_Assumptions!$B$25)*(1-2_Assumptions!$B$26)+7_DCF!F$4*2_Assumptions!$B$25-7_DCF!F$4*7_DCF!F$32-(7_DCF!F$4-7_DCF!E$4)*7_DCF!F$33)*(1+2_Assumptions!$B$27)/(($C25)-(2_Assumptions!$B$27))/(1+$C25)^5))-2_Assumptions!$B$37)*(1-(1-2_Assumptions!$B$15*2_Assumptions!$B$5/2_Assumptions!$B$14)/(1-0.59))+2_Assumptions!$B$16*(1-2_Assumptions!$B$28)+2_Assumptions!$B$18)*(1-2_Assumptions!$B$29)/2_Assumptions!$B$5</f>
        <v>2.48440089668495</v>
      </c>
    </row>
    <row r="26" customFormat="false" ht="15" hidden="false" customHeight="false" outlineLevel="0" collapsed="false">
      <c r="A26" s="46" t="n">
        <v>1</v>
      </c>
      <c r="B26" s="39" t="n">
        <f aca="false">2_Assumptions!$B$32+$A26*2_Assumptions!$B$33</f>
        <v>0.0962</v>
      </c>
      <c r="C26" s="39" t="n">
        <f aca="false">7_DCF!$B$23*B26+7_DCF!$B$24*7_DCF!$B$22</f>
        <v>0.0846619801090159</v>
      </c>
      <c r="D26" s="47" t="n">
        <f aca="false">(((((((7_DCF!B$4*(2_Assumptions!$B$8-2_Assumptions!$B$9/2_Assumptions!$B$7+2_Assumptions!$B$25))-7_DCF!B$4*2_Assumptions!$B$25)*(1-2_Assumptions!$B$26)+7_DCF!B$4*2_Assumptions!$B$25-7_DCF!B$4*7_DCF!B$32-(7_DCF!B$4-2_Assumptions!$B$24)*7_DCF!B$33)/(1+$C26)^1+(((7_DCF!C$4*(2_Assumptions!$B$8-2_Assumptions!$B$9/2_Assumptions!$B$7+2_Assumptions!$B$25))-7_DCF!C$4*2_Assumptions!$B$25)*(1-2_Assumptions!$B$26)+7_DCF!C$4*2_Assumptions!$B$25-7_DCF!C$4*7_DCF!C$32-(7_DCF!C$4-7_DCF!B$4)*7_DCF!C$33)/(1+$C26)^2+(((7_DCF!D$4*(2_Assumptions!$B$8-2_Assumptions!$B$9/2_Assumptions!$B$7+2_Assumptions!$B$25))-7_DCF!D$4*2_Assumptions!$B$25)*(1-2_Assumptions!$B$26)+7_DCF!D$4*2_Assumptions!$B$25-7_DCF!D$4*7_DCF!D$32-(7_DCF!D$4-7_DCF!C$4)*7_DCF!D$33)/(1+$C26)^3+(((7_DCF!E$4*(2_Assumptions!$B$8-2_Assumptions!$B$9/2_Assumptions!$B$7+2_Assumptions!$B$25))-7_DCF!E$4*2_Assumptions!$B$25)*(1-2_Assumptions!$B$26)+7_DCF!E$4*2_Assumptions!$B$25-7_DCF!E$4*7_DCF!E$32-(7_DCF!E$4-7_DCF!D$4)*7_DCF!E$33)/(1+$C26)^4+(((7_DCF!F$4*(2_Assumptions!$B$8-2_Assumptions!$B$9/2_Assumptions!$B$7+2_Assumptions!$B$25))-7_DCF!F$4*2_Assumptions!$B$25)*(1-2_Assumptions!$B$26)+7_DCF!F$4*2_Assumptions!$B$25-7_DCF!F$4*7_DCF!F$32-(7_DCF!F$4-7_DCF!E$4)*7_DCF!F$33)/(1+$C26)^5+(((7_DCF!F$4*(2_Assumptions!$B$8-2_Assumptions!$B$9/2_Assumptions!$B$7+2_Assumptions!$B$25))-7_DCF!F$4*2_Assumptions!$B$25)*(1-2_Assumptions!$B$26)+7_DCF!F$4*2_Assumptions!$B$25-7_DCF!F$4*7_DCF!F$32-(7_DCF!F$4-7_DCF!E$4)*7_DCF!F$33)*(1+2_Assumptions!$B$27)/(($C26)-(2_Assumptions!$B$27))/(1+$C26)^5))-2_Assumptions!$B$37)*(1-(1-2_Assumptions!$B$15*2_Assumptions!$B$5/2_Assumptions!$B$14)/(1-0.59))+2_Assumptions!$B$16*(1-2_Assumptions!$B$28)+2_Assumptions!$B$18)*(1-2_Assumptions!$B$29)/2_Assumptions!$B$5</f>
        <v>2.39385974679563</v>
      </c>
    </row>
    <row r="27" customFormat="false" ht="15" hidden="false" customHeight="false" outlineLevel="0" collapsed="false">
      <c r="A27" s="45" t="n">
        <v>1.1</v>
      </c>
      <c r="B27" s="31" t="n">
        <f aca="false">2_Assumptions!$B$32+$A27*2_Assumptions!$B$33</f>
        <v>0.10107</v>
      </c>
      <c r="C27" s="31" t="n">
        <f aca="false">7_DCF!$B$23*B27+7_DCF!$B$24*7_DCF!$B$22</f>
        <v>0.0882888350455404</v>
      </c>
      <c r="D27" s="38" t="n">
        <f aca="false">(((((((7_DCF!B$4*(2_Assumptions!$B$8-2_Assumptions!$B$9/2_Assumptions!$B$7+2_Assumptions!$B$25))-7_DCF!B$4*2_Assumptions!$B$25)*(1-2_Assumptions!$B$26)+7_DCF!B$4*2_Assumptions!$B$25-7_DCF!B$4*7_DCF!B$32-(7_DCF!B$4-2_Assumptions!$B$24)*7_DCF!B$33)/(1+$C27)^1+(((7_DCF!C$4*(2_Assumptions!$B$8-2_Assumptions!$B$9/2_Assumptions!$B$7+2_Assumptions!$B$25))-7_DCF!C$4*2_Assumptions!$B$25)*(1-2_Assumptions!$B$26)+7_DCF!C$4*2_Assumptions!$B$25-7_DCF!C$4*7_DCF!C$32-(7_DCF!C$4-7_DCF!B$4)*7_DCF!C$33)/(1+$C27)^2+(((7_DCF!D$4*(2_Assumptions!$B$8-2_Assumptions!$B$9/2_Assumptions!$B$7+2_Assumptions!$B$25))-7_DCF!D$4*2_Assumptions!$B$25)*(1-2_Assumptions!$B$26)+7_DCF!D$4*2_Assumptions!$B$25-7_DCF!D$4*7_DCF!D$32-(7_DCF!D$4-7_DCF!C$4)*7_DCF!D$33)/(1+$C27)^3+(((7_DCF!E$4*(2_Assumptions!$B$8-2_Assumptions!$B$9/2_Assumptions!$B$7+2_Assumptions!$B$25))-7_DCF!E$4*2_Assumptions!$B$25)*(1-2_Assumptions!$B$26)+7_DCF!E$4*2_Assumptions!$B$25-7_DCF!E$4*7_DCF!E$32-(7_DCF!E$4-7_DCF!D$4)*7_DCF!E$33)/(1+$C27)^4+(((7_DCF!F$4*(2_Assumptions!$B$8-2_Assumptions!$B$9/2_Assumptions!$B$7+2_Assumptions!$B$25))-7_DCF!F$4*2_Assumptions!$B$25)*(1-2_Assumptions!$B$26)+7_DCF!F$4*2_Assumptions!$B$25-7_DCF!F$4*7_DCF!F$32-(7_DCF!F$4-7_DCF!E$4)*7_DCF!F$33)/(1+$C27)^5+(((7_DCF!F$4*(2_Assumptions!$B$8-2_Assumptions!$B$9/2_Assumptions!$B$7+2_Assumptions!$B$25))-7_DCF!F$4*2_Assumptions!$B$25)*(1-2_Assumptions!$B$26)+7_DCF!F$4*2_Assumptions!$B$25-7_DCF!F$4*7_DCF!F$32-(7_DCF!F$4-7_DCF!E$4)*7_DCF!F$33)*(1+2_Assumptions!$B$27)/(($C27)-(2_Assumptions!$B$27))/(1+$C27)^5))-2_Assumptions!$B$37)*(1-(1-2_Assumptions!$B$15*2_Assumptions!$B$5/2_Assumptions!$B$14)/(1-0.59))+2_Assumptions!$B$16*(1-2_Assumptions!$B$28)+2_Assumptions!$B$18)*(1-2_Assumptions!$B$29)/2_Assumptions!$B$5</f>
        <v>2.31462358703774</v>
      </c>
    </row>
    <row r="28" customFormat="false" ht="15" hidden="false" customHeight="false" outlineLevel="0" collapsed="false">
      <c r="A28" s="45" t="n">
        <v>1.3</v>
      </c>
      <c r="B28" s="31" t="n">
        <f aca="false">2_Assumptions!$B$32+$A28*2_Assumptions!$B$33</f>
        <v>0.11081</v>
      </c>
      <c r="C28" s="31" t="n">
        <f aca="false">7_DCF!$B$23*B28+7_DCF!$B$24*7_DCF!$B$22</f>
        <v>0.0955425449185894</v>
      </c>
      <c r="D28" s="38" t="n">
        <f aca="false">(((((((7_DCF!B$4*(2_Assumptions!$B$8-2_Assumptions!$B$9/2_Assumptions!$B$7+2_Assumptions!$B$25))-7_DCF!B$4*2_Assumptions!$B$25)*(1-2_Assumptions!$B$26)+7_DCF!B$4*2_Assumptions!$B$25-7_DCF!B$4*7_DCF!B$32-(7_DCF!B$4-2_Assumptions!$B$24)*7_DCF!B$33)/(1+$C28)^1+(((7_DCF!C$4*(2_Assumptions!$B$8-2_Assumptions!$B$9/2_Assumptions!$B$7+2_Assumptions!$B$25))-7_DCF!C$4*2_Assumptions!$B$25)*(1-2_Assumptions!$B$26)+7_DCF!C$4*2_Assumptions!$B$25-7_DCF!C$4*7_DCF!C$32-(7_DCF!C$4-7_DCF!B$4)*7_DCF!C$33)/(1+$C28)^2+(((7_DCF!D$4*(2_Assumptions!$B$8-2_Assumptions!$B$9/2_Assumptions!$B$7+2_Assumptions!$B$25))-7_DCF!D$4*2_Assumptions!$B$25)*(1-2_Assumptions!$B$26)+7_DCF!D$4*2_Assumptions!$B$25-7_DCF!D$4*7_DCF!D$32-(7_DCF!D$4-7_DCF!C$4)*7_DCF!D$33)/(1+$C28)^3+(((7_DCF!E$4*(2_Assumptions!$B$8-2_Assumptions!$B$9/2_Assumptions!$B$7+2_Assumptions!$B$25))-7_DCF!E$4*2_Assumptions!$B$25)*(1-2_Assumptions!$B$26)+7_DCF!E$4*2_Assumptions!$B$25-7_DCF!E$4*7_DCF!E$32-(7_DCF!E$4-7_DCF!D$4)*7_DCF!E$33)/(1+$C28)^4+(((7_DCF!F$4*(2_Assumptions!$B$8-2_Assumptions!$B$9/2_Assumptions!$B$7+2_Assumptions!$B$25))-7_DCF!F$4*2_Assumptions!$B$25)*(1-2_Assumptions!$B$26)+7_DCF!F$4*2_Assumptions!$B$25-7_DCF!F$4*7_DCF!F$32-(7_DCF!F$4-7_DCF!E$4)*7_DCF!F$33)/(1+$C28)^5+(((7_DCF!F$4*(2_Assumptions!$B$8-2_Assumptions!$B$9/2_Assumptions!$B$7+2_Assumptions!$B$25))-7_DCF!F$4*2_Assumptions!$B$25)*(1-2_Assumptions!$B$26)+7_DCF!F$4*2_Assumptions!$B$25-7_DCF!F$4*7_DCF!F$32-(7_DCF!F$4-7_DCF!E$4)*7_DCF!F$33)*(1+2_Assumptions!$B$27)/(($C28)-(2_Assumptions!$B$27))/(1+$C28)^5))-2_Assumptions!$B$37)*(1-(1-2_Assumptions!$B$15*2_Assumptions!$B$5/2_Assumptions!$B$14)/(1-0.59))+2_Assumptions!$B$16*(1-2_Assumptions!$B$28)+2_Assumptions!$B$18)*(1-2_Assumptions!$B$29)/2_Assumptions!$B$5</f>
        <v>2.18255715774281</v>
      </c>
    </row>
    <row r="30" customFormat="false" ht="15" hidden="false" customHeight="false" outlineLevel="0" collapsed="false">
      <c r="A30" s="23" t="s">
        <v>260</v>
      </c>
    </row>
    <row r="31" customFormat="false" ht="15" hidden="false" customHeight="false" outlineLevel="0" collapsed="false">
      <c r="A31" s="7" t="s">
        <v>261</v>
      </c>
      <c r="B31" s="7" t="s">
        <v>262</v>
      </c>
      <c r="C31" s="7" t="s">
        <v>263</v>
      </c>
      <c r="D31" s="7" t="s">
        <v>264</v>
      </c>
      <c r="E31" s="7" t="s">
        <v>265</v>
      </c>
      <c r="F31" s="7"/>
    </row>
    <row r="32" customFormat="false" ht="15" hidden="false" customHeight="false" outlineLevel="0" collapsed="false">
      <c r="A32" s="8" t="s">
        <v>266</v>
      </c>
      <c r="B32" s="9" t="n">
        <v>1.59874630600797</v>
      </c>
      <c r="C32" s="48" t="n">
        <f aca="false">8_SOTP!B15</f>
        <v>1.9508846470466</v>
      </c>
      <c r="D32" s="9" t="n">
        <v>2.33121557287082</v>
      </c>
      <c r="E32" s="49" t="n">
        <v>0.45</v>
      </c>
    </row>
    <row r="33" customFormat="false" ht="15" hidden="false" customHeight="false" outlineLevel="0" collapsed="false">
      <c r="A33" s="8" t="s">
        <v>267</v>
      </c>
      <c r="B33" s="9" t="n">
        <v>1.86747076516322</v>
      </c>
      <c r="C33" s="48" t="n">
        <f aca="false">(((7_DCF!$B$26)-2_Assumptions!$B$37)*(1-(1-2_Assumptions!$B$15*2_Assumptions!$B$5/2_Assumptions!$B$14)/(1-0.59))+2_Assumptions!$B$16*(1-2_Assumptions!$B$28)+2_Assumptions!$B$18)*(1-2_Assumptions!$B$29)/2_Assumptions!$B$5</f>
        <v>2.39385974679563</v>
      </c>
      <c r="D33" s="9" t="n">
        <v>3.0240162806981</v>
      </c>
      <c r="E33" s="49" t="n">
        <v>0.15</v>
      </c>
    </row>
    <row r="34" customFormat="false" ht="15" hidden="false" customHeight="false" outlineLevel="0" collapsed="false">
      <c r="A34" s="8" t="s">
        <v>268</v>
      </c>
      <c r="B34" s="9" t="n">
        <v>1.5583</v>
      </c>
      <c r="C34" s="9" t="n">
        <v>1.8504</v>
      </c>
      <c r="D34" s="9" t="n">
        <v>2.1426</v>
      </c>
      <c r="E34" s="49" t="n">
        <v>0.25</v>
      </c>
    </row>
    <row r="35" customFormat="false" ht="15" hidden="false" customHeight="false" outlineLevel="0" collapsed="false">
      <c r="A35" s="8" t="s">
        <v>269</v>
      </c>
      <c r="B35" s="9" t="n">
        <v>1.0957</v>
      </c>
      <c r="C35" s="9" t="n">
        <v>1.3878</v>
      </c>
      <c r="D35" s="9" t="n">
        <v>1.5339</v>
      </c>
      <c r="E35" s="49" t="n">
        <v>0.15</v>
      </c>
    </row>
    <row r="36" customFormat="false" ht="15" hidden="false" customHeight="false" outlineLevel="0" collapsed="false">
      <c r="A36" s="23" t="s">
        <v>270</v>
      </c>
      <c r="B36" s="40" t="n">
        <f aca="false">SUMPRODUCT(B32:B35,$E$32:$E$35)</f>
        <v>1.55348645247807</v>
      </c>
      <c r="C36" s="40" t="n">
        <f aca="false">SUMPRODUCT(C32:C35,$E$32:$E$35)</f>
        <v>1.90774705319031</v>
      </c>
      <c r="D36" s="40" t="n">
        <f aca="false">SUMPRODUCT(D32:D35,$E$32:$E$35)</f>
        <v>2.26838444989658</v>
      </c>
    </row>
    <row r="37" customFormat="false" ht="15" hidden="false" customHeight="false" outlineLevel="0" collapsed="false">
      <c r="A37" s="8" t="s">
        <v>271</v>
      </c>
      <c r="C37" s="50" t="n">
        <f aca="false">2_Assumptions!$B$4/C36-1</f>
        <v>0.132225572770691</v>
      </c>
    </row>
  </sheetData>
  <mergeCells count="2">
    <mergeCell ref="A1:F1"/>
    <mergeCell ref="A13: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2"/>
  </cols>
  <sheetData>
    <row r="1" customFormat="false" ht="16.15" hidden="false" customHeight="false" outlineLevel="0" collapsed="false">
      <c r="A1" s="5" t="s">
        <v>272</v>
      </c>
      <c r="B1" s="5"/>
    </row>
    <row r="3" customFormat="false" ht="42" hidden="false" customHeight="true" outlineLevel="0" collapsed="false">
      <c r="A3" s="2" t="s">
        <v>273</v>
      </c>
      <c r="B3" s="3" t="s">
        <v>274</v>
      </c>
    </row>
    <row r="4" customFormat="false" ht="42" hidden="false" customHeight="true" outlineLevel="0" collapsed="false">
      <c r="A4" s="2" t="s">
        <v>110</v>
      </c>
      <c r="B4" s="3" t="s">
        <v>275</v>
      </c>
    </row>
    <row r="5" customFormat="false" ht="42" hidden="false" customHeight="true" outlineLevel="0" collapsed="false">
      <c r="A5" s="2" t="s">
        <v>276</v>
      </c>
      <c r="B5" s="3" t="s">
        <v>277</v>
      </c>
    </row>
    <row r="6" customFormat="false" ht="42" hidden="false" customHeight="true" outlineLevel="0" collapsed="false">
      <c r="A6" s="2" t="s">
        <v>278</v>
      </c>
      <c r="B6" s="3" t="s">
        <v>279</v>
      </c>
    </row>
    <row r="7" customFormat="false" ht="42" hidden="false" customHeight="true" outlineLevel="0" collapsed="false">
      <c r="A7" s="2" t="s">
        <v>280</v>
      </c>
      <c r="B7" s="3" t="s">
        <v>281</v>
      </c>
    </row>
    <row r="8" customFormat="false" ht="42" hidden="false" customHeight="true" outlineLevel="0" collapsed="false">
      <c r="A8" s="2" t="s">
        <v>282</v>
      </c>
      <c r="B8" s="3" t="s">
        <v>283</v>
      </c>
    </row>
    <row r="9" customFormat="false" ht="42" hidden="false" customHeight="true" outlineLevel="0" collapsed="false">
      <c r="A9" s="2" t="s">
        <v>284</v>
      </c>
      <c r="B9" s="3" t="s">
        <v>285</v>
      </c>
    </row>
    <row r="10" customFormat="false" ht="42" hidden="false" customHeight="true" outlineLevel="0" collapsed="false">
      <c r="A10" s="2" t="s">
        <v>286</v>
      </c>
      <c r="B10" s="3" t="s">
        <v>287</v>
      </c>
    </row>
    <row r="11" customFormat="false" ht="42" hidden="false" customHeight="true" outlineLevel="0" collapsed="false">
      <c r="A11" s="2" t="s">
        <v>15</v>
      </c>
      <c r="B11" s="3" t="s">
        <v>288</v>
      </c>
    </row>
    <row r="12" customFormat="false" ht="42" hidden="false" customHeight="true" outlineLevel="0" collapsed="false">
      <c r="A12" s="2" t="s">
        <v>289</v>
      </c>
      <c r="B12" s="3" t="s">
        <v>290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26"/>
  </cols>
  <sheetData>
    <row r="1" customFormat="false" ht="16.15" hidden="false" customHeight="false" outlineLevel="0" collapsed="false">
      <c r="A1" s="5" t="s">
        <v>291</v>
      </c>
      <c r="B1" s="5"/>
      <c r="C1" s="5"/>
      <c r="D1" s="5"/>
    </row>
    <row r="3" customFormat="false" ht="15" hidden="false" customHeight="false" outlineLevel="0" collapsed="false">
      <c r="A3" s="22" t="s">
        <v>292</v>
      </c>
    </row>
    <row r="4" customFormat="false" ht="15" hidden="false" customHeight="false" outlineLevel="0" collapsed="false">
      <c r="A4" s="7" t="s">
        <v>293</v>
      </c>
      <c r="B4" s="7" t="s">
        <v>294</v>
      </c>
      <c r="C4" s="7"/>
      <c r="D4" s="7"/>
    </row>
    <row r="5" customFormat="false" ht="21.75" hidden="false" customHeight="true" outlineLevel="0" collapsed="false">
      <c r="A5" s="2" t="s">
        <v>295</v>
      </c>
      <c r="B5" s="51" t="s">
        <v>296</v>
      </c>
    </row>
    <row r="6" customFormat="false" ht="21.75" hidden="false" customHeight="true" outlineLevel="0" collapsed="false">
      <c r="A6" s="3" t="s">
        <v>297</v>
      </c>
      <c r="B6" s="51" t="s">
        <v>298</v>
      </c>
    </row>
    <row r="7" customFormat="false" ht="21.75" hidden="false" customHeight="true" outlineLevel="0" collapsed="false">
      <c r="A7" s="3" t="s">
        <v>299</v>
      </c>
      <c r="B7" s="51" t="s">
        <v>300</v>
      </c>
    </row>
    <row r="8" customFormat="false" ht="21.75" hidden="false" customHeight="true" outlineLevel="0" collapsed="false">
      <c r="A8" s="3" t="s">
        <v>301</v>
      </c>
      <c r="B8" s="51" t="s">
        <v>302</v>
      </c>
    </row>
    <row r="9" customFormat="false" ht="21.75" hidden="false" customHeight="true" outlineLevel="0" collapsed="false">
      <c r="A9" s="3" t="s">
        <v>303</v>
      </c>
      <c r="B9" s="51" t="s">
        <v>304</v>
      </c>
    </row>
    <row r="11" customFormat="false" ht="15" hidden="false" customHeight="false" outlineLevel="0" collapsed="false">
      <c r="A11" s="22" t="s">
        <v>305</v>
      </c>
    </row>
    <row r="12" customFormat="false" ht="15" hidden="false" customHeight="false" outlineLevel="0" collapsed="false">
      <c r="A12" s="7" t="s">
        <v>306</v>
      </c>
      <c r="B12" s="7" t="s">
        <v>307</v>
      </c>
      <c r="C12" s="7" t="s">
        <v>308</v>
      </c>
      <c r="D12" s="7" t="s">
        <v>309</v>
      </c>
    </row>
    <row r="13" customFormat="false" ht="15" hidden="false" customHeight="false" outlineLevel="0" collapsed="false">
      <c r="A13" s="8" t="s">
        <v>310</v>
      </c>
      <c r="B13" s="15" t="n">
        <v>1.804</v>
      </c>
      <c r="C13" s="15" t="n">
        <v>1.593</v>
      </c>
      <c r="D13" s="52" t="n">
        <f aca="false">C13/2_Assumptions!$B$4-1</f>
        <v>-0.2625</v>
      </c>
    </row>
    <row r="14" customFormat="false" ht="15" hidden="false" customHeight="false" outlineLevel="0" collapsed="false">
      <c r="A14" s="8" t="s">
        <v>311</v>
      </c>
      <c r="B14" s="15" t="n">
        <v>1.888</v>
      </c>
      <c r="C14" s="15" t="n">
        <v>1.719</v>
      </c>
      <c r="D14" s="52" t="n">
        <f aca="false">C14/2_Assumptions!$B$4-1</f>
        <v>-0.204166666666667</v>
      </c>
    </row>
    <row r="15" customFormat="false" ht="15" hidden="false" customHeight="false" outlineLevel="0" collapsed="false">
      <c r="A15" s="8" t="s">
        <v>312</v>
      </c>
      <c r="B15" s="15" t="n">
        <v>2.019</v>
      </c>
      <c r="C15" s="15" t="n">
        <v>1.931</v>
      </c>
      <c r="D15" s="52" t="n">
        <f aca="false">C15/2_Assumptions!$B$4-1</f>
        <v>-0.106018518518519</v>
      </c>
    </row>
    <row r="16" customFormat="false" ht="15" hidden="false" customHeight="false" outlineLevel="0" collapsed="false">
      <c r="A16" s="23" t="s">
        <v>313</v>
      </c>
      <c r="B16" s="15" t="n">
        <v>2.166</v>
      </c>
      <c r="C16" s="15" t="n">
        <v>2.18</v>
      </c>
      <c r="D16" s="52" t="n">
        <f aca="false">C16/2_Assumptions!$B$4-1</f>
        <v>0.0092592592592593</v>
      </c>
    </row>
    <row r="17" customFormat="false" ht="15" hidden="false" customHeight="false" outlineLevel="0" collapsed="false">
      <c r="A17" s="8" t="s">
        <v>314</v>
      </c>
      <c r="B17" s="15" t="n">
        <v>2.325</v>
      </c>
      <c r="C17" s="15" t="n">
        <v>2.462</v>
      </c>
      <c r="D17" s="52" t="n">
        <f aca="false">C17/2_Assumptions!$B$4-1</f>
        <v>0.139814814814815</v>
      </c>
    </row>
    <row r="18" customFormat="false" ht="15" hidden="false" customHeight="false" outlineLevel="0" collapsed="false">
      <c r="A18" s="8" t="s">
        <v>315</v>
      </c>
      <c r="B18" s="15" t="n">
        <v>2.484</v>
      </c>
      <c r="C18" s="15" t="n">
        <v>2.769</v>
      </c>
      <c r="D18" s="52" t="n">
        <f aca="false">C18/2_Assumptions!$B$4-1</f>
        <v>0.281944444444444</v>
      </c>
    </row>
    <row r="19" customFormat="false" ht="15" hidden="false" customHeight="false" outlineLevel="0" collapsed="false">
      <c r="A19" s="8" t="s">
        <v>316</v>
      </c>
      <c r="B19" s="15" t="n">
        <v>2.594</v>
      </c>
      <c r="C19" s="15" t="n">
        <v>2.997</v>
      </c>
      <c r="D19" s="52" t="n">
        <f aca="false">C19/2_Assumptions!$B$4-1</f>
        <v>0.3875</v>
      </c>
    </row>
    <row r="21" customFormat="false" ht="15" hidden="false" customHeight="false" outlineLevel="0" collapsed="false">
      <c r="A21" s="22" t="s">
        <v>317</v>
      </c>
    </row>
    <row r="22" customFormat="false" ht="15" hidden="false" customHeight="false" outlineLevel="0" collapsed="false">
      <c r="A22" s="7" t="s">
        <v>318</v>
      </c>
      <c r="B22" s="7" t="s">
        <v>319</v>
      </c>
      <c r="C22" s="7"/>
      <c r="D22" s="7"/>
    </row>
    <row r="23" customFormat="false" ht="15" hidden="false" customHeight="false" outlineLevel="0" collapsed="false">
      <c r="A23" s="53" t="n">
        <v>1.8</v>
      </c>
      <c r="B23" s="14" t="n">
        <v>0.8498</v>
      </c>
    </row>
    <row r="24" customFormat="false" ht="15" hidden="false" customHeight="false" outlineLevel="0" collapsed="false">
      <c r="A24" s="53" t="n">
        <v>1.9</v>
      </c>
      <c r="B24" s="14" t="n">
        <v>0.7765</v>
      </c>
    </row>
    <row r="25" customFormat="false" ht="15" hidden="false" customHeight="false" outlineLevel="0" collapsed="false">
      <c r="A25" s="53" t="n">
        <v>2</v>
      </c>
      <c r="B25" s="14" t="n">
        <v>0.6855</v>
      </c>
    </row>
    <row r="26" customFormat="false" ht="15" hidden="false" customHeight="false" outlineLevel="0" collapsed="false">
      <c r="A26" s="53" t="n">
        <v>2.2</v>
      </c>
      <c r="B26" s="14" t="n">
        <v>0.4788</v>
      </c>
    </row>
    <row r="27" customFormat="false" ht="15" hidden="false" customHeight="false" outlineLevel="0" collapsed="false">
      <c r="A27" s="53" t="n">
        <v>2.4</v>
      </c>
      <c r="B27" s="14" t="n">
        <v>0.2979</v>
      </c>
    </row>
    <row r="28" customFormat="false" ht="15" hidden="false" customHeight="false" outlineLevel="0" collapsed="false">
      <c r="A28" s="53" t="n">
        <v>2.6</v>
      </c>
      <c r="B28" s="14" t="n">
        <v>0.1684</v>
      </c>
    </row>
    <row r="29" customFormat="false" ht="15" hidden="false" customHeight="false" outlineLevel="0" collapsed="false">
      <c r="A29" s="53" t="n">
        <v>2.8</v>
      </c>
      <c r="B29" s="14" t="n">
        <v>0.0907</v>
      </c>
    </row>
    <row r="31" customFormat="false" ht="15" hidden="false" customHeight="true" outlineLevel="0" collapsed="false">
      <c r="A31" s="21" t="s">
        <v>320</v>
      </c>
      <c r="B31" s="21"/>
      <c r="C31" s="21"/>
      <c r="D31" s="21"/>
    </row>
    <row r="32" customFormat="false" ht="15" hidden="false" customHeight="false" outlineLevel="0" collapsed="false">
      <c r="A32" s="21"/>
      <c r="B32" s="21"/>
      <c r="C32" s="21"/>
      <c r="D32" s="21"/>
    </row>
  </sheetData>
  <mergeCells count="2">
    <mergeCell ref="A1:D1"/>
    <mergeCell ref="A31: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8"/>
    <col collapsed="false" customWidth="true" hidden="false" outlineLevel="0" max="4" min="4" style="0" width="52"/>
  </cols>
  <sheetData>
    <row r="1" customFormat="false" ht="16.15" hidden="false" customHeight="false" outlineLevel="0" collapsed="false">
      <c r="A1" s="5" t="s">
        <v>321</v>
      </c>
      <c r="B1" s="5"/>
      <c r="C1" s="5"/>
      <c r="D1" s="5"/>
    </row>
    <row r="3" customFormat="false" ht="15" hidden="false" customHeight="false" outlineLevel="0" collapsed="false">
      <c r="A3" s="7" t="s">
        <v>322</v>
      </c>
      <c r="B3" s="7" t="s">
        <v>323</v>
      </c>
      <c r="C3" s="7" t="s">
        <v>324</v>
      </c>
      <c r="D3" s="7" t="s">
        <v>325</v>
      </c>
    </row>
    <row r="4" customFormat="false" ht="30" hidden="false" customHeight="true" outlineLevel="0" collapsed="false">
      <c r="A4" s="8" t="s">
        <v>326</v>
      </c>
      <c r="B4" s="54" t="n">
        <v>0.52</v>
      </c>
      <c r="C4" s="42" t="n">
        <v>0.08</v>
      </c>
      <c r="D4" s="10" t="s">
        <v>327</v>
      </c>
    </row>
    <row r="5" customFormat="false" ht="30" hidden="false" customHeight="true" outlineLevel="0" collapsed="false">
      <c r="A5" s="8" t="s">
        <v>328</v>
      </c>
      <c r="B5" s="54" t="n">
        <v>0.37</v>
      </c>
      <c r="C5" s="42" t="n">
        <v>0.22</v>
      </c>
      <c r="D5" s="10" t="s">
        <v>329</v>
      </c>
    </row>
    <row r="6" customFormat="false" ht="30" hidden="false" customHeight="true" outlineLevel="0" collapsed="false">
      <c r="A6" s="8" t="s">
        <v>330</v>
      </c>
      <c r="B6" s="54" t="n">
        <v>0.12</v>
      </c>
      <c r="C6" s="42" t="n">
        <v>0.12</v>
      </c>
      <c r="D6" s="10" t="s">
        <v>331</v>
      </c>
    </row>
    <row r="7" customFormat="false" ht="30" hidden="false" customHeight="true" outlineLevel="0" collapsed="false">
      <c r="A7" s="23" t="s">
        <v>332</v>
      </c>
      <c r="B7" s="54" t="n">
        <v>0</v>
      </c>
      <c r="C7" s="55" t="n">
        <v>0.59</v>
      </c>
      <c r="D7" s="10" t="s">
        <v>333</v>
      </c>
    </row>
    <row r="9" customFormat="false" ht="15" hidden="false" customHeight="false" outlineLevel="0" collapsed="false">
      <c r="A9" s="22" t="s">
        <v>334</v>
      </c>
    </row>
    <row r="10" customFormat="false" ht="26.85" hidden="false" customHeight="false" outlineLevel="0" collapsed="false">
      <c r="A10" s="7" t="s">
        <v>335</v>
      </c>
      <c r="B10" s="7" t="s">
        <v>120</v>
      </c>
      <c r="C10" s="7" t="s">
        <v>336</v>
      </c>
      <c r="D10" s="7" t="s">
        <v>337</v>
      </c>
    </row>
    <row r="11" customFormat="false" ht="15" hidden="false" customHeight="false" outlineLevel="0" collapsed="false">
      <c r="A11" s="8" t="s">
        <v>338</v>
      </c>
      <c r="B11" s="29" t="n">
        <v>1.62</v>
      </c>
      <c r="C11" s="29" t="n">
        <v>0.331</v>
      </c>
      <c r="D11" s="10" t="s">
        <v>339</v>
      </c>
    </row>
    <row r="12" customFormat="false" ht="15" hidden="false" customHeight="false" outlineLevel="0" collapsed="false">
      <c r="A12" s="8" t="s">
        <v>340</v>
      </c>
      <c r="B12" s="29" t="n">
        <v>0.189</v>
      </c>
      <c r="C12" s="29" t="n">
        <v>0.075</v>
      </c>
      <c r="D12" s="10" t="s">
        <v>341</v>
      </c>
    </row>
    <row r="13" customFormat="false" ht="15" hidden="false" customHeight="false" outlineLevel="0" collapsed="false">
      <c r="A13" s="8" t="s">
        <v>342</v>
      </c>
      <c r="B13" s="56" t="s">
        <v>123</v>
      </c>
      <c r="C13" s="56" t="s">
        <v>123</v>
      </c>
      <c r="D13" s="10" t="s">
        <v>343</v>
      </c>
    </row>
    <row r="14" customFormat="false" ht="15" hidden="false" customHeight="false" outlineLevel="0" collapsed="false">
      <c r="A14" s="8" t="s">
        <v>344</v>
      </c>
      <c r="B14" s="56" t="s">
        <v>123</v>
      </c>
      <c r="C14" s="56" t="s">
        <v>123</v>
      </c>
      <c r="D14" s="10" t="s">
        <v>345</v>
      </c>
    </row>
    <row r="16" customFormat="false" ht="15" hidden="false" customHeight="true" outlineLevel="0" collapsed="false">
      <c r="A16" s="21" t="s">
        <v>346</v>
      </c>
      <c r="B16" s="21"/>
      <c r="C16" s="21"/>
      <c r="D16" s="21"/>
    </row>
    <row r="17" customFormat="false" ht="15" hidden="false" customHeight="false" outlineLevel="0" collapsed="false">
      <c r="A17" s="21"/>
      <c r="B17" s="21"/>
      <c r="C17" s="21"/>
      <c r="D17" s="21"/>
    </row>
    <row r="18" customFormat="false" ht="15" hidden="false" customHeight="false" outlineLevel="0" collapsed="false">
      <c r="A18" s="21"/>
      <c r="B18" s="21"/>
      <c r="C18" s="21"/>
      <c r="D18" s="21"/>
    </row>
  </sheetData>
  <mergeCells count="2">
    <mergeCell ref="A1:D1"/>
    <mergeCell ref="A16: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6"/>
    <col collapsed="false" customWidth="true" hidden="false" outlineLevel="0" max="5" min="5" style="0" width="46"/>
  </cols>
  <sheetData>
    <row r="1" customFormat="false" ht="16.15" hidden="false" customHeight="false" outlineLevel="0" collapsed="false">
      <c r="A1" s="5" t="s">
        <v>347</v>
      </c>
      <c r="B1" s="5"/>
      <c r="C1" s="5"/>
      <c r="D1" s="5"/>
      <c r="E1" s="5"/>
    </row>
    <row r="3" customFormat="false" ht="15" hidden="false" customHeight="false" outlineLevel="0" collapsed="false">
      <c r="A3" s="7"/>
      <c r="B3" s="7" t="s">
        <v>240</v>
      </c>
      <c r="C3" s="7" t="s">
        <v>241</v>
      </c>
      <c r="D3" s="7" t="s">
        <v>242</v>
      </c>
      <c r="E3" s="7" t="s">
        <v>348</v>
      </c>
    </row>
    <row r="4" customFormat="false" ht="15" hidden="false" customHeight="false" outlineLevel="0" collapsed="false">
      <c r="A4" s="8" t="s">
        <v>349</v>
      </c>
      <c r="B4" s="17" t="n">
        <f aca="false">2_Assumptions!$B$17</f>
        <v>48</v>
      </c>
      <c r="C4" s="17" t="n">
        <f aca="false">2_Assumptions!$B$16</f>
        <v>58.7</v>
      </c>
      <c r="D4" s="17" t="n">
        <f aca="false">C4-B4</f>
        <v>10.7</v>
      </c>
      <c r="E4" s="6" t="s">
        <v>350</v>
      </c>
    </row>
    <row r="5" customFormat="false" ht="15" hidden="false" customHeight="false" outlineLevel="0" collapsed="false">
      <c r="A5" s="8" t="s">
        <v>351</v>
      </c>
      <c r="B5" s="17" t="n">
        <f aca="false">2_Assumptions!$B$22</f>
        <v>10</v>
      </c>
      <c r="C5" s="17" t="n">
        <f aca="false">2_Assumptions!$B$20*2_Assumptions!$B$21</f>
        <v>21.55681595358</v>
      </c>
      <c r="D5" s="17" t="n">
        <f aca="false">C5-B5</f>
        <v>11.55681595358</v>
      </c>
      <c r="E5" s="6" t="s">
        <v>352</v>
      </c>
    </row>
    <row r="6" customFormat="false" ht="15" hidden="false" customHeight="false" outlineLevel="0" collapsed="false">
      <c r="A6" s="23" t="s">
        <v>245</v>
      </c>
      <c r="B6" s="35" t="n">
        <f aca="false">B4-B5</f>
        <v>38</v>
      </c>
      <c r="C6" s="35" t="n">
        <f aca="false">C4-C5</f>
        <v>37.14318404642</v>
      </c>
      <c r="D6" s="35" t="n">
        <f aca="false">C6-B6</f>
        <v>-0.856815953579996</v>
      </c>
      <c r="E6" s="6" t="s">
        <v>353</v>
      </c>
    </row>
    <row r="8" customFormat="false" ht="15" hidden="false" customHeight="false" outlineLevel="0" collapsed="false">
      <c r="A8" s="22" t="s">
        <v>354</v>
      </c>
    </row>
    <row r="9" customFormat="false" ht="15" hidden="false" customHeight="false" outlineLevel="0" collapsed="false">
      <c r="A9" s="8" t="s">
        <v>355</v>
      </c>
      <c r="B9" s="28" t="n">
        <v>8.263125</v>
      </c>
    </row>
    <row r="10" customFormat="false" ht="15" hidden="false" customHeight="false" outlineLevel="0" collapsed="false">
      <c r="A10" s="8" t="s">
        <v>356</v>
      </c>
      <c r="B10" s="28" t="n">
        <v>4.03975</v>
      </c>
    </row>
    <row r="11" customFormat="false" ht="15" hidden="false" customHeight="false" outlineLevel="0" collapsed="false">
      <c r="A11" s="8" t="s">
        <v>357</v>
      </c>
      <c r="B11" s="28" t="n">
        <v>1.3478075</v>
      </c>
    </row>
    <row r="12" customFormat="false" ht="15" hidden="false" customHeight="false" outlineLevel="0" collapsed="false">
      <c r="A12" s="8" t="s">
        <v>344</v>
      </c>
      <c r="B12" s="28" t="n">
        <v>0.704</v>
      </c>
    </row>
    <row r="13" customFormat="false" ht="15" hidden="false" customHeight="false" outlineLevel="0" collapsed="false">
      <c r="A13" s="23" t="s">
        <v>358</v>
      </c>
      <c r="B13" s="24" t="n">
        <f aca="false">SUM(B9:B12)</f>
        <v>14.3546825</v>
      </c>
    </row>
    <row r="15" customFormat="false" ht="15" hidden="false" customHeight="false" outlineLevel="0" collapsed="false">
      <c r="A15" s="22" t="s">
        <v>359</v>
      </c>
    </row>
    <row r="16" customFormat="false" ht="26.85" hidden="false" customHeight="false" outlineLevel="0" collapsed="false">
      <c r="A16" s="7" t="s">
        <v>360</v>
      </c>
      <c r="B16" s="7" t="s">
        <v>361</v>
      </c>
      <c r="C16" s="7" t="s">
        <v>362</v>
      </c>
      <c r="D16" s="7" t="s">
        <v>363</v>
      </c>
      <c r="E16" s="7" t="s">
        <v>348</v>
      </c>
    </row>
    <row r="17" customFormat="false" ht="15" hidden="false" customHeight="false" outlineLevel="0" collapsed="false">
      <c r="A17" s="23" t="s">
        <v>364</v>
      </c>
      <c r="B17" s="57" t="n">
        <f aca="false">(2_Assumptions!$B$14-2_Assumptions!$B$11-2_Assumptions!$B$12-2_Assumptions!$B$13)*4</f>
        <v>6</v>
      </c>
      <c r="C17" s="25" t="n">
        <f aca="false">B17*2_Assumptions!$B$15*2_Assumptions!$B$5/2_Assumptions!$B$14/2_Assumptions!$B$5</f>
        <v>0.146086956521739</v>
      </c>
      <c r="D17" s="53" t="n">
        <f aca="false">C17*9.5</f>
        <v>1.38782608695652</v>
      </c>
      <c r="E17" s="10" t="s">
        <v>365</v>
      </c>
    </row>
    <row r="18" customFormat="false" ht="19.4" hidden="false" customHeight="false" outlineLevel="0" collapsed="false">
      <c r="A18" s="8" t="s">
        <v>366</v>
      </c>
      <c r="B18" s="57" t="n">
        <f aca="false">B17+2_Assumptions!$B$48</f>
        <v>8</v>
      </c>
      <c r="C18" s="25" t="n">
        <f aca="false">B18*2_Assumptions!$B$15*2_Assumptions!$B$5/2_Assumptions!$B$14/2_Assumptions!$B$5</f>
        <v>0.194782608695652</v>
      </c>
      <c r="D18" s="53" t="n">
        <f aca="false">C18*9.5</f>
        <v>1.8504347826087</v>
      </c>
      <c r="E18" s="10" t="s">
        <v>367</v>
      </c>
    </row>
    <row r="19" customFormat="false" ht="15" hidden="false" customHeight="false" outlineLevel="0" collapsed="false">
      <c r="A19" s="8" t="s">
        <v>368</v>
      </c>
      <c r="B19" s="57" t="n">
        <f aca="false">B17+2_Assumptions!$B$11*4</f>
        <v>10.4</v>
      </c>
      <c r="C19" s="25" t="n">
        <f aca="false">B19*2_Assumptions!$B$15*2_Assumptions!$B$5/2_Assumptions!$B$14/2_Assumptions!$B$5</f>
        <v>0.253217391304348</v>
      </c>
      <c r="D19" s="53" t="n">
        <f aca="false">C19*9.5</f>
        <v>2.4055652173913</v>
      </c>
      <c r="E19" s="10" t="s">
        <v>369</v>
      </c>
    </row>
    <row r="21" customFormat="false" ht="15" hidden="false" customHeight="true" outlineLevel="0" collapsed="false">
      <c r="A21" s="21" t="s">
        <v>370</v>
      </c>
      <c r="B21" s="21"/>
      <c r="C21" s="21"/>
      <c r="D21" s="21"/>
      <c r="E21" s="21"/>
    </row>
    <row r="22" customFormat="false" ht="15" hidden="false" customHeight="false" outlineLevel="0" collapsed="false">
      <c r="A22" s="21"/>
      <c r="B22" s="21"/>
      <c r="C22" s="21"/>
      <c r="D22" s="21"/>
      <c r="E22" s="21"/>
    </row>
    <row r="23" customFormat="false" ht="15" hidden="false" customHeight="false" outlineLevel="0" collapsed="false">
      <c r="A23" s="21"/>
      <c r="B23" s="21"/>
      <c r="C23" s="21"/>
      <c r="D23" s="21"/>
      <c r="E23" s="21"/>
    </row>
  </sheetData>
  <mergeCells count="2">
    <mergeCell ref="A1:E1"/>
    <mergeCell ref="A21: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8"/>
    <col collapsed="false" customWidth="true" hidden="false" outlineLevel="0" max="4" min="4" style="0" width="62"/>
    <col collapsed="false" customWidth="true" hidden="false" outlineLevel="0" max="5" min="5" style="0" width="26"/>
    <col collapsed="false" customWidth="true" hidden="false" outlineLevel="0" max="6" min="6" style="0" width="12"/>
  </cols>
  <sheetData>
    <row r="1" customFormat="false" ht="16.15" hidden="false" customHeight="false" outlineLevel="0" collapsed="false">
      <c r="A1" s="5" t="s">
        <v>371</v>
      </c>
      <c r="B1" s="5"/>
      <c r="C1" s="5"/>
      <c r="D1" s="5"/>
      <c r="E1" s="5"/>
      <c r="F1" s="5"/>
    </row>
    <row r="3" customFormat="false" ht="15" hidden="false" customHeight="false" outlineLevel="0" collapsed="false">
      <c r="A3" s="7" t="s">
        <v>372</v>
      </c>
      <c r="B3" s="7" t="s">
        <v>373</v>
      </c>
      <c r="C3" s="7" t="s">
        <v>374</v>
      </c>
      <c r="D3" s="7" t="s">
        <v>375</v>
      </c>
      <c r="E3" s="7" t="s">
        <v>24</v>
      </c>
      <c r="F3" s="7" t="s">
        <v>376</v>
      </c>
    </row>
    <row r="4" customFormat="false" ht="30" hidden="false" customHeight="true" outlineLevel="0" collapsed="false">
      <c r="A4" s="3" t="s">
        <v>377</v>
      </c>
      <c r="B4" s="3" t="s">
        <v>378</v>
      </c>
      <c r="C4" s="3" t="s">
        <v>379</v>
      </c>
      <c r="D4" s="3" t="s">
        <v>380</v>
      </c>
      <c r="E4" s="3" t="s">
        <v>381</v>
      </c>
      <c r="F4" s="3" t="s">
        <v>382</v>
      </c>
    </row>
    <row r="5" customFormat="false" ht="30" hidden="false" customHeight="true" outlineLevel="0" collapsed="false">
      <c r="A5" s="3" t="s">
        <v>377</v>
      </c>
      <c r="B5" s="3" t="s">
        <v>383</v>
      </c>
      <c r="C5" s="3" t="s">
        <v>379</v>
      </c>
      <c r="D5" s="3" t="s">
        <v>384</v>
      </c>
      <c r="E5" s="3" t="s">
        <v>385</v>
      </c>
      <c r="F5" s="3" t="s">
        <v>386</v>
      </c>
    </row>
    <row r="6" customFormat="false" ht="30" hidden="false" customHeight="true" outlineLevel="0" collapsed="false">
      <c r="A6" s="3" t="s">
        <v>377</v>
      </c>
      <c r="B6" s="3" t="s">
        <v>387</v>
      </c>
      <c r="C6" s="3" t="s">
        <v>379</v>
      </c>
      <c r="D6" s="3" t="s">
        <v>388</v>
      </c>
      <c r="E6" s="3" t="s">
        <v>389</v>
      </c>
      <c r="F6" s="3" t="s">
        <v>390</v>
      </c>
    </row>
    <row r="7" customFormat="false" ht="30" hidden="false" customHeight="true" outlineLevel="0" collapsed="false">
      <c r="A7" s="3" t="s">
        <v>391</v>
      </c>
      <c r="B7" s="3" t="s">
        <v>392</v>
      </c>
      <c r="C7" s="3" t="s">
        <v>379</v>
      </c>
      <c r="D7" s="3" t="s">
        <v>393</v>
      </c>
      <c r="E7" s="3" t="s">
        <v>394</v>
      </c>
      <c r="F7" s="3" t="s">
        <v>390</v>
      </c>
    </row>
    <row r="8" customFormat="false" ht="30" hidden="false" customHeight="true" outlineLevel="0" collapsed="false">
      <c r="A8" s="3" t="s">
        <v>391</v>
      </c>
      <c r="B8" s="3" t="s">
        <v>395</v>
      </c>
      <c r="C8" s="3" t="s">
        <v>379</v>
      </c>
      <c r="D8" s="3" t="s">
        <v>396</v>
      </c>
      <c r="E8" s="3" t="s">
        <v>397</v>
      </c>
      <c r="F8" s="3" t="s">
        <v>398</v>
      </c>
    </row>
    <row r="9" customFormat="false" ht="30" hidden="false" customHeight="true" outlineLevel="0" collapsed="false">
      <c r="A9" s="3" t="s">
        <v>391</v>
      </c>
      <c r="B9" s="3" t="s">
        <v>399</v>
      </c>
      <c r="C9" s="3" t="s">
        <v>400</v>
      </c>
      <c r="D9" s="3" t="s">
        <v>401</v>
      </c>
      <c r="E9" s="3" t="s">
        <v>402</v>
      </c>
      <c r="F9" s="3" t="s">
        <v>403</v>
      </c>
    </row>
    <row r="10" customFormat="false" ht="30" hidden="false" customHeight="true" outlineLevel="0" collapsed="false">
      <c r="A10" s="3" t="s">
        <v>404</v>
      </c>
      <c r="B10" s="3" t="s">
        <v>405</v>
      </c>
      <c r="C10" s="3" t="s">
        <v>379</v>
      </c>
      <c r="D10" s="3" t="s">
        <v>406</v>
      </c>
      <c r="E10" s="3" t="s">
        <v>407</v>
      </c>
      <c r="F10" s="3" t="s">
        <v>398</v>
      </c>
    </row>
    <row r="11" customFormat="false" ht="30" hidden="false" customHeight="true" outlineLevel="0" collapsed="false">
      <c r="A11" s="3" t="s">
        <v>404</v>
      </c>
      <c r="B11" s="3" t="s">
        <v>408</v>
      </c>
      <c r="C11" s="3" t="s">
        <v>400</v>
      </c>
      <c r="D11" s="3" t="s">
        <v>409</v>
      </c>
      <c r="E11" s="3" t="s">
        <v>410</v>
      </c>
      <c r="F11" s="3" t="s">
        <v>411</v>
      </c>
    </row>
    <row r="12" customFormat="false" ht="30" hidden="false" customHeight="true" outlineLevel="0" collapsed="false">
      <c r="A12" s="3" t="s">
        <v>335</v>
      </c>
      <c r="B12" s="3" t="s">
        <v>412</v>
      </c>
      <c r="C12" s="2" t="s">
        <v>413</v>
      </c>
      <c r="D12" s="3" t="s">
        <v>414</v>
      </c>
      <c r="E12" s="3" t="s">
        <v>415</v>
      </c>
      <c r="F12" s="3" t="s">
        <v>416</v>
      </c>
    </row>
    <row r="13" customFormat="false" ht="30" hidden="false" customHeight="true" outlineLevel="0" collapsed="false">
      <c r="A13" s="3" t="s">
        <v>335</v>
      </c>
      <c r="B13" s="3" t="s">
        <v>417</v>
      </c>
      <c r="C13" s="2" t="s">
        <v>413</v>
      </c>
      <c r="D13" s="3" t="s">
        <v>418</v>
      </c>
      <c r="E13" s="3" t="s">
        <v>419</v>
      </c>
      <c r="F13" s="3" t="s">
        <v>420</v>
      </c>
    </row>
    <row r="14" customFormat="false" ht="30" hidden="false" customHeight="true" outlineLevel="0" collapsed="false">
      <c r="A14" s="3" t="s">
        <v>335</v>
      </c>
      <c r="B14" s="3" t="s">
        <v>421</v>
      </c>
      <c r="C14" s="2" t="s">
        <v>413</v>
      </c>
      <c r="D14" s="3" t="s">
        <v>422</v>
      </c>
      <c r="E14" s="3" t="s">
        <v>423</v>
      </c>
      <c r="F14" s="3" t="s">
        <v>424</v>
      </c>
    </row>
    <row r="15" customFormat="false" ht="30" hidden="false" customHeight="true" outlineLevel="0" collapsed="false">
      <c r="A15" s="3" t="s">
        <v>335</v>
      </c>
      <c r="B15" s="3" t="s">
        <v>425</v>
      </c>
      <c r="C15" s="2" t="s">
        <v>413</v>
      </c>
      <c r="D15" s="3" t="s">
        <v>426</v>
      </c>
      <c r="E15" s="3" t="s">
        <v>96</v>
      </c>
      <c r="F15" s="3" t="s">
        <v>424</v>
      </c>
    </row>
    <row r="16" customFormat="false" ht="30" hidden="false" customHeight="true" outlineLevel="0" collapsed="false">
      <c r="A16" s="3" t="s">
        <v>335</v>
      </c>
      <c r="B16" s="3" t="s">
        <v>119</v>
      </c>
      <c r="C16" s="2" t="s">
        <v>413</v>
      </c>
      <c r="D16" s="3" t="s">
        <v>427</v>
      </c>
      <c r="E16" s="3" t="s">
        <v>428</v>
      </c>
      <c r="F16" s="3" t="s">
        <v>429</v>
      </c>
    </row>
    <row r="17" customFormat="false" ht="30" hidden="false" customHeight="true" outlineLevel="0" collapsed="false">
      <c r="A17" s="3" t="s">
        <v>335</v>
      </c>
      <c r="B17" s="3" t="s">
        <v>430</v>
      </c>
      <c r="C17" s="2" t="s">
        <v>431</v>
      </c>
      <c r="D17" s="3" t="s">
        <v>432</v>
      </c>
      <c r="E17" s="3" t="s">
        <v>433</v>
      </c>
      <c r="F17" s="3" t="s">
        <v>434</v>
      </c>
    </row>
    <row r="18" customFormat="false" ht="30" hidden="false" customHeight="true" outlineLevel="0" collapsed="false">
      <c r="A18" s="3" t="s">
        <v>335</v>
      </c>
      <c r="B18" s="3" t="s">
        <v>435</v>
      </c>
      <c r="C18" s="2" t="s">
        <v>431</v>
      </c>
      <c r="D18" s="3" t="s">
        <v>436</v>
      </c>
      <c r="E18" s="3" t="s">
        <v>437</v>
      </c>
      <c r="F18" s="3" t="s">
        <v>429</v>
      </c>
    </row>
    <row r="19" customFormat="false" ht="30" hidden="false" customHeight="true" outlineLevel="0" collapsed="false">
      <c r="A19" s="3" t="s">
        <v>335</v>
      </c>
      <c r="B19" s="3" t="s">
        <v>438</v>
      </c>
      <c r="C19" s="2" t="s">
        <v>413</v>
      </c>
      <c r="D19" s="3" t="s">
        <v>439</v>
      </c>
      <c r="E19" s="3" t="s">
        <v>440</v>
      </c>
      <c r="F19" s="3" t="s">
        <v>441</v>
      </c>
    </row>
    <row r="20" customFormat="false" ht="30" hidden="false" customHeight="true" outlineLevel="0" collapsed="false">
      <c r="A20" s="3" t="s">
        <v>335</v>
      </c>
      <c r="B20" s="3" t="s">
        <v>442</v>
      </c>
      <c r="C20" s="2" t="s">
        <v>431</v>
      </c>
      <c r="D20" s="3" t="s">
        <v>443</v>
      </c>
      <c r="E20" s="3" t="s">
        <v>444</v>
      </c>
      <c r="F20" s="3" t="s">
        <v>441</v>
      </c>
    </row>
    <row r="21" customFormat="false" ht="30" hidden="false" customHeight="true" outlineLevel="0" collapsed="false">
      <c r="A21" s="3" t="s">
        <v>335</v>
      </c>
      <c r="B21" s="3" t="s">
        <v>445</v>
      </c>
      <c r="C21" s="2" t="s">
        <v>413</v>
      </c>
      <c r="D21" s="3" t="s">
        <v>446</v>
      </c>
      <c r="E21" s="3" t="s">
        <v>410</v>
      </c>
      <c r="F21" s="3" t="s">
        <v>411</v>
      </c>
    </row>
    <row r="22" customFormat="false" ht="30" hidden="false" customHeight="true" outlineLevel="0" collapsed="false">
      <c r="A22" s="3" t="s">
        <v>335</v>
      </c>
      <c r="B22" s="3" t="s">
        <v>447</v>
      </c>
      <c r="C22" s="2" t="s">
        <v>413</v>
      </c>
      <c r="D22" s="3" t="s">
        <v>448</v>
      </c>
      <c r="E22" s="3" t="s">
        <v>449</v>
      </c>
      <c r="F22" s="3" t="s">
        <v>450</v>
      </c>
    </row>
    <row r="23" customFormat="false" ht="30" hidden="false" customHeight="true" outlineLevel="0" collapsed="false">
      <c r="A23" s="3" t="s">
        <v>335</v>
      </c>
      <c r="B23" s="3" t="s">
        <v>451</v>
      </c>
      <c r="C23" s="3" t="s">
        <v>400</v>
      </c>
      <c r="D23" s="3" t="s">
        <v>452</v>
      </c>
      <c r="E23" s="3" t="s">
        <v>453</v>
      </c>
      <c r="F23" s="3" t="s">
        <v>454</v>
      </c>
    </row>
    <row r="24" customFormat="false" ht="30" hidden="false" customHeight="true" outlineLevel="0" collapsed="false">
      <c r="A24" s="3" t="s">
        <v>335</v>
      </c>
      <c r="B24" s="3" t="s">
        <v>455</v>
      </c>
      <c r="C24" s="3" t="s">
        <v>400</v>
      </c>
      <c r="D24" s="3" t="s">
        <v>456</v>
      </c>
      <c r="E24" s="3" t="s">
        <v>444</v>
      </c>
      <c r="F24" s="3" t="s">
        <v>424</v>
      </c>
    </row>
    <row r="25" customFormat="false" ht="30" hidden="false" customHeight="true" outlineLevel="0" collapsed="false">
      <c r="A25" s="3" t="s">
        <v>335</v>
      </c>
      <c r="B25" s="3" t="s">
        <v>457</v>
      </c>
      <c r="C25" s="2" t="s">
        <v>458</v>
      </c>
      <c r="D25" s="3" t="s">
        <v>459</v>
      </c>
      <c r="E25" s="3" t="s">
        <v>460</v>
      </c>
      <c r="F25" s="3" t="s">
        <v>398</v>
      </c>
    </row>
    <row r="26" customFormat="false" ht="30" hidden="false" customHeight="true" outlineLevel="0" collapsed="false">
      <c r="A26" s="3" t="s">
        <v>335</v>
      </c>
      <c r="B26" s="3" t="s">
        <v>461</v>
      </c>
      <c r="C26" s="2" t="s">
        <v>458</v>
      </c>
      <c r="D26" s="3" t="s">
        <v>462</v>
      </c>
      <c r="E26" s="3" t="s">
        <v>463</v>
      </c>
      <c r="F26" s="3" t="s">
        <v>398</v>
      </c>
    </row>
    <row r="27" customFormat="false" ht="30" hidden="false" customHeight="true" outlineLevel="0" collapsed="false">
      <c r="A27" s="3" t="s">
        <v>335</v>
      </c>
      <c r="B27" s="3" t="s">
        <v>464</v>
      </c>
      <c r="C27" s="2" t="s">
        <v>458</v>
      </c>
      <c r="D27" s="3" t="s">
        <v>465</v>
      </c>
      <c r="E27" s="3" t="s">
        <v>466</v>
      </c>
      <c r="F27" s="3" t="s">
        <v>398</v>
      </c>
    </row>
    <row r="28" customFormat="false" ht="30" hidden="false" customHeight="true" outlineLevel="0" collapsed="false">
      <c r="A28" s="3" t="s">
        <v>335</v>
      </c>
      <c r="B28" s="3" t="s">
        <v>467</v>
      </c>
      <c r="C28" s="2" t="s">
        <v>458</v>
      </c>
      <c r="D28" s="3" t="s">
        <v>468</v>
      </c>
      <c r="E28" s="3" t="s">
        <v>469</v>
      </c>
      <c r="F28" s="3" t="s">
        <v>398</v>
      </c>
    </row>
    <row r="30" customFormat="false" ht="15" hidden="false" customHeight="true" outlineLevel="0" collapsed="false">
      <c r="A30" s="21" t="s">
        <v>470</v>
      </c>
      <c r="B30" s="21"/>
      <c r="C30" s="21"/>
      <c r="D30" s="21"/>
      <c r="E30" s="21"/>
      <c r="F30" s="21"/>
    </row>
    <row r="31" customFormat="false" ht="15" hidden="false" customHeight="false" outlineLevel="0" collapsed="false">
      <c r="A31" s="21"/>
      <c r="B31" s="21"/>
      <c r="C31" s="21"/>
      <c r="D31" s="21"/>
      <c r="E31" s="21"/>
      <c r="F31" s="21"/>
    </row>
    <row r="32" customFormat="false" ht="15" hidden="false" customHeight="false" outlineLevel="0" collapsed="false">
      <c r="A32" s="21"/>
      <c r="B32" s="21"/>
      <c r="C32" s="21"/>
      <c r="D32" s="21"/>
      <c r="E32" s="21"/>
      <c r="F32" s="21"/>
    </row>
  </sheetData>
  <mergeCells count="2">
    <mergeCell ref="A1:F1"/>
    <mergeCell ref="A30: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10" min="2" style="0" width="12"/>
    <col collapsed="false" customWidth="true" hidden="false" outlineLevel="0" max="11" min="11" style="0" width="40"/>
    <col collapsed="false" customWidth="true" hidden="false" outlineLevel="0" max="12" min="12" style="0" width="12"/>
  </cols>
  <sheetData>
    <row r="1" customFormat="false" ht="16.15" hidden="false" customHeight="false" outlineLevel="0" collapsed="false">
      <c r="A1" s="5" t="s">
        <v>471</v>
      </c>
      <c r="B1" s="5"/>
      <c r="C1" s="5"/>
      <c r="D1" s="5"/>
      <c r="E1" s="5"/>
      <c r="F1" s="5"/>
      <c r="G1" s="5"/>
      <c r="H1" s="5"/>
      <c r="I1" s="5"/>
      <c r="J1" s="5"/>
      <c r="K1" s="5"/>
      <c r="L1" s="5"/>
    </row>
    <row r="3" customFormat="false" ht="15" hidden="false" customHeight="false" outlineLevel="0" collapsed="false">
      <c r="A3" s="7" t="s">
        <v>472</v>
      </c>
      <c r="B3" s="7" t="s">
        <v>473</v>
      </c>
      <c r="C3" s="7" t="s">
        <v>474</v>
      </c>
      <c r="D3" s="7" t="s">
        <v>475</v>
      </c>
      <c r="E3" s="7" t="s">
        <v>310</v>
      </c>
      <c r="F3" s="7" t="s">
        <v>312</v>
      </c>
      <c r="G3" s="7" t="s">
        <v>313</v>
      </c>
      <c r="H3" s="7" t="s">
        <v>314</v>
      </c>
      <c r="I3" s="7" t="s">
        <v>316</v>
      </c>
      <c r="J3" s="7" t="s">
        <v>476</v>
      </c>
      <c r="K3" s="7" t="s">
        <v>477</v>
      </c>
      <c r="L3" s="7" t="s">
        <v>478</v>
      </c>
    </row>
    <row r="4" customFormat="false" ht="30" hidden="false" customHeight="true" outlineLevel="0" collapsed="false">
      <c r="A4" s="19" t="s">
        <v>479</v>
      </c>
      <c r="B4" s="19" t="s">
        <v>480</v>
      </c>
      <c r="C4" s="19" t="n">
        <v>20</v>
      </c>
      <c r="D4" s="19" t="n">
        <v>2.16</v>
      </c>
      <c r="E4" s="43" t="n">
        <v>1.804</v>
      </c>
      <c r="F4" s="43" t="n">
        <v>2.019</v>
      </c>
      <c r="G4" s="43" t="n">
        <v>2.166</v>
      </c>
      <c r="H4" s="43" t="n">
        <v>2.325</v>
      </c>
      <c r="I4" s="43" t="n">
        <v>2.594</v>
      </c>
      <c r="J4" s="43" t="n">
        <v>0.3833</v>
      </c>
      <c r="K4" s="3" t="s">
        <v>481</v>
      </c>
      <c r="L4" s="19" t="s">
        <v>482</v>
      </c>
    </row>
    <row r="5" customFormat="false" ht="30" hidden="false" customHeight="true" outlineLevel="0" collapsed="false">
      <c r="A5" s="19" t="s">
        <v>479</v>
      </c>
      <c r="B5" s="19" t="s">
        <v>480</v>
      </c>
      <c r="C5" s="19" t="n">
        <v>60</v>
      </c>
      <c r="D5" s="19" t="n">
        <v>2.16</v>
      </c>
      <c r="E5" s="43" t="n">
        <v>1.593</v>
      </c>
      <c r="F5" s="43" t="n">
        <v>1.931</v>
      </c>
      <c r="G5" s="43" t="n">
        <v>2.18</v>
      </c>
      <c r="H5" s="43" t="n">
        <v>2.462</v>
      </c>
      <c r="I5" s="43" t="n">
        <v>2.997</v>
      </c>
      <c r="J5" s="43" t="n">
        <v>0.3833</v>
      </c>
      <c r="K5" s="3" t="s">
        <v>481</v>
      </c>
      <c r="L5" s="19" t="s">
        <v>483</v>
      </c>
    </row>
    <row r="7" customFormat="false" ht="25.5" hidden="false" customHeight="true" outlineLevel="0" collapsed="false">
      <c r="A7" s="58" t="s">
        <v>484</v>
      </c>
      <c r="B7" s="58"/>
      <c r="C7" s="58"/>
      <c r="D7" s="58"/>
      <c r="E7" s="58"/>
      <c r="F7" s="58"/>
      <c r="G7" s="58"/>
      <c r="H7" s="58"/>
      <c r="I7" s="58"/>
      <c r="J7" s="58"/>
      <c r="K7" s="58"/>
      <c r="L7" s="58"/>
    </row>
    <row r="8" customFormat="false" ht="25.5" hidden="false" customHeight="true" outlineLevel="0" collapsed="false">
      <c r="A8" s="21" t="s">
        <v>485</v>
      </c>
      <c r="B8" s="21"/>
      <c r="C8" s="21"/>
      <c r="D8" s="21"/>
      <c r="E8" s="21"/>
      <c r="F8" s="21"/>
      <c r="G8" s="21"/>
      <c r="H8" s="21"/>
      <c r="I8" s="21"/>
      <c r="J8" s="21"/>
      <c r="K8" s="21"/>
      <c r="L8" s="21"/>
    </row>
    <row r="9" customFormat="false" ht="25.5" hidden="false" customHeight="true" outlineLevel="0" collapsed="false">
      <c r="A9" s="21" t="s">
        <v>486</v>
      </c>
      <c r="B9" s="21"/>
      <c r="C9" s="21"/>
      <c r="D9" s="21"/>
      <c r="E9" s="21"/>
      <c r="F9" s="21"/>
      <c r="G9" s="21"/>
      <c r="H9" s="21"/>
      <c r="I9" s="21"/>
      <c r="J9" s="21"/>
      <c r="K9" s="21"/>
      <c r="L9" s="21"/>
    </row>
    <row r="10" customFormat="false" ht="25.5" hidden="false" customHeight="true" outlineLevel="0" collapsed="false">
      <c r="A10" s="21" t="s">
        <v>487</v>
      </c>
      <c r="B10" s="21"/>
      <c r="C10" s="21"/>
      <c r="D10" s="21"/>
      <c r="E10" s="21"/>
      <c r="F10" s="21"/>
      <c r="G10" s="21"/>
      <c r="H10" s="21"/>
      <c r="I10" s="21"/>
      <c r="J10" s="21"/>
      <c r="K10" s="21"/>
      <c r="L10" s="21"/>
    </row>
    <row r="11" customFormat="false" ht="25.5" hidden="false" customHeight="true" outlineLevel="0" collapsed="false">
      <c r="A11" s="21" t="s">
        <v>488</v>
      </c>
      <c r="B11" s="21"/>
      <c r="C11" s="21"/>
      <c r="D11" s="21"/>
      <c r="E11" s="21"/>
      <c r="F11" s="21"/>
      <c r="G11" s="21"/>
      <c r="H11" s="21"/>
      <c r="I11" s="21"/>
      <c r="J11" s="21"/>
      <c r="K11" s="21"/>
      <c r="L11" s="21"/>
    </row>
    <row r="12" customFormat="false" ht="25.5" hidden="false" customHeight="true" outlineLevel="0" collapsed="false">
      <c r="A12" s="21" t="s">
        <v>489</v>
      </c>
      <c r="B12" s="21"/>
      <c r="C12" s="21"/>
      <c r="D12" s="21"/>
      <c r="E12" s="21"/>
      <c r="F12" s="21"/>
      <c r="G12" s="21"/>
      <c r="H12" s="21"/>
      <c r="I12" s="21"/>
      <c r="J12" s="21"/>
      <c r="K12" s="21"/>
      <c r="L12" s="21"/>
    </row>
    <row r="13" customFormat="false" ht="25.5" hidden="false" customHeight="true" outlineLevel="0" collapsed="false">
      <c r="A13" s="21"/>
      <c r="B13" s="21"/>
      <c r="C13" s="21"/>
      <c r="D13" s="21"/>
      <c r="E13" s="21"/>
      <c r="F13" s="21"/>
      <c r="G13" s="21"/>
      <c r="H13" s="21"/>
      <c r="I13" s="21"/>
      <c r="J13" s="21"/>
      <c r="K13" s="21"/>
      <c r="L13" s="21"/>
    </row>
    <row r="14" customFormat="false" ht="25.5" hidden="false" customHeight="true" outlineLevel="0" collapsed="false">
      <c r="A14" s="58" t="s">
        <v>490</v>
      </c>
      <c r="B14" s="58"/>
      <c r="C14" s="58"/>
      <c r="D14" s="58"/>
      <c r="E14" s="58"/>
      <c r="F14" s="58"/>
      <c r="G14" s="58"/>
      <c r="H14" s="58"/>
      <c r="I14" s="58"/>
      <c r="J14" s="58"/>
      <c r="K14" s="58"/>
      <c r="L14" s="58"/>
    </row>
    <row r="15" customFormat="false" ht="25.5" hidden="false" customHeight="true" outlineLevel="0" collapsed="false">
      <c r="A15" s="21" t="s">
        <v>491</v>
      </c>
      <c r="B15" s="21"/>
      <c r="C15" s="21"/>
      <c r="D15" s="21"/>
      <c r="E15" s="21"/>
      <c r="F15" s="21"/>
      <c r="G15" s="21"/>
      <c r="H15" s="21"/>
      <c r="I15" s="21"/>
      <c r="J15" s="21"/>
      <c r="K15" s="21"/>
      <c r="L15" s="21"/>
    </row>
  </sheetData>
  <mergeCells count="10">
    <mergeCell ref="A1:L1"/>
    <mergeCell ref="A7:L7"/>
    <mergeCell ref="A8:L8"/>
    <mergeCell ref="A9:L9"/>
    <mergeCell ref="A10:L10"/>
    <mergeCell ref="A11:L11"/>
    <mergeCell ref="A12:L12"/>
    <mergeCell ref="A13:L13"/>
    <mergeCell ref="A14:L14"/>
    <mergeCell ref="A15:L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6"/>
    <col collapsed="false" customWidth="true" hidden="false" outlineLevel="0" max="5" min="3" style="0" width="10"/>
    <col collapsed="false" customWidth="true" hidden="false" outlineLevel="0" max="6" min="6" style="0" width="50"/>
  </cols>
  <sheetData>
    <row r="1" customFormat="false" ht="16.15" hidden="false" customHeight="false" outlineLevel="0" collapsed="false">
      <c r="A1" s="5" t="s">
        <v>492</v>
      </c>
      <c r="B1" s="5"/>
      <c r="C1" s="5"/>
      <c r="D1" s="5"/>
      <c r="E1" s="5"/>
      <c r="F1" s="5"/>
    </row>
    <row r="3" customFormat="false" ht="15" hidden="false" customHeight="false" outlineLevel="0" collapsed="false">
      <c r="A3" s="7" t="s">
        <v>493</v>
      </c>
      <c r="B3" s="7" t="s">
        <v>494</v>
      </c>
      <c r="C3" s="7" t="s">
        <v>262</v>
      </c>
      <c r="D3" s="7" t="s">
        <v>263</v>
      </c>
      <c r="E3" s="7" t="s">
        <v>264</v>
      </c>
      <c r="F3" s="7" t="s">
        <v>495</v>
      </c>
    </row>
    <row r="4" customFormat="false" ht="55.5" hidden="false" customHeight="true" outlineLevel="0" collapsed="false">
      <c r="A4" s="23" t="s">
        <v>496</v>
      </c>
      <c r="B4" s="3" t="s">
        <v>497</v>
      </c>
      <c r="C4" s="38" t="n">
        <v>1.599</v>
      </c>
      <c r="D4" s="47" t="n">
        <v>1.951</v>
      </c>
      <c r="E4" s="38" t="n">
        <v>2.331</v>
      </c>
      <c r="F4" s="10" t="s">
        <v>498</v>
      </c>
    </row>
    <row r="5" customFormat="false" ht="55.5" hidden="false" customHeight="true" outlineLevel="0" collapsed="false">
      <c r="A5" s="23" t="s">
        <v>499</v>
      </c>
      <c r="B5" s="3" t="s">
        <v>500</v>
      </c>
      <c r="C5" s="38" t="n">
        <v>1.0957</v>
      </c>
      <c r="D5" s="47" t="n">
        <v>1.3878</v>
      </c>
      <c r="E5" s="38" t="n">
        <v>1.5339</v>
      </c>
      <c r="F5" s="10" t="s">
        <v>501</v>
      </c>
    </row>
    <row r="6" customFormat="false" ht="55.5" hidden="false" customHeight="true" outlineLevel="0" collapsed="false">
      <c r="A6" s="23" t="s">
        <v>502</v>
      </c>
      <c r="B6" s="3" t="s">
        <v>503</v>
      </c>
      <c r="C6" s="38" t="n">
        <v>1.816</v>
      </c>
      <c r="D6" s="47" t="n">
        <v>1.971</v>
      </c>
      <c r="E6" s="38" t="n">
        <v>2.073</v>
      </c>
      <c r="F6" s="10" t="s">
        <v>504</v>
      </c>
    </row>
    <row r="8" customFormat="false" ht="15" hidden="false" customHeight="false" outlineLevel="0" collapsed="false">
      <c r="A8" s="23" t="s">
        <v>505</v>
      </c>
      <c r="B8" s="8" t="s">
        <v>506</v>
      </c>
      <c r="D8" s="40" t="n">
        <f aca="false">MEDIAN(D4:D6)</f>
        <v>1.951</v>
      </c>
    </row>
    <row r="10" customFormat="false" ht="15" hidden="false" customHeight="true" outlineLevel="0" collapsed="false">
      <c r="A10" s="21" t="s">
        <v>507</v>
      </c>
      <c r="B10" s="21"/>
      <c r="C10" s="21"/>
      <c r="D10" s="21"/>
      <c r="E10" s="21"/>
      <c r="F10" s="21"/>
    </row>
    <row r="11" customFormat="false" ht="15" hidden="false" customHeight="false" outlineLevel="0" collapsed="false">
      <c r="A11" s="21"/>
      <c r="B11" s="21"/>
      <c r="C11" s="21"/>
      <c r="D11" s="21"/>
      <c r="E11" s="21"/>
      <c r="F11" s="21"/>
    </row>
    <row r="12" customFormat="false" ht="15" hidden="false" customHeight="false" outlineLevel="0" collapsed="false">
      <c r="A12" s="21"/>
      <c r="B12" s="21"/>
      <c r="C12" s="21"/>
      <c r="D12" s="21"/>
      <c r="E12" s="21"/>
      <c r="F12" s="21"/>
    </row>
  </sheetData>
  <mergeCells count="2">
    <mergeCell ref="A1:F1"/>
    <mergeCell ref="A10: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2026-07-11T16:15:12Z</dcterms:created>
  <dc:creator>openpyxl</dc:creator>
  <dc:description/>
  <dc:language>en-US</dc:language>
  <cp:lastModifiedBy/>
  <dcterms:modified xsi:type="dcterms:W3CDTF">2026-07-11T16:15:13Z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