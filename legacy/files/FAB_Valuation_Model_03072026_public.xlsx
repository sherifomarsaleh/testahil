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FCFE-DCF" sheetId="8" state="visible" r:id="rId10"/>
    <sheet name="Income Statement" sheetId="9" state="visible" r:id="rId11"/>
    <sheet name="Balance Sheet" sheetId="10" state="visible" r:id="rId12"/>
    <sheet name="Capital &amp; 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<sst xmlns="http://schemas.openxmlformats.org/spreadsheetml/2006/main" count="332" uniqueCount="249">
  <si>
    <t xml:space="preserve">Testahil — First Abu Dhabi Bank PJSC (ADX: FAB)</t>
  </si>
  <si>
    <t xml:space="preserve">Companion model · Independent Valuation Study · Educational analysis · Not investment advice</t>
  </si>
  <si>
    <t xml:space="preserve">What this workbook is. A transparent companion to the FAB valuation study. Every blue cell is an input; every</t>
  </si>
  <si>
    <t xml:space="preserve">black cell is a formula; green cells link across sheets. All inputs live on the Assumptions sheet — change one</t>
  </si>
  <si>
    <t xml:space="preserve">(the cost of equity, the terminal ROE, a loan-growth rate) and the whole model reprices.</t>
  </si>
  <si>
    <t xml:space="preserve">What it is not. It is not investment advice, a recommendation, a rating, or a price target. Values are model</t>
  </si>
  <si>
    <t xml:space="preserve">outputs shown as ranges. The preparer is not licensed by any securities regulator and may hold, and may in the</t>
  </si>
  <si>
    <t xml:space="preserve">future take or dispose of, a position in the security discussed.</t>
  </si>
  <si>
    <t xml:space="preserve">Lens. FAB is a bank; the primary lens is a dividend-discount / residual-income model (DDM), cross-checked by an</t>
  </si>
  <si>
    <t xml:space="preserve">FCFE (capital-generation) DCF, relative P/B–ROE and peer P/E, and a normalized-ROTE capitalization.</t>
  </si>
  <si>
    <t xml:space="preserve">Currency. AED billion unless stated; the dirham is pegged to the US dollar at USD/AED 3.6725. Per-share figures</t>
  </si>
  <si>
    <t xml:space="preserve">in AED. Spot AED 17.40 (3 Jul 2026). Shares outstanding 11.05bn.</t>
  </si>
  <si>
    <t xml:space="preserve">Historical financials are company disclosure (FY2025 results); some balance-sheet line items are estimated to</t>
  </si>
  <si>
    <t xml:space="preserve">balance to disclosed totals (equity, loans, deposits, RWA) — flagged on the Balance Sheet. EPS is stated after</t>
  </si>
  <si>
    <t xml:space="preserve">AT1 coupon deductions (profit attributable to ordinary shareholders).</t>
  </si>
  <si>
    <t xml:space="preserve">Sheets: Summary · Fundamental Valuation · Assumptions · DDM · Segments · Relative &amp; Normalized · FCFE-DCF ·</t>
  </si>
  <si>
    <t xml:space="preserve">Income Statement · Balance Sheet · Capital &amp; Cash Flow · Summary Financials · Monte Carlo · Sensitivity · Per-Share &amp; Ratios · Peer &amp; Sector.</t>
  </si>
  <si>
    <t xml:space="preserve">Valuation summary — First Abu Dhabi Bank (ADX: FAB)</t>
  </si>
  <si>
    <t xml:space="preserve">Four-lens fair value vs spot. Base links live; bear/bull are scenario outputs (see study §1.5).</t>
  </si>
  <si>
    <t xml:space="preserve">Bear</t>
  </si>
  <si>
    <t xml:space="preserve">Base</t>
  </si>
  <si>
    <t xml:space="preserve">Bull</t>
  </si>
  <si>
    <t xml:space="preserve">Weight</t>
  </si>
  <si>
    <t xml:space="preserve">DDM (residual income)</t>
  </si>
  <si>
    <t xml:space="preserve">FCFE-DCF</t>
  </si>
  <si>
    <t xml:space="preserve">Relative multiples</t>
  </si>
  <si>
    <t xml:space="preserve">Normalized ROTE</t>
  </si>
  <si>
    <t xml:space="preserve">Weighted central</t>
  </si>
  <si>
    <t xml:space="preserve">Spot price (AED)</t>
  </si>
  <si>
    <t xml:space="preserve">Upside to central base</t>
  </si>
  <si>
    <t xml:space="preserve">Read: modestly undervalued; the swing factors are the sustainable ROE / cost of equity gap and the cost-of-risk</t>
  </si>
  <si>
    <t xml:space="preserve">normalization as Fed cuts compress FABs asset-sensitive margin.</t>
  </si>
  <si>
    <t xml:space="preserve">Fundamental valuation — football-field data</t>
  </si>
  <si>
    <t xml:space="preserve">Bear/base/bull per lens (links to Summary).</t>
  </si>
  <si>
    <t xml:space="preserve">Lens</t>
  </si>
  <si>
    <t xml:space="preserve">DDM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</si>
  <si>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</si>
  <si>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</si>
  <si>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</si>
  <si>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</si>
  <si>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(AED/share)</t>
  </si>
  <si>
    <t xml:space="preserve">Shares outstanding (bn)</t>
  </si>
  <si>
    <t xml:space="preserve">USD/AED peg</t>
  </si>
  <si>
    <t xml:space="preserve">Ordinary shareholders equity, FY25 (AED bn)</t>
  </si>
  <si>
    <t xml:space="preserve">Goodwill &amp; intangibles (AED bn)</t>
  </si>
  <si>
    <t xml:space="preserve">Risk-weighted assets, FY25 (AED bn)</t>
  </si>
  <si>
    <t xml:space="preserve">Risk-free rate (rf)</t>
  </si>
  <si>
    <t xml:space="preserve">Equity risk premium (ERP)</t>
  </si>
  <si>
    <t xml:space="preserve">Beta</t>
  </si>
  <si>
    <t xml:space="preserve">Cost of equity (Ke = rf + β·ERP)</t>
  </si>
  <si>
    <t xml:space="preserve">Terminal growth (g)</t>
  </si>
  <si>
    <t xml:space="preserve">Effective tax rate</t>
  </si>
  <si>
    <t xml:space="preserve">CET1 target (capital build)</t>
  </si>
  <si>
    <t xml:space="preserve">DDM / RESIDUAL INCOME (primary)</t>
  </si>
  <si>
    <t xml:space="preserve">Terminal / sustainable ROE</t>
  </si>
  <si>
    <t xml:space="preserve">Justified terminal P/B = (ROE−g)/(Ke−g)</t>
  </si>
  <si>
    <t xml:space="preserve">RELATIVE &amp; NORMALIZED</t>
  </si>
  <si>
    <t xml:space="preserve">Peer forward P/E (x)</t>
  </si>
  <si>
    <t xml:space="preserve">Justified-P/B basis ROE</t>
  </si>
  <si>
    <t xml:space="preserve">Sustainable ROTE (normalized)</t>
  </si>
  <si>
    <t xml:space="preserve">Relative-lens weight: P/B vs P/E</t>
  </si>
  <si>
    <t xml:space="preserve">SYNTHESIS WEIGHTS</t>
  </si>
  <si>
    <t xml:space="preserve">DDM weight</t>
  </si>
  <si>
    <t xml:space="preserve">FCFE-DCF weight</t>
  </si>
  <si>
    <t xml:space="preserve">Relative weight</t>
  </si>
  <si>
    <t xml:space="preserve">Normalized-ROTE weight</t>
  </si>
  <si>
    <t xml:space="preserve">BALANCE-SHEET STRUCTURE</t>
  </si>
  <si>
    <t xml:space="preserve">Interest-earning assets (% of total assets)</t>
  </si>
  <si>
    <t xml:space="preserve">AT1 capital, held flat (AED bn)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</si>
  <si>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</si>
  <si>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</si>
  <si>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</si>
  <si>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</si>
  <si>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</si>
  <si>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</si>
  <si>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Total-asset growth</t>
  </si>
  <si>
    <t xml:space="preserve">Net interest margin (model, on avg EA)</t>
  </si>
  <si>
    <t xml:space="preserve">Non-interest income growth</t>
  </si>
  <si>
    <t xml:space="preserve">Cost-to-income ratio</t>
  </si>
  <si>
    <t xml:space="preserve">Cost of risk (bps on avg loans)</t>
  </si>
  <si>
    <t xml:space="preserve">Loan growth</t>
  </si>
  <si>
    <t xml:space="preserve">Deposit growth</t>
  </si>
  <si>
    <t xml:space="preserve">RWA growth</t>
  </si>
  <si>
    <t xml:space="preserve">AT1 coupons (AED bn)</t>
  </si>
  <si>
    <t xml:space="preserve">Associates / other (AED bn)</t>
  </si>
  <si>
    <t xml:space="preserve">Dividend payout ratio</t>
  </si>
  <si>
    <t xml:space="preserve">Dividend-discount / residual-income model (primary lens)</t>
  </si>
  <si>
    <t xml:space="preserve">PV of 5-year dividends + PV of terminal equity value (terminal BVPS × justified P/B). Discounted at Ke. Links to Assumptions.</t>
  </si>
  <si>
    <t xml:space="preserve">DPS (AED)</t>
  </si>
  <si>
    <t xml:space="preserve">Discount factor @ Ke</t>
  </si>
  <si>
    <t xml:space="preserve">PV of DPS</t>
  </si>
  <si>
    <t xml:space="preserve">Σ PV of explicit dividends (AED)</t>
  </si>
  <si>
    <t xml:space="preserve">Terminal BVPS, end FY30 (AED)</t>
  </si>
  <si>
    <t xml:space="preserve">Justified terminal P/B (x)</t>
  </si>
  <si>
    <t xml:space="preserve">Terminal value per share (AED)</t>
  </si>
  <si>
    <t xml:space="preserve">PV of terminal value (AED)</t>
  </si>
  <si>
    <t xml:space="preserve">DDM fair value per share (AED)</t>
  </si>
  <si>
    <t xml:space="preserve">  terminal as % of value</t>
  </si>
  <si>
    <t xml:space="preserve">  implied on FY26 EPS (P/E)</t>
  </si>
  <si>
    <t xml:space="preserve">bear</t>
  </si>
  <si>
    <t xml:space="preserve">base</t>
  </si>
  <si>
    <t xml:space="preserve">bull</t>
  </si>
  <si>
    <t xml:space="preserve">Scenario fair value (bear / base / bull)</t>
  </si>
  <si>
    <t xml:space="preserve">Terminal ROE</t>
  </si>
  <si>
    <t xml:space="preserve">Justified P/B</t>
  </si>
  <si>
    <t xml:space="preserve">Fair value per share (AED)</t>
  </si>
  <si>
    <t xml:space="preserve">Revenue composition</t>
  </si>
  <si>
    <t xml:space="preserve">Net interest income vs non-interest income, and mix (links to Income Statement).</t>
  </si>
  <si>
    <t xml:space="preserve">FY23</t>
  </si>
  <si>
    <t xml:space="preserve">FY24</t>
  </si>
  <si>
    <t xml:space="preserve">FY25</t>
  </si>
  <si>
    <t xml:space="preserve">Net interest income</t>
  </si>
  <si>
    <t xml:space="preserve">Non-interest income</t>
  </si>
  <si>
    <t xml:space="preserve">Total operating income</t>
  </si>
  <si>
    <t xml:space="preserve">Non-II as % of income</t>
  </si>
  <si>
    <t xml:space="preserve">NII as % of income</t>
  </si>
  <si>
    <t xml:space="preserve">Loans &amp; advances (net)</t>
  </si>
  <si>
    <t xml:space="preserve">Customer deposits</t>
  </si>
  <si>
    <t xml:space="preserve">Loan-to-deposit ratio</t>
  </si>
  <si>
    <t xml:space="preserve">Relative multiples &amp; normalized ROTE</t>
  </si>
  <si>
    <t xml:space="preserve">Justified P/B–ROE and peer forward P/E (relative); sustainable-ROTE capitalization (normalized). Links to Assumptions.</t>
  </si>
  <si>
    <t xml:space="preserve">Relative — justified P/B leg</t>
  </si>
  <si>
    <t xml:space="preserve">BVPS, FY25 (AED)</t>
  </si>
  <si>
    <t xml:space="preserve">Justified P/B on basis ROE</t>
  </si>
  <si>
    <t xml:space="preserve">Value per share — P/B leg (AED)</t>
  </si>
  <si>
    <t xml:space="preserve">Relative — peer P/E leg</t>
  </si>
  <si>
    <t xml:space="preserve">FY26 EPS (AED)</t>
  </si>
  <si>
    <t xml:space="preserve">Value per share — P/E leg (AED)</t>
  </si>
  <si>
    <t xml:space="preserve">Relative fair value (blend)</t>
  </si>
  <si>
    <t xml:space="preserve">Normalized — sustainable ROTE</t>
  </si>
  <si>
    <t xml:space="preserve">TBVPS, FY25 (AED)</t>
  </si>
  <si>
    <t xml:space="preserve">Warranted P/TB = (ROTE−g)/(Ke−g)</t>
  </si>
  <si>
    <t xml:space="preserve">Normalized fair value (AED)</t>
  </si>
  <si>
    <t xml:space="preserve">FCFE discounted cash-flow cross-check</t>
  </si>
  <si>
    <t xml:space="preserve">Explicit 5-year FCFE (capital-generation), terminal value via Gordon on FCFE, discounted at Ke. Links to Capital &amp; Cash Flow.</t>
  </si>
  <si>
    <t xml:space="preserve">FCFE (AED bn)</t>
  </si>
  <si>
    <t xml:space="preserve">PV of FCFE</t>
  </si>
  <si>
    <t xml:space="preserve">Σ PV of explicit FCFE (AED bn)</t>
  </si>
  <si>
    <t xml:space="preserve">Terminal value (Gordon on FCFE)</t>
  </si>
  <si>
    <t xml:space="preserve">PV of terminal value</t>
  </si>
  <si>
    <t xml:space="preserve">Equity value (AED bn)</t>
  </si>
  <si>
    <t xml:space="preserve">% terminal of equity value</t>
  </si>
  <si>
    <t xml:space="preserve">Income statement (AED bn, consolidated)</t>
  </si>
  <si>
    <t xml:space="preserve">FY23–FY25 disclosed (blue); FY26–FY30 forecast (formulas linking to Assumptions). EPS after AT1 coupons.</t>
  </si>
  <si>
    <t xml:space="preserve">Interest-earning assets (avg, memo)</t>
  </si>
  <si>
    <t xml:space="preserve">Operating expenses</t>
  </si>
  <si>
    <t xml:space="preserve">Pre-provision operating profit</t>
  </si>
  <si>
    <t xml:space="preserve">Impairment / cost of risk</t>
  </si>
  <si>
    <t xml:space="preserve">Associates / other</t>
  </si>
  <si>
    <t xml:space="preserve">Profit before tax</t>
  </si>
  <si>
    <t xml:space="preserve">Tax</t>
  </si>
  <si>
    <t xml:space="preserve">Net profit (attributable to equity holders)</t>
  </si>
  <si>
    <t xml:space="preserve">less: AT1 coupons</t>
  </si>
  <si>
    <t xml:space="preserve">Profit attributable to ordinary shareholders</t>
  </si>
  <si>
    <t xml:space="preserve">EPS (AED)</t>
  </si>
  <si>
    <t xml:space="preserve">Net-profit growth (YoY)</t>
  </si>
  <si>
    <t xml:space="preserve">Source: FAB FY2025 results (company disclosure). FY23–25 operating-income basis; some line items (opex, impairment,</t>
  </si>
  <si>
    <t xml:space="preserve">associates) apportioned to tie to disclosed PBT / net profit. Forecast = formulas linking to Assumptions.</t>
  </si>
  <si>
    <t xml:space="preserve">Balance sheet (AED bn, consolidated)</t>
  </si>
  <si>
    <t xml:space="preserve">Historical anchored to disclosed loans/deposits/equity/RWA; other-assets and other-liabilities plug to disclosed totals.</t>
  </si>
  <si>
    <t xml:space="preserve">Cash &amp; balances with central banks</t>
  </si>
  <si>
    <t xml:space="preserve">Investment securities</t>
  </si>
  <si>
    <t xml:space="preserve">Total assets</t>
  </si>
  <si>
    <t xml:space="preserve">Other assets (plug)</t>
  </si>
  <si>
    <t xml:space="preserve">Due to banks, repos &amp; debt securities</t>
  </si>
  <si>
    <t xml:space="preserve">Other liabilities (plug)</t>
  </si>
  <si>
    <t xml:space="preserve">Total assets (memo, = row 7)</t>
  </si>
  <si>
    <t xml:space="preserve">Ordinary shareholders equity</t>
  </si>
  <si>
    <t xml:space="preserve">AT1 capital</t>
  </si>
  <si>
    <t xml:space="preserve">Non-controlling interests</t>
  </si>
  <si>
    <t xml:space="preserve">Total equity</t>
  </si>
  <si>
    <t xml:space="preserve">Total liabilities &amp; equity</t>
  </si>
  <si>
    <t xml:space="preserve">Balance check (assets − L&amp;E)</t>
  </si>
  <si>
    <t xml:space="preserve">Risk-weighted assets</t>
  </si>
  <si>
    <t xml:space="preserve">CET1 capital (equity − goodwill)</t>
  </si>
  <si>
    <t xml:space="preserve">CET1 ratio</t>
  </si>
  <si>
    <t xml:space="preserve">Source: FAB FY2025 disclosure (loans, deposits, equity, RWA anchored). Other-assets/other-liabilities are plugs so</t>
  </si>
  <si>
    <t xml:space="preserve">totals tie exactly to disclosed balance-sheet size; balance check = 0 by construction.</t>
  </si>
  <si>
    <t xml:space="preserve">Capital generation &amp; cash flow (AED bn, forecast)</t>
  </si>
  <si>
    <t xml:space="preserve">Bank FCFE = profit attributable to ordinary − capital retained for RWA growth (at target CET1). Ties to Balance Sheet.</t>
  </si>
  <si>
    <t xml:space="preserve">Profit attributable to ordinary</t>
  </si>
  <si>
    <t xml:space="preserve">ΔRWA</t>
  </si>
  <si>
    <t xml:space="preserve">Capital retained (ΔRWA × CET1 target)</t>
  </si>
  <si>
    <t xml:space="preserve">Free cash flow to equity (FCFE)</t>
  </si>
  <si>
    <t xml:space="preserve">Dividends paid</t>
  </si>
  <si>
    <t xml:space="preserve">Retained for capital build</t>
  </si>
  <si>
    <t xml:space="preserve">FCFE payout coverage (FCFE ÷ dividends)</t>
  </si>
  <si>
    <t xml:space="preserve">Summary financials (AED bn)</t>
  </si>
  <si>
    <t xml:space="preserve">Every cell links to the statement sheets.</t>
  </si>
  <si>
    <t xml:space="preserve">Pre-provision profit</t>
  </si>
  <si>
    <t xml:space="preserve">Net profit</t>
  </si>
  <si>
    <t xml:space="preserve">Attributable to ordinary</t>
  </si>
  <si>
    <t xml:space="preserve">Loans &amp; advances</t>
  </si>
  <si>
    <t xml:space="preserve">Ordinary equity</t>
  </si>
  <si>
    <t xml:space="preserve">RWA</t>
  </si>
  <si>
    <t xml:space="preserve">Monte Carlo — engine outputs</t>
  </si>
  <si>
    <t xml:space="preserve">50,000 paths · 16 factors · seed 42 · YZ-HAR width · Student-t(5) · zero drift (international name). Values, not a sheet simulation.</t>
  </si>
  <si>
    <t xml:space="preserve">Percentile map (AED/share)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</si>
  <si>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</si>
  <si>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</si>
  <si>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</si>
  <si>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</si>
  <si>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</si>
  <si>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</si>
  <si>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</si>
  <si>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</si>
  <si>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Diffusion volatility (annualized)</t>
  </si>
  <si>
    <t xml:space="preserve">Net 3-month drift</t>
  </si>
  <si>
    <t xml:space="preserve">Spot (AED)</t>
  </si>
  <si>
    <t xml:space="preserve">Level-touch ladder (probability price is reached)</t>
  </si>
  <si>
    <t xml:space="preserve">Level (AED)</t>
  </si>
  <si>
    <t xml:space="preserve">T+20</t>
  </si>
  <si>
    <t xml:space="preserve">T+60</t>
  </si>
  <si>
    <t xml:space="preserve">DDM sensitivity — the terminal-value swing</t>
  </si>
  <si>
    <t xml:space="preserve">DDM fair value (AED/share) by terminal ROE × cost of equity, holding g and the 5-year dividend path. Live off Assumptions.</t>
  </si>
  <si>
    <t xml:space="preserve">Ke \ term ROE</t>
  </si>
  <si>
    <t xml:space="preserve">Per-share &amp; ratios</t>
  </si>
  <si>
    <t xml:space="preserve">The standardized dashboard — identical layout across studies. Links to statements / Assumptions.</t>
  </si>
  <si>
    <t xml:space="preserve">BVPS (AED)</t>
  </si>
  <si>
    <t xml:space="preserve">TBVPS (AED)</t>
  </si>
  <si>
    <t xml:space="preserve">P/E (x)</t>
  </si>
  <si>
    <t xml:space="preserve">P/B (x)</t>
  </si>
  <si>
    <t xml:space="preserve">Dividend yield</t>
  </si>
  <si>
    <t xml:space="preserve">Payout ratio</t>
  </si>
  <si>
    <t xml:space="preserve">ROE (on ordinary equity)</t>
  </si>
  <si>
    <t xml:space="preserve">ROTE</t>
  </si>
  <si>
    <t xml:space="preserve">Net interest margin (model)</t>
  </si>
  <si>
    <t xml:space="preserve">Cost-to-income</t>
  </si>
  <si>
    <t xml:space="preserve">Cost of risk (bps)</t>
  </si>
  <si>
    <t xml:space="preserve">Loan-to-deposit</t>
  </si>
  <si>
    <t xml:space="preserve">Peer set &amp; sector</t>
  </si>
  <si>
    <t xml:space="preserve">GCC banking comparables (context only; not model inputs).</t>
  </si>
  <si>
    <t xml:space="preserve">Bank</t>
  </si>
  <si>
    <t xml:space="preserve">Market</t>
  </si>
  <si>
    <t xml:space="preserve">ROE</t>
  </si>
  <si>
    <t xml:space="preserve">First Abu Dhabi Bank</t>
  </si>
  <si>
    <t xml:space="preserve">UAE (ADX)</t>
  </si>
  <si>
    <t xml:space="preserve">Emirates NBD</t>
  </si>
  <si>
    <t xml:space="preserve">UAE (DFM)</t>
  </si>
  <si>
    <t xml:space="preserve">Abu Dhabi Commercial Bank</t>
  </si>
  <si>
    <t xml:space="preserve">Dubai Islamic Bank</t>
  </si>
  <si>
    <t xml:space="preserve">Abu Dhabi Islamic Bank</t>
  </si>
  <si>
    <t xml:space="preserve">Qatar National Bank</t>
  </si>
  <si>
    <t xml:space="preserve">Qatar (QSE)</t>
  </si>
  <si>
    <t xml:space="preserve">Al Rajhi Bank</t>
  </si>
  <si>
    <t xml:space="preserve">KSA (Tadawul)</t>
  </si>
  <si>
    <t xml:space="preserve">Saudi National Bank</t>
  </si>
  <si>
    <t xml:space="preserve">GCC banks trade P/B ~1.0–3.6x, P/E ~6.5–18x, ROE ~11–23%. FAB sits mid-pack on P/B (~1.6x) despite top-tier scale,</t>
  </si>
  <si>
    <t xml:space="preserve">asset quality (NPL ~2.8%, 100% coverage) and RoTE ~20%. Marks as of Jul 2026; illustrative, not model inputs.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</si>
</sst>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"/>
    <numFmt numFmtId="167" formatCode="#,##0.0;\(#,##0.0\);\-"/>
    <numFmt numFmtId="168" formatCode="0.00\x"/>
    <numFmt numFmtId="169" formatCode="0.000%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0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8888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6" customFormat="false" ht="15" hidden="false" customHeight="true" outlineLevel="0" collapsed="false">
      <c r="A16" s="4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1"/>
  </cols>
  <sheetData>
    <row r="1" customFormat="false" ht="17.25" hidden="false" customHeight="true" outlineLevel="0" collapsed="false">
      <c r="A1" s="2" t="s">
        <v>17</v>
      </c>
    </row>
    <row r="2" customFormat="false" ht="15" hidden="false" customHeight="true" outlineLevel="0" collapsed="false">
      <c r="A2" s="3" t="s">
        <v>18</v>
      </c>
    </row>
    <row r="3" customFormat="false" ht="15" hidden="false" customHeight="true" outlineLevel="0" collapsed="false"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true" outlineLevel="0" collapsed="false">
      <c r="A4" s="4" t="s">
        <v>23</v>
      </c>
      <c r="B4" s="6" t="n">
        <f aca="false">DDM!B20</f>
        <v>16.8696273745038</v>
      </c>
      <c r="C4" s="6" t="n">
        <f aca="false">DDM!$B$13</f>
        <v>19.8144638930586</v>
      </c>
      <c r="D4" s="6" t="n">
        <f aca="false">DDM!D20</f>
        <v>22.7593004116133</v>
      </c>
      <c r="E4" s="7" t="n">
        <f aca="false">Assumptions!$B$29</f>
        <v>0.4</v>
      </c>
    </row>
    <row r="5" customFormat="false" ht="15" hidden="false" customHeight="true" outlineLevel="0" collapsed="false">
      <c r="A5" s="4" t="s">
        <v>24</v>
      </c>
      <c r="B5" s="8" t="n">
        <v>17.2</v>
      </c>
      <c r="C5" s="6" t="n">
        <f aca="false">'FCFE-DCF'!B12</f>
        <v>20.6953272032499</v>
      </c>
      <c r="D5" s="8" t="n">
        <v>21.5</v>
      </c>
      <c r="E5" s="7" t="n">
        <f aca="false">Assumptions!$B$30</f>
        <v>0.2</v>
      </c>
    </row>
    <row r="6" customFormat="false" ht="15" hidden="false" customHeight="true" outlineLevel="0" collapsed="false">
      <c r="A6" s="4" t="s">
        <v>25</v>
      </c>
      <c r="B6" s="8" t="n">
        <v>16</v>
      </c>
      <c r="C6" s="6" t="n">
        <f aca="false">'Relative &amp; Normalized'!B12</f>
        <v>18.777439887276</v>
      </c>
      <c r="D6" s="8" t="n">
        <v>20.5</v>
      </c>
      <c r="E6" s="7" t="n">
        <f aca="false">Assumptions!$B$31</f>
        <v>0.15</v>
      </c>
    </row>
    <row r="7" customFormat="false" ht="15" hidden="false" customHeight="true" outlineLevel="0" collapsed="false">
      <c r="A7" s="4" t="s">
        <v>26</v>
      </c>
      <c r="B7" s="8" t="n">
        <v>18</v>
      </c>
      <c r="C7" s="6" t="n">
        <f aca="false">'Relative &amp; Normalized'!B17</f>
        <v>19.9234249912983</v>
      </c>
      <c r="D7" s="8" t="n">
        <v>23.5</v>
      </c>
      <c r="E7" s="7" t="n">
        <f aca="false">Assumptions!$B$32</f>
        <v>0.25</v>
      </c>
    </row>
    <row r="8" customFormat="false" ht="15" hidden="false" customHeight="true" outlineLevel="0" collapsed="false">
      <c r="A8" s="9" t="s">
        <v>27</v>
      </c>
      <c r="B8" s="10" t="n">
        <f aca="false">SUMPRODUCT(B4:B7,$E$4:$E$7)</f>
        <v>17.0878509498015</v>
      </c>
      <c r="C8" s="10" t="n">
        <f aca="false">SUMPRODUCT(C4:C7,$E$4:$E$7)</f>
        <v>19.8623232287894</v>
      </c>
      <c r="D8" s="10" t="n">
        <f aca="false">SUMPRODUCT(D4:D7,$E$4:$E$7)</f>
        <v>22.3537201646453</v>
      </c>
    </row>
    <row r="10" customFormat="false" ht="15" hidden="false" customHeight="true" outlineLevel="0" collapsed="false">
      <c r="A10" s="4" t="s">
        <v>28</v>
      </c>
      <c r="C10" s="6" t="n">
        <f aca="false">Assumptions!$B$4</f>
        <v>17.4</v>
      </c>
    </row>
    <row r="11" customFormat="false" ht="15" hidden="false" customHeight="true" outlineLevel="0" collapsed="false">
      <c r="A11" s="9" t="s">
        <v>29</v>
      </c>
      <c r="C11" s="11" t="n">
        <f aca="false">C8/C10-1</f>
        <v>0.141512829240769</v>
      </c>
    </row>
    <row r="13" customFormat="false" ht="15" hidden="false" customHeight="true" outlineLevel="0" collapsed="false">
      <c r="A13" s="3" t="s">
        <v>30</v>
      </c>
    </row>
    <row r="14" customFormat="false" ht="15" hidden="false" customHeight="true" outlineLevel="0" collapsed="false">
      <c r="A14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1"/>
  </cols>
  <sheetData>
    <row r="1" customFormat="false" ht="17.2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</row>
    <row r="3" customFormat="false" ht="15" hidden="false" customHeight="true" outlineLevel="0" collapsed="false">
      <c r="A3" s="5" t="s">
        <v>34</v>
      </c>
      <c r="B3" s="5" t="s">
        <v>19</v>
      </c>
      <c r="C3" s="5" t="s">
        <v>20</v>
      </c>
      <c r="D3" s="5" t="s">
        <v>21</v>
      </c>
    </row>
    <row r="4" customFormat="false" ht="15" hidden="false" customHeight="true" outlineLevel="0" collapsed="false">
      <c r="A4" s="4" t="s">
        <v>35</v>
      </c>
      <c r="B4" s="6" t="n">
        <f aca="false">Summary!B4</f>
        <v>16.8696273745038</v>
      </c>
      <c r="C4" s="6" t="n">
        <f aca="false">Summary!C4</f>
        <v>19.8144638930586</v>
      </c>
      <c r="D4" s="6" t="n">
        <f aca="false">Summary!D4</f>
        <v>22.7593004116133</v>
      </c>
    </row>
    <row r="5" customFormat="false" ht="15" hidden="false" customHeight="true" outlineLevel="0" collapsed="false">
      <c r="A5" s="4" t="s">
        <v>24</v>
      </c>
      <c r="B5" s="6" t="n">
        <f aca="false">Summary!B5</f>
        <v>17.2</v>
      </c>
      <c r="C5" s="6" t="n">
        <f aca="false">Summary!C5</f>
        <v>20.6953272032499</v>
      </c>
      <c r="D5" s="6" t="n">
        <f aca="false">Summary!D5</f>
        <v>21.5</v>
      </c>
    </row>
    <row r="6" customFormat="false" ht="15" hidden="false" customHeight="true" outlineLevel="0" collapsed="false">
      <c r="A6" s="4" t="s">
        <v>25</v>
      </c>
      <c r="B6" s="6" t="n">
        <f aca="false">Summary!B6</f>
        <v>16</v>
      </c>
      <c r="C6" s="6" t="n">
        <f aca="false">Summary!C6</f>
        <v>18.777439887276</v>
      </c>
      <c r="D6" s="6" t="n">
        <f aca="false">Summary!D6</f>
        <v>20.5</v>
      </c>
    </row>
    <row r="7" customFormat="false" ht="15" hidden="false" customHeight="true" outlineLevel="0" collapsed="false">
      <c r="A7" s="4" t="s">
        <v>26</v>
      </c>
      <c r="B7" s="6" t="n">
        <f aca="false">Summary!B7</f>
        <v>18</v>
      </c>
      <c r="C7" s="6" t="n">
        <f aca="false">Summary!C7</f>
        <v>19.9234249912983</v>
      </c>
      <c r="D7" s="6" t="n">
        <f aca="false">Summary!D7</f>
        <v>23.5</v>
      </c>
    </row>
    <row r="8" customFormat="false" ht="15" hidden="false" customHeight="true" outlineLevel="0" collapsed="false">
      <c r="A8" s="4" t="s">
        <v>27</v>
      </c>
      <c r="B8" s="12" t="n">
        <f aca="false">Summary!B8</f>
        <v>17.0878509498015</v>
      </c>
      <c r="C8" s="12" t="n">
        <f aca="false">Summary!C8</f>
        <v>19.8623232287894</v>
      </c>
      <c r="D8" s="12" t="n">
        <f aca="false">Summary!D8</f>
        <v>22.3537201646453</v>
      </c>
    </row>
    <row r="9" customFormat="false" ht="15" hidden="false" customHeight="true" outlineLevel="0" collapsed="false">
      <c r="A9" s="4" t="s">
        <v>36</v>
      </c>
      <c r="C9" s="6" t="n">
        <f aca="false">Assumptions!$B$4</f>
        <v>17.4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37</v>
      </c>
    </row>
    <row r="2" customFormat="false" ht="15" hidden="false" customHeight="true" outlineLevel="0" collapsed="false">
      <c r="A2" s="3" t="s">
        <v>38</v>
      </c>
    </row>
    <row r="3" customFormat="false" ht="15" hidden="false" customHeight="true" outlineLevel="0" collapsed="false">
      <c r="A3" s="13" t="s">
        <v>39</v>
      </c>
      <c r="B3" s="14"/>
    </row>
    <row r="4" customFormat="false" ht="15" hidden="false" customHeight="true" outlineLevel="0" collapsed="false">
      <c r="A4" s="4" t="s">
        <v>40</v>
      </c>
      <c r="B4" s="8" t="n">
        <v>17.4</v>
      </c>
    </row>
    <row r="5" customFormat="false" ht="15" hidden="false" customHeight="true" outlineLevel="0" collapsed="false">
      <c r="A5" s="4" t="s">
        <v>41</v>
      </c>
      <c r="B5" s="8" t="n">
        <v>11.05</v>
      </c>
    </row>
    <row r="6" customFormat="false" ht="15" hidden="false" customHeight="true" outlineLevel="0" collapsed="false">
      <c r="A6" s="4" t="s">
        <v>42</v>
      </c>
      <c r="B6" s="8" t="n">
        <v>3.6725</v>
      </c>
    </row>
    <row r="7" customFormat="false" ht="15" hidden="false" customHeight="true" outlineLevel="0" collapsed="false">
      <c r="A7" s="4" t="s">
        <v>43</v>
      </c>
      <c r="B7" s="15" t="n">
        <v>117</v>
      </c>
    </row>
    <row r="8" customFormat="false" ht="15" hidden="false" customHeight="true" outlineLevel="0" collapsed="false">
      <c r="A8" s="4" t="s">
        <v>44</v>
      </c>
      <c r="B8" s="15" t="n">
        <v>11</v>
      </c>
    </row>
    <row r="9" customFormat="false" ht="15" hidden="false" customHeight="true" outlineLevel="0" collapsed="false">
      <c r="A9" s="4" t="s">
        <v>45</v>
      </c>
      <c r="B9" s="15" t="n">
        <v>748</v>
      </c>
    </row>
    <row r="10" customFormat="false" ht="15" hidden="false" customHeight="true" outlineLevel="0" collapsed="false">
      <c r="A10" s="4" t="s">
        <v>46</v>
      </c>
      <c r="B10" s="16" t="n">
        <v>0.045</v>
      </c>
    </row>
    <row r="11" customFormat="false" ht="15" hidden="false" customHeight="true" outlineLevel="0" collapsed="false">
      <c r="A11" s="4" t="s">
        <v>47</v>
      </c>
      <c r="B11" s="16" t="n">
        <v>0.065</v>
      </c>
    </row>
    <row r="12" customFormat="false" ht="15" hidden="false" customHeight="true" outlineLevel="0" collapsed="false">
      <c r="A12" s="4" t="s">
        <v>48</v>
      </c>
      <c r="B12" s="8" t="n">
        <v>1</v>
      </c>
    </row>
    <row r="13" customFormat="false" ht="15" hidden="false" customHeight="true" outlineLevel="0" collapsed="false">
      <c r="A13" s="4" t="s">
        <v>49</v>
      </c>
      <c r="B13" s="11" t="n">
        <f aca="false">B10+B12*B11</f>
        <v>0.11</v>
      </c>
    </row>
    <row r="14" customFormat="false" ht="15" hidden="false" customHeight="true" outlineLevel="0" collapsed="false">
      <c r="A14" s="4" t="s">
        <v>50</v>
      </c>
      <c r="B14" s="16" t="n">
        <v>0.045</v>
      </c>
    </row>
    <row r="15" customFormat="false" ht="15" hidden="false" customHeight="true" outlineLevel="0" collapsed="false">
      <c r="A15" s="4" t="s">
        <v>51</v>
      </c>
      <c r="B15" s="16" t="n">
        <v>0.14</v>
      </c>
    </row>
    <row r="16" customFormat="false" ht="15" hidden="false" customHeight="true" outlineLevel="0" collapsed="false">
      <c r="A16" s="4" t="s">
        <v>52</v>
      </c>
      <c r="B16" s="16" t="n">
        <v>0.135</v>
      </c>
    </row>
    <row r="18" customFormat="false" ht="15" hidden="false" customHeight="true" outlineLevel="0" collapsed="false">
      <c r="A18" s="13" t="s">
        <v>53</v>
      </c>
      <c r="B18" s="14"/>
    </row>
    <row r="19" customFormat="false" ht="15" hidden="false" customHeight="true" outlineLevel="0" collapsed="false">
      <c r="A19" s="4" t="s">
        <v>54</v>
      </c>
      <c r="B19" s="16" t="n">
        <v>0.155</v>
      </c>
    </row>
    <row r="20" customFormat="false" ht="15" hidden="false" customHeight="true" outlineLevel="0" collapsed="false">
      <c r="A20" s="4" t="s">
        <v>55</v>
      </c>
      <c r="B20" s="17" t="n">
        <f aca="false">(B19-B14)/(B13-B14)</f>
        <v>1.69230769230769</v>
      </c>
    </row>
    <row r="22" customFormat="false" ht="15" hidden="false" customHeight="true" outlineLevel="0" collapsed="false">
      <c r="A22" s="13" t="s">
        <v>56</v>
      </c>
      <c r="B22" s="14"/>
    </row>
    <row r="23" customFormat="false" ht="15" hidden="false" customHeight="true" outlineLevel="0" collapsed="false">
      <c r="A23" s="4" t="s">
        <v>57</v>
      </c>
      <c r="B23" s="18" t="n">
        <v>9.5</v>
      </c>
    </row>
    <row r="24" customFormat="false" ht="15" hidden="false" customHeight="true" outlineLevel="0" collapsed="false">
      <c r="A24" s="4" t="s">
        <v>58</v>
      </c>
      <c r="B24" s="16" t="n">
        <v>0.165</v>
      </c>
    </row>
    <row r="25" customFormat="false" ht="15" hidden="false" customHeight="true" outlineLevel="0" collapsed="false">
      <c r="A25" s="4" t="s">
        <v>59</v>
      </c>
      <c r="B25" s="16" t="n">
        <v>0.18</v>
      </c>
    </row>
    <row r="26" customFormat="false" ht="15" hidden="false" customHeight="true" outlineLevel="0" collapsed="false">
      <c r="A26" s="4" t="s">
        <v>60</v>
      </c>
      <c r="B26" s="16" t="n">
        <v>0.5</v>
      </c>
    </row>
    <row r="28" customFormat="false" ht="15" hidden="false" customHeight="true" outlineLevel="0" collapsed="false">
      <c r="A28" s="13" t="s">
        <v>61</v>
      </c>
      <c r="B28" s="14"/>
    </row>
    <row r="29" customFormat="false" ht="15" hidden="false" customHeight="true" outlineLevel="0" collapsed="false">
      <c r="A29" s="4" t="s">
        <v>62</v>
      </c>
      <c r="B29" s="16" t="n">
        <v>0.4</v>
      </c>
    </row>
    <row r="30" customFormat="false" ht="15" hidden="false" customHeight="true" outlineLevel="0" collapsed="false">
      <c r="A30" s="4" t="s">
        <v>63</v>
      </c>
      <c r="B30" s="16" t="n">
        <v>0.2</v>
      </c>
    </row>
    <row r="31" customFormat="false" ht="15" hidden="false" customHeight="true" outlineLevel="0" collapsed="false">
      <c r="A31" s="4" t="s">
        <v>64</v>
      </c>
      <c r="B31" s="16" t="n">
        <v>0.15</v>
      </c>
    </row>
    <row r="32" customFormat="false" ht="15" hidden="false" customHeight="true" outlineLevel="0" collapsed="false">
      <c r="A32" s="4" t="s">
        <v>65</v>
      </c>
      <c r="B32" s="16" t="n">
        <v>0.25</v>
      </c>
    </row>
    <row r="34" customFormat="false" ht="15" hidden="false" customHeight="true" outlineLevel="0" collapsed="false">
      <c r="A34" s="13" t="s">
        <v>66</v>
      </c>
      <c r="B34" s="14"/>
    </row>
    <row r="35" customFormat="false" ht="15" hidden="false" customHeight="true" outlineLevel="0" collapsed="false">
      <c r="A35" s="4" t="s">
        <v>67</v>
      </c>
      <c r="B35" s="16" t="n">
        <v>0.84</v>
      </c>
    </row>
    <row r="36" customFormat="false" ht="15" hidden="false" customHeight="true" outlineLevel="0" collapsed="false">
      <c r="A36" s="4" t="s">
        <v>68</v>
      </c>
      <c r="B36" s="15" t="n">
        <v>10.4</v>
      </c>
    </row>
    <row r="38" customFormat="false" ht="15" hidden="false" customHeight="true" outlineLevel="0" collapsed="false">
      <c r="A38" s="13" t="s">
        <v>69</v>
      </c>
      <c r="B38" s="14"/>
    </row>
    <row r="39" customFormat="false" ht="15" hidden="false" customHeight="true" outlineLevel="0" collapsed="false">
      <c r="E39" s="5" t="s">
        <v>70</v>
      </c>
      <c r="F39" s="5" t="s">
        <v>71</v>
      </c>
      <c r="G39" s="5" t="s">
        <v>72</v>
      </c>
      <c r="H39" s="5" t="s">
        <v>73</v>
      </c>
      <c r="I39" s="5" t="s">
        <v>74</v>
      </c>
    </row>
    <row r="40" customFormat="false" ht="15" hidden="false" customHeight="true" outlineLevel="0" collapsed="false">
      <c r="A40" s="4" t="s">
        <v>75</v>
      </c>
      <c r="E40" s="16" t="n">
        <v>0.08</v>
      </c>
      <c r="F40" s="16" t="n">
        <v>0.08</v>
      </c>
      <c r="G40" s="16" t="n">
        <v>0.07</v>
      </c>
      <c r="H40" s="16" t="n">
        <v>0.07</v>
      </c>
      <c r="I40" s="16" t="n">
        <v>0.06</v>
      </c>
    </row>
    <row r="41" customFormat="false" ht="15" hidden="false" customHeight="true" outlineLevel="0" collapsed="false">
      <c r="A41" s="4" t="s">
        <v>76</v>
      </c>
      <c r="E41" s="19" t="n">
        <v>0.0172</v>
      </c>
      <c r="F41" s="19" t="n">
        <v>0.0168</v>
      </c>
      <c r="G41" s="19" t="n">
        <v>0.0166</v>
      </c>
      <c r="H41" s="19" t="n">
        <v>0.0166</v>
      </c>
      <c r="I41" s="19" t="n">
        <v>0.0167</v>
      </c>
    </row>
    <row r="42" customFormat="false" ht="15" hidden="false" customHeight="true" outlineLevel="0" collapsed="false">
      <c r="A42" s="4" t="s">
        <v>77</v>
      </c>
      <c r="E42" s="16" t="n">
        <v>0.06</v>
      </c>
      <c r="F42" s="16" t="n">
        <v>0.07</v>
      </c>
      <c r="G42" s="16" t="n">
        <v>0.07</v>
      </c>
      <c r="H42" s="16" t="n">
        <v>0.06</v>
      </c>
      <c r="I42" s="16" t="n">
        <v>0.06</v>
      </c>
    </row>
    <row r="43" customFormat="false" ht="15" hidden="false" customHeight="true" outlineLevel="0" collapsed="false">
      <c r="A43" s="4" t="s">
        <v>78</v>
      </c>
      <c r="E43" s="16" t="n">
        <v>0.22</v>
      </c>
      <c r="F43" s="16" t="n">
        <v>0.225</v>
      </c>
      <c r="G43" s="16" t="n">
        <v>0.23</v>
      </c>
      <c r="H43" s="16" t="n">
        <v>0.23</v>
      </c>
      <c r="I43" s="16" t="n">
        <v>0.23</v>
      </c>
    </row>
    <row r="44" customFormat="false" ht="15" hidden="false" customHeight="true" outlineLevel="0" collapsed="false">
      <c r="A44" s="4" t="s">
        <v>79</v>
      </c>
      <c r="E44" s="20" t="n">
        <v>55</v>
      </c>
      <c r="F44" s="20" t="n">
        <v>60</v>
      </c>
      <c r="G44" s="20" t="n">
        <v>65</v>
      </c>
      <c r="H44" s="20" t="n">
        <v>65</v>
      </c>
      <c r="I44" s="20" t="n">
        <v>60</v>
      </c>
    </row>
    <row r="45" customFormat="false" ht="15" hidden="false" customHeight="true" outlineLevel="0" collapsed="false">
      <c r="A45" s="4" t="s">
        <v>80</v>
      </c>
      <c r="E45" s="16" t="n">
        <v>0.1</v>
      </c>
      <c r="F45" s="16" t="n">
        <v>0.09</v>
      </c>
      <c r="G45" s="16" t="n">
        <v>0.08</v>
      </c>
      <c r="H45" s="16" t="n">
        <v>0.08</v>
      </c>
      <c r="I45" s="16" t="n">
        <v>0.07</v>
      </c>
    </row>
    <row r="46" customFormat="false" ht="15" hidden="false" customHeight="true" outlineLevel="0" collapsed="false">
      <c r="A46" s="4" t="s">
        <v>81</v>
      </c>
      <c r="E46" s="16" t="n">
        <v>0.08</v>
      </c>
      <c r="F46" s="16" t="n">
        <v>0.07</v>
      </c>
      <c r="G46" s="16" t="n">
        <v>0.07</v>
      </c>
      <c r="H46" s="16" t="n">
        <v>0.06</v>
      </c>
      <c r="I46" s="16" t="n">
        <v>0.06</v>
      </c>
    </row>
    <row r="47" customFormat="false" ht="15" hidden="false" customHeight="true" outlineLevel="0" collapsed="false">
      <c r="A47" s="4" t="s">
        <v>82</v>
      </c>
      <c r="E47" s="16" t="n">
        <v>0.08</v>
      </c>
      <c r="F47" s="16" t="n">
        <v>0.08</v>
      </c>
      <c r="G47" s="16" t="n">
        <v>0.07</v>
      </c>
      <c r="H47" s="16" t="n">
        <v>0.07</v>
      </c>
      <c r="I47" s="16" t="n">
        <v>0.06</v>
      </c>
    </row>
    <row r="48" customFormat="false" ht="15" hidden="false" customHeight="true" outlineLevel="0" collapsed="false">
      <c r="A48" s="4" t="s">
        <v>83</v>
      </c>
      <c r="E48" s="8" t="n">
        <v>0.7</v>
      </c>
      <c r="F48" s="8" t="n">
        <v>0.72</v>
      </c>
      <c r="G48" s="8" t="n">
        <v>0.75</v>
      </c>
      <c r="H48" s="8" t="n">
        <v>0.75</v>
      </c>
      <c r="I48" s="8" t="n">
        <v>0.78</v>
      </c>
    </row>
    <row r="49" customFormat="false" ht="15" hidden="false" customHeight="true" outlineLevel="0" collapsed="false">
      <c r="A49" s="4" t="s">
        <v>84</v>
      </c>
      <c r="E49" s="8" t="n">
        <v>-1.2</v>
      </c>
      <c r="F49" s="8" t="n">
        <v>-1.15</v>
      </c>
      <c r="G49" s="8" t="n">
        <v>-1.1</v>
      </c>
      <c r="H49" s="8" t="n">
        <v>-1.05</v>
      </c>
      <c r="I49" s="8" t="n">
        <v>-1</v>
      </c>
    </row>
    <row r="50" customFormat="false" ht="15" hidden="false" customHeight="true" outlineLevel="0" collapsed="false">
      <c r="A50" s="4" t="s">
        <v>85</v>
      </c>
      <c r="E50" s="16" t="n">
        <v>0.45</v>
      </c>
      <c r="F50" s="16" t="n">
        <v>0.46</v>
      </c>
      <c r="G50" s="16" t="n">
        <v>0.47</v>
      </c>
      <c r="H50" s="16" t="n">
        <v>0.48</v>
      </c>
      <c r="I50" s="16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3" customFormat="false" ht="15" hidden="false" customHeight="true" outlineLevel="0" collapsed="false"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88</v>
      </c>
      <c r="E4" s="6" t="n">
        <f aca="false">'Income Statement'!E18</f>
        <v>0.852980611373756</v>
      </c>
      <c r="F4" s="6" t="n">
        <f aca="false">'Income Statement'!F18</f>
        <v>0.906975462256869</v>
      </c>
      <c r="G4" s="6" t="n">
        <f aca="false">'Income Statement'!G18</f>
        <v>0.967891383538822</v>
      </c>
      <c r="H4" s="6" t="n">
        <f aca="false">'Income Statement'!H18</f>
        <v>1.05713082563113</v>
      </c>
      <c r="I4" s="6" t="n">
        <f aca="false">'Income Statement'!I18</f>
        <v>1.19506304632335</v>
      </c>
    </row>
    <row r="5" customFormat="false" ht="15" hidden="false" customHeight="true" outlineLevel="0" collapsed="false">
      <c r="A5" s="4" t="s">
        <v>89</v>
      </c>
      <c r="E5" s="21" t="n">
        <f aca="false">1/(1+Assumptions!$B$13)^1</f>
        <v>0.900900900900901</v>
      </c>
      <c r="F5" s="21" t="n">
        <f aca="false">1/(1+Assumptions!$B$13)^2</f>
        <v>0.811622433244055</v>
      </c>
      <c r="G5" s="21" t="n">
        <f aca="false">1/(1+Assumptions!$B$13)^3</f>
        <v>0.73119138130095</v>
      </c>
      <c r="H5" s="21" t="n">
        <f aca="false">1/(1+Assumptions!$B$13)^4</f>
        <v>0.658730974145</v>
      </c>
      <c r="I5" s="21" t="n">
        <f aca="false">1/(1+Assumptions!$B$13)^5</f>
        <v>0.593451328058559</v>
      </c>
    </row>
    <row r="6" customFormat="false" ht="15" hidden="false" customHeight="true" outlineLevel="0" collapsed="false">
      <c r="A6" s="4" t="s">
        <v>90</v>
      </c>
      <c r="E6" s="21" t="n">
        <f aca="false">E4*E5</f>
        <v>0.768451001237618</v>
      </c>
      <c r="F6" s="21" t="n">
        <f aca="false">F4*F5</f>
        <v>0.736121631569571</v>
      </c>
      <c r="G6" s="21" t="n">
        <f aca="false">G4*G5</f>
        <v>0.707713837679039</v>
      </c>
      <c r="H6" s="21" t="n">
        <f aca="false">H4*H5</f>
        <v>0.696364818566702</v>
      </c>
      <c r="I6" s="21" t="n">
        <f aca="false">I4*I5</f>
        <v>0.709211751954299</v>
      </c>
    </row>
    <row r="8" customFormat="false" ht="15" hidden="false" customHeight="true" outlineLevel="0" collapsed="false">
      <c r="A8" s="9" t="s">
        <v>91</v>
      </c>
      <c r="B8" s="22" t="n">
        <f aca="false">SUM(E6:I6)</f>
        <v>3.61786304100723</v>
      </c>
    </row>
    <row r="9" customFormat="false" ht="15" hidden="false" customHeight="true" outlineLevel="0" collapsed="false">
      <c r="A9" s="4" t="s">
        <v>92</v>
      </c>
      <c r="B9" s="6" t="n">
        <f aca="false">'Balance Sheet'!I13/Assumptions!$B$5</f>
        <v>16.1272175708379</v>
      </c>
    </row>
    <row r="10" customFormat="false" ht="15" hidden="false" customHeight="true" outlineLevel="0" collapsed="false">
      <c r="A10" s="4" t="s">
        <v>93</v>
      </c>
      <c r="B10" s="23" t="n">
        <f aca="false">Assumptions!$B$20</f>
        <v>1.69230769230769</v>
      </c>
    </row>
    <row r="11" customFormat="false" ht="15" hidden="false" customHeight="true" outlineLevel="0" collapsed="false">
      <c r="A11" s="4" t="s">
        <v>94</v>
      </c>
      <c r="B11" s="21" t="n">
        <f aca="false">B9*B10</f>
        <v>27.2922143506487</v>
      </c>
    </row>
    <row r="12" customFormat="false" ht="15" hidden="false" customHeight="true" outlineLevel="0" collapsed="false">
      <c r="A12" s="4" t="s">
        <v>95</v>
      </c>
      <c r="B12" s="21" t="n">
        <f aca="false">B11*I5</f>
        <v>16.1966008520513</v>
      </c>
    </row>
    <row r="13" customFormat="false" ht="15" hidden="false" customHeight="true" outlineLevel="0" collapsed="false">
      <c r="A13" s="9" t="s">
        <v>96</v>
      </c>
      <c r="B13" s="10" t="n">
        <f aca="false">B8+B12</f>
        <v>19.8144638930586</v>
      </c>
    </row>
    <row r="14" customFormat="false" ht="15" hidden="false" customHeight="true" outlineLevel="0" collapsed="false">
      <c r="A14" s="4" t="s">
        <v>97</v>
      </c>
      <c r="B14" s="24" t="n">
        <f aca="false">B12/B13</f>
        <v>0.817413024115447</v>
      </c>
    </row>
    <row r="15" customFormat="false" ht="15" hidden="false" customHeight="true" outlineLevel="0" collapsed="false">
      <c r="A15" s="4" t="s">
        <v>98</v>
      </c>
      <c r="B15" s="25" t="n">
        <f aca="false">B13/'Income Statement'!E17</f>
        <v>10.4533545463782</v>
      </c>
    </row>
    <row r="16" customFormat="false" ht="15" hidden="false" customHeight="true" outlineLevel="0" collapsed="false">
      <c r="B16" s="3" t="s">
        <v>99</v>
      </c>
      <c r="C16" s="3" t="s">
        <v>100</v>
      </c>
      <c r="D16" s="3" t="s">
        <v>101</v>
      </c>
    </row>
    <row r="17" customFormat="false" ht="15" hidden="false" customHeight="true" outlineLevel="0" collapsed="false">
      <c r="A17" s="13" t="s">
        <v>102</v>
      </c>
      <c r="B17" s="14"/>
      <c r="C17" s="14"/>
    </row>
    <row r="18" customFormat="false" ht="15" hidden="false" customHeight="true" outlineLevel="0" collapsed="false">
      <c r="A18" s="4" t="s">
        <v>103</v>
      </c>
      <c r="B18" s="16" t="n">
        <v>0.135</v>
      </c>
      <c r="C18" s="7" t="n">
        <f aca="false">Assumptions!$B$19</f>
        <v>0.155</v>
      </c>
      <c r="D18" s="16" t="n">
        <v>0.175</v>
      </c>
    </row>
    <row r="19" customFormat="false" ht="15" hidden="false" customHeight="true" outlineLevel="0" collapsed="false">
      <c r="A19" s="4" t="s">
        <v>104</v>
      </c>
      <c r="B19" s="25" t="n">
        <f aca="false">(B18-Assumptions!$B$14)/(Assumptions!$B$13-Assumptions!$B$14)</f>
        <v>1.38461538461538</v>
      </c>
      <c r="C19" s="25" t="n">
        <f aca="false">(C18-Assumptions!$B$14)/(Assumptions!$B$13-Assumptions!$B$14)</f>
        <v>1.69230769230769</v>
      </c>
      <c r="D19" s="25" t="n">
        <f aca="false">(D18-Assumptions!$B$14)/(Assumptions!$B$13-Assumptions!$B$14)</f>
        <v>2</v>
      </c>
    </row>
    <row r="20" customFormat="false" ht="15" hidden="false" customHeight="true" outlineLevel="0" collapsed="false">
      <c r="A20" s="9" t="s">
        <v>105</v>
      </c>
      <c r="B20" s="22" t="n">
        <f aca="false">$B$8+$B$9*B19*$I$5</f>
        <v>16.8696273745038</v>
      </c>
      <c r="C20" s="22" t="n">
        <f aca="false">$B$8+$B$9*C19*$I$5</f>
        <v>19.8144638930586</v>
      </c>
      <c r="D20" s="22" t="n">
        <f aca="false">$B$8+$B$9*D19*$I$5</f>
        <v>22.7593004116133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107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111</v>
      </c>
      <c r="B4" s="6" t="n">
        <f aca="false">'Income Statement'!B5</f>
        <v>19.4</v>
      </c>
      <c r="C4" s="6" t="n">
        <f aca="false">'Income Statement'!C5</f>
        <v>19.5</v>
      </c>
      <c r="D4" s="6" t="n">
        <f aca="false">'Income Statement'!D5</f>
        <v>20.32</v>
      </c>
      <c r="E4" s="6" t="n">
        <f aca="false">'Income Statement'!E5</f>
        <v>21.036288</v>
      </c>
      <c r="F4" s="6" t="n">
        <f aca="false">'Income Statement'!F5</f>
        <v>22.19083776</v>
      </c>
      <c r="G4" s="6" t="n">
        <f aca="false">'Income Statement'!G5</f>
        <v>23.5669440384</v>
      </c>
      <c r="H4" s="6" t="n">
        <f aca="false">'Income Statement'!H5</f>
        <v>25.216630121088</v>
      </c>
      <c r="I4" s="6" t="n">
        <f aca="false">'Income Statement'!I5</f>
        <v>27.0132031047514</v>
      </c>
    </row>
    <row r="5" customFormat="false" ht="15" hidden="false" customHeight="true" outlineLevel="0" collapsed="false">
      <c r="A5" s="4" t="s">
        <v>112</v>
      </c>
      <c r="B5" s="6" t="n">
        <f aca="false">'Income Statement'!B6</f>
        <v>8.1</v>
      </c>
      <c r="C5" s="6" t="n">
        <f aca="false">'Income Statement'!C6</f>
        <v>12.1</v>
      </c>
      <c r="D5" s="6" t="n">
        <f aca="false">'Income Statement'!D6</f>
        <v>16.35</v>
      </c>
      <c r="E5" s="6" t="n">
        <f aca="false">'Income Statement'!E6</f>
        <v>17.331</v>
      </c>
      <c r="F5" s="6" t="n">
        <f aca="false">'Income Statement'!F6</f>
        <v>18.54417</v>
      </c>
      <c r="G5" s="6" t="n">
        <f aca="false">'Income Statement'!G6</f>
        <v>19.8422619</v>
      </c>
      <c r="H5" s="6" t="n">
        <f aca="false">'Income Statement'!H6</f>
        <v>21.032797614</v>
      </c>
      <c r="I5" s="6" t="n">
        <f aca="false">'Income Statement'!I6</f>
        <v>22.29476547084</v>
      </c>
    </row>
    <row r="6" customFormat="false" ht="15" hidden="false" customHeight="true" outlineLevel="0" collapsed="false">
      <c r="A6" s="9" t="s">
        <v>113</v>
      </c>
      <c r="B6" s="26" t="n">
        <f aca="false">'Income Statement'!B7</f>
        <v>27.5</v>
      </c>
      <c r="C6" s="26" t="n">
        <f aca="false">'Income Statement'!C7</f>
        <v>31.6</v>
      </c>
      <c r="D6" s="26" t="n">
        <f aca="false">'Income Statement'!D7</f>
        <v>36.67</v>
      </c>
      <c r="E6" s="26" t="n">
        <f aca="false">'Income Statement'!E7</f>
        <v>38.367288</v>
      </c>
      <c r="F6" s="26" t="n">
        <f aca="false">'Income Statement'!F7</f>
        <v>40.73500776</v>
      </c>
      <c r="G6" s="26" t="n">
        <f aca="false">'Income Statement'!G7</f>
        <v>43.4092059384</v>
      </c>
      <c r="H6" s="26" t="n">
        <f aca="false">'Income Statement'!H7</f>
        <v>46.249427735088</v>
      </c>
      <c r="I6" s="26" t="n">
        <f aca="false">'Income Statement'!I7</f>
        <v>49.3079685755914</v>
      </c>
    </row>
    <row r="7" customFormat="false" ht="15" hidden="false" customHeight="true" outlineLevel="0" collapsed="false">
      <c r="A7" s="4" t="s">
        <v>114</v>
      </c>
      <c r="B7" s="24" t="n">
        <f aca="false">B5/B6</f>
        <v>0.294545454545455</v>
      </c>
      <c r="C7" s="24" t="n">
        <f aca="false">C5/C6</f>
        <v>0.382911392405063</v>
      </c>
      <c r="D7" s="24" t="n">
        <f aca="false">D5/D6</f>
        <v>0.445868557403872</v>
      </c>
      <c r="E7" s="24" t="n">
        <f aca="false">E5/E6</f>
        <v>0.451712927950498</v>
      </c>
      <c r="F7" s="24" t="n">
        <f aca="false">F5/F6</f>
        <v>0.455239142441249</v>
      </c>
      <c r="G7" s="24" t="n">
        <f aca="false">G5/G6</f>
        <v>0.457098015756318</v>
      </c>
      <c r="H7" s="24" t="n">
        <f aca="false">H5/H6</f>
        <v>0.454768818642983</v>
      </c>
      <c r="I7" s="24" t="n">
        <f aca="false">I5/I6</f>
        <v>0.452153396598789</v>
      </c>
    </row>
    <row r="8" customFormat="false" ht="15" hidden="false" customHeight="true" outlineLevel="0" collapsed="false">
      <c r="A8" s="4" t="s">
        <v>115</v>
      </c>
      <c r="B8" s="24" t="n">
        <f aca="false">B4/B6</f>
        <v>0.705454545454545</v>
      </c>
      <c r="C8" s="24" t="n">
        <f aca="false">C4/C6</f>
        <v>0.617088607594937</v>
      </c>
      <c r="D8" s="24" t="n">
        <f aca="false">D4/D6</f>
        <v>0.554131442596128</v>
      </c>
      <c r="E8" s="24" t="n">
        <f aca="false">E4/E6</f>
        <v>0.548287072049502</v>
      </c>
      <c r="F8" s="24" t="n">
        <f aca="false">F4/F6</f>
        <v>0.544760857558752</v>
      </c>
      <c r="G8" s="24" t="n">
        <f aca="false">G4/G6</f>
        <v>0.542901984243682</v>
      </c>
      <c r="H8" s="24" t="n">
        <f aca="false">H4/H6</f>
        <v>0.545231181357017</v>
      </c>
      <c r="I8" s="24" t="n">
        <f aca="false">I4/I6</f>
        <v>0.547846603401211</v>
      </c>
    </row>
    <row r="10" customFormat="false" ht="15" hidden="false" customHeight="true" outlineLevel="0" collapsed="false">
      <c r="A10" s="4" t="s">
        <v>116</v>
      </c>
      <c r="B10" s="27" t="n">
        <f aca="false">'Balance Sheet'!B5</f>
        <v>485</v>
      </c>
      <c r="C10" s="27" t="n">
        <f aca="false">'Balance Sheet'!C5</f>
        <v>528</v>
      </c>
      <c r="D10" s="27" t="n">
        <f aca="false">'Balance Sheet'!D5</f>
        <v>616</v>
      </c>
      <c r="E10" s="27" t="n">
        <f aca="false">'Balance Sheet'!E5</f>
        <v>677.6</v>
      </c>
      <c r="F10" s="27" t="n">
        <f aca="false">'Balance Sheet'!F5</f>
        <v>738.584</v>
      </c>
      <c r="G10" s="27" t="n">
        <f aca="false">'Balance Sheet'!G5</f>
        <v>797.67072</v>
      </c>
      <c r="H10" s="27" t="n">
        <f aca="false">'Balance Sheet'!H5</f>
        <v>861.4843776</v>
      </c>
      <c r="I10" s="27" t="n">
        <f aca="false">'Balance Sheet'!I5</f>
        <v>921.788284032</v>
      </c>
    </row>
    <row r="11" customFormat="false" ht="15" hidden="false" customHeight="true" outlineLevel="0" collapsed="false">
      <c r="A11" s="4" t="s">
        <v>117</v>
      </c>
      <c r="B11" s="27" t="n">
        <f aca="false">'Balance Sheet'!B9</f>
        <v>758</v>
      </c>
      <c r="C11" s="27" t="n">
        <f aca="false">'Balance Sheet'!C9</f>
        <v>786</v>
      </c>
      <c r="D11" s="27" t="n">
        <f aca="false">'Balance Sheet'!D9</f>
        <v>841</v>
      </c>
      <c r="E11" s="27" t="n">
        <f aca="false">'Balance Sheet'!E9</f>
        <v>908.28</v>
      </c>
      <c r="F11" s="27" t="n">
        <f aca="false">'Balance Sheet'!F9</f>
        <v>971.8596</v>
      </c>
      <c r="G11" s="27" t="n">
        <f aca="false">'Balance Sheet'!G9</f>
        <v>1039.889772</v>
      </c>
      <c r="H11" s="27" t="n">
        <f aca="false">'Balance Sheet'!H9</f>
        <v>1102.28315832</v>
      </c>
      <c r="I11" s="27" t="n">
        <f aca="false">'Balance Sheet'!I9</f>
        <v>1168.4201478192</v>
      </c>
    </row>
    <row r="12" customFormat="false" ht="15" hidden="false" customHeight="true" outlineLevel="0" collapsed="false">
      <c r="A12" s="4" t="s">
        <v>118</v>
      </c>
      <c r="B12" s="24" t="n">
        <f aca="false">B10/B11</f>
        <v>0.639841688654354</v>
      </c>
      <c r="C12" s="24" t="n">
        <f aca="false">C10/C11</f>
        <v>0.67175572519084</v>
      </c>
      <c r="D12" s="24" t="n">
        <f aca="false">D10/D11</f>
        <v>0.732461355529132</v>
      </c>
      <c r="E12" s="24" t="n">
        <f aca="false">E10/E11</f>
        <v>0.746025454705597</v>
      </c>
      <c r="F12" s="24" t="n">
        <f aca="false">F10/F11</f>
        <v>0.759969855728132</v>
      </c>
      <c r="G12" s="24" t="n">
        <f aca="false">G10/G11</f>
        <v>0.767072377744283</v>
      </c>
      <c r="H12" s="24" t="n">
        <f aca="false">H10/H11</f>
        <v>0.781545441475307</v>
      </c>
      <c r="I12" s="24" t="n">
        <f aca="false">I10/I11</f>
        <v>0.788918511677904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" t="s">
        <v>119</v>
      </c>
    </row>
    <row r="2" customFormat="false" ht="15" hidden="false" customHeight="true" outlineLevel="0" collapsed="false">
      <c r="A2" s="3" t="s">
        <v>120</v>
      </c>
    </row>
    <row r="4" customFormat="false" ht="15" hidden="false" customHeight="true" outlineLevel="0" collapsed="false">
      <c r="A4" s="13" t="s">
        <v>121</v>
      </c>
      <c r="B4" s="14"/>
    </row>
    <row r="5" customFormat="false" ht="15" hidden="false" customHeight="true" outlineLevel="0" collapsed="false">
      <c r="A5" s="4" t="s">
        <v>122</v>
      </c>
      <c r="B5" s="21" t="n">
        <f aca="false">Assumptions!$B$7/Assumptions!$B$5</f>
        <v>10.5882352941176</v>
      </c>
    </row>
    <row r="6" customFormat="false" ht="15" hidden="false" customHeight="true" outlineLevel="0" collapsed="false">
      <c r="A6" s="4" t="s">
        <v>123</v>
      </c>
      <c r="B6" s="25" t="n">
        <f aca="false">(Assumptions!$B$24-Assumptions!$B$14)/(Assumptions!$B$13-Assumptions!$B$14)</f>
        <v>1.84615384615385</v>
      </c>
    </row>
    <row r="7" customFormat="false" ht="15" hidden="false" customHeight="true" outlineLevel="0" collapsed="false">
      <c r="A7" s="4" t="s">
        <v>124</v>
      </c>
      <c r="B7" s="21" t="n">
        <f aca="false">B5*B6</f>
        <v>19.5475113122172</v>
      </c>
    </row>
    <row r="8" customFormat="false" ht="15" hidden="false" customHeight="true" outlineLevel="0" collapsed="false">
      <c r="A8" s="13" t="s">
        <v>125</v>
      </c>
      <c r="B8" s="14"/>
    </row>
    <row r="9" customFormat="false" ht="15" hidden="false" customHeight="true" outlineLevel="0" collapsed="false">
      <c r="A9" s="4" t="s">
        <v>126</v>
      </c>
      <c r="B9" s="6" t="n">
        <f aca="false">'Income Statement'!E17</f>
        <v>1.89551246971946</v>
      </c>
    </row>
    <row r="10" customFormat="false" ht="15" hidden="false" customHeight="true" outlineLevel="0" collapsed="false">
      <c r="A10" s="4" t="s">
        <v>57</v>
      </c>
      <c r="B10" s="23" t="n">
        <f aca="false">Assumptions!$B$23</f>
        <v>9.5</v>
      </c>
    </row>
    <row r="11" customFormat="false" ht="15" hidden="false" customHeight="true" outlineLevel="0" collapsed="false">
      <c r="A11" s="4" t="s">
        <v>127</v>
      </c>
      <c r="B11" s="21" t="n">
        <f aca="false">B9*B10</f>
        <v>18.0073684623348</v>
      </c>
    </row>
    <row r="12" customFormat="false" ht="15" hidden="false" customHeight="true" outlineLevel="0" collapsed="false">
      <c r="A12" s="9" t="s">
        <v>128</v>
      </c>
      <c r="B12" s="10" t="n">
        <f aca="false">Assumptions!$B$26*B7+(1-Assumptions!$B$26)*B11</f>
        <v>18.777439887276</v>
      </c>
    </row>
    <row r="14" customFormat="false" ht="15" hidden="false" customHeight="true" outlineLevel="0" collapsed="false">
      <c r="A14" s="13" t="s">
        <v>129</v>
      </c>
      <c r="B14" s="14"/>
    </row>
    <row r="15" customFormat="false" ht="15" hidden="false" customHeight="true" outlineLevel="0" collapsed="false">
      <c r="A15" s="4" t="s">
        <v>130</v>
      </c>
      <c r="B15" s="21" t="n">
        <f aca="false">(Assumptions!$B$7-Assumptions!$B$8)/Assumptions!$B$5</f>
        <v>9.59276018099548</v>
      </c>
    </row>
    <row r="16" customFormat="false" ht="15" hidden="false" customHeight="true" outlineLevel="0" collapsed="false">
      <c r="A16" s="4" t="s">
        <v>131</v>
      </c>
      <c r="B16" s="25" t="n">
        <f aca="false">(Assumptions!$B$25-Assumptions!$B$14)/(Assumptions!$B$13-Assumptions!$B$14)</f>
        <v>2.07692307692308</v>
      </c>
    </row>
    <row r="17" customFormat="false" ht="15" hidden="false" customHeight="true" outlineLevel="0" collapsed="false">
      <c r="A17" s="9" t="s">
        <v>132</v>
      </c>
      <c r="B17" s="10" t="n">
        <f aca="false">B15*B16</f>
        <v>19.9234249912983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133</v>
      </c>
    </row>
    <row r="2" customFormat="false" ht="15" hidden="false" customHeight="true" outlineLevel="0" collapsed="false">
      <c r="A2" s="3" t="s">
        <v>134</v>
      </c>
    </row>
    <row r="3" customFormat="false" ht="15" hidden="false" customHeight="true" outlineLevel="0" collapsed="false"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135</v>
      </c>
      <c r="E4" s="6" t="n">
        <f aca="false">'Capital &amp; Cash Flow'!E7</f>
        <v>12.8670127904</v>
      </c>
      <c r="F4" s="6" t="n">
        <f aca="false">'Capital &amp; Cash Flow'!F7</f>
        <v>13.06245595204</v>
      </c>
      <c r="G4" s="6" t="n">
        <f aca="false">'Capital &amp; Cash Flow'!G7</f>
        <v>14.5109291900085</v>
      </c>
      <c r="H4" s="6" t="n">
        <f aca="false">'Capital &amp; Cash Flow'!H7</f>
        <v>15.5140804555833</v>
      </c>
      <c r="I4" s="6" t="n">
        <f aca="false">'Capital &amp; Cash Flow'!I7</f>
        <v>18.319902975778</v>
      </c>
    </row>
    <row r="5" customFormat="false" ht="15" hidden="false" customHeight="true" outlineLevel="0" collapsed="false">
      <c r="A5" s="4" t="s">
        <v>89</v>
      </c>
      <c r="E5" s="21" t="n">
        <f aca="false">1/(1+Assumptions!$B$13)^1</f>
        <v>0.900900900900901</v>
      </c>
      <c r="F5" s="21" t="n">
        <f aca="false">1/(1+Assumptions!$B$13)^2</f>
        <v>0.811622433244055</v>
      </c>
      <c r="G5" s="21" t="n">
        <f aca="false">1/(1+Assumptions!$B$13)^3</f>
        <v>0.73119138130095</v>
      </c>
      <c r="H5" s="21" t="n">
        <f aca="false">1/(1+Assumptions!$B$13)^4</f>
        <v>0.658730974145</v>
      </c>
      <c r="I5" s="21" t="n">
        <f aca="false">1/(1+Assumptions!$B$13)^5</f>
        <v>0.593451328058559</v>
      </c>
    </row>
    <row r="6" customFormat="false" ht="15" hidden="false" customHeight="true" outlineLevel="0" collapsed="false">
      <c r="A6" s="4" t="s">
        <v>136</v>
      </c>
      <c r="E6" s="21" t="n">
        <f aca="false">E4*E5</f>
        <v>11.5919034147748</v>
      </c>
      <c r="F6" s="21" t="n">
        <f aca="false">F4*F5</f>
        <v>10.601782283938</v>
      </c>
      <c r="G6" s="21" t="n">
        <f aca="false">G4*G5</f>
        <v>10.6102663584026</v>
      </c>
      <c r="H6" s="21" t="n">
        <f aca="false">H4*H5</f>
        <v>10.2196053314703</v>
      </c>
      <c r="I6" s="21" t="n">
        <f aca="false">I4*I5</f>
        <v>10.8719707508794</v>
      </c>
    </row>
    <row r="8" customFormat="false" ht="15" hidden="false" customHeight="true" outlineLevel="0" collapsed="false">
      <c r="A8" s="9" t="s">
        <v>137</v>
      </c>
      <c r="B8" s="22" t="n">
        <f aca="false">SUM(E6:I6)</f>
        <v>53.895528139465</v>
      </c>
    </row>
    <row r="9" customFormat="false" ht="15" hidden="false" customHeight="true" outlineLevel="0" collapsed="false">
      <c r="A9" s="4" t="s">
        <v>138</v>
      </c>
      <c r="B9" s="21" t="n">
        <f aca="false">I4*(1+Assumptions!$B$14)/(Assumptions!$B$13-Assumptions!$B$14)</f>
        <v>294.527670918278</v>
      </c>
    </row>
    <row r="10" customFormat="false" ht="15" hidden="false" customHeight="true" outlineLevel="0" collapsed="false">
      <c r="A10" s="4" t="s">
        <v>139</v>
      </c>
      <c r="B10" s="21" t="n">
        <f aca="false">B9*I5</f>
        <v>174.787837456446</v>
      </c>
    </row>
    <row r="11" customFormat="false" ht="15" hidden="false" customHeight="true" outlineLevel="0" collapsed="false">
      <c r="A11" s="9" t="s">
        <v>140</v>
      </c>
      <c r="B11" s="10" t="n">
        <f aca="false">B8+B10</f>
        <v>228.683365595911</v>
      </c>
    </row>
    <row r="12" customFormat="false" ht="15" hidden="false" customHeight="true" outlineLevel="0" collapsed="false">
      <c r="A12" s="9" t="s">
        <v>105</v>
      </c>
      <c r="B12" s="22" t="n">
        <f aca="false">B11/Assumptions!$B$5</f>
        <v>20.6953272032499</v>
      </c>
    </row>
    <row r="13" customFormat="false" ht="15" hidden="false" customHeight="true" outlineLevel="0" collapsed="false">
      <c r="A13" s="4" t="s">
        <v>141</v>
      </c>
      <c r="B13" s="24" t="n">
        <f aca="false">B10/B11</f>
        <v>0.764322481440562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142</v>
      </c>
    </row>
    <row r="2" customFormat="false" ht="15" hidden="false" customHeight="true" outlineLevel="0" collapsed="false">
      <c r="A2" s="3" t="s">
        <v>143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144</v>
      </c>
      <c r="B4" s="27" t="n">
        <f aca="false">Assumptions!$B$35*'Balance Sheet'!B12</f>
        <v>983.64</v>
      </c>
      <c r="C4" s="27" t="n">
        <f aca="false">Assumptions!$B$35*('Balance Sheet'!C12+'Balance Sheet'!B12)/2</f>
        <v>1000.02</v>
      </c>
      <c r="D4" s="27" t="n">
        <f aca="false">Assumptions!$B$35*('Balance Sheet'!D12+'Balance Sheet'!C12)/2</f>
        <v>1096.2</v>
      </c>
      <c r="E4" s="27" t="n">
        <f aca="false">Assumptions!$B$35*('Balance Sheet'!E12+'Balance Sheet'!D12)/2</f>
        <v>1223.04</v>
      </c>
      <c r="F4" s="27" t="n">
        <f aca="false">Assumptions!$B$35*('Balance Sheet'!F12+'Balance Sheet'!E12)/2</f>
        <v>1320.8832</v>
      </c>
      <c r="G4" s="27" t="n">
        <f aca="false">Assumptions!$B$35*('Balance Sheet'!G12+'Balance Sheet'!F12)/2</f>
        <v>1419.695424</v>
      </c>
      <c r="H4" s="27" t="n">
        <f aca="false">Assumptions!$B$35*('Balance Sheet'!H12+'Balance Sheet'!G12)/2</f>
        <v>1519.07410368</v>
      </c>
      <c r="I4" s="27" t="n">
        <f aca="false">Assumptions!$B$35*('Balance Sheet'!I12+'Balance Sheet'!H12)/2</f>
        <v>1617.5570721408</v>
      </c>
    </row>
    <row r="5" customFormat="false" ht="15" hidden="false" customHeight="true" outlineLevel="0" collapsed="false">
      <c r="A5" s="4" t="s">
        <v>111</v>
      </c>
      <c r="B5" s="8" t="n">
        <v>19.4</v>
      </c>
      <c r="C5" s="8" t="n">
        <v>19.5</v>
      </c>
      <c r="D5" s="8" t="n">
        <v>20.32</v>
      </c>
      <c r="E5" s="21" t="n">
        <f aca="false">Assumptions!E41*E4</f>
        <v>21.036288</v>
      </c>
      <c r="F5" s="21" t="n">
        <f aca="false">Assumptions!F41*F4</f>
        <v>22.19083776</v>
      </c>
      <c r="G5" s="21" t="n">
        <f aca="false">Assumptions!G41*G4</f>
        <v>23.5669440384</v>
      </c>
      <c r="H5" s="21" t="n">
        <f aca="false">Assumptions!H41*H4</f>
        <v>25.216630121088</v>
      </c>
      <c r="I5" s="21" t="n">
        <f aca="false">Assumptions!I41*I4</f>
        <v>27.0132031047514</v>
      </c>
    </row>
    <row r="6" customFormat="false" ht="15" hidden="false" customHeight="true" outlineLevel="0" collapsed="false">
      <c r="A6" s="4" t="s">
        <v>112</v>
      </c>
      <c r="B6" s="8" t="n">
        <v>8.1</v>
      </c>
      <c r="C6" s="8" t="n">
        <v>12.1</v>
      </c>
      <c r="D6" s="8" t="n">
        <v>16.35</v>
      </c>
      <c r="E6" s="21" t="n">
        <f aca="false">D6*(1+Assumptions!E42)</f>
        <v>17.331</v>
      </c>
      <c r="F6" s="21" t="n">
        <f aca="false">E6*(1+Assumptions!F42)</f>
        <v>18.54417</v>
      </c>
      <c r="G6" s="21" t="n">
        <f aca="false">F6*(1+Assumptions!G42)</f>
        <v>19.8422619</v>
      </c>
      <c r="H6" s="21" t="n">
        <f aca="false">G6*(1+Assumptions!H42)</f>
        <v>21.032797614</v>
      </c>
      <c r="I6" s="21" t="n">
        <f aca="false">H6*(1+Assumptions!I42)</f>
        <v>22.29476547084</v>
      </c>
    </row>
    <row r="7" customFormat="false" ht="15" hidden="false" customHeight="true" outlineLevel="0" collapsed="false">
      <c r="A7" s="9" t="s">
        <v>113</v>
      </c>
      <c r="B7" s="10" t="n">
        <f aca="false">B5+B6</f>
        <v>27.5</v>
      </c>
      <c r="C7" s="10" t="n">
        <f aca="false">C5+C6</f>
        <v>31.6</v>
      </c>
      <c r="D7" s="10" t="n">
        <f aca="false">D5+D6</f>
        <v>36.67</v>
      </c>
      <c r="E7" s="10" t="n">
        <f aca="false">E5+E6</f>
        <v>38.367288</v>
      </c>
      <c r="F7" s="10" t="n">
        <f aca="false">F5+F6</f>
        <v>40.73500776</v>
      </c>
      <c r="G7" s="10" t="n">
        <f aca="false">G5+G6</f>
        <v>43.4092059384</v>
      </c>
      <c r="H7" s="10" t="n">
        <f aca="false">H5+H6</f>
        <v>46.249427735088</v>
      </c>
      <c r="I7" s="10" t="n">
        <f aca="false">I5+I6</f>
        <v>49.3079685755914</v>
      </c>
    </row>
    <row r="8" customFormat="false" ht="15" hidden="false" customHeight="true" outlineLevel="0" collapsed="false">
      <c r="A8" s="4" t="s">
        <v>145</v>
      </c>
      <c r="B8" s="8" t="n">
        <v>-6.05</v>
      </c>
      <c r="C8" s="8" t="n">
        <v>-6.9</v>
      </c>
      <c r="D8" s="8" t="n">
        <v>-8</v>
      </c>
      <c r="E8" s="21" t="n">
        <f aca="false">-Assumptions!E43*E7</f>
        <v>-8.44080336</v>
      </c>
      <c r="F8" s="21" t="n">
        <f aca="false">-Assumptions!F43*F7</f>
        <v>-9.165376746</v>
      </c>
      <c r="G8" s="21" t="n">
        <f aca="false">-Assumptions!G43*G7</f>
        <v>-9.984117365832</v>
      </c>
      <c r="H8" s="21" t="n">
        <f aca="false">-Assumptions!H43*H7</f>
        <v>-10.6373683790702</v>
      </c>
      <c r="I8" s="21" t="n">
        <f aca="false">-Assumptions!I43*I7</f>
        <v>-11.340832772386</v>
      </c>
    </row>
    <row r="9" customFormat="false" ht="15" hidden="false" customHeight="true" outlineLevel="0" collapsed="false">
      <c r="A9" s="9" t="s">
        <v>146</v>
      </c>
      <c r="B9" s="10" t="n">
        <f aca="false">B7+B8</f>
        <v>21.45</v>
      </c>
      <c r="C9" s="10" t="n">
        <f aca="false">C7+C8</f>
        <v>24.7</v>
      </c>
      <c r="D9" s="10" t="n">
        <f aca="false">D7+D8</f>
        <v>28.67</v>
      </c>
      <c r="E9" s="10" t="n">
        <f aca="false">E7+E8</f>
        <v>29.92648464</v>
      </c>
      <c r="F9" s="10" t="n">
        <f aca="false">F7+F8</f>
        <v>31.569631014</v>
      </c>
      <c r="G9" s="10" t="n">
        <f aca="false">G7+G8</f>
        <v>33.425088572568</v>
      </c>
      <c r="H9" s="10" t="n">
        <f aca="false">H7+H8</f>
        <v>35.6120593560178</v>
      </c>
      <c r="I9" s="10" t="n">
        <f aca="false">I7+I8</f>
        <v>37.9671358032054</v>
      </c>
    </row>
    <row r="10" customFormat="false" ht="15" hidden="false" customHeight="true" outlineLevel="0" collapsed="false">
      <c r="A10" s="4" t="s">
        <v>147</v>
      </c>
      <c r="B10" s="8" t="n">
        <v>-3.2</v>
      </c>
      <c r="C10" s="8" t="n">
        <v>-3.5</v>
      </c>
      <c r="D10" s="8" t="n">
        <v>-3</v>
      </c>
      <c r="E10" s="21" t="n">
        <f aca="false">-Assumptions!E44/10000*('Balance Sheet'!E5+'Balance Sheet'!D5)/2</f>
        <v>-3.5574</v>
      </c>
      <c r="F10" s="21" t="n">
        <f aca="false">-Assumptions!F44/10000*('Balance Sheet'!F5+'Balance Sheet'!E5)/2</f>
        <v>-4.248552</v>
      </c>
      <c r="G10" s="21" t="n">
        <f aca="false">-Assumptions!G44/10000*('Balance Sheet'!G5+'Balance Sheet'!F5)/2</f>
        <v>-4.99282784</v>
      </c>
      <c r="H10" s="21" t="n">
        <f aca="false">-Assumptions!H44/10000*('Balance Sheet'!H5+'Balance Sheet'!G5)/2</f>
        <v>-5.3922540672</v>
      </c>
      <c r="I10" s="21" t="n">
        <f aca="false">-Assumptions!I44/10000*('Balance Sheet'!I5+'Balance Sheet'!H5)/2</f>
        <v>-5.349817984896</v>
      </c>
    </row>
    <row r="11" customFormat="false" ht="15" hidden="false" customHeight="true" outlineLevel="0" collapsed="false">
      <c r="A11" s="4" t="s">
        <v>148</v>
      </c>
      <c r="B11" s="8" t="n">
        <v>-0.65</v>
      </c>
      <c r="C11" s="8" t="n">
        <v>-1.3</v>
      </c>
      <c r="D11" s="8" t="n">
        <v>-1.28</v>
      </c>
      <c r="E11" s="21" t="n">
        <f aca="false">Assumptions!E49</f>
        <v>-1.2</v>
      </c>
      <c r="F11" s="21" t="n">
        <f aca="false">Assumptions!F49</f>
        <v>-1.15</v>
      </c>
      <c r="G11" s="21" t="n">
        <f aca="false">Assumptions!G49</f>
        <v>-1.1</v>
      </c>
      <c r="H11" s="21" t="n">
        <f aca="false">Assumptions!H49</f>
        <v>-1.05</v>
      </c>
      <c r="I11" s="21" t="n">
        <f aca="false">Assumptions!I49</f>
        <v>-1</v>
      </c>
    </row>
    <row r="12" customFormat="false" ht="15" hidden="false" customHeight="true" outlineLevel="0" collapsed="false">
      <c r="A12" s="9" t="s">
        <v>149</v>
      </c>
      <c r="B12" s="10" t="n">
        <f aca="false">B9+B10+B11</f>
        <v>17.6</v>
      </c>
      <c r="C12" s="10" t="n">
        <f aca="false">C9+C10+C11</f>
        <v>19.9</v>
      </c>
      <c r="D12" s="10" t="n">
        <f aca="false">D9+D10+D11</f>
        <v>24.39</v>
      </c>
      <c r="E12" s="10" t="n">
        <f aca="false">E9+E10+E11</f>
        <v>25.16908464</v>
      </c>
      <c r="F12" s="10" t="n">
        <f aca="false">F9+F10+F11</f>
        <v>26.171079014</v>
      </c>
      <c r="G12" s="10" t="n">
        <f aca="false">G9+G10+G11</f>
        <v>27.332260732568</v>
      </c>
      <c r="H12" s="10" t="n">
        <f aca="false">H9+H10+H11</f>
        <v>29.1698052888178</v>
      </c>
      <c r="I12" s="10" t="n">
        <f aca="false">I9+I10+I11</f>
        <v>31.6173178183094</v>
      </c>
    </row>
    <row r="13" customFormat="false" ht="15" hidden="false" customHeight="true" outlineLevel="0" collapsed="false">
      <c r="A13" s="4" t="s">
        <v>150</v>
      </c>
      <c r="B13" s="8" t="n">
        <v>-1.2</v>
      </c>
      <c r="C13" s="8" t="n">
        <v>-2.8</v>
      </c>
      <c r="D13" s="8" t="n">
        <v>-3.3</v>
      </c>
      <c r="E13" s="21" t="n">
        <f aca="false">-E12*Assumptions!$B$15</f>
        <v>-3.5236718496</v>
      </c>
      <c r="F13" s="21" t="n">
        <f aca="false">-F12*Assumptions!$B$15</f>
        <v>-3.66395106196</v>
      </c>
      <c r="G13" s="21" t="n">
        <f aca="false">-G12*Assumptions!$B$15</f>
        <v>-3.82651650255952</v>
      </c>
      <c r="H13" s="21" t="n">
        <f aca="false">-H12*Assumptions!$B$15</f>
        <v>-4.08377274043449</v>
      </c>
      <c r="I13" s="21" t="n">
        <f aca="false">-I12*Assumptions!$B$15</f>
        <v>-4.42642449456331</v>
      </c>
    </row>
    <row r="14" customFormat="false" ht="15" hidden="false" customHeight="true" outlineLevel="0" collapsed="false">
      <c r="A14" s="9" t="s">
        <v>151</v>
      </c>
      <c r="B14" s="10" t="n">
        <f aca="false">B12+B13</f>
        <v>16.4</v>
      </c>
      <c r="C14" s="10" t="n">
        <f aca="false">C12+C13</f>
        <v>17.1</v>
      </c>
      <c r="D14" s="10" t="n">
        <f aca="false">D12+D13</f>
        <v>21.09</v>
      </c>
      <c r="E14" s="10" t="n">
        <f aca="false">E12+E13</f>
        <v>21.6454127904</v>
      </c>
      <c r="F14" s="10" t="n">
        <f aca="false">F12+F13</f>
        <v>22.50712795204</v>
      </c>
      <c r="G14" s="10" t="n">
        <f aca="false">G12+G13</f>
        <v>23.5057442300085</v>
      </c>
      <c r="H14" s="10" t="n">
        <f aca="false">H12+H13</f>
        <v>25.0860325483833</v>
      </c>
      <c r="I14" s="10" t="n">
        <f aca="false">I12+I13</f>
        <v>27.1908933237461</v>
      </c>
    </row>
    <row r="15" customFormat="false" ht="15" hidden="false" customHeight="true" outlineLevel="0" collapsed="false">
      <c r="A15" s="4" t="s">
        <v>152</v>
      </c>
      <c r="B15" s="8" t="n">
        <v>-0.55</v>
      </c>
      <c r="C15" s="8" t="n">
        <v>-0.65</v>
      </c>
      <c r="D15" s="8" t="n">
        <v>-0.67</v>
      </c>
      <c r="E15" s="21" t="n">
        <f aca="false">-Assumptions!E48</f>
        <v>-0.7</v>
      </c>
      <c r="F15" s="21" t="n">
        <f aca="false">-Assumptions!F48</f>
        <v>-0.72</v>
      </c>
      <c r="G15" s="21" t="n">
        <f aca="false">-Assumptions!G48</f>
        <v>-0.75</v>
      </c>
      <c r="H15" s="21" t="n">
        <f aca="false">-Assumptions!H48</f>
        <v>-0.75</v>
      </c>
      <c r="I15" s="21" t="n">
        <f aca="false">-Assumptions!I48</f>
        <v>-0.78</v>
      </c>
    </row>
    <row r="16" customFormat="false" ht="15" hidden="false" customHeight="true" outlineLevel="0" collapsed="false">
      <c r="A16" s="9" t="s">
        <v>153</v>
      </c>
      <c r="B16" s="10" t="n">
        <f aca="false">B14+B15</f>
        <v>15.85</v>
      </c>
      <c r="C16" s="10" t="n">
        <f aca="false">C14+C15</f>
        <v>16.45</v>
      </c>
      <c r="D16" s="10" t="n">
        <f aca="false">D14+D15</f>
        <v>20.42</v>
      </c>
      <c r="E16" s="10" t="n">
        <f aca="false">E14+E15</f>
        <v>20.9454127904</v>
      </c>
      <c r="F16" s="10" t="n">
        <f aca="false">F14+F15</f>
        <v>21.78712795204</v>
      </c>
      <c r="G16" s="10" t="n">
        <f aca="false">G14+G15</f>
        <v>22.7557442300085</v>
      </c>
      <c r="H16" s="10" t="n">
        <f aca="false">H14+H15</f>
        <v>24.3360325483833</v>
      </c>
      <c r="I16" s="10" t="n">
        <f aca="false">I14+I15</f>
        <v>26.4108933237461</v>
      </c>
    </row>
    <row r="17" customFormat="false" ht="15" hidden="false" customHeight="true" outlineLevel="0" collapsed="false">
      <c r="A17" s="9" t="s">
        <v>154</v>
      </c>
      <c r="B17" s="22" t="n">
        <f aca="false">B16/Assumptions!$B$5</f>
        <v>1.43438914027149</v>
      </c>
      <c r="C17" s="22" t="n">
        <f aca="false">C16/Assumptions!$B$5</f>
        <v>1.48868778280543</v>
      </c>
      <c r="D17" s="22" t="n">
        <f aca="false">D16/Assumptions!$B$5</f>
        <v>1.84796380090498</v>
      </c>
      <c r="E17" s="22" t="n">
        <f aca="false">E16/Assumptions!$B$5</f>
        <v>1.89551246971946</v>
      </c>
      <c r="F17" s="22" t="n">
        <f aca="false">F16/Assumptions!$B$5</f>
        <v>1.97168578751493</v>
      </c>
      <c r="G17" s="22" t="n">
        <f aca="false">G16/Assumptions!$B$5</f>
        <v>2.05934336923154</v>
      </c>
      <c r="H17" s="22" t="n">
        <f aca="false">H16/Assumptions!$B$5</f>
        <v>2.20235588673152</v>
      </c>
      <c r="I17" s="22" t="n">
        <f aca="false">I16/Assumptions!$B$5</f>
        <v>2.3901260926467</v>
      </c>
    </row>
    <row r="18" customFormat="false" ht="15" hidden="false" customHeight="true" outlineLevel="0" collapsed="false">
      <c r="A18" s="4" t="s">
        <v>88</v>
      </c>
      <c r="B18" s="8" t="n">
        <v>0.71</v>
      </c>
      <c r="C18" s="8" t="n">
        <v>0.75</v>
      </c>
      <c r="D18" s="8" t="n">
        <v>0.8</v>
      </c>
      <c r="E18" s="21" t="n">
        <f aca="false">E17*Assumptions!E50</f>
        <v>0.852980611373756</v>
      </c>
      <c r="F18" s="21" t="n">
        <f aca="false">F17*Assumptions!F50</f>
        <v>0.906975462256869</v>
      </c>
      <c r="G18" s="21" t="n">
        <f aca="false">G17*Assumptions!G50</f>
        <v>0.967891383538822</v>
      </c>
      <c r="H18" s="21" t="n">
        <f aca="false">H17*Assumptions!H50</f>
        <v>1.05713082563113</v>
      </c>
      <c r="I18" s="21" t="n">
        <f aca="false">I17*Assumptions!I50</f>
        <v>1.19506304632335</v>
      </c>
    </row>
    <row r="19" customFormat="false" ht="15" hidden="false" customHeight="true" outlineLevel="0" collapsed="false">
      <c r="A19" s="4" t="s">
        <v>78</v>
      </c>
      <c r="B19" s="24" t="n">
        <f aca="false">-B8/B7</f>
        <v>0.22</v>
      </c>
      <c r="C19" s="24" t="n">
        <f aca="false">-C8/C7</f>
        <v>0.218354430379747</v>
      </c>
      <c r="D19" s="24" t="n">
        <f aca="false">-D8/D7</f>
        <v>0.218161985274066</v>
      </c>
      <c r="E19" s="24" t="n">
        <f aca="false">-E8/E7</f>
        <v>0.22</v>
      </c>
      <c r="F19" s="24" t="n">
        <f aca="false">-F8/F7</f>
        <v>0.225</v>
      </c>
      <c r="G19" s="24" t="n">
        <f aca="false">-G8/G7</f>
        <v>0.23</v>
      </c>
      <c r="H19" s="24" t="n">
        <f aca="false">-H8/H7</f>
        <v>0.23</v>
      </c>
      <c r="I19" s="24" t="n">
        <f aca="false">-I8/I7</f>
        <v>0.23</v>
      </c>
    </row>
    <row r="20" customFormat="false" ht="15" hidden="false" customHeight="true" outlineLevel="0" collapsed="false">
      <c r="A20" s="4" t="s">
        <v>155</v>
      </c>
      <c r="C20" s="24" t="n">
        <f aca="false">C14/B14-1</f>
        <v>0.0426829268292683</v>
      </c>
      <c r="D20" s="24" t="n">
        <f aca="false">D14/C14-1</f>
        <v>0.233333333333333</v>
      </c>
      <c r="E20" s="24" t="n">
        <f aca="false">E14/D14-1</f>
        <v>0.0263353622759603</v>
      </c>
      <c r="F20" s="24" t="n">
        <f aca="false">F14/E14-1</f>
        <v>0.0398105210551667</v>
      </c>
      <c r="G20" s="24" t="n">
        <f aca="false">G14/F14-1</f>
        <v>0.0443688897178001</v>
      </c>
      <c r="H20" s="24" t="n">
        <f aca="false">H14/G14-1</f>
        <v>0.0672298780634797</v>
      </c>
      <c r="I20" s="24" t="n">
        <f aca="false">I14/H14-1</f>
        <v>0.0839056862141565</v>
      </c>
    </row>
    <row r="22" customFormat="false" ht="15" hidden="false" customHeight="true" outlineLevel="0" collapsed="false">
      <c r="A22" s="3" t="s">
        <v>156</v>
      </c>
    </row>
    <row r="23" customFormat="false" ht="15" hidden="false" customHeight="true" outlineLevel="0" collapsed="false">
      <c r="A23" s="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158</v>
      </c>
    </row>
    <row r="2" customFormat="false" ht="15" hidden="false" customHeight="true" outlineLevel="0" collapsed="false">
      <c r="A2" s="3" t="s">
        <v>159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160</v>
      </c>
      <c r="B4" s="15" t="n">
        <v>180</v>
      </c>
      <c r="C4" s="15" t="n">
        <v>175</v>
      </c>
      <c r="D4" s="15" t="n">
        <v>200</v>
      </c>
      <c r="E4" s="28" t="n">
        <f aca="false">D4*(1+Assumptions!E40)</f>
        <v>216</v>
      </c>
      <c r="F4" s="28" t="n">
        <f aca="false">E4*(1+Assumptions!F40)</f>
        <v>233.28</v>
      </c>
      <c r="G4" s="28" t="n">
        <f aca="false">F4*(1+Assumptions!G40)</f>
        <v>249.6096</v>
      </c>
      <c r="H4" s="28" t="n">
        <f aca="false">G4*(1+Assumptions!H40)</f>
        <v>267.082272</v>
      </c>
      <c r="I4" s="28" t="n">
        <f aca="false">H4*(1+Assumptions!I40)</f>
        <v>283.10720832</v>
      </c>
    </row>
    <row r="5" customFormat="false" ht="15" hidden="false" customHeight="true" outlineLevel="0" collapsed="false">
      <c r="A5" s="4" t="s">
        <v>116</v>
      </c>
      <c r="B5" s="15" t="n">
        <v>485</v>
      </c>
      <c r="C5" s="15" t="n">
        <v>528</v>
      </c>
      <c r="D5" s="15" t="n">
        <v>616</v>
      </c>
      <c r="E5" s="28" t="n">
        <f aca="false">D5*(1+Assumptions!E45)</f>
        <v>677.6</v>
      </c>
      <c r="F5" s="28" t="n">
        <f aca="false">E5*(1+Assumptions!F45)</f>
        <v>738.584</v>
      </c>
      <c r="G5" s="28" t="n">
        <f aca="false">F5*(1+Assumptions!G45)</f>
        <v>797.67072</v>
      </c>
      <c r="H5" s="28" t="n">
        <f aca="false">G5*(1+Assumptions!H45)</f>
        <v>861.4843776</v>
      </c>
      <c r="I5" s="28" t="n">
        <f aca="false">H5*(1+Assumptions!I45)</f>
        <v>921.788284032</v>
      </c>
    </row>
    <row r="6" customFormat="false" ht="15" hidden="false" customHeight="true" outlineLevel="0" collapsed="false">
      <c r="A6" s="4" t="s">
        <v>161</v>
      </c>
      <c r="B6" s="15" t="n">
        <v>230</v>
      </c>
      <c r="C6" s="15" t="n">
        <v>240</v>
      </c>
      <c r="D6" s="15" t="n">
        <v>260</v>
      </c>
      <c r="E6" s="28" t="n">
        <f aca="false">D6*(1+Assumptions!E40)</f>
        <v>280.8</v>
      </c>
      <c r="F6" s="28" t="n">
        <f aca="false">E6*(1+Assumptions!F40)</f>
        <v>303.264</v>
      </c>
      <c r="G6" s="28" t="n">
        <f aca="false">F6*(1+Assumptions!G40)</f>
        <v>324.49248</v>
      </c>
      <c r="H6" s="28" t="n">
        <f aca="false">G6*(1+Assumptions!H40)</f>
        <v>347.2069536</v>
      </c>
      <c r="I6" s="28" t="n">
        <f aca="false">H6*(1+Assumptions!I40)</f>
        <v>368.039370816</v>
      </c>
    </row>
    <row r="7" customFormat="false" ht="15" hidden="false" customHeight="true" outlineLevel="0" collapsed="false">
      <c r="A7" s="9" t="s">
        <v>162</v>
      </c>
      <c r="B7" s="15" t="n">
        <v>1171</v>
      </c>
      <c r="C7" s="15" t="n">
        <v>1210</v>
      </c>
      <c r="D7" s="15" t="n">
        <v>1400</v>
      </c>
      <c r="E7" s="29" t="n">
        <f aca="false">D7*(1+Assumptions!E40)</f>
        <v>1512</v>
      </c>
      <c r="F7" s="29" t="n">
        <f aca="false">E7*(1+Assumptions!F40)</f>
        <v>1632.96</v>
      </c>
      <c r="G7" s="29" t="n">
        <f aca="false">F7*(1+Assumptions!G40)</f>
        <v>1747.2672</v>
      </c>
      <c r="H7" s="29" t="n">
        <f aca="false">G7*(1+Assumptions!H40)</f>
        <v>1869.575904</v>
      </c>
      <c r="I7" s="29" t="n">
        <f aca="false">H7*(1+Assumptions!I40)</f>
        <v>1981.75045824</v>
      </c>
    </row>
    <row r="8" customFormat="false" ht="15" hidden="false" customHeight="true" outlineLevel="0" collapsed="false">
      <c r="A8" s="4" t="s">
        <v>163</v>
      </c>
      <c r="B8" s="28" t="n">
        <f aca="false">B7-B4-B5-B6</f>
        <v>276</v>
      </c>
      <c r="C8" s="28" t="n">
        <f aca="false">C7-C4-C5-C6</f>
        <v>267</v>
      </c>
      <c r="D8" s="28" t="n">
        <f aca="false">D7-D4-D5-D6</f>
        <v>324</v>
      </c>
      <c r="E8" s="28" t="n">
        <f aca="false">E7-E4-E5-E6</f>
        <v>337.6</v>
      </c>
      <c r="F8" s="28" t="n">
        <f aca="false">F7-F4-F5-F6</f>
        <v>357.832</v>
      </c>
      <c r="G8" s="28" t="n">
        <f aca="false">G7-G4-G5-G6</f>
        <v>375.4944</v>
      </c>
      <c r="H8" s="28" t="n">
        <f aca="false">H7-H4-H5-H6</f>
        <v>393.8023008</v>
      </c>
      <c r="I8" s="28" t="n">
        <f aca="false">I7-I4-I5-I6</f>
        <v>408.815595072</v>
      </c>
    </row>
    <row r="9" customFormat="false" ht="15" hidden="false" customHeight="true" outlineLevel="0" collapsed="false">
      <c r="A9" s="4" t="s">
        <v>117</v>
      </c>
      <c r="B9" s="15" t="n">
        <v>758</v>
      </c>
      <c r="C9" s="15" t="n">
        <v>786</v>
      </c>
      <c r="D9" s="15" t="n">
        <v>841</v>
      </c>
      <c r="E9" s="28" t="n">
        <f aca="false">D9*(1+Assumptions!E46)</f>
        <v>908.28</v>
      </c>
      <c r="F9" s="28" t="n">
        <f aca="false">E9*(1+Assumptions!F46)</f>
        <v>971.8596</v>
      </c>
      <c r="G9" s="28" t="n">
        <f aca="false">F9*(1+Assumptions!G46)</f>
        <v>1039.889772</v>
      </c>
      <c r="H9" s="28" t="n">
        <f aca="false">G9*(1+Assumptions!H46)</f>
        <v>1102.28315832</v>
      </c>
      <c r="I9" s="28" t="n">
        <f aca="false">H9*(1+Assumptions!I46)</f>
        <v>1168.4201478192</v>
      </c>
    </row>
    <row r="10" customFormat="false" ht="15" hidden="false" customHeight="true" outlineLevel="0" collapsed="false">
      <c r="A10" s="4" t="s">
        <v>164</v>
      </c>
      <c r="B10" s="15" t="n">
        <v>240</v>
      </c>
      <c r="C10" s="15" t="n">
        <v>245</v>
      </c>
      <c r="D10" s="15" t="n">
        <v>310</v>
      </c>
      <c r="E10" s="28" t="n">
        <f aca="false">D10*(1+Assumptions!E46)</f>
        <v>334.8</v>
      </c>
      <c r="F10" s="28" t="n">
        <f aca="false">E10*(1+Assumptions!F46)</f>
        <v>358.236</v>
      </c>
      <c r="G10" s="28" t="n">
        <f aca="false">F10*(1+Assumptions!G46)</f>
        <v>383.31252</v>
      </c>
      <c r="H10" s="28" t="n">
        <f aca="false">G10*(1+Assumptions!H46)</f>
        <v>406.3112712</v>
      </c>
      <c r="I10" s="28" t="n">
        <f aca="false">H10*(1+Assumptions!I46)</f>
        <v>430.689947472</v>
      </c>
    </row>
    <row r="11" customFormat="false" ht="15" hidden="false" customHeight="true" outlineLevel="0" collapsed="false">
      <c r="A11" s="4" t="s">
        <v>165</v>
      </c>
      <c r="B11" s="28" t="n">
        <f aca="false">B7-B9-B10-B16</f>
        <v>59</v>
      </c>
      <c r="C11" s="28" t="n">
        <f aca="false">C7-C9-C10-C16</f>
        <v>56.4</v>
      </c>
      <c r="D11" s="28" t="n">
        <f aca="false">D7-D9-D10-D16</f>
        <v>114</v>
      </c>
      <c r="E11" s="28" t="n">
        <f aca="false">E7-E9-E10-E16</f>
        <v>122.40002296528</v>
      </c>
      <c r="F11" s="28" t="n">
        <f aca="false">F7-F9-F10-F16</f>
        <v>144.579373871178</v>
      </c>
      <c r="G11" s="28" t="n">
        <f aca="false">G7-G9-G10-G16</f>
        <v>153.719337429274</v>
      </c>
      <c r="H11" s="28" t="n">
        <f aca="false">H7-H9-H10-H16</f>
        <v>177.981166984115</v>
      </c>
      <c r="I11" s="28" t="n">
        <f aca="false">I7-I9-I10-I16</f>
        <v>186.434608791042</v>
      </c>
    </row>
    <row r="12" customFormat="false" ht="15" hidden="false" customHeight="true" outlineLevel="0" collapsed="false">
      <c r="A12" s="4" t="s">
        <v>166</v>
      </c>
      <c r="B12" s="27" t="n">
        <f aca="false">B7</f>
        <v>1171</v>
      </c>
      <c r="C12" s="27" t="n">
        <f aca="false">C7</f>
        <v>1210</v>
      </c>
      <c r="D12" s="27" t="n">
        <f aca="false">D7</f>
        <v>1400</v>
      </c>
      <c r="E12" s="27" t="n">
        <f aca="false">E7</f>
        <v>1512</v>
      </c>
      <c r="F12" s="27" t="n">
        <f aca="false">F7</f>
        <v>1632.96</v>
      </c>
      <c r="G12" s="27" t="n">
        <f aca="false">G7</f>
        <v>1747.2672</v>
      </c>
      <c r="H12" s="27" t="n">
        <f aca="false">H7</f>
        <v>1869.575904</v>
      </c>
      <c r="I12" s="27" t="n">
        <f aca="false">I7</f>
        <v>1981.75045824</v>
      </c>
    </row>
    <row r="13" customFormat="false" ht="15" hidden="false" customHeight="true" outlineLevel="0" collapsed="false">
      <c r="A13" s="9" t="s">
        <v>167</v>
      </c>
      <c r="B13" s="15" t="n">
        <v>102</v>
      </c>
      <c r="C13" s="15" t="n">
        <v>110</v>
      </c>
      <c r="D13" s="27" t="n">
        <f aca="false">Assumptions!$B$7</f>
        <v>117</v>
      </c>
      <c r="E13" s="29" t="n">
        <f aca="false">D13+'Income Statement'!E16-'Income Statement'!E18*Assumptions!$B$5</f>
        <v>128.51997703472</v>
      </c>
      <c r="F13" s="29" t="n">
        <f aca="false">E13+'Income Statement'!F16-'Income Statement'!F18*Assumptions!$B$5</f>
        <v>140.285026128822</v>
      </c>
      <c r="G13" s="29" t="n">
        <f aca="false">F13+'Income Statement'!G16-'Income Statement'!G18*Assumptions!$B$5</f>
        <v>152.345570570726</v>
      </c>
      <c r="H13" s="29" t="n">
        <f aca="false">G13+'Income Statement'!H16-'Income Statement'!H18*Assumptions!$B$5</f>
        <v>165.000307495885</v>
      </c>
      <c r="I13" s="29" t="n">
        <f aca="false">H13+'Income Statement'!I16-'Income Statement'!I18*Assumptions!$B$5</f>
        <v>178.205754157758</v>
      </c>
    </row>
    <row r="14" customFormat="false" ht="15" hidden="false" customHeight="true" outlineLevel="0" collapsed="false">
      <c r="A14" s="4" t="s">
        <v>168</v>
      </c>
      <c r="B14" s="15" t="n">
        <v>10</v>
      </c>
      <c r="C14" s="15" t="n">
        <v>10.2</v>
      </c>
      <c r="D14" s="15" t="n">
        <v>10.4</v>
      </c>
      <c r="E14" s="27" t="n">
        <f aca="false">Assumptions!$B$36</f>
        <v>10.4</v>
      </c>
      <c r="F14" s="27" t="n">
        <f aca="false">Assumptions!$B$36</f>
        <v>10.4</v>
      </c>
      <c r="G14" s="27" t="n">
        <f aca="false">Assumptions!$B$36</f>
        <v>10.4</v>
      </c>
      <c r="H14" s="27" t="n">
        <f aca="false">Assumptions!$B$36</f>
        <v>10.4</v>
      </c>
      <c r="I14" s="27" t="n">
        <f aca="false">Assumptions!$B$36</f>
        <v>10.4</v>
      </c>
    </row>
    <row r="15" customFormat="false" ht="15" hidden="false" customHeight="true" outlineLevel="0" collapsed="false">
      <c r="A15" s="4" t="s">
        <v>169</v>
      </c>
      <c r="B15" s="15" t="n">
        <v>2</v>
      </c>
      <c r="C15" s="15" t="n">
        <v>2.4</v>
      </c>
      <c r="D15" s="15" t="n">
        <v>7.6</v>
      </c>
      <c r="E15" s="28" t="n">
        <f aca="false">D15</f>
        <v>7.6</v>
      </c>
      <c r="F15" s="28" t="n">
        <f aca="false">E15</f>
        <v>7.6</v>
      </c>
      <c r="G15" s="28" t="n">
        <f aca="false">F15</f>
        <v>7.6</v>
      </c>
      <c r="H15" s="28" t="n">
        <f aca="false">G15</f>
        <v>7.6</v>
      </c>
      <c r="I15" s="28" t="n">
        <f aca="false">H15</f>
        <v>7.6</v>
      </c>
    </row>
    <row r="16" customFormat="false" ht="15" hidden="false" customHeight="true" outlineLevel="0" collapsed="false">
      <c r="A16" s="9" t="s">
        <v>170</v>
      </c>
      <c r="B16" s="30" t="n">
        <f aca="false">B13+B14+B15</f>
        <v>114</v>
      </c>
      <c r="C16" s="30" t="n">
        <f aca="false">C13+C14+C15</f>
        <v>122.6</v>
      </c>
      <c r="D16" s="30" t="n">
        <f aca="false">D13+D14+D15</f>
        <v>135</v>
      </c>
      <c r="E16" s="30" t="n">
        <f aca="false">E13+E14+E15</f>
        <v>146.51997703472</v>
      </c>
      <c r="F16" s="30" t="n">
        <f aca="false">F13+F14+F15</f>
        <v>158.285026128822</v>
      </c>
      <c r="G16" s="30" t="n">
        <f aca="false">G13+G14+G15</f>
        <v>170.345570570726</v>
      </c>
      <c r="H16" s="30" t="n">
        <f aca="false">H13+H14+H15</f>
        <v>183.000307495885</v>
      </c>
      <c r="I16" s="30" t="n">
        <f aca="false">I13+I14+I15</f>
        <v>196.205754157758</v>
      </c>
    </row>
    <row r="17" customFormat="false" ht="15" hidden="false" customHeight="true" outlineLevel="0" collapsed="false">
      <c r="A17" s="9" t="s">
        <v>171</v>
      </c>
      <c r="B17" s="30" t="n">
        <f aca="false">B9+B10+B11+B16</f>
        <v>1171</v>
      </c>
      <c r="C17" s="30" t="n">
        <f aca="false">C9+C10+C11+C16</f>
        <v>1210</v>
      </c>
      <c r="D17" s="30" t="n">
        <f aca="false">D9+D10+D11+D16</f>
        <v>1400</v>
      </c>
      <c r="E17" s="30" t="n">
        <f aca="false">E9+E10+E11+E16</f>
        <v>1512</v>
      </c>
      <c r="F17" s="30" t="n">
        <f aca="false">F9+F10+F11+F16</f>
        <v>1632.96</v>
      </c>
      <c r="G17" s="30" t="n">
        <f aca="false">G9+G10+G11+G16</f>
        <v>1747.2672</v>
      </c>
      <c r="H17" s="30" t="n">
        <f aca="false">H9+H10+H11+H16</f>
        <v>1869.575904</v>
      </c>
      <c r="I17" s="30" t="n">
        <f aca="false">I9+I10+I11+I16</f>
        <v>1981.75045824</v>
      </c>
    </row>
    <row r="18" customFormat="false" ht="15" hidden="false" customHeight="true" outlineLevel="0" collapsed="false">
      <c r="A18" s="4" t="s">
        <v>172</v>
      </c>
      <c r="B18" s="21" t="n">
        <f aca="false">B7-B17</f>
        <v>0</v>
      </c>
      <c r="C18" s="21" t="n">
        <f aca="false">C7-C17</f>
        <v>0</v>
      </c>
      <c r="D18" s="21" t="n">
        <f aca="false">D7-D17</f>
        <v>0</v>
      </c>
      <c r="E18" s="21" t="n">
        <f aca="false">E7-E17</f>
        <v>0</v>
      </c>
      <c r="F18" s="21" t="n">
        <f aca="false">F7-F17</f>
        <v>0</v>
      </c>
      <c r="G18" s="21" t="n">
        <f aca="false">G7-G17</f>
        <v>0</v>
      </c>
      <c r="H18" s="21" t="n">
        <f aca="false">H7-H17</f>
        <v>0</v>
      </c>
      <c r="I18" s="21" t="n">
        <f aca="false">I7-I17</f>
        <v>0</v>
      </c>
    </row>
    <row r="19" customFormat="false" ht="15" hidden="false" customHeight="true" outlineLevel="0" collapsed="false">
      <c r="A19" s="4" t="s">
        <v>173</v>
      </c>
      <c r="B19" s="15" t="n">
        <v>680</v>
      </c>
      <c r="C19" s="15" t="n">
        <v>710</v>
      </c>
      <c r="D19" s="27" t="n">
        <f aca="false">Assumptions!$B$9</f>
        <v>748</v>
      </c>
      <c r="E19" s="28" t="n">
        <f aca="false">D19*(1+Assumptions!E47)</f>
        <v>807.84</v>
      </c>
      <c r="F19" s="28" t="n">
        <f aca="false">E19*(1+Assumptions!F47)</f>
        <v>872.4672</v>
      </c>
      <c r="G19" s="28" t="n">
        <f aca="false">F19*(1+Assumptions!G47)</f>
        <v>933.539904</v>
      </c>
      <c r="H19" s="28" t="n">
        <f aca="false">G19*(1+Assumptions!H47)</f>
        <v>998.88769728</v>
      </c>
      <c r="I19" s="28" t="n">
        <f aca="false">H19*(1+Assumptions!I47)</f>
        <v>1058.8209591168</v>
      </c>
    </row>
    <row r="20" customFormat="false" ht="15" hidden="false" customHeight="true" outlineLevel="0" collapsed="false">
      <c r="A20" s="4" t="s">
        <v>174</v>
      </c>
      <c r="B20" s="28" t="n">
        <f aca="false">B13-Assumptions!$B$8</f>
        <v>91</v>
      </c>
      <c r="C20" s="28" t="n">
        <f aca="false">C13-Assumptions!$B$8</f>
        <v>99</v>
      </c>
      <c r="D20" s="28" t="n">
        <f aca="false">D13-Assumptions!$B$8</f>
        <v>106</v>
      </c>
      <c r="E20" s="28" t="n">
        <f aca="false">E13-Assumptions!$B$8</f>
        <v>117.51997703472</v>
      </c>
      <c r="F20" s="28" t="n">
        <f aca="false">F13-Assumptions!$B$8</f>
        <v>129.285026128822</v>
      </c>
      <c r="G20" s="28" t="n">
        <f aca="false">G13-Assumptions!$B$8</f>
        <v>141.345570570726</v>
      </c>
      <c r="H20" s="28" t="n">
        <f aca="false">H13-Assumptions!$B$8</f>
        <v>154.000307495885</v>
      </c>
      <c r="I20" s="28" t="n">
        <f aca="false">I13-Assumptions!$B$8</f>
        <v>167.205754157758</v>
      </c>
    </row>
    <row r="21" customFormat="false" ht="15" hidden="false" customHeight="true" outlineLevel="0" collapsed="false">
      <c r="A21" s="9" t="s">
        <v>175</v>
      </c>
      <c r="B21" s="11" t="n">
        <f aca="false">B20/B19</f>
        <v>0.133823529411765</v>
      </c>
      <c r="C21" s="11" t="n">
        <f aca="false">C20/C19</f>
        <v>0.13943661971831</v>
      </c>
      <c r="D21" s="11" t="n">
        <f aca="false">D20/D19</f>
        <v>0.141711229946524</v>
      </c>
      <c r="E21" s="11" t="n">
        <f aca="false">E20/E19</f>
        <v>0.145474322928699</v>
      </c>
      <c r="F21" s="11" t="n">
        <f aca="false">F20/F19</f>
        <v>0.148183251048087</v>
      </c>
      <c r="G21" s="11" t="n">
        <f aca="false">G20/G19</f>
        <v>0.151408172232481</v>
      </c>
      <c r="H21" s="11" t="n">
        <f aca="false">H20/H19</f>
        <v>0.15417179320081</v>
      </c>
      <c r="I21" s="11" t="n">
        <f aca="false">I20/I19</f>
        <v>0.15791692893691</v>
      </c>
    </row>
    <row r="23" customFormat="false" ht="15" hidden="false" customHeight="true" outlineLevel="0" collapsed="false">
      <c r="A23" s="3" t="s">
        <v>176</v>
      </c>
    </row>
    <row r="24" customFormat="false" ht="15" hidden="false" customHeight="true" outlineLevel="0" collapsed="false">
      <c r="A24" s="3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5" style="1" width="11"/>
  </cols>
  <sheetData>
    <row r="1" customFormat="false" ht="17.25" hidden="false" customHeight="true" outlineLevel="0" collapsed="false">
      <c r="A1" s="2" t="s">
        <v>178</v>
      </c>
    </row>
    <row r="2" customFormat="false" ht="15" hidden="false" customHeight="true" outlineLevel="0" collapsed="false">
      <c r="A2" s="3" t="s">
        <v>179</v>
      </c>
    </row>
    <row r="3" customFormat="false" ht="15" hidden="false" customHeight="true" outlineLevel="0" collapsed="false"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180</v>
      </c>
      <c r="E4" s="6" t="n">
        <f aca="false">'Income Statement'!E16</f>
        <v>20.9454127904</v>
      </c>
      <c r="F4" s="6" t="n">
        <f aca="false">'Income Statement'!F16</f>
        <v>21.78712795204</v>
      </c>
      <c r="G4" s="6" t="n">
        <f aca="false">'Income Statement'!G16</f>
        <v>22.7557442300085</v>
      </c>
      <c r="H4" s="6" t="n">
        <f aca="false">'Income Statement'!H16</f>
        <v>24.3360325483833</v>
      </c>
      <c r="I4" s="6" t="n">
        <f aca="false">'Income Statement'!I16</f>
        <v>26.4108933237461</v>
      </c>
    </row>
    <row r="5" customFormat="false" ht="15" hidden="false" customHeight="true" outlineLevel="0" collapsed="false">
      <c r="A5" s="4" t="s">
        <v>181</v>
      </c>
      <c r="E5" s="21" t="n">
        <f aca="false">'Balance Sheet'!E19-'Balance Sheet'!D19</f>
        <v>59.84</v>
      </c>
      <c r="F5" s="21" t="n">
        <f aca="false">'Balance Sheet'!F19-'Balance Sheet'!E19</f>
        <v>64.6272</v>
      </c>
      <c r="G5" s="21" t="n">
        <f aca="false">'Balance Sheet'!G19-'Balance Sheet'!F19</f>
        <v>61.072704</v>
      </c>
      <c r="H5" s="21" t="n">
        <f aca="false">'Balance Sheet'!H19-'Balance Sheet'!G19</f>
        <v>65.34779328</v>
      </c>
      <c r="I5" s="21" t="n">
        <f aca="false">'Balance Sheet'!I19-'Balance Sheet'!H19</f>
        <v>59.9332618368001</v>
      </c>
    </row>
    <row r="6" customFormat="false" ht="15" hidden="false" customHeight="true" outlineLevel="0" collapsed="false">
      <c r="A6" s="4" t="s">
        <v>182</v>
      </c>
      <c r="E6" s="21" t="n">
        <f aca="false">-E5*Assumptions!$B$16</f>
        <v>-8.07840000000001</v>
      </c>
      <c r="F6" s="21" t="n">
        <f aca="false">-F5*Assumptions!$B$16</f>
        <v>-8.724672</v>
      </c>
      <c r="G6" s="21" t="n">
        <f aca="false">-G5*Assumptions!$B$16</f>
        <v>-8.24481504000001</v>
      </c>
      <c r="H6" s="21" t="n">
        <f aca="false">-H5*Assumptions!$B$16</f>
        <v>-8.8219520928</v>
      </c>
      <c r="I6" s="21" t="n">
        <f aca="false">-I5*Assumptions!$B$16</f>
        <v>-8.09099034796801</v>
      </c>
    </row>
    <row r="7" customFormat="false" ht="15" hidden="false" customHeight="true" outlineLevel="0" collapsed="false">
      <c r="A7" s="9" t="s">
        <v>183</v>
      </c>
      <c r="E7" s="10" t="n">
        <f aca="false">E4+E6</f>
        <v>12.8670127904</v>
      </c>
      <c r="F7" s="10" t="n">
        <f aca="false">F4+F6</f>
        <v>13.06245595204</v>
      </c>
      <c r="G7" s="10" t="n">
        <f aca="false">G4+G6</f>
        <v>14.5109291900085</v>
      </c>
      <c r="H7" s="10" t="n">
        <f aca="false">H4+H6</f>
        <v>15.5140804555833</v>
      </c>
      <c r="I7" s="10" t="n">
        <f aca="false">I4+I6</f>
        <v>18.319902975778</v>
      </c>
    </row>
    <row r="8" customFormat="false" ht="15" hidden="false" customHeight="true" outlineLevel="0" collapsed="false">
      <c r="A8" s="4" t="s">
        <v>184</v>
      </c>
      <c r="E8" s="21" t="n">
        <f aca="false">-'Income Statement'!E18*Assumptions!$B$5</f>
        <v>-9.42543575568</v>
      </c>
      <c r="F8" s="21" t="n">
        <f aca="false">-'Income Statement'!F18*Assumptions!$B$5</f>
        <v>-10.0220788579384</v>
      </c>
      <c r="G8" s="21" t="n">
        <f aca="false">-'Income Statement'!G18*Assumptions!$B$5</f>
        <v>-10.695199788104</v>
      </c>
      <c r="H8" s="21" t="n">
        <f aca="false">-'Income Statement'!H18*Assumptions!$B$5</f>
        <v>-11.681295623224</v>
      </c>
      <c r="I8" s="21" t="n">
        <f aca="false">-'Income Statement'!I18*Assumptions!$B$5</f>
        <v>-13.205446661873</v>
      </c>
    </row>
    <row r="9" customFormat="false" ht="15" hidden="false" customHeight="true" outlineLevel="0" collapsed="false">
      <c r="A9" s="4" t="s">
        <v>185</v>
      </c>
      <c r="E9" s="21" t="n">
        <f aca="false">'Income Statement'!E16+E8</f>
        <v>11.51997703472</v>
      </c>
      <c r="F9" s="21" t="n">
        <f aca="false">'Income Statement'!F16+F8</f>
        <v>11.7650490941016</v>
      </c>
      <c r="G9" s="21" t="n">
        <f aca="false">'Income Statement'!G16+G8</f>
        <v>12.0605444419045</v>
      </c>
      <c r="H9" s="21" t="n">
        <f aca="false">'Income Statement'!H16+H8</f>
        <v>12.6547369251593</v>
      </c>
      <c r="I9" s="21" t="n">
        <f aca="false">'Income Statement'!I16+I8</f>
        <v>13.205446661873</v>
      </c>
    </row>
    <row r="10" customFormat="false" ht="15" hidden="false" customHeight="true" outlineLevel="0" collapsed="false">
      <c r="A10" s="4" t="s">
        <v>85</v>
      </c>
      <c r="E10" s="24" t="n">
        <f aca="false">-E8/'Income Statement'!E16</f>
        <v>0.45</v>
      </c>
      <c r="F10" s="24" t="n">
        <f aca="false">-F8/'Income Statement'!F16</f>
        <v>0.46</v>
      </c>
      <c r="G10" s="24" t="n">
        <f aca="false">-G8/'Income Statement'!G16</f>
        <v>0.47</v>
      </c>
      <c r="H10" s="24" t="n">
        <f aca="false">-H8/'Income Statement'!H16</f>
        <v>0.48</v>
      </c>
      <c r="I10" s="24" t="n">
        <f aca="false">-I8/'Income Statement'!I16</f>
        <v>0.5</v>
      </c>
    </row>
    <row r="11" customFormat="false" ht="15" hidden="false" customHeight="true" outlineLevel="0" collapsed="false">
      <c r="A11" s="4" t="s">
        <v>186</v>
      </c>
      <c r="E11" s="25" t="n">
        <f aca="false">E7/-E8</f>
        <v>1.36513718027795</v>
      </c>
      <c r="F11" s="25" t="n">
        <f aca="false">F7/-F8</f>
        <v>1.30336790771641</v>
      </c>
      <c r="G11" s="25" t="n">
        <f aca="false">G7/-G8</f>
        <v>1.35677027802217</v>
      </c>
      <c r="H11" s="25" t="n">
        <f aca="false">H7/-H8</f>
        <v>1.32811298985869</v>
      </c>
      <c r="I11" s="25" t="n">
        <f aca="false">I7/-I8</f>
        <v>1.38729900206038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187</v>
      </c>
    </row>
    <row r="2" customFormat="false" ht="15" hidden="false" customHeight="true" outlineLevel="0" collapsed="false">
      <c r="A2" s="3" t="s">
        <v>188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113</v>
      </c>
      <c r="B4" s="6" t="n">
        <f aca="false">'Income Statement'!B7</f>
        <v>27.5</v>
      </c>
      <c r="C4" s="6" t="n">
        <f aca="false">'Income Statement'!C7</f>
        <v>31.6</v>
      </c>
      <c r="D4" s="6" t="n">
        <f aca="false">'Income Statement'!D7</f>
        <v>36.67</v>
      </c>
      <c r="E4" s="6" t="n">
        <f aca="false">'Income Statement'!E7</f>
        <v>38.367288</v>
      </c>
      <c r="F4" s="6" t="n">
        <f aca="false">'Income Statement'!F7</f>
        <v>40.73500776</v>
      </c>
      <c r="G4" s="6" t="n">
        <f aca="false">'Income Statement'!G7</f>
        <v>43.4092059384</v>
      </c>
      <c r="H4" s="6" t="n">
        <f aca="false">'Income Statement'!H7</f>
        <v>46.249427735088</v>
      </c>
      <c r="I4" s="6" t="n">
        <f aca="false">'Income Statement'!I7</f>
        <v>49.3079685755914</v>
      </c>
    </row>
    <row r="5" customFormat="false" ht="15" hidden="false" customHeight="true" outlineLevel="0" collapsed="false">
      <c r="A5" s="4" t="s">
        <v>189</v>
      </c>
      <c r="B5" s="6" t="n">
        <f aca="false">'Income Statement'!B9</f>
        <v>21.45</v>
      </c>
      <c r="C5" s="6" t="n">
        <f aca="false">'Income Statement'!C9</f>
        <v>24.7</v>
      </c>
      <c r="D5" s="6" t="n">
        <f aca="false">'Income Statement'!D9</f>
        <v>28.67</v>
      </c>
      <c r="E5" s="6" t="n">
        <f aca="false">'Income Statement'!E9</f>
        <v>29.92648464</v>
      </c>
      <c r="F5" s="6" t="n">
        <f aca="false">'Income Statement'!F9</f>
        <v>31.569631014</v>
      </c>
      <c r="G5" s="6" t="n">
        <f aca="false">'Income Statement'!G9</f>
        <v>33.425088572568</v>
      </c>
      <c r="H5" s="6" t="n">
        <f aca="false">'Income Statement'!H9</f>
        <v>35.6120593560178</v>
      </c>
      <c r="I5" s="6" t="n">
        <f aca="false">'Income Statement'!I9</f>
        <v>37.9671358032054</v>
      </c>
    </row>
    <row r="6" customFormat="false" ht="15" hidden="false" customHeight="true" outlineLevel="0" collapsed="false">
      <c r="A6" s="4" t="s">
        <v>190</v>
      </c>
      <c r="B6" s="6" t="n">
        <f aca="false">'Income Statement'!B14</f>
        <v>16.4</v>
      </c>
      <c r="C6" s="6" t="n">
        <f aca="false">'Income Statement'!C14</f>
        <v>17.1</v>
      </c>
      <c r="D6" s="6" t="n">
        <f aca="false">'Income Statement'!D14</f>
        <v>21.09</v>
      </c>
      <c r="E6" s="6" t="n">
        <f aca="false">'Income Statement'!E14</f>
        <v>21.6454127904</v>
      </c>
      <c r="F6" s="6" t="n">
        <f aca="false">'Income Statement'!F14</f>
        <v>22.50712795204</v>
      </c>
      <c r="G6" s="6" t="n">
        <f aca="false">'Income Statement'!G14</f>
        <v>23.5057442300085</v>
      </c>
      <c r="H6" s="6" t="n">
        <f aca="false">'Income Statement'!H14</f>
        <v>25.0860325483833</v>
      </c>
      <c r="I6" s="6" t="n">
        <f aca="false">'Income Statement'!I14</f>
        <v>27.1908933237461</v>
      </c>
    </row>
    <row r="7" customFormat="false" ht="15" hidden="false" customHeight="true" outlineLevel="0" collapsed="false">
      <c r="A7" s="4" t="s">
        <v>191</v>
      </c>
      <c r="B7" s="6" t="n">
        <f aca="false">'Income Statement'!B16</f>
        <v>15.85</v>
      </c>
      <c r="C7" s="6" t="n">
        <f aca="false">'Income Statement'!C16</f>
        <v>16.45</v>
      </c>
      <c r="D7" s="6" t="n">
        <f aca="false">'Income Statement'!D16</f>
        <v>20.42</v>
      </c>
      <c r="E7" s="6" t="n">
        <f aca="false">'Income Statement'!E16</f>
        <v>20.9454127904</v>
      </c>
      <c r="F7" s="6" t="n">
        <f aca="false">'Income Statement'!F16</f>
        <v>21.78712795204</v>
      </c>
      <c r="G7" s="6" t="n">
        <f aca="false">'Income Statement'!G16</f>
        <v>22.7557442300085</v>
      </c>
      <c r="H7" s="6" t="n">
        <f aca="false">'Income Statement'!H16</f>
        <v>24.3360325483833</v>
      </c>
      <c r="I7" s="6" t="n">
        <f aca="false">'Income Statement'!I16</f>
        <v>26.4108933237461</v>
      </c>
    </row>
    <row r="8" customFormat="false" ht="15" hidden="false" customHeight="true" outlineLevel="0" collapsed="false">
      <c r="A8" s="4" t="s">
        <v>192</v>
      </c>
      <c r="B8" s="27" t="n">
        <f aca="false">'Balance Sheet'!B5</f>
        <v>485</v>
      </c>
      <c r="C8" s="27" t="n">
        <f aca="false">'Balance Sheet'!C5</f>
        <v>528</v>
      </c>
      <c r="D8" s="27" t="n">
        <f aca="false">'Balance Sheet'!D5</f>
        <v>616</v>
      </c>
      <c r="E8" s="27" t="n">
        <f aca="false">'Balance Sheet'!E5</f>
        <v>677.6</v>
      </c>
      <c r="F8" s="27" t="n">
        <f aca="false">'Balance Sheet'!F5</f>
        <v>738.584</v>
      </c>
      <c r="G8" s="27" t="n">
        <f aca="false">'Balance Sheet'!G5</f>
        <v>797.67072</v>
      </c>
      <c r="H8" s="27" t="n">
        <f aca="false">'Balance Sheet'!H5</f>
        <v>861.4843776</v>
      </c>
      <c r="I8" s="27" t="n">
        <f aca="false">'Balance Sheet'!I5</f>
        <v>921.788284032</v>
      </c>
    </row>
    <row r="9" customFormat="false" ht="15" hidden="false" customHeight="true" outlineLevel="0" collapsed="false">
      <c r="A9" s="4" t="s">
        <v>117</v>
      </c>
      <c r="B9" s="27" t="n">
        <f aca="false">'Balance Sheet'!B9</f>
        <v>758</v>
      </c>
      <c r="C9" s="27" t="n">
        <f aca="false">'Balance Sheet'!C9</f>
        <v>786</v>
      </c>
      <c r="D9" s="27" t="n">
        <f aca="false">'Balance Sheet'!D9</f>
        <v>841</v>
      </c>
      <c r="E9" s="27" t="n">
        <f aca="false">'Balance Sheet'!E9</f>
        <v>908.28</v>
      </c>
      <c r="F9" s="27" t="n">
        <f aca="false">'Balance Sheet'!F9</f>
        <v>971.8596</v>
      </c>
      <c r="G9" s="27" t="n">
        <f aca="false">'Balance Sheet'!G9</f>
        <v>1039.889772</v>
      </c>
      <c r="H9" s="27" t="n">
        <f aca="false">'Balance Sheet'!H9</f>
        <v>1102.28315832</v>
      </c>
      <c r="I9" s="27" t="n">
        <f aca="false">'Balance Sheet'!I9</f>
        <v>1168.4201478192</v>
      </c>
    </row>
    <row r="10" customFormat="false" ht="15" hidden="false" customHeight="true" outlineLevel="0" collapsed="false">
      <c r="A10" s="4" t="s">
        <v>162</v>
      </c>
      <c r="B10" s="27" t="n">
        <f aca="false">'Balance Sheet'!B7</f>
        <v>1171</v>
      </c>
      <c r="C10" s="27" t="n">
        <f aca="false">'Balance Sheet'!C7</f>
        <v>1210</v>
      </c>
      <c r="D10" s="27" t="n">
        <f aca="false">'Balance Sheet'!D7</f>
        <v>1400</v>
      </c>
      <c r="E10" s="27" t="n">
        <f aca="false">'Balance Sheet'!E7</f>
        <v>1512</v>
      </c>
      <c r="F10" s="27" t="n">
        <f aca="false">'Balance Sheet'!F7</f>
        <v>1632.96</v>
      </c>
      <c r="G10" s="27" t="n">
        <f aca="false">'Balance Sheet'!G7</f>
        <v>1747.2672</v>
      </c>
      <c r="H10" s="27" t="n">
        <f aca="false">'Balance Sheet'!H7</f>
        <v>1869.575904</v>
      </c>
      <c r="I10" s="27" t="n">
        <f aca="false">'Balance Sheet'!I7</f>
        <v>1981.75045824</v>
      </c>
    </row>
    <row r="11" customFormat="false" ht="15" hidden="false" customHeight="true" outlineLevel="0" collapsed="false">
      <c r="A11" s="4" t="s">
        <v>193</v>
      </c>
      <c r="B11" s="27" t="n">
        <f aca="false">'Balance Sheet'!B13</f>
        <v>102</v>
      </c>
      <c r="C11" s="27" t="n">
        <f aca="false">'Balance Sheet'!C13</f>
        <v>110</v>
      </c>
      <c r="D11" s="27" t="n">
        <f aca="false">'Balance Sheet'!D13</f>
        <v>117</v>
      </c>
      <c r="E11" s="27" t="n">
        <f aca="false">'Balance Sheet'!E13</f>
        <v>128.51997703472</v>
      </c>
      <c r="F11" s="27" t="n">
        <f aca="false">'Balance Sheet'!F13</f>
        <v>140.285026128822</v>
      </c>
      <c r="G11" s="27" t="n">
        <f aca="false">'Balance Sheet'!G13</f>
        <v>152.345570570726</v>
      </c>
      <c r="H11" s="27" t="n">
        <f aca="false">'Balance Sheet'!H13</f>
        <v>165.000307495885</v>
      </c>
      <c r="I11" s="27" t="n">
        <f aca="false">'Balance Sheet'!I13</f>
        <v>178.205754157758</v>
      </c>
    </row>
    <row r="12" customFormat="false" ht="15" hidden="false" customHeight="true" outlineLevel="0" collapsed="false">
      <c r="A12" s="4" t="s">
        <v>194</v>
      </c>
      <c r="B12" s="27" t="n">
        <f aca="false">'Balance Sheet'!B19</f>
        <v>680</v>
      </c>
      <c r="C12" s="27" t="n">
        <f aca="false">'Balance Sheet'!C19</f>
        <v>710</v>
      </c>
      <c r="D12" s="27" t="n">
        <f aca="false">'Balance Sheet'!D19</f>
        <v>748</v>
      </c>
      <c r="E12" s="27" t="n">
        <f aca="false">'Balance Sheet'!E19</f>
        <v>807.84</v>
      </c>
      <c r="F12" s="27" t="n">
        <f aca="false">'Balance Sheet'!F19</f>
        <v>872.4672</v>
      </c>
      <c r="G12" s="27" t="n">
        <f aca="false">'Balance Sheet'!G19</f>
        <v>933.539904</v>
      </c>
      <c r="H12" s="27" t="n">
        <f aca="false">'Balance Sheet'!H19</f>
        <v>998.88769728</v>
      </c>
      <c r="I12" s="27" t="n">
        <f aca="false">'Balance Sheet'!I19</f>
        <v>1058.8209591168</v>
      </c>
    </row>
    <row r="13" customFormat="false" ht="15" hidden="false" customHeight="true" outlineLevel="0" collapsed="false">
      <c r="A13" s="4" t="s">
        <v>175</v>
      </c>
      <c r="B13" s="7" t="n">
        <f aca="false">'Balance Sheet'!B21</f>
        <v>0.133823529411765</v>
      </c>
      <c r="C13" s="7" t="n">
        <f aca="false">'Balance Sheet'!C21</f>
        <v>0.13943661971831</v>
      </c>
      <c r="D13" s="7" t="n">
        <f aca="false">'Balance Sheet'!D21</f>
        <v>0.141711229946524</v>
      </c>
      <c r="E13" s="7" t="n">
        <f aca="false">'Balance Sheet'!E21</f>
        <v>0.145474322928699</v>
      </c>
      <c r="F13" s="7" t="n">
        <f aca="false">'Balance Sheet'!F21</f>
        <v>0.148183251048087</v>
      </c>
      <c r="G13" s="7" t="n">
        <f aca="false">'Balance Sheet'!G21</f>
        <v>0.151408172232481</v>
      </c>
      <c r="H13" s="7" t="n">
        <f aca="false">'Balance Sheet'!H21</f>
        <v>0.15417179320081</v>
      </c>
      <c r="I13" s="7" t="n">
        <f aca="false">'Balance Sheet'!I21</f>
        <v>0.15791692893691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1"/>
  </cols>
  <sheetData>
    <row r="1" customFormat="false" ht="17.25" hidden="false" customHeight="true" outlineLevel="0" collapsed="false">
      <c r="A1" s="2" t="s">
        <v>195</v>
      </c>
    </row>
    <row r="2" customFormat="false" ht="15" hidden="false" customHeight="true" outlineLevel="0" collapsed="false">
      <c r="A2" s="3" t="s">
        <v>196</v>
      </c>
    </row>
    <row r="3" customFormat="false" ht="15" hidden="false" customHeight="true" outlineLevel="0" collapsed="false">
      <c r="A3" s="13" t="s">
        <v>197</v>
      </c>
      <c r="B3" s="14"/>
      <c r="C3" s="14"/>
      <c r="D3" s="14"/>
      <c r="E3" s="14"/>
      <c r="F3" s="14"/>
    </row>
    <row r="4" customFormat="false" ht="15" hidden="false" customHeight="true" outlineLevel="0" collapsed="false">
      <c r="A4" s="5" t="s">
        <v>198</v>
      </c>
      <c r="B4" s="5" t="s">
        <v>199</v>
      </c>
      <c r="C4" s="5" t="s">
        <v>200</v>
      </c>
      <c r="D4" s="5" t="s">
        <v>201</v>
      </c>
      <c r="E4" s="5" t="s">
        <v>202</v>
      </c>
      <c r="F4" s="5" t="s">
        <v>203</v>
      </c>
    </row>
    <row r="5" customFormat="false" ht="15" hidden="false" customHeight="true" outlineLevel="0" collapsed="false">
      <c r="A5" s="4" t="s">
        <v>204</v>
      </c>
      <c r="B5" s="8" t="n">
        <v>14.97</v>
      </c>
      <c r="C5" s="8" t="n">
        <v>16.44</v>
      </c>
      <c r="D5" s="8" t="n">
        <v>17.32</v>
      </c>
      <c r="E5" s="8" t="n">
        <v>18.18</v>
      </c>
      <c r="F5" s="8" t="n">
        <v>19.75</v>
      </c>
    </row>
    <row r="6" customFormat="false" ht="15" hidden="false" customHeight="true" outlineLevel="0" collapsed="false">
      <c r="A6" s="4" t="s">
        <v>205</v>
      </c>
      <c r="B6" s="8" t="n">
        <v>13.37</v>
      </c>
      <c r="C6" s="8" t="n">
        <v>15.53</v>
      </c>
      <c r="D6" s="8" t="n">
        <v>17.05</v>
      </c>
      <c r="E6" s="8" t="n">
        <v>18.59</v>
      </c>
      <c r="F6" s="8" t="n">
        <v>21.45</v>
      </c>
    </row>
    <row r="8" customFormat="false" ht="15" hidden="false" customHeight="true" outlineLevel="0" collapsed="false">
      <c r="A8" s="4" t="s">
        <v>206</v>
      </c>
      <c r="D8" s="16" t="n">
        <v>0.3069</v>
      </c>
    </row>
    <row r="9" customFormat="false" ht="15" hidden="false" customHeight="true" outlineLevel="0" collapsed="false">
      <c r="A9" s="4" t="s">
        <v>207</v>
      </c>
      <c r="D9" s="16" t="n">
        <v>0</v>
      </c>
    </row>
    <row r="10" customFormat="false" ht="15" hidden="false" customHeight="true" outlineLevel="0" collapsed="false">
      <c r="A10" s="4" t="s">
        <v>208</v>
      </c>
      <c r="D10" s="6" t="n">
        <f aca="false">Assumptions!$B$4</f>
        <v>17.4</v>
      </c>
    </row>
    <row r="12" customFormat="false" ht="15" hidden="false" customHeight="true" outlineLevel="0" collapsed="false">
      <c r="A12" s="13" t="s">
        <v>209</v>
      </c>
      <c r="B12" s="14"/>
      <c r="C12" s="14"/>
    </row>
    <row r="13" customFormat="false" ht="15" hidden="false" customHeight="true" outlineLevel="0" collapsed="false">
      <c r="A13" s="5" t="s">
        <v>210</v>
      </c>
      <c r="B13" s="5" t="s">
        <v>211</v>
      </c>
      <c r="C13" s="5" t="s">
        <v>212</v>
      </c>
    </row>
    <row r="14" customFormat="false" ht="15" hidden="false" customHeight="true" outlineLevel="0" collapsed="false">
      <c r="A14" s="21" t="n">
        <v>20</v>
      </c>
      <c r="B14" s="24" t="n">
        <v>0.059</v>
      </c>
      <c r="C14" s="24" t="n">
        <v>0.218</v>
      </c>
    </row>
    <row r="15" customFormat="false" ht="15" hidden="false" customHeight="true" outlineLevel="0" collapsed="false">
      <c r="A15" s="21" t="n">
        <v>19</v>
      </c>
      <c r="B15" s="24" t="n">
        <v>0.177</v>
      </c>
      <c r="C15" s="24" t="n">
        <v>0.395</v>
      </c>
    </row>
    <row r="16" customFormat="false" ht="15" hidden="false" customHeight="true" outlineLevel="0" collapsed="false">
      <c r="A16" s="21" t="n">
        <v>18.5</v>
      </c>
      <c r="B16" s="24" t="n">
        <v>0.304</v>
      </c>
      <c r="C16" s="24" t="n">
        <v>0.523</v>
      </c>
    </row>
    <row r="17" customFormat="false" ht="15" hidden="false" customHeight="true" outlineLevel="0" collapsed="false">
      <c r="A17" s="21" t="n">
        <v>18</v>
      </c>
      <c r="B17" s="24" t="n">
        <v>0.505</v>
      </c>
      <c r="C17" s="24" t="n">
        <v>0.681</v>
      </c>
    </row>
    <row r="18" customFormat="false" ht="15" hidden="false" customHeight="true" outlineLevel="0" collapsed="false">
      <c r="A18" s="21" t="n">
        <v>17.5</v>
      </c>
      <c r="B18" s="24" t="n">
        <v>0.805</v>
      </c>
      <c r="C18" s="24" t="n">
        <v>0.88</v>
      </c>
    </row>
    <row r="19" customFormat="false" ht="15" hidden="false" customHeight="true" outlineLevel="0" collapsed="false">
      <c r="A19" s="21" t="n">
        <v>17</v>
      </c>
      <c r="B19" s="24" t="n">
        <v>0.639</v>
      </c>
      <c r="C19" s="24" t="n">
        <v>0.809</v>
      </c>
    </row>
    <row r="20" customFormat="false" ht="15" hidden="false" customHeight="true" outlineLevel="0" collapsed="false">
      <c r="A20" s="21" t="n">
        <v>16.5</v>
      </c>
      <c r="B20" s="24" t="n">
        <v>0.401</v>
      </c>
      <c r="C20" s="24" t="n">
        <v>0.656</v>
      </c>
    </row>
    <row r="21" customFormat="false" ht="15" hidden="false" customHeight="true" outlineLevel="0" collapsed="false">
      <c r="A21" s="21" t="n">
        <v>16</v>
      </c>
      <c r="B21" s="24" t="n">
        <v>0.24</v>
      </c>
      <c r="C21" s="24" t="n">
        <v>0.517</v>
      </c>
    </row>
    <row r="22" customFormat="false" ht="15" hidden="false" customHeight="true" outlineLevel="0" collapsed="false">
      <c r="A22" s="21" t="n">
        <v>15</v>
      </c>
      <c r="B22" s="24" t="n">
        <v>0.077</v>
      </c>
      <c r="C22" s="24" t="n">
        <v>0.291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10"/>
  </cols>
  <sheetData>
    <row r="1" customFormat="false" ht="17.25" hidden="false" customHeight="true" outlineLevel="0" collapsed="false">
      <c r="A1" s="2" t="s">
        <v>213</v>
      </c>
    </row>
    <row r="2" customFormat="false" ht="15" hidden="false" customHeight="true" outlineLevel="0" collapsed="false">
      <c r="A2" s="3" t="s">
        <v>214</v>
      </c>
    </row>
    <row r="4" customFormat="false" ht="15" hidden="false" customHeight="true" outlineLevel="0" collapsed="false">
      <c r="A4" s="5" t="s">
        <v>215</v>
      </c>
      <c r="B4" s="31" t="n">
        <v>0.14</v>
      </c>
      <c r="C4" s="31" t="n">
        <v>0.15</v>
      </c>
      <c r="D4" s="31" t="n">
        <v>0.155</v>
      </c>
      <c r="E4" s="31" t="n">
        <v>0.16</v>
      </c>
      <c r="F4" s="31" t="n">
        <v>0.17</v>
      </c>
      <c r="G4" s="31" t="n">
        <v>0.18</v>
      </c>
    </row>
    <row r="5" customFormat="false" ht="15" hidden="false" customHeight="true" outlineLevel="0" collapsed="false">
      <c r="A5" s="16" t="n">
        <v>0.1</v>
      </c>
      <c r="B5" s="21" t="n">
        <f aca="false">DDM!$B$8+DDM!$B$9*((B$4-Assumptions!$B$14)/($A5-Assumptions!$B$14))/(1+$A5)^5</f>
        <v>20.9143114187893</v>
      </c>
      <c r="C5" s="21" t="n">
        <f aca="false">DDM!$B$8+DDM!$B$9*((C$4-Assumptions!$B$14)/($A5-Assumptions!$B$14))/(1+$A5)^5</f>
        <v>22.7349901953979</v>
      </c>
      <c r="D5" s="21" t="n">
        <f aca="false">DDM!$B$8+DDM!$B$9*((D$4-Assumptions!$B$14)/($A5-Assumptions!$B$14))/(1+$A5)^5</f>
        <v>23.6453295837022</v>
      </c>
      <c r="E5" s="21" t="n">
        <f aca="false">DDM!$B$8+DDM!$B$9*((E$4-Assumptions!$B$14)/($A5-Assumptions!$B$14))/(1+$A5)^5</f>
        <v>24.5556689720065</v>
      </c>
      <c r="F5" s="21" t="n">
        <f aca="false">DDM!$B$8+DDM!$B$9*((F$4-Assumptions!$B$14)/($A5-Assumptions!$B$14))/(1+$A5)^5</f>
        <v>26.3763477486152</v>
      </c>
      <c r="G5" s="21" t="n">
        <f aca="false">DDM!$B$8+DDM!$B$9*((G$4-Assumptions!$B$14)/($A5-Assumptions!$B$14))/(1+$A5)^5</f>
        <v>28.1970265252238</v>
      </c>
    </row>
    <row r="6" customFormat="false" ht="15" hidden="false" customHeight="true" outlineLevel="0" collapsed="false">
      <c r="A6" s="16" t="n">
        <v>0.105</v>
      </c>
      <c r="B6" s="21" t="n">
        <f aca="false">DDM!$B$8+DDM!$B$9*((B$4-Assumptions!$B$14)/($A6-Assumptions!$B$14))/(1+$A6)^5</f>
        <v>19.1174601641029</v>
      </c>
      <c r="C6" s="21" t="n">
        <f aca="false">DDM!$B$8+DDM!$B$9*((C$4-Assumptions!$B$14)/($A6-Assumptions!$B$14))/(1+$A6)^5</f>
        <v>20.7489967033762</v>
      </c>
      <c r="D6" s="21" t="n">
        <f aca="false">DDM!$B$8+DDM!$B$9*((D$4-Assumptions!$B$14)/($A6-Assumptions!$B$14))/(1+$A6)^5</f>
        <v>21.5647649730128</v>
      </c>
      <c r="E6" s="21" t="n">
        <f aca="false">DDM!$B$8+DDM!$B$9*((E$4-Assumptions!$B$14)/($A6-Assumptions!$B$14))/(1+$A6)^5</f>
        <v>22.3805332426494</v>
      </c>
      <c r="F6" s="21" t="n">
        <f aca="false">DDM!$B$8+DDM!$B$9*((F$4-Assumptions!$B$14)/($A6-Assumptions!$B$14))/(1+$A6)^5</f>
        <v>24.0120697819226</v>
      </c>
      <c r="G6" s="21" t="n">
        <f aca="false">DDM!$B$8+DDM!$B$9*((G$4-Assumptions!$B$14)/($A6-Assumptions!$B$14))/(1+$A6)^5</f>
        <v>25.6436063211959</v>
      </c>
    </row>
    <row r="7" customFormat="false" ht="15" hidden="false" customHeight="true" outlineLevel="0" collapsed="false">
      <c r="A7" s="16" t="n">
        <v>0.11</v>
      </c>
      <c r="B7" s="21" t="n">
        <f aca="false">DDM!$B$8+DDM!$B$9*((B$4-Assumptions!$B$14)/($A7-Assumptions!$B$14))/(1+$A7)^5</f>
        <v>17.6058365041425</v>
      </c>
      <c r="C7" s="21" t="n">
        <f aca="false">DDM!$B$8+DDM!$B$9*((C$4-Assumptions!$B$14)/($A7-Assumptions!$B$14))/(1+$A7)^5</f>
        <v>19.0782547634199</v>
      </c>
      <c r="D7" s="21" t="n">
        <f aca="false">DDM!$B$8+DDM!$B$9*((D$4-Assumptions!$B$14)/($A7-Assumptions!$B$14))/(1+$A7)^5</f>
        <v>19.8144638930586</v>
      </c>
      <c r="E7" s="21" t="n">
        <f aca="false">DDM!$B$8+DDM!$B$9*((E$4-Assumptions!$B$14)/($A7-Assumptions!$B$14))/(1+$A7)^5</f>
        <v>20.5506730226972</v>
      </c>
      <c r="F7" s="21" t="n">
        <f aca="false">DDM!$B$8+DDM!$B$9*((F$4-Assumptions!$B$14)/($A7-Assumptions!$B$14))/(1+$A7)^5</f>
        <v>22.0230912819746</v>
      </c>
      <c r="G7" s="21" t="n">
        <f aca="false">DDM!$B$8+DDM!$B$9*((G$4-Assumptions!$B$14)/($A7-Assumptions!$B$14))/(1+$A7)^5</f>
        <v>23.495509541252</v>
      </c>
    </row>
    <row r="8" customFormat="false" ht="15" hidden="false" customHeight="true" outlineLevel="0" collapsed="false">
      <c r="A8" s="16" t="n">
        <v>0.115</v>
      </c>
      <c r="B8" s="21" t="n">
        <f aca="false">DDM!$B$8+DDM!$B$9*((B$4-Assumptions!$B$14)/($A8-Assumptions!$B$14))/(1+$A8)^5</f>
        <v>16.3180663509075</v>
      </c>
      <c r="C8" s="21" t="n">
        <f aca="false">DDM!$B$8+DDM!$B$9*((C$4-Assumptions!$B$14)/($A8-Assumptions!$B$14))/(1+$A8)^5</f>
        <v>17.6549298572128</v>
      </c>
      <c r="D8" s="21" t="n">
        <f aca="false">DDM!$B$8+DDM!$B$9*((D$4-Assumptions!$B$14)/($A8-Assumptions!$B$14))/(1+$A8)^5</f>
        <v>18.3233616103654</v>
      </c>
      <c r="E8" s="21" t="n">
        <f aca="false">DDM!$B$8+DDM!$B$9*((E$4-Assumptions!$B$14)/($A8-Assumptions!$B$14))/(1+$A8)^5</f>
        <v>18.9917933635181</v>
      </c>
      <c r="F8" s="21" t="n">
        <f aca="false">DDM!$B$8+DDM!$B$9*((F$4-Assumptions!$B$14)/($A8-Assumptions!$B$14))/(1+$A8)^5</f>
        <v>20.3286568698233</v>
      </c>
      <c r="G8" s="21" t="n">
        <f aca="false">DDM!$B$8+DDM!$B$9*((G$4-Assumptions!$B$14)/($A8-Assumptions!$B$14))/(1+$A8)^5</f>
        <v>21.6655203761286</v>
      </c>
    </row>
    <row r="9" customFormat="false" ht="15" hidden="false" customHeight="true" outlineLevel="0" collapsed="false">
      <c r="A9" s="16" t="n">
        <v>0.12</v>
      </c>
      <c r="B9" s="21" t="n">
        <f aca="false">DDM!$B$8+DDM!$B$9*((B$4-Assumptions!$B$14)/($A9-Assumptions!$B$14))/(1+$A9)^5</f>
        <v>15.2091504274402</v>
      </c>
      <c r="C9" s="21" t="n">
        <f aca="false">DDM!$B$8+DDM!$B$9*((C$4-Assumptions!$B$14)/($A9-Assumptions!$B$14))/(1+$A9)^5</f>
        <v>16.4292859418016</v>
      </c>
      <c r="D9" s="21" t="n">
        <f aca="false">DDM!$B$8+DDM!$B$9*((D$4-Assumptions!$B$14)/($A9-Assumptions!$B$14))/(1+$A9)^5</f>
        <v>17.0393536989823</v>
      </c>
      <c r="E9" s="21" t="n">
        <f aca="false">DDM!$B$8+DDM!$B$9*((E$4-Assumptions!$B$14)/($A9-Assumptions!$B$14))/(1+$A9)^5</f>
        <v>17.649421456163</v>
      </c>
      <c r="F9" s="21" t="n">
        <f aca="false">DDM!$B$8+DDM!$B$9*((F$4-Assumptions!$B$14)/($A9-Assumptions!$B$14))/(1+$A9)^5</f>
        <v>18.8695569705244</v>
      </c>
      <c r="G9" s="21" t="n">
        <f aca="false">DDM!$B$8+DDM!$B$9*((G$4-Assumptions!$B$14)/($A9-Assumptions!$B$14))/(1+$A9)^5</f>
        <v>20.0896924848857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2" t="s">
        <v>216</v>
      </c>
    </row>
    <row r="2" customFormat="false" ht="15" hidden="false" customHeight="true" outlineLevel="0" collapsed="false">
      <c r="A2" s="3" t="s">
        <v>217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154</v>
      </c>
      <c r="B4" s="21" t="n">
        <f aca="false">'Income Statement'!B17</f>
        <v>1.43438914027149</v>
      </c>
      <c r="C4" s="21" t="n">
        <f aca="false">'Income Statement'!C17</f>
        <v>1.48868778280543</v>
      </c>
      <c r="D4" s="21" t="n">
        <f aca="false">'Income Statement'!D17</f>
        <v>1.84796380090498</v>
      </c>
      <c r="E4" s="21" t="n">
        <f aca="false">'Income Statement'!E17</f>
        <v>1.89551246971946</v>
      </c>
      <c r="F4" s="21" t="n">
        <f aca="false">'Income Statement'!F17</f>
        <v>1.97168578751493</v>
      </c>
      <c r="G4" s="21" t="n">
        <f aca="false">'Income Statement'!G17</f>
        <v>2.05934336923154</v>
      </c>
      <c r="H4" s="21" t="n">
        <f aca="false">'Income Statement'!H17</f>
        <v>2.20235588673152</v>
      </c>
      <c r="I4" s="21" t="n">
        <f aca="false">'Income Statement'!I17</f>
        <v>2.3901260926467</v>
      </c>
    </row>
    <row r="5" customFormat="false" ht="15" hidden="false" customHeight="true" outlineLevel="0" collapsed="false">
      <c r="A5" s="4" t="s">
        <v>88</v>
      </c>
      <c r="B5" s="21" t="n">
        <f aca="false">'Income Statement'!B18</f>
        <v>0.71</v>
      </c>
      <c r="C5" s="21" t="n">
        <f aca="false">'Income Statement'!C18</f>
        <v>0.75</v>
      </c>
      <c r="D5" s="21" t="n">
        <f aca="false">'Income Statement'!D18</f>
        <v>0.8</v>
      </c>
      <c r="E5" s="21" t="n">
        <f aca="false">'Income Statement'!E18</f>
        <v>0.852980611373756</v>
      </c>
      <c r="F5" s="21" t="n">
        <f aca="false">'Income Statement'!F18</f>
        <v>0.906975462256869</v>
      </c>
      <c r="G5" s="21" t="n">
        <f aca="false">'Income Statement'!G18</f>
        <v>0.967891383538822</v>
      </c>
      <c r="H5" s="21" t="n">
        <f aca="false">'Income Statement'!H18</f>
        <v>1.05713082563113</v>
      </c>
      <c r="I5" s="21" t="n">
        <f aca="false">'Income Statement'!I18</f>
        <v>1.19506304632335</v>
      </c>
    </row>
    <row r="6" customFormat="false" ht="15" hidden="false" customHeight="true" outlineLevel="0" collapsed="false">
      <c r="A6" s="4" t="s">
        <v>218</v>
      </c>
      <c r="B6" s="21" t="n">
        <f aca="false">'Balance Sheet'!B13/Assumptions!$B$5</f>
        <v>9.23076923076923</v>
      </c>
      <c r="C6" s="21" t="n">
        <f aca="false">'Balance Sheet'!C13/Assumptions!$B$5</f>
        <v>9.95475113122172</v>
      </c>
      <c r="D6" s="21" t="n">
        <f aca="false">'Balance Sheet'!D13/Assumptions!$B$5</f>
        <v>10.5882352941176</v>
      </c>
      <c r="E6" s="21" t="n">
        <f aca="false">'Balance Sheet'!E13/Assumptions!$B$5</f>
        <v>11.6307671524633</v>
      </c>
      <c r="F6" s="21" t="n">
        <f aca="false">'Balance Sheet'!F13/Assumptions!$B$5</f>
        <v>12.6954774777214</v>
      </c>
      <c r="G6" s="21" t="n">
        <f aca="false">'Balance Sheet'!G13/Assumptions!$B$5</f>
        <v>13.7869294634141</v>
      </c>
      <c r="H6" s="21" t="n">
        <f aca="false">'Balance Sheet'!H13/Assumptions!$B$5</f>
        <v>14.9321545245145</v>
      </c>
      <c r="I6" s="21" t="n">
        <f aca="false">'Balance Sheet'!I13/Assumptions!$B$5</f>
        <v>16.1272175708379</v>
      </c>
    </row>
    <row r="7" customFormat="false" ht="15" hidden="false" customHeight="true" outlineLevel="0" collapsed="false">
      <c r="A7" s="4" t="s">
        <v>219</v>
      </c>
      <c r="B7" s="21" t="n">
        <f aca="false">('Balance Sheet'!B13-Assumptions!$B$8)/Assumptions!$B$5</f>
        <v>8.23529411764706</v>
      </c>
      <c r="C7" s="21" t="n">
        <f aca="false">('Balance Sheet'!C13-Assumptions!$B$8)/Assumptions!$B$5</f>
        <v>8.95927601809955</v>
      </c>
      <c r="D7" s="21" t="n">
        <f aca="false">('Balance Sheet'!D13-Assumptions!$B$8)/Assumptions!$B$5</f>
        <v>9.59276018099548</v>
      </c>
      <c r="E7" s="21" t="n">
        <f aca="false">('Balance Sheet'!E13-Assumptions!$B$8)/Assumptions!$B$5</f>
        <v>10.6352920393412</v>
      </c>
      <c r="F7" s="21" t="n">
        <f aca="false">('Balance Sheet'!F13-Assumptions!$B$8)/Assumptions!$B$5</f>
        <v>11.7000023645992</v>
      </c>
      <c r="G7" s="21" t="n">
        <f aca="false">('Balance Sheet'!G13-Assumptions!$B$8)/Assumptions!$B$5</f>
        <v>12.791454350292</v>
      </c>
      <c r="H7" s="21" t="n">
        <f aca="false">('Balance Sheet'!H13-Assumptions!$B$8)/Assumptions!$B$5</f>
        <v>13.9366794113923</v>
      </c>
      <c r="I7" s="21" t="n">
        <f aca="false">('Balance Sheet'!I13-Assumptions!$B$8)/Assumptions!$B$5</f>
        <v>15.1317424577157</v>
      </c>
    </row>
    <row r="8" customFormat="false" ht="15" hidden="false" customHeight="true" outlineLevel="0" collapsed="false">
      <c r="A8" s="4" t="s">
        <v>220</v>
      </c>
      <c r="B8" s="25" t="n">
        <f aca="false">Assumptions!$B$4/'Income Statement'!B17</f>
        <v>12.1305993690852</v>
      </c>
      <c r="C8" s="25" t="n">
        <f aca="false">Assumptions!$B$4/'Income Statement'!C17</f>
        <v>11.6881458966565</v>
      </c>
      <c r="D8" s="25" t="n">
        <f aca="false">Assumptions!$B$4/'Income Statement'!D17</f>
        <v>9.41576885406464</v>
      </c>
      <c r="E8" s="25" t="n">
        <f aca="false">Assumptions!$B$4/'Income Statement'!E17</f>
        <v>9.1795755912781</v>
      </c>
      <c r="F8" s="25" t="n">
        <f aca="false">Assumptions!$B$4/'Income Statement'!F17</f>
        <v>8.82493555016723</v>
      </c>
      <c r="G8" s="25" t="n">
        <f aca="false">Assumptions!$B$4/'Income Statement'!G17</f>
        <v>8.44929517824557</v>
      </c>
      <c r="H8" s="25" t="n">
        <f aca="false">Assumptions!$B$4/'Income Statement'!H17</f>
        <v>7.90063045887786</v>
      </c>
      <c r="I8" s="25" t="n">
        <f aca="false">Assumptions!$B$4/'Income Statement'!I17</f>
        <v>7.27995064926978</v>
      </c>
    </row>
    <row r="9" customFormat="false" ht="15" hidden="false" customHeight="true" outlineLevel="0" collapsed="false">
      <c r="A9" s="4" t="s">
        <v>221</v>
      </c>
      <c r="B9" s="25" t="n">
        <f aca="false">Assumptions!$B$4/('Balance Sheet'!B13/Assumptions!$B$5)</f>
        <v>1.885</v>
      </c>
      <c r="C9" s="25" t="n">
        <f aca="false">Assumptions!$B$4/('Balance Sheet'!C13/Assumptions!$B$5)</f>
        <v>1.74790909090909</v>
      </c>
      <c r="D9" s="25" t="n">
        <f aca="false">Assumptions!$B$4/('Balance Sheet'!D13/Assumptions!$B$5)</f>
        <v>1.64333333333333</v>
      </c>
      <c r="E9" s="25" t="n">
        <f aca="false">Assumptions!$B$4/('Balance Sheet'!E13/Assumptions!$B$5)</f>
        <v>1.49603201335819</v>
      </c>
      <c r="F9" s="25" t="n">
        <f aca="false">Assumptions!$B$4/('Balance Sheet'!F13/Assumptions!$B$5)</f>
        <v>1.37056680463845</v>
      </c>
      <c r="G9" s="25" t="n">
        <f aca="false">Assumptions!$B$4/('Balance Sheet'!G13/Assumptions!$B$5)</f>
        <v>1.26206491780304</v>
      </c>
      <c r="H9" s="25" t="n">
        <f aca="false">Assumptions!$B$4/('Balance Sheet'!H13/Assumptions!$B$5)</f>
        <v>1.1652705556612</v>
      </c>
      <c r="I9" s="25" t="n">
        <f aca="false">Assumptions!$B$4/('Balance Sheet'!I13/Assumptions!$B$5)</f>
        <v>1.07892139010164</v>
      </c>
    </row>
    <row r="10" customFormat="false" ht="15" hidden="false" customHeight="true" outlineLevel="0" collapsed="false">
      <c r="A10" s="4" t="s">
        <v>222</v>
      </c>
      <c r="B10" s="24" t="n">
        <f aca="false">'Income Statement'!B18/Assumptions!$B$4</f>
        <v>0.0408045977011494</v>
      </c>
      <c r="C10" s="24" t="n">
        <f aca="false">'Income Statement'!C18/Assumptions!$B$4</f>
        <v>0.0431034482758621</v>
      </c>
      <c r="D10" s="24" t="n">
        <f aca="false">'Income Statement'!D18/Assumptions!$B$4</f>
        <v>0.0459770114942529</v>
      </c>
      <c r="E10" s="24" t="n">
        <f aca="false">'Income Statement'!E18/Assumptions!$B$4</f>
        <v>0.0490218742168825</v>
      </c>
      <c r="F10" s="24" t="n">
        <f aca="false">'Income Statement'!F18/Assumptions!$B$4</f>
        <v>0.0521250265664867</v>
      </c>
      <c r="G10" s="24" t="n">
        <f aca="false">'Income Statement'!G18/Assumptions!$B$4</f>
        <v>0.0556259415826909</v>
      </c>
      <c r="H10" s="24" t="n">
        <f aca="false">'Income Statement'!H18/Assumptions!$B$4</f>
        <v>0.0607546451512143</v>
      </c>
      <c r="I10" s="24" t="n">
        <f aca="false">'Income Statement'!I18/Assumptions!$B$4</f>
        <v>0.0686817842714569</v>
      </c>
    </row>
    <row r="11" customFormat="false" ht="15" hidden="false" customHeight="true" outlineLevel="0" collapsed="false">
      <c r="A11" s="4" t="s">
        <v>223</v>
      </c>
      <c r="B11" s="24" t="n">
        <f aca="false">'Income Statement'!B18/'Income Statement'!B17</f>
        <v>0.494984227129338</v>
      </c>
      <c r="C11" s="24" t="n">
        <f aca="false">'Income Statement'!C18/'Income Statement'!C17</f>
        <v>0.503799392097264</v>
      </c>
      <c r="D11" s="24" t="n">
        <f aca="false">'Income Statement'!D18/'Income Statement'!D17</f>
        <v>0.432908912830558</v>
      </c>
      <c r="E11" s="24" t="n">
        <f aca="false">'Income Statement'!E18/'Income Statement'!E17</f>
        <v>0.45</v>
      </c>
      <c r="F11" s="24" t="n">
        <f aca="false">'Income Statement'!F18/'Income Statement'!F17</f>
        <v>0.46</v>
      </c>
      <c r="G11" s="24" t="n">
        <f aca="false">'Income Statement'!G18/'Income Statement'!G17</f>
        <v>0.47</v>
      </c>
      <c r="H11" s="24" t="n">
        <f aca="false">'Income Statement'!H18/'Income Statement'!H17</f>
        <v>0.48</v>
      </c>
      <c r="I11" s="24" t="n">
        <f aca="false">'Income Statement'!I18/'Income Statement'!I17</f>
        <v>0.5</v>
      </c>
    </row>
    <row r="12" customFormat="false" ht="15" hidden="false" customHeight="true" outlineLevel="0" collapsed="false">
      <c r="A12" s="4" t="s">
        <v>224</v>
      </c>
      <c r="B12" s="24" t="n">
        <f aca="false">'Income Statement'!B16/'Balance Sheet'!B13</f>
        <v>0.155392156862745</v>
      </c>
      <c r="C12" s="24" t="n">
        <f aca="false">'Income Statement'!C16/'Balance Sheet'!C13</f>
        <v>0.149545454545455</v>
      </c>
      <c r="D12" s="24" t="n">
        <f aca="false">'Income Statement'!D16/'Balance Sheet'!D13</f>
        <v>0.174529914529915</v>
      </c>
      <c r="E12" s="24" t="n">
        <f aca="false">'Income Statement'!E16/'Balance Sheet'!E13</f>
        <v>0.162973984851721</v>
      </c>
      <c r="F12" s="24" t="n">
        <f aca="false">'Income Statement'!F16/'Balance Sheet'!F13</f>
        <v>0.155306154571574</v>
      </c>
      <c r="G12" s="24" t="n">
        <f aca="false">'Income Statement'!G16/'Balance Sheet'!G13</f>
        <v>0.14936925402399</v>
      </c>
      <c r="H12" s="24" t="n">
        <f aca="false">'Income Statement'!H16/'Balance Sheet'!H13</f>
        <v>0.147490831488239</v>
      </c>
      <c r="I12" s="24" t="n">
        <f aca="false">'Income Statement'!I16/'Balance Sheet'!I13</f>
        <v>0.148204492321643</v>
      </c>
    </row>
    <row r="13" customFormat="false" ht="15" hidden="false" customHeight="true" outlineLevel="0" collapsed="false">
      <c r="A13" s="4" t="s">
        <v>225</v>
      </c>
      <c r="B13" s="24" t="n">
        <f aca="false">'Income Statement'!B16/('Balance Sheet'!B13-Assumptions!$B$8)</f>
        <v>0.174175824175824</v>
      </c>
      <c r="C13" s="24" t="n">
        <f aca="false">'Income Statement'!C16/('Balance Sheet'!C13-Assumptions!$B$8)</f>
        <v>0.166161616161616</v>
      </c>
      <c r="D13" s="24" t="n">
        <f aca="false">'Income Statement'!D16/('Balance Sheet'!D13-Assumptions!$B$8)</f>
        <v>0.192641509433962</v>
      </c>
      <c r="E13" s="24" t="n">
        <f aca="false">'Income Statement'!E16/('Balance Sheet'!E13-Assumptions!$B$8)</f>
        <v>0.178228530322227</v>
      </c>
      <c r="F13" s="24" t="n">
        <f aca="false">'Income Statement'!F16/('Balance Sheet'!F13-Assumptions!$B$8)</f>
        <v>0.168520118720717</v>
      </c>
      <c r="G13" s="24" t="n">
        <f aca="false">'Income Statement'!G16/('Balance Sheet'!G13-Assumptions!$B$8)</f>
        <v>0.160993684755208</v>
      </c>
      <c r="H13" s="24" t="n">
        <f aca="false">'Income Statement'!H16/('Balance Sheet'!H13-Assumptions!$B$8)</f>
        <v>0.158025869844666</v>
      </c>
      <c r="I13" s="24" t="n">
        <f aca="false">'Income Statement'!I16/('Balance Sheet'!I13-Assumptions!$B$8)</f>
        <v>0.157954452326009</v>
      </c>
    </row>
    <row r="14" customFormat="false" ht="15" hidden="false" customHeight="true" outlineLevel="0" collapsed="false">
      <c r="A14" s="4" t="s">
        <v>226</v>
      </c>
      <c r="B14" s="24" t="n">
        <f aca="false">'Income Statement'!B5/'Income Statement'!B4</f>
        <v>0.0197226627627994</v>
      </c>
      <c r="C14" s="24" t="n">
        <f aca="false">'Income Statement'!C5/'Income Statement'!C4</f>
        <v>0.0194996100077998</v>
      </c>
      <c r="D14" s="24" t="n">
        <f aca="false">'Income Statement'!D5/'Income Statement'!D4</f>
        <v>0.0185367633643496</v>
      </c>
      <c r="E14" s="24" t="n">
        <f aca="false">'Income Statement'!E5/'Income Statement'!E4</f>
        <v>0.0172</v>
      </c>
      <c r="F14" s="24" t="n">
        <f aca="false">'Income Statement'!F5/'Income Statement'!F4</f>
        <v>0.0168</v>
      </c>
      <c r="G14" s="24" t="n">
        <f aca="false">'Income Statement'!G5/'Income Statement'!G4</f>
        <v>0.0166</v>
      </c>
      <c r="H14" s="24" t="n">
        <f aca="false">'Income Statement'!H5/'Income Statement'!H4</f>
        <v>0.0166</v>
      </c>
      <c r="I14" s="24" t="n">
        <f aca="false">'Income Statement'!I5/'Income Statement'!I4</f>
        <v>0.0167</v>
      </c>
    </row>
    <row r="15" customFormat="false" ht="15" hidden="false" customHeight="true" outlineLevel="0" collapsed="false">
      <c r="A15" s="4" t="s">
        <v>227</v>
      </c>
      <c r="B15" s="24" t="n">
        <f aca="false">-'Income Statement'!B8/'Income Statement'!B7</f>
        <v>0.22</v>
      </c>
      <c r="C15" s="24" t="n">
        <f aca="false">-'Income Statement'!C8/'Income Statement'!C7</f>
        <v>0.218354430379747</v>
      </c>
      <c r="D15" s="24" t="n">
        <f aca="false">-'Income Statement'!D8/'Income Statement'!D7</f>
        <v>0.218161985274066</v>
      </c>
      <c r="E15" s="24" t="n">
        <f aca="false">-'Income Statement'!E8/'Income Statement'!E7</f>
        <v>0.22</v>
      </c>
      <c r="F15" s="24" t="n">
        <f aca="false">-'Income Statement'!F8/'Income Statement'!F7</f>
        <v>0.225</v>
      </c>
      <c r="G15" s="24" t="n">
        <f aca="false">-'Income Statement'!G8/'Income Statement'!G7</f>
        <v>0.23</v>
      </c>
      <c r="H15" s="24" t="n">
        <f aca="false">-'Income Statement'!H8/'Income Statement'!H7</f>
        <v>0.23</v>
      </c>
      <c r="I15" s="24" t="n">
        <f aca="false">-'Income Statement'!I8/'Income Statement'!I7</f>
        <v>0.23</v>
      </c>
    </row>
    <row r="16" customFormat="false" ht="15" hidden="false" customHeight="true" outlineLevel="0" collapsed="false">
      <c r="A16" s="4" t="s">
        <v>228</v>
      </c>
      <c r="B16" s="32" t="n">
        <f aca="false">-'Income Statement'!B10/'Balance Sheet'!B5*10000</f>
        <v>65.979381443299</v>
      </c>
      <c r="C16" s="32" t="n">
        <f aca="false">-'Income Statement'!C10/'Balance Sheet'!C5*10000</f>
        <v>66.2878787878788</v>
      </c>
      <c r="D16" s="32" t="n">
        <f aca="false">-'Income Statement'!D10/'Balance Sheet'!D5*10000</f>
        <v>48.7012987012987</v>
      </c>
      <c r="E16" s="32" t="n">
        <f aca="false">-'Income Statement'!E10/'Balance Sheet'!E5*10000</f>
        <v>52.5</v>
      </c>
      <c r="F16" s="32" t="n">
        <f aca="false">-'Income Statement'!F10/'Balance Sheet'!F5*10000</f>
        <v>57.5229357798165</v>
      </c>
      <c r="G16" s="32" t="n">
        <f aca="false">-'Income Statement'!G10/'Balance Sheet'!G5*10000</f>
        <v>62.5925925925926</v>
      </c>
      <c r="H16" s="32" t="n">
        <f aca="false">-'Income Statement'!H10/'Balance Sheet'!H5*10000</f>
        <v>62.5925925925926</v>
      </c>
      <c r="I16" s="32" t="n">
        <f aca="false">-'Income Statement'!I10/'Balance Sheet'!I5*10000</f>
        <v>58.0373831775701</v>
      </c>
    </row>
    <row r="17" customFormat="false" ht="15" hidden="false" customHeight="true" outlineLevel="0" collapsed="false">
      <c r="A17" s="4" t="s">
        <v>175</v>
      </c>
      <c r="B17" s="24" t="n">
        <f aca="false">'Balance Sheet'!B21</f>
        <v>0.133823529411765</v>
      </c>
      <c r="C17" s="24" t="n">
        <f aca="false">'Balance Sheet'!C21</f>
        <v>0.13943661971831</v>
      </c>
      <c r="D17" s="24" t="n">
        <f aca="false">'Balance Sheet'!D21</f>
        <v>0.141711229946524</v>
      </c>
      <c r="E17" s="24" t="n">
        <f aca="false">'Balance Sheet'!E21</f>
        <v>0.145474322928699</v>
      </c>
      <c r="F17" s="24" t="n">
        <f aca="false">'Balance Sheet'!F21</f>
        <v>0.148183251048087</v>
      </c>
      <c r="G17" s="24" t="n">
        <f aca="false">'Balance Sheet'!G21</f>
        <v>0.151408172232481</v>
      </c>
      <c r="H17" s="24" t="n">
        <f aca="false">'Balance Sheet'!H21</f>
        <v>0.15417179320081</v>
      </c>
      <c r="I17" s="24" t="n">
        <f aca="false">'Balance Sheet'!I21</f>
        <v>0.15791692893691</v>
      </c>
    </row>
    <row r="18" customFormat="false" ht="15" hidden="false" customHeight="true" outlineLevel="0" collapsed="false">
      <c r="A18" s="4" t="s">
        <v>229</v>
      </c>
      <c r="B18" s="24" t="n">
        <f aca="false">'Balance Sheet'!B5/'Balance Sheet'!B9</f>
        <v>0.639841688654354</v>
      </c>
      <c r="C18" s="24" t="n">
        <f aca="false">'Balance Sheet'!C5/'Balance Sheet'!C9</f>
        <v>0.67175572519084</v>
      </c>
      <c r="D18" s="24" t="n">
        <f aca="false">'Balance Sheet'!D5/'Balance Sheet'!D9</f>
        <v>0.732461355529132</v>
      </c>
      <c r="E18" s="24" t="n">
        <f aca="false">'Balance Sheet'!E5/'Balance Sheet'!E9</f>
        <v>0.746025454705597</v>
      </c>
      <c r="F18" s="24" t="n">
        <f aca="false">'Balance Sheet'!F5/'Balance Sheet'!F9</f>
        <v>0.759969855728132</v>
      </c>
      <c r="G18" s="24" t="n">
        <f aca="false">'Balance Sheet'!G5/'Balance Sheet'!G9</f>
        <v>0.767072377744283</v>
      </c>
      <c r="H18" s="24" t="n">
        <f aca="false">'Balance Sheet'!H5/'Balance Sheet'!H9</f>
        <v>0.781545441475307</v>
      </c>
      <c r="I18" s="24" t="n">
        <f aca="false">'Balance Sheet'!I5/'Balance Sheet'!I9</f>
        <v>0.788918511677904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3" style="1" width="10"/>
  </cols>
  <sheetData>
    <row r="1" customFormat="false" ht="17.25" hidden="false" customHeight="true" outlineLevel="0" collapsed="false">
      <c r="A1" s="2" t="s">
        <v>230</v>
      </c>
    </row>
    <row r="2" customFormat="false" ht="15" hidden="false" customHeight="true" outlineLevel="0" collapsed="false">
      <c r="A2" s="3" t="s">
        <v>231</v>
      </c>
    </row>
    <row r="3" customFormat="false" ht="15" hidden="false" customHeight="true" outlineLevel="0" collapsed="false">
      <c r="A3" s="5" t="s">
        <v>232</v>
      </c>
      <c r="B3" s="5" t="s">
        <v>233</v>
      </c>
      <c r="C3" s="5" t="s">
        <v>221</v>
      </c>
      <c r="D3" s="5" t="s">
        <v>220</v>
      </c>
      <c r="E3" s="5" t="s">
        <v>234</v>
      </c>
    </row>
    <row r="4" customFormat="false" ht="15" hidden="false" customHeight="true" outlineLevel="0" collapsed="false">
      <c r="A4" s="9" t="s">
        <v>235</v>
      </c>
      <c r="B4" s="9" t="s">
        <v>236</v>
      </c>
      <c r="C4" s="17" t="n">
        <v>1.6</v>
      </c>
      <c r="D4" s="17" t="n">
        <v>9.4</v>
      </c>
      <c r="E4" s="11" t="n">
        <v>0.175</v>
      </c>
    </row>
    <row r="5" customFormat="false" ht="15" hidden="false" customHeight="true" outlineLevel="0" collapsed="false">
      <c r="A5" s="4" t="s">
        <v>237</v>
      </c>
      <c r="B5" s="4" t="s">
        <v>238</v>
      </c>
      <c r="C5" s="25" t="n">
        <v>1.1</v>
      </c>
      <c r="D5" s="25" t="n">
        <v>6.5</v>
      </c>
      <c r="E5" s="24" t="n">
        <v>0.19</v>
      </c>
    </row>
    <row r="6" customFormat="false" ht="15" hidden="false" customHeight="true" outlineLevel="0" collapsed="false">
      <c r="A6" s="4" t="s">
        <v>239</v>
      </c>
      <c r="B6" s="4" t="s">
        <v>236</v>
      </c>
      <c r="C6" s="25" t="n">
        <v>1.15</v>
      </c>
      <c r="D6" s="25" t="n">
        <v>8.5</v>
      </c>
      <c r="E6" s="24" t="n">
        <v>0.14</v>
      </c>
    </row>
    <row r="7" customFormat="false" ht="15" hidden="false" customHeight="true" outlineLevel="0" collapsed="false">
      <c r="A7" s="4" t="s">
        <v>240</v>
      </c>
      <c r="B7" s="4" t="s">
        <v>238</v>
      </c>
      <c r="C7" s="25" t="n">
        <v>1.2</v>
      </c>
      <c r="D7" s="25" t="n">
        <v>7</v>
      </c>
      <c r="E7" s="24" t="n">
        <v>0.17</v>
      </c>
    </row>
    <row r="8" customFormat="false" ht="15" hidden="false" customHeight="true" outlineLevel="0" collapsed="false">
      <c r="A8" s="4" t="s">
        <v>241</v>
      </c>
      <c r="B8" s="4" t="s">
        <v>236</v>
      </c>
      <c r="C8" s="25" t="n">
        <v>2.1</v>
      </c>
      <c r="D8" s="25" t="n">
        <v>9.5</v>
      </c>
      <c r="E8" s="24" t="n">
        <v>0.23</v>
      </c>
    </row>
    <row r="9" customFormat="false" ht="15" hidden="false" customHeight="true" outlineLevel="0" collapsed="false">
      <c r="A9" s="4" t="s">
        <v>242</v>
      </c>
      <c r="B9" s="4" t="s">
        <v>243</v>
      </c>
      <c r="C9" s="25" t="n">
        <v>1.6</v>
      </c>
      <c r="D9" s="25" t="n">
        <v>10</v>
      </c>
      <c r="E9" s="24" t="n">
        <v>0.17</v>
      </c>
    </row>
    <row r="10" customFormat="false" ht="15" hidden="false" customHeight="true" outlineLevel="0" collapsed="false">
      <c r="A10" s="4" t="s">
        <v>244</v>
      </c>
      <c r="B10" s="4" t="s">
        <v>245</v>
      </c>
      <c r="C10" s="25" t="n">
        <v>3.6</v>
      </c>
      <c r="D10" s="25" t="n">
        <v>18</v>
      </c>
      <c r="E10" s="24" t="n">
        <v>0.19</v>
      </c>
    </row>
    <row r="11" customFormat="false" ht="15" hidden="false" customHeight="true" outlineLevel="0" collapsed="false">
      <c r="A11" s="4" t="s">
        <v>246</v>
      </c>
      <c r="B11" s="4" t="s">
        <v>245</v>
      </c>
      <c r="C11" s="25" t="n">
        <v>1.5</v>
      </c>
      <c r="D11" s="25" t="n">
        <v>13</v>
      </c>
      <c r="E11" s="24" t="n">
        <v>0.11</v>
      </c>
    </row>
    <row r="13" customFormat="false" ht="15" hidden="false" customHeight="true" outlineLevel="0" collapsed="false">
      <c r="A13" s="3" t="s">
        <v>247</v>
      </c>
    </row>
    <row r="14" customFormat="false" ht="15" hidden="false" customHeight="true" outlineLevel="0" collapsed="false">
      <c r="A14" s="3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2026-07-05T10:32:57Z</dcterms:created>
  <dc:creator>openpyxl</dc:creator>
  <dc:description/>
  <dc:language>en-US</dc:language>
  <cp:lastModifiedBy/>
  <dcterms:modified xsi:type="dcterms:W3CDTF">2026-07-05T10:34:27Z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