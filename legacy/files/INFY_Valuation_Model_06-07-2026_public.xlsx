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Relative &amp; Normalized" sheetId="7" state="visible" r:id="rId7"/>
    <sheet xmlns:r="http://schemas.openxmlformats.org/officeDocument/2006/relationships" name="Owner Earnings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Summary Financials" sheetId="12" state="visible" r:id="rId12"/>
    <sheet xmlns:r="http://schemas.openxmlformats.org/officeDocument/2006/relationships" name="Monte Carlo" sheetId="13" state="visible" r:id="rId13"/>
    <sheet xmlns:r="http://schemas.openxmlformats.org/officeDocument/2006/relationships" name="Sensitivity" sheetId="14" state="visible" r:id="rId14"/>
    <sheet xmlns:r="http://schemas.openxmlformats.org/officeDocument/2006/relationships" name="Per-Share &amp; Ratios" sheetId="15" state="visible" r:id="rId15"/>
    <sheet xmlns:r="http://schemas.openxmlformats.org/officeDocument/2006/relationships" name="Peer &amp; Secto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"/>
    <numFmt numFmtId="166" formatCode="0.0%"/>
    <numFmt numFmtId="167" formatCode="0.0&quot;x&quot;"/>
    <numFmt numFmtId="168" formatCode="0.000"/>
  </numFmts>
  <fonts count="6">
    <font>
      <name val="Calibri"/>
      <family val="2"/>
      <color theme="1"/>
      <sz val="11"/>
      <scheme val="minor"/>
    </font>
    <font>
      <b val="1"/>
      <color rgb="001B5E5E"/>
      <sz val="13"/>
    </font>
    <font>
      <i val="1"/>
      <color rgb="00666666"/>
      <sz val="9"/>
    </font>
    <font>
      <b val="1"/>
      <color rgb="00222222"/>
    </font>
    <font>
      <b val="1"/>
      <color rgb="00FFFFFF"/>
      <sz val="11"/>
    </font>
    <font>
      <color rgb="001F7A5C"/>
    </font>
  </fonts>
  <fills count="5">
    <fill>
      <patternFill/>
    </fill>
    <fill>
      <patternFill patternType="gray125"/>
    </fill>
    <fill>
      <patternFill patternType="solid">
        <fgColor rgb="00F2F6F6"/>
      </patternFill>
    </fill>
    <fill>
      <patternFill patternType="solid">
        <fgColor rgb="00DCE9F5"/>
      </patternFill>
    </fill>
    <fill>
      <patternFill patternType="solid">
        <fgColor rgb="001B5E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166" fontId="0" fillId="0" borderId="0" pivotButton="0" quotePrefix="0" xfId="0"/>
    <xf numFmtId="164" fontId="3" fillId="0" borderId="0" pivotButton="0" quotePrefix="0" xfId="0"/>
    <xf numFmtId="0" fontId="3" fillId="2" borderId="0" pivotButton="0" quotePrefix="0" xfId="0"/>
    <xf numFmtId="164" fontId="0" fillId="3" borderId="0" pivotButton="0" quotePrefix="0" xfId="0"/>
    <xf numFmtId="165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2" fontId="0" fillId="3" borderId="0" pivotButton="0" quotePrefix="0" xfId="0"/>
    <xf numFmtId="166" fontId="3" fillId="0" borderId="0" pivotButton="0" quotePrefix="0" xfId="0"/>
    <xf numFmtId="167" fontId="0" fillId="3" borderId="0" pivotButton="0" quotePrefix="0" xfId="0"/>
    <xf numFmtId="0" fontId="4" fillId="4" borderId="0" applyAlignment="1" pivotButton="0" quotePrefix="0" xfId="0">
      <alignment horizontal="center"/>
    </xf>
    <xf numFmtId="3" fontId="5" fillId="0" borderId="0" pivotButton="0" quotePrefix="0" xfId="0"/>
    <xf numFmtId="3" fontId="0" fillId="0" borderId="0" pivotButton="0" quotePrefix="0" xfId="0"/>
    <xf numFmtId="3" fontId="3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6" fontId="5" fillId="0" borderId="0" pivotButton="0" quotePrefix="0" xfId="0"/>
    <xf numFmtId="3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18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Testahil — Infosys Limited (NSE: INFY)</t>
        </is>
      </c>
    </row>
    <row r="2">
      <c r="A2" s="2" t="inlineStr">
        <is>
          <t>Companion model · Independent Valuation Study · Educational analysis · Not investment advice</t>
        </is>
      </c>
    </row>
    <row r="3">
      <c r="A3" t="inlineStr"/>
    </row>
    <row r="4">
      <c r="A4" t="inlineStr">
        <is>
          <t>What this workbook is. A transparent companion to the Infosys valuation study. Every blue cell is an input;</t>
        </is>
      </c>
    </row>
    <row r="5">
      <c r="A5" t="inlineStr">
        <is>
          <t>every black cell is a formula; green cells link across sheets. All inputs live on the Assumptions sheet —</t>
        </is>
      </c>
    </row>
    <row r="6">
      <c r="A6" t="inlineStr">
        <is>
          <t>change one (the WACC, the terminal growth, an EBIT margin) and the whole model reprices.</t>
        </is>
      </c>
    </row>
    <row r="7">
      <c r="A7" t="inlineStr"/>
    </row>
    <row r="8">
      <c r="A8" t="inlineStr">
        <is>
          <t>What it is not. It is not investment advice, a recommendation, or a price target. Values are model outputs</t>
        </is>
      </c>
    </row>
    <row r="9">
      <c r="A9" t="inlineStr">
        <is>
          <t>shown as ranges. The preparer is not licensed by any securities regulator and may hold a position.</t>
        </is>
      </c>
    </row>
    <row r="10">
      <c r="A10" t="inlineStr"/>
    </row>
    <row r="11">
      <c r="A11" t="inlineStr">
        <is>
          <t>Primary lens. Infosys is an asset-light, cash-generative IT-services franchise, so the anchor lens is a</t>
        </is>
      </c>
    </row>
    <row r="12">
      <c r="A12" t="inlineStr">
        <is>
          <t>discounted-cash-flow (FCFF) model; a shareholder-yield cross-check, relative multiples and a normalized-</t>
        </is>
      </c>
    </row>
    <row r="13">
      <c r="A13" t="inlineStr">
        <is>
          <t>earnings read complete the set. There is no SOTP: the business is a single operating franchise.</t>
        </is>
      </c>
    </row>
    <row r="14">
      <c r="A14" t="inlineStr"/>
    </row>
    <row r="15">
      <c r="A15" t="inlineStr">
        <is>
          <t>Currency. ₹ crore unless stated; USD/INR 88 at study date. Spot ₹1,042.20 (6 Jul 2026).</t>
        </is>
      </c>
    </row>
    <row r="16">
      <c r="A16" t="inlineStr">
        <is>
          <t>Historical financials are company IFRS-INR disclosure (FY26 results, 23 Apr 2026); some balance-sheet line</t>
        </is>
      </c>
    </row>
    <row r="17">
      <c r="A17" t="inlineStr">
        <is>
          <t>items are estimated to disclosed totals (equity, cash &amp; investments, borrowings) — flagged on the Balance Sheet.</t>
        </is>
      </c>
    </row>
    <row r="18">
      <c r="A18" t="inlineStr"/>
    </row>
    <row r="19">
      <c r="A19" t="inlineStr">
        <is>
          <t>Sheets: Summary · Fundamental Valuation · Assumptions · DCF · Segments · Relative &amp; Normalized · Owner Earnings ·</t>
        </is>
      </c>
    </row>
    <row r="20">
      <c r="A20" t="inlineStr">
        <is>
          <t>Income Statement · Balance Sheet · Cash Flow · Summary Financials · Monte Carlo · Sensitivity · Per-Share &amp; Ratios · Peer &amp; Sector.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Valuation summary — Infosys (NSE: INFY)</t>
        </is>
      </c>
    </row>
    <row r="2">
      <c r="A2" s="2" t="inlineStr">
        <is>
          <t>Four-lens fair value vs spot. Base links live; bear/bull are scenario outputs (study §1.5).</t>
        </is>
      </c>
    </row>
    <row r="3"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  <c r="E3" s="3" t="inlineStr">
        <is>
          <t>Weight</t>
        </is>
      </c>
    </row>
    <row r="4">
      <c r="A4" t="inlineStr">
        <is>
          <t>DCF (intrinsic FCFF)</t>
        </is>
      </c>
      <c r="B4" s="4" t="n">
        <v>941</v>
      </c>
      <c r="C4" s="5">
        <f>DCF!B19</f>
        <v/>
      </c>
      <c r="D4" s="4" t="n">
        <v>1474</v>
      </c>
      <c r="E4" s="6">
        <f>Assumptions!B24</f>
        <v/>
      </c>
    </row>
    <row r="5">
      <c r="A5" t="inlineStr">
        <is>
          <t>Owner earnings / yield</t>
        </is>
      </c>
      <c r="B5" s="4" t="n">
        <v>1050</v>
      </c>
      <c r="C5" s="5">
        <f>'Owner Earnings'!B8</f>
        <v/>
      </c>
      <c r="D5" s="4" t="n">
        <v>1620</v>
      </c>
      <c r="E5" s="6">
        <f>Assumptions!B25</f>
        <v/>
      </c>
    </row>
    <row r="6">
      <c r="A6" t="inlineStr">
        <is>
          <t>Relative multiples</t>
        </is>
      </c>
      <c r="B6" s="4" t="n">
        <v>920</v>
      </c>
      <c r="C6" s="5">
        <f>'Relative &amp; Normalized'!C4</f>
        <v/>
      </c>
      <c r="D6" s="4" t="n">
        <v>1430</v>
      </c>
      <c r="E6" s="6">
        <f>Assumptions!B26</f>
        <v/>
      </c>
    </row>
    <row r="7">
      <c r="A7" t="inlineStr">
        <is>
          <t>Normalized earnings</t>
        </is>
      </c>
      <c r="B7" s="4" t="n">
        <v>1010</v>
      </c>
      <c r="C7" s="5">
        <f>'Relative &amp; Normalized'!C6</f>
        <v/>
      </c>
      <c r="D7" s="4" t="n">
        <v>1720</v>
      </c>
      <c r="E7" s="6">
        <f>Assumptions!B27</f>
        <v/>
      </c>
    </row>
    <row r="8">
      <c r="A8" s="3" t="inlineStr">
        <is>
          <t>Weighted central</t>
        </is>
      </c>
      <c r="B8" s="7">
        <f>SUMPRODUCT(B4:B7,E4:E7)</f>
        <v/>
      </c>
      <c r="C8" s="7">
        <f>SUMPRODUCT(C4:C7,E4:E7)</f>
        <v/>
      </c>
      <c r="D8" s="7">
        <f>SUMPRODUCT(D4:D7,E4:E7)</f>
        <v/>
      </c>
    </row>
    <row r="10">
      <c r="A10" t="inlineStr">
        <is>
          <t>Spot price (₹)</t>
        </is>
      </c>
      <c r="C10" s="5">
        <f>Assumptions!B4</f>
        <v/>
      </c>
    </row>
    <row r="11">
      <c r="A11" t="inlineStr">
        <is>
          <t>Upside to central base</t>
        </is>
      </c>
      <c r="C11" s="6">
        <f>C8/C10-1</f>
        <v/>
      </c>
    </row>
    <row r="13">
      <c r="A13" s="2" t="inlineStr">
        <is>
          <t>Read: a quality, cash-generative franchise trading at a de-rated multiple; the swing factor is GenAI's</t>
        </is>
      </c>
    </row>
    <row r="14">
      <c r="A14" s="2" t="inlineStr">
        <is>
          <t>effect on the labour-arbitrage revenue model and margin. Distributions, not a target.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Fundamental valuation — football-field data</t>
        </is>
      </c>
    </row>
    <row r="2">
      <c r="A2" s="2" t="inlineStr">
        <is>
          <t>Bear/base/bull per lens (links to Summary).</t>
        </is>
      </c>
    </row>
    <row r="3">
      <c r="A3" s="3" t="inlineStr">
        <is>
          <t>Lens</t>
        </is>
      </c>
      <c r="B3" s="3" t="inlineStr">
        <is>
          <t>Bear</t>
        </is>
      </c>
      <c r="C3" s="3" t="inlineStr">
        <is>
          <t>Base</t>
        </is>
      </c>
      <c r="D3" s="3" t="inlineStr">
        <is>
          <t>Bull</t>
        </is>
      </c>
    </row>
    <row r="4">
      <c r="A4" t="inlineStr">
        <is>
          <t>DCF (intrinsic FCFF)</t>
        </is>
      </c>
      <c r="B4" s="5">
        <f>Summary!B4</f>
        <v/>
      </c>
      <c r="C4" s="5">
        <f>Summary!C4</f>
        <v/>
      </c>
      <c r="D4" s="5">
        <f>Summary!D4</f>
        <v/>
      </c>
    </row>
    <row r="5">
      <c r="A5" t="inlineStr">
        <is>
          <t>Owner earnings / yield</t>
        </is>
      </c>
      <c r="B5" s="5">
        <f>Summary!B5</f>
        <v/>
      </c>
      <c r="C5" s="5">
        <f>Summary!C5</f>
        <v/>
      </c>
      <c r="D5" s="5">
        <f>Summary!D5</f>
        <v/>
      </c>
    </row>
    <row r="6">
      <c r="A6" t="inlineStr">
        <is>
          <t>Relative multiples</t>
        </is>
      </c>
      <c r="B6" s="5">
        <f>Summary!B6</f>
        <v/>
      </c>
      <c r="C6" s="5">
        <f>Summary!C6</f>
        <v/>
      </c>
      <c r="D6" s="5">
        <f>Summary!D6</f>
        <v/>
      </c>
    </row>
    <row r="7">
      <c r="A7" t="inlineStr">
        <is>
          <t>Normalized earnings</t>
        </is>
      </c>
      <c r="B7" s="5">
        <f>Summary!B7</f>
        <v/>
      </c>
      <c r="C7" s="5">
        <f>Summary!C7</f>
        <v/>
      </c>
      <c r="D7" s="5">
        <f>Summary!D7</f>
        <v/>
      </c>
    </row>
    <row r="8">
      <c r="A8" s="3" t="inlineStr">
        <is>
          <t>Weighted central</t>
        </is>
      </c>
      <c r="B8" s="5">
        <f>Summary!B8</f>
        <v/>
      </c>
      <c r="C8" s="5">
        <f>Summary!C8</f>
        <v/>
      </c>
      <c r="D8" s="5">
        <f>Summary!D8</f>
        <v/>
      </c>
    </row>
    <row r="9">
      <c r="A9" t="inlineStr">
        <is>
          <t>Spot</t>
        </is>
      </c>
      <c r="C9" s="5">
        <f>Assumptions!B4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Assumptions — the single input layer</t>
        </is>
      </c>
    </row>
    <row r="2">
      <c r="A2" s="2" t="inlineStr">
        <is>
          <t>All blue cells are inputs. Every other sheet links here.</t>
        </is>
      </c>
    </row>
    <row r="3">
      <c r="A3" s="8" t="inlineStr">
        <is>
          <t>ANCHORS</t>
        </is>
      </c>
    </row>
    <row r="4">
      <c r="A4" t="inlineStr">
        <is>
          <t>Spot price (₹/share)</t>
        </is>
      </c>
      <c r="B4" s="9" t="n">
        <v>1042.2</v>
      </c>
    </row>
    <row r="5">
      <c r="A5" t="inlineStr">
        <is>
          <t>Shares outstanding (cr)</t>
        </is>
      </c>
      <c r="B5" s="9" t="n">
        <v>414.2</v>
      </c>
    </row>
    <row r="6">
      <c r="A6" t="inlineStr">
        <is>
          <t>USD/INR</t>
        </is>
      </c>
      <c r="B6" s="10" t="n">
        <v>88</v>
      </c>
    </row>
    <row r="7">
      <c r="A7" t="inlineStr">
        <is>
          <t>Net cash (₹ cr)</t>
        </is>
      </c>
      <c r="B7" s="11" t="n">
        <v>43000</v>
      </c>
    </row>
    <row r="8">
      <c r="A8" t="inlineStr">
        <is>
          <t>WACC</t>
        </is>
      </c>
      <c r="B8" s="12" t="n">
        <v>0.12</v>
      </c>
    </row>
    <row r="9">
      <c r="A9" t="inlineStr">
        <is>
          <t>Terminal growth</t>
        </is>
      </c>
      <c r="B9" s="12" t="n">
        <v>0.045</v>
      </c>
    </row>
    <row r="10">
      <c r="A10" t="inlineStr">
        <is>
          <t>Tax rate</t>
        </is>
      </c>
      <c r="B10" s="12" t="n">
        <v>0.26</v>
      </c>
    </row>
    <row r="11">
      <c r="A11" t="inlineStr">
        <is>
          <t>Risk-free rate (India 10y)</t>
        </is>
      </c>
      <c r="B11" s="12" t="n">
        <v>0.065</v>
      </c>
    </row>
    <row r="12">
      <c r="A12" t="inlineStr">
        <is>
          <t>Equity risk premium</t>
        </is>
      </c>
      <c r="B12" s="12" t="n">
        <v>0.06</v>
      </c>
    </row>
    <row r="13">
      <c r="A13" t="inlineStr">
        <is>
          <t>Beta</t>
        </is>
      </c>
      <c r="B13" s="13" t="n">
        <v>0.9</v>
      </c>
    </row>
    <row r="14">
      <c r="A14" t="inlineStr">
        <is>
          <t>Cost of equity (rf + beta x ERP)</t>
        </is>
      </c>
      <c r="B14" s="14">
        <f>B11+B13*B12</f>
        <v/>
      </c>
    </row>
    <row r="16">
      <c r="A16" s="8" t="inlineStr">
        <is>
          <t>RELATIVE &amp; NORMALIZED</t>
        </is>
      </c>
    </row>
    <row r="17">
      <c r="A17" t="inlineStr">
        <is>
          <t>Relative EV/EBITDA multiple</t>
        </is>
      </c>
      <c r="B17" s="15" t="n">
        <v>11</v>
      </c>
    </row>
    <row r="18">
      <c r="A18" t="inlineStr">
        <is>
          <t>Normalized EPS (₹)</t>
        </is>
      </c>
      <c r="B18" s="9" t="n">
        <v>76</v>
      </c>
    </row>
    <row r="19">
      <c r="A19" t="inlineStr">
        <is>
          <t>Justified P/E</t>
        </is>
      </c>
      <c r="B19" s="15" t="n">
        <v>18</v>
      </c>
    </row>
    <row r="20">
      <c r="A20" t="inlineStr">
        <is>
          <t>Normalized FCF/share (₹)</t>
        </is>
      </c>
      <c r="B20" s="9" t="n">
        <v>80</v>
      </c>
    </row>
    <row r="21">
      <c r="A21" t="inlineStr">
        <is>
          <t>Required owner yield</t>
        </is>
      </c>
      <c r="B21" s="12" t="n">
        <v>0.06</v>
      </c>
    </row>
    <row r="23">
      <c r="A23" s="8" t="inlineStr">
        <is>
          <t>SYNTHESIS WEIGHTS</t>
        </is>
      </c>
    </row>
    <row r="24">
      <c r="A24" t="inlineStr">
        <is>
          <t>DCF weight</t>
        </is>
      </c>
      <c r="B24" s="12" t="n">
        <v>0.4</v>
      </c>
    </row>
    <row r="25">
      <c r="A25" t="inlineStr">
        <is>
          <t>Owner-earnings weight</t>
        </is>
      </c>
      <c r="B25" s="12" t="n">
        <v>0.15</v>
      </c>
    </row>
    <row r="26">
      <c r="A26" t="inlineStr">
        <is>
          <t>Relative weight</t>
        </is>
      </c>
      <c r="B26" s="12" t="n">
        <v>0.25</v>
      </c>
    </row>
    <row r="27">
      <c r="A27" t="inlineStr">
        <is>
          <t>Normalized-earnings weight</t>
        </is>
      </c>
      <c r="B27" s="12" t="n">
        <v>0.2</v>
      </c>
    </row>
    <row r="29">
      <c r="A29" s="8" t="inlineStr">
        <is>
          <t>WORKING CAPITAL (% of revenue)</t>
        </is>
      </c>
    </row>
    <row r="30">
      <c r="A30" t="inlineStr">
        <is>
          <t>Receivables</t>
        </is>
      </c>
      <c r="B30" s="12" t="n">
        <v>0.205</v>
      </c>
    </row>
    <row r="31">
      <c r="A31" t="inlineStr">
        <is>
          <t>Other current assets</t>
        </is>
      </c>
      <c r="B31" s="12" t="n">
        <v>0.11</v>
      </c>
    </row>
    <row r="32">
      <c r="A32" t="inlineStr">
        <is>
          <t>Payables &amp; other CL</t>
        </is>
      </c>
      <c r="B32" s="12" t="n">
        <v>0.16</v>
      </c>
    </row>
    <row r="34">
      <c r="A34" s="8" t="inlineStr">
        <is>
          <t>MONTE CARLO</t>
        </is>
      </c>
    </row>
    <row r="35">
      <c r="A35" t="inlineStr">
        <is>
          <t>Diffusion volatility (annualized, YZ-HAR)</t>
        </is>
      </c>
      <c r="B35" s="12" t="n">
        <v>0.2702</v>
      </c>
    </row>
    <row r="36">
      <c r="A36" t="inlineStr">
        <is>
          <t>Net 3-month factor drift</t>
        </is>
      </c>
      <c r="B36" s="12" t="n">
        <v>0.025</v>
      </c>
    </row>
    <row r="37">
      <c r="A37" t="inlineStr">
        <is>
          <t>Simulated path vol (annualized)</t>
        </is>
      </c>
      <c r="B37" s="12" t="n">
        <v>0.2952</v>
      </c>
    </row>
    <row r="39">
      <c r="A39" s="8" t="inlineStr">
        <is>
          <t>FORECAST DRIVERS (FY27E–FY31E)</t>
        </is>
      </c>
    </row>
    <row r="40">
      <c r="E40" s="16" t="inlineStr">
        <is>
          <t>FY27E</t>
        </is>
      </c>
      <c r="F40" s="16" t="inlineStr">
        <is>
          <t>FY28E</t>
        </is>
      </c>
      <c r="G40" s="16" t="inlineStr">
        <is>
          <t>FY29E</t>
        </is>
      </c>
      <c r="H40" s="16" t="inlineStr">
        <is>
          <t>FY30E</t>
        </is>
      </c>
      <c r="I40" s="16" t="inlineStr">
        <is>
          <t>FY31E</t>
        </is>
      </c>
    </row>
    <row r="41">
      <c r="A41" t="inlineStr">
        <is>
          <t>Revenue growth</t>
        </is>
      </c>
      <c r="E41" s="12" t="n">
        <v>0.05</v>
      </c>
      <c r="F41" s="12" t="n">
        <v>0.06</v>
      </c>
      <c r="G41" s="12" t="n">
        <v>0.07000000000000001</v>
      </c>
      <c r="H41" s="12" t="n">
        <v>0.07000000000000001</v>
      </c>
      <c r="I41" s="12" t="n">
        <v>0.065</v>
      </c>
    </row>
    <row r="42">
      <c r="A42" t="inlineStr">
        <is>
          <t>EBIT margin</t>
        </is>
      </c>
      <c r="E42" s="12" t="n">
        <v>0.21</v>
      </c>
      <c r="F42" s="12" t="n">
        <v>0.215</v>
      </c>
      <c r="G42" s="12" t="n">
        <v>0.22</v>
      </c>
      <c r="H42" s="12" t="n">
        <v>0.22</v>
      </c>
      <c r="I42" s="12" t="n">
        <v>0.22</v>
      </c>
    </row>
    <row r="43">
      <c r="A43" t="inlineStr">
        <is>
          <t>D&amp;A (% of revenue)</t>
        </is>
      </c>
      <c r="E43" s="12" t="n">
        <v>0.027</v>
      </c>
      <c r="F43" s="12" t="n">
        <v>0.027</v>
      </c>
      <c r="G43" s="12" t="n">
        <v>0.027</v>
      </c>
      <c r="H43" s="12" t="n">
        <v>0.027</v>
      </c>
      <c r="I43" s="12" t="n">
        <v>0.027</v>
      </c>
    </row>
    <row r="44">
      <c r="A44" t="inlineStr">
        <is>
          <t>Other income (₹ cr)</t>
        </is>
      </c>
      <c r="E44" s="11" t="n">
        <v>3600</v>
      </c>
      <c r="F44" s="11" t="n">
        <v>3800</v>
      </c>
      <c r="G44" s="11" t="n">
        <v>4000</v>
      </c>
      <c r="H44" s="11" t="n">
        <v>4300</v>
      </c>
      <c r="I44" s="11" t="n">
        <v>4600</v>
      </c>
    </row>
    <row r="45">
      <c r="A45" t="inlineStr">
        <is>
          <t>Capex (₹ cr)</t>
        </is>
      </c>
      <c r="E45" s="11" t="n">
        <v>3400</v>
      </c>
      <c r="F45" s="11" t="n">
        <v>3700</v>
      </c>
      <c r="G45" s="11" t="n">
        <v>4000</v>
      </c>
      <c r="H45" s="11" t="n">
        <v>4300</v>
      </c>
      <c r="I45" s="11" t="n">
        <v>4600</v>
      </c>
    </row>
    <row r="46">
      <c r="A46" t="inlineStr">
        <is>
          <t>Dividend (₹ cr)</t>
        </is>
      </c>
      <c r="E46" s="11" t="n">
        <v>22000</v>
      </c>
      <c r="F46" s="11" t="n">
        <v>24000</v>
      </c>
      <c r="G46" s="11" t="n">
        <v>26000</v>
      </c>
      <c r="H46" s="11" t="n">
        <v>28000</v>
      </c>
      <c r="I46" s="11" t="n">
        <v>30000</v>
      </c>
    </row>
    <row r="47">
      <c r="A47" t="inlineStr">
        <is>
          <t>Buyback (₹ cr)</t>
        </is>
      </c>
      <c r="E47" s="11" t="n">
        <v>8000</v>
      </c>
      <c r="F47" s="11" t="n">
        <v>9000</v>
      </c>
      <c r="G47" s="11" t="n">
        <v>10000</v>
      </c>
      <c r="H47" s="11" t="n">
        <v>11000</v>
      </c>
      <c r="I47" s="11" t="n">
        <v>12000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Discounted cash flow — explicit 5-year FCFF (primary lens)</t>
        </is>
      </c>
    </row>
    <row r="2">
      <c r="A2" s="2" t="inlineStr">
        <is>
          <t>NOPAT + D&amp;A − capex − ΔWC, discounted at WACC. Links to Income Statement / Balance Sheet / Assumptions.</t>
        </is>
      </c>
    </row>
    <row r="3">
      <c r="B3" s="16" t="inlineStr">
        <is>
          <t>FY27E</t>
        </is>
      </c>
      <c r="C3" s="16" t="inlineStr">
        <is>
          <t>FY28E</t>
        </is>
      </c>
      <c r="D3" s="16" t="inlineStr">
        <is>
          <t>FY29E</t>
        </is>
      </c>
      <c r="E3" s="16" t="inlineStr">
        <is>
          <t>FY30E</t>
        </is>
      </c>
      <c r="F3" s="16" t="inlineStr">
        <is>
          <t>FY31E</t>
        </is>
      </c>
    </row>
    <row r="4">
      <c r="A4" t="inlineStr">
        <is>
          <t>EBIT</t>
        </is>
      </c>
      <c r="B4" s="17">
        <f>'Income Statement'!E5</f>
        <v/>
      </c>
      <c r="C4" s="17">
        <f>'Income Statement'!F5</f>
        <v/>
      </c>
      <c r="D4" s="17">
        <f>'Income Statement'!G5</f>
        <v/>
      </c>
      <c r="E4" s="17">
        <f>'Income Statement'!H5</f>
        <v/>
      </c>
      <c r="F4" s="17">
        <f>'Income Statement'!I5</f>
        <v/>
      </c>
    </row>
    <row r="5">
      <c r="A5" t="inlineStr">
        <is>
          <t>NOPAT = EBIT×(1−tax)</t>
        </is>
      </c>
      <c r="B5" s="18">
        <f>B4*(1-Assumptions!B10)</f>
        <v/>
      </c>
      <c r="C5" s="18">
        <f>C4*(1-Assumptions!B10)</f>
        <v/>
      </c>
      <c r="D5" s="18">
        <f>D4*(1-Assumptions!B10)</f>
        <v/>
      </c>
      <c r="E5" s="18">
        <f>E4*(1-Assumptions!B10)</f>
        <v/>
      </c>
      <c r="F5" s="18">
        <f>F4*(1-Assumptions!B10)</f>
        <v/>
      </c>
    </row>
    <row r="6">
      <c r="A6" t="inlineStr">
        <is>
          <t>+ D&amp;A</t>
        </is>
      </c>
      <c r="B6" s="17">
        <f>'Income Statement'!E7</f>
        <v/>
      </c>
      <c r="C6" s="17">
        <f>'Income Statement'!F7</f>
        <v/>
      </c>
      <c r="D6" s="17">
        <f>'Income Statement'!G7</f>
        <v/>
      </c>
      <c r="E6" s="17">
        <f>'Income Statement'!H7</f>
        <v/>
      </c>
      <c r="F6" s="17">
        <f>'Income Statement'!I7</f>
        <v/>
      </c>
    </row>
    <row r="7">
      <c r="A7" t="inlineStr">
        <is>
          <t>− Capex</t>
        </is>
      </c>
      <c r="B7" s="17">
        <f>-Assumptions!E45</f>
        <v/>
      </c>
      <c r="C7" s="17">
        <f>-Assumptions!F45</f>
        <v/>
      </c>
      <c r="D7" s="17">
        <f>-Assumptions!G45</f>
        <v/>
      </c>
      <c r="E7" s="17">
        <f>-Assumptions!H45</f>
        <v/>
      </c>
      <c r="F7" s="17">
        <f>-Assumptions!I45</f>
        <v/>
      </c>
    </row>
    <row r="8">
      <c r="A8" t="inlineStr">
        <is>
          <t>− Increase in net WC</t>
        </is>
      </c>
      <c r="B8" s="17">
        <f>-(('Balance Sheet'!E6+'Balance Sheet'!E7-'Balance Sheet'!E12)-('Balance Sheet'!D6+'Balance Sheet'!D7-'Balance Sheet'!D12))</f>
        <v/>
      </c>
      <c r="C8" s="17">
        <f>-(('Balance Sheet'!F6+'Balance Sheet'!F7-'Balance Sheet'!F12)-('Balance Sheet'!E6+'Balance Sheet'!E7-'Balance Sheet'!E12))</f>
        <v/>
      </c>
      <c r="D8" s="17">
        <f>-(('Balance Sheet'!G6+'Balance Sheet'!G7-'Balance Sheet'!G12)-('Balance Sheet'!F6+'Balance Sheet'!F7-'Balance Sheet'!F12))</f>
        <v/>
      </c>
      <c r="E8" s="17">
        <f>-(('Balance Sheet'!H6+'Balance Sheet'!H7-'Balance Sheet'!H12)-('Balance Sheet'!G6+'Balance Sheet'!G7-'Balance Sheet'!G12))</f>
        <v/>
      </c>
      <c r="F8" s="17">
        <f>-(('Balance Sheet'!I6+'Balance Sheet'!I7-'Balance Sheet'!I12)-('Balance Sheet'!H6+'Balance Sheet'!H7-'Balance Sheet'!H12))</f>
        <v/>
      </c>
    </row>
    <row r="9">
      <c r="A9" s="3" t="inlineStr">
        <is>
          <t>Free cash flow to firm</t>
        </is>
      </c>
      <c r="B9" s="19">
        <f>B5+B6+B7+B8</f>
        <v/>
      </c>
      <c r="C9" s="19">
        <f>C5+C6+C7+C8</f>
        <v/>
      </c>
      <c r="D9" s="19">
        <f>D5+D6+D7+D8</f>
        <v/>
      </c>
      <c r="E9" s="19">
        <f>E5+E6+E7+E8</f>
        <v/>
      </c>
      <c r="F9" s="19">
        <f>F5+F6+F7+F8</f>
        <v/>
      </c>
    </row>
    <row r="10">
      <c r="A10" t="inlineStr">
        <is>
          <t>Discount factor</t>
        </is>
      </c>
      <c r="B10" s="20">
        <f>1/(1+Assumptions!B8)^1</f>
        <v/>
      </c>
      <c r="C10" s="20">
        <f>1/(1+Assumptions!B8)^2</f>
        <v/>
      </c>
      <c r="D10" s="20">
        <f>1/(1+Assumptions!B8)^3</f>
        <v/>
      </c>
      <c r="E10" s="20">
        <f>1/(1+Assumptions!B8)^4</f>
        <v/>
      </c>
      <c r="F10" s="20">
        <f>1/(1+Assumptions!B8)^5</f>
        <v/>
      </c>
    </row>
    <row r="11">
      <c r="A11" t="inlineStr">
        <is>
          <t>PV of FCFF</t>
        </is>
      </c>
      <c r="B11" s="18">
        <f>B9*B10</f>
        <v/>
      </c>
      <c r="C11" s="18">
        <f>C9*C10</f>
        <v/>
      </c>
      <c r="D11" s="18">
        <f>D9*D10</f>
        <v/>
      </c>
      <c r="E11" s="18">
        <f>E9*E10</f>
        <v/>
      </c>
      <c r="F11" s="18">
        <f>F9*F10</f>
        <v/>
      </c>
    </row>
    <row r="13">
      <c r="A13" t="inlineStr">
        <is>
          <t>Σ PV of explicit FCFF (FY27–31)</t>
        </is>
      </c>
      <c r="B13" s="19">
        <f>SUM(B11:F11)</f>
        <v/>
      </c>
    </row>
    <row r="14">
      <c r="A14" t="inlineStr">
        <is>
          <t>Terminal value (Gordon)</t>
        </is>
      </c>
      <c r="B14" s="18">
        <f>F9*(1+Assumptions!B9)/(Assumptions!B8-Assumptions!B9)</f>
        <v/>
      </c>
    </row>
    <row r="15">
      <c r="A15" t="inlineStr">
        <is>
          <t>PV of terminal value</t>
        </is>
      </c>
      <c r="B15" s="18">
        <f>B14/(1+Assumptions!B8)^5</f>
        <v/>
      </c>
    </row>
    <row r="16">
      <c r="A16" s="3" t="inlineStr">
        <is>
          <t>Enterprise value</t>
        </is>
      </c>
      <c r="B16" s="19">
        <f>B13+B15</f>
        <v/>
      </c>
    </row>
    <row r="17">
      <c r="A17" t="inlineStr">
        <is>
          <t>add: net cash</t>
        </is>
      </c>
      <c r="B17" s="17">
        <f>Assumptions!B7</f>
        <v/>
      </c>
    </row>
    <row r="18">
      <c r="A18" s="3" t="inlineStr">
        <is>
          <t>Equity value</t>
        </is>
      </c>
      <c r="B18" s="19">
        <f>B16+B17</f>
        <v/>
      </c>
    </row>
    <row r="19">
      <c r="A19" s="3" t="inlineStr">
        <is>
          <t>Fair value per share (₹)</t>
        </is>
      </c>
      <c r="B19" s="7">
        <f>B18/Assumptions!B5</f>
        <v/>
      </c>
    </row>
    <row r="20">
      <c r="A20" t="inlineStr">
        <is>
          <t>Terminal value as % of EV</t>
        </is>
      </c>
      <c r="B20" s="6">
        <f>B15/B16</f>
        <v/>
      </c>
    </row>
    <row r="21">
      <c r="A21" t="inlineStr">
        <is>
          <t>Implied FY27E P/E at fair value</t>
        </is>
      </c>
      <c r="B21" s="21">
        <f>B19/('Income Statement'!E14/Assumptions!B5)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Segment view — revenue by geography and vertical</t>
        </is>
      </c>
    </row>
    <row r="2">
      <c r="A2" s="2" t="inlineStr">
        <is>
          <t>FY26 disclosed mix applied to modelled revenue (links to Income Statement).</t>
        </is>
      </c>
    </row>
    <row r="3">
      <c r="B3" s="16" t="inlineStr">
        <is>
          <t>FY24</t>
        </is>
      </c>
      <c r="C3" s="16" t="inlineStr">
        <is>
          <t>FY25</t>
        </is>
      </c>
      <c r="D3" s="16" t="inlineStr">
        <is>
          <t>FY26</t>
        </is>
      </c>
      <c r="E3" s="16" t="inlineStr">
        <is>
          <t>FY27E</t>
        </is>
      </c>
      <c r="F3" s="16" t="inlineStr">
        <is>
          <t>FY28E</t>
        </is>
      </c>
      <c r="G3" s="16" t="inlineStr">
        <is>
          <t>FY29E</t>
        </is>
      </c>
      <c r="H3" s="16" t="inlineStr">
        <is>
          <t>FY30E</t>
        </is>
      </c>
      <c r="I3" s="16" t="inlineStr">
        <is>
          <t>FY31E</t>
        </is>
      </c>
    </row>
    <row r="4">
      <c r="A4" s="3" t="inlineStr">
        <is>
          <t>Group revenue</t>
        </is>
      </c>
      <c r="B4" s="17">
        <f>'Income Statement'!B4</f>
        <v/>
      </c>
      <c r="C4" s="17">
        <f>'Income Statement'!C4</f>
        <v/>
      </c>
      <c r="D4" s="17">
        <f>'Income Statement'!D4</f>
        <v/>
      </c>
      <c r="E4" s="17">
        <f>'Income Statement'!E4</f>
        <v/>
      </c>
      <c r="F4" s="17">
        <f>'Income Statement'!F4</f>
        <v/>
      </c>
      <c r="G4" s="17">
        <f>'Income Statement'!G4</f>
        <v/>
      </c>
      <c r="H4" s="17">
        <f>'Income Statement'!H4</f>
        <v/>
      </c>
      <c r="I4" s="17">
        <f>'Income Statement'!I4</f>
        <v/>
      </c>
    </row>
    <row r="5">
      <c r="A5" t="inlineStr">
        <is>
          <t xml:space="preserve">  North America (55.7%)</t>
        </is>
      </c>
      <c r="B5" s="18">
        <f>B4*0.557</f>
        <v/>
      </c>
      <c r="C5" s="18">
        <f>C4*0.557</f>
        <v/>
      </c>
      <c r="D5" s="18">
        <f>D4*0.557</f>
        <v/>
      </c>
      <c r="E5" s="18">
        <f>E4*0.557</f>
        <v/>
      </c>
      <c r="F5" s="18">
        <f>F4*0.557</f>
        <v/>
      </c>
      <c r="G5" s="18">
        <f>G4*0.557</f>
        <v/>
      </c>
      <c r="H5" s="18">
        <f>H4*0.557</f>
        <v/>
      </c>
      <c r="I5" s="18">
        <f>I4*0.557</f>
        <v/>
      </c>
    </row>
    <row r="6">
      <c r="A6" t="inlineStr">
        <is>
          <t xml:space="preserve">  Europe (28.6%)</t>
        </is>
      </c>
      <c r="B6" s="18">
        <f>B4*0.286</f>
        <v/>
      </c>
      <c r="C6" s="18">
        <f>C4*0.286</f>
        <v/>
      </c>
      <c r="D6" s="18">
        <f>D4*0.286</f>
        <v/>
      </c>
      <c r="E6" s="18">
        <f>E4*0.286</f>
        <v/>
      </c>
      <c r="F6" s="18">
        <f>F4*0.286</f>
        <v/>
      </c>
      <c r="G6" s="18">
        <f>G4*0.286</f>
        <v/>
      </c>
      <c r="H6" s="18">
        <f>H4*0.286</f>
        <v/>
      </c>
      <c r="I6" s="18">
        <f>I4*0.286</f>
        <v/>
      </c>
    </row>
    <row r="7">
      <c r="A7" t="inlineStr">
        <is>
          <t xml:space="preserve">  India (2.6%)</t>
        </is>
      </c>
      <c r="B7" s="18">
        <f>B4*0.026</f>
        <v/>
      </c>
      <c r="C7" s="18">
        <f>C4*0.026</f>
        <v/>
      </c>
      <c r="D7" s="18">
        <f>D4*0.026</f>
        <v/>
      </c>
      <c r="E7" s="18">
        <f>E4*0.026</f>
        <v/>
      </c>
      <c r="F7" s="18">
        <f>F4*0.026</f>
        <v/>
      </c>
      <c r="G7" s="18">
        <f>G4*0.026</f>
        <v/>
      </c>
      <c r="H7" s="18">
        <f>H4*0.026</f>
        <v/>
      </c>
      <c r="I7" s="18">
        <f>I4*0.026</f>
        <v/>
      </c>
    </row>
    <row r="8">
      <c r="A8" t="inlineStr">
        <is>
          <t xml:space="preserve">  Rest of world (13.1%)</t>
        </is>
      </c>
      <c r="B8" s="18">
        <f>B4*0.131</f>
        <v/>
      </c>
      <c r="C8" s="18">
        <f>C4*0.131</f>
        <v/>
      </c>
      <c r="D8" s="18">
        <f>D4*0.131</f>
        <v/>
      </c>
      <c r="E8" s="18">
        <f>E4*0.131</f>
        <v/>
      </c>
      <c r="F8" s="18">
        <f>F4*0.131</f>
        <v/>
      </c>
      <c r="G8" s="18">
        <f>G4*0.131</f>
        <v/>
      </c>
      <c r="H8" s="18">
        <f>H4*0.131</f>
        <v/>
      </c>
      <c r="I8" s="18">
        <f>I4*0.131</f>
        <v/>
      </c>
    </row>
    <row r="9">
      <c r="A9" t="inlineStr">
        <is>
          <t>Financial Services (largest vertical, ~28%)</t>
        </is>
      </c>
      <c r="B9" s="18">
        <f>B4*0.28</f>
        <v/>
      </c>
      <c r="C9" s="18">
        <f>C4*0.28</f>
        <v/>
      </c>
      <c r="D9" s="18">
        <f>D4*0.28</f>
        <v/>
      </c>
      <c r="E9" s="18">
        <f>E4*0.28</f>
        <v/>
      </c>
      <c r="F9" s="18">
        <f>F4*0.28</f>
        <v/>
      </c>
      <c r="G9" s="18">
        <f>G4*0.28</f>
        <v/>
      </c>
      <c r="H9" s="18">
        <f>H4*0.28</f>
        <v/>
      </c>
      <c r="I9" s="18">
        <f>I4*0.28</f>
        <v/>
      </c>
    </row>
    <row r="10">
      <c r="A10" t="inlineStr">
        <is>
          <t>EBIT margin (group)</t>
        </is>
      </c>
      <c r="B10" s="6">
        <f>'Income Statement'!B6</f>
        <v/>
      </c>
      <c r="C10" s="6">
        <f>'Income Statement'!C6</f>
        <v/>
      </c>
      <c r="D10" s="6">
        <f>'Income Statement'!D6</f>
        <v/>
      </c>
      <c r="E10" s="6">
        <f>'Income Statement'!E6</f>
        <v/>
      </c>
      <c r="F10" s="6">
        <f>'Income Statement'!F6</f>
        <v/>
      </c>
      <c r="G10" s="6">
        <f>'Income Statement'!G6</f>
        <v/>
      </c>
      <c r="H10" s="6">
        <f>'Income Statement'!H6</f>
        <v/>
      </c>
      <c r="I10" s="6">
        <f>'Income Statement'!I6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Relative &amp; normalized-earnings lenses</t>
        </is>
      </c>
    </row>
    <row r="2">
      <c r="A2" s="2" t="inlineStr">
        <is>
          <t>Links to Assumptions.</t>
        </is>
      </c>
    </row>
    <row r="3">
      <c r="A3" s="3" t="inlineStr">
        <is>
          <t>Lens</t>
        </is>
      </c>
      <c r="B3" s="3" t="inlineStr">
        <is>
          <t>Workings</t>
        </is>
      </c>
      <c r="C3" s="3" t="inlineStr">
        <is>
          <t>₹/share</t>
        </is>
      </c>
    </row>
    <row r="4">
      <c r="A4" t="inlineStr">
        <is>
          <t>Relative EV/EBITDA</t>
        </is>
      </c>
      <c r="B4" t="inlineStr">
        <is>
          <t>Norm EBITDA × mult + net cash, /sh</t>
        </is>
      </c>
      <c r="C4" s="5">
        <f>('Income Statement'!E8*Assumptions!B17+Assumptions!B7)/Assumptions!B5</f>
        <v/>
      </c>
    </row>
    <row r="5">
      <c r="A5" t="inlineStr">
        <is>
          <t xml:space="preserve">  implied EV (₹ cr)</t>
        </is>
      </c>
      <c r="C5" s="18">
        <f>'Income Statement'!E8*Assumptions!B17</f>
        <v/>
      </c>
    </row>
    <row r="6">
      <c r="A6" t="inlineStr">
        <is>
          <t>Normalized earnings (P/E)</t>
        </is>
      </c>
      <c r="B6" t="inlineStr">
        <is>
          <t>Normalized EPS × justified P/E</t>
        </is>
      </c>
      <c r="C6" s="5">
        <f>Assumptions!B18*Assumptions!B19</f>
        <v/>
      </c>
    </row>
    <row r="7">
      <c r="A7" t="inlineStr">
        <is>
          <t xml:space="preserve">  normalized EPS (₹)</t>
        </is>
      </c>
      <c r="C7" s="4">
        <f>Assumptions!B18</f>
        <v/>
      </c>
    </row>
    <row r="8">
      <c r="A8" t="inlineStr">
        <is>
          <t>Spot P/E (FY26)</t>
        </is>
      </c>
      <c r="C8" s="21">
        <f>Assumptions!B4/('Income Statement'!D14/Assumptions!B5)</f>
        <v/>
      </c>
    </row>
    <row r="9">
      <c r="A9" t="inlineStr">
        <is>
          <t>Spot EV/EBITDA (FY26)</t>
        </is>
      </c>
      <c r="C9" s="21">
        <f>(Assumptions!B4*Assumptions!B5-Assumptions!B7)/'Income Statement'!D8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Owner earnings &amp; shareholder yield — the cash-flow cross-check</t>
        </is>
      </c>
    </row>
    <row r="2">
      <c r="A2" s="2" t="inlineStr">
        <is>
          <t>Capitalizes normalized free cash flow to owners; a reverse-DCF reads the growth the price implies.</t>
        </is>
      </c>
    </row>
    <row r="3">
      <c r="A3" t="inlineStr">
        <is>
          <t>Normalized FCF/share (₹)</t>
        </is>
      </c>
      <c r="B3" s="5">
        <f>Assumptions!B20</f>
        <v/>
      </c>
    </row>
    <row r="4">
      <c r="A4" t="inlineStr">
        <is>
          <t>Required owner yield</t>
        </is>
      </c>
      <c r="B4" s="22">
        <f>Assumptions!B21</f>
        <v/>
      </c>
    </row>
    <row r="5">
      <c r="A5" t="inlineStr">
        <is>
          <t>Assumed long-run FCF growth</t>
        </is>
      </c>
      <c r="B5" s="12" t="n">
        <v>0.05</v>
      </c>
    </row>
    <row r="6">
      <c r="A6" s="3" t="inlineStr">
        <is>
          <t>Fair value = FCF/(yield) (perpetuity)</t>
        </is>
      </c>
      <c r="B6" s="7">
        <f>B3/B4</f>
        <v/>
      </c>
    </row>
    <row r="7">
      <c r="A7" t="inlineStr">
        <is>
          <t>Fair value = FCF×(1+g)/(WACC−g)</t>
        </is>
      </c>
      <c r="B7" s="4">
        <f>B3*(1+B5)/(Assumptions!B8-B5)</f>
        <v/>
      </c>
    </row>
    <row r="8">
      <c r="A8" s="3" t="inlineStr">
        <is>
          <t>Owner-earnings fair value (mid)</t>
        </is>
      </c>
      <c r="B8" s="7">
        <f>AVERAGE(B6:B7)</f>
        <v/>
      </c>
    </row>
    <row r="10">
      <c r="A10" s="3" t="inlineStr">
        <is>
          <t>Reverse-DCF — what the market price implies</t>
        </is>
      </c>
    </row>
    <row r="11">
      <c r="A11" t="inlineStr">
        <is>
          <t>Spot FCF yield</t>
        </is>
      </c>
      <c r="B11" s="6">
        <f>Assumptions!B20/Assumptions!B4</f>
        <v/>
      </c>
    </row>
    <row r="12">
      <c r="A12" t="inlineStr">
        <is>
          <t>Implied return at spot (yield + g)</t>
        </is>
      </c>
      <c r="B12" s="6">
        <f>B11+B5</f>
        <v/>
      </c>
    </row>
    <row r="13">
      <c r="A13" t="inlineStr">
        <is>
          <t>Excess over WACC (value signal)</t>
        </is>
      </c>
      <c r="B13" s="6">
        <f>B12-Assumptions!B8</f>
        <v/>
      </c>
    </row>
    <row r="14">
      <c r="A14" s="2" t="inlineStr">
        <is>
          <t>Read: implied return above WACC ⇒ the price under-rewards the cash the franchise returns.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Income statement (₹ cr, consolidated, IFRS)</t>
        </is>
      </c>
    </row>
    <row r="2">
      <c r="A2" s="2" t="inlineStr">
        <is>
          <t>FY24–FY26 disclosed (blue); FY27–FY31 forecast (formulas linking to Assumptions)</t>
        </is>
      </c>
    </row>
    <row r="3">
      <c r="B3" s="16" t="inlineStr">
        <is>
          <t>FY24</t>
        </is>
      </c>
      <c r="C3" s="16" t="inlineStr">
        <is>
          <t>FY25</t>
        </is>
      </c>
      <c r="D3" s="16" t="inlineStr">
        <is>
          <t>FY26</t>
        </is>
      </c>
      <c r="E3" s="16" t="inlineStr">
        <is>
          <t>FY27E</t>
        </is>
      </c>
      <c r="F3" s="16" t="inlineStr">
        <is>
          <t>FY28E</t>
        </is>
      </c>
      <c r="G3" s="16" t="inlineStr">
        <is>
          <t>FY29E</t>
        </is>
      </c>
      <c r="H3" s="16" t="inlineStr">
        <is>
          <t>FY30E</t>
        </is>
      </c>
      <c r="I3" s="16" t="inlineStr">
        <is>
          <t>FY31E</t>
        </is>
      </c>
    </row>
    <row r="4">
      <c r="A4" t="inlineStr">
        <is>
          <t>Revenue</t>
        </is>
      </c>
      <c r="B4" s="11" t="n">
        <v>153670</v>
      </c>
      <c r="C4" s="11" t="n">
        <v>162990</v>
      </c>
      <c r="D4" s="11" t="n">
        <v>178650</v>
      </c>
      <c r="E4" s="17">
        <f>D4*(1+Assumptions!E41)</f>
        <v/>
      </c>
      <c r="F4" s="17">
        <f>E4*(1+Assumptions!F41)</f>
        <v/>
      </c>
      <c r="G4" s="17">
        <f>F4*(1+Assumptions!G41)</f>
        <v/>
      </c>
      <c r="H4" s="17">
        <f>G4*(1+Assumptions!H41)</f>
        <v/>
      </c>
      <c r="I4" s="17">
        <f>H4*(1+Assumptions!I41)</f>
        <v/>
      </c>
    </row>
    <row r="5">
      <c r="A5" t="inlineStr">
        <is>
          <t>EBIT</t>
        </is>
      </c>
      <c r="B5" s="11" t="n">
        <v>31810</v>
      </c>
      <c r="C5" s="11" t="n">
        <v>34391</v>
      </c>
      <c r="D5" s="11" t="n">
        <v>36266</v>
      </c>
      <c r="E5" s="17">
        <f>E4*Assumptions!E42</f>
        <v/>
      </c>
      <c r="F5" s="17">
        <f>F4*Assumptions!F42</f>
        <v/>
      </c>
      <c r="G5" s="17">
        <f>G4*Assumptions!G42</f>
        <v/>
      </c>
      <c r="H5" s="17">
        <f>H4*Assumptions!H42</f>
        <v/>
      </c>
      <c r="I5" s="17">
        <f>I4*Assumptions!I42</f>
        <v/>
      </c>
    </row>
    <row r="6">
      <c r="A6" t="inlineStr">
        <is>
          <t>EBIT margin</t>
        </is>
      </c>
      <c r="B6" s="6">
        <f>B5/B4</f>
        <v/>
      </c>
      <c r="C6" s="6">
        <f>C5/C4</f>
        <v/>
      </c>
      <c r="D6" s="6">
        <f>D5/D4</f>
        <v/>
      </c>
      <c r="E6" s="6">
        <f>E5/E4</f>
        <v/>
      </c>
      <c r="F6" s="6">
        <f>F5/F4</f>
        <v/>
      </c>
      <c r="G6" s="6">
        <f>G5/G4</f>
        <v/>
      </c>
      <c r="H6" s="6">
        <f>H5/H4</f>
        <v/>
      </c>
      <c r="I6" s="6">
        <f>I5/I4</f>
        <v/>
      </c>
    </row>
    <row r="7">
      <c r="A7" t="inlineStr">
        <is>
          <t>D&amp;A</t>
        </is>
      </c>
      <c r="B7" s="11" t="n">
        <v>4160</v>
      </c>
      <c r="C7" s="11" t="n">
        <v>4520</v>
      </c>
      <c r="D7" s="11" t="n">
        <v>4900</v>
      </c>
      <c r="E7" s="17">
        <f>E4*Assumptions!E43</f>
        <v/>
      </c>
      <c r="F7" s="17">
        <f>F4*Assumptions!F43</f>
        <v/>
      </c>
      <c r="G7" s="17">
        <f>G4*Assumptions!G43</f>
        <v/>
      </c>
      <c r="H7" s="17">
        <f>H4*Assumptions!H43</f>
        <v/>
      </c>
      <c r="I7" s="17">
        <f>I4*Assumptions!I43</f>
        <v/>
      </c>
    </row>
    <row r="8">
      <c r="A8" s="3" t="inlineStr">
        <is>
          <t>EBITDA</t>
        </is>
      </c>
      <c r="B8" s="19">
        <f>B5+B7</f>
        <v/>
      </c>
      <c r="C8" s="19">
        <f>C5+C7</f>
        <v/>
      </c>
      <c r="D8" s="19">
        <f>D5+D7</f>
        <v/>
      </c>
      <c r="E8" s="19">
        <f>E5+E7</f>
        <v/>
      </c>
      <c r="F8" s="19">
        <f>F5+F7</f>
        <v/>
      </c>
      <c r="G8" s="19">
        <f>G5+G7</f>
        <v/>
      </c>
      <c r="H8" s="19">
        <f>H5+H7</f>
        <v/>
      </c>
      <c r="I8" s="19">
        <f>I5+I7</f>
        <v/>
      </c>
    </row>
    <row r="9">
      <c r="A9" t="inlineStr">
        <is>
          <t>Other income (net)</t>
        </is>
      </c>
      <c r="B9" s="11" t="n">
        <v>3080</v>
      </c>
      <c r="C9" s="11" t="n">
        <v>3560</v>
      </c>
      <c r="D9" s="11" t="n">
        <v>3510</v>
      </c>
      <c r="E9" s="17">
        <f>Assumptions!E44</f>
        <v/>
      </c>
      <c r="F9" s="17">
        <f>Assumptions!F44</f>
        <v/>
      </c>
      <c r="G9" s="17">
        <f>Assumptions!G44</f>
        <v/>
      </c>
      <c r="H9" s="17">
        <f>Assumptions!H44</f>
        <v/>
      </c>
      <c r="I9" s="17">
        <f>Assumptions!I44</f>
        <v/>
      </c>
    </row>
    <row r="10">
      <c r="A10" t="inlineStr">
        <is>
          <t>PBT (before exceptionals)</t>
        </is>
      </c>
      <c r="B10" s="18">
        <f>B5+B9</f>
        <v/>
      </c>
      <c r="C10" s="18">
        <f>C5+C9</f>
        <v/>
      </c>
      <c r="D10" s="18">
        <f>D5+D9</f>
        <v/>
      </c>
      <c r="E10" s="18">
        <f>E5+E9</f>
        <v/>
      </c>
      <c r="F10" s="18">
        <f>F5+F9</f>
        <v/>
      </c>
      <c r="G10" s="18">
        <f>G5+G9</f>
        <v/>
      </c>
      <c r="H10" s="18">
        <f>H5+H9</f>
        <v/>
      </c>
      <c r="I10" s="18">
        <f>I5+I9</f>
        <v/>
      </c>
    </row>
    <row r="11">
      <c r="A11" t="inlineStr">
        <is>
          <t>Exceptional items</t>
        </is>
      </c>
      <c r="B11" s="11" t="n">
        <v>0</v>
      </c>
      <c r="C11" s="11" t="n">
        <v>0</v>
      </c>
      <c r="D11" s="11" t="n">
        <v>-1289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</row>
    <row r="12">
      <c r="A12" t="inlineStr">
        <is>
          <t>PBT</t>
        </is>
      </c>
      <c r="B12" s="18">
        <f>B10+B11</f>
        <v/>
      </c>
      <c r="C12" s="18">
        <f>C10+C11</f>
        <v/>
      </c>
      <c r="D12" s="18">
        <f>D10+D11</f>
        <v/>
      </c>
      <c r="E12" s="18">
        <f>E10+E11</f>
        <v/>
      </c>
      <c r="F12" s="18">
        <f>F10+F11</f>
        <v/>
      </c>
      <c r="G12" s="18">
        <f>G10+G11</f>
        <v/>
      </c>
      <c r="H12" s="18">
        <f>H10+H11</f>
        <v/>
      </c>
      <c r="I12" s="18">
        <f>I10+I11</f>
        <v/>
      </c>
    </row>
    <row r="13">
      <c r="A13" t="inlineStr">
        <is>
          <t>Tax</t>
        </is>
      </c>
      <c r="B13" s="18">
        <f>B12-26233</f>
        <v/>
      </c>
      <c r="C13" s="18">
        <f>C12-26713</f>
        <v/>
      </c>
      <c r="D13" s="18">
        <f>D12-29440</f>
        <v/>
      </c>
      <c r="E13" s="17">
        <f>MAX(0,E12)*Assumptions!B10</f>
        <v/>
      </c>
      <c r="F13" s="17">
        <f>MAX(0,F12)*Assumptions!B10</f>
        <v/>
      </c>
      <c r="G13" s="17">
        <f>MAX(0,G12)*Assumptions!B10</f>
        <v/>
      </c>
      <c r="H13" s="17">
        <f>MAX(0,H12)*Assumptions!B10</f>
        <v/>
      </c>
      <c r="I13" s="17">
        <f>MAX(0,I12)*Assumptions!B10</f>
        <v/>
      </c>
    </row>
    <row r="14">
      <c r="A14" s="3" t="inlineStr">
        <is>
          <t>PAT (owners)</t>
        </is>
      </c>
      <c r="B14" s="23" t="n">
        <v>26233</v>
      </c>
      <c r="C14" s="23" t="n">
        <v>26713</v>
      </c>
      <c r="D14" s="23" t="n">
        <v>29440</v>
      </c>
      <c r="E14" s="19">
        <f>E12-E13</f>
        <v/>
      </c>
      <c r="F14" s="19">
        <f>F12-F13</f>
        <v/>
      </c>
      <c r="G14" s="19">
        <f>G12-G13</f>
        <v/>
      </c>
      <c r="H14" s="19">
        <f>H12-H13</f>
        <v/>
      </c>
      <c r="I14" s="19">
        <f>I12-I13</f>
        <v/>
      </c>
    </row>
    <row r="16">
      <c r="A16" s="2" t="inlineStr">
        <is>
          <t>Source: Infosys IFRS-INR press releases FY24–FY26 (SEC Form 6-K). Forecast = formulas linking to Assumptions.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Balance sheet (₹ cr, consolidated)</t>
        </is>
      </c>
    </row>
    <row r="2">
      <c r="A2" s="2" t="inlineStr">
        <is>
          <t>Historical anchored to disclosed equity / cash &amp; investments / borrowings (zero debt); forecast rolls forward.</t>
        </is>
      </c>
    </row>
    <row r="3">
      <c r="B3" s="16" t="inlineStr">
        <is>
          <t>FY24</t>
        </is>
      </c>
      <c r="C3" s="16" t="inlineStr">
        <is>
          <t>FY25</t>
        </is>
      </c>
      <c r="D3" s="16" t="inlineStr">
        <is>
          <t>FY26</t>
        </is>
      </c>
      <c r="E3" s="16" t="inlineStr">
        <is>
          <t>FY27E</t>
        </is>
      </c>
      <c r="F3" s="16" t="inlineStr">
        <is>
          <t>FY28E</t>
        </is>
      </c>
      <c r="G3" s="16" t="inlineStr">
        <is>
          <t>FY29E</t>
        </is>
      </c>
      <c r="H3" s="16" t="inlineStr">
        <is>
          <t>FY30E</t>
        </is>
      </c>
      <c r="I3" s="16" t="inlineStr">
        <is>
          <t>FY31E</t>
        </is>
      </c>
    </row>
    <row r="4">
      <c r="A4" t="inlineStr">
        <is>
          <t>PP&amp;E + intangibles</t>
        </is>
      </c>
      <c r="B4" s="11" t="n">
        <v>24000</v>
      </c>
      <c r="C4" s="11" t="n">
        <v>24500</v>
      </c>
      <c r="D4" s="11" t="n">
        <v>25000</v>
      </c>
      <c r="E4" s="17">
        <f>D4+Assumptions!E45-'Income Statement'!E7</f>
        <v/>
      </c>
      <c r="F4" s="17">
        <f>E4+Assumptions!F45-'Income Statement'!F7</f>
        <v/>
      </c>
      <c r="G4" s="17">
        <f>F4+Assumptions!G45-'Income Statement'!G7</f>
        <v/>
      </c>
      <c r="H4" s="17">
        <f>G4+Assumptions!H45-'Income Statement'!H7</f>
        <v/>
      </c>
      <c r="I4" s="17">
        <f>H4+Assumptions!I45-'Income Statement'!I7</f>
        <v/>
      </c>
    </row>
    <row r="5">
      <c r="A5" t="inlineStr">
        <is>
          <t>Goodwill</t>
        </is>
      </c>
      <c r="B5" s="11" t="n">
        <v>7800</v>
      </c>
      <c r="C5" s="11" t="n">
        <v>7900</v>
      </c>
      <c r="D5" s="11" t="n">
        <v>8000</v>
      </c>
      <c r="E5" s="18">
        <f>D5</f>
        <v/>
      </c>
      <c r="F5" s="18">
        <f>E5</f>
        <v/>
      </c>
      <c r="G5" s="18">
        <f>F5</f>
        <v/>
      </c>
      <c r="H5" s="18">
        <f>G5</f>
        <v/>
      </c>
      <c r="I5" s="18">
        <f>H5</f>
        <v/>
      </c>
    </row>
    <row r="6">
      <c r="A6" t="inlineStr">
        <is>
          <t>Receivables</t>
        </is>
      </c>
      <c r="B6" s="17">
        <f>'Income Statement'!B4*Assumptions!B30</f>
        <v/>
      </c>
      <c r="C6" s="17">
        <f>'Income Statement'!C4*Assumptions!B30</f>
        <v/>
      </c>
      <c r="D6" s="17">
        <f>'Income Statement'!D4*Assumptions!B30</f>
        <v/>
      </c>
      <c r="E6" s="17">
        <f>'Income Statement'!E4*Assumptions!B30</f>
        <v/>
      </c>
      <c r="F6" s="17">
        <f>'Income Statement'!F4*Assumptions!B30</f>
        <v/>
      </c>
      <c r="G6" s="17">
        <f>'Income Statement'!G4*Assumptions!B30</f>
        <v/>
      </c>
      <c r="H6" s="17">
        <f>'Income Statement'!H4*Assumptions!B30</f>
        <v/>
      </c>
      <c r="I6" s="17">
        <f>'Income Statement'!I4*Assumptions!B30</f>
        <v/>
      </c>
    </row>
    <row r="7">
      <c r="A7" t="inlineStr">
        <is>
          <t>Other current assets</t>
        </is>
      </c>
      <c r="B7" s="17">
        <f>'Income Statement'!B4*Assumptions!B31</f>
        <v/>
      </c>
      <c r="C7" s="17">
        <f>'Income Statement'!C4*Assumptions!B31</f>
        <v/>
      </c>
      <c r="D7" s="17">
        <f>'Income Statement'!D4*Assumptions!B31</f>
        <v/>
      </c>
      <c r="E7" s="17">
        <f>'Income Statement'!E4*Assumptions!B31</f>
        <v/>
      </c>
      <c r="F7" s="17">
        <f>'Income Statement'!F4*Assumptions!B31</f>
        <v/>
      </c>
      <c r="G7" s="17">
        <f>'Income Statement'!G4*Assumptions!B31</f>
        <v/>
      </c>
      <c r="H7" s="17">
        <f>'Income Statement'!H4*Assumptions!B31</f>
        <v/>
      </c>
      <c r="I7" s="17">
        <f>'Income Statement'!I4*Assumptions!B31</f>
        <v/>
      </c>
    </row>
    <row r="8">
      <c r="A8" t="inlineStr">
        <is>
          <t>Cash &amp; investments</t>
        </is>
      </c>
      <c r="B8" s="11" t="n">
        <v>46000</v>
      </c>
      <c r="C8" s="11" t="n">
        <v>47000</v>
      </c>
      <c r="D8" s="11" t="n">
        <v>43075</v>
      </c>
      <c r="E8" s="17">
        <f>D8+('Income Statement'!E14+'Income Statement'!E7-((E6+E7-E12)-(D6+D7-D12)))-Assumptions!E45-Assumptions!E46-Assumptions!E47</f>
        <v/>
      </c>
      <c r="F8" s="17">
        <f>E8+('Income Statement'!F14+'Income Statement'!F7-((F6+F7-F12)-(E6+E7-E12)))-Assumptions!F45-Assumptions!F46-Assumptions!F47</f>
        <v/>
      </c>
      <c r="G8" s="17">
        <f>F8+('Income Statement'!G14+'Income Statement'!G7-((G6+G7-G12)-(F6+F7-F12)))-Assumptions!G45-Assumptions!G46-Assumptions!G47</f>
        <v/>
      </c>
      <c r="H8" s="17">
        <f>G8+('Income Statement'!H14+'Income Statement'!H7-((H6+H7-H12)-(G6+G7-G12)))-Assumptions!H45-Assumptions!H46-Assumptions!H47</f>
        <v/>
      </c>
      <c r="I8" s="17">
        <f>H8+('Income Statement'!I14+'Income Statement'!I7-((I6+I7-I12)-(H6+H7-H12)))-Assumptions!I45-Assumptions!I46-Assumptions!I47</f>
        <v/>
      </c>
    </row>
    <row r="9">
      <c r="A9" s="3" t="inlineStr">
        <is>
          <t>Total assets</t>
        </is>
      </c>
      <c r="B9" s="19">
        <f>SUM(B4:B8)</f>
        <v/>
      </c>
      <c r="C9" s="19">
        <f>SUM(C4:C8)</f>
        <v/>
      </c>
      <c r="D9" s="19">
        <f>SUM(D4:D8)</f>
        <v/>
      </c>
      <c r="E9" s="19">
        <f>SUM(E4:E8)</f>
        <v/>
      </c>
      <c r="F9" s="19">
        <f>SUM(F4:F8)</f>
        <v/>
      </c>
      <c r="G9" s="19">
        <f>SUM(G4:G8)</f>
        <v/>
      </c>
      <c r="H9" s="19">
        <f>SUM(H4:H8)</f>
        <v/>
      </c>
      <c r="I9" s="19">
        <f>SUM(I4:I8)</f>
        <v/>
      </c>
    </row>
    <row r="11">
      <c r="A11" t="inlineStr">
        <is>
          <t>Equity</t>
        </is>
      </c>
      <c r="B11" s="11" t="n">
        <v>86800</v>
      </c>
      <c r="C11" s="11" t="n">
        <v>88200</v>
      </c>
      <c r="D11" s="11" t="n">
        <v>90000</v>
      </c>
      <c r="E11" s="17">
        <f>D11+'Income Statement'!E14-Assumptions!E46-Assumptions!E47</f>
        <v/>
      </c>
      <c r="F11" s="17">
        <f>E11+'Income Statement'!F14-Assumptions!F46-Assumptions!F47</f>
        <v/>
      </c>
      <c r="G11" s="17">
        <f>F11+'Income Statement'!G14-Assumptions!G46-Assumptions!G47</f>
        <v/>
      </c>
      <c r="H11" s="17">
        <f>G11+'Income Statement'!H14-Assumptions!H46-Assumptions!H47</f>
        <v/>
      </c>
      <c r="I11" s="17">
        <f>H11+'Income Statement'!I14-Assumptions!I46-Assumptions!I47</f>
        <v/>
      </c>
    </row>
    <row r="12">
      <c r="A12" t="inlineStr">
        <is>
          <t>Payables &amp; other CL</t>
        </is>
      </c>
      <c r="B12" s="17">
        <f>'Income Statement'!B4*Assumptions!B32</f>
        <v/>
      </c>
      <c r="C12" s="17">
        <f>'Income Statement'!C4*Assumptions!B32</f>
        <v/>
      </c>
      <c r="D12" s="17">
        <f>'Income Statement'!D4*Assumptions!B32</f>
        <v/>
      </c>
      <c r="E12" s="17">
        <f>'Income Statement'!E4*Assumptions!B32</f>
        <v/>
      </c>
      <c r="F12" s="17">
        <f>'Income Statement'!F4*Assumptions!B32</f>
        <v/>
      </c>
      <c r="G12" s="17">
        <f>'Income Statement'!G4*Assumptions!B32</f>
        <v/>
      </c>
      <c r="H12" s="17">
        <f>'Income Statement'!H4*Assumptions!B32</f>
        <v/>
      </c>
      <c r="I12" s="17">
        <f>'Income Statement'!I4*Assumptions!B32</f>
        <v/>
      </c>
    </row>
    <row r="13">
      <c r="A13" t="inlineStr">
        <is>
          <t>Borrowings</t>
        </is>
      </c>
      <c r="B13" s="11" t="n">
        <v>0</v>
      </c>
      <c r="C13" s="11" t="n">
        <v>0</v>
      </c>
      <c r="D13" s="11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</row>
    <row r="14">
      <c r="A14" t="inlineStr">
        <is>
          <t>Other liabilities</t>
        </is>
      </c>
      <c r="B14" s="11" t="n">
        <v>25000</v>
      </c>
      <c r="C14" s="11" t="n">
        <v>25400</v>
      </c>
      <c r="D14" s="11" t="n">
        <v>25600</v>
      </c>
      <c r="E14" s="18">
        <f>D14</f>
        <v/>
      </c>
      <c r="F14" s="18">
        <f>E14</f>
        <v/>
      </c>
      <c r="G14" s="18">
        <f>F14</f>
        <v/>
      </c>
      <c r="H14" s="18">
        <f>G14</f>
        <v/>
      </c>
      <c r="I14" s="18">
        <f>H14</f>
        <v/>
      </c>
    </row>
    <row r="15">
      <c r="A15" t="inlineStr">
        <is>
          <t>Reserves / reconciling plug</t>
        </is>
      </c>
      <c r="B15" s="18">
        <f>B9-(B11+B12+B13+B14)</f>
        <v/>
      </c>
      <c r="C15" s="18">
        <f>C9-(C11+C12+C13+C14)</f>
        <v/>
      </c>
      <c r="D15" s="18">
        <f>D9-(D11+D12+D13+D14)</f>
        <v/>
      </c>
      <c r="E15" s="18">
        <f>E9-(E11+E12+E13+E14)</f>
        <v/>
      </c>
      <c r="F15" s="18">
        <f>F9-(F11+F12+F13+F14)</f>
        <v/>
      </c>
      <c r="G15" s="18">
        <f>G9-(G11+G12+G13+G14)</f>
        <v/>
      </c>
      <c r="H15" s="18">
        <f>H9-(H11+H12+H13+H14)</f>
        <v/>
      </c>
      <c r="I15" s="18">
        <f>I9-(I11+I12+I13+I14)</f>
        <v/>
      </c>
    </row>
    <row r="16">
      <c r="A16" s="3" t="inlineStr">
        <is>
          <t>Total liabilities &amp; equity</t>
        </is>
      </c>
      <c r="B16" s="19">
        <f>B11+B12+B13+B14+B15</f>
        <v/>
      </c>
      <c r="C16" s="19">
        <f>C11+C12+C13+C14+C15</f>
        <v/>
      </c>
      <c r="D16" s="19">
        <f>D11+D12+D13+D14+D15</f>
        <v/>
      </c>
      <c r="E16" s="19">
        <f>E11+E12+E13+E14+E15</f>
        <v/>
      </c>
      <c r="F16" s="19">
        <f>F11+F12+F13+F14+F15</f>
        <v/>
      </c>
      <c r="G16" s="19">
        <f>G11+G12+G13+G14+G15</f>
        <v/>
      </c>
      <c r="H16" s="19">
        <f>H11+H12+H13+H14+H15</f>
        <v/>
      </c>
      <c r="I16" s="19">
        <f>I11+I12+I13+I14+I15</f>
        <v/>
      </c>
    </row>
    <row r="18">
      <c r="A18" t="inlineStr">
        <is>
          <t>Balance check (assets − L&amp;E)</t>
        </is>
      </c>
      <c r="B18" s="18">
        <f>B9-B16</f>
        <v/>
      </c>
      <c r="C18" s="18">
        <f>C9-C16</f>
        <v/>
      </c>
      <c r="D18" s="18">
        <f>D9-D16</f>
        <v/>
      </c>
      <c r="E18" s="18">
        <f>E9-E16</f>
        <v/>
      </c>
      <c r="F18" s="18">
        <f>F9-F16</f>
        <v/>
      </c>
      <c r="G18" s="18">
        <f>G9-G16</f>
        <v/>
      </c>
      <c r="H18" s="18">
        <f>H9-H16</f>
        <v/>
      </c>
      <c r="I18" s="18">
        <f>I9-I16</f>
        <v/>
      </c>
    </row>
    <row r="19">
      <c r="A19" s="3" t="inlineStr">
        <is>
          <t>Net cash (cash &amp; inv − borrowings)</t>
        </is>
      </c>
      <c r="B19" s="18">
        <f>B8-B13</f>
        <v/>
      </c>
      <c r="C19" s="18">
        <f>C8-C13</f>
        <v/>
      </c>
      <c r="D19" s="18">
        <f>D8-D13</f>
        <v/>
      </c>
      <c r="E19" s="18">
        <f>E8-E13</f>
        <v/>
      </c>
      <c r="F19" s="18">
        <f>F8-F13</f>
        <v/>
      </c>
      <c r="G19" s="18">
        <f>G8-G13</f>
        <v/>
      </c>
      <c r="H19" s="18">
        <f>H8-H13</f>
        <v/>
      </c>
      <c r="I19" s="18">
        <f>I8-I13</f>
        <v/>
      </c>
    </row>
    <row r="20">
      <c r="A20" s="2" t="inlineStr">
        <is>
          <t>Note: 'Reserves / reconciling plug' balances the sheet to disclosed equity, cash and borrowings; Infosys carries no debt.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Cash flow (₹ cr, forecast)</t>
        </is>
      </c>
    </row>
    <row r="2">
      <c r="A2" s="2" t="inlineStr">
        <is>
          <t>Derived from the Income Statement and Balance Sheet. Closing cash ties to the Balance Sheet.</t>
        </is>
      </c>
    </row>
    <row r="3">
      <c r="B3" s="16" t="inlineStr">
        <is>
          <t>FY27E</t>
        </is>
      </c>
      <c r="C3" s="16" t="inlineStr">
        <is>
          <t>FY28E</t>
        </is>
      </c>
      <c r="D3" s="16" t="inlineStr">
        <is>
          <t>FY29E</t>
        </is>
      </c>
      <c r="E3" s="16" t="inlineStr">
        <is>
          <t>FY30E</t>
        </is>
      </c>
      <c r="F3" s="16" t="inlineStr">
        <is>
          <t>FY31E</t>
        </is>
      </c>
    </row>
    <row r="4">
      <c r="A4" t="inlineStr">
        <is>
          <t>PAT</t>
        </is>
      </c>
      <c r="B4" s="17">
        <f>'Income Statement'!E14</f>
        <v/>
      </c>
      <c r="C4" s="17">
        <f>'Income Statement'!F14</f>
        <v/>
      </c>
      <c r="D4" s="17">
        <f>'Income Statement'!G14</f>
        <v/>
      </c>
      <c r="E4" s="17">
        <f>'Income Statement'!H14</f>
        <v/>
      </c>
      <c r="F4" s="17">
        <f>'Income Statement'!I14</f>
        <v/>
      </c>
    </row>
    <row r="5">
      <c r="A5" t="inlineStr">
        <is>
          <t>+ D&amp;A</t>
        </is>
      </c>
      <c r="B5" s="17">
        <f>'Income Statement'!E7</f>
        <v/>
      </c>
      <c r="C5" s="17">
        <f>'Income Statement'!F7</f>
        <v/>
      </c>
      <c r="D5" s="17">
        <f>'Income Statement'!G7</f>
        <v/>
      </c>
      <c r="E5" s="17">
        <f>'Income Statement'!H7</f>
        <v/>
      </c>
      <c r="F5" s="17">
        <f>'Income Statement'!I7</f>
        <v/>
      </c>
    </row>
    <row r="6">
      <c r="A6" t="inlineStr">
        <is>
          <t>− Increase in net working capital</t>
        </is>
      </c>
      <c r="B6" s="17">
        <f>-(('Balance Sheet'!E6+'Balance Sheet'!E7-'Balance Sheet'!E12)-('Balance Sheet'!D6+'Balance Sheet'!D7-'Balance Sheet'!D12))</f>
        <v/>
      </c>
      <c r="C6" s="17">
        <f>-(('Balance Sheet'!F6+'Balance Sheet'!F7-'Balance Sheet'!F12)-('Balance Sheet'!E6+'Balance Sheet'!E7-'Balance Sheet'!E12))</f>
        <v/>
      </c>
      <c r="D6" s="17">
        <f>-(('Balance Sheet'!G6+'Balance Sheet'!G7-'Balance Sheet'!G12)-('Balance Sheet'!F6+'Balance Sheet'!F7-'Balance Sheet'!F12))</f>
        <v/>
      </c>
      <c r="E6" s="17">
        <f>-(('Balance Sheet'!H6+'Balance Sheet'!H7-'Balance Sheet'!H12)-('Balance Sheet'!G6+'Balance Sheet'!G7-'Balance Sheet'!G12))</f>
        <v/>
      </c>
      <c r="F6" s="17">
        <f>-(('Balance Sheet'!I6+'Balance Sheet'!I7-'Balance Sheet'!I12)-('Balance Sheet'!H6+'Balance Sheet'!H7-'Balance Sheet'!H12))</f>
        <v/>
      </c>
    </row>
    <row r="7">
      <c r="A7" s="3" t="inlineStr">
        <is>
          <t>Operating cash flow</t>
        </is>
      </c>
      <c r="B7" s="19">
        <f>B4+B5+B6</f>
        <v/>
      </c>
      <c r="C7" s="19">
        <f>C4+C5+C6</f>
        <v/>
      </c>
      <c r="D7" s="19">
        <f>D4+D5+D6</f>
        <v/>
      </c>
      <c r="E7" s="19">
        <f>E4+E5+E6</f>
        <v/>
      </c>
      <c r="F7" s="19">
        <f>F4+F5+F6</f>
        <v/>
      </c>
    </row>
    <row r="8">
      <c r="A8" t="inlineStr">
        <is>
          <t>− Capex</t>
        </is>
      </c>
      <c r="B8" s="17">
        <f>-Assumptions!E45</f>
        <v/>
      </c>
      <c r="C8" s="17">
        <f>-Assumptions!F45</f>
        <v/>
      </c>
      <c r="D8" s="17">
        <f>-Assumptions!G45</f>
        <v/>
      </c>
      <c r="E8" s="17">
        <f>-Assumptions!H45</f>
        <v/>
      </c>
      <c r="F8" s="17">
        <f>-Assumptions!I45</f>
        <v/>
      </c>
    </row>
    <row r="9">
      <c r="A9" s="3" t="inlineStr">
        <is>
          <t>Free cash flow</t>
        </is>
      </c>
      <c r="B9" s="19">
        <f>B7+B8</f>
        <v/>
      </c>
      <c r="C9" s="19">
        <f>C7+C8</f>
        <v/>
      </c>
      <c r="D9" s="19">
        <f>D7+D8</f>
        <v/>
      </c>
      <c r="E9" s="19">
        <f>E7+E8</f>
        <v/>
      </c>
      <c r="F9" s="19">
        <f>F7+F8</f>
        <v/>
      </c>
    </row>
    <row r="10">
      <c r="A10" t="inlineStr">
        <is>
          <t>− Dividend</t>
        </is>
      </c>
      <c r="B10" s="17">
        <f>-Assumptions!E46</f>
        <v/>
      </c>
      <c r="C10" s="17">
        <f>-Assumptions!F46</f>
        <v/>
      </c>
      <c r="D10" s="17">
        <f>-Assumptions!G46</f>
        <v/>
      </c>
      <c r="E10" s="17">
        <f>-Assumptions!H46</f>
        <v/>
      </c>
      <c r="F10" s="17">
        <f>-Assumptions!I46</f>
        <v/>
      </c>
    </row>
    <row r="11">
      <c r="A11" t="inlineStr">
        <is>
          <t>− Buyback</t>
        </is>
      </c>
      <c r="B11" s="17">
        <f>-Assumptions!E47</f>
        <v/>
      </c>
      <c r="C11" s="17">
        <f>-Assumptions!F47</f>
        <v/>
      </c>
      <c r="D11" s="17">
        <f>-Assumptions!G47</f>
        <v/>
      </c>
      <c r="E11" s="17">
        <f>-Assumptions!H47</f>
        <v/>
      </c>
      <c r="F11" s="17">
        <f>-Assumptions!I47</f>
        <v/>
      </c>
    </row>
    <row r="12">
      <c r="A12" t="inlineStr">
        <is>
          <t>Net change in cash</t>
        </is>
      </c>
      <c r="B12" s="18">
        <f>B9+B10+B11</f>
        <v/>
      </c>
      <c r="C12" s="18">
        <f>C9+C10+C11</f>
        <v/>
      </c>
      <c r="D12" s="18">
        <f>D9+D10+D11</f>
        <v/>
      </c>
      <c r="E12" s="18">
        <f>E9+E10+E11</f>
        <v/>
      </c>
      <c r="F12" s="18">
        <f>F9+F10+F11</f>
        <v/>
      </c>
    </row>
    <row r="13">
      <c r="A13" t="inlineStr">
        <is>
          <t>Opening cash &amp; investments</t>
        </is>
      </c>
      <c r="B13" s="17">
        <f>'Balance Sheet'!D8</f>
        <v/>
      </c>
      <c r="C13" s="17">
        <f>'Balance Sheet'!E8</f>
        <v/>
      </c>
      <c r="D13" s="17">
        <f>'Balance Sheet'!F8</f>
        <v/>
      </c>
      <c r="E13" s="17">
        <f>'Balance Sheet'!G8</f>
        <v/>
      </c>
      <c r="F13" s="17">
        <f>'Balance Sheet'!H8</f>
        <v/>
      </c>
    </row>
    <row r="14">
      <c r="A14" s="3" t="inlineStr">
        <is>
          <t>Closing cash &amp; investments</t>
        </is>
      </c>
      <c r="B14" s="19">
        <f>B13+B12</f>
        <v/>
      </c>
      <c r="C14" s="19">
        <f>C13+C12</f>
        <v/>
      </c>
      <c r="D14" s="19">
        <f>D13+D12</f>
        <v/>
      </c>
      <c r="E14" s="19">
        <f>E13+E12</f>
        <v/>
      </c>
      <c r="F14" s="19">
        <f>F13+F12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Summary financials (₹ cr)</t>
        </is>
      </c>
    </row>
    <row r="2">
      <c r="A2" s="2" t="inlineStr">
        <is>
          <t>Every cell links to the statement sheets.</t>
        </is>
      </c>
    </row>
    <row r="3">
      <c r="B3" s="16" t="inlineStr">
        <is>
          <t>FY24</t>
        </is>
      </c>
      <c r="C3" s="16" t="inlineStr">
        <is>
          <t>FY25</t>
        </is>
      </c>
      <c r="D3" s="16" t="inlineStr">
        <is>
          <t>FY26</t>
        </is>
      </c>
      <c r="E3" s="16" t="inlineStr">
        <is>
          <t>FY27E</t>
        </is>
      </c>
      <c r="F3" s="16" t="inlineStr">
        <is>
          <t>FY28E</t>
        </is>
      </c>
      <c r="G3" s="16" t="inlineStr">
        <is>
          <t>FY29E</t>
        </is>
      </c>
      <c r="H3" s="16" t="inlineStr">
        <is>
          <t>FY30E</t>
        </is>
      </c>
      <c r="I3" s="16" t="inlineStr">
        <is>
          <t>FY31E</t>
        </is>
      </c>
    </row>
    <row r="4">
      <c r="A4" t="inlineStr">
        <is>
          <t>Revenue</t>
        </is>
      </c>
      <c r="B4" s="17">
        <f>'Income Statement'!B4</f>
        <v/>
      </c>
      <c r="C4" s="17">
        <f>'Income Statement'!C4</f>
        <v/>
      </c>
      <c r="D4" s="17">
        <f>'Income Statement'!D4</f>
        <v/>
      </c>
      <c r="E4" s="17">
        <f>'Income Statement'!E4</f>
        <v/>
      </c>
      <c r="F4" s="17">
        <f>'Income Statement'!F4</f>
        <v/>
      </c>
      <c r="G4" s="17">
        <f>'Income Statement'!G4</f>
        <v/>
      </c>
      <c r="H4" s="17">
        <f>'Income Statement'!H4</f>
        <v/>
      </c>
      <c r="I4" s="17">
        <f>'Income Statement'!I4</f>
        <v/>
      </c>
    </row>
    <row r="5">
      <c r="A5" t="inlineStr">
        <is>
          <t>EBITDA</t>
        </is>
      </c>
      <c r="B5" s="17">
        <f>'Income Statement'!B8</f>
        <v/>
      </c>
      <c r="C5" s="17">
        <f>'Income Statement'!C8</f>
        <v/>
      </c>
      <c r="D5" s="17">
        <f>'Income Statement'!D8</f>
        <v/>
      </c>
      <c r="E5" s="17">
        <f>'Income Statement'!E8</f>
        <v/>
      </c>
      <c r="F5" s="17">
        <f>'Income Statement'!F8</f>
        <v/>
      </c>
      <c r="G5" s="17">
        <f>'Income Statement'!G8</f>
        <v/>
      </c>
      <c r="H5" s="17">
        <f>'Income Statement'!H8</f>
        <v/>
      </c>
      <c r="I5" s="17">
        <f>'Income Statement'!I8</f>
        <v/>
      </c>
    </row>
    <row r="6">
      <c r="A6" t="inlineStr">
        <is>
          <t>EBIT</t>
        </is>
      </c>
      <c r="B6" s="17">
        <f>'Income Statement'!B5</f>
        <v/>
      </c>
      <c r="C6" s="17">
        <f>'Income Statement'!C5</f>
        <v/>
      </c>
      <c r="D6" s="17">
        <f>'Income Statement'!D5</f>
        <v/>
      </c>
      <c r="E6" s="17">
        <f>'Income Statement'!E5</f>
        <v/>
      </c>
      <c r="F6" s="17">
        <f>'Income Statement'!F5</f>
        <v/>
      </c>
      <c r="G6" s="17">
        <f>'Income Statement'!G5</f>
        <v/>
      </c>
      <c r="H6" s="17">
        <f>'Income Statement'!H5</f>
        <v/>
      </c>
      <c r="I6" s="17">
        <f>'Income Statement'!I5</f>
        <v/>
      </c>
    </row>
    <row r="7">
      <c r="A7" t="inlineStr">
        <is>
          <t>PAT</t>
        </is>
      </c>
      <c r="B7" s="17">
        <f>'Income Statement'!B14</f>
        <v/>
      </c>
      <c r="C7" s="17">
        <f>'Income Statement'!C14</f>
        <v/>
      </c>
      <c r="D7" s="17">
        <f>'Income Statement'!D14</f>
        <v/>
      </c>
      <c r="E7" s="17">
        <f>'Income Statement'!E14</f>
        <v/>
      </c>
      <c r="F7" s="17">
        <f>'Income Statement'!F14</f>
        <v/>
      </c>
      <c r="G7" s="17">
        <f>'Income Statement'!G14</f>
        <v/>
      </c>
      <c r="H7" s="17">
        <f>'Income Statement'!H14</f>
        <v/>
      </c>
      <c r="I7" s="17">
        <f>'Income Statement'!I14</f>
        <v/>
      </c>
    </row>
    <row r="8">
      <c r="A8" t="inlineStr">
        <is>
          <t>Total assets</t>
        </is>
      </c>
      <c r="B8" s="17">
        <f>'Balance Sheet'!B9</f>
        <v/>
      </c>
      <c r="C8" s="17">
        <f>'Balance Sheet'!C9</f>
        <v/>
      </c>
      <c r="D8" s="17">
        <f>'Balance Sheet'!D9</f>
        <v/>
      </c>
      <c r="E8" s="17">
        <f>'Balance Sheet'!E9</f>
        <v/>
      </c>
      <c r="F8" s="17">
        <f>'Balance Sheet'!F9</f>
        <v/>
      </c>
      <c r="G8" s="17">
        <f>'Balance Sheet'!G9</f>
        <v/>
      </c>
      <c r="H8" s="17">
        <f>'Balance Sheet'!H9</f>
        <v/>
      </c>
      <c r="I8" s="17">
        <f>'Balance Sheet'!I9</f>
        <v/>
      </c>
    </row>
    <row r="9">
      <c r="A9" t="inlineStr">
        <is>
          <t>Equity</t>
        </is>
      </c>
      <c r="B9" s="17">
        <f>'Balance Sheet'!B11</f>
        <v/>
      </c>
      <c r="C9" s="17">
        <f>'Balance Sheet'!C11</f>
        <v/>
      </c>
      <c r="D9" s="17">
        <f>'Balance Sheet'!D11</f>
        <v/>
      </c>
      <c r="E9" s="17">
        <f>'Balance Sheet'!E11</f>
        <v/>
      </c>
      <c r="F9" s="17">
        <f>'Balance Sheet'!F11</f>
        <v/>
      </c>
      <c r="G9" s="17">
        <f>'Balance Sheet'!G11</f>
        <v/>
      </c>
      <c r="H9" s="17">
        <f>'Balance Sheet'!H11</f>
        <v/>
      </c>
      <c r="I9" s="17">
        <f>'Balance Sheet'!I11</f>
        <v/>
      </c>
    </row>
    <row r="10">
      <c r="A10" t="inlineStr">
        <is>
          <t>Net cash</t>
        </is>
      </c>
      <c r="B10" s="17">
        <f>'Balance Sheet'!B19</f>
        <v/>
      </c>
      <c r="C10" s="17">
        <f>'Balance Sheet'!C19</f>
        <v/>
      </c>
      <c r="D10" s="17">
        <f>'Balance Sheet'!D19</f>
        <v/>
      </c>
      <c r="E10" s="17">
        <f>'Balance Sheet'!E19</f>
        <v/>
      </c>
      <c r="F10" s="17">
        <f>'Balance Sheet'!F19</f>
        <v/>
      </c>
      <c r="G10" s="17">
        <f>'Balance Sheet'!G19</f>
        <v/>
      </c>
      <c r="H10" s="17">
        <f>'Balance Sheet'!H19</f>
        <v/>
      </c>
      <c r="I10" s="17">
        <f>'Balance Sheet'!I19</f>
        <v/>
      </c>
    </row>
    <row r="11">
      <c r="A11" t="inlineStr">
        <is>
          <t>Free cash flow</t>
        </is>
      </c>
      <c r="E11" s="17">
        <f>'Cash Flow'!B9</f>
        <v/>
      </c>
      <c r="F11" s="17">
        <f>'Cash Flow'!C9</f>
        <v/>
      </c>
      <c r="G11" s="17">
        <f>'Cash Flow'!D9</f>
        <v/>
      </c>
      <c r="H11" s="17">
        <f>'Cash Flow'!E9</f>
        <v/>
      </c>
      <c r="I11" s="17">
        <f>'Cash Flow'!F9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Monte Carlo — engine outputs</t>
        </is>
      </c>
    </row>
    <row r="2">
      <c r="A2" s="2" t="inlineStr">
        <is>
          <t>50,000 paths · YZ-HAR width · Student-t(5) · zero secular drift (international) · 16-factor overlay · seed 42.</t>
        </is>
      </c>
    </row>
    <row r="3">
      <c r="A3" s="3" t="inlineStr">
        <is>
          <t>Percentile map (₹/share)</t>
        </is>
      </c>
    </row>
    <row r="4">
      <c r="A4" s="3" t="inlineStr">
        <is>
          <t>Horizon</t>
        </is>
      </c>
      <c r="B4" s="3" t="inlineStr">
        <is>
          <t>p5</t>
        </is>
      </c>
      <c r="C4" s="3" t="inlineStr">
        <is>
          <t>p25</t>
        </is>
      </c>
      <c r="D4" s="3" t="inlineStr">
        <is>
          <t>p50</t>
        </is>
      </c>
      <c r="E4" s="3" t="inlineStr">
        <is>
          <t>p75</t>
        </is>
      </c>
      <c r="F4" s="3" t="inlineStr">
        <is>
          <t>p95</t>
        </is>
      </c>
    </row>
    <row r="5">
      <c r="A5" t="inlineStr">
        <is>
          <t>T+20 sessions</t>
        </is>
      </c>
      <c r="B5" s="4" t="n">
        <v>918</v>
      </c>
      <c r="C5" s="4" t="n">
        <v>998</v>
      </c>
      <c r="D5" s="4" t="n">
        <v>1047</v>
      </c>
      <c r="E5" s="4" t="n">
        <v>1099</v>
      </c>
      <c r="F5" s="4" t="n">
        <v>1193</v>
      </c>
    </row>
    <row r="6">
      <c r="A6" t="inlineStr">
        <is>
          <t>T+60 sessions</t>
        </is>
      </c>
      <c r="B6" s="4" t="n">
        <v>845</v>
      </c>
      <c r="C6" s="4" t="n">
        <v>972</v>
      </c>
      <c r="D6" s="4" t="n">
        <v>1058</v>
      </c>
      <c r="E6" s="4" t="n">
        <v>1151</v>
      </c>
      <c r="F6" s="4" t="n">
        <v>1326</v>
      </c>
    </row>
    <row r="8">
      <c r="A8" t="inlineStr">
        <is>
          <t>Inputs (from Assumptions): σ</t>
        </is>
      </c>
      <c r="D8" s="22">
        <f>Assumptions!B35</f>
        <v/>
      </c>
    </row>
    <row r="9">
      <c r="A9" t="inlineStr">
        <is>
          <t>net 3-month factor drift</t>
        </is>
      </c>
      <c r="D9" s="22">
        <f>Assumptions!B36</f>
        <v/>
      </c>
    </row>
    <row r="11">
      <c r="A11" s="3" t="inlineStr">
        <is>
          <t>Probability read (T+60)</t>
        </is>
      </c>
    </row>
    <row r="12">
      <c r="A12" t="inlineStr">
        <is>
          <t>P(price above spot)</t>
        </is>
      </c>
      <c r="B12" s="6" t="n">
        <v>0.548</v>
      </c>
    </row>
    <row r="13">
      <c r="A13" t="inlineStr">
        <is>
          <t>P(+10%) vs P(−10%)</t>
        </is>
      </c>
      <c r="B13" s="6" t="n">
        <v>0.26</v>
      </c>
    </row>
    <row r="14">
      <c r="A14" t="inlineStr">
        <is>
          <t xml:space="preserve">  P(−10%)</t>
        </is>
      </c>
      <c r="B14" s="6" t="n">
        <v>0.171</v>
      </c>
    </row>
    <row r="15">
      <c r="A15" t="inlineStr">
        <is>
          <t>Median (₹)</t>
        </is>
      </c>
      <c r="B15" s="4" t="n">
        <v>1058.5</v>
      </c>
    </row>
    <row r="16">
      <c r="A16" t="inlineStr">
        <is>
          <t>Median move</t>
        </is>
      </c>
      <c r="B16" s="6" t="n">
        <v>0.0157</v>
      </c>
    </row>
    <row r="17">
      <c r="A17" t="inlineStr">
        <is>
          <t>50% band low (₹)</t>
        </is>
      </c>
      <c r="B17" s="4" t="n">
        <v>972.4</v>
      </c>
    </row>
    <row r="18">
      <c r="A18" t="inlineStr">
        <is>
          <t>50% band high (₹)</t>
        </is>
      </c>
      <c r="B18" s="4" t="n">
        <v>1150.8</v>
      </c>
    </row>
    <row r="19">
      <c r="A19" t="inlineStr">
        <is>
          <t>Touch +10% / −10%</t>
        </is>
      </c>
      <c r="B19" s="6" t="n">
        <v>0.443</v>
      </c>
    </row>
    <row r="20">
      <c r="A20" t="inlineStr">
        <is>
          <t xml:space="preserve">  Touch −10%</t>
        </is>
      </c>
      <c r="B20" s="6" t="n">
        <v>0.327</v>
      </c>
    </row>
    <row r="22">
      <c r="A22" s="3" t="inlineStr">
        <is>
          <t>Level-touch ladder</t>
        </is>
      </c>
    </row>
    <row r="23">
      <c r="A23" t="inlineStr">
        <is>
          <t>Level</t>
        </is>
      </c>
      <c r="B23" t="inlineStr">
        <is>
          <t>T+20</t>
        </is>
      </c>
      <c r="C23" t="inlineStr">
        <is>
          <t>T+60</t>
        </is>
      </c>
    </row>
    <row r="24">
      <c r="A24" s="4" t="n">
        <v>1250</v>
      </c>
      <c r="B24" s="6" t="n">
        <v>0.029</v>
      </c>
      <c r="C24" s="6" t="n">
        <v>0.171</v>
      </c>
    </row>
    <row r="25">
      <c r="A25" s="4" t="n">
        <v>1200</v>
      </c>
      <c r="B25" s="6" t="n">
        <v>0.07000000000000001</v>
      </c>
      <c r="C25" s="6" t="n">
        <v>0.273</v>
      </c>
    </row>
    <row r="26">
      <c r="A26" s="4" t="n">
        <v>1150</v>
      </c>
      <c r="B26" s="6" t="n">
        <v>0.17</v>
      </c>
      <c r="C26" s="6" t="n">
        <v>0.43</v>
      </c>
    </row>
    <row r="27">
      <c r="A27" s="4" t="n">
        <v>1100</v>
      </c>
      <c r="B27" s="6" t="n">
        <v>0.403</v>
      </c>
      <c r="C27" s="6" t="n">
        <v>0.646</v>
      </c>
    </row>
    <row r="28">
      <c r="A28" s="4" t="n">
        <v>1050</v>
      </c>
      <c r="B28" s="6" t="n">
        <v>0.8179999999999999</v>
      </c>
      <c r="C28" s="6" t="n">
        <v>0.902</v>
      </c>
    </row>
    <row r="29">
      <c r="A29" s="4" t="n">
        <v>1000</v>
      </c>
      <c r="B29" s="6" t="n">
        <v>0.451</v>
      </c>
      <c r="C29" s="6" t="n">
        <v>0.644</v>
      </c>
    </row>
    <row r="30">
      <c r="A30" s="4" t="n">
        <v>950</v>
      </c>
      <c r="B30" s="6" t="n">
        <v>0.164</v>
      </c>
      <c r="C30" s="6" t="n">
        <v>0.379</v>
      </c>
    </row>
    <row r="31">
      <c r="A31" s="4" t="n">
        <v>900</v>
      </c>
      <c r="B31" s="6" t="n">
        <v>0.051</v>
      </c>
      <c r="C31" s="6" t="n">
        <v>0.199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DCF sensitivity — WACC × terminal growth</t>
        </is>
      </c>
    </row>
    <row r="2">
      <c r="A2" s="2" t="inlineStr">
        <is>
          <t>Fair value (₹/share) across WACC and terminal growth, holding operating drivers at base. Live off Assumptions.</t>
        </is>
      </c>
    </row>
    <row r="4">
      <c r="A4" s="3" t="inlineStr">
        <is>
          <t>WACC \ g</t>
        </is>
      </c>
      <c r="B4" s="14" t="n">
        <v>0.035</v>
      </c>
      <c r="C4" s="14" t="n">
        <v>0.04</v>
      </c>
      <c r="D4" s="14" t="n">
        <v>0.045</v>
      </c>
      <c r="E4" s="14" t="n">
        <v>0.05</v>
      </c>
      <c r="F4" s="14" t="n">
        <v>0.055</v>
      </c>
    </row>
    <row r="5">
      <c r="A5" s="14" t="n">
        <v>0.11</v>
      </c>
      <c r="B5" s="4">
        <f>((DCF!B9/(1+$A5)^1+DCF!C9/(1+$A5)^2+DCF!D9/(1+$A5)^3+DCF!E9/(1+$A5)^4+DCF!F9/(1+$A5)^5)+DCF!F9*(1+B$4)/($A5-B$4)/(1+$A5)^5+Assumptions!B7)/Assumptions!B5</f>
        <v/>
      </c>
      <c r="C5" s="4">
        <f>((DCF!B9/(1+$A5)^1+DCF!C9/(1+$A5)^2+DCF!D9/(1+$A5)^3+DCF!E9/(1+$A5)^4+DCF!F9/(1+$A5)^5)+DCF!F9*(1+C$4)/($A5-C$4)/(1+$A5)^5+Assumptions!B7)/Assumptions!B5</f>
        <v/>
      </c>
      <c r="D5" s="4">
        <f>((DCF!B9/(1+$A5)^1+DCF!C9/(1+$A5)^2+DCF!D9/(1+$A5)^3+DCF!E9/(1+$A5)^4+DCF!F9/(1+$A5)^5)+DCF!F9*(1+D$4)/($A5-D$4)/(1+$A5)^5+Assumptions!B7)/Assumptions!B5</f>
        <v/>
      </c>
      <c r="E5" s="4">
        <f>((DCF!B9/(1+$A5)^1+DCF!C9/(1+$A5)^2+DCF!D9/(1+$A5)^3+DCF!E9/(1+$A5)^4+DCF!F9/(1+$A5)^5)+DCF!F9*(1+E$4)/($A5-E$4)/(1+$A5)^5+Assumptions!B7)/Assumptions!B5</f>
        <v/>
      </c>
      <c r="F5" s="4">
        <f>((DCF!B9/(1+$A5)^1+DCF!C9/(1+$A5)^2+DCF!D9/(1+$A5)^3+DCF!E9/(1+$A5)^4+DCF!F9/(1+$A5)^5)+DCF!F9*(1+F$4)/($A5-F$4)/(1+$A5)^5+Assumptions!B7)/Assumptions!B5</f>
        <v/>
      </c>
    </row>
    <row r="6">
      <c r="A6" s="14" t="n">
        <v>0.115</v>
      </c>
      <c r="B6" s="4">
        <f>((DCF!B9/(1+$A6)^1+DCF!C9/(1+$A6)^2+DCF!D9/(1+$A6)^3+DCF!E9/(1+$A6)^4+DCF!F9/(1+$A6)^5)+DCF!F9*(1+B$4)/($A6-B$4)/(1+$A6)^5+Assumptions!B7)/Assumptions!B5</f>
        <v/>
      </c>
      <c r="C6" s="4">
        <f>((DCF!B9/(1+$A6)^1+DCF!C9/(1+$A6)^2+DCF!D9/(1+$A6)^3+DCF!E9/(1+$A6)^4+DCF!F9/(1+$A6)^5)+DCF!F9*(1+C$4)/($A6-C$4)/(1+$A6)^5+Assumptions!B7)/Assumptions!B5</f>
        <v/>
      </c>
      <c r="D6" s="4">
        <f>((DCF!B9/(1+$A6)^1+DCF!C9/(1+$A6)^2+DCF!D9/(1+$A6)^3+DCF!E9/(1+$A6)^4+DCF!F9/(1+$A6)^5)+DCF!F9*(1+D$4)/($A6-D$4)/(1+$A6)^5+Assumptions!B7)/Assumptions!B5</f>
        <v/>
      </c>
      <c r="E6" s="4">
        <f>((DCF!B9/(1+$A6)^1+DCF!C9/(1+$A6)^2+DCF!D9/(1+$A6)^3+DCF!E9/(1+$A6)^4+DCF!F9/(1+$A6)^5)+DCF!F9*(1+E$4)/($A6-E$4)/(1+$A6)^5+Assumptions!B7)/Assumptions!B5</f>
        <v/>
      </c>
      <c r="F6" s="4">
        <f>((DCF!B9/(1+$A6)^1+DCF!C9/(1+$A6)^2+DCF!D9/(1+$A6)^3+DCF!E9/(1+$A6)^4+DCF!F9/(1+$A6)^5)+DCF!F9*(1+F$4)/($A6-F$4)/(1+$A6)^5+Assumptions!B7)/Assumptions!B5</f>
        <v/>
      </c>
    </row>
    <row r="7">
      <c r="A7" s="14" t="n">
        <v>0.12</v>
      </c>
      <c r="B7" s="4">
        <f>((DCF!B9/(1+$A7)^1+DCF!C9/(1+$A7)^2+DCF!D9/(1+$A7)^3+DCF!E9/(1+$A7)^4+DCF!F9/(1+$A7)^5)+DCF!F9*(1+B$4)/($A7-B$4)/(1+$A7)^5+Assumptions!B7)/Assumptions!B5</f>
        <v/>
      </c>
      <c r="C7" s="4">
        <f>((DCF!B9/(1+$A7)^1+DCF!C9/(1+$A7)^2+DCF!D9/(1+$A7)^3+DCF!E9/(1+$A7)^4+DCF!F9/(1+$A7)^5)+DCF!F9*(1+C$4)/($A7-C$4)/(1+$A7)^5+Assumptions!B7)/Assumptions!B5</f>
        <v/>
      </c>
      <c r="D7" s="4">
        <f>((DCF!B9/(1+$A7)^1+DCF!C9/(1+$A7)^2+DCF!D9/(1+$A7)^3+DCF!E9/(1+$A7)^4+DCF!F9/(1+$A7)^5)+DCF!F9*(1+D$4)/($A7-D$4)/(1+$A7)^5+Assumptions!B7)/Assumptions!B5</f>
        <v/>
      </c>
      <c r="E7" s="4">
        <f>((DCF!B9/(1+$A7)^1+DCF!C9/(1+$A7)^2+DCF!D9/(1+$A7)^3+DCF!E9/(1+$A7)^4+DCF!F9/(1+$A7)^5)+DCF!F9*(1+E$4)/($A7-E$4)/(1+$A7)^5+Assumptions!B7)/Assumptions!B5</f>
        <v/>
      </c>
      <c r="F7" s="4">
        <f>((DCF!B9/(1+$A7)^1+DCF!C9/(1+$A7)^2+DCF!D9/(1+$A7)^3+DCF!E9/(1+$A7)^4+DCF!F9/(1+$A7)^5)+DCF!F9*(1+F$4)/($A7-F$4)/(1+$A7)^5+Assumptions!B7)/Assumptions!B5</f>
        <v/>
      </c>
    </row>
    <row r="8">
      <c r="A8" s="14" t="n">
        <v>0.125</v>
      </c>
      <c r="B8" s="4">
        <f>((DCF!B9/(1+$A8)^1+DCF!C9/(1+$A8)^2+DCF!D9/(1+$A8)^3+DCF!E9/(1+$A8)^4+DCF!F9/(1+$A8)^5)+DCF!F9*(1+B$4)/($A8-B$4)/(1+$A8)^5+Assumptions!B7)/Assumptions!B5</f>
        <v/>
      </c>
      <c r="C8" s="4">
        <f>((DCF!B9/(1+$A8)^1+DCF!C9/(1+$A8)^2+DCF!D9/(1+$A8)^3+DCF!E9/(1+$A8)^4+DCF!F9/(1+$A8)^5)+DCF!F9*(1+C$4)/($A8-C$4)/(1+$A8)^5+Assumptions!B7)/Assumptions!B5</f>
        <v/>
      </c>
      <c r="D8" s="4">
        <f>((DCF!B9/(1+$A8)^1+DCF!C9/(1+$A8)^2+DCF!D9/(1+$A8)^3+DCF!E9/(1+$A8)^4+DCF!F9/(1+$A8)^5)+DCF!F9*(1+D$4)/($A8-D$4)/(1+$A8)^5+Assumptions!B7)/Assumptions!B5</f>
        <v/>
      </c>
      <c r="E8" s="4">
        <f>((DCF!B9/(1+$A8)^1+DCF!C9/(1+$A8)^2+DCF!D9/(1+$A8)^3+DCF!E9/(1+$A8)^4+DCF!F9/(1+$A8)^5)+DCF!F9*(1+E$4)/($A8-E$4)/(1+$A8)^5+Assumptions!B7)/Assumptions!B5</f>
        <v/>
      </c>
      <c r="F8" s="4">
        <f>((DCF!B9/(1+$A8)^1+DCF!C9/(1+$A8)^2+DCF!D9/(1+$A8)^3+DCF!E9/(1+$A8)^4+DCF!F9/(1+$A8)^5)+DCF!F9*(1+F$4)/($A8-F$4)/(1+$A8)^5+Assumptions!B7)/Assumptions!B5</f>
        <v/>
      </c>
    </row>
    <row r="9">
      <c r="A9" s="14" t="n">
        <v>0.13</v>
      </c>
      <c r="B9" s="4">
        <f>((DCF!B9/(1+$A9)^1+DCF!C9/(1+$A9)^2+DCF!D9/(1+$A9)^3+DCF!E9/(1+$A9)^4+DCF!F9/(1+$A9)^5)+DCF!F9*(1+B$4)/($A9-B$4)/(1+$A9)^5+Assumptions!B7)/Assumptions!B5</f>
        <v/>
      </c>
      <c r="C9" s="4">
        <f>((DCF!B9/(1+$A9)^1+DCF!C9/(1+$A9)^2+DCF!D9/(1+$A9)^3+DCF!E9/(1+$A9)^4+DCF!F9/(1+$A9)^5)+DCF!F9*(1+C$4)/($A9-C$4)/(1+$A9)^5+Assumptions!B7)/Assumptions!B5</f>
        <v/>
      </c>
      <c r="D9" s="4">
        <f>((DCF!B9/(1+$A9)^1+DCF!C9/(1+$A9)^2+DCF!D9/(1+$A9)^3+DCF!E9/(1+$A9)^4+DCF!F9/(1+$A9)^5)+DCF!F9*(1+D$4)/($A9-D$4)/(1+$A9)^5+Assumptions!B7)/Assumptions!B5</f>
        <v/>
      </c>
      <c r="E9" s="4">
        <f>((DCF!B9/(1+$A9)^1+DCF!C9/(1+$A9)^2+DCF!D9/(1+$A9)^3+DCF!E9/(1+$A9)^4+DCF!F9/(1+$A9)^5)+DCF!F9*(1+E$4)/($A9-E$4)/(1+$A9)^5+Assumptions!B7)/Assumptions!B5</f>
        <v/>
      </c>
      <c r="F9" s="4">
        <f>((DCF!B9/(1+$A9)^1+DCF!C9/(1+$A9)^2+DCF!D9/(1+$A9)^3+DCF!E9/(1+$A9)^4+DCF!F9/(1+$A9)^5)+DCF!F9*(1+F$4)/($A9-F$4)/(1+$A9)^5+Assumptions!B7)/Assumptions!B5</f>
        <v/>
      </c>
    </row>
    <row r="11">
      <c r="A11" s="2" t="inlineStr">
        <is>
          <t>Base case (WACC 12.0%, g 4.5%) shaded; cells near spot show how much recovery is priced.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Per-share &amp; ratios</t>
        </is>
      </c>
    </row>
    <row r="2">
      <c r="A2" s="2" t="inlineStr">
        <is>
          <t>Links to statements / Assumptions.</t>
        </is>
      </c>
    </row>
    <row r="3">
      <c r="B3" s="16" t="inlineStr">
        <is>
          <t>FY24</t>
        </is>
      </c>
      <c r="C3" s="16" t="inlineStr">
        <is>
          <t>FY25</t>
        </is>
      </c>
      <c r="D3" s="16" t="inlineStr">
        <is>
          <t>FY26</t>
        </is>
      </c>
      <c r="E3" s="16" t="inlineStr">
        <is>
          <t>FY27E</t>
        </is>
      </c>
      <c r="F3" s="16" t="inlineStr">
        <is>
          <t>FY28E</t>
        </is>
      </c>
      <c r="G3" s="16" t="inlineStr">
        <is>
          <t>FY29E</t>
        </is>
      </c>
      <c r="H3" s="16" t="inlineStr">
        <is>
          <t>FY30E</t>
        </is>
      </c>
      <c r="I3" s="16" t="inlineStr">
        <is>
          <t>FY31E</t>
        </is>
      </c>
    </row>
    <row r="4">
      <c r="A4" t="inlineStr">
        <is>
          <t>EPS (₹)</t>
        </is>
      </c>
      <c r="B4" s="5">
        <f>'Income Statement'!B14/Assumptions!B5</f>
        <v/>
      </c>
      <c r="C4" s="5">
        <f>'Income Statement'!C14/Assumptions!B5</f>
        <v/>
      </c>
      <c r="D4" s="5">
        <f>'Income Statement'!D14/Assumptions!B5</f>
        <v/>
      </c>
      <c r="E4" s="5">
        <f>'Income Statement'!E14/Assumptions!B5</f>
        <v/>
      </c>
      <c r="F4" s="5">
        <f>'Income Statement'!F14/Assumptions!B5</f>
        <v/>
      </c>
      <c r="G4" s="5">
        <f>'Income Statement'!G14/Assumptions!B5</f>
        <v/>
      </c>
      <c r="H4" s="5">
        <f>'Income Statement'!H14/Assumptions!B5</f>
        <v/>
      </c>
      <c r="I4" s="5">
        <f>'Income Statement'!I14/Assumptions!B5</f>
        <v/>
      </c>
    </row>
    <row r="5">
      <c r="A5" t="inlineStr">
        <is>
          <t>DPS (₹)</t>
        </is>
      </c>
      <c r="B5" s="9" t="n">
        <v>46</v>
      </c>
      <c r="C5" s="9" t="n">
        <v>46</v>
      </c>
      <c r="D5" s="9" t="n">
        <v>48</v>
      </c>
      <c r="E5" s="5">
        <f>Assumptions!E46/Assumptions!B5</f>
        <v/>
      </c>
      <c r="F5" s="5">
        <f>Assumptions!F46/Assumptions!B5</f>
        <v/>
      </c>
      <c r="G5" s="5">
        <f>Assumptions!G46/Assumptions!B5</f>
        <v/>
      </c>
      <c r="H5" s="5">
        <f>Assumptions!H46/Assumptions!B5</f>
        <v/>
      </c>
      <c r="I5" s="5">
        <f>Assumptions!I46/Assumptions!B5</f>
        <v/>
      </c>
    </row>
    <row r="6">
      <c r="A6" t="inlineStr">
        <is>
          <t>Book value/share (₹)</t>
        </is>
      </c>
      <c r="B6" s="5">
        <f>'Balance Sheet'!B11/Assumptions!B5</f>
        <v/>
      </c>
      <c r="C6" s="5">
        <f>'Balance Sheet'!C11/Assumptions!B5</f>
        <v/>
      </c>
      <c r="D6" s="5">
        <f>'Balance Sheet'!D11/Assumptions!B5</f>
        <v/>
      </c>
      <c r="E6" s="5">
        <f>'Balance Sheet'!E11/Assumptions!B5</f>
        <v/>
      </c>
      <c r="F6" s="5">
        <f>'Balance Sheet'!F11/Assumptions!B5</f>
        <v/>
      </c>
      <c r="G6" s="5">
        <f>'Balance Sheet'!G11/Assumptions!B5</f>
        <v/>
      </c>
      <c r="H6" s="5">
        <f>'Balance Sheet'!H11/Assumptions!B5</f>
        <v/>
      </c>
      <c r="I6" s="5">
        <f>'Balance Sheet'!I11/Assumptions!B5</f>
        <v/>
      </c>
    </row>
    <row r="7">
      <c r="A7" t="inlineStr">
        <is>
          <t>EBIT margin</t>
        </is>
      </c>
      <c r="B7" s="6">
        <f>'Income Statement'!B5/'Income Statement'!B4</f>
        <v/>
      </c>
      <c r="C7" s="6">
        <f>'Income Statement'!C5/'Income Statement'!C4</f>
        <v/>
      </c>
      <c r="D7" s="6">
        <f>'Income Statement'!D5/'Income Statement'!D4</f>
        <v/>
      </c>
      <c r="E7" s="6">
        <f>'Income Statement'!E5/'Income Statement'!E4</f>
        <v/>
      </c>
      <c r="F7" s="6">
        <f>'Income Statement'!F5/'Income Statement'!F4</f>
        <v/>
      </c>
      <c r="G7" s="6">
        <f>'Income Statement'!G5/'Income Statement'!G4</f>
        <v/>
      </c>
      <c r="H7" s="6">
        <f>'Income Statement'!H5/'Income Statement'!H4</f>
        <v/>
      </c>
      <c r="I7" s="6">
        <f>'Income Statement'!I5/'Income Statement'!I4</f>
        <v/>
      </c>
    </row>
    <row r="8">
      <c r="A8" t="inlineStr">
        <is>
          <t>Net cash / EBITDA</t>
        </is>
      </c>
      <c r="B8" s="21">
        <f>'Balance Sheet'!B19/'Income Statement'!B8</f>
        <v/>
      </c>
      <c r="C8" s="21">
        <f>'Balance Sheet'!C19/'Income Statement'!C8</f>
        <v/>
      </c>
      <c r="D8" s="21">
        <f>'Balance Sheet'!D19/'Income Statement'!D8</f>
        <v/>
      </c>
      <c r="E8" s="21">
        <f>'Balance Sheet'!E19/'Income Statement'!E8</f>
        <v/>
      </c>
      <c r="F8" s="21">
        <f>'Balance Sheet'!F19/'Income Statement'!F8</f>
        <v/>
      </c>
      <c r="G8" s="21">
        <f>'Balance Sheet'!G19/'Income Statement'!G8</f>
        <v/>
      </c>
      <c r="H8" s="21">
        <f>'Balance Sheet'!H19/'Income Statement'!H8</f>
        <v/>
      </c>
      <c r="I8" s="21">
        <f>'Balance Sheet'!I19/'Income Statement'!I8</f>
        <v/>
      </c>
    </row>
    <row r="9">
      <c r="A9" t="inlineStr">
        <is>
          <t>Revenue YoY</t>
        </is>
      </c>
      <c r="C9" s="6">
        <f>'Income Statement'!C4/'Income Statement'!B4-1</f>
        <v/>
      </c>
      <c r="D9" s="6">
        <f>'Income Statement'!D4/'Income Statement'!C4-1</f>
        <v/>
      </c>
      <c r="E9" s="6">
        <f>'Income Statement'!E4/'Income Statement'!D4-1</f>
        <v/>
      </c>
      <c r="F9" s="6">
        <f>'Income Statement'!F4/'Income Statement'!E4-1</f>
        <v/>
      </c>
      <c r="G9" s="6">
        <f>'Income Statement'!G4/'Income Statement'!F4-1</f>
        <v/>
      </c>
      <c r="H9" s="6">
        <f>'Income Statement'!H4/'Income Statement'!G4-1</f>
        <v/>
      </c>
      <c r="I9" s="6">
        <f>'Income Statement'!I4/'Income Statement'!H4-1</f>
        <v/>
      </c>
    </row>
    <row r="10">
      <c r="A10" t="inlineStr">
        <is>
          <t>ROE</t>
        </is>
      </c>
      <c r="B10" s="6">
        <f>'Income Statement'!B14/'Balance Sheet'!B11</f>
        <v/>
      </c>
      <c r="C10" s="6">
        <f>'Income Statement'!C14/'Balance Sheet'!C11</f>
        <v/>
      </c>
      <c r="D10" s="6">
        <f>'Income Statement'!D14/'Balance Sheet'!D11</f>
        <v/>
      </c>
      <c r="E10" s="6">
        <f>'Income Statement'!E14/'Balance Sheet'!E11</f>
        <v/>
      </c>
      <c r="F10" s="6">
        <f>'Income Statement'!F14/'Balance Sheet'!F11</f>
        <v/>
      </c>
      <c r="G10" s="6">
        <f>'Income Statement'!G14/'Balance Sheet'!G11</f>
        <v/>
      </c>
      <c r="H10" s="6">
        <f>'Income Statement'!H14/'Balance Sheet'!H11</f>
        <v/>
      </c>
      <c r="I10" s="6">
        <f>'Income Statement'!I14/'Balance Sheet'!I11</f>
        <v/>
      </c>
    </row>
    <row r="11">
      <c r="A11" t="inlineStr">
        <is>
          <t>P/E on spot (×)</t>
        </is>
      </c>
      <c r="B11" s="21">
        <f>Assumptions!B4/('Income Statement'!B14/Assumptions!B5)</f>
        <v/>
      </c>
      <c r="C11" s="21">
        <f>Assumptions!B4/('Income Statement'!C14/Assumptions!B5)</f>
        <v/>
      </c>
      <c r="D11" s="21">
        <f>Assumptions!B4/('Income Statement'!D14/Assumptions!B5)</f>
        <v/>
      </c>
      <c r="E11" s="21">
        <f>Assumptions!B4/('Income Statement'!E14/Assumptions!B5)</f>
        <v/>
      </c>
      <c r="F11" s="21">
        <f>Assumptions!B4/('Income Statement'!F14/Assumptions!B5)</f>
        <v/>
      </c>
      <c r="G11" s="21">
        <f>Assumptions!B4/('Income Statement'!G14/Assumptions!B5)</f>
        <v/>
      </c>
      <c r="H11" s="21">
        <f>Assumptions!B4/('Income Statement'!H14/Assumptions!B5)</f>
        <v/>
      </c>
      <c r="I11" s="21">
        <f>Assumptions!B4/('Income Statement'!I14/Assumptions!B5)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</cols>
  <sheetData>
    <row r="1">
      <c r="A1" s="1" t="inlineStr">
        <is>
          <t>Peer set &amp; sector</t>
        </is>
      </c>
    </row>
    <row r="2">
      <c r="A2" s="2" t="inlineStr">
        <is>
          <t>Indian IT-services majors + global bellwether.</t>
        </is>
      </c>
    </row>
    <row r="3">
      <c r="A3" s="3" t="inlineStr">
        <is>
          <t>Peer</t>
        </is>
      </c>
      <c r="B3" s="3" t="inlineStr">
        <is>
          <t>Positioning</t>
        </is>
      </c>
      <c r="C3" s="3" t="inlineStr">
        <is>
          <t>Typical valuation</t>
        </is>
      </c>
    </row>
    <row r="4">
      <c r="A4" t="inlineStr">
        <is>
          <t>Tata Consultancy Services</t>
        </is>
      </c>
      <c r="B4" t="inlineStr">
        <is>
          <t>Largest India IT; broad-based</t>
        </is>
      </c>
      <c r="C4" t="inlineStr">
        <is>
          <t>P/E ~22–26x; EV/EBITDA ~15–17x</t>
        </is>
      </c>
    </row>
    <row r="5">
      <c r="A5" t="inlineStr">
        <is>
          <t>HCLTech</t>
        </is>
      </c>
      <c r="B5" t="inlineStr">
        <is>
          <t>IT + engineering + products</t>
        </is>
      </c>
      <c r="C5" t="inlineStr">
        <is>
          <t>P/E ~20–24x; EV/EBITDA ~12–14x</t>
        </is>
      </c>
    </row>
    <row r="6">
      <c r="A6" t="inlineStr">
        <is>
          <t>Wipro</t>
        </is>
      </c>
      <c r="B6" t="inlineStr">
        <is>
          <t>Turnaround; consulting-heavy</t>
        </is>
      </c>
      <c r="C6" t="inlineStr">
        <is>
          <t>P/E ~18–22x; EV/EBITDA ~11–13x</t>
        </is>
      </c>
    </row>
    <row r="7">
      <c r="A7" t="inlineStr">
        <is>
          <t>LTIMindtree</t>
        </is>
      </c>
      <c r="B7" t="inlineStr">
        <is>
          <t>Mid-cap growth</t>
        </is>
      </c>
      <c r="C7" t="inlineStr">
        <is>
          <t>P/E ~24–30x; EV/EBITDA ~15–18x</t>
        </is>
      </c>
    </row>
    <row r="8">
      <c r="A8" t="inlineStr">
        <is>
          <t>Accenture</t>
        </is>
      </c>
      <c r="B8" t="inlineStr">
        <is>
          <t>Global consulting bellwether</t>
        </is>
      </c>
      <c r="C8" t="inlineStr">
        <is>
          <t>P/E ~22–28x; EV/EBITDA ~14–17x</t>
        </is>
      </c>
    </row>
    <row r="10">
      <c r="A10" s="2" t="inlineStr">
        <is>
          <t>Analyst context (not model inputs): consensus targets cluster well above spot on a recovery-and-quality view;</t>
        </is>
      </c>
    </row>
    <row r="11">
      <c r="A11" s="2" t="inlineStr">
        <is>
          <t>the bears cite GenAI deflation of the labour-arbitrage model. Testahil publishes ranges, not a rating.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2026-07-06T18:49:02Z</dcterms:created>
  <dcterms:modified xmlns:dcterms="http://purl.org/dc/terms/" xmlns:xsi="http://www.w3.org/2001/XMLSchema-instance" xsi:type="dcterms:W3CDTF">2026-07-06T18:49:02Z</dcterms:modified>
</cp:coreProperties>
</file>