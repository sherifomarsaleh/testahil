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SOTP"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<sst xmlns="http://schemas.openxmlformats.org/spreadsheetml/2006/main" count="535" uniqueCount="408">
  <si>
    <t xml:space="preserve">RAYA — READ FIRST</t>
  </si>
  <si>
    <t xml:space="preserve">What this document is, and is not.</t>
  </si>
  <si>
    <t xml:space="preserve">This workbook is a valuation exercise and an expression of personal analytical opinion, published free of charge for educational purposes. It shows how one analyst applies a holding-company sum-of-the-parts, a DCF cross-check, relative and normalized reads, and a Monte-Carlo simulation to a listed company, and invites scrutiny of that methodology.</t>
  </si>
  <si>
    <t xml:space="preserve">It is NOT investment advice, NOT a recommendation or solicitation to buy, sell or hold any security, and NOT directed at the circumstances of any reader. The preparer is not licensed by any securities regulator, holds no brokerage authorisation, manages no money, and accepts no fees or clients.</t>
  </si>
  <si>
    <t xml:space="preserve">All values are model outputs presented as ranges and distributions because no single number should be relied upon. Reported financials are the company's own disclosure (FY2025 results, 8 March 2026); forward-looking inputs — the segment marks, multiples, the holdco discount, the DCF and the Monte-Carlo factor probabilities — are the preparer's judgments and are flagged in Assumptions.</t>
  </si>
  <si>
    <t xml:space="preserve">The preparer may hold, and may in the future take or dispose of, a position in the security discussed in this report. Consult a licensed financial advisor before any investment decision.</t>
  </si>
  <si>
    <t xml:space="preserve">RAYA — Valuation summary</t>
  </si>
  <si>
    <t xml:space="preserve">Raya Holding for Financial Investments (EGX: RAYA) · Independent Valuation Study — Educational Analysis · not investment advice.</t>
  </si>
  <si>
    <t xml:space="preserve">Every read at a glance (EGP/share)</t>
  </si>
  <si>
    <t xml:space="preserve">Lens</t>
  </si>
  <si>
    <t xml:space="preserve">Value</t>
  </si>
  <si>
    <t xml:space="preserve">vs spot</t>
  </si>
  <si>
    <t xml:space="preserve">   Spot (01 Jul 2026)</t>
  </si>
  <si>
    <t xml:space="preserve">   Holdco SOTP (primary)</t>
  </si>
  <si>
    <t xml:space="preserve">   DCF (cross-check)</t>
  </si>
  <si>
    <t xml:space="preserve">   Relative multiples</t>
  </si>
  <si>
    <t xml:space="preserve">   Normalized earnings</t>
  </si>
  <si>
    <t xml:space="preserve">   Expert panel</t>
  </si>
  <si>
    <t xml:space="preserve">   Weighted central fair value</t>
  </si>
  <si>
    <t xml:space="preserve">3-month Monte Carlo (drift off)</t>
  </si>
  <si>
    <t xml:space="preserve">   T+60 median (EGP)</t>
  </si>
  <si>
    <t xml:space="preserve">   T+60 50% IQR band</t>
  </si>
  <si>
    <t xml:space="preserve">   T+60 5–95% band</t>
  </si>
  <si>
    <t xml:space="preserve">Verdict (educational — no recommendation)</t>
  </si>
  <si>
    <t xml:space="preserve">The re-rating has outrun a conservative sum-of-the-parts. On the primary holdco NAV the shares screen expensive: weighted central fair value ~EGP 5.6 vs spot 7.70 (~27% above fair). Spot is only justified at the bull end — Aman at a full fintech multiple, RIT compounding its 70% growth, and no conglomerate discount. Technically the tape is strong (near the all-time high, above every moving average, RSI ~67); the Monte Carlo, with the secular drift off, is centred near spot with a wide 50% band of roughly EGP 6.4–9.5 over three months. The value gap of §1 is deliberately kept out of the MC drift. This is an educational valuation exercise, not advice; no buy/sell/hold.</t>
  </si>
  <si>
    <t xml:space="preserve">RAYA — Fundamental valuation synthesis</t>
  </si>
  <si>
    <t xml:space="preserve">Five lenses, weighted to a central fair value. Each value links to its own sheet; weights live in Assumptions.</t>
  </si>
  <si>
    <t xml:space="preserve">Lens (EGP/share)</t>
  </si>
  <si>
    <t xml:space="preserve">Value/sh</t>
  </si>
  <si>
    <t xml:space="preserve">Weight</t>
  </si>
  <si>
    <t xml:space="preserve">Contribution</t>
  </si>
  <si>
    <t xml:space="preserve">   DCF (FCFF cross-check)</t>
  </si>
  <si>
    <t xml:space="preserve">   Spot</t>
  </si>
  <si>
    <t xml:space="preserve">   Upside / (downside) to fair</t>
  </si>
  <si>
    <t xml:space="preserve">RAYA — Assumptions</t>
  </si>
  <si>
    <t xml:space="preserve">Single blue-cell input layer. Blue = input/judgment (editable); every other sheet links here. Marks &amp; multiples are the preparer's judgments, flagged.</t>
  </si>
  <si>
    <t xml:space="preserve">Market (as of 01 Jul 2026)</t>
  </si>
  <si>
    <t xml:space="preserve">Spot price</t>
  </si>
  <si>
    <t xml:space="preserve">EGP</t>
  </si>
  <si>
    <t xml:space="preserve">Attached daily history, 01 Jul 2026 close</t>
  </si>
  <si>
    <t xml:space="preserve">Shares outstanding</t>
  </si>
  <si>
    <t xml:space="preserve">mn</t>
  </si>
  <si>
    <t xml:space="preserve">Company fact sheet 1Q2025 (4,281,297,768)</t>
  </si>
  <si>
    <t xml:space="preserve">Market capitalisation</t>
  </si>
  <si>
    <t xml:space="preserve">EGP mn</t>
  </si>
  <si>
    <t xml:space="preserve">spot x shares</t>
  </si>
  <si>
    <t xml:space="preserve">Group actuals — FY2025 (consolidated)</t>
  </si>
  <si>
    <t xml:space="preserve">Group revenue FY2025</t>
  </si>
  <si>
    <t xml:space="preserve">Raya FY2025 results, 8 Mar 2026 (EGP 63.83bn)</t>
  </si>
  <si>
    <t xml:space="preserve">Group EBITDA FY2025</t>
  </si>
  <si>
    <t xml:space="preserve">FY2025 results (EGP 7.8bn, +60%)</t>
  </si>
  <si>
    <t xml:space="preserve">NPAT after minority FY2025</t>
  </si>
  <si>
    <t xml:space="preserve">FY2025 results (EGP 2.588bn, +53%)</t>
  </si>
  <si>
    <t xml:space="preserve">Segment revenue — FY2025 (EGP mn)</t>
  </si>
  <si>
    <t xml:space="preserve">Raya IT</t>
  </si>
  <si>
    <t xml:space="preserve">FY2025 release (EGP 18.4bn, +70%)</t>
  </si>
  <si>
    <t xml:space="preserve">Aman Holding (fintech)</t>
  </si>
  <si>
    <t xml:space="preserve">FY2025 release (EGP 9.6bn, +49%)</t>
  </si>
  <si>
    <t xml:space="preserve">Raya Trade (distribution)</t>
  </si>
  <si>
    <t xml:space="preserve">FY2025 release (EGP 23.8bn)</t>
  </si>
  <si>
    <t xml:space="preserve">Raya Customer Experience (RACC)</t>
  </si>
  <si>
    <t xml:space="preserve">Est. from 1Q25 mix (listed EGX:RACC)</t>
  </si>
  <si>
    <t xml:space="preserve">Raya FMCG</t>
  </si>
  <si>
    <t xml:space="preserve">Est. from 1Q25 segment mix</t>
  </si>
  <si>
    <t xml:space="preserve">Ostool (logistics)</t>
  </si>
  <si>
    <t xml:space="preserve">Raya Foods</t>
  </si>
  <si>
    <t xml:space="preserve">Raya Auto</t>
  </si>
  <si>
    <t xml:space="preserve">Raya Electric (Haier/LG JV)</t>
  </si>
  <si>
    <t xml:space="preserve">Raya Smart Buildings</t>
  </si>
  <si>
    <t xml:space="preserve">Raya Restaurants</t>
  </si>
  <si>
    <t xml:space="preserve">Segment EBITDA margins (preparer judgment)</t>
  </si>
  <si>
    <t xml:space="preserve">EBITDA margin — Raya IT</t>
  </si>
  <si>
    <t xml:space="preserve">judgment by business type</t>
  </si>
  <si>
    <t xml:space="preserve">EBITDA margin — Raya Trade</t>
  </si>
  <si>
    <t xml:space="preserve">EBITDA margin — Raya FMCG</t>
  </si>
  <si>
    <t xml:space="preserve">EBITDA margin — RCX</t>
  </si>
  <si>
    <t xml:space="preserve">EBITDA margin — Ostool</t>
  </si>
  <si>
    <t xml:space="preserve">EBITDA margin — Raya Foods</t>
  </si>
  <si>
    <t xml:space="preserve">EBITDA margin — Raya Auto</t>
  </si>
  <si>
    <t xml:space="preserve">EBITDA margin — Raya Electric</t>
  </si>
  <si>
    <t xml:space="preserve">EBITDA margin — Smart Buildings</t>
  </si>
  <si>
    <t xml:space="preserve">EBITDA margin — Restaurants</t>
  </si>
  <si>
    <t xml:space="preserve">Segment EV/EBITDA multiples (base case, judgment)</t>
  </si>
  <si>
    <t xml:space="preserve">EV/EBITDA — Raya IT</t>
  </si>
  <si>
    <t xml:space="preserve">base-case multiple</t>
  </si>
  <si>
    <t xml:space="preserve">EV/EBITDA — Raya Trade</t>
  </si>
  <si>
    <t xml:space="preserve">EV/EBITDA — Raya FMCG</t>
  </si>
  <si>
    <t xml:space="preserve">EV/EBITDA — Ostool</t>
  </si>
  <si>
    <t xml:space="preserve">EV/EBITDA — Raya Foods</t>
  </si>
  <si>
    <t xml:space="preserve">EV/EBITDA — Raya Auto</t>
  </si>
  <si>
    <t xml:space="preserve">EV/EBITDA — Raya Electric</t>
  </si>
  <si>
    <t xml:space="preserve">EV/EBITDA — Smart Buildings</t>
  </si>
  <si>
    <t xml:space="preserve">Aman net margin</t>
  </si>
  <si>
    <t xml:space="preserve">NBFC net margin est.</t>
  </si>
  <si>
    <t xml:space="preserve">Aman P/E (base)</t>
  </si>
  <si>
    <t xml:space="preserve">fintech growth multiple</t>
  </si>
  <si>
    <t xml:space="preserve">RACC equity value (100%)</t>
  </si>
  <si>
    <t xml:space="preserve">Aug-2025 tender EGP 7.5/sh implies ~1.88bn</t>
  </si>
  <si>
    <t xml:space="preserve">Smart Buildings equity (asset-based)</t>
  </si>
  <si>
    <t xml:space="preserve">property NAV est.</t>
  </si>
  <si>
    <t xml:space="preserve">Restaurants EV/Sales</t>
  </si>
  <si>
    <t xml:space="preserve">early-stage F&amp;B</t>
  </si>
  <si>
    <t xml:space="preserve">Ownership (Raya economic interest)</t>
  </si>
  <si>
    <t xml:space="preserve">Ownership — Raya IT</t>
  </si>
  <si>
    <t xml:space="preserve">% economic</t>
  </si>
  <si>
    <t xml:space="preserve">Ownership — Aman</t>
  </si>
  <si>
    <t xml:space="preserve">Ownership — Raya Trade</t>
  </si>
  <si>
    <t xml:space="preserve">Ownership — RCX</t>
  </si>
  <si>
    <t xml:space="preserve">Ownership — Raya FMCG</t>
  </si>
  <si>
    <t xml:space="preserve">Ownership — Ostool</t>
  </si>
  <si>
    <t xml:space="preserve">Ownership — Raya Foods</t>
  </si>
  <si>
    <t xml:space="preserve">Ownership — Raya Auto</t>
  </si>
  <si>
    <t xml:space="preserve">Ownership — Raya Electric</t>
  </si>
  <si>
    <t xml:space="preserve">Ownership — Smart Buildings</t>
  </si>
  <si>
    <t xml:space="preserve">Ownership — Restaurants</t>
  </si>
  <si>
    <t xml:space="preserve">Segment net debt (deducted from EV, EGP mn)</t>
  </si>
  <si>
    <t xml:space="preserve">Net debt — Raya IT</t>
  </si>
  <si>
    <t xml:space="preserve">operating-co net debt est.</t>
  </si>
  <si>
    <t xml:space="preserve">Net debt — Raya Trade</t>
  </si>
  <si>
    <t xml:space="preserve">Net debt — Raya FMCG</t>
  </si>
  <si>
    <t xml:space="preserve">Net debt — Ostool</t>
  </si>
  <si>
    <t xml:space="preserve">Net debt — Raya Foods</t>
  </si>
  <si>
    <t xml:space="preserve">Net debt — Raya Auto</t>
  </si>
  <si>
    <t xml:space="preserve">Net debt — Raya Electric</t>
  </si>
  <si>
    <t xml:space="preserve">Net debt — Smart Buildings</t>
  </si>
  <si>
    <t xml:space="preserve">Net debt — Restaurants</t>
  </si>
  <si>
    <t xml:space="preserve">Holdco bridge &amp; discount</t>
  </si>
  <si>
    <t xml:space="preserve">Parent / holdco net debt</t>
  </si>
  <si>
    <t xml:space="preserve">standalone bonds + net corporate (est.)</t>
  </si>
  <si>
    <t xml:space="preserve">Capitalised central cost</t>
  </si>
  <si>
    <t xml:space="preserve">unallocated overhead x~5 (est.)</t>
  </si>
  <si>
    <t xml:space="preserve">Holdco (conglomerate) discount</t>
  </si>
  <si>
    <t xml:space="preserve">base 10%; Raya is an active operator</t>
  </si>
  <si>
    <t xml:space="preserve">DCF drivers (group FCFF)</t>
  </si>
  <si>
    <t xml:space="preserve">WACC</t>
  </si>
  <si>
    <t xml:space="preserve">Egypt equity ~24-25%; blended</t>
  </si>
  <si>
    <t xml:space="preserve">Terminal growth</t>
  </si>
  <si>
    <t xml:space="preserve">long-run EGP nominal</t>
  </si>
  <si>
    <t xml:space="preserve">Tax rate</t>
  </si>
  <si>
    <t xml:space="preserve">Egypt CIT + effective</t>
  </si>
  <si>
    <t xml:space="preserve">Rev growth FY2026E</t>
  </si>
  <si>
    <t xml:space="preserve">decelerating from 41%</t>
  </si>
  <si>
    <t xml:space="preserve">Rev growth FY2027E</t>
  </si>
  <si>
    <t xml:space="preserve">Rev growth FY2028E</t>
  </si>
  <si>
    <t xml:space="preserve">Rev growth FY2029E</t>
  </si>
  <si>
    <t xml:space="preserve">Rev growth FY2030E</t>
  </si>
  <si>
    <t xml:space="preserve">Gross margin (forecast)</t>
  </si>
  <si>
    <t xml:space="preserve">held ~22%</t>
  </si>
  <si>
    <t xml:space="preserve">EBITDA margin FY2026E</t>
  </si>
  <si>
    <t xml:space="preserve">operating leverage</t>
  </si>
  <si>
    <t xml:space="preserve">FY2027E</t>
  </si>
  <si>
    <t xml:space="preserve">FY2028E</t>
  </si>
  <si>
    <t xml:space="preserve">FY2029E</t>
  </si>
  <si>
    <t xml:space="preserve">FY2030E</t>
  </si>
  <si>
    <t xml:space="preserve">D&amp;A % of revenue</t>
  </si>
  <si>
    <t xml:space="preserve">Capex % of revenue</t>
  </si>
  <si>
    <t xml:space="preserve">growth capex</t>
  </si>
  <si>
    <t xml:space="preserve">Incremental NWC % of Δrevenue</t>
  </si>
  <si>
    <t xml:space="preserve">distribution + Aman book</t>
  </si>
  <si>
    <t xml:space="preserve">Minority % of NPAT</t>
  </si>
  <si>
    <t xml:space="preserve">est.</t>
  </si>
  <si>
    <t xml:space="preserve">Monte Carlo (from YZ-HAR engine, drift OFF)</t>
  </si>
  <si>
    <t xml:space="preserve">YZ-HAR annualised vol</t>
  </si>
  <si>
    <t xml:space="preserve">pooled log-HAR on Yang-Zhang proxy</t>
  </si>
  <si>
    <t xml:space="preserve">Net 3-month factor drift</t>
  </si>
  <si>
    <t xml:space="preserve">16-factor overlay; secular drift OFF</t>
  </si>
  <si>
    <t xml:space="preserve">Horizon (trading days)</t>
  </si>
  <si>
    <t xml:space="preserve">Paths</t>
  </si>
  <si>
    <t xml:space="preserve">seed 42</t>
  </si>
  <si>
    <t xml:space="preserve">Peer multiples (Egyptian holdcos / distributors)</t>
  </si>
  <si>
    <t xml:space="preserve">Peer median P/E</t>
  </si>
  <si>
    <t xml:space="preserve">EGX conglomerates/distributors</t>
  </si>
  <si>
    <t xml:space="preserve">Peer median EV/EBITDA</t>
  </si>
  <si>
    <t xml:space="preserve">Statement &amp; lens drivers (added)</t>
  </si>
  <si>
    <t xml:space="preserve">Net finance cost % of revenue (forecast)</t>
  </si>
  <si>
    <t xml:space="preserve">declining as CBE eases</t>
  </si>
  <si>
    <t xml:space="preserve">Dividend payout ratio</t>
  </si>
  <si>
    <t xml:space="preserve">historically low</t>
  </si>
  <si>
    <t xml:space="preserve">Debt growth as fraction of revenue growth</t>
  </si>
  <si>
    <t xml:space="preserve">deleveraging vs sales</t>
  </si>
  <si>
    <t xml:space="preserve">Trade &amp; other payables % of revenue</t>
  </si>
  <si>
    <t xml:space="preserve">FY2025 actual 44%</t>
  </si>
  <si>
    <t xml:space="preserve">Receivables &amp; inventory % of revenue</t>
  </si>
  <si>
    <t xml:space="preserve">FY2025 actual 66%</t>
  </si>
  <si>
    <t xml:space="preserve">Normalized attributable earnings</t>
  </si>
  <si>
    <t xml:space="preserve">mid-cycle, ~2yr fwd discounted</t>
  </si>
  <si>
    <t xml:space="preserve">Normalized fair P/E</t>
  </si>
  <si>
    <t xml:space="preserve">through-cycle fair multiple</t>
  </si>
  <si>
    <t xml:space="preserve">Weight — SOTP (primary)</t>
  </si>
  <si>
    <t xml:space="preserve">Weight — DCF</t>
  </si>
  <si>
    <t xml:space="preserve">Weight — Relative</t>
  </si>
  <si>
    <t xml:space="preserve">Weight — Normalized</t>
  </si>
  <si>
    <t xml:space="preserve">Weight — Expert panel</t>
  </si>
  <si>
    <t xml:space="preserve">Expert-panel central value</t>
  </si>
  <si>
    <t xml:space="preserve">mean of 3 experts (see appendix)</t>
  </si>
  <si>
    <t xml:space="preserve">RAYA — Holdco Sum-of-the-Parts (primary lens)</t>
  </si>
  <si>
    <t xml:space="preserve">Each stake valued on an instrument-appropriate basis; Aman on P/E, RACC at the Aug-2025 tender-implied equity, operating cos on EV/EBITDA. All inputs live in Assumptions.</t>
  </si>
  <si>
    <t xml:space="preserve">Segment (EGP mn)</t>
  </si>
  <si>
    <t xml:space="preserve">Revenue</t>
  </si>
  <si>
    <t xml:space="preserve">EBITDA / NI</t>
  </si>
  <si>
    <t xml:space="preserve">Mult</t>
  </si>
  <si>
    <t xml:space="preserve">EV / Eq</t>
  </si>
  <si>
    <t xml:space="preserve">Net debt</t>
  </si>
  <si>
    <t xml:space="preserve">Equity</t>
  </si>
  <si>
    <t xml:space="preserve">Own %</t>
  </si>
  <si>
    <t xml:space="preserve">Attrib.</t>
  </si>
  <si>
    <t xml:space="preserve">   Raya IT</t>
  </si>
  <si>
    <t xml:space="preserve">   Aman Holding (P/E on NI)</t>
  </si>
  <si>
    <t xml:space="preserve">   Raya Trade</t>
  </si>
  <si>
    <t xml:space="preserve">   Raya Customer Experience (RACC, listed)</t>
  </si>
  <si>
    <t xml:space="preserve">   Raya FMCG</t>
  </si>
  <si>
    <t xml:space="preserve">   Ostool (logistics)</t>
  </si>
  <si>
    <t xml:space="preserve">   Raya Foods</t>
  </si>
  <si>
    <t xml:space="preserve">   Raya Auto</t>
  </si>
  <si>
    <t xml:space="preserve">   Raya Electric</t>
  </si>
  <si>
    <t xml:space="preserve">   Raya Smart Buildings (asset NAV)</t>
  </si>
  <si>
    <t xml:space="preserve">   Raya Restaurants (EV/Sales)</t>
  </si>
  <si>
    <t xml:space="preserve">   Sum of attributable equity</t>
  </si>
  <si>
    <t xml:space="preserve">Holdco bridge</t>
  </si>
  <si>
    <t xml:space="preserve">   Gross portfolio equity</t>
  </si>
  <si>
    <t xml:space="preserve">   less: parent / holdco net debt</t>
  </si>
  <si>
    <t xml:space="preserve">   less: capitalised central cost</t>
  </si>
  <si>
    <t xml:space="preserve">   Gross NAV</t>
  </si>
  <si>
    <t xml:space="preserve">   Holdco (conglomerate) discount</t>
  </si>
  <si>
    <t xml:space="preserve">   Post-discount NAV</t>
  </si>
  <si>
    <t xml:space="preserve">   Shares (mn)</t>
  </si>
  <si>
    <t xml:space="preserve">   NAV per share (EGP)</t>
  </si>
  <si>
    <t xml:space="preserve">   vs spot</t>
  </si>
  <si>
    <t xml:space="preserve">RAYA — Segment revenue &amp; scorecard</t>
  </si>
  <si>
    <t xml:space="preserve">FY2025 revenue by portfolio company (disclosed for Trade/RIT/Aman; others estimated from the 1Q2025 mix). Contribution and qualitative scorecard.</t>
  </si>
  <si>
    <t xml:space="preserve">FY25 Rev</t>
  </si>
  <si>
    <t xml:space="preserve">% of grp</t>
  </si>
  <si>
    <t xml:space="preserve">Note</t>
  </si>
  <si>
    <t xml:space="preserve">   Raya Trade (distribution)</t>
  </si>
  <si>
    <t xml:space="preserve">Consumer-electronics distribution; thin margin, high turnover</t>
  </si>
  <si>
    <t xml:space="preserve">   Raya IT (RIT)</t>
  </si>
  <si>
    <t xml:space="preserve">Systems integration + data centres; +70% FY25, KSA Vision-2030</t>
  </si>
  <si>
    <t xml:space="preserve">   Aman Holding (fintech/NBFC)</t>
  </si>
  <si>
    <t xml:space="preserve">Consumer finance, microfinance, e-payments; crown jewel</t>
  </si>
  <si>
    <t xml:space="preserve">FMCG distribution</t>
  </si>
  <si>
    <t xml:space="preserve">   Raya Customer Experience (RACC)</t>
  </si>
  <si>
    <t xml:space="preserve">Listed BPO; Raya moving to full ownership</t>
  </si>
  <si>
    <t xml:space="preserve">Land transport &amp; logistics</t>
  </si>
  <si>
    <t xml:space="preserve">Frozen fruit/veg exports</t>
  </si>
  <si>
    <t xml:space="preserve">XPeng/EV distribution; Alturki KSA JV</t>
  </si>
  <si>
    <t xml:space="preserve">Haier/LG appliance JV</t>
  </si>
  <si>
    <t xml:space="preserve">   Raya Smart Buildings</t>
  </si>
  <si>
    <t xml:space="preserve">Smart offices; Riyadh EIC</t>
  </si>
  <si>
    <t xml:space="preserve">   Raya Restaurants</t>
  </si>
  <si>
    <t xml:space="preserve">Ovio, Loris, Lebanese Bakery</t>
  </si>
  <si>
    <t xml:space="preserve">   Total</t>
  </si>
  <si>
    <t xml:space="preserve">RAYA — Relative &amp; Normalized reads</t>
  </si>
  <si>
    <t xml:space="preserve">Cross-checks on the SOTP: peer-multiple (floor) and normalized-earnings (ceiling).</t>
  </si>
  <si>
    <t xml:space="preserve">Relative multiples</t>
  </si>
  <si>
    <t xml:space="preserve">   FY2025 NPAT attributable</t>
  </si>
  <si>
    <t xml:space="preserve">   Peer median P/E</t>
  </si>
  <si>
    <t xml:space="preserve">   Implied equity (P/E)</t>
  </si>
  <si>
    <t xml:space="preserve">   Implied value / share (P/E)</t>
  </si>
  <si>
    <t xml:space="preserve">   FY2025 EBITDA</t>
  </si>
  <si>
    <t xml:space="preserve">   Peer median EV/EBITDA</t>
  </si>
  <si>
    <t xml:space="preserve">   Implied EV</t>
  </si>
  <si>
    <t xml:space="preserve">   less net debt (FY25)</t>
  </si>
  <si>
    <t xml:space="preserve">   less minority (est.)</t>
  </si>
  <si>
    <t xml:space="preserve">   Implied value / share (EV/EBITDA)</t>
  </si>
  <si>
    <t xml:space="preserve">   Relative central (avg)</t>
  </si>
  <si>
    <t xml:space="preserve">Normalized earnings power</t>
  </si>
  <si>
    <t xml:space="preserve">   Normalized attributable earnings</t>
  </si>
  <si>
    <t xml:space="preserve">   Normalized fair P/E</t>
  </si>
  <si>
    <t xml:space="preserve">   Implied equity</t>
  </si>
  <si>
    <t xml:space="preserve">   Normalized value / share</t>
  </si>
  <si>
    <t xml:space="preserve">RAYA — Group FCFF DCF (cross-check)</t>
  </si>
  <si>
    <t xml:space="preserve">5-year explicit FCFF + Gordon terminal. Caveat: Aman is a financial whose funding flows distort consolidated FCFF; treat as a cross-check on the SOTP, not the primary lens.</t>
  </si>
  <si>
    <t xml:space="preserve">FY2026E</t>
  </si>
  <si>
    <t xml:space="preserve">   Revenue</t>
  </si>
  <si>
    <t xml:space="preserve">   EBIT</t>
  </si>
  <si>
    <t xml:space="preserve">   NOPAT = EBIT x (1-tax)</t>
  </si>
  <si>
    <t xml:space="preserve">   add: D&amp;A</t>
  </si>
  <si>
    <t xml:space="preserve">   less: Capex</t>
  </si>
  <si>
    <t xml:space="preserve">   less: Δ NWC</t>
  </si>
  <si>
    <t xml:space="preserve">   FCFF</t>
  </si>
  <si>
    <t xml:space="preserve">   Period (t)</t>
  </si>
  <si>
    <t xml:space="preserve">   Discount factor</t>
  </si>
  <si>
    <t xml:space="preserve">   PV of FCFF</t>
  </si>
  <si>
    <t xml:space="preserve">   Sum PV (explicit)</t>
  </si>
  <si>
    <t xml:space="preserve">   Terminal value (Gordon)</t>
  </si>
  <si>
    <t xml:space="preserve">   PV of terminal value</t>
  </si>
  <si>
    <t xml:space="preserve">   Enterprise value</t>
  </si>
  <si>
    <t xml:space="preserve">   less: net debt (FY25)</t>
  </si>
  <si>
    <t xml:space="preserve">   Equity value</t>
  </si>
  <si>
    <t xml:space="preserve">   Attributable (x (1-minority))</t>
  </si>
  <si>
    <t xml:space="preserve">   DCF value / share (EGP)</t>
  </si>
  <si>
    <t xml:space="preserve">RAYA — Consolidated Income Statement</t>
  </si>
  <si>
    <t xml:space="preserve">3 years historical (sourced) + 5-year forecast (formula-driven from Assumptions). Historical interest/tax split estimated to reconcile to reported NPAT.</t>
  </si>
  <si>
    <t xml:space="preserve">FY2023</t>
  </si>
  <si>
    <t xml:space="preserve">FY2024</t>
  </si>
  <si>
    <t xml:space="preserve">FY2025</t>
  </si>
  <si>
    <t xml:space="preserve">   Gross profit</t>
  </si>
  <si>
    <t xml:space="preserve">   Gross margin</t>
  </si>
  <si>
    <t xml:space="preserve">   EBITDA</t>
  </si>
  <si>
    <t xml:space="preserve">   EBITDA margin</t>
  </si>
  <si>
    <t xml:space="preserve">   Depreciation &amp; amortisation</t>
  </si>
  <si>
    <t xml:space="preserve">   Net finance cost (incl. FX)</t>
  </si>
  <si>
    <t xml:space="preserve">   Profit before tax</t>
  </si>
  <si>
    <t xml:space="preserve">   Income tax</t>
  </si>
  <si>
    <t xml:space="preserve">   NPAT (incl. minority)</t>
  </si>
  <si>
    <t xml:space="preserve">   Minority interest</t>
  </si>
  <si>
    <t xml:space="preserve">   NPAT attributable</t>
  </si>
  <si>
    <t xml:space="preserve">   EPS (EGP)</t>
  </si>
  <si>
    <t xml:space="preserve">RAYA — Consolidated Balance Sheet</t>
  </si>
  <si>
    <t xml:space="preserve">3y historical (sourced) + 5y forecast. Forecast built on the accounting identity (assets = equity + liabilities); cash is the residual.</t>
  </si>
  <si>
    <t xml:space="preserve">   Total equity (incl. minority)</t>
  </si>
  <si>
    <t xml:space="preserve">   Total debt</t>
  </si>
  <si>
    <t xml:space="preserve">   Trade &amp; other payables</t>
  </si>
  <si>
    <t xml:space="preserve">   Total liabilities</t>
  </si>
  <si>
    <t xml:space="preserve">   Total assets</t>
  </si>
  <si>
    <t xml:space="preserve">   Non-current assets</t>
  </si>
  <si>
    <t xml:space="preserve">   Current assets</t>
  </si>
  <si>
    <t xml:space="preserve">        Receivables &amp; inventory</t>
  </si>
  <si>
    <t xml:space="preserve">        Cash &amp; equivalents</t>
  </si>
  <si>
    <t xml:space="preserve">   Check: A − L − E (=0)</t>
  </si>
  <si>
    <t xml:space="preserve">RAYA — Consolidated Cash Flow</t>
  </si>
  <si>
    <t xml:space="preserve">Indirect method, derived from the IS/BS so it always ties to the balance-sheet cash movement. FY2023 deltas n/a (no prior year).</t>
  </si>
  <si>
    <t xml:space="preserve">   less: Δ receivables &amp; inventory</t>
  </si>
  <si>
    <t xml:space="preserve">   add: Δ payables</t>
  </si>
  <si>
    <t xml:space="preserve">   Other / non-cash &amp; FX (net)</t>
  </si>
  <si>
    <t xml:space="preserve">   Cash flow from operations</t>
  </si>
  <si>
    <t xml:space="preserve">   Capex</t>
  </si>
  <si>
    <t xml:space="preserve">   Cash flow from investing</t>
  </si>
  <si>
    <t xml:space="preserve">   Δ debt</t>
  </si>
  <si>
    <t xml:space="preserve">   Dividends</t>
  </si>
  <si>
    <t xml:space="preserve">   Cash flow from financing</t>
  </si>
  <si>
    <t xml:space="preserve">   Net change in cash</t>
  </si>
  <si>
    <t xml:space="preserve">   Closing cash (ties to BS)</t>
  </si>
  <si>
    <t xml:space="preserve">RAYA — Summary Financials</t>
  </si>
  <si>
    <t xml:space="preserve">Every cell links to the Income Statement / Balance Sheet / Cash Flow sheets.</t>
  </si>
  <si>
    <t xml:space="preserve">   Total equity</t>
  </si>
  <si>
    <t xml:space="preserve">   Net debt</t>
  </si>
  <si>
    <t xml:space="preserve">n/a</t>
  </si>
  <si>
    <t xml:space="preserve">RAYA — Monte Carlo (YZ-HAR engine, drift OFF)</t>
  </si>
  <si>
    <t xml:space="preserve">Distribution outputs from mc_v2.py (50,000 paths, seed 42). Width = pooled log-HAR on a gap-aware Yang-Zhang proxy; Student-t(5) body; secular drift OFF; 16-factor overlay. Paths diffuse from spot — the §1 value gap is kept out of the drift.</t>
  </si>
  <si>
    <t xml:space="preserve">Engine inputs</t>
  </si>
  <si>
    <t xml:space="preserve">   Spot (EGP)</t>
  </si>
  <si>
    <t xml:space="preserve">   YZ-HAR annualised vol</t>
  </si>
  <si>
    <t xml:space="preserve">   Net 3-month factor drift</t>
  </si>
  <si>
    <t xml:space="preserve">   Horizon (days)</t>
  </si>
  <si>
    <t xml:space="preserve">   Paths</t>
  </si>
  <si>
    <t xml:space="preserve">Percentile table (EGP)</t>
  </si>
  <si>
    <t xml:space="preserve">Percentile</t>
  </si>
  <si>
    <t xml:space="preserve">T+20</t>
  </si>
  <si>
    <t xml:space="preserve">move</t>
  </si>
  <si>
    <t xml:space="preserve">T+60</t>
  </si>
  <si>
    <t xml:space="preserve">   P5</t>
  </si>
  <si>
    <t xml:space="preserve">   P25</t>
  </si>
  <si>
    <t xml:space="preserve">   P50</t>
  </si>
  <si>
    <t xml:space="preserve">   P75</t>
  </si>
  <si>
    <t xml:space="preserve">   P95</t>
  </si>
  <si>
    <t xml:space="preserve">   50% IQR band T+20</t>
  </si>
  <si>
    <t xml:space="preserve">   50% IQR band T+60</t>
  </si>
  <si>
    <t xml:space="preserve">Touch probabilities (by T+60)</t>
  </si>
  <si>
    <t xml:space="preserve">Direction</t>
  </si>
  <si>
    <t xml:space="preserve">Level</t>
  </si>
  <si>
    <t xml:space="preserve">P(touch)</t>
  </si>
  <si>
    <t xml:space="preserve">   Upside 10.01</t>
  </si>
  <si>
    <t xml:space="preserve">   Upside 9.24</t>
  </si>
  <si>
    <t xml:space="preserve">   Upside 8.85</t>
  </si>
  <si>
    <t xml:space="preserve">   Upside 8.47</t>
  </si>
  <si>
    <t xml:space="preserve">   Upside 8.09</t>
  </si>
  <si>
    <t xml:space="preserve">   Downside 7.31</t>
  </si>
  <si>
    <t xml:space="preserve">   Downside 6.93</t>
  </si>
  <si>
    <t xml:space="preserve">   Downside 6.54</t>
  </si>
  <si>
    <t xml:space="preserve">   Downside 6.16</t>
  </si>
  <si>
    <t xml:space="preserve">   Downside 5.39</t>
  </si>
  <si>
    <t xml:space="preserve">RAYA — Sensitivity: NAV/share vs Aman P/E and holdco discount</t>
  </si>
  <si>
    <t xml:space="preserve">Two-way grid recomputing the SOTP NAV per share. Every cell links to the SOTP portfolio ex-Aman and the Aman NI in Assumptions/SOTP.</t>
  </si>
  <si>
    <t xml:space="preserve">   Portfolio ex-Aman (attrib.)</t>
  </si>
  <si>
    <t xml:space="preserve">   Aman NI x ownership</t>
  </si>
  <si>
    <t xml:space="preserve">Aman P/E ↓  /  Discount →</t>
  </si>
  <si>
    <t xml:space="preserve">8.0x</t>
  </si>
  <si>
    <t xml:space="preserve">10.0x</t>
  </si>
  <si>
    <t xml:space="preserve">12.0x</t>
  </si>
  <si>
    <t xml:space="preserve">14.0x</t>
  </si>
  <si>
    <t xml:space="preserve">16.0x</t>
  </si>
  <si>
    <t xml:space="preserve">18.0x</t>
  </si>
  <si>
    <t xml:space="preserve">   Spot (reference)</t>
  </si>
  <si>
    <t xml:space="preserve">RAYA — Per-share &amp; ratios</t>
  </si>
  <si>
    <t xml:space="preserve">Linked to the statements and Assumptions (spot, shares). P/E and P/B use the current spot against each year's figure.</t>
  </si>
  <si>
    <t xml:space="preserve">   BVPS (EGP)</t>
  </si>
  <si>
    <t xml:space="preserve">   P/E (spot)</t>
  </si>
  <si>
    <t xml:space="preserve">   P/B (spot)</t>
  </si>
  <si>
    <t xml:space="preserve">   EV/EBITDA (spot)</t>
  </si>
  <si>
    <t xml:space="preserve">   ROE</t>
  </si>
  <si>
    <t xml:space="preserve">   Net debt / EBITDA</t>
  </si>
  <si>
    <t xml:space="preserve">   Revenue growth</t>
  </si>
  <si>
    <t xml:space="preserve">RAYA — Peer &amp; sector</t>
  </si>
  <si>
    <t xml:space="preserve">Egyptian diversified holdcos / distributors. Peer multiples are indicative (aggregator/market data); Raya's own multiples link to this model.</t>
  </si>
  <si>
    <t xml:space="preserve">Company</t>
  </si>
  <si>
    <t xml:space="preserve">P/E</t>
  </si>
  <si>
    <t xml:space="preserve">EV/EBITDA</t>
  </si>
  <si>
    <t xml:space="preserve">   Qalaa Holdings (CCAP)</t>
  </si>
  <si>
    <t xml:space="preserve">Diversified holdco (energy-tilted)</t>
  </si>
  <si>
    <t xml:space="preserve">   EFG Holding (HRHO)</t>
  </si>
  <si>
    <t xml:space="preserve">Financial services holdco</t>
  </si>
  <si>
    <t xml:space="preserve">   B Investments (BINV)</t>
  </si>
  <si>
    <t xml:space="preserve">Investment holdco</t>
  </si>
  <si>
    <t xml:space="preserve">   Egyptian Financial &amp; Ind. peers</t>
  </si>
  <si>
    <t xml:space="preserve">Distributors / industrials</t>
  </si>
  <si>
    <t xml:space="preserve">   Peer median (Assumptions)</t>
  </si>
  <si>
    <t xml:space="preserve">   RAYA (this model, spot)</t>
  </si>
</sst>
</file>

<file path=xl/styles.xml><?xml version="1.0" encoding="utf-8"?>
<styleSheet xmlns="http://schemas.openxmlformats.org/spreadsheetml/2006/main">
  <numFmts count="9">
    <numFmt numFmtId="164" formatCode="General"/>
    <numFmt numFmtId="165" formatCode="@"/>
    <numFmt numFmtId="166" formatCode="#,##0.00"/>
    <numFmt numFmtId="167" formatCode="0.0%"/>
    <numFmt numFmtId="168" formatCode="#,##0;\(#,##0\);\-"/>
    <numFmt numFmtId="169" formatCode="0.0\x"/>
    <numFmt numFmtId="170" formatCode="0.00"/>
    <numFmt numFmtId="171" formatCode="0"/>
    <numFmt numFmtId="172" formatCode="0.000"/>
  </numFmts>
  <fonts count="2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1C3A36"/>
      <name val="Arial"/>
      <family val="0"/>
      <charset val="1"/>
    </font>
    <font>
      <sz val="10"/>
      <color rgb="FF000000"/>
      <name val="Arial"/>
      <family val="0"/>
      <charset val="1"/>
    </font>
    <font>
      <i val="true"/>
      <sz val="9"/>
      <color rgb="FF4A5A55"/>
      <name val="Arial"/>
      <family val="0"/>
      <charset val="1"/>
    </font>
    <font>
      <b val="true"/>
      <sz val="10"/>
      <color rgb="FFFFFFFF"/>
      <name val="Arial"/>
      <family val="0"/>
      <charset val="1"/>
    </font>
    <font>
      <b val="true"/>
      <sz val="9"/>
      <name val="Arial"/>
      <family val="0"/>
      <charset val="1"/>
    </font>
    <font>
      <b val="true"/>
      <sz val="8"/>
      <color rgb="FFFFFFFF"/>
      <name val="Arial"/>
      <family val="0"/>
      <charset val="1"/>
    </font>
    <font>
      <b val="true"/>
      <sz val="9"/>
      <color rgb="FF000000"/>
      <name val="Arial"/>
      <family val="0"/>
      <charset val="1"/>
    </font>
    <font>
      <sz val="9"/>
      <color rgb="FF000000"/>
      <name val="Arial"/>
      <family val="0"/>
      <charset val="1"/>
    </font>
    <font>
      <sz val="9"/>
      <color rgb="FF008000"/>
      <name val="Arial"/>
      <family val="0"/>
      <charset val="1"/>
    </font>
    <font>
      <b val="true"/>
      <sz val="9"/>
      <color rgb="FFFFFFFF"/>
      <name val="Arial"/>
      <family val="0"/>
      <charset val="1"/>
    </font>
    <font>
      <sz val="9"/>
      <color rgb="FF0000FF"/>
      <name val="Arial"/>
      <family val="0"/>
      <charset val="1"/>
    </font>
    <font>
      <sz val="9"/>
      <color rgb="FFFFFFFF"/>
      <name val="Arial"/>
      <family val="0"/>
      <charset val="1"/>
    </font>
    <font>
      <sz val="9"/>
      <name val="Arial"/>
      <family val="0"/>
      <charset val="1"/>
    </font>
    <font>
      <sz val="8"/>
      <color rgb="FF4A5A55"/>
      <name val="Arial"/>
      <family val="0"/>
      <charset val="1"/>
    </font>
    <font>
      <i val="true"/>
      <sz val="8"/>
      <color rgb="FF7A8783"/>
      <name val="Arial"/>
      <family val="0"/>
      <charset val="1"/>
    </font>
    <font>
      <b val="true"/>
      <sz val="9"/>
      <color rgb="FF4A5A55"/>
      <name val="Arial"/>
      <family val="0"/>
      <charset val="1"/>
    </font>
    <font>
      <b val="true"/>
      <sz val="9"/>
      <color rgb="FF0000FF"/>
      <name val="Arial"/>
      <family val="0"/>
      <charset val="1"/>
    </font>
    <font>
      <b val="true"/>
      <sz val="9"/>
      <color rgb="FF008000"/>
      <name val="Arial"/>
      <family val="0"/>
      <charset val="1"/>
    </font>
  </fonts>
  <fills count="6">
    <fill>
      <patternFill patternType="none"/>
    </fill>
    <fill>
      <patternFill patternType="gray125"/>
    </fill>
    <fill>
      <patternFill patternType="solid">
        <fgColor rgb="FF1C3A36"/>
        <bgColor rgb="FF333300"/>
      </patternFill>
    </fill>
    <fill>
      <patternFill patternType="solid">
        <fgColor rgb="FFF6F1E6"/>
        <bgColor rgb="FFFFFFFF"/>
      </patternFill>
    </fill>
    <fill>
      <patternFill patternType="solid">
        <fgColor rgb="FF896F36"/>
        <bgColor rgb="FF7A8783"/>
      </patternFill>
    </fill>
    <fill>
      <patternFill patternType="solid">
        <fgColor rgb="FFC0A45F"/>
        <bgColor rgb="FFC0C0C0"/>
      </patternFill>
    </fill>
  </fills>
  <borders count="2">
    <border diagonalUp="false" diagonalDown="false">
      <left/>
      <right/>
      <top/>
      <bottom/>
      <diagonal/>
    </border>
    <border diagonalUp="false" diagonalDown="false">
      <left style="thin">
        <color rgb="FFD9E1DE"/>
      </left>
      <right style="thin">
        <color rgb="FFD9E1DE"/>
      </right>
      <top style="thin">
        <color rgb="FFD9E1DE"/>
      </top>
      <bottom style="thin">
        <color rgb="FFD9E1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6" fontId="13" fillId="0" borderId="1" xfId="0" applyFont="true" applyBorder="true" applyAlignment="true" applyProtection="false">
      <alignment horizontal="right" vertical="center"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6" fontId="12" fillId="0" borderId="1" xfId="0" applyFont="true" applyBorder="true" applyAlignment="true" applyProtection="false">
      <alignment horizontal="right" vertical="center" textRotation="0" wrapText="false" indent="0" shrinkToFit="false"/>
      <protection locked="true" hidden="false"/>
    </xf>
    <xf numFmtId="164" fontId="14" fillId="2" borderId="0" xfId="0" applyFont="true" applyBorder="false" applyAlignment="true" applyProtection="false">
      <alignment horizontal="left" vertical="center" textRotation="0" wrapText="true" indent="0" shrinkToFit="false"/>
      <protection locked="true" hidden="false"/>
    </xf>
    <xf numFmtId="166" fontId="14" fillId="2" borderId="1" xfId="0" applyFont="true" applyBorder="true" applyAlignment="true" applyProtection="false">
      <alignment horizontal="right" vertical="center" textRotation="0" wrapText="false" indent="0" shrinkToFit="false"/>
      <protection locked="true" hidden="false"/>
    </xf>
    <xf numFmtId="166" fontId="15" fillId="0" borderId="1" xfId="0" applyFont="true" applyBorder="true" applyAlignment="true" applyProtection="false">
      <alignment horizontal="right" vertical="center" textRotation="0" wrapText="false" indent="0" shrinkToFit="false"/>
      <protection locked="true" hidden="false"/>
    </xf>
    <xf numFmtId="164" fontId="16" fillId="4" borderId="0" xfId="0" applyFont="true" applyBorder="false" applyAlignment="true" applyProtection="false">
      <alignment horizontal="left" vertical="center" textRotation="0" wrapText="true" indent="0" shrinkToFit="false"/>
      <protection locked="true" hidden="false"/>
    </xf>
    <xf numFmtId="166" fontId="16" fillId="4" borderId="1" xfId="0" applyFont="true" applyBorder="true" applyAlignment="true" applyProtection="false">
      <alignment horizontal="right" vertical="center" textRotation="0" wrapText="false" indent="0" shrinkToFit="false"/>
      <protection locked="true" hidden="false"/>
    </xf>
    <xf numFmtId="164" fontId="12" fillId="3" borderId="0" xfId="0" applyFont="true" applyBorder="true" applyAlignment="true" applyProtection="false">
      <alignment horizontal="left" vertical="top" textRotation="0" wrapText="true" indent="0" shrinkToFit="false"/>
      <protection locked="true" hidden="false"/>
    </xf>
    <xf numFmtId="167" fontId="12" fillId="0" borderId="1" xfId="0" applyFont="true" applyBorder="true" applyAlignment="true" applyProtection="false">
      <alignment horizontal="right" vertical="center" textRotation="0" wrapText="false" indent="0" shrinkToFit="false"/>
      <protection locked="true" hidden="false"/>
    </xf>
    <xf numFmtId="164" fontId="14" fillId="4" borderId="0" xfId="0" applyFont="true" applyBorder="false" applyAlignment="true" applyProtection="false">
      <alignment horizontal="left" vertical="center" textRotation="0" wrapText="true" indent="0" shrinkToFit="false"/>
      <protection locked="true" hidden="false"/>
    </xf>
    <xf numFmtId="167" fontId="14" fillId="4" borderId="1" xfId="0" applyFont="true" applyBorder="tru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6" fontId="15"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8" fontId="15" fillId="0" borderId="0" xfId="0" applyFont="true" applyBorder="false" applyAlignment="true" applyProtection="false">
      <alignment horizontal="right" vertical="center" textRotation="0" wrapText="fals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right" vertical="center" textRotation="0" wrapText="false" indent="0" shrinkToFit="false"/>
      <protection locked="true" hidden="false"/>
    </xf>
    <xf numFmtId="169" fontId="15" fillId="0" borderId="0" xfId="0" applyFont="true" applyBorder="false" applyAlignment="true" applyProtection="false">
      <alignment horizontal="right" vertical="center"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right" vertical="center" textRotation="0" wrapText="false" indent="0" shrinkToFit="false"/>
      <protection locked="true" hidden="false"/>
    </xf>
    <xf numFmtId="169" fontId="12" fillId="0" borderId="1" xfId="0" applyFont="true" applyBorder="true" applyAlignment="true" applyProtection="false">
      <alignment horizontal="right" vertical="center" textRotation="0" wrapText="false" indent="0" shrinkToFit="false"/>
      <protection locked="true" hidden="false"/>
    </xf>
    <xf numFmtId="168" fontId="15" fillId="0" borderId="1" xfId="0" applyFont="true" applyBorder="true" applyAlignment="true" applyProtection="false">
      <alignment horizontal="right" vertical="center" textRotation="0" wrapText="false" indent="0" shrinkToFit="false"/>
      <protection locked="true" hidden="false"/>
    </xf>
    <xf numFmtId="168" fontId="14" fillId="2" borderId="1" xfId="0" applyFont="true" applyBorder="true" applyAlignment="true" applyProtection="false">
      <alignment horizontal="right" vertical="center" textRotation="0" wrapText="false" indent="0" shrinkToFit="false"/>
      <protection locked="true" hidden="false"/>
    </xf>
    <xf numFmtId="168" fontId="11" fillId="0" borderId="1" xfId="0" applyFont="true" applyBorder="true" applyAlignment="true" applyProtection="false">
      <alignment horizontal="right" vertical="center" textRotation="0" wrapText="false" indent="0" shrinkToFit="false"/>
      <protection locked="true" hidden="false"/>
    </xf>
    <xf numFmtId="168" fontId="14" fillId="4" borderId="1"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8" fontId="13" fillId="0" borderId="1" xfId="0" applyFont="true" applyBorder="true" applyAlignment="true" applyProtection="false">
      <alignment horizontal="right" vertical="center" textRotation="0" wrapText="false" indent="0" shrinkToFit="false"/>
      <protection locked="true" hidden="false"/>
    </xf>
    <xf numFmtId="166" fontId="14" fillId="4" borderId="1" xfId="0" applyFont="true" applyBorder="true" applyAlignment="true" applyProtection="false">
      <alignment horizontal="right" vertical="center" textRotation="0" wrapText="false" indent="0" shrinkToFit="false"/>
      <protection locked="true" hidden="false"/>
    </xf>
    <xf numFmtId="171" fontId="15" fillId="0" borderId="1" xfId="0" applyFont="true" applyBorder="true" applyAlignment="true" applyProtection="false">
      <alignment horizontal="right" vertical="center" textRotation="0" wrapText="false" indent="0" shrinkToFit="false"/>
      <protection locked="true" hidden="false"/>
    </xf>
    <xf numFmtId="172" fontId="12" fillId="0" borderId="1" xfId="0" applyFont="true" applyBorder="true" applyAlignment="true" applyProtection="false">
      <alignment horizontal="right" vertical="center" textRotation="0" wrapText="false" indent="0" shrinkToFit="false"/>
      <protection locked="true" hidden="false"/>
    </xf>
    <xf numFmtId="165" fontId="14" fillId="2" borderId="0" xfId="0" applyFont="true" applyBorder="false" applyAlignment="true" applyProtection="false">
      <alignment horizontal="center" vertical="center" textRotation="0" wrapText="true" indent="0" shrinkToFit="false"/>
      <protection locked="true" hidden="false"/>
    </xf>
    <xf numFmtId="168" fontId="21" fillId="0" borderId="1" xfId="0" applyFont="true" applyBorder="true" applyAlignment="true" applyProtection="false">
      <alignment horizontal="right" vertical="center" textRotation="0" wrapText="fals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8" fontId="22" fillId="0" borderId="1" xfId="0" applyFont="true" applyBorder="true" applyAlignment="true" applyProtection="false">
      <alignment horizontal="right" vertical="center" textRotation="0" wrapText="false" indent="0" shrinkToFit="false"/>
      <protection locked="true" hidden="false"/>
    </xf>
    <xf numFmtId="167" fontId="15" fillId="0" borderId="1" xfId="0" applyFont="true" applyBorder="true" applyAlignment="true" applyProtection="false">
      <alignment horizontal="right" vertical="center"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7" fontId="14"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right" vertical="center" textRotation="0" wrapText="false" indent="0" shrinkToFit="false"/>
      <protection locked="true" hidden="false"/>
    </xf>
    <xf numFmtId="166" fontId="11" fillId="5" borderId="1" xfId="0" applyFont="true" applyBorder="true" applyAlignment="true" applyProtection="false">
      <alignment horizontal="right" vertical="center" textRotation="0" wrapText="false" indent="0" shrinkToFit="false"/>
      <protection locked="true" hidden="false"/>
    </xf>
    <xf numFmtId="167" fontId="13" fillId="0" borderId="1" xfId="0" applyFont="true" applyBorder="true" applyAlignment="true" applyProtection="false">
      <alignment horizontal="right" vertical="center" textRotation="0" wrapText="false" indent="0" shrinkToFit="false"/>
      <protection locked="true" hidden="false"/>
    </xf>
    <xf numFmtId="169" fontId="13" fillId="0" borderId="1" xfId="0" applyFont="true" applyBorder="true" applyAlignment="true" applyProtection="false">
      <alignment horizontal="right" vertical="center" textRotation="0" wrapText="false" indent="0" shrinkToFit="false"/>
      <protection locked="true" hidden="false"/>
    </xf>
    <xf numFmtId="169" fontId="15" fillId="0"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69" fontId="14" fillId="2"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96F36"/>
      <rgbColor rgb="FF800080"/>
      <rgbColor rgb="FF008080"/>
      <rgbColor rgb="FFC0C0C0"/>
      <rgbColor rgb="FF7A8783"/>
      <rgbColor rgb="FF9999FF"/>
      <rgbColor rgb="FF993366"/>
      <rgbColor rgb="FFF6F1E6"/>
      <rgbColor rgb="FFCCFFFF"/>
      <rgbColor rgb="FF660066"/>
      <rgbColor rgb="FFFF8080"/>
      <rgbColor rgb="FF0066CC"/>
      <rgbColor rgb="FFD9E1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5A55"/>
      <rgbColor rgb="FFC0A45F"/>
      <rgbColor rgb="FF003366"/>
      <rgbColor rgb="FF339966"/>
      <rgbColor rgb="FF003300"/>
      <rgbColor rgb="FF333300"/>
      <rgbColor rgb="FF993300"/>
      <rgbColor rgb="FF993366"/>
      <rgbColor rgb="FF33339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0</v>
      </c>
      <c r="C2" s="1"/>
      <c r="D2" s="1"/>
      <c r="E2" s="1"/>
      <c r="F2" s="1"/>
      <c r="G2" s="1"/>
      <c r="H2" s="1"/>
      <c r="I2" s="1"/>
      <c r="J2" s="1"/>
    </row>
    <row r="6" customFormat="false" ht="15" hidden="false" customHeight="true" outlineLevel="0" collapsed="false">
      <c r="B6" s="2" t="s">
        <v>1</v>
      </c>
      <c r="C6" s="2"/>
      <c r="D6" s="2"/>
      <c r="E6" s="2"/>
      <c r="F6" s="2"/>
      <c r="G6" s="2"/>
      <c r="H6" s="2"/>
      <c r="I6" s="2"/>
      <c r="J6" s="2"/>
    </row>
    <row r="7" customFormat="false" ht="15" hidden="false" customHeight="false" outlineLevel="0" collapsed="false">
      <c r="B7" s="2"/>
      <c r="C7" s="2"/>
      <c r="D7" s="2"/>
      <c r="E7" s="2"/>
      <c r="F7" s="2"/>
      <c r="G7" s="2"/>
      <c r="H7" s="2"/>
      <c r="I7" s="2"/>
      <c r="J7" s="2"/>
    </row>
    <row r="9" customFormat="false" ht="15" hidden="false" customHeight="true" outlineLevel="0" collapsed="false">
      <c r="B9" s="3" t="s">
        <v>2</v>
      </c>
      <c r="C9" s="3"/>
      <c r="D9" s="3"/>
      <c r="E9" s="3"/>
      <c r="F9" s="3"/>
      <c r="G9" s="3"/>
      <c r="H9" s="3"/>
      <c r="I9" s="3"/>
      <c r="J9" s="3"/>
    </row>
    <row r="10" customFormat="false" ht="15" hidden="false" customHeight="false" outlineLevel="0" collapsed="false">
      <c r="B10" s="3"/>
      <c r="C10" s="3"/>
      <c r="D10" s="3"/>
      <c r="E10" s="3"/>
      <c r="F10" s="3"/>
      <c r="G10" s="3"/>
      <c r="H10" s="3"/>
      <c r="I10" s="3"/>
      <c r="J10" s="3"/>
    </row>
    <row r="12" customFormat="false" ht="15" hidden="false" customHeight="true" outlineLevel="0" collapsed="false">
      <c r="B12" s="3" t="s">
        <v>3</v>
      </c>
      <c r="C12" s="3"/>
      <c r="D12" s="3"/>
      <c r="E12" s="3"/>
      <c r="F12" s="3"/>
      <c r="G12" s="3"/>
      <c r="H12" s="3"/>
      <c r="I12" s="3"/>
      <c r="J12" s="3"/>
    </row>
    <row r="13" customFormat="false" ht="15" hidden="false" customHeight="false" outlineLevel="0" collapsed="false">
      <c r="B13" s="3"/>
      <c r="C13" s="3"/>
      <c r="D13" s="3"/>
      <c r="E13" s="3"/>
      <c r="F13" s="3"/>
      <c r="G13" s="3"/>
      <c r="H13" s="3"/>
      <c r="I13" s="3"/>
      <c r="J13" s="3"/>
    </row>
    <row r="15" customFormat="false" ht="15" hidden="false" customHeight="true" outlineLevel="0" collapsed="false">
      <c r="B15" s="3" t="s">
        <v>4</v>
      </c>
      <c r="C15" s="3"/>
      <c r="D15" s="3"/>
      <c r="E15" s="3"/>
      <c r="F15" s="3"/>
      <c r="G15" s="3"/>
      <c r="H15" s="3"/>
      <c r="I15" s="3"/>
      <c r="J15" s="3"/>
    </row>
    <row r="16" customFormat="false" ht="15" hidden="false" customHeight="false" outlineLevel="0" collapsed="false">
      <c r="B16" s="3"/>
      <c r="C16" s="3"/>
      <c r="D16" s="3"/>
      <c r="E16" s="3"/>
      <c r="F16" s="3"/>
      <c r="G16" s="3"/>
      <c r="H16" s="3"/>
      <c r="I16" s="3"/>
      <c r="J16" s="3"/>
    </row>
    <row r="18" customFormat="false" ht="15" hidden="false" customHeight="true" outlineLevel="0" collapsed="false">
      <c r="B18" s="2" t="s">
        <v>5</v>
      </c>
      <c r="C18" s="2"/>
      <c r="D18" s="2"/>
      <c r="E18" s="2"/>
      <c r="F18" s="2"/>
      <c r="G18" s="2"/>
      <c r="H18" s="2"/>
      <c r="I18" s="2"/>
      <c r="J18" s="2"/>
    </row>
    <row r="19" customFormat="false" ht="15" hidden="false" customHeight="false" outlineLevel="0" collapsed="false">
      <c r="B19" s="2"/>
      <c r="C19" s="2"/>
      <c r="D19" s="2"/>
      <c r="E19" s="2"/>
      <c r="F19" s="2"/>
      <c r="G19" s="2"/>
      <c r="H19" s="2"/>
      <c r="I19" s="2"/>
      <c r="J19" s="2"/>
    </row>
  </sheetData>
  <mergeCells count="6">
    <mergeCell ref="B2:J2"/>
    <mergeCell ref="B6:J7"/>
    <mergeCell ref="B9:J10"/>
    <mergeCell ref="B12:J13"/>
    <mergeCell ref="B15:J16"/>
    <mergeCell ref="B18: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6</v>
      </c>
      <c r="C2" s="1"/>
      <c r="D2" s="1"/>
      <c r="E2" s="1"/>
      <c r="F2" s="1"/>
      <c r="G2" s="1"/>
      <c r="H2" s="1"/>
      <c r="I2" s="1"/>
      <c r="J2" s="1"/>
    </row>
    <row r="3" customFormat="false" ht="15" hidden="false" customHeight="true" outlineLevel="0" collapsed="false">
      <c r="B3" s="4" t="s">
        <v>7</v>
      </c>
      <c r="C3" s="4"/>
      <c r="D3" s="4"/>
      <c r="E3" s="4"/>
      <c r="F3" s="4"/>
      <c r="G3" s="4"/>
      <c r="H3" s="4"/>
      <c r="I3" s="4"/>
      <c r="J3" s="4"/>
    </row>
    <row r="6" customFormat="false" ht="15" hidden="false" customHeight="true" outlineLevel="0" collapsed="false">
      <c r="B6" s="5" t="s">
        <v>8</v>
      </c>
      <c r="C6" s="5"/>
      <c r="D6" s="5"/>
      <c r="E6" s="5"/>
      <c r="F6" s="5"/>
      <c r="G6" s="5"/>
      <c r="H6" s="5"/>
      <c r="I6" s="5"/>
      <c r="J6" s="5"/>
    </row>
    <row r="7" customFormat="false" ht="15" hidden="false" customHeight="false" outlineLevel="0" collapsed="false">
      <c r="B7" s="6" t="s">
        <v>9</v>
      </c>
      <c r="C7" s="7" t="s">
        <v>10</v>
      </c>
      <c r="D7" s="7" t="s">
        <v>11</v>
      </c>
    </row>
    <row r="8" customFormat="false" ht="15" hidden="false" customHeight="false" outlineLevel="0" collapsed="false">
      <c r="B8" s="8" t="s">
        <v>12</v>
      </c>
      <c r="C8" s="9" t="n">
        <f aca="false">Assumptions!C6</f>
        <v>7.7</v>
      </c>
    </row>
    <row r="9" customFormat="false" ht="15" hidden="false" customHeight="false" outlineLevel="0" collapsed="false">
      <c r="B9" s="10" t="s">
        <v>13</v>
      </c>
      <c r="C9" s="11" t="n">
        <f aca="false">SOTP!J27</f>
        <v>5.00852689113868</v>
      </c>
      <c r="D9" s="12" t="n">
        <f aca="false">C9/Assumptions!C6-1</f>
        <v>-0.349541962189782</v>
      </c>
    </row>
    <row r="10" customFormat="false" ht="15" hidden="false" customHeight="false" outlineLevel="0" collapsed="false">
      <c r="B10" s="10" t="s">
        <v>14</v>
      </c>
      <c r="C10" s="11" t="n">
        <f aca="false">DCF!C24</f>
        <v>4.77425674790306</v>
      </c>
      <c r="D10" s="12" t="n">
        <f aca="false">C10/Assumptions!C6-1</f>
        <v>-0.379966656116485</v>
      </c>
    </row>
    <row r="11" customFormat="false" ht="15" hidden="false" customHeight="false" outlineLevel="0" collapsed="false">
      <c r="B11" s="10" t="s">
        <v>15</v>
      </c>
      <c r="C11" s="11" t="n">
        <f aca="false">'Relative &amp; Normalized'!C17</f>
        <v>6.12851556276055</v>
      </c>
      <c r="D11" s="12" t="n">
        <f aca="false">C11/Assumptions!C6-1</f>
        <v>-0.204088887953176</v>
      </c>
    </row>
    <row r="12" customFormat="false" ht="15" hidden="false" customHeight="false" outlineLevel="0" collapsed="false">
      <c r="B12" s="10" t="s">
        <v>16</v>
      </c>
      <c r="C12" s="11" t="n">
        <f aca="false">'Relative &amp; Normalized'!C23</f>
        <v>8.22180607550771</v>
      </c>
      <c r="D12" s="12" t="n">
        <f aca="false">C12/Assumptions!C6-1</f>
        <v>0.067767022793209</v>
      </c>
    </row>
    <row r="13" customFormat="false" ht="15" hidden="false" customHeight="false" outlineLevel="0" collapsed="false">
      <c r="B13" s="10" t="s">
        <v>17</v>
      </c>
      <c r="C13" s="13" t="n">
        <f aca="false">Assumptions!C117</f>
        <v>6.2</v>
      </c>
      <c r="D13" s="12" t="n">
        <f aca="false">C13/Assumptions!C6-1</f>
        <v>-0.194805194805195</v>
      </c>
    </row>
    <row r="14" customFormat="false" ht="15" hidden="false" customHeight="false" outlineLevel="0" collapsed="false">
      <c r="B14" s="14" t="s">
        <v>18</v>
      </c>
      <c r="C14" s="15" t="n">
        <f aca="false">'Fundamental Valuation'!C11</f>
        <v>5.55843288539609</v>
      </c>
      <c r="D14" s="12" t="n">
        <f aca="false">C14/Assumptions!C6-1</f>
        <v>-0.278125599299209</v>
      </c>
    </row>
    <row r="16" customFormat="false" ht="15" hidden="false" customHeight="true" outlineLevel="0" collapsed="false">
      <c r="B16" s="5" t="s">
        <v>19</v>
      </c>
      <c r="C16" s="5"/>
      <c r="D16" s="5"/>
      <c r="E16" s="5"/>
      <c r="F16" s="5"/>
      <c r="G16" s="5"/>
      <c r="H16" s="5"/>
      <c r="I16" s="5"/>
      <c r="J16" s="5"/>
    </row>
    <row r="17" customFormat="false" ht="15" hidden="false" customHeight="false" outlineLevel="0" collapsed="false">
      <c r="B17" s="10" t="s">
        <v>20</v>
      </c>
      <c r="C17" s="16" t="n">
        <v>7.79</v>
      </c>
    </row>
    <row r="18" customFormat="false" ht="15" hidden="false" customHeight="false" outlineLevel="0" collapsed="false">
      <c r="B18" s="17" t="s">
        <v>21</v>
      </c>
      <c r="C18" s="18" t="n">
        <v>6.4</v>
      </c>
      <c r="E18" s="18" t="n">
        <v>9.45</v>
      </c>
    </row>
    <row r="19" customFormat="false" ht="15" hidden="false" customHeight="false" outlineLevel="0" collapsed="false">
      <c r="B19" s="10" t="s">
        <v>22</v>
      </c>
      <c r="C19" s="16" t="n">
        <v>4.6</v>
      </c>
      <c r="E19" s="16" t="n">
        <v>13.06</v>
      </c>
    </row>
    <row r="21" customFormat="false" ht="15" hidden="false" customHeight="true" outlineLevel="0" collapsed="false">
      <c r="B21" s="5" t="s">
        <v>23</v>
      </c>
      <c r="C21" s="5"/>
      <c r="D21" s="5"/>
      <c r="E21" s="5"/>
      <c r="F21" s="5"/>
      <c r="G21" s="5"/>
      <c r="H21" s="5"/>
      <c r="I21" s="5"/>
      <c r="J21" s="5"/>
    </row>
    <row r="22" customFormat="false" ht="15" hidden="false" customHeight="true" outlineLevel="0" collapsed="false">
      <c r="B22" s="19" t="s">
        <v>24</v>
      </c>
      <c r="C22" s="19"/>
      <c r="D22" s="19"/>
      <c r="E22" s="19"/>
      <c r="F22" s="19"/>
      <c r="G22" s="19"/>
      <c r="H22" s="19"/>
      <c r="I22" s="19"/>
      <c r="J22" s="19"/>
    </row>
    <row r="23" customFormat="false" ht="15" hidden="false" customHeight="false" outlineLevel="0" collapsed="false">
      <c r="B23" s="19"/>
      <c r="C23" s="19"/>
      <c r="D23" s="19"/>
      <c r="E23" s="19"/>
      <c r="F23" s="19"/>
      <c r="G23" s="19"/>
      <c r="H23" s="19"/>
      <c r="I23" s="19"/>
      <c r="J23" s="19"/>
    </row>
    <row r="24" customFormat="false" ht="15" hidden="false" customHeight="false" outlineLevel="0" collapsed="false">
      <c r="B24" s="19"/>
      <c r="C24" s="19"/>
      <c r="D24" s="19"/>
      <c r="E24" s="19"/>
      <c r="F24" s="19"/>
      <c r="G24" s="19"/>
      <c r="H24" s="19"/>
      <c r="I24" s="19"/>
      <c r="J24" s="19"/>
    </row>
    <row r="25" customFormat="false" ht="15" hidden="false" customHeight="false" outlineLevel="0" collapsed="false">
      <c r="B25" s="19"/>
      <c r="C25" s="19"/>
      <c r="D25" s="19"/>
      <c r="E25" s="19"/>
      <c r="F25" s="19"/>
      <c r="G25" s="19"/>
      <c r="H25" s="19"/>
      <c r="I25" s="19"/>
      <c r="J25" s="19"/>
    </row>
    <row r="26" customFormat="false" ht="15" hidden="false" customHeight="false" outlineLevel="0" collapsed="false">
      <c r="B26" s="19"/>
      <c r="C26" s="19"/>
      <c r="D26" s="19"/>
      <c r="E26" s="19"/>
      <c r="F26" s="19"/>
      <c r="G26" s="19"/>
      <c r="H26" s="19"/>
      <c r="I26" s="19"/>
      <c r="J26" s="19"/>
    </row>
  </sheetData>
  <mergeCells count="6">
    <mergeCell ref="B2:J2"/>
    <mergeCell ref="B3:J3"/>
    <mergeCell ref="B6:J6"/>
    <mergeCell ref="B16:J16"/>
    <mergeCell ref="B21:J21"/>
    <mergeCell ref="B22: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25</v>
      </c>
      <c r="C2" s="1"/>
      <c r="D2" s="1"/>
      <c r="E2" s="1"/>
      <c r="F2" s="1"/>
      <c r="G2" s="1"/>
      <c r="H2" s="1"/>
      <c r="I2" s="1"/>
      <c r="J2" s="1"/>
    </row>
    <row r="3" customFormat="false" ht="15" hidden="false" customHeight="true" outlineLevel="0" collapsed="false">
      <c r="B3" s="4" t="s">
        <v>26</v>
      </c>
      <c r="C3" s="4"/>
      <c r="D3" s="4"/>
      <c r="E3" s="4"/>
      <c r="F3" s="4"/>
      <c r="G3" s="4"/>
      <c r="H3" s="4"/>
      <c r="I3" s="4"/>
      <c r="J3" s="4"/>
    </row>
    <row r="5" customFormat="false" ht="15" hidden="false" customHeight="false" outlineLevel="0" collapsed="false">
      <c r="B5" s="6" t="s">
        <v>27</v>
      </c>
      <c r="C5" s="7" t="s">
        <v>28</v>
      </c>
      <c r="D5" s="7" t="s">
        <v>29</v>
      </c>
      <c r="E5" s="7" t="s">
        <v>30</v>
      </c>
    </row>
    <row r="6" customFormat="false" ht="15" hidden="false" customHeight="false" outlineLevel="0" collapsed="false">
      <c r="B6" s="10" t="s">
        <v>13</v>
      </c>
      <c r="C6" s="11" t="n">
        <f aca="false">SOTP!J27</f>
        <v>5.00852689113868</v>
      </c>
      <c r="D6" s="20" t="n">
        <f aca="false">Assumptions!C112</f>
        <v>0.4</v>
      </c>
      <c r="E6" s="13" t="n">
        <f aca="false">C6*D6</f>
        <v>2.00341075645547</v>
      </c>
    </row>
    <row r="7" customFormat="false" ht="15" hidden="false" customHeight="false" outlineLevel="0" collapsed="false">
      <c r="B7" s="10" t="s">
        <v>31</v>
      </c>
      <c r="C7" s="11" t="n">
        <f aca="false">DCF!C24</f>
        <v>4.77425674790306</v>
      </c>
      <c r="D7" s="20" t="n">
        <f aca="false">Assumptions!C113</f>
        <v>0.25</v>
      </c>
      <c r="E7" s="13" t="n">
        <f aca="false">C7*D7</f>
        <v>1.19356418697577</v>
      </c>
    </row>
    <row r="8" customFormat="false" ht="15" hidden="false" customHeight="false" outlineLevel="0" collapsed="false">
      <c r="B8" s="10" t="s">
        <v>15</v>
      </c>
      <c r="C8" s="11" t="n">
        <f aca="false">'Relative &amp; Normalized'!C17</f>
        <v>6.12851556276055</v>
      </c>
      <c r="D8" s="20" t="n">
        <f aca="false">Assumptions!C114</f>
        <v>0.15</v>
      </c>
      <c r="E8" s="13" t="n">
        <f aca="false">C8*D8</f>
        <v>0.919277334414082</v>
      </c>
    </row>
    <row r="9" customFormat="false" ht="15" hidden="false" customHeight="false" outlineLevel="0" collapsed="false">
      <c r="B9" s="10" t="s">
        <v>16</v>
      </c>
      <c r="C9" s="11" t="n">
        <f aca="false">'Relative &amp; Normalized'!C23</f>
        <v>8.22180607550771</v>
      </c>
      <c r="D9" s="20" t="n">
        <f aca="false">Assumptions!C115</f>
        <v>0.1</v>
      </c>
      <c r="E9" s="13" t="n">
        <f aca="false">C9*D9</f>
        <v>0.822180607550771</v>
      </c>
    </row>
    <row r="10" customFormat="false" ht="15" hidden="false" customHeight="false" outlineLevel="0" collapsed="false">
      <c r="B10" s="10" t="s">
        <v>17</v>
      </c>
      <c r="C10" s="13" t="n">
        <f aca="false">Assumptions!C117</f>
        <v>6.2</v>
      </c>
      <c r="D10" s="20" t="n">
        <f aca="false">Assumptions!C116</f>
        <v>0.1</v>
      </c>
      <c r="E10" s="13" t="n">
        <f aca="false">C10*D10</f>
        <v>0.62</v>
      </c>
    </row>
    <row r="11" customFormat="false" ht="15" hidden="false" customHeight="false" outlineLevel="0" collapsed="false">
      <c r="B11" s="14" t="s">
        <v>18</v>
      </c>
      <c r="C11" s="15" t="n">
        <f aca="false">SUM(E6:E10)</f>
        <v>5.55843288539609</v>
      </c>
      <c r="D11" s="15" t="n">
        <f aca="false">SUM(D6:D10)</f>
        <v>1</v>
      </c>
    </row>
    <row r="12" customFormat="false" ht="15" hidden="false" customHeight="false" outlineLevel="0" collapsed="false">
      <c r="B12" s="10" t="s">
        <v>32</v>
      </c>
      <c r="C12" s="13" t="n">
        <f aca="false">Assumptions!C6</f>
        <v>7.7</v>
      </c>
    </row>
    <row r="13" customFormat="false" ht="15" hidden="false" customHeight="false" outlineLevel="0" collapsed="false">
      <c r="B13" s="21" t="s">
        <v>33</v>
      </c>
      <c r="C13" s="22" t="n">
        <f aca="false">C11/Assumptions!C6-1</f>
        <v>-0.278125599299209</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13"/>
    <col collapsed="false" customWidth="true" hidden="false" outlineLevel="0" max="4" min="4" style="0" width="8"/>
    <col collapsed="false" customWidth="true" hidden="false" outlineLevel="0" max="10" min="5" style="0" width="13"/>
  </cols>
  <sheetData>
    <row r="2" customFormat="false" ht="25.5" hidden="false" customHeight="true" outlineLevel="0" collapsed="false">
      <c r="B2" s="1" t="s">
        <v>34</v>
      </c>
      <c r="C2" s="1"/>
      <c r="D2" s="1"/>
      <c r="E2" s="1"/>
      <c r="F2" s="1"/>
      <c r="G2" s="1"/>
      <c r="H2" s="1"/>
      <c r="I2" s="1"/>
      <c r="J2" s="1"/>
    </row>
    <row r="3" customFormat="false" ht="15" hidden="false" customHeight="true" outlineLevel="0" collapsed="false">
      <c r="B3" s="4" t="s">
        <v>35</v>
      </c>
      <c r="C3" s="4"/>
      <c r="D3" s="4"/>
      <c r="E3" s="4"/>
      <c r="F3" s="4"/>
      <c r="G3" s="4"/>
      <c r="H3" s="4"/>
      <c r="I3" s="4"/>
      <c r="J3" s="4"/>
    </row>
    <row r="5" customFormat="false" ht="15" hidden="false" customHeight="true" outlineLevel="0" collapsed="false">
      <c r="B5" s="5" t="s">
        <v>36</v>
      </c>
      <c r="C5" s="5"/>
      <c r="D5" s="5"/>
      <c r="E5" s="5"/>
      <c r="F5" s="5"/>
      <c r="G5" s="5"/>
      <c r="H5" s="5"/>
      <c r="I5" s="5"/>
      <c r="J5" s="5"/>
    </row>
    <row r="6" customFormat="false" ht="15" hidden="false" customHeight="true" outlineLevel="0" collapsed="false">
      <c r="B6" s="23" t="s">
        <v>37</v>
      </c>
      <c r="C6" s="24" t="n">
        <v>7.7</v>
      </c>
      <c r="D6" s="25" t="s">
        <v>38</v>
      </c>
      <c r="E6" s="26" t="s">
        <v>39</v>
      </c>
      <c r="F6" s="26"/>
      <c r="G6" s="26"/>
      <c r="H6" s="26"/>
      <c r="I6" s="26"/>
      <c r="J6" s="26"/>
    </row>
    <row r="7" customFormat="false" ht="15" hidden="false" customHeight="true" outlineLevel="0" collapsed="false">
      <c r="B7" s="23" t="s">
        <v>40</v>
      </c>
      <c r="C7" s="27" t="n">
        <v>4281.297768</v>
      </c>
      <c r="D7" s="25" t="s">
        <v>41</v>
      </c>
      <c r="E7" s="26" t="s">
        <v>42</v>
      </c>
      <c r="F7" s="26"/>
      <c r="G7" s="26"/>
      <c r="H7" s="26"/>
      <c r="I7" s="26"/>
      <c r="J7" s="26"/>
    </row>
    <row r="8" customFormat="false" ht="15" hidden="false" customHeight="true" outlineLevel="0" collapsed="false">
      <c r="B8" s="23" t="s">
        <v>43</v>
      </c>
      <c r="C8" s="28" t="n">
        <f aca="false">C6*C7</f>
        <v>32965.9928136</v>
      </c>
      <c r="D8" s="25" t="s">
        <v>44</v>
      </c>
      <c r="E8" s="26" t="s">
        <v>45</v>
      </c>
      <c r="F8" s="26"/>
      <c r="G8" s="26"/>
      <c r="H8" s="26"/>
      <c r="I8" s="26"/>
      <c r="J8" s="26"/>
    </row>
    <row r="9" customFormat="false" ht="15" hidden="false" customHeight="true" outlineLevel="0" collapsed="false">
      <c r="B9" s="5" t="s">
        <v>46</v>
      </c>
      <c r="C9" s="5"/>
      <c r="D9" s="5"/>
      <c r="E9" s="5"/>
      <c r="F9" s="5"/>
      <c r="G9" s="5"/>
      <c r="H9" s="5"/>
      <c r="I9" s="5"/>
      <c r="J9" s="5"/>
    </row>
    <row r="10" customFormat="false" ht="15" hidden="false" customHeight="true" outlineLevel="0" collapsed="false">
      <c r="B10" s="23" t="s">
        <v>47</v>
      </c>
      <c r="C10" s="27" t="n">
        <v>63829</v>
      </c>
      <c r="D10" s="25" t="s">
        <v>44</v>
      </c>
      <c r="E10" s="26" t="s">
        <v>48</v>
      </c>
      <c r="F10" s="26"/>
      <c r="G10" s="26"/>
      <c r="H10" s="26"/>
      <c r="I10" s="26"/>
      <c r="J10" s="26"/>
    </row>
    <row r="11" customFormat="false" ht="15" hidden="false" customHeight="true" outlineLevel="0" collapsed="false">
      <c r="B11" s="23" t="s">
        <v>49</v>
      </c>
      <c r="C11" s="27" t="n">
        <v>7800</v>
      </c>
      <c r="D11" s="25" t="s">
        <v>44</v>
      </c>
      <c r="E11" s="26" t="s">
        <v>50</v>
      </c>
      <c r="F11" s="26"/>
      <c r="G11" s="26"/>
      <c r="H11" s="26"/>
      <c r="I11" s="26"/>
      <c r="J11" s="26"/>
    </row>
    <row r="12" customFormat="false" ht="15" hidden="false" customHeight="true" outlineLevel="0" collapsed="false">
      <c r="B12" s="23" t="s">
        <v>51</v>
      </c>
      <c r="C12" s="27" t="n">
        <v>2588</v>
      </c>
      <c r="D12" s="25" t="s">
        <v>44</v>
      </c>
      <c r="E12" s="26" t="s">
        <v>52</v>
      </c>
      <c r="F12" s="26"/>
      <c r="G12" s="26"/>
      <c r="H12" s="26"/>
      <c r="I12" s="26"/>
      <c r="J12" s="26"/>
    </row>
    <row r="13" customFormat="false" ht="15" hidden="false" customHeight="true" outlineLevel="0" collapsed="false">
      <c r="B13" s="5" t="s">
        <v>53</v>
      </c>
      <c r="C13" s="5"/>
      <c r="D13" s="5"/>
      <c r="E13" s="5"/>
      <c r="F13" s="5"/>
      <c r="G13" s="5"/>
      <c r="H13" s="5"/>
      <c r="I13" s="5"/>
      <c r="J13" s="5"/>
    </row>
    <row r="14" customFormat="false" ht="15" hidden="false" customHeight="true" outlineLevel="0" collapsed="false">
      <c r="B14" s="23" t="s">
        <v>54</v>
      </c>
      <c r="C14" s="27" t="n">
        <v>18400</v>
      </c>
      <c r="E14" s="26" t="s">
        <v>55</v>
      </c>
      <c r="F14" s="26"/>
      <c r="G14" s="26"/>
      <c r="H14" s="26"/>
      <c r="I14" s="26"/>
      <c r="J14" s="26"/>
    </row>
    <row r="15" customFormat="false" ht="15" hidden="false" customHeight="true" outlineLevel="0" collapsed="false">
      <c r="B15" s="23" t="s">
        <v>56</v>
      </c>
      <c r="C15" s="27" t="n">
        <v>9600</v>
      </c>
      <c r="E15" s="26" t="s">
        <v>57</v>
      </c>
      <c r="F15" s="26"/>
      <c r="G15" s="26"/>
      <c r="H15" s="26"/>
      <c r="I15" s="26"/>
      <c r="J15" s="26"/>
    </row>
    <row r="16" customFormat="false" ht="15" hidden="false" customHeight="true" outlineLevel="0" collapsed="false">
      <c r="B16" s="23" t="s">
        <v>58</v>
      </c>
      <c r="C16" s="27" t="n">
        <v>23800</v>
      </c>
      <c r="E16" s="26" t="s">
        <v>59</v>
      </c>
      <c r="F16" s="26"/>
      <c r="G16" s="26"/>
      <c r="H16" s="26"/>
      <c r="I16" s="26"/>
      <c r="J16" s="26"/>
    </row>
    <row r="17" customFormat="false" ht="15" hidden="false" customHeight="true" outlineLevel="0" collapsed="false">
      <c r="B17" s="23" t="s">
        <v>60</v>
      </c>
      <c r="C17" s="27" t="n">
        <v>2440</v>
      </c>
      <c r="E17" s="26" t="s">
        <v>61</v>
      </c>
      <c r="F17" s="26"/>
      <c r="G17" s="26"/>
      <c r="H17" s="26"/>
      <c r="I17" s="26"/>
      <c r="J17" s="26"/>
    </row>
    <row r="18" customFormat="false" ht="15" hidden="false" customHeight="true" outlineLevel="0" collapsed="false">
      <c r="B18" s="23" t="s">
        <v>62</v>
      </c>
      <c r="C18" s="27" t="n">
        <v>2900</v>
      </c>
      <c r="E18" s="26" t="s">
        <v>63</v>
      </c>
      <c r="F18" s="26"/>
      <c r="G18" s="26"/>
      <c r="H18" s="26"/>
      <c r="I18" s="26"/>
      <c r="J18" s="26"/>
    </row>
    <row r="19" customFormat="false" ht="15" hidden="false" customHeight="true" outlineLevel="0" collapsed="false">
      <c r="B19" s="23" t="s">
        <v>64</v>
      </c>
      <c r="C19" s="27" t="n">
        <v>2200</v>
      </c>
      <c r="E19" s="26" t="s">
        <v>63</v>
      </c>
      <c r="F19" s="26"/>
      <c r="G19" s="26"/>
      <c r="H19" s="26"/>
      <c r="I19" s="26"/>
      <c r="J19" s="26"/>
    </row>
    <row r="20" customFormat="false" ht="15" hidden="false" customHeight="true" outlineLevel="0" collapsed="false">
      <c r="B20" s="23" t="s">
        <v>65</v>
      </c>
      <c r="C20" s="27" t="n">
        <v>2050</v>
      </c>
      <c r="E20" s="26" t="s">
        <v>63</v>
      </c>
      <c r="F20" s="26"/>
      <c r="G20" s="26"/>
      <c r="H20" s="26"/>
      <c r="I20" s="26"/>
      <c r="J20" s="26"/>
    </row>
    <row r="21" customFormat="false" ht="15" hidden="false" customHeight="true" outlineLevel="0" collapsed="false">
      <c r="B21" s="23" t="s">
        <v>66</v>
      </c>
      <c r="C21" s="27" t="n">
        <v>1300</v>
      </c>
      <c r="E21" s="26" t="s">
        <v>63</v>
      </c>
      <c r="F21" s="26"/>
      <c r="G21" s="26"/>
      <c r="H21" s="26"/>
      <c r="I21" s="26"/>
      <c r="J21" s="26"/>
    </row>
    <row r="22" customFormat="false" ht="15" hidden="false" customHeight="true" outlineLevel="0" collapsed="false">
      <c r="B22" s="23" t="s">
        <v>67</v>
      </c>
      <c r="C22" s="27" t="n">
        <v>700</v>
      </c>
      <c r="E22" s="26" t="s">
        <v>63</v>
      </c>
      <c r="F22" s="26"/>
      <c r="G22" s="26"/>
      <c r="H22" s="26"/>
      <c r="I22" s="26"/>
      <c r="J22" s="26"/>
    </row>
    <row r="23" customFormat="false" ht="15" hidden="false" customHeight="true" outlineLevel="0" collapsed="false">
      <c r="B23" s="23" t="s">
        <v>68</v>
      </c>
      <c r="C23" s="27" t="n">
        <v>250</v>
      </c>
      <c r="E23" s="26" t="s">
        <v>63</v>
      </c>
      <c r="F23" s="26"/>
      <c r="G23" s="26"/>
      <c r="H23" s="26"/>
      <c r="I23" s="26"/>
      <c r="J23" s="26"/>
    </row>
    <row r="24" customFormat="false" ht="15" hidden="false" customHeight="true" outlineLevel="0" collapsed="false">
      <c r="B24" s="23" t="s">
        <v>69</v>
      </c>
      <c r="C24" s="27" t="n">
        <v>200</v>
      </c>
      <c r="E24" s="26" t="s">
        <v>63</v>
      </c>
      <c r="F24" s="26"/>
      <c r="G24" s="26"/>
      <c r="H24" s="26"/>
      <c r="I24" s="26"/>
      <c r="J24" s="26"/>
    </row>
    <row r="25" customFormat="false" ht="15" hidden="false" customHeight="true" outlineLevel="0" collapsed="false">
      <c r="B25" s="5" t="s">
        <v>70</v>
      </c>
      <c r="C25" s="5"/>
      <c r="D25" s="5"/>
      <c r="E25" s="5"/>
      <c r="F25" s="5"/>
      <c r="G25" s="5"/>
      <c r="H25" s="5"/>
      <c r="I25" s="5"/>
      <c r="J25" s="5"/>
    </row>
    <row r="26" customFormat="false" ht="15" hidden="false" customHeight="true" outlineLevel="0" collapsed="false">
      <c r="B26" s="23" t="s">
        <v>71</v>
      </c>
      <c r="C26" s="29" t="n">
        <v>0.075</v>
      </c>
      <c r="E26" s="26" t="s">
        <v>72</v>
      </c>
      <c r="F26" s="26"/>
      <c r="G26" s="26"/>
      <c r="H26" s="26"/>
      <c r="I26" s="26"/>
      <c r="J26" s="26"/>
    </row>
    <row r="27" customFormat="false" ht="15" hidden="false" customHeight="true" outlineLevel="0" collapsed="false">
      <c r="B27" s="23" t="s">
        <v>73</v>
      </c>
      <c r="C27" s="29" t="n">
        <v>0.04</v>
      </c>
      <c r="E27" s="26" t="s">
        <v>72</v>
      </c>
      <c r="F27" s="26"/>
      <c r="G27" s="26"/>
      <c r="H27" s="26"/>
      <c r="I27" s="26"/>
      <c r="J27" s="26"/>
    </row>
    <row r="28" customFormat="false" ht="15" hidden="false" customHeight="true" outlineLevel="0" collapsed="false">
      <c r="B28" s="23" t="s">
        <v>74</v>
      </c>
      <c r="C28" s="29" t="n">
        <v>0.05</v>
      </c>
      <c r="E28" s="26" t="s">
        <v>72</v>
      </c>
      <c r="F28" s="26"/>
      <c r="G28" s="26"/>
      <c r="H28" s="26"/>
      <c r="I28" s="26"/>
      <c r="J28" s="26"/>
    </row>
    <row r="29" customFormat="false" ht="15" hidden="false" customHeight="true" outlineLevel="0" collapsed="false">
      <c r="B29" s="23" t="s">
        <v>75</v>
      </c>
      <c r="C29" s="29" t="n">
        <v>0.18</v>
      </c>
      <c r="E29" s="26" t="s">
        <v>72</v>
      </c>
      <c r="F29" s="26"/>
      <c r="G29" s="26"/>
      <c r="H29" s="26"/>
      <c r="I29" s="26"/>
      <c r="J29" s="26"/>
    </row>
    <row r="30" customFormat="false" ht="15" hidden="false" customHeight="true" outlineLevel="0" collapsed="false">
      <c r="B30" s="23" t="s">
        <v>76</v>
      </c>
      <c r="C30" s="29" t="n">
        <v>0.09</v>
      </c>
      <c r="E30" s="26" t="s">
        <v>72</v>
      </c>
      <c r="F30" s="26"/>
      <c r="G30" s="26"/>
      <c r="H30" s="26"/>
      <c r="I30" s="26"/>
      <c r="J30" s="26"/>
    </row>
    <row r="31" customFormat="false" ht="15" hidden="false" customHeight="true" outlineLevel="0" collapsed="false">
      <c r="B31" s="23" t="s">
        <v>77</v>
      </c>
      <c r="C31" s="29" t="n">
        <v>0.11</v>
      </c>
      <c r="E31" s="26" t="s">
        <v>72</v>
      </c>
      <c r="F31" s="26"/>
      <c r="G31" s="26"/>
      <c r="H31" s="26"/>
      <c r="I31" s="26"/>
      <c r="J31" s="26"/>
    </row>
    <row r="32" customFormat="false" ht="15" hidden="false" customHeight="true" outlineLevel="0" collapsed="false">
      <c r="B32" s="23" t="s">
        <v>78</v>
      </c>
      <c r="C32" s="29" t="n">
        <v>0.04</v>
      </c>
      <c r="E32" s="26" t="s">
        <v>72</v>
      </c>
      <c r="F32" s="26"/>
      <c r="G32" s="26"/>
      <c r="H32" s="26"/>
      <c r="I32" s="26"/>
      <c r="J32" s="26"/>
    </row>
    <row r="33" customFormat="false" ht="15" hidden="false" customHeight="true" outlineLevel="0" collapsed="false">
      <c r="B33" s="23" t="s">
        <v>79</v>
      </c>
      <c r="C33" s="29" t="n">
        <v>0.06</v>
      </c>
      <c r="E33" s="26" t="s">
        <v>72</v>
      </c>
      <c r="F33" s="26"/>
      <c r="G33" s="26"/>
      <c r="H33" s="26"/>
      <c r="I33" s="26"/>
      <c r="J33" s="26"/>
    </row>
    <row r="34" customFormat="false" ht="15" hidden="false" customHeight="true" outlineLevel="0" collapsed="false">
      <c r="B34" s="23" t="s">
        <v>80</v>
      </c>
      <c r="C34" s="29" t="n">
        <v>0.2</v>
      </c>
      <c r="E34" s="26" t="s">
        <v>72</v>
      </c>
      <c r="F34" s="26"/>
      <c r="G34" s="26"/>
      <c r="H34" s="26"/>
      <c r="I34" s="26"/>
      <c r="J34" s="26"/>
    </row>
    <row r="35" customFormat="false" ht="15" hidden="false" customHeight="true" outlineLevel="0" collapsed="false">
      <c r="B35" s="23" t="s">
        <v>81</v>
      </c>
      <c r="C35" s="29" t="n">
        <v>0.08</v>
      </c>
      <c r="E35" s="26" t="s">
        <v>72</v>
      </c>
      <c r="F35" s="26"/>
      <c r="G35" s="26"/>
      <c r="H35" s="26"/>
      <c r="I35" s="26"/>
      <c r="J35" s="26"/>
    </row>
    <row r="36" customFormat="false" ht="15" hidden="false" customHeight="true" outlineLevel="0" collapsed="false">
      <c r="B36" s="5" t="s">
        <v>82</v>
      </c>
      <c r="C36" s="5"/>
      <c r="D36" s="5"/>
      <c r="E36" s="5"/>
      <c r="F36" s="5"/>
      <c r="G36" s="5"/>
      <c r="H36" s="5"/>
      <c r="I36" s="5"/>
      <c r="J36" s="5"/>
    </row>
    <row r="37" customFormat="false" ht="15" hidden="false" customHeight="true" outlineLevel="0" collapsed="false">
      <c r="B37" s="23" t="s">
        <v>83</v>
      </c>
      <c r="C37" s="30" t="n">
        <v>9</v>
      </c>
      <c r="E37" s="26" t="s">
        <v>84</v>
      </c>
      <c r="F37" s="26"/>
      <c r="G37" s="26"/>
      <c r="H37" s="26"/>
      <c r="I37" s="26"/>
      <c r="J37" s="26"/>
    </row>
    <row r="38" customFormat="false" ht="15" hidden="false" customHeight="true" outlineLevel="0" collapsed="false">
      <c r="B38" s="23" t="s">
        <v>85</v>
      </c>
      <c r="C38" s="30" t="n">
        <v>5.5</v>
      </c>
      <c r="E38" s="26" t="s">
        <v>84</v>
      </c>
      <c r="F38" s="26"/>
      <c r="G38" s="26"/>
      <c r="H38" s="26"/>
      <c r="I38" s="26"/>
      <c r="J38" s="26"/>
    </row>
    <row r="39" customFormat="false" ht="15" hidden="false" customHeight="true" outlineLevel="0" collapsed="false">
      <c r="B39" s="23" t="s">
        <v>86</v>
      </c>
      <c r="C39" s="30" t="n">
        <v>6</v>
      </c>
      <c r="E39" s="26" t="s">
        <v>84</v>
      </c>
      <c r="F39" s="26"/>
      <c r="G39" s="26"/>
      <c r="H39" s="26"/>
      <c r="I39" s="26"/>
      <c r="J39" s="26"/>
    </row>
    <row r="40" customFormat="false" ht="15" hidden="false" customHeight="true" outlineLevel="0" collapsed="false">
      <c r="B40" s="23" t="s">
        <v>87</v>
      </c>
      <c r="C40" s="30" t="n">
        <v>5.5</v>
      </c>
      <c r="E40" s="26" t="s">
        <v>84</v>
      </c>
      <c r="F40" s="26"/>
      <c r="G40" s="26"/>
      <c r="H40" s="26"/>
      <c r="I40" s="26"/>
      <c r="J40" s="26"/>
    </row>
    <row r="41" customFormat="false" ht="15" hidden="false" customHeight="true" outlineLevel="0" collapsed="false">
      <c r="B41" s="23" t="s">
        <v>88</v>
      </c>
      <c r="C41" s="30" t="n">
        <v>6.5</v>
      </c>
      <c r="E41" s="26" t="s">
        <v>84</v>
      </c>
      <c r="F41" s="26"/>
      <c r="G41" s="26"/>
      <c r="H41" s="26"/>
      <c r="I41" s="26"/>
      <c r="J41" s="26"/>
    </row>
    <row r="42" customFormat="false" ht="15" hidden="false" customHeight="true" outlineLevel="0" collapsed="false">
      <c r="B42" s="23" t="s">
        <v>89</v>
      </c>
      <c r="C42" s="30" t="n">
        <v>5</v>
      </c>
      <c r="E42" s="26" t="s">
        <v>84</v>
      </c>
      <c r="F42" s="26"/>
      <c r="G42" s="26"/>
      <c r="H42" s="26"/>
      <c r="I42" s="26"/>
      <c r="J42" s="26"/>
    </row>
    <row r="43" customFormat="false" ht="15" hidden="false" customHeight="true" outlineLevel="0" collapsed="false">
      <c r="B43" s="23" t="s">
        <v>90</v>
      </c>
      <c r="C43" s="30" t="n">
        <v>5</v>
      </c>
      <c r="E43" s="26" t="s">
        <v>84</v>
      </c>
      <c r="F43" s="26"/>
      <c r="G43" s="26"/>
      <c r="H43" s="26"/>
      <c r="I43" s="26"/>
      <c r="J43" s="26"/>
    </row>
    <row r="44" customFormat="false" ht="15" hidden="false" customHeight="true" outlineLevel="0" collapsed="false">
      <c r="B44" s="23" t="s">
        <v>91</v>
      </c>
      <c r="C44" s="30" t="n">
        <v>7</v>
      </c>
      <c r="E44" s="26" t="s">
        <v>84</v>
      </c>
      <c r="F44" s="26"/>
      <c r="G44" s="26"/>
      <c r="H44" s="26"/>
      <c r="I44" s="26"/>
      <c r="J44" s="26"/>
    </row>
    <row r="45" customFormat="false" ht="15" hidden="false" customHeight="true" outlineLevel="0" collapsed="false">
      <c r="B45" s="23" t="s">
        <v>92</v>
      </c>
      <c r="C45" s="29" t="n">
        <v>0.09</v>
      </c>
      <c r="E45" s="26" t="s">
        <v>93</v>
      </c>
      <c r="F45" s="26"/>
      <c r="G45" s="26"/>
      <c r="H45" s="26"/>
      <c r="I45" s="26"/>
      <c r="J45" s="26"/>
    </row>
    <row r="46" customFormat="false" ht="15" hidden="false" customHeight="true" outlineLevel="0" collapsed="false">
      <c r="B46" s="23" t="s">
        <v>94</v>
      </c>
      <c r="C46" s="30" t="n">
        <v>14</v>
      </c>
      <c r="E46" s="26" t="s">
        <v>95</v>
      </c>
      <c r="F46" s="26"/>
      <c r="G46" s="26"/>
      <c r="H46" s="26"/>
      <c r="I46" s="26"/>
      <c r="J46" s="26"/>
    </row>
    <row r="47" customFormat="false" ht="15" hidden="false" customHeight="true" outlineLevel="0" collapsed="false">
      <c r="B47" s="23" t="s">
        <v>96</v>
      </c>
      <c r="C47" s="27" t="n">
        <v>1880</v>
      </c>
      <c r="D47" s="25" t="s">
        <v>44</v>
      </c>
      <c r="E47" s="26" t="s">
        <v>97</v>
      </c>
      <c r="F47" s="26"/>
      <c r="G47" s="26"/>
      <c r="H47" s="26"/>
      <c r="I47" s="26"/>
      <c r="J47" s="26"/>
    </row>
    <row r="48" customFormat="false" ht="15" hidden="false" customHeight="true" outlineLevel="0" collapsed="false">
      <c r="B48" s="23" t="s">
        <v>98</v>
      </c>
      <c r="C48" s="27" t="n">
        <v>500</v>
      </c>
      <c r="D48" s="25" t="s">
        <v>44</v>
      </c>
      <c r="E48" s="26" t="s">
        <v>99</v>
      </c>
      <c r="F48" s="26"/>
      <c r="G48" s="26"/>
      <c r="H48" s="26"/>
      <c r="I48" s="26"/>
      <c r="J48" s="26"/>
    </row>
    <row r="49" customFormat="false" ht="15" hidden="false" customHeight="true" outlineLevel="0" collapsed="false">
      <c r="B49" s="23" t="s">
        <v>100</v>
      </c>
      <c r="C49" s="30" t="n">
        <v>1</v>
      </c>
      <c r="E49" s="26" t="s">
        <v>101</v>
      </c>
      <c r="F49" s="26"/>
      <c r="G49" s="26"/>
      <c r="H49" s="26"/>
      <c r="I49" s="26"/>
      <c r="J49" s="26"/>
    </row>
    <row r="50" customFormat="false" ht="15" hidden="false" customHeight="true" outlineLevel="0" collapsed="false">
      <c r="B50" s="5" t="s">
        <v>102</v>
      </c>
      <c r="C50" s="5"/>
      <c r="D50" s="5"/>
      <c r="E50" s="5"/>
      <c r="F50" s="5"/>
      <c r="G50" s="5"/>
      <c r="H50" s="5"/>
      <c r="I50" s="5"/>
      <c r="J50" s="5"/>
    </row>
    <row r="51" customFormat="false" ht="15" hidden="false" customHeight="true" outlineLevel="0" collapsed="false">
      <c r="B51" s="23" t="s">
        <v>103</v>
      </c>
      <c r="C51" s="29" t="n">
        <v>1</v>
      </c>
      <c r="E51" s="26" t="s">
        <v>104</v>
      </c>
      <c r="F51" s="26"/>
      <c r="G51" s="26"/>
      <c r="H51" s="26"/>
      <c r="I51" s="26"/>
      <c r="J51" s="26"/>
    </row>
    <row r="52" customFormat="false" ht="15" hidden="false" customHeight="true" outlineLevel="0" collapsed="false">
      <c r="B52" s="23" t="s">
        <v>105</v>
      </c>
      <c r="C52" s="29" t="n">
        <v>0.76</v>
      </c>
      <c r="E52" s="26" t="s">
        <v>104</v>
      </c>
      <c r="F52" s="26"/>
      <c r="G52" s="26"/>
      <c r="H52" s="26"/>
      <c r="I52" s="26"/>
      <c r="J52" s="26"/>
    </row>
    <row r="53" customFormat="false" ht="15" hidden="false" customHeight="true" outlineLevel="0" collapsed="false">
      <c r="B53" s="23" t="s">
        <v>106</v>
      </c>
      <c r="C53" s="29" t="n">
        <v>1</v>
      </c>
      <c r="E53" s="26" t="s">
        <v>104</v>
      </c>
      <c r="F53" s="26"/>
      <c r="G53" s="26"/>
      <c r="H53" s="26"/>
      <c r="I53" s="26"/>
      <c r="J53" s="26"/>
    </row>
    <row r="54" customFormat="false" ht="15" hidden="false" customHeight="true" outlineLevel="0" collapsed="false">
      <c r="B54" s="23" t="s">
        <v>107</v>
      </c>
      <c r="C54" s="29" t="n">
        <v>0.868</v>
      </c>
      <c r="E54" s="26" t="s">
        <v>104</v>
      </c>
      <c r="F54" s="26"/>
      <c r="G54" s="26"/>
      <c r="H54" s="26"/>
      <c r="I54" s="26"/>
      <c r="J54" s="26"/>
    </row>
    <row r="55" customFormat="false" ht="15" hidden="false" customHeight="true" outlineLevel="0" collapsed="false">
      <c r="B55" s="23" t="s">
        <v>108</v>
      </c>
      <c r="C55" s="29" t="n">
        <v>1</v>
      </c>
      <c r="E55" s="26" t="s">
        <v>104</v>
      </c>
      <c r="F55" s="26"/>
      <c r="G55" s="26"/>
      <c r="H55" s="26"/>
      <c r="I55" s="26"/>
      <c r="J55" s="26"/>
    </row>
    <row r="56" customFormat="false" ht="15" hidden="false" customHeight="true" outlineLevel="0" collapsed="false">
      <c r="B56" s="23" t="s">
        <v>109</v>
      </c>
      <c r="C56" s="29" t="n">
        <v>1</v>
      </c>
      <c r="E56" s="26" t="s">
        <v>104</v>
      </c>
      <c r="F56" s="26"/>
      <c r="G56" s="26"/>
      <c r="H56" s="26"/>
      <c r="I56" s="26"/>
      <c r="J56" s="26"/>
    </row>
    <row r="57" customFormat="false" ht="15" hidden="false" customHeight="true" outlineLevel="0" collapsed="false">
      <c r="B57" s="23" t="s">
        <v>110</v>
      </c>
      <c r="C57" s="29" t="n">
        <v>1</v>
      </c>
      <c r="E57" s="26" t="s">
        <v>104</v>
      </c>
      <c r="F57" s="26"/>
      <c r="G57" s="26"/>
      <c r="H57" s="26"/>
      <c r="I57" s="26"/>
      <c r="J57" s="26"/>
    </row>
    <row r="58" customFormat="false" ht="15" hidden="false" customHeight="true" outlineLevel="0" collapsed="false">
      <c r="B58" s="23" t="s">
        <v>111</v>
      </c>
      <c r="C58" s="29" t="n">
        <v>1</v>
      </c>
      <c r="E58" s="26" t="s">
        <v>104</v>
      </c>
      <c r="F58" s="26"/>
      <c r="G58" s="26"/>
      <c r="H58" s="26"/>
      <c r="I58" s="26"/>
      <c r="J58" s="26"/>
    </row>
    <row r="59" customFormat="false" ht="15" hidden="false" customHeight="true" outlineLevel="0" collapsed="false">
      <c r="B59" s="23" t="s">
        <v>112</v>
      </c>
      <c r="C59" s="29" t="n">
        <v>1</v>
      </c>
      <c r="E59" s="26" t="s">
        <v>104</v>
      </c>
      <c r="F59" s="26"/>
      <c r="G59" s="26"/>
      <c r="H59" s="26"/>
      <c r="I59" s="26"/>
      <c r="J59" s="26"/>
    </row>
    <row r="60" customFormat="false" ht="15" hidden="false" customHeight="true" outlineLevel="0" collapsed="false">
      <c r="B60" s="23" t="s">
        <v>113</v>
      </c>
      <c r="C60" s="29" t="n">
        <v>1</v>
      </c>
      <c r="E60" s="26" t="s">
        <v>104</v>
      </c>
      <c r="F60" s="26"/>
      <c r="G60" s="26"/>
      <c r="H60" s="26"/>
      <c r="I60" s="26"/>
      <c r="J60" s="26"/>
    </row>
    <row r="61" customFormat="false" ht="15" hidden="false" customHeight="true" outlineLevel="0" collapsed="false">
      <c r="B61" s="23" t="s">
        <v>114</v>
      </c>
      <c r="C61" s="29" t="n">
        <v>1</v>
      </c>
      <c r="E61" s="26" t="s">
        <v>104</v>
      </c>
      <c r="F61" s="26"/>
      <c r="G61" s="26"/>
      <c r="H61" s="26"/>
      <c r="I61" s="26"/>
      <c r="J61" s="26"/>
    </row>
    <row r="62" customFormat="false" ht="15" hidden="false" customHeight="true" outlineLevel="0" collapsed="false">
      <c r="B62" s="5" t="s">
        <v>115</v>
      </c>
      <c r="C62" s="5"/>
      <c r="D62" s="5"/>
      <c r="E62" s="5"/>
      <c r="F62" s="5"/>
      <c r="G62" s="5"/>
      <c r="H62" s="5"/>
      <c r="I62" s="5"/>
      <c r="J62" s="5"/>
    </row>
    <row r="63" customFormat="false" ht="15" hidden="false" customHeight="true" outlineLevel="0" collapsed="false">
      <c r="B63" s="23" t="s">
        <v>116</v>
      </c>
      <c r="C63" s="27" t="n">
        <v>1500</v>
      </c>
      <c r="E63" s="26" t="s">
        <v>117</v>
      </c>
      <c r="F63" s="26"/>
      <c r="G63" s="26"/>
      <c r="H63" s="26"/>
      <c r="I63" s="26"/>
      <c r="J63" s="26"/>
    </row>
    <row r="64" customFormat="false" ht="15" hidden="false" customHeight="true" outlineLevel="0" collapsed="false">
      <c r="B64" s="23" t="s">
        <v>118</v>
      </c>
      <c r="C64" s="27" t="n">
        <v>2500</v>
      </c>
      <c r="E64" s="26" t="s">
        <v>117</v>
      </c>
      <c r="F64" s="26"/>
      <c r="G64" s="26"/>
      <c r="H64" s="26"/>
      <c r="I64" s="26"/>
      <c r="J64" s="26"/>
    </row>
    <row r="65" customFormat="false" ht="15" hidden="false" customHeight="true" outlineLevel="0" collapsed="false">
      <c r="B65" s="23" t="s">
        <v>119</v>
      </c>
      <c r="C65" s="27" t="n">
        <v>300</v>
      </c>
      <c r="E65" s="26" t="s">
        <v>117</v>
      </c>
      <c r="F65" s="26"/>
      <c r="G65" s="26"/>
      <c r="H65" s="26"/>
      <c r="I65" s="26"/>
      <c r="J65" s="26"/>
    </row>
    <row r="66" customFormat="false" ht="15" hidden="false" customHeight="true" outlineLevel="0" collapsed="false">
      <c r="B66" s="23" t="s">
        <v>120</v>
      </c>
      <c r="C66" s="27" t="n">
        <v>500</v>
      </c>
      <c r="E66" s="26" t="s">
        <v>117</v>
      </c>
      <c r="F66" s="26"/>
      <c r="G66" s="26"/>
      <c r="H66" s="26"/>
      <c r="I66" s="26"/>
      <c r="J66" s="26"/>
    </row>
    <row r="67" customFormat="false" ht="15" hidden="false" customHeight="true" outlineLevel="0" collapsed="false">
      <c r="B67" s="23" t="s">
        <v>121</v>
      </c>
      <c r="C67" s="27" t="n">
        <v>400</v>
      </c>
      <c r="E67" s="26" t="s">
        <v>117</v>
      </c>
      <c r="F67" s="26"/>
      <c r="G67" s="26"/>
      <c r="H67" s="26"/>
      <c r="I67" s="26"/>
      <c r="J67" s="26"/>
    </row>
    <row r="68" customFormat="false" ht="15" hidden="false" customHeight="true" outlineLevel="0" collapsed="false">
      <c r="B68" s="23" t="s">
        <v>122</v>
      </c>
      <c r="C68" s="27" t="n">
        <v>200</v>
      </c>
      <c r="E68" s="26" t="s">
        <v>117</v>
      </c>
      <c r="F68" s="26"/>
      <c r="G68" s="26"/>
      <c r="H68" s="26"/>
      <c r="I68" s="26"/>
      <c r="J68" s="26"/>
    </row>
    <row r="69" customFormat="false" ht="15" hidden="false" customHeight="true" outlineLevel="0" collapsed="false">
      <c r="B69" s="23" t="s">
        <v>123</v>
      </c>
      <c r="C69" s="27" t="n">
        <v>200</v>
      </c>
      <c r="E69" s="26" t="s">
        <v>117</v>
      </c>
      <c r="F69" s="26"/>
      <c r="G69" s="26"/>
      <c r="H69" s="26"/>
      <c r="I69" s="26"/>
      <c r="J69" s="26"/>
    </row>
    <row r="70" customFormat="false" ht="15" hidden="false" customHeight="true" outlineLevel="0" collapsed="false">
      <c r="B70" s="23" t="s">
        <v>124</v>
      </c>
      <c r="C70" s="27" t="n">
        <v>100</v>
      </c>
      <c r="E70" s="26" t="s">
        <v>117</v>
      </c>
      <c r="F70" s="26"/>
      <c r="G70" s="26"/>
      <c r="H70" s="26"/>
      <c r="I70" s="26"/>
      <c r="J70" s="26"/>
    </row>
    <row r="71" customFormat="false" ht="15" hidden="false" customHeight="true" outlineLevel="0" collapsed="false">
      <c r="B71" s="23" t="s">
        <v>125</v>
      </c>
      <c r="C71" s="27" t="n">
        <v>50</v>
      </c>
      <c r="E71" s="26" t="s">
        <v>117</v>
      </c>
      <c r="F71" s="26"/>
      <c r="G71" s="26"/>
      <c r="H71" s="26"/>
      <c r="I71" s="26"/>
      <c r="J71" s="26"/>
    </row>
    <row r="72" customFormat="false" ht="15" hidden="false" customHeight="true" outlineLevel="0" collapsed="false">
      <c r="B72" s="5" t="s">
        <v>126</v>
      </c>
      <c r="C72" s="5"/>
      <c r="D72" s="5"/>
      <c r="E72" s="5"/>
      <c r="F72" s="5"/>
      <c r="G72" s="5"/>
      <c r="H72" s="5"/>
      <c r="I72" s="5"/>
      <c r="J72" s="5"/>
    </row>
    <row r="73" customFormat="false" ht="15" hidden="false" customHeight="true" outlineLevel="0" collapsed="false">
      <c r="B73" s="23" t="s">
        <v>127</v>
      </c>
      <c r="C73" s="27" t="n">
        <v>2000</v>
      </c>
      <c r="D73" s="25" t="s">
        <v>44</v>
      </c>
      <c r="E73" s="26" t="s">
        <v>128</v>
      </c>
      <c r="F73" s="26"/>
      <c r="G73" s="26"/>
      <c r="H73" s="26"/>
      <c r="I73" s="26"/>
      <c r="J73" s="26"/>
    </row>
    <row r="74" customFormat="false" ht="15" hidden="false" customHeight="true" outlineLevel="0" collapsed="false">
      <c r="B74" s="23" t="s">
        <v>129</v>
      </c>
      <c r="C74" s="27" t="n">
        <v>1500</v>
      </c>
      <c r="D74" s="25" t="s">
        <v>44</v>
      </c>
      <c r="E74" s="26" t="s">
        <v>130</v>
      </c>
      <c r="F74" s="26"/>
      <c r="G74" s="26"/>
      <c r="H74" s="26"/>
      <c r="I74" s="26"/>
      <c r="J74" s="26"/>
    </row>
    <row r="75" customFormat="false" ht="15" hidden="false" customHeight="true" outlineLevel="0" collapsed="false">
      <c r="B75" s="23" t="s">
        <v>131</v>
      </c>
      <c r="C75" s="29" t="n">
        <v>0.1</v>
      </c>
      <c r="E75" s="26" t="s">
        <v>132</v>
      </c>
      <c r="F75" s="26"/>
      <c r="G75" s="26"/>
      <c r="H75" s="26"/>
      <c r="I75" s="26"/>
      <c r="J75" s="26"/>
    </row>
    <row r="76" customFormat="false" ht="15" hidden="false" customHeight="true" outlineLevel="0" collapsed="false">
      <c r="B76" s="5" t="s">
        <v>133</v>
      </c>
      <c r="C76" s="5"/>
      <c r="D76" s="5"/>
      <c r="E76" s="5"/>
      <c r="F76" s="5"/>
      <c r="G76" s="5"/>
      <c r="H76" s="5"/>
      <c r="I76" s="5"/>
      <c r="J76" s="5"/>
    </row>
    <row r="77" customFormat="false" ht="15" hidden="false" customHeight="true" outlineLevel="0" collapsed="false">
      <c r="B77" s="23" t="s">
        <v>134</v>
      </c>
      <c r="C77" s="29" t="n">
        <v>0.235</v>
      </c>
      <c r="E77" s="26" t="s">
        <v>135</v>
      </c>
      <c r="F77" s="26"/>
      <c r="G77" s="26"/>
      <c r="H77" s="26"/>
      <c r="I77" s="26"/>
      <c r="J77" s="26"/>
    </row>
    <row r="78" customFormat="false" ht="15" hidden="false" customHeight="true" outlineLevel="0" collapsed="false">
      <c r="B78" s="23" t="s">
        <v>136</v>
      </c>
      <c r="C78" s="29" t="n">
        <v>0.08</v>
      </c>
      <c r="E78" s="26" t="s">
        <v>137</v>
      </c>
      <c r="F78" s="26"/>
      <c r="G78" s="26"/>
      <c r="H78" s="26"/>
      <c r="I78" s="26"/>
      <c r="J78" s="26"/>
    </row>
    <row r="79" customFormat="false" ht="15" hidden="false" customHeight="true" outlineLevel="0" collapsed="false">
      <c r="B79" s="23" t="s">
        <v>138</v>
      </c>
      <c r="C79" s="29" t="n">
        <v>0.25</v>
      </c>
      <c r="E79" s="26" t="s">
        <v>139</v>
      </c>
      <c r="F79" s="26"/>
      <c r="G79" s="26"/>
      <c r="H79" s="26"/>
      <c r="I79" s="26"/>
      <c r="J79" s="26"/>
    </row>
    <row r="80" customFormat="false" ht="15" hidden="false" customHeight="true" outlineLevel="0" collapsed="false">
      <c r="B80" s="23" t="s">
        <v>140</v>
      </c>
      <c r="C80" s="29" t="n">
        <v>0.3</v>
      </c>
      <c r="E80" s="26" t="s">
        <v>141</v>
      </c>
      <c r="F80" s="26"/>
      <c r="G80" s="26"/>
      <c r="H80" s="26"/>
      <c r="I80" s="26"/>
      <c r="J80" s="26"/>
    </row>
    <row r="81" customFormat="false" ht="15" hidden="false" customHeight="true" outlineLevel="0" collapsed="false">
      <c r="B81" s="23" t="s">
        <v>142</v>
      </c>
      <c r="C81" s="29" t="n">
        <v>0.24</v>
      </c>
      <c r="E81" s="26" t="s">
        <v>141</v>
      </c>
      <c r="F81" s="26"/>
      <c r="G81" s="26"/>
      <c r="H81" s="26"/>
      <c r="I81" s="26"/>
      <c r="J81" s="26"/>
    </row>
    <row r="82" customFormat="false" ht="15" hidden="false" customHeight="true" outlineLevel="0" collapsed="false">
      <c r="B82" s="23" t="s">
        <v>143</v>
      </c>
      <c r="C82" s="29" t="n">
        <v>0.2</v>
      </c>
      <c r="E82" s="26" t="s">
        <v>141</v>
      </c>
      <c r="F82" s="26"/>
      <c r="G82" s="26"/>
      <c r="H82" s="26"/>
      <c r="I82" s="26"/>
      <c r="J82" s="26"/>
    </row>
    <row r="83" customFormat="false" ht="15" hidden="false" customHeight="true" outlineLevel="0" collapsed="false">
      <c r="B83" s="23" t="s">
        <v>144</v>
      </c>
      <c r="C83" s="29" t="n">
        <v>0.17</v>
      </c>
      <c r="E83" s="26" t="s">
        <v>141</v>
      </c>
      <c r="F83" s="26"/>
      <c r="G83" s="26"/>
      <c r="H83" s="26"/>
      <c r="I83" s="26"/>
      <c r="J83" s="26"/>
    </row>
    <row r="84" customFormat="false" ht="15" hidden="false" customHeight="true" outlineLevel="0" collapsed="false">
      <c r="B84" s="23" t="s">
        <v>145</v>
      </c>
      <c r="C84" s="29" t="n">
        <v>0.14</v>
      </c>
      <c r="E84" s="26" t="s">
        <v>141</v>
      </c>
      <c r="F84" s="26"/>
      <c r="G84" s="26"/>
      <c r="H84" s="26"/>
      <c r="I84" s="26"/>
      <c r="J84" s="26"/>
    </row>
    <row r="85" customFormat="false" ht="15" hidden="false" customHeight="true" outlineLevel="0" collapsed="false">
      <c r="B85" s="23" t="s">
        <v>146</v>
      </c>
      <c r="C85" s="29" t="n">
        <v>0.22</v>
      </c>
      <c r="E85" s="26" t="s">
        <v>147</v>
      </c>
      <c r="F85" s="26"/>
      <c r="G85" s="26"/>
      <c r="H85" s="26"/>
      <c r="I85" s="26"/>
      <c r="J85" s="26"/>
    </row>
    <row r="86" customFormat="false" ht="15" hidden="false" customHeight="true" outlineLevel="0" collapsed="false">
      <c r="B86" s="23" t="s">
        <v>148</v>
      </c>
      <c r="C86" s="29" t="n">
        <v>0.126</v>
      </c>
      <c r="E86" s="26" t="s">
        <v>149</v>
      </c>
      <c r="F86" s="26"/>
      <c r="G86" s="26"/>
      <c r="H86" s="26"/>
      <c r="I86" s="26"/>
      <c r="J86" s="26"/>
    </row>
    <row r="87" customFormat="false" ht="15" hidden="false" customHeight="true" outlineLevel="0" collapsed="false">
      <c r="B87" s="23" t="s">
        <v>150</v>
      </c>
      <c r="C87" s="29" t="n">
        <v>0.13</v>
      </c>
      <c r="E87" s="26" t="s">
        <v>149</v>
      </c>
      <c r="F87" s="26"/>
      <c r="G87" s="26"/>
      <c r="H87" s="26"/>
      <c r="I87" s="26"/>
      <c r="J87" s="26"/>
    </row>
    <row r="88" customFormat="false" ht="15" hidden="false" customHeight="true" outlineLevel="0" collapsed="false">
      <c r="B88" s="23" t="s">
        <v>151</v>
      </c>
      <c r="C88" s="29" t="n">
        <v>0.132</v>
      </c>
      <c r="E88" s="26" t="s">
        <v>149</v>
      </c>
      <c r="F88" s="26"/>
      <c r="G88" s="26"/>
      <c r="H88" s="26"/>
      <c r="I88" s="26"/>
      <c r="J88" s="26"/>
    </row>
    <row r="89" customFormat="false" ht="15" hidden="false" customHeight="true" outlineLevel="0" collapsed="false">
      <c r="B89" s="23" t="s">
        <v>152</v>
      </c>
      <c r="C89" s="29" t="n">
        <v>0.134</v>
      </c>
      <c r="E89" s="26" t="s">
        <v>149</v>
      </c>
      <c r="F89" s="26"/>
      <c r="G89" s="26"/>
      <c r="H89" s="26"/>
      <c r="I89" s="26"/>
      <c r="J89" s="26"/>
    </row>
    <row r="90" customFormat="false" ht="15" hidden="false" customHeight="true" outlineLevel="0" collapsed="false">
      <c r="B90" s="23" t="s">
        <v>153</v>
      </c>
      <c r="C90" s="29" t="n">
        <v>0.135</v>
      </c>
      <c r="E90" s="26" t="s">
        <v>149</v>
      </c>
      <c r="F90" s="26"/>
      <c r="G90" s="26"/>
      <c r="H90" s="26"/>
      <c r="I90" s="26"/>
      <c r="J90" s="26"/>
    </row>
    <row r="91" customFormat="false" ht="15" hidden="false" customHeight="false" outlineLevel="0" collapsed="false">
      <c r="B91" s="23" t="s">
        <v>154</v>
      </c>
      <c r="C91" s="29" t="n">
        <v>0.02</v>
      </c>
    </row>
    <row r="92" customFormat="false" ht="15" hidden="false" customHeight="true" outlineLevel="0" collapsed="false">
      <c r="B92" s="23" t="s">
        <v>155</v>
      </c>
      <c r="C92" s="29" t="n">
        <v>0.024</v>
      </c>
      <c r="E92" s="26" t="s">
        <v>156</v>
      </c>
      <c r="F92" s="26"/>
      <c r="G92" s="26"/>
      <c r="H92" s="26"/>
      <c r="I92" s="26"/>
      <c r="J92" s="26"/>
    </row>
    <row r="93" customFormat="false" ht="15" hidden="false" customHeight="true" outlineLevel="0" collapsed="false">
      <c r="B93" s="23" t="s">
        <v>157</v>
      </c>
      <c r="C93" s="29" t="n">
        <v>0.22</v>
      </c>
      <c r="E93" s="26" t="s">
        <v>158</v>
      </c>
      <c r="F93" s="26"/>
      <c r="G93" s="26"/>
      <c r="H93" s="26"/>
      <c r="I93" s="26"/>
      <c r="J93" s="26"/>
    </row>
    <row r="94" customFormat="false" ht="15" hidden="false" customHeight="true" outlineLevel="0" collapsed="false">
      <c r="B94" s="23" t="s">
        <v>159</v>
      </c>
      <c r="C94" s="29" t="n">
        <v>0.12</v>
      </c>
      <c r="E94" s="26" t="s">
        <v>160</v>
      </c>
      <c r="F94" s="26"/>
      <c r="G94" s="26"/>
      <c r="H94" s="26"/>
      <c r="I94" s="26"/>
      <c r="J94" s="26"/>
    </row>
    <row r="95" customFormat="false" ht="15" hidden="false" customHeight="true" outlineLevel="0" collapsed="false">
      <c r="B95" s="5" t="s">
        <v>161</v>
      </c>
      <c r="C95" s="5"/>
      <c r="D95" s="5"/>
      <c r="E95" s="5"/>
      <c r="F95" s="5"/>
      <c r="G95" s="5"/>
      <c r="H95" s="5"/>
      <c r="I95" s="5"/>
      <c r="J95" s="5"/>
    </row>
    <row r="96" customFormat="false" ht="15" hidden="false" customHeight="true" outlineLevel="0" collapsed="false">
      <c r="B96" s="23" t="s">
        <v>162</v>
      </c>
      <c r="C96" s="29" t="n">
        <v>0.631009860563039</v>
      </c>
      <c r="E96" s="26" t="s">
        <v>163</v>
      </c>
      <c r="F96" s="26"/>
      <c r="G96" s="26"/>
      <c r="H96" s="26"/>
      <c r="I96" s="26"/>
      <c r="J96" s="26"/>
    </row>
    <row r="97" customFormat="false" ht="15" hidden="false" customHeight="true" outlineLevel="0" collapsed="false">
      <c r="B97" s="23" t="s">
        <v>164</v>
      </c>
      <c r="C97" s="29" t="n">
        <v>0.0195</v>
      </c>
      <c r="E97" s="26" t="s">
        <v>165</v>
      </c>
      <c r="F97" s="26"/>
      <c r="G97" s="26"/>
      <c r="H97" s="26"/>
      <c r="I97" s="26"/>
      <c r="J97" s="26"/>
    </row>
    <row r="98" customFormat="false" ht="15" hidden="false" customHeight="false" outlineLevel="0" collapsed="false">
      <c r="B98" s="23" t="s">
        <v>166</v>
      </c>
      <c r="C98" s="27" t="n">
        <v>60</v>
      </c>
    </row>
    <row r="99" customFormat="false" ht="15" hidden="false" customHeight="true" outlineLevel="0" collapsed="false">
      <c r="B99" s="23" t="s">
        <v>167</v>
      </c>
      <c r="C99" s="27" t="n">
        <v>50000</v>
      </c>
      <c r="E99" s="26" t="s">
        <v>168</v>
      </c>
      <c r="F99" s="26"/>
      <c r="G99" s="26"/>
      <c r="H99" s="26"/>
      <c r="I99" s="26"/>
      <c r="J99" s="26"/>
    </row>
    <row r="100" customFormat="false" ht="15" hidden="false" customHeight="true" outlineLevel="0" collapsed="false">
      <c r="B100" s="5" t="s">
        <v>169</v>
      </c>
      <c r="C100" s="5"/>
      <c r="D100" s="5"/>
      <c r="E100" s="5"/>
      <c r="F100" s="5"/>
      <c r="G100" s="5"/>
      <c r="H100" s="5"/>
      <c r="I100" s="5"/>
      <c r="J100" s="5"/>
    </row>
    <row r="101" customFormat="false" ht="15" hidden="false" customHeight="true" outlineLevel="0" collapsed="false">
      <c r="B101" s="23" t="s">
        <v>170</v>
      </c>
      <c r="C101" s="30" t="n">
        <v>9</v>
      </c>
      <c r="E101" s="26" t="s">
        <v>171</v>
      </c>
      <c r="F101" s="26"/>
      <c r="G101" s="26"/>
      <c r="H101" s="26"/>
      <c r="I101" s="26"/>
      <c r="J101" s="26"/>
    </row>
    <row r="102" customFormat="false" ht="15" hidden="false" customHeight="false" outlineLevel="0" collapsed="false">
      <c r="B102" s="23" t="s">
        <v>172</v>
      </c>
      <c r="C102" s="30" t="n">
        <v>6</v>
      </c>
    </row>
    <row r="104" customFormat="false" ht="15" hidden="false" customHeight="false" outlineLevel="0" collapsed="false">
      <c r="B104" s="31" t="s">
        <v>173</v>
      </c>
      <c r="C104" s="31"/>
      <c r="D104" s="31"/>
      <c r="E104" s="31"/>
      <c r="F104" s="31"/>
      <c r="G104" s="31"/>
      <c r="H104" s="31"/>
      <c r="I104" s="31"/>
      <c r="J104" s="31"/>
    </row>
    <row r="105" customFormat="false" ht="15" hidden="false" customHeight="true" outlineLevel="0" collapsed="false">
      <c r="B105" s="23" t="s">
        <v>174</v>
      </c>
      <c r="C105" s="29" t="n">
        <v>0.033</v>
      </c>
      <c r="E105" s="26" t="s">
        <v>175</v>
      </c>
      <c r="F105" s="26"/>
      <c r="G105" s="26"/>
      <c r="H105" s="26"/>
      <c r="I105" s="26"/>
      <c r="J105" s="26"/>
    </row>
    <row r="106" customFormat="false" ht="15" hidden="false" customHeight="true" outlineLevel="0" collapsed="false">
      <c r="B106" s="23" t="s">
        <v>176</v>
      </c>
      <c r="C106" s="29" t="n">
        <v>0.07</v>
      </c>
      <c r="E106" s="26" t="s">
        <v>177</v>
      </c>
      <c r="F106" s="26"/>
      <c r="G106" s="26"/>
      <c r="H106" s="26"/>
      <c r="I106" s="26"/>
      <c r="J106" s="26"/>
    </row>
    <row r="107" customFormat="false" ht="15" hidden="false" customHeight="true" outlineLevel="0" collapsed="false">
      <c r="B107" s="23" t="s">
        <v>178</v>
      </c>
      <c r="C107" s="32" t="n">
        <v>0.6</v>
      </c>
      <c r="E107" s="26" t="s">
        <v>179</v>
      </c>
      <c r="F107" s="26"/>
      <c r="G107" s="26"/>
      <c r="H107" s="26"/>
      <c r="I107" s="26"/>
      <c r="J107" s="26"/>
    </row>
    <row r="108" customFormat="false" ht="15" hidden="false" customHeight="true" outlineLevel="0" collapsed="false">
      <c r="B108" s="23" t="s">
        <v>180</v>
      </c>
      <c r="C108" s="29" t="n">
        <v>0.44</v>
      </c>
      <c r="E108" s="26" t="s">
        <v>181</v>
      </c>
      <c r="F108" s="26"/>
      <c r="G108" s="26"/>
      <c r="H108" s="26"/>
      <c r="I108" s="26"/>
      <c r="J108" s="26"/>
    </row>
    <row r="109" customFormat="false" ht="15" hidden="false" customHeight="true" outlineLevel="0" collapsed="false">
      <c r="B109" s="23" t="s">
        <v>182</v>
      </c>
      <c r="C109" s="29" t="n">
        <v>0.66</v>
      </c>
      <c r="E109" s="26" t="s">
        <v>183</v>
      </c>
      <c r="F109" s="26"/>
      <c r="G109" s="26"/>
      <c r="H109" s="26"/>
      <c r="I109" s="26"/>
      <c r="J109" s="26"/>
    </row>
    <row r="110" customFormat="false" ht="15" hidden="false" customHeight="true" outlineLevel="0" collapsed="false">
      <c r="B110" s="23" t="s">
        <v>184</v>
      </c>
      <c r="C110" s="27" t="n">
        <v>3200</v>
      </c>
      <c r="E110" s="26" t="s">
        <v>185</v>
      </c>
      <c r="F110" s="26"/>
      <c r="G110" s="26"/>
      <c r="H110" s="26"/>
      <c r="I110" s="26"/>
      <c r="J110" s="26"/>
    </row>
    <row r="111" customFormat="false" ht="15" hidden="false" customHeight="true" outlineLevel="0" collapsed="false">
      <c r="B111" s="23" t="s">
        <v>186</v>
      </c>
      <c r="C111" s="30" t="n">
        <v>11</v>
      </c>
      <c r="E111" s="26" t="s">
        <v>187</v>
      </c>
      <c r="F111" s="26"/>
      <c r="G111" s="26"/>
      <c r="H111" s="26"/>
      <c r="I111" s="26"/>
      <c r="J111" s="26"/>
    </row>
    <row r="112" customFormat="false" ht="15" hidden="false" customHeight="false" outlineLevel="0" collapsed="false">
      <c r="B112" s="23" t="s">
        <v>188</v>
      </c>
      <c r="C112" s="29" t="n">
        <v>0.4</v>
      </c>
    </row>
    <row r="113" customFormat="false" ht="15" hidden="false" customHeight="false" outlineLevel="0" collapsed="false">
      <c r="B113" s="23" t="s">
        <v>189</v>
      </c>
      <c r="C113" s="29" t="n">
        <v>0.25</v>
      </c>
    </row>
    <row r="114" customFormat="false" ht="15" hidden="false" customHeight="false" outlineLevel="0" collapsed="false">
      <c r="B114" s="23" t="s">
        <v>190</v>
      </c>
      <c r="C114" s="29" t="n">
        <v>0.15</v>
      </c>
    </row>
    <row r="115" customFormat="false" ht="15" hidden="false" customHeight="false" outlineLevel="0" collapsed="false">
      <c r="B115" s="23" t="s">
        <v>191</v>
      </c>
      <c r="C115" s="29" t="n">
        <v>0.1</v>
      </c>
    </row>
    <row r="116" customFormat="false" ht="15" hidden="false" customHeight="false" outlineLevel="0" collapsed="false">
      <c r="B116" s="23" t="s">
        <v>192</v>
      </c>
      <c r="C116" s="29" t="n">
        <v>0.1</v>
      </c>
    </row>
    <row r="117" customFormat="false" ht="15" hidden="false" customHeight="true" outlineLevel="0" collapsed="false">
      <c r="B117" s="23" t="s">
        <v>193</v>
      </c>
      <c r="C117" s="24" t="n">
        <v>6.2</v>
      </c>
      <c r="E117" s="26" t="s">
        <v>194</v>
      </c>
      <c r="F117" s="26"/>
      <c r="G117" s="26"/>
      <c r="H117" s="26"/>
      <c r="I117" s="26"/>
      <c r="J117" s="26"/>
    </row>
  </sheetData>
  <mergeCells count="106">
    <mergeCell ref="B2:J2"/>
    <mergeCell ref="B3:J3"/>
    <mergeCell ref="B5:J5"/>
    <mergeCell ref="E6:J6"/>
    <mergeCell ref="E7:J7"/>
    <mergeCell ref="E8:J8"/>
    <mergeCell ref="B9:J9"/>
    <mergeCell ref="E10:J10"/>
    <mergeCell ref="E11:J11"/>
    <mergeCell ref="E12:J12"/>
    <mergeCell ref="B13:J13"/>
    <mergeCell ref="E14:J14"/>
    <mergeCell ref="E15:J15"/>
    <mergeCell ref="E16:J16"/>
    <mergeCell ref="E17:J17"/>
    <mergeCell ref="E18:J18"/>
    <mergeCell ref="E19:J19"/>
    <mergeCell ref="E20:J20"/>
    <mergeCell ref="E21:J21"/>
    <mergeCell ref="E22:J22"/>
    <mergeCell ref="E23:J23"/>
    <mergeCell ref="E24:J24"/>
    <mergeCell ref="B25:J25"/>
    <mergeCell ref="E26:J26"/>
    <mergeCell ref="E27:J27"/>
    <mergeCell ref="E28:J28"/>
    <mergeCell ref="E29:J29"/>
    <mergeCell ref="E30:J30"/>
    <mergeCell ref="E31:J31"/>
    <mergeCell ref="E32:J32"/>
    <mergeCell ref="E33:J33"/>
    <mergeCell ref="E34:J34"/>
    <mergeCell ref="E35:J35"/>
    <mergeCell ref="B36:J36"/>
    <mergeCell ref="E37:J37"/>
    <mergeCell ref="E38:J38"/>
    <mergeCell ref="E39:J39"/>
    <mergeCell ref="E40:J40"/>
    <mergeCell ref="E41:J41"/>
    <mergeCell ref="E42:J42"/>
    <mergeCell ref="E43:J43"/>
    <mergeCell ref="E44:J44"/>
    <mergeCell ref="E45:J45"/>
    <mergeCell ref="E46:J46"/>
    <mergeCell ref="E47:J47"/>
    <mergeCell ref="E48:J48"/>
    <mergeCell ref="E49:J49"/>
    <mergeCell ref="B50:J50"/>
    <mergeCell ref="E51:J51"/>
    <mergeCell ref="E52:J52"/>
    <mergeCell ref="E53:J53"/>
    <mergeCell ref="E54:J54"/>
    <mergeCell ref="E55:J55"/>
    <mergeCell ref="E56:J56"/>
    <mergeCell ref="E57:J57"/>
    <mergeCell ref="E58:J58"/>
    <mergeCell ref="E59:J59"/>
    <mergeCell ref="E60:J60"/>
    <mergeCell ref="E61:J61"/>
    <mergeCell ref="B62:J62"/>
    <mergeCell ref="E63:J63"/>
    <mergeCell ref="E64:J64"/>
    <mergeCell ref="E65:J65"/>
    <mergeCell ref="E66:J66"/>
    <mergeCell ref="E67:J67"/>
    <mergeCell ref="E68:J68"/>
    <mergeCell ref="E69:J69"/>
    <mergeCell ref="E70:J70"/>
    <mergeCell ref="E71:J71"/>
    <mergeCell ref="B72:J72"/>
    <mergeCell ref="E73:J73"/>
    <mergeCell ref="E74:J74"/>
    <mergeCell ref="E75:J75"/>
    <mergeCell ref="B76:J76"/>
    <mergeCell ref="E77:J77"/>
    <mergeCell ref="E78:J78"/>
    <mergeCell ref="E79:J79"/>
    <mergeCell ref="E80:J80"/>
    <mergeCell ref="E81:J81"/>
    <mergeCell ref="E82:J82"/>
    <mergeCell ref="E83:J83"/>
    <mergeCell ref="E84:J84"/>
    <mergeCell ref="E85:J85"/>
    <mergeCell ref="E86:J86"/>
    <mergeCell ref="E87:J87"/>
    <mergeCell ref="E88:J88"/>
    <mergeCell ref="E89:J89"/>
    <mergeCell ref="E90:J90"/>
    <mergeCell ref="E92:J92"/>
    <mergeCell ref="E93:J93"/>
    <mergeCell ref="E94:J94"/>
    <mergeCell ref="B95:J95"/>
    <mergeCell ref="E96:J96"/>
    <mergeCell ref="E97:J97"/>
    <mergeCell ref="E99:J99"/>
    <mergeCell ref="B100:J100"/>
    <mergeCell ref="E101:J101"/>
    <mergeCell ref="B104:J104"/>
    <mergeCell ref="E105:J105"/>
    <mergeCell ref="E106:J106"/>
    <mergeCell ref="E107:J107"/>
    <mergeCell ref="E108:J108"/>
    <mergeCell ref="E109:J109"/>
    <mergeCell ref="E110:J110"/>
    <mergeCell ref="E111:J111"/>
    <mergeCell ref="E117:J1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195</v>
      </c>
      <c r="C2" s="1"/>
      <c r="D2" s="1"/>
      <c r="E2" s="1"/>
      <c r="F2" s="1"/>
      <c r="G2" s="1"/>
      <c r="H2" s="1"/>
      <c r="I2" s="1"/>
      <c r="J2" s="1"/>
    </row>
    <row r="3" customFormat="false" ht="15" hidden="false" customHeight="true" outlineLevel="0" collapsed="false">
      <c r="B3" s="4" t="s">
        <v>196</v>
      </c>
      <c r="C3" s="4"/>
      <c r="D3" s="4"/>
      <c r="E3" s="4"/>
      <c r="F3" s="4"/>
      <c r="G3" s="4"/>
      <c r="H3" s="4"/>
      <c r="I3" s="4"/>
      <c r="J3" s="4"/>
    </row>
    <row r="5" customFormat="false" ht="15" hidden="false" customHeight="false" outlineLevel="0" collapsed="false">
      <c r="B5" s="33" t="s">
        <v>197</v>
      </c>
      <c r="C5" s="7" t="s">
        <v>198</v>
      </c>
      <c r="D5" s="7" t="s">
        <v>199</v>
      </c>
      <c r="E5" s="7" t="s">
        <v>200</v>
      </c>
      <c r="F5" s="7" t="s">
        <v>201</v>
      </c>
      <c r="G5" s="7" t="s">
        <v>202</v>
      </c>
      <c r="H5" s="7" t="s">
        <v>203</v>
      </c>
      <c r="I5" s="7" t="s">
        <v>204</v>
      </c>
      <c r="J5" s="7" t="s">
        <v>205</v>
      </c>
    </row>
    <row r="6" customFormat="false" ht="15" hidden="false" customHeight="false" outlineLevel="0" collapsed="false">
      <c r="B6" s="10" t="s">
        <v>206</v>
      </c>
      <c r="C6" s="34" t="n">
        <f aca="false">Assumptions!C14</f>
        <v>18400</v>
      </c>
      <c r="D6" s="34" t="n">
        <f aca="false">C6*Assumptions!C26</f>
        <v>1380</v>
      </c>
      <c r="E6" s="35" t="n">
        <f aca="false">Assumptions!C37</f>
        <v>9</v>
      </c>
      <c r="F6" s="34" t="n">
        <f aca="false">D6*E6</f>
        <v>12420</v>
      </c>
      <c r="G6" s="34" t="n">
        <f aca="false">Assumptions!C63</f>
        <v>1500</v>
      </c>
      <c r="H6" s="34" t="n">
        <f aca="false">F6-G6</f>
        <v>10920</v>
      </c>
      <c r="I6" s="20" t="n">
        <f aca="false">Assumptions!C51</f>
        <v>1</v>
      </c>
      <c r="J6" s="34" t="n">
        <f aca="false">H6*I6</f>
        <v>10920</v>
      </c>
    </row>
    <row r="7" customFormat="false" ht="15" hidden="false" customHeight="false" outlineLevel="0" collapsed="false">
      <c r="B7" s="10" t="s">
        <v>207</v>
      </c>
      <c r="C7" s="34" t="n">
        <f aca="false">Assumptions!C15</f>
        <v>9600</v>
      </c>
      <c r="D7" s="34" t="n">
        <f aca="false">C7*Assumptions!C45</f>
        <v>864</v>
      </c>
      <c r="E7" s="35" t="n">
        <f aca="false">Assumptions!C46</f>
        <v>14</v>
      </c>
      <c r="F7" s="34" t="n">
        <f aca="false">D7*E7</f>
        <v>12096</v>
      </c>
      <c r="G7" s="36" t="n">
        <v>0</v>
      </c>
      <c r="H7" s="34" t="n">
        <f aca="false">F7-G7</f>
        <v>12096</v>
      </c>
      <c r="I7" s="20" t="n">
        <f aca="false">Assumptions!C52</f>
        <v>0.76</v>
      </c>
      <c r="J7" s="34" t="n">
        <f aca="false">H7*I7</f>
        <v>9192.96</v>
      </c>
    </row>
    <row r="8" customFormat="false" ht="15" hidden="false" customHeight="false" outlineLevel="0" collapsed="false">
      <c r="B8" s="10" t="s">
        <v>208</v>
      </c>
      <c r="C8" s="34" t="n">
        <f aca="false">Assumptions!C16</f>
        <v>23800</v>
      </c>
      <c r="D8" s="34" t="n">
        <f aca="false">C8*Assumptions!C27</f>
        <v>952</v>
      </c>
      <c r="E8" s="35" t="n">
        <f aca="false">Assumptions!C38</f>
        <v>5.5</v>
      </c>
      <c r="F8" s="34" t="n">
        <f aca="false">D8*E8</f>
        <v>5236</v>
      </c>
      <c r="G8" s="34" t="n">
        <f aca="false">Assumptions!C64</f>
        <v>2500</v>
      </c>
      <c r="H8" s="34" t="n">
        <f aca="false">F8-G8</f>
        <v>2736</v>
      </c>
      <c r="I8" s="20" t="n">
        <f aca="false">Assumptions!C53</f>
        <v>1</v>
      </c>
      <c r="J8" s="34" t="n">
        <f aca="false">H8*I8</f>
        <v>2736</v>
      </c>
    </row>
    <row r="9" customFormat="false" ht="15" hidden="false" customHeight="false" outlineLevel="0" collapsed="false">
      <c r="B9" s="10" t="s">
        <v>209</v>
      </c>
      <c r="C9" s="34" t="n">
        <f aca="false">Assumptions!C17</f>
        <v>2440</v>
      </c>
      <c r="D9" s="36"/>
      <c r="E9" s="36"/>
      <c r="F9" s="34" t="n">
        <f aca="false">Assumptions!C47</f>
        <v>1880</v>
      </c>
      <c r="G9" s="36" t="n">
        <v>0</v>
      </c>
      <c r="H9" s="34" t="n">
        <f aca="false">F9</f>
        <v>1880</v>
      </c>
      <c r="I9" s="20" t="n">
        <f aca="false">Assumptions!C54</f>
        <v>0.868</v>
      </c>
      <c r="J9" s="34" t="n">
        <f aca="false">H9*I9</f>
        <v>1631.84</v>
      </c>
    </row>
    <row r="10" customFormat="false" ht="15" hidden="false" customHeight="false" outlineLevel="0" collapsed="false">
      <c r="B10" s="10" t="s">
        <v>210</v>
      </c>
      <c r="C10" s="34" t="n">
        <f aca="false">Assumptions!C18</f>
        <v>2900</v>
      </c>
      <c r="D10" s="34" t="n">
        <f aca="false">C10*Assumptions!C28</f>
        <v>145</v>
      </c>
      <c r="E10" s="35" t="n">
        <f aca="false">Assumptions!C39</f>
        <v>6</v>
      </c>
      <c r="F10" s="34" t="n">
        <f aca="false">D10*E10</f>
        <v>870</v>
      </c>
      <c r="G10" s="34" t="n">
        <f aca="false">Assumptions!C65</f>
        <v>300</v>
      </c>
      <c r="H10" s="34" t="n">
        <f aca="false">F10-G10</f>
        <v>570</v>
      </c>
      <c r="I10" s="20" t="n">
        <f aca="false">Assumptions!C55</f>
        <v>1</v>
      </c>
      <c r="J10" s="34" t="n">
        <f aca="false">H10*I10</f>
        <v>570</v>
      </c>
    </row>
    <row r="11" customFormat="false" ht="15" hidden="false" customHeight="false" outlineLevel="0" collapsed="false">
      <c r="B11" s="10" t="s">
        <v>211</v>
      </c>
      <c r="C11" s="34" t="n">
        <f aca="false">Assumptions!C19</f>
        <v>2200</v>
      </c>
      <c r="D11" s="34" t="n">
        <f aca="false">C11*Assumptions!C30</f>
        <v>198</v>
      </c>
      <c r="E11" s="35" t="n">
        <f aca="false">Assumptions!C40</f>
        <v>5.5</v>
      </c>
      <c r="F11" s="34" t="n">
        <f aca="false">D11*E11</f>
        <v>1089</v>
      </c>
      <c r="G11" s="34" t="n">
        <f aca="false">Assumptions!C66</f>
        <v>500</v>
      </c>
      <c r="H11" s="34" t="n">
        <f aca="false">F11-G11</f>
        <v>589</v>
      </c>
      <c r="I11" s="20" t="n">
        <f aca="false">Assumptions!C56</f>
        <v>1</v>
      </c>
      <c r="J11" s="34" t="n">
        <f aca="false">H11*I11</f>
        <v>589</v>
      </c>
    </row>
    <row r="12" customFormat="false" ht="15" hidden="false" customHeight="false" outlineLevel="0" collapsed="false">
      <c r="B12" s="10" t="s">
        <v>212</v>
      </c>
      <c r="C12" s="34" t="n">
        <f aca="false">Assumptions!C20</f>
        <v>2050</v>
      </c>
      <c r="D12" s="34" t="n">
        <f aca="false">C12*Assumptions!C31</f>
        <v>225.5</v>
      </c>
      <c r="E12" s="35" t="n">
        <f aca="false">Assumptions!C41</f>
        <v>6.5</v>
      </c>
      <c r="F12" s="34" t="n">
        <f aca="false">D12*E12</f>
        <v>1465.75</v>
      </c>
      <c r="G12" s="34" t="n">
        <f aca="false">Assumptions!C67</f>
        <v>400</v>
      </c>
      <c r="H12" s="34" t="n">
        <f aca="false">F12-G12</f>
        <v>1065.75</v>
      </c>
      <c r="I12" s="20" t="n">
        <f aca="false">Assumptions!C57</f>
        <v>1</v>
      </c>
      <c r="J12" s="34" t="n">
        <f aca="false">H12*I12</f>
        <v>1065.75</v>
      </c>
    </row>
    <row r="13" customFormat="false" ht="15" hidden="false" customHeight="false" outlineLevel="0" collapsed="false">
      <c r="B13" s="10" t="s">
        <v>213</v>
      </c>
      <c r="C13" s="34" t="n">
        <f aca="false">Assumptions!C21</f>
        <v>1300</v>
      </c>
      <c r="D13" s="34" t="n">
        <f aca="false">C13*Assumptions!C32</f>
        <v>52</v>
      </c>
      <c r="E13" s="35" t="n">
        <f aca="false">Assumptions!C42</f>
        <v>5</v>
      </c>
      <c r="F13" s="34" t="n">
        <f aca="false">D13*E13</f>
        <v>260</v>
      </c>
      <c r="G13" s="34" t="n">
        <f aca="false">Assumptions!C68</f>
        <v>200</v>
      </c>
      <c r="H13" s="34" t="n">
        <f aca="false">F13-G13</f>
        <v>60</v>
      </c>
      <c r="I13" s="20" t="n">
        <f aca="false">Assumptions!C58</f>
        <v>1</v>
      </c>
      <c r="J13" s="34" t="n">
        <f aca="false">H13*I13</f>
        <v>60</v>
      </c>
    </row>
    <row r="14" customFormat="false" ht="15" hidden="false" customHeight="false" outlineLevel="0" collapsed="false">
      <c r="B14" s="10" t="s">
        <v>214</v>
      </c>
      <c r="C14" s="34" t="n">
        <f aca="false">Assumptions!C22</f>
        <v>700</v>
      </c>
      <c r="D14" s="34" t="n">
        <f aca="false">C14*Assumptions!C33</f>
        <v>42</v>
      </c>
      <c r="E14" s="35" t="n">
        <f aca="false">Assumptions!C43</f>
        <v>5</v>
      </c>
      <c r="F14" s="34" t="n">
        <f aca="false">D14*E14</f>
        <v>210</v>
      </c>
      <c r="G14" s="34" t="n">
        <f aca="false">Assumptions!C69</f>
        <v>200</v>
      </c>
      <c r="H14" s="34" t="n">
        <f aca="false">F14-G14</f>
        <v>10</v>
      </c>
      <c r="I14" s="20" t="n">
        <f aca="false">Assumptions!C59</f>
        <v>1</v>
      </c>
      <c r="J14" s="34" t="n">
        <f aca="false">H14*I14</f>
        <v>10</v>
      </c>
    </row>
    <row r="15" customFormat="false" ht="15" hidden="false" customHeight="false" outlineLevel="0" collapsed="false">
      <c r="B15" s="10" t="s">
        <v>215</v>
      </c>
      <c r="C15" s="34" t="n">
        <f aca="false">Assumptions!C23</f>
        <v>250</v>
      </c>
      <c r="D15" s="36"/>
      <c r="E15" s="36"/>
      <c r="F15" s="34" t="n">
        <f aca="false">Assumptions!C48</f>
        <v>500</v>
      </c>
      <c r="G15" s="34" t="n">
        <f aca="false">Assumptions!C70</f>
        <v>100</v>
      </c>
      <c r="H15" s="34" t="n">
        <f aca="false">F15-G15</f>
        <v>400</v>
      </c>
      <c r="I15" s="20" t="n">
        <f aca="false">Assumptions!C60</f>
        <v>1</v>
      </c>
      <c r="J15" s="34" t="n">
        <f aca="false">H15*I15</f>
        <v>400</v>
      </c>
    </row>
    <row r="16" customFormat="false" ht="15" hidden="false" customHeight="false" outlineLevel="0" collapsed="false">
      <c r="B16" s="10" t="s">
        <v>216</v>
      </c>
      <c r="C16" s="34" t="n">
        <f aca="false">Assumptions!C24</f>
        <v>200</v>
      </c>
      <c r="D16" s="36"/>
      <c r="E16" s="35" t="n">
        <f aca="false">Assumptions!C49</f>
        <v>1</v>
      </c>
      <c r="F16" s="34" t="n">
        <f aca="false">C16*E16</f>
        <v>200</v>
      </c>
      <c r="G16" s="34" t="n">
        <f aca="false">Assumptions!C71</f>
        <v>50</v>
      </c>
      <c r="H16" s="34" t="n">
        <f aca="false">F16-G16</f>
        <v>150</v>
      </c>
      <c r="I16" s="20" t="n">
        <f aca="false">Assumptions!C61</f>
        <v>1</v>
      </c>
      <c r="J16" s="34" t="n">
        <f aca="false">H16*I16</f>
        <v>150</v>
      </c>
    </row>
    <row r="17" customFormat="false" ht="15" hidden="false" customHeight="false" outlineLevel="0" collapsed="false">
      <c r="B17" s="14" t="s">
        <v>217</v>
      </c>
      <c r="J17" s="37" t="n">
        <f aca="false">SUM(J6:J16)</f>
        <v>27325.55</v>
      </c>
    </row>
    <row r="19" customFormat="false" ht="15" hidden="false" customHeight="true" outlineLevel="0" collapsed="false">
      <c r="B19" s="5" t="s">
        <v>218</v>
      </c>
      <c r="C19" s="5"/>
      <c r="D19" s="5"/>
      <c r="E19" s="5"/>
      <c r="F19" s="5"/>
      <c r="G19" s="5"/>
      <c r="H19" s="5"/>
      <c r="I19" s="5"/>
      <c r="J19" s="5"/>
    </row>
    <row r="20" customFormat="false" ht="15" hidden="false" customHeight="false" outlineLevel="0" collapsed="false">
      <c r="B20" s="8" t="s">
        <v>219</v>
      </c>
      <c r="J20" s="38" t="n">
        <f aca="false">J17</f>
        <v>27325.55</v>
      </c>
    </row>
    <row r="21" customFormat="false" ht="15" hidden="false" customHeight="false" outlineLevel="0" collapsed="false">
      <c r="B21" s="10" t="s">
        <v>220</v>
      </c>
      <c r="J21" s="34" t="n">
        <f aca="false">-Assumptions!C73</f>
        <v>-2000</v>
      </c>
    </row>
    <row r="22" customFormat="false" ht="15" hidden="false" customHeight="false" outlineLevel="0" collapsed="false">
      <c r="B22" s="10" t="s">
        <v>221</v>
      </c>
      <c r="J22" s="34" t="n">
        <f aca="false">-Assumptions!C74</f>
        <v>-1500</v>
      </c>
    </row>
    <row r="23" customFormat="false" ht="15" hidden="false" customHeight="false" outlineLevel="0" collapsed="false">
      <c r="B23" s="8" t="s">
        <v>222</v>
      </c>
      <c r="J23" s="38" t="n">
        <f aca="false">J20-Assumptions!C73-Assumptions!C74</f>
        <v>23825.55</v>
      </c>
    </row>
    <row r="24" customFormat="false" ht="15" hidden="false" customHeight="false" outlineLevel="0" collapsed="false">
      <c r="B24" s="10" t="s">
        <v>223</v>
      </c>
      <c r="J24" s="20" t="n">
        <f aca="false">Assumptions!C75</f>
        <v>0.1</v>
      </c>
    </row>
    <row r="25" customFormat="false" ht="15" hidden="false" customHeight="false" outlineLevel="0" collapsed="false">
      <c r="B25" s="21" t="s">
        <v>224</v>
      </c>
      <c r="J25" s="39" t="n">
        <f aca="false">J23*(1-Assumptions!C75)</f>
        <v>21442.995</v>
      </c>
    </row>
    <row r="26" customFormat="false" ht="15" hidden="false" customHeight="false" outlineLevel="0" collapsed="false">
      <c r="B26" s="10" t="s">
        <v>225</v>
      </c>
      <c r="J26" s="34" t="n">
        <f aca="false">Assumptions!C7</f>
        <v>4281.297768</v>
      </c>
    </row>
    <row r="27" customFormat="false" ht="15" hidden="false" customHeight="false" outlineLevel="0" collapsed="false">
      <c r="B27" s="14" t="s">
        <v>226</v>
      </c>
      <c r="J27" s="15" t="n">
        <f aca="false">J25/Assumptions!C7</f>
        <v>5.00852689113868</v>
      </c>
    </row>
    <row r="28" customFormat="false" ht="15" hidden="false" customHeight="false" outlineLevel="0" collapsed="false">
      <c r="B28" s="10" t="s">
        <v>227</v>
      </c>
      <c r="J28" s="20" t="n">
        <f aca="false">J27/Assumptions!C6-1</f>
        <v>-0.349541962189782</v>
      </c>
    </row>
  </sheetData>
  <mergeCells count="3">
    <mergeCell ref="B2:J2"/>
    <mergeCell ref="B3:J3"/>
    <mergeCell ref="B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228</v>
      </c>
      <c r="C2" s="1"/>
      <c r="D2" s="1"/>
      <c r="E2" s="1"/>
      <c r="F2" s="1"/>
      <c r="G2" s="1"/>
      <c r="H2" s="1"/>
      <c r="I2" s="1"/>
      <c r="J2" s="1"/>
    </row>
    <row r="3" customFormat="false" ht="15" hidden="false" customHeight="true" outlineLevel="0" collapsed="false">
      <c r="B3" s="4" t="s">
        <v>229</v>
      </c>
      <c r="C3" s="4"/>
      <c r="D3" s="4"/>
      <c r="E3" s="4"/>
      <c r="F3" s="4"/>
      <c r="G3" s="4"/>
      <c r="H3" s="4"/>
      <c r="I3" s="4"/>
      <c r="J3" s="4"/>
    </row>
    <row r="5" customFormat="false" ht="15" hidden="false" customHeight="false" outlineLevel="0" collapsed="false">
      <c r="B5" s="6" t="s">
        <v>197</v>
      </c>
      <c r="C5" s="7" t="s">
        <v>230</v>
      </c>
      <c r="D5" s="7" t="s">
        <v>231</v>
      </c>
      <c r="E5" s="7" t="s">
        <v>232</v>
      </c>
    </row>
    <row r="6" customFormat="false" ht="15" hidden="false" customHeight="true" outlineLevel="0" collapsed="false">
      <c r="B6" s="10" t="s">
        <v>233</v>
      </c>
      <c r="C6" s="34" t="n">
        <f aca="false">Assumptions!C16</f>
        <v>23800</v>
      </c>
      <c r="D6" s="12" t="n">
        <f aca="false">C6/C17</f>
        <v>0.37280701754386</v>
      </c>
      <c r="E6" s="40" t="s">
        <v>234</v>
      </c>
      <c r="F6" s="40"/>
      <c r="G6" s="40"/>
      <c r="H6" s="40"/>
      <c r="I6" s="40"/>
      <c r="J6" s="40"/>
    </row>
    <row r="7" customFormat="false" ht="15" hidden="false" customHeight="true" outlineLevel="0" collapsed="false">
      <c r="B7" s="10" t="s">
        <v>235</v>
      </c>
      <c r="C7" s="34" t="n">
        <f aca="false">Assumptions!C14</f>
        <v>18400</v>
      </c>
      <c r="D7" s="12" t="n">
        <f aca="false">C7/C17</f>
        <v>0.288220551378446</v>
      </c>
      <c r="E7" s="40" t="s">
        <v>236</v>
      </c>
      <c r="F7" s="40"/>
      <c r="G7" s="40"/>
      <c r="H7" s="40"/>
      <c r="I7" s="40"/>
      <c r="J7" s="40"/>
    </row>
    <row r="8" customFormat="false" ht="15" hidden="false" customHeight="true" outlineLevel="0" collapsed="false">
      <c r="B8" s="10" t="s">
        <v>237</v>
      </c>
      <c r="C8" s="34" t="n">
        <f aca="false">Assumptions!C15</f>
        <v>9600</v>
      </c>
      <c r="D8" s="12" t="n">
        <f aca="false">C8/C17</f>
        <v>0.150375939849624</v>
      </c>
      <c r="E8" s="40" t="s">
        <v>238</v>
      </c>
      <c r="F8" s="40"/>
      <c r="G8" s="40"/>
      <c r="H8" s="40"/>
      <c r="I8" s="40"/>
      <c r="J8" s="40"/>
    </row>
    <row r="9" customFormat="false" ht="15" hidden="false" customHeight="true" outlineLevel="0" collapsed="false">
      <c r="B9" s="10" t="s">
        <v>210</v>
      </c>
      <c r="C9" s="34" t="n">
        <f aca="false">Assumptions!C18</f>
        <v>2900</v>
      </c>
      <c r="D9" s="12" t="n">
        <f aca="false">C9/C17</f>
        <v>0.0454260651629073</v>
      </c>
      <c r="E9" s="40" t="s">
        <v>239</v>
      </c>
      <c r="F9" s="40"/>
      <c r="G9" s="40"/>
      <c r="H9" s="40"/>
      <c r="I9" s="40"/>
      <c r="J9" s="40"/>
    </row>
    <row r="10" customFormat="false" ht="15" hidden="false" customHeight="true" outlineLevel="0" collapsed="false">
      <c r="B10" s="10" t="s">
        <v>240</v>
      </c>
      <c r="C10" s="34" t="n">
        <f aca="false">Assumptions!C17</f>
        <v>2440</v>
      </c>
      <c r="D10" s="12" t="n">
        <f aca="false">C10/C17</f>
        <v>0.0382205513784461</v>
      </c>
      <c r="E10" s="40" t="s">
        <v>241</v>
      </c>
      <c r="F10" s="40"/>
      <c r="G10" s="40"/>
      <c r="H10" s="40"/>
      <c r="I10" s="40"/>
      <c r="J10" s="40"/>
    </row>
    <row r="11" customFormat="false" ht="15" hidden="false" customHeight="true" outlineLevel="0" collapsed="false">
      <c r="B11" s="10" t="s">
        <v>211</v>
      </c>
      <c r="C11" s="34" t="n">
        <f aca="false">Assumptions!C19</f>
        <v>2200</v>
      </c>
      <c r="D11" s="12" t="n">
        <f aca="false">C11/C17</f>
        <v>0.0344611528822055</v>
      </c>
      <c r="E11" s="40" t="s">
        <v>242</v>
      </c>
      <c r="F11" s="40"/>
      <c r="G11" s="40"/>
      <c r="H11" s="40"/>
      <c r="I11" s="40"/>
      <c r="J11" s="40"/>
    </row>
    <row r="12" customFormat="false" ht="15" hidden="false" customHeight="true" outlineLevel="0" collapsed="false">
      <c r="B12" s="10" t="s">
        <v>212</v>
      </c>
      <c r="C12" s="34" t="n">
        <f aca="false">Assumptions!C20</f>
        <v>2050</v>
      </c>
      <c r="D12" s="12" t="n">
        <f aca="false">C12/C17</f>
        <v>0.0321115288220551</v>
      </c>
      <c r="E12" s="40" t="s">
        <v>243</v>
      </c>
      <c r="F12" s="40"/>
      <c r="G12" s="40"/>
      <c r="H12" s="40"/>
      <c r="I12" s="40"/>
      <c r="J12" s="40"/>
    </row>
    <row r="13" customFormat="false" ht="15" hidden="false" customHeight="true" outlineLevel="0" collapsed="false">
      <c r="B13" s="10" t="s">
        <v>213</v>
      </c>
      <c r="C13" s="34" t="n">
        <f aca="false">Assumptions!C21</f>
        <v>1300</v>
      </c>
      <c r="D13" s="12" t="n">
        <f aca="false">C13/C17</f>
        <v>0.0203634085213033</v>
      </c>
      <c r="E13" s="40" t="s">
        <v>244</v>
      </c>
      <c r="F13" s="40"/>
      <c r="G13" s="40"/>
      <c r="H13" s="40"/>
      <c r="I13" s="40"/>
      <c r="J13" s="40"/>
    </row>
    <row r="14" customFormat="false" ht="15" hidden="false" customHeight="true" outlineLevel="0" collapsed="false">
      <c r="B14" s="10" t="s">
        <v>214</v>
      </c>
      <c r="C14" s="34" t="n">
        <f aca="false">Assumptions!C22</f>
        <v>700</v>
      </c>
      <c r="D14" s="12" t="n">
        <f aca="false">C14/C17</f>
        <v>0.0109649122807018</v>
      </c>
      <c r="E14" s="40" t="s">
        <v>245</v>
      </c>
      <c r="F14" s="40"/>
      <c r="G14" s="40"/>
      <c r="H14" s="40"/>
      <c r="I14" s="40"/>
      <c r="J14" s="40"/>
    </row>
    <row r="15" customFormat="false" ht="15" hidden="false" customHeight="true" outlineLevel="0" collapsed="false">
      <c r="B15" s="10" t="s">
        <v>246</v>
      </c>
      <c r="C15" s="34" t="n">
        <f aca="false">Assumptions!C23</f>
        <v>250</v>
      </c>
      <c r="D15" s="12" t="n">
        <f aca="false">C15/C17</f>
        <v>0.00391604010025063</v>
      </c>
      <c r="E15" s="40" t="s">
        <v>247</v>
      </c>
      <c r="F15" s="40"/>
      <c r="G15" s="40"/>
      <c r="H15" s="40"/>
      <c r="I15" s="40"/>
      <c r="J15" s="40"/>
    </row>
    <row r="16" customFormat="false" ht="11.9" hidden="false" customHeight="true" outlineLevel="0" collapsed="false">
      <c r="B16" s="10" t="s">
        <v>248</v>
      </c>
      <c r="C16" s="34" t="n">
        <f aca="false">Assumptions!C24</f>
        <v>200</v>
      </c>
      <c r="D16" s="12" t="n">
        <f aca="false">C16/C17</f>
        <v>0.0031328320802005</v>
      </c>
      <c r="E16" s="40" t="s">
        <v>249</v>
      </c>
      <c r="F16" s="40"/>
      <c r="G16" s="40"/>
      <c r="H16" s="40"/>
      <c r="I16" s="40"/>
      <c r="J16" s="40"/>
    </row>
    <row r="17" customFormat="false" ht="15" hidden="false" customHeight="false" outlineLevel="0" collapsed="false">
      <c r="B17" s="14" t="s">
        <v>250</v>
      </c>
      <c r="C17" s="37" t="n">
        <f aca="false">SUM(C6:C16)</f>
        <v>63840</v>
      </c>
    </row>
  </sheetData>
  <mergeCells count="13">
    <mergeCell ref="B2:J2"/>
    <mergeCell ref="B3:J3"/>
    <mergeCell ref="E6:J6"/>
    <mergeCell ref="E7:J7"/>
    <mergeCell ref="E8:J8"/>
    <mergeCell ref="E9:J9"/>
    <mergeCell ref="E10:J10"/>
    <mergeCell ref="E11:J11"/>
    <mergeCell ref="E12:J12"/>
    <mergeCell ref="E13:J13"/>
    <mergeCell ref="E14:J14"/>
    <mergeCell ref="E15:J15"/>
    <mergeCell ref="E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251</v>
      </c>
      <c r="C2" s="1"/>
      <c r="D2" s="1"/>
      <c r="E2" s="1"/>
      <c r="F2" s="1"/>
      <c r="G2" s="1"/>
      <c r="H2" s="1"/>
      <c r="I2" s="1"/>
      <c r="J2" s="1"/>
    </row>
    <row r="3" customFormat="false" ht="15" hidden="false" customHeight="true" outlineLevel="0" collapsed="false">
      <c r="B3" s="4" t="s">
        <v>252</v>
      </c>
      <c r="C3" s="4"/>
      <c r="D3" s="4"/>
      <c r="E3" s="4"/>
      <c r="F3" s="4"/>
      <c r="G3" s="4"/>
      <c r="H3" s="4"/>
      <c r="I3" s="4"/>
      <c r="J3" s="4"/>
    </row>
    <row r="6" customFormat="false" ht="15" hidden="false" customHeight="true" outlineLevel="0" collapsed="false">
      <c r="B6" s="5" t="s">
        <v>253</v>
      </c>
      <c r="C6" s="5"/>
      <c r="D6" s="5"/>
      <c r="E6" s="5"/>
      <c r="F6" s="5"/>
      <c r="G6" s="5"/>
      <c r="H6" s="5"/>
      <c r="I6" s="5"/>
      <c r="J6" s="5"/>
    </row>
    <row r="7" customFormat="false" ht="15" hidden="false" customHeight="false" outlineLevel="0" collapsed="false">
      <c r="B7" s="10" t="s">
        <v>254</v>
      </c>
      <c r="C7" s="41" t="n">
        <f aca="false">'Income Statement'!E18</f>
        <v>2588</v>
      </c>
    </row>
    <row r="8" customFormat="false" ht="15" hidden="false" customHeight="false" outlineLevel="0" collapsed="false">
      <c r="B8" s="10" t="s">
        <v>255</v>
      </c>
      <c r="C8" s="35" t="n">
        <f aca="false">Assumptions!C101</f>
        <v>9</v>
      </c>
    </row>
    <row r="9" customFormat="false" ht="15" hidden="false" customHeight="false" outlineLevel="0" collapsed="false">
      <c r="B9" s="8" t="s">
        <v>256</v>
      </c>
      <c r="C9" s="38" t="n">
        <f aca="false">C7*C8</f>
        <v>23292</v>
      </c>
    </row>
    <row r="10" customFormat="false" ht="15" hidden="false" customHeight="false" outlineLevel="0" collapsed="false">
      <c r="B10" s="8" t="s">
        <v>257</v>
      </c>
      <c r="C10" s="9" t="n">
        <f aca="false">C9/Assumptions!C7</f>
        <v>5.44040645200925</v>
      </c>
    </row>
    <row r="11" customFormat="false" ht="15" hidden="false" customHeight="false" outlineLevel="0" collapsed="false">
      <c r="B11" s="10" t="s">
        <v>258</v>
      </c>
      <c r="C11" s="41" t="n">
        <f aca="false">'Income Statement'!E9</f>
        <v>7800</v>
      </c>
    </row>
    <row r="12" customFormat="false" ht="15" hidden="false" customHeight="false" outlineLevel="0" collapsed="false">
      <c r="B12" s="10" t="s">
        <v>259</v>
      </c>
      <c r="C12" s="35" t="n">
        <f aca="false">Assumptions!C102</f>
        <v>6</v>
      </c>
    </row>
    <row r="13" customFormat="false" ht="15" hidden="false" customHeight="false" outlineLevel="0" collapsed="false">
      <c r="B13" s="10" t="s">
        <v>260</v>
      </c>
      <c r="C13" s="34" t="n">
        <f aca="false">C11*C12</f>
        <v>46800</v>
      </c>
    </row>
    <row r="14" customFormat="false" ht="15" hidden="false" customHeight="false" outlineLevel="0" collapsed="false">
      <c r="B14" s="10" t="s">
        <v>261</v>
      </c>
      <c r="C14" s="41" t="n">
        <f aca="false">-('Balance Sheet'!E7-'Balance Sheet'!E14)</f>
        <v>-12000</v>
      </c>
    </row>
    <row r="15" customFormat="false" ht="15" hidden="false" customHeight="false" outlineLevel="0" collapsed="false">
      <c r="B15" s="10" t="s">
        <v>262</v>
      </c>
      <c r="C15" s="34" t="n">
        <f aca="false">-C13*Assumptions!C94</f>
        <v>-5616</v>
      </c>
    </row>
    <row r="16" customFormat="false" ht="15" hidden="false" customHeight="false" outlineLevel="0" collapsed="false">
      <c r="B16" s="8" t="s">
        <v>263</v>
      </c>
      <c r="C16" s="9" t="n">
        <f aca="false">(C13+C14+C15)/Assumptions!C7</f>
        <v>6.81662467351185</v>
      </c>
    </row>
    <row r="17" customFormat="false" ht="15" hidden="false" customHeight="false" outlineLevel="0" collapsed="false">
      <c r="B17" s="21" t="s">
        <v>264</v>
      </c>
      <c r="C17" s="42" t="n">
        <f aca="false">AVERAGE(C10,C16)</f>
        <v>6.12851556276055</v>
      </c>
    </row>
    <row r="19" customFormat="false" ht="15" hidden="false" customHeight="true" outlineLevel="0" collapsed="false">
      <c r="B19" s="5" t="s">
        <v>265</v>
      </c>
      <c r="C19" s="5"/>
      <c r="D19" s="5"/>
      <c r="E19" s="5"/>
      <c r="F19" s="5"/>
      <c r="G19" s="5"/>
      <c r="H19" s="5"/>
      <c r="I19" s="5"/>
      <c r="J19" s="5"/>
    </row>
    <row r="20" customFormat="false" ht="15" hidden="false" customHeight="false" outlineLevel="0" collapsed="false">
      <c r="B20" s="10" t="s">
        <v>266</v>
      </c>
      <c r="C20" s="34" t="n">
        <f aca="false">Assumptions!C110</f>
        <v>3200</v>
      </c>
    </row>
    <row r="21" customFormat="false" ht="15" hidden="false" customHeight="false" outlineLevel="0" collapsed="false">
      <c r="B21" s="10" t="s">
        <v>267</v>
      </c>
      <c r="C21" s="35" t="n">
        <f aca="false">Assumptions!C111</f>
        <v>11</v>
      </c>
    </row>
    <row r="22" customFormat="false" ht="15" hidden="false" customHeight="false" outlineLevel="0" collapsed="false">
      <c r="B22" s="10" t="s">
        <v>268</v>
      </c>
      <c r="C22" s="34" t="n">
        <f aca="false">C20*C21</f>
        <v>35200</v>
      </c>
    </row>
    <row r="23" customFormat="false" ht="15" hidden="false" customHeight="false" outlineLevel="0" collapsed="false">
      <c r="B23" s="14" t="s">
        <v>269</v>
      </c>
      <c r="C23" s="15" t="n">
        <f aca="false">C22/Assumptions!C7</f>
        <v>8.22180607550771</v>
      </c>
    </row>
  </sheetData>
  <mergeCells count="4">
    <mergeCell ref="B2:J2"/>
    <mergeCell ref="B3:J3"/>
    <mergeCell ref="B6:J6"/>
    <mergeCell ref="B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270</v>
      </c>
      <c r="C2" s="1"/>
      <c r="D2" s="1"/>
      <c r="E2" s="1"/>
      <c r="F2" s="1"/>
      <c r="G2" s="1"/>
      <c r="H2" s="1"/>
      <c r="I2" s="1"/>
      <c r="J2" s="1"/>
    </row>
    <row r="3" customFormat="false" ht="15" hidden="false" customHeight="true" outlineLevel="0" collapsed="false">
      <c r="B3" s="4" t="s">
        <v>271</v>
      </c>
      <c r="C3" s="4"/>
      <c r="D3" s="4"/>
      <c r="E3" s="4"/>
      <c r="F3" s="4"/>
      <c r="G3" s="4"/>
      <c r="H3" s="4"/>
      <c r="I3" s="4"/>
      <c r="J3" s="4"/>
    </row>
    <row r="5" customFormat="false" ht="15" hidden="false" customHeight="false" outlineLevel="0" collapsed="false">
      <c r="B5" s="6" t="s">
        <v>44</v>
      </c>
      <c r="C5" s="7" t="s">
        <v>272</v>
      </c>
      <c r="D5" s="7" t="s">
        <v>150</v>
      </c>
      <c r="E5" s="7" t="s">
        <v>151</v>
      </c>
      <c r="F5" s="7" t="s">
        <v>152</v>
      </c>
      <c r="G5" s="7" t="s">
        <v>153</v>
      </c>
    </row>
    <row r="6" customFormat="false" ht="15" hidden="false" customHeight="false" outlineLevel="0" collapsed="false">
      <c r="B6" s="10" t="s">
        <v>273</v>
      </c>
      <c r="C6" s="41" t="n">
        <f aca="false">'Income Statement'!F6</f>
        <v>82977.7</v>
      </c>
      <c r="D6" s="41" t="n">
        <f aca="false">'Income Statement'!G6</f>
        <v>102892.348</v>
      </c>
      <c r="E6" s="41" t="n">
        <f aca="false">'Income Statement'!H6</f>
        <v>123470.8176</v>
      </c>
      <c r="F6" s="41" t="n">
        <f aca="false">'Income Statement'!I6</f>
        <v>144460.856592</v>
      </c>
      <c r="G6" s="41" t="n">
        <f aca="false">'Income Statement'!J6</f>
        <v>164685.37651488</v>
      </c>
    </row>
    <row r="7" customFormat="false" ht="15" hidden="false" customHeight="false" outlineLevel="0" collapsed="false">
      <c r="B7" s="10" t="s">
        <v>274</v>
      </c>
      <c r="C7" s="41" t="n">
        <f aca="false">'Income Statement'!F12</f>
        <v>8795.6362</v>
      </c>
      <c r="D7" s="41" t="n">
        <f aca="false">'Income Statement'!G12</f>
        <v>11318.15828</v>
      </c>
      <c r="E7" s="41" t="n">
        <f aca="false">'Income Statement'!H12</f>
        <v>13828.7315712</v>
      </c>
      <c r="F7" s="41" t="n">
        <f aca="false">'Income Statement'!I12</f>
        <v>16468.537651488</v>
      </c>
      <c r="G7" s="41" t="n">
        <f aca="false">'Income Statement'!J12</f>
        <v>18938.8182992112</v>
      </c>
    </row>
    <row r="8" customFormat="false" ht="15" hidden="false" customHeight="false" outlineLevel="0" collapsed="false">
      <c r="B8" s="8" t="s">
        <v>275</v>
      </c>
      <c r="C8" s="38" t="n">
        <f aca="false">C7*(1-Assumptions!C79)</f>
        <v>6596.72715</v>
      </c>
      <c r="D8" s="38" t="n">
        <f aca="false">D7*(1-Assumptions!C79)</f>
        <v>8488.61871</v>
      </c>
      <c r="E8" s="38" t="n">
        <f aca="false">E7*(1-Assumptions!C79)</f>
        <v>10371.5486784</v>
      </c>
      <c r="F8" s="38" t="n">
        <f aca="false">F7*(1-Assumptions!C79)</f>
        <v>12351.403238616</v>
      </c>
      <c r="G8" s="38" t="n">
        <f aca="false">G7*(1-Assumptions!C79)</f>
        <v>14204.1137244084</v>
      </c>
    </row>
    <row r="9" customFormat="false" ht="15" hidden="false" customHeight="false" outlineLevel="0" collapsed="false">
      <c r="B9" s="10" t="s">
        <v>276</v>
      </c>
      <c r="C9" s="41" t="n">
        <f aca="false">-'Income Statement'!F11</f>
        <v>1659.554</v>
      </c>
      <c r="D9" s="41" t="n">
        <f aca="false">-'Income Statement'!G11</f>
        <v>2057.84696</v>
      </c>
      <c r="E9" s="41" t="n">
        <f aca="false">-'Income Statement'!H11</f>
        <v>2469.416352</v>
      </c>
      <c r="F9" s="41" t="n">
        <f aca="false">-'Income Statement'!I11</f>
        <v>2889.21713184</v>
      </c>
      <c r="G9" s="41" t="n">
        <f aca="false">-'Income Statement'!J11</f>
        <v>3293.7075302976</v>
      </c>
    </row>
    <row r="10" customFormat="false" ht="15" hidden="false" customHeight="false" outlineLevel="0" collapsed="false">
      <c r="B10" s="10" t="s">
        <v>277</v>
      </c>
      <c r="C10" s="34" t="n">
        <f aca="false">-'Income Statement'!F6*Assumptions!C92</f>
        <v>-1991.4648</v>
      </c>
      <c r="D10" s="34" t="n">
        <f aca="false">-'Income Statement'!G6*Assumptions!C92</f>
        <v>-2469.416352</v>
      </c>
      <c r="E10" s="34" t="n">
        <f aca="false">-'Income Statement'!H6*Assumptions!C92</f>
        <v>-2963.2996224</v>
      </c>
      <c r="F10" s="34" t="n">
        <f aca="false">-'Income Statement'!I6*Assumptions!C92</f>
        <v>-3467.060558208</v>
      </c>
      <c r="G10" s="34" t="n">
        <f aca="false">-'Income Statement'!J6*Assumptions!C92</f>
        <v>-3952.44903635712</v>
      </c>
    </row>
    <row r="11" customFormat="false" ht="15" hidden="false" customHeight="false" outlineLevel="0" collapsed="false">
      <c r="B11" s="10" t="s">
        <v>278</v>
      </c>
      <c r="C11" s="34" t="n">
        <f aca="false">-('Income Statement'!F6-'Income Statement'!E6)*Assumptions!C93</f>
        <v>-4212.714</v>
      </c>
      <c r="D11" s="34" t="n">
        <f aca="false">-('Income Statement'!G6-'Income Statement'!F6)*Assumptions!C93</f>
        <v>-4381.22256</v>
      </c>
      <c r="E11" s="34" t="n">
        <f aca="false">-('Income Statement'!H6-'Income Statement'!G6)*Assumptions!C93</f>
        <v>-4527.263312</v>
      </c>
      <c r="F11" s="34" t="n">
        <f aca="false">-('Income Statement'!I6-'Income Statement'!H6)*Assumptions!C93</f>
        <v>-4617.80857824</v>
      </c>
      <c r="G11" s="34" t="n">
        <f aca="false">-('Income Statement'!J6-'Income Statement'!I6)*Assumptions!C93</f>
        <v>-4449.3943830336</v>
      </c>
    </row>
    <row r="12" customFormat="false" ht="15" hidden="false" customHeight="false" outlineLevel="0" collapsed="false">
      <c r="B12" s="14" t="s">
        <v>279</v>
      </c>
      <c r="C12" s="37" t="n">
        <f aca="false">C8+C9+C10+C11</f>
        <v>2052.10235</v>
      </c>
      <c r="D12" s="37" t="n">
        <f aca="false">D8+D9+D10+D11</f>
        <v>3695.826758</v>
      </c>
      <c r="E12" s="37" t="n">
        <f aca="false">E8+E9+E10+E11</f>
        <v>5350.402096</v>
      </c>
      <c r="F12" s="37" t="n">
        <f aca="false">F8+F9+F10+F11</f>
        <v>7155.751234008</v>
      </c>
      <c r="G12" s="37" t="n">
        <f aca="false">G8+G9+G10+G11</f>
        <v>9095.97783531528</v>
      </c>
    </row>
    <row r="13" customFormat="false" ht="15" hidden="false" customHeight="false" outlineLevel="0" collapsed="false">
      <c r="B13" s="10" t="s">
        <v>280</v>
      </c>
      <c r="C13" s="43" t="n">
        <v>1</v>
      </c>
      <c r="D13" s="43" t="n">
        <v>2</v>
      </c>
      <c r="E13" s="43" t="n">
        <v>3</v>
      </c>
      <c r="F13" s="43" t="n">
        <v>4</v>
      </c>
      <c r="G13" s="43" t="n">
        <v>5</v>
      </c>
    </row>
    <row r="14" customFormat="false" ht="15" hidden="false" customHeight="false" outlineLevel="0" collapsed="false">
      <c r="B14" s="10" t="s">
        <v>281</v>
      </c>
      <c r="C14" s="44" t="n">
        <f aca="false">1/(1+Assumptions!C77)^C13</f>
        <v>0.809716599190284</v>
      </c>
      <c r="D14" s="44" t="n">
        <f aca="false">1/(1+Assumptions!C77)^D13</f>
        <v>0.655640971004278</v>
      </c>
      <c r="E14" s="44" t="n">
        <f aca="false">1/(1+Assumptions!C77)^E13</f>
        <v>0.530883377331399</v>
      </c>
      <c r="F14" s="44" t="n">
        <f aca="false">1/(1+Assumptions!C77)^F13</f>
        <v>0.429865082859433</v>
      </c>
      <c r="G14" s="44" t="n">
        <f aca="false">1/(1+Assumptions!C77)^G13</f>
        <v>0.348068893003589</v>
      </c>
    </row>
    <row r="15" customFormat="false" ht="15" hidden="false" customHeight="false" outlineLevel="0" collapsed="false">
      <c r="B15" s="8" t="s">
        <v>282</v>
      </c>
      <c r="C15" s="38" t="n">
        <f aca="false">C12*C14</f>
        <v>1661.62133603239</v>
      </c>
      <c r="D15" s="38" t="n">
        <f aca="false">D12*D14</f>
        <v>2423.13544427871</v>
      </c>
      <c r="E15" s="38" t="n">
        <f aca="false">E12*E14</f>
        <v>2840.43953480548</v>
      </c>
      <c r="F15" s="38" t="n">
        <f aca="false">F12*F14</f>
        <v>3076.00759712834</v>
      </c>
      <c r="G15" s="38" t="n">
        <f aca="false">G12*G14</f>
        <v>3166.02693592337</v>
      </c>
    </row>
    <row r="17" customFormat="false" ht="15" hidden="false" customHeight="false" outlineLevel="0" collapsed="false">
      <c r="B17" s="8" t="s">
        <v>283</v>
      </c>
      <c r="C17" s="38" t="n">
        <f aca="false">SUM(C15:G15)</f>
        <v>13167.2308481683</v>
      </c>
    </row>
    <row r="18" customFormat="false" ht="15" hidden="false" customHeight="false" outlineLevel="0" collapsed="false">
      <c r="B18" s="10" t="s">
        <v>284</v>
      </c>
      <c r="C18" s="34" t="n">
        <f aca="false">G12*(1+Assumptions!C78)/(Assumptions!C77-Assumptions!C78)</f>
        <v>63378.4262073581</v>
      </c>
    </row>
    <row r="19" customFormat="false" ht="15" hidden="false" customHeight="false" outlineLevel="0" collapsed="false">
      <c r="B19" s="10" t="s">
        <v>285</v>
      </c>
      <c r="C19" s="34" t="n">
        <f aca="false">C18*G14</f>
        <v>22060.0586503048</v>
      </c>
    </row>
    <row r="20" customFormat="false" ht="15" hidden="false" customHeight="false" outlineLevel="0" collapsed="false">
      <c r="B20" s="14" t="s">
        <v>286</v>
      </c>
      <c r="C20" s="37" t="n">
        <f aca="false">C17+C19</f>
        <v>35227.2894984731</v>
      </c>
    </row>
    <row r="21" customFormat="false" ht="15" hidden="false" customHeight="false" outlineLevel="0" collapsed="false">
      <c r="B21" s="10" t="s">
        <v>287</v>
      </c>
      <c r="C21" s="41" t="n">
        <f aca="false">-('Balance Sheet'!E7-'Balance Sheet'!E14)</f>
        <v>-12000</v>
      </c>
    </row>
    <row r="22" customFormat="false" ht="15" hidden="false" customHeight="false" outlineLevel="0" collapsed="false">
      <c r="B22" s="8" t="s">
        <v>288</v>
      </c>
      <c r="C22" s="38" t="n">
        <f aca="false">C20+C21</f>
        <v>23227.2894984731</v>
      </c>
    </row>
    <row r="23" customFormat="false" ht="15" hidden="false" customHeight="false" outlineLevel="0" collapsed="false">
      <c r="B23" s="10" t="s">
        <v>289</v>
      </c>
      <c r="C23" s="34" t="n">
        <f aca="false">C22*(1-Assumptions!C94)</f>
        <v>20440.0147586563</v>
      </c>
    </row>
    <row r="24" customFormat="false" ht="15" hidden="false" customHeight="false" outlineLevel="0" collapsed="false">
      <c r="B24" s="21" t="s">
        <v>290</v>
      </c>
      <c r="C24" s="42" t="n">
        <f aca="false">C23/Assumptions!C7</f>
        <v>4.77425674790306</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0" min="3" style="0" width="13"/>
  </cols>
  <sheetData>
    <row r="2" customFormat="false" ht="25.5" hidden="false" customHeight="true" outlineLevel="0" collapsed="false">
      <c r="B2" s="1" t="s">
        <v>291</v>
      </c>
      <c r="C2" s="1"/>
      <c r="D2" s="1"/>
      <c r="E2" s="1"/>
      <c r="F2" s="1"/>
      <c r="G2" s="1"/>
      <c r="H2" s="1"/>
      <c r="I2" s="1"/>
      <c r="J2" s="1"/>
    </row>
    <row r="3" customFormat="false" ht="15" hidden="false" customHeight="true" outlineLevel="0" collapsed="false">
      <c r="B3" s="4" t="s">
        <v>292</v>
      </c>
      <c r="C3" s="4"/>
      <c r="D3" s="4"/>
      <c r="E3" s="4"/>
      <c r="F3" s="4"/>
      <c r="G3" s="4"/>
      <c r="H3" s="4"/>
      <c r="I3" s="4"/>
      <c r="J3" s="4"/>
    </row>
    <row r="5" customFormat="false" ht="15" hidden="false" customHeight="false" outlineLevel="0" collapsed="false">
      <c r="B5" s="33" t="s">
        <v>44</v>
      </c>
      <c r="C5" s="45" t="s">
        <v>293</v>
      </c>
      <c r="D5" s="45" t="s">
        <v>294</v>
      </c>
      <c r="E5" s="45" t="s">
        <v>295</v>
      </c>
      <c r="F5" s="45" t="s">
        <v>272</v>
      </c>
      <c r="G5" s="45" t="s">
        <v>150</v>
      </c>
      <c r="H5" s="45" t="s">
        <v>151</v>
      </c>
      <c r="I5" s="45" t="s">
        <v>152</v>
      </c>
      <c r="J5" s="45" t="s">
        <v>153</v>
      </c>
    </row>
    <row r="6" customFormat="false" ht="15" hidden="false" customHeight="false" outlineLevel="0" collapsed="false">
      <c r="B6" s="8" t="s">
        <v>273</v>
      </c>
      <c r="C6" s="46" t="n">
        <v>31300</v>
      </c>
      <c r="D6" s="46" t="n">
        <v>45119</v>
      </c>
      <c r="E6" s="46" t="n">
        <v>63829</v>
      </c>
      <c r="F6" s="38" t="n">
        <f aca="false">E6*(1+Assumptions!C80)</f>
        <v>82977.7</v>
      </c>
      <c r="G6" s="38" t="n">
        <f aca="false">F6*(1+Assumptions!C81)</f>
        <v>102892.348</v>
      </c>
      <c r="H6" s="38" t="n">
        <f aca="false">G6*(1+Assumptions!C82)</f>
        <v>123470.8176</v>
      </c>
      <c r="I6" s="38" t="n">
        <f aca="false">H6*(1+Assumptions!C83)</f>
        <v>144460.856592</v>
      </c>
      <c r="J6" s="38" t="n">
        <f aca="false">I6*(1+Assumptions!C84)</f>
        <v>164685.37651488</v>
      </c>
    </row>
    <row r="7" customFormat="false" ht="15" hidden="false" customHeight="false" outlineLevel="0" collapsed="false">
      <c r="B7" s="10" t="s">
        <v>296</v>
      </c>
      <c r="C7" s="36" t="n">
        <v>6260</v>
      </c>
      <c r="D7" s="36" t="n">
        <v>9430</v>
      </c>
      <c r="E7" s="36" t="n">
        <v>13700</v>
      </c>
      <c r="F7" s="34" t="n">
        <f aca="false">F6*Assumptions!C85</f>
        <v>18255.094</v>
      </c>
      <c r="G7" s="34" t="n">
        <f aca="false">G6*Assumptions!C85</f>
        <v>22636.31656</v>
      </c>
      <c r="H7" s="34" t="n">
        <f aca="false">H6*Assumptions!C85</f>
        <v>27163.579872</v>
      </c>
      <c r="I7" s="34" t="n">
        <f aca="false">I6*Assumptions!C85</f>
        <v>31781.38845024</v>
      </c>
      <c r="J7" s="34" t="n">
        <f aca="false">J6*Assumptions!C85</f>
        <v>36230.7828332736</v>
      </c>
    </row>
    <row r="8" customFormat="false" ht="15" hidden="false" customHeight="false" outlineLevel="0" collapsed="false">
      <c r="B8" s="10" t="s">
        <v>297</v>
      </c>
      <c r="C8" s="20" t="n">
        <f aca="false">C7/C6</f>
        <v>0.2</v>
      </c>
      <c r="D8" s="20" t="n">
        <f aca="false">D7/D6</f>
        <v>0.20900285910592</v>
      </c>
      <c r="E8" s="20" t="n">
        <f aca="false">E7/E6</f>
        <v>0.214635980510426</v>
      </c>
      <c r="F8" s="20" t="n">
        <f aca="false">F7/F6</f>
        <v>0.22</v>
      </c>
      <c r="G8" s="20" t="n">
        <f aca="false">G7/G6</f>
        <v>0.22</v>
      </c>
      <c r="H8" s="20" t="n">
        <f aca="false">H7/H6</f>
        <v>0.22</v>
      </c>
      <c r="I8" s="20" t="n">
        <f aca="false">I7/I6</f>
        <v>0.22</v>
      </c>
      <c r="J8" s="20" t="n">
        <f aca="false">J7/J6</f>
        <v>0.22</v>
      </c>
    </row>
    <row r="9" customFormat="false" ht="15" hidden="false" customHeight="false" outlineLevel="0" collapsed="false">
      <c r="B9" s="8" t="s">
        <v>298</v>
      </c>
      <c r="C9" s="46" t="n">
        <v>2974</v>
      </c>
      <c r="D9" s="46" t="n">
        <v>4875</v>
      </c>
      <c r="E9" s="46" t="n">
        <v>7800</v>
      </c>
      <c r="F9" s="38" t="n">
        <f aca="false">F6*Assumptions!C86</f>
        <v>10455.1902</v>
      </c>
      <c r="G9" s="38" t="n">
        <f aca="false">G6*Assumptions!C87</f>
        <v>13376.00524</v>
      </c>
      <c r="H9" s="38" t="n">
        <f aca="false">H6*Assumptions!C88</f>
        <v>16298.1479232</v>
      </c>
      <c r="I9" s="38" t="n">
        <f aca="false">I6*Assumptions!C89</f>
        <v>19357.754783328</v>
      </c>
      <c r="J9" s="38" t="n">
        <f aca="false">J6*Assumptions!C90</f>
        <v>22232.5258295088</v>
      </c>
    </row>
    <row r="10" customFormat="false" ht="15" hidden="false" customHeight="false" outlineLevel="0" collapsed="false">
      <c r="B10" s="10" t="s">
        <v>299</v>
      </c>
      <c r="C10" s="20" t="n">
        <f aca="false">C9/C6</f>
        <v>0.0950159744408946</v>
      </c>
      <c r="D10" s="20" t="n">
        <f aca="false">D9/D6</f>
        <v>0.108047607438108</v>
      </c>
      <c r="E10" s="20" t="n">
        <f aca="false">E9/E6</f>
        <v>0.122201507151922</v>
      </c>
      <c r="F10" s="20" t="n">
        <f aca="false">F9/F6</f>
        <v>0.126</v>
      </c>
      <c r="G10" s="20" t="n">
        <f aca="false">G9/G6</f>
        <v>0.13</v>
      </c>
      <c r="H10" s="20" t="n">
        <f aca="false">H9/H6</f>
        <v>0.132</v>
      </c>
      <c r="I10" s="20" t="n">
        <f aca="false">I9/I6</f>
        <v>0.134</v>
      </c>
      <c r="J10" s="20" t="n">
        <f aca="false">J9/J6</f>
        <v>0.135</v>
      </c>
    </row>
    <row r="11" customFormat="false" ht="15" hidden="false" customHeight="false" outlineLevel="0" collapsed="false">
      <c r="B11" s="10" t="s">
        <v>300</v>
      </c>
      <c r="C11" s="36" t="n">
        <v>-400</v>
      </c>
      <c r="D11" s="36" t="n">
        <v>-620</v>
      </c>
      <c r="E11" s="36" t="n">
        <v>-1250</v>
      </c>
      <c r="F11" s="34" t="n">
        <f aca="false">-F6*Assumptions!C91</f>
        <v>-1659.554</v>
      </c>
      <c r="G11" s="34" t="n">
        <f aca="false">-G6*Assumptions!C91</f>
        <v>-2057.84696</v>
      </c>
      <c r="H11" s="34" t="n">
        <f aca="false">-H6*Assumptions!C91</f>
        <v>-2469.416352</v>
      </c>
      <c r="I11" s="34" t="n">
        <f aca="false">-I6*Assumptions!C91</f>
        <v>-2889.21713184</v>
      </c>
      <c r="J11" s="34" t="n">
        <f aca="false">-J6*Assumptions!C91</f>
        <v>-3293.7075302976</v>
      </c>
    </row>
    <row r="12" customFormat="false" ht="15" hidden="false" customHeight="false" outlineLevel="0" collapsed="false">
      <c r="B12" s="8" t="s">
        <v>274</v>
      </c>
      <c r="C12" s="38" t="n">
        <f aca="false">C9+C11</f>
        <v>2574</v>
      </c>
      <c r="D12" s="38" t="n">
        <f aca="false">D9+D11</f>
        <v>4255</v>
      </c>
      <c r="E12" s="38" t="n">
        <f aca="false">E9+E11</f>
        <v>6550</v>
      </c>
      <c r="F12" s="38" t="n">
        <f aca="false">F9+F11</f>
        <v>8795.6362</v>
      </c>
      <c r="G12" s="38" t="n">
        <f aca="false">G9+G11</f>
        <v>11318.15828</v>
      </c>
      <c r="H12" s="38" t="n">
        <f aca="false">H9+H11</f>
        <v>13828.7315712</v>
      </c>
      <c r="I12" s="38" t="n">
        <f aca="false">I9+I11</f>
        <v>16468.537651488</v>
      </c>
      <c r="J12" s="38" t="n">
        <f aca="false">J9+J11</f>
        <v>18938.8182992112</v>
      </c>
    </row>
    <row r="13" customFormat="false" ht="15" hidden="false" customHeight="false" outlineLevel="0" collapsed="false">
      <c r="B13" s="10" t="s">
        <v>301</v>
      </c>
      <c r="C13" s="36" t="n">
        <v>-1822</v>
      </c>
      <c r="D13" s="36" t="n">
        <v>-1735</v>
      </c>
      <c r="E13" s="36" t="n">
        <v>-2643</v>
      </c>
      <c r="F13" s="34" t="n">
        <f aca="false">-F6*Assumptions!C105</f>
        <v>-2738.2641</v>
      </c>
      <c r="G13" s="34" t="n">
        <f aca="false">-G6*Assumptions!C105</f>
        <v>-3395.447484</v>
      </c>
      <c r="H13" s="34" t="n">
        <f aca="false">-H6*Assumptions!C105</f>
        <v>-4074.5369808</v>
      </c>
      <c r="I13" s="34" t="n">
        <f aca="false">-I6*Assumptions!C105</f>
        <v>-4767.208267536</v>
      </c>
      <c r="J13" s="34" t="n">
        <f aca="false">-J6*Assumptions!C105</f>
        <v>-5434.61742499104</v>
      </c>
    </row>
    <row r="14" customFormat="false" ht="15" hidden="false" customHeight="false" outlineLevel="0" collapsed="false">
      <c r="B14" s="8" t="s">
        <v>302</v>
      </c>
      <c r="C14" s="38" t="n">
        <f aca="false">C12+C13</f>
        <v>752</v>
      </c>
      <c r="D14" s="38" t="n">
        <f aca="false">D12+D13</f>
        <v>2520</v>
      </c>
      <c r="E14" s="38" t="n">
        <f aca="false">E12+E13</f>
        <v>3907</v>
      </c>
      <c r="F14" s="38" t="n">
        <f aca="false">F12+F13</f>
        <v>6057.3721</v>
      </c>
      <c r="G14" s="38" t="n">
        <f aca="false">G12+G13</f>
        <v>7922.710796</v>
      </c>
      <c r="H14" s="38" t="n">
        <f aca="false">H12+H13</f>
        <v>9754.1945904</v>
      </c>
      <c r="I14" s="38" t="n">
        <f aca="false">I12+I13</f>
        <v>11701.329383952</v>
      </c>
      <c r="J14" s="38" t="n">
        <f aca="false">J12+J13</f>
        <v>13504.2008742202</v>
      </c>
    </row>
    <row r="15" customFormat="false" ht="15" hidden="false" customHeight="false" outlineLevel="0" collapsed="false">
      <c r="B15" s="10" t="s">
        <v>303</v>
      </c>
      <c r="C15" s="36" t="n">
        <v>-188</v>
      </c>
      <c r="D15" s="36" t="n">
        <v>-630</v>
      </c>
      <c r="E15" s="36" t="n">
        <v>-977</v>
      </c>
      <c r="F15" s="34" t="n">
        <f aca="false">-F14*Assumptions!C79</f>
        <v>-1514.343025</v>
      </c>
      <c r="G15" s="34" t="n">
        <f aca="false">-G14*Assumptions!C79</f>
        <v>-1980.677699</v>
      </c>
      <c r="H15" s="34" t="n">
        <f aca="false">-H14*Assumptions!C79</f>
        <v>-2438.5486476</v>
      </c>
      <c r="I15" s="34" t="n">
        <f aca="false">-I14*Assumptions!C79</f>
        <v>-2925.332345988</v>
      </c>
      <c r="J15" s="34" t="n">
        <f aca="false">-J14*Assumptions!C79</f>
        <v>-3376.05021855504</v>
      </c>
    </row>
    <row r="16" customFormat="false" ht="15" hidden="false" customHeight="false" outlineLevel="0" collapsed="false">
      <c r="B16" s="14" t="s">
        <v>304</v>
      </c>
      <c r="C16" s="37" t="n">
        <f aca="false">C14+C15</f>
        <v>564</v>
      </c>
      <c r="D16" s="37" t="n">
        <f aca="false">D14+D15</f>
        <v>1890</v>
      </c>
      <c r="E16" s="37" t="n">
        <f aca="false">E14+E15</f>
        <v>2930</v>
      </c>
      <c r="F16" s="37" t="n">
        <f aca="false">F14+F15</f>
        <v>4543.029075</v>
      </c>
      <c r="G16" s="37" t="n">
        <f aca="false">G14+G15</f>
        <v>5942.033097</v>
      </c>
      <c r="H16" s="37" t="n">
        <f aca="false">H14+H15</f>
        <v>7315.6459428</v>
      </c>
      <c r="I16" s="37" t="n">
        <f aca="false">I14+I15</f>
        <v>8775.997037964</v>
      </c>
      <c r="J16" s="37" t="n">
        <f aca="false">J14+J15</f>
        <v>10128.1506556651</v>
      </c>
    </row>
    <row r="17" customFormat="false" ht="15" hidden="false" customHeight="false" outlineLevel="0" collapsed="false">
      <c r="B17" s="10" t="s">
        <v>305</v>
      </c>
      <c r="C17" s="36" t="n">
        <v>-74</v>
      </c>
      <c r="D17" s="36" t="n">
        <v>-202</v>
      </c>
      <c r="E17" s="36" t="n">
        <v>-342</v>
      </c>
      <c r="F17" s="34" t="n">
        <f aca="false">-F16*Assumptions!C94</f>
        <v>-545.163489</v>
      </c>
      <c r="G17" s="34" t="n">
        <f aca="false">-G16*Assumptions!C94</f>
        <v>-713.04397164</v>
      </c>
      <c r="H17" s="34" t="n">
        <f aca="false">-H16*Assumptions!C94</f>
        <v>-877.877513136</v>
      </c>
      <c r="I17" s="34" t="n">
        <f aca="false">-I16*Assumptions!C94</f>
        <v>-1053.11964455568</v>
      </c>
      <c r="J17" s="34" t="n">
        <f aca="false">-J16*Assumptions!C94</f>
        <v>-1215.37807867981</v>
      </c>
    </row>
    <row r="18" customFormat="false" ht="15" hidden="false" customHeight="false" outlineLevel="0" collapsed="false">
      <c r="B18" s="47" t="s">
        <v>306</v>
      </c>
      <c r="C18" s="39" t="n">
        <f aca="false">C16+C17</f>
        <v>490</v>
      </c>
      <c r="D18" s="39" t="n">
        <f aca="false">D16+D17</f>
        <v>1688</v>
      </c>
      <c r="E18" s="39" t="n">
        <f aca="false">E16+E17</f>
        <v>2588</v>
      </c>
      <c r="F18" s="39" t="n">
        <f aca="false">F16+F17</f>
        <v>3997.865586</v>
      </c>
      <c r="G18" s="39" t="n">
        <f aca="false">G16+G17</f>
        <v>5228.98912536</v>
      </c>
      <c r="H18" s="39" t="n">
        <f aca="false">H16+H17</f>
        <v>6437.768429664</v>
      </c>
      <c r="I18" s="39" t="n">
        <f aca="false">I16+I17</f>
        <v>7722.87739340832</v>
      </c>
      <c r="J18" s="39" t="n">
        <f aca="false">J16+J17</f>
        <v>8912.77257698531</v>
      </c>
    </row>
    <row r="19" customFormat="false" ht="15" hidden="false" customHeight="false" outlineLevel="0" collapsed="false">
      <c r="B19" s="10" t="s">
        <v>307</v>
      </c>
      <c r="C19" s="13" t="n">
        <f aca="false">C18/Assumptions!C7</f>
        <v>0.114451277755647</v>
      </c>
      <c r="D19" s="13" t="n">
        <f aca="false">D18/Assumptions!C7</f>
        <v>0.394272973166392</v>
      </c>
      <c r="E19" s="13" t="n">
        <f aca="false">E18/Assumptions!C7</f>
        <v>0.604489605778806</v>
      </c>
      <c r="F19" s="13" t="n">
        <f aca="false">F18/Assumptions!C7</f>
        <v>0.933797601251079</v>
      </c>
      <c r="G19" s="13" t="n">
        <f aca="false">G18/Assumptions!C7</f>
        <v>1.22135609544456</v>
      </c>
      <c r="H19" s="13" t="n">
        <f aca="false">H18/Assumptions!C7</f>
        <v>1.50369555646941</v>
      </c>
      <c r="I19" s="13" t="n">
        <f aca="false">I18/Assumptions!C7</f>
        <v>1.80386364413425</v>
      </c>
      <c r="J19" s="13" t="n">
        <f aca="false">J18/Assumptions!C7</f>
        <v>2.08179226486012</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0" min="3" style="0" width="13"/>
  </cols>
  <sheetData>
    <row r="2" customFormat="false" ht="25.5" hidden="false" customHeight="true" outlineLevel="0" collapsed="false">
      <c r="B2" s="1" t="s">
        <v>308</v>
      </c>
      <c r="C2" s="1"/>
      <c r="D2" s="1"/>
      <c r="E2" s="1"/>
      <c r="F2" s="1"/>
      <c r="G2" s="1"/>
      <c r="H2" s="1"/>
      <c r="I2" s="1"/>
      <c r="J2" s="1"/>
    </row>
    <row r="3" customFormat="false" ht="15" hidden="false" customHeight="true" outlineLevel="0" collapsed="false">
      <c r="B3" s="4" t="s">
        <v>309</v>
      </c>
      <c r="C3" s="4"/>
      <c r="D3" s="4"/>
      <c r="E3" s="4"/>
      <c r="F3" s="4"/>
      <c r="G3" s="4"/>
      <c r="H3" s="4"/>
      <c r="I3" s="4"/>
      <c r="J3" s="4"/>
    </row>
    <row r="5" customFormat="false" ht="15" hidden="false" customHeight="false" outlineLevel="0" collapsed="false">
      <c r="B5" s="33" t="s">
        <v>44</v>
      </c>
      <c r="C5" s="45" t="s">
        <v>293</v>
      </c>
      <c r="D5" s="45" t="s">
        <v>294</v>
      </c>
      <c r="E5" s="45" t="s">
        <v>295</v>
      </c>
      <c r="F5" s="45" t="s">
        <v>272</v>
      </c>
      <c r="G5" s="45" t="s">
        <v>150</v>
      </c>
      <c r="H5" s="45" t="s">
        <v>151</v>
      </c>
      <c r="I5" s="45" t="s">
        <v>152</v>
      </c>
      <c r="J5" s="45" t="s">
        <v>153</v>
      </c>
    </row>
    <row r="6" customFormat="false" ht="15" hidden="false" customHeight="false" outlineLevel="0" collapsed="false">
      <c r="B6" s="8" t="s">
        <v>310</v>
      </c>
      <c r="C6" s="46" t="n">
        <v>3500</v>
      </c>
      <c r="D6" s="46" t="n">
        <v>4752</v>
      </c>
      <c r="E6" s="46" t="n">
        <v>7500</v>
      </c>
      <c r="F6" s="38" t="n">
        <f aca="false">E6+'Income Statement'!F16-Assumptions!C106*'Income Statement'!F18</f>
        <v>11763.17848398</v>
      </c>
      <c r="G6" s="38" t="n">
        <f aca="false">F6+'Income Statement'!G16-Assumptions!C106*'Income Statement'!G18</f>
        <v>17339.1823422048</v>
      </c>
      <c r="H6" s="38" t="n">
        <f aca="false">G6+'Income Statement'!H16-Assumptions!C106*'Income Statement'!H18</f>
        <v>24204.1844949283</v>
      </c>
      <c r="I6" s="38" t="n">
        <f aca="false">H6+'Income Statement'!I16-Assumptions!C106*'Income Statement'!I18</f>
        <v>32439.5801153537</v>
      </c>
      <c r="J6" s="38" t="n">
        <f aca="false">I6+'Income Statement'!J16-Assumptions!C106*'Income Statement'!J18</f>
        <v>41943.8366906299</v>
      </c>
    </row>
    <row r="7" customFormat="false" ht="15" hidden="false" customHeight="false" outlineLevel="0" collapsed="false">
      <c r="B7" s="10" t="s">
        <v>311</v>
      </c>
      <c r="C7" s="36" t="n">
        <v>10000</v>
      </c>
      <c r="D7" s="36" t="n">
        <v>13362</v>
      </c>
      <c r="E7" s="36" t="n">
        <v>15000</v>
      </c>
      <c r="F7" s="34" t="n">
        <f aca="false">E7*(1+Assumptions!C107*Assumptions!C80)</f>
        <v>17700</v>
      </c>
      <c r="G7" s="34" t="n">
        <f aca="false">F7*(1+Assumptions!C107*Assumptions!C81)</f>
        <v>20248.8</v>
      </c>
      <c r="H7" s="34" t="n">
        <f aca="false">G7*(1+Assumptions!C107*Assumptions!C82)</f>
        <v>22678.656</v>
      </c>
      <c r="I7" s="34" t="n">
        <f aca="false">H7*(1+Assumptions!C107*Assumptions!C83)</f>
        <v>24991.878912</v>
      </c>
      <c r="J7" s="34" t="n">
        <f aca="false">I7*(1+Assumptions!C107*Assumptions!C84)</f>
        <v>27091.196740608</v>
      </c>
    </row>
    <row r="8" customFormat="false" ht="15" hidden="false" customHeight="false" outlineLevel="0" collapsed="false">
      <c r="B8" s="10" t="s">
        <v>312</v>
      </c>
      <c r="C8" s="36" t="n">
        <v>14500</v>
      </c>
      <c r="D8" s="36" t="n">
        <v>20998</v>
      </c>
      <c r="E8" s="36" t="n">
        <v>28180</v>
      </c>
      <c r="F8" s="34" t="n">
        <f aca="false">'Income Statement'!F6*Assumptions!C108</f>
        <v>36510.188</v>
      </c>
      <c r="G8" s="34" t="n">
        <f aca="false">'Income Statement'!G6*Assumptions!C108</f>
        <v>45272.63312</v>
      </c>
      <c r="H8" s="34" t="n">
        <f aca="false">'Income Statement'!H6*Assumptions!C108</f>
        <v>54327.159744</v>
      </c>
      <c r="I8" s="34" t="n">
        <f aca="false">'Income Statement'!I6*Assumptions!C108</f>
        <v>63562.77690048</v>
      </c>
      <c r="J8" s="34" t="n">
        <f aca="false">'Income Statement'!J6*Assumptions!C108</f>
        <v>72461.5656665472</v>
      </c>
    </row>
    <row r="9" customFormat="false" ht="15" hidden="false" customHeight="false" outlineLevel="0" collapsed="false">
      <c r="B9" s="8" t="s">
        <v>313</v>
      </c>
      <c r="C9" s="38" t="n">
        <f aca="false">C7+C8</f>
        <v>24500</v>
      </c>
      <c r="D9" s="38" t="n">
        <f aca="false">D7+D8</f>
        <v>34360</v>
      </c>
      <c r="E9" s="38" t="n">
        <f aca="false">E7+E8</f>
        <v>43180</v>
      </c>
      <c r="F9" s="38" t="n">
        <f aca="false">F7+F8</f>
        <v>54210.188</v>
      </c>
      <c r="G9" s="38" t="n">
        <f aca="false">G7+G8</f>
        <v>65521.43312</v>
      </c>
      <c r="H9" s="38" t="n">
        <f aca="false">H7+H8</f>
        <v>77005.815744</v>
      </c>
      <c r="I9" s="38" t="n">
        <f aca="false">I7+I8</f>
        <v>88554.65581248</v>
      </c>
      <c r="J9" s="38" t="n">
        <f aca="false">J7+J8</f>
        <v>99552.7624071552</v>
      </c>
    </row>
    <row r="10" customFormat="false" ht="15" hidden="false" customHeight="false" outlineLevel="0" collapsed="false">
      <c r="B10" s="14" t="s">
        <v>314</v>
      </c>
      <c r="C10" s="37" t="n">
        <v>28000</v>
      </c>
      <c r="D10" s="37" t="n">
        <v>39112</v>
      </c>
      <c r="E10" s="37" t="n">
        <v>50680</v>
      </c>
      <c r="F10" s="37" t="n">
        <f aca="false">F6+F9</f>
        <v>65973.36648398</v>
      </c>
      <c r="G10" s="37" t="n">
        <f aca="false">G6+G9</f>
        <v>82860.6154622048</v>
      </c>
      <c r="H10" s="37" t="n">
        <f aca="false">H6+H9</f>
        <v>101210.000238928</v>
      </c>
      <c r="I10" s="37" t="n">
        <f aca="false">I6+I9</f>
        <v>120994.235927834</v>
      </c>
      <c r="J10" s="37" t="n">
        <f aca="false">J6+J9</f>
        <v>141496.599097785</v>
      </c>
    </row>
    <row r="11" customFormat="false" ht="15" hidden="false" customHeight="false" outlineLevel="0" collapsed="false">
      <c r="B11" s="10" t="s">
        <v>315</v>
      </c>
      <c r="C11" s="36" t="n">
        <v>4000</v>
      </c>
      <c r="D11" s="36" t="n">
        <v>5185</v>
      </c>
      <c r="E11" s="36" t="n">
        <v>5300</v>
      </c>
      <c r="F11" s="34" t="n">
        <f aca="false">E11+'Income Statement'!F6*Assumptions!C92+'Income Statement'!F11</f>
        <v>5631.9108</v>
      </c>
      <c r="G11" s="34" t="n">
        <f aca="false">F11+'Income Statement'!G6*Assumptions!C92+'Income Statement'!G11</f>
        <v>6043.480192</v>
      </c>
      <c r="H11" s="34" t="n">
        <f aca="false">G11+'Income Statement'!H6*Assumptions!C92+'Income Statement'!H11</f>
        <v>6537.3634624</v>
      </c>
      <c r="I11" s="34" t="n">
        <f aca="false">H11+'Income Statement'!I6*Assumptions!C92+'Income Statement'!I11</f>
        <v>7115.206888768</v>
      </c>
      <c r="J11" s="34" t="n">
        <f aca="false">I11+'Income Statement'!J6*Assumptions!C92+'Income Statement'!J11</f>
        <v>7773.94839482752</v>
      </c>
    </row>
    <row r="12" customFormat="false" ht="15" hidden="false" customHeight="false" outlineLevel="0" collapsed="false">
      <c r="B12" s="8" t="s">
        <v>316</v>
      </c>
      <c r="C12" s="38" t="n">
        <f aca="false">C10-C11</f>
        <v>24000</v>
      </c>
      <c r="D12" s="38" t="n">
        <f aca="false">D10-D11</f>
        <v>33927</v>
      </c>
      <c r="E12" s="38" t="n">
        <f aca="false">E10-E11</f>
        <v>45380</v>
      </c>
      <c r="F12" s="38" t="n">
        <f aca="false">F10-F11</f>
        <v>60341.45568398</v>
      </c>
      <c r="G12" s="38" t="n">
        <f aca="false">G10-G11</f>
        <v>76817.1352702048</v>
      </c>
      <c r="H12" s="38" t="n">
        <f aca="false">H10-H11</f>
        <v>94672.6367765283</v>
      </c>
      <c r="I12" s="38" t="n">
        <f aca="false">I10-I11</f>
        <v>113879.029039066</v>
      </c>
      <c r="J12" s="38" t="n">
        <f aca="false">J10-J11</f>
        <v>133722.650702958</v>
      </c>
    </row>
    <row r="13" customFormat="false" ht="15" hidden="false" customHeight="false" outlineLevel="0" collapsed="false">
      <c r="B13" s="10" t="s">
        <v>317</v>
      </c>
      <c r="C13" s="36" t="n">
        <v>21500</v>
      </c>
      <c r="D13" s="36" t="n">
        <v>29915</v>
      </c>
      <c r="E13" s="36" t="n">
        <v>42380</v>
      </c>
      <c r="F13" s="34" t="n">
        <f aca="false">'Income Statement'!F6*Assumptions!C109</f>
        <v>54765.282</v>
      </c>
      <c r="G13" s="34" t="n">
        <f aca="false">'Income Statement'!G6*Assumptions!C109</f>
        <v>67908.94968</v>
      </c>
      <c r="H13" s="34" t="n">
        <f aca="false">'Income Statement'!H6*Assumptions!C109</f>
        <v>81490.739616</v>
      </c>
      <c r="I13" s="34" t="n">
        <f aca="false">'Income Statement'!I6*Assumptions!C109</f>
        <v>95344.16535072</v>
      </c>
      <c r="J13" s="34" t="n">
        <f aca="false">'Income Statement'!J6*Assumptions!C109</f>
        <v>108692.348499821</v>
      </c>
    </row>
    <row r="14" customFormat="false" ht="15" hidden="false" customHeight="false" outlineLevel="0" collapsed="false">
      <c r="B14" s="10" t="s">
        <v>318</v>
      </c>
      <c r="C14" s="36" t="n">
        <v>2500</v>
      </c>
      <c r="D14" s="36" t="n">
        <v>4012</v>
      </c>
      <c r="E14" s="36" t="n">
        <v>3000</v>
      </c>
      <c r="F14" s="34" t="n">
        <f aca="false">F12-F13</f>
        <v>5576.17368398001</v>
      </c>
      <c r="G14" s="34" t="n">
        <f aca="false">G12-G13</f>
        <v>8908.18559020478</v>
      </c>
      <c r="H14" s="34" t="n">
        <f aca="false">H12-H13</f>
        <v>13181.8971605283</v>
      </c>
      <c r="I14" s="34" t="n">
        <f aca="false">I12-I13</f>
        <v>18534.8636883457</v>
      </c>
      <c r="J14" s="34" t="n">
        <f aca="false">J12-J13</f>
        <v>25030.3022031368</v>
      </c>
    </row>
    <row r="15" customFormat="false" ht="15" hidden="false" customHeight="false" outlineLevel="0" collapsed="false">
      <c r="B15" s="8" t="s">
        <v>319</v>
      </c>
      <c r="C15" s="38" t="n">
        <f aca="false">C10-C9-C6</f>
        <v>0</v>
      </c>
      <c r="D15" s="38" t="n">
        <f aca="false">D10-D9-D6</f>
        <v>0</v>
      </c>
      <c r="E15" s="38" t="n">
        <f aca="false">E10-E9-E6</f>
        <v>0</v>
      </c>
      <c r="F15" s="38" t="n">
        <f aca="false">F10-F9-F6</f>
        <v>0</v>
      </c>
      <c r="G15" s="38" t="n">
        <f aca="false">G10-G9-G6</f>
        <v>0</v>
      </c>
      <c r="H15" s="38" t="n">
        <f aca="false">H10-H9-H6</f>
        <v>0</v>
      </c>
      <c r="I15" s="38" t="n">
        <f aca="false">I10-I9-I6</f>
        <v>0</v>
      </c>
      <c r="J15" s="38" t="n">
        <f aca="false">J10-J9-J6</f>
        <v>0</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0" min="3" style="0" width="13"/>
  </cols>
  <sheetData>
    <row r="2" customFormat="false" ht="25.5" hidden="false" customHeight="true" outlineLevel="0" collapsed="false">
      <c r="B2" s="1" t="s">
        <v>320</v>
      </c>
      <c r="C2" s="1"/>
      <c r="D2" s="1"/>
      <c r="E2" s="1"/>
      <c r="F2" s="1"/>
      <c r="G2" s="1"/>
      <c r="H2" s="1"/>
      <c r="I2" s="1"/>
      <c r="J2" s="1"/>
    </row>
    <row r="3" customFormat="false" ht="15" hidden="false" customHeight="true" outlineLevel="0" collapsed="false">
      <c r="B3" s="4" t="s">
        <v>321</v>
      </c>
      <c r="C3" s="4"/>
      <c r="D3" s="4"/>
      <c r="E3" s="4"/>
      <c r="F3" s="4"/>
      <c r="G3" s="4"/>
      <c r="H3" s="4"/>
      <c r="I3" s="4"/>
      <c r="J3" s="4"/>
    </row>
    <row r="5" customFormat="false" ht="15" hidden="false" customHeight="false" outlineLevel="0" collapsed="false">
      <c r="B5" s="33" t="s">
        <v>44</v>
      </c>
      <c r="C5" s="45" t="s">
        <v>293</v>
      </c>
      <c r="D5" s="45" t="s">
        <v>294</v>
      </c>
      <c r="E5" s="45" t="s">
        <v>295</v>
      </c>
      <c r="F5" s="45" t="s">
        <v>272</v>
      </c>
      <c r="G5" s="45" t="s">
        <v>150</v>
      </c>
      <c r="H5" s="45" t="s">
        <v>151</v>
      </c>
      <c r="I5" s="45" t="s">
        <v>152</v>
      </c>
      <c r="J5" s="45" t="s">
        <v>153</v>
      </c>
    </row>
    <row r="6" customFormat="false" ht="15" hidden="false" customHeight="false" outlineLevel="0" collapsed="false">
      <c r="B6" s="10" t="s">
        <v>304</v>
      </c>
      <c r="D6" s="41" t="n">
        <f aca="false">'Income Statement'!D16</f>
        <v>1890</v>
      </c>
      <c r="E6" s="41" t="n">
        <f aca="false">'Income Statement'!E16</f>
        <v>2930</v>
      </c>
      <c r="F6" s="41" t="n">
        <f aca="false">'Income Statement'!F16</f>
        <v>4543.029075</v>
      </c>
      <c r="G6" s="41" t="n">
        <f aca="false">'Income Statement'!G16</f>
        <v>5942.033097</v>
      </c>
      <c r="H6" s="41" t="n">
        <f aca="false">'Income Statement'!H16</f>
        <v>7315.6459428</v>
      </c>
      <c r="I6" s="41" t="n">
        <f aca="false">'Income Statement'!I16</f>
        <v>8775.997037964</v>
      </c>
      <c r="J6" s="41" t="n">
        <f aca="false">'Income Statement'!J16</f>
        <v>10128.1506556651</v>
      </c>
    </row>
    <row r="7" customFormat="false" ht="15" hidden="false" customHeight="false" outlineLevel="0" collapsed="false">
      <c r="B7" s="10" t="s">
        <v>276</v>
      </c>
      <c r="D7" s="41" t="n">
        <f aca="false">-'Income Statement'!D11</f>
        <v>620</v>
      </c>
      <c r="E7" s="41" t="n">
        <f aca="false">-'Income Statement'!E11</f>
        <v>1250</v>
      </c>
      <c r="F7" s="41" t="n">
        <f aca="false">-'Income Statement'!F11</f>
        <v>1659.554</v>
      </c>
      <c r="G7" s="41" t="n">
        <f aca="false">-'Income Statement'!G11</f>
        <v>2057.84696</v>
      </c>
      <c r="H7" s="41" t="n">
        <f aca="false">-'Income Statement'!H11</f>
        <v>2469.416352</v>
      </c>
      <c r="I7" s="41" t="n">
        <f aca="false">-'Income Statement'!I11</f>
        <v>2889.21713184</v>
      </c>
      <c r="J7" s="41" t="n">
        <f aca="false">-'Income Statement'!J11</f>
        <v>3293.7075302976</v>
      </c>
    </row>
    <row r="8" customFormat="false" ht="15" hidden="false" customHeight="false" outlineLevel="0" collapsed="false">
      <c r="B8" s="10" t="s">
        <v>322</v>
      </c>
      <c r="D8" s="34" t="n">
        <f aca="false">-(D13-C13)</f>
        <v>1082.856</v>
      </c>
      <c r="E8" s="34" t="n">
        <f aca="false">-(E13-D13)</f>
        <v>449.04</v>
      </c>
      <c r="F8" s="34" t="n">
        <f aca="false">-(F13-E13)</f>
        <v>459.5688</v>
      </c>
      <c r="G8" s="34" t="n">
        <f aca="false">-(G13-F13)</f>
        <v>477.951552</v>
      </c>
      <c r="H8" s="34" t="n">
        <f aca="false">-(H13-G13)</f>
        <v>493.8832704</v>
      </c>
      <c r="I8" s="34" t="n">
        <f aca="false">-(I13-H13)</f>
        <v>503.760935808</v>
      </c>
      <c r="J8" s="34" t="n">
        <f aca="false">-(J13-I13)</f>
        <v>485.38847814912</v>
      </c>
    </row>
    <row r="9" customFormat="false" ht="15" hidden="false" customHeight="false" outlineLevel="0" collapsed="false">
      <c r="B9" s="10" t="s">
        <v>323</v>
      </c>
      <c r="D9" s="34" t="n">
        <f aca="false">D8-C8</f>
        <v>1082.856</v>
      </c>
      <c r="E9" s="34" t="n">
        <f aca="false">E8-D8</f>
        <v>-633.816</v>
      </c>
      <c r="F9" s="34" t="n">
        <f aca="false">F8-E8</f>
        <v>10.5288</v>
      </c>
      <c r="G9" s="34" t="n">
        <f aca="false">G8-F8</f>
        <v>18.3827520000002</v>
      </c>
      <c r="H9" s="34" t="n">
        <f aca="false">H8-G8</f>
        <v>15.9317183999995</v>
      </c>
      <c r="I9" s="34" t="n">
        <f aca="false">I8-H8</f>
        <v>9.87766540800067</v>
      </c>
      <c r="J9" s="34" t="n">
        <f aca="false">J8-I8</f>
        <v>-18.3724576588802</v>
      </c>
    </row>
    <row r="10" customFormat="false" ht="15" hidden="false" customHeight="false" outlineLevel="0" collapsed="false">
      <c r="B10" s="10" t="s">
        <v>324</v>
      </c>
      <c r="D10" s="34" t="n">
        <f aca="false">(D14-C14)-(D6+D7+D8+D9)-(-'Income Statement'!D6*Assumptions!C92)-((D7-C7)-Assumptions!C106*'Income Statement'!D18)</f>
        <v>-3474.696</v>
      </c>
      <c r="E10" s="34" t="n">
        <f aca="false">(E14-D14)-(E6+E7+E8+E9)-(-'Income Statement'!E6*Assumptions!C92)-((E7-D7)-Assumptions!C106*'Income Statement'!E18)</f>
        <v>-2902.168</v>
      </c>
      <c r="F10" s="34" t="n">
        <f aca="false">(F14-E14)-(F6+F7+F8+F9)-(-'Income Statement'!F6*Assumptions!C92)-((F7-E7)-Assumptions!C106*'Income Statement'!F18)</f>
        <v>-5031.36528398</v>
      </c>
      <c r="G10" s="34" t="n">
        <f aca="false">(G14-F14)-(G6+G7+G8+G9)-(-'Income Statement'!G6*Assumptions!C92)-((G7-F7)-Assumptions!C106*'Income Statement'!G18)</f>
        <v>-6070.3227702248</v>
      </c>
      <c r="H10" s="34" t="n">
        <f aca="false">(H14-G14)-(H6+H7+H8+H9)-(-'Income Statement'!H6*Assumptions!C92)-((H7-G7)-Assumptions!C106*'Income Statement'!H18)</f>
        <v>-7279.22683112352</v>
      </c>
      <c r="I10" s="34" t="n">
        <f aca="false">(I14-H14)-(I6+I7+I8+I9)-(-'Income Statement'!I6*Assumptions!C92)-((I7-H7)-Assumptions!C106*'Income Statement'!I18)</f>
        <v>-8582.76018727342</v>
      </c>
      <c r="J10" s="34" t="n">
        <f aca="false">(J14-I14)-(J6+J7+J8+J9)-(-'Income Statement'!J6*Assumptions!C92)-((J7-I7)-Assumptions!C106*'Income Statement'!J18)</f>
        <v>-9732.33186954687</v>
      </c>
    </row>
    <row r="11" customFormat="false" ht="15" hidden="false" customHeight="false" outlineLevel="0" collapsed="false">
      <c r="B11" s="14" t="s">
        <v>325</v>
      </c>
      <c r="D11" s="37" t="n">
        <f aca="false">SUM(D6:D10)</f>
        <v>1201.016</v>
      </c>
      <c r="E11" s="37" t="n">
        <f aca="false">SUM(E6:E10)</f>
        <v>1093.056</v>
      </c>
      <c r="F11" s="37" t="n">
        <f aca="false">SUM(F6:F10)</f>
        <v>1641.31539102</v>
      </c>
      <c r="G11" s="37" t="n">
        <f aca="false">SUM(G6:G10)</f>
        <v>2425.8915907752</v>
      </c>
      <c r="H11" s="37" t="n">
        <f aca="false">SUM(H6:H10)</f>
        <v>3015.65045247648</v>
      </c>
      <c r="I11" s="37" t="n">
        <f aca="false">SUM(I6:I10)</f>
        <v>3596.09258374658</v>
      </c>
      <c r="J11" s="37" t="n">
        <f aca="false">SUM(J6:J10)</f>
        <v>4156.54233690609</v>
      </c>
    </row>
    <row r="12" customFormat="false" ht="15" hidden="false" customHeight="false" outlineLevel="0" collapsed="false">
      <c r="B12" s="10" t="s">
        <v>326</v>
      </c>
      <c r="D12" s="34" t="n">
        <f aca="false">-'Income Statement'!D6*Assumptions!C92</f>
        <v>-1082.856</v>
      </c>
      <c r="E12" s="34" t="n">
        <f aca="false">-'Income Statement'!E6*Assumptions!C92</f>
        <v>-1531.896</v>
      </c>
      <c r="F12" s="34" t="n">
        <f aca="false">-'Income Statement'!F6*Assumptions!C92</f>
        <v>-1991.4648</v>
      </c>
      <c r="G12" s="34" t="n">
        <f aca="false">-'Income Statement'!G6*Assumptions!C92</f>
        <v>-2469.416352</v>
      </c>
      <c r="H12" s="34" t="n">
        <f aca="false">-'Income Statement'!H6*Assumptions!C92</f>
        <v>-2963.2996224</v>
      </c>
      <c r="I12" s="34" t="n">
        <f aca="false">-'Income Statement'!I6*Assumptions!C92</f>
        <v>-3467.060558208</v>
      </c>
      <c r="J12" s="34" t="n">
        <f aca="false">-'Income Statement'!J6*Assumptions!C92</f>
        <v>-3952.44903635712</v>
      </c>
    </row>
    <row r="13" customFormat="false" ht="15" hidden="false" customHeight="false" outlineLevel="0" collapsed="false">
      <c r="B13" s="8" t="s">
        <v>327</v>
      </c>
      <c r="D13" s="38" t="n">
        <f aca="false">D12</f>
        <v>-1082.856</v>
      </c>
      <c r="E13" s="38" t="n">
        <f aca="false">E12</f>
        <v>-1531.896</v>
      </c>
      <c r="F13" s="38" t="n">
        <f aca="false">F12</f>
        <v>-1991.4648</v>
      </c>
      <c r="G13" s="38" t="n">
        <f aca="false">G12</f>
        <v>-2469.416352</v>
      </c>
      <c r="H13" s="38" t="n">
        <f aca="false">H12</f>
        <v>-2963.2996224</v>
      </c>
      <c r="I13" s="38" t="n">
        <f aca="false">I12</f>
        <v>-3467.060558208</v>
      </c>
      <c r="J13" s="38" t="n">
        <f aca="false">J12</f>
        <v>-3952.44903635712</v>
      </c>
    </row>
    <row r="14" customFormat="false" ht="15" hidden="false" customHeight="false" outlineLevel="0" collapsed="false">
      <c r="B14" s="10" t="s">
        <v>328</v>
      </c>
      <c r="D14" s="34" t="n">
        <f aca="false">D7-C7</f>
        <v>620</v>
      </c>
      <c r="E14" s="34" t="n">
        <f aca="false">E7-D7</f>
        <v>630</v>
      </c>
      <c r="F14" s="34" t="n">
        <f aca="false">F7-E7</f>
        <v>409.554</v>
      </c>
      <c r="G14" s="34" t="n">
        <f aca="false">G7-F7</f>
        <v>398.29296</v>
      </c>
      <c r="H14" s="34" t="n">
        <f aca="false">H7-G7</f>
        <v>411.569392</v>
      </c>
      <c r="I14" s="34" t="n">
        <f aca="false">I7-H7</f>
        <v>419.80077984</v>
      </c>
      <c r="J14" s="34" t="n">
        <f aca="false">J7-I7</f>
        <v>404.4903984576</v>
      </c>
    </row>
    <row r="15" customFormat="false" ht="15" hidden="false" customHeight="false" outlineLevel="0" collapsed="false">
      <c r="B15" s="10" t="s">
        <v>329</v>
      </c>
      <c r="D15" s="34" t="n">
        <f aca="false">-Assumptions!C106*'Income Statement'!D18</f>
        <v>-118.16</v>
      </c>
      <c r="E15" s="34" t="n">
        <f aca="false">-Assumptions!C106*'Income Statement'!E18</f>
        <v>-181.16</v>
      </c>
      <c r="F15" s="34" t="n">
        <f aca="false">-Assumptions!C106*'Income Statement'!F18</f>
        <v>-279.85059102</v>
      </c>
      <c r="G15" s="34" t="n">
        <f aca="false">-Assumptions!C106*'Income Statement'!G18</f>
        <v>-366.0292387752</v>
      </c>
      <c r="H15" s="34" t="n">
        <f aca="false">-Assumptions!C106*'Income Statement'!H18</f>
        <v>-450.64379007648</v>
      </c>
      <c r="I15" s="34" t="n">
        <f aca="false">-Assumptions!C106*'Income Statement'!I18</f>
        <v>-540.601417538583</v>
      </c>
      <c r="J15" s="34" t="n">
        <f aca="false">-Assumptions!C106*'Income Statement'!J18</f>
        <v>-623.894080388972</v>
      </c>
    </row>
    <row r="16" customFormat="false" ht="15" hidden="false" customHeight="false" outlineLevel="0" collapsed="false">
      <c r="B16" s="8" t="s">
        <v>330</v>
      </c>
      <c r="D16" s="38" t="n">
        <f aca="false">D14+D15</f>
        <v>501.84</v>
      </c>
      <c r="E16" s="38" t="n">
        <f aca="false">E14+E15</f>
        <v>448.84</v>
      </c>
      <c r="F16" s="38" t="n">
        <f aca="false">F14+F15</f>
        <v>129.70340898</v>
      </c>
      <c r="G16" s="38" t="n">
        <f aca="false">G14+G15</f>
        <v>32.2637212247997</v>
      </c>
      <c r="H16" s="38" t="n">
        <f aca="false">H14+H15</f>
        <v>-39.0743980764802</v>
      </c>
      <c r="I16" s="38" t="n">
        <f aca="false">I14+I15</f>
        <v>-120.800637698582</v>
      </c>
      <c r="J16" s="38" t="n">
        <f aca="false">J14+J15</f>
        <v>-219.403681931371</v>
      </c>
    </row>
    <row r="17" customFormat="false" ht="15" hidden="false" customHeight="false" outlineLevel="0" collapsed="false">
      <c r="B17" s="47" t="s">
        <v>331</v>
      </c>
      <c r="D17" s="39" t="n">
        <f aca="false">D11+D13+D16</f>
        <v>620</v>
      </c>
      <c r="E17" s="39" t="n">
        <f aca="false">E11+E13+E16</f>
        <v>9.9999999999996</v>
      </c>
      <c r="F17" s="39" t="n">
        <f aca="false">F11+F13+F16</f>
        <v>-220.446</v>
      </c>
      <c r="G17" s="39" t="n">
        <f aca="false">G11+G13+G16</f>
        <v>-11.2610399999998</v>
      </c>
      <c r="H17" s="39" t="n">
        <f aca="false">H11+H13+H16</f>
        <v>13.2764320000005</v>
      </c>
      <c r="I17" s="39" t="n">
        <f aca="false">I11+I13+I16</f>
        <v>8.23138783999968</v>
      </c>
      <c r="J17" s="39" t="n">
        <f aca="false">J11+J13+J16</f>
        <v>-15.3103813823998</v>
      </c>
    </row>
    <row r="18" customFormat="false" ht="15" hidden="false" customHeight="false" outlineLevel="0" collapsed="false">
      <c r="B18" s="10" t="s">
        <v>332</v>
      </c>
      <c r="D18" s="34" t="n">
        <f aca="false">D14</f>
        <v>620</v>
      </c>
      <c r="E18" s="34" t="n">
        <f aca="false">E14</f>
        <v>630</v>
      </c>
      <c r="F18" s="34" t="n">
        <f aca="false">F14</f>
        <v>409.554</v>
      </c>
      <c r="G18" s="34" t="n">
        <f aca="false">G14</f>
        <v>398.29296</v>
      </c>
      <c r="H18" s="34" t="n">
        <f aca="false">H14</f>
        <v>411.569392</v>
      </c>
      <c r="I18" s="34" t="n">
        <f aca="false">I14</f>
        <v>419.80077984</v>
      </c>
      <c r="J18" s="34" t="n">
        <f aca="false">J14</f>
        <v>404.4903984576</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333</v>
      </c>
      <c r="C2" s="1"/>
      <c r="D2" s="1"/>
      <c r="E2" s="1"/>
      <c r="F2" s="1"/>
      <c r="G2" s="1"/>
      <c r="H2" s="1"/>
      <c r="I2" s="1"/>
      <c r="J2" s="1"/>
    </row>
    <row r="3" customFormat="false" ht="15" hidden="false" customHeight="true" outlineLevel="0" collapsed="false">
      <c r="B3" s="4" t="s">
        <v>334</v>
      </c>
      <c r="C3" s="4"/>
      <c r="D3" s="4"/>
      <c r="E3" s="4"/>
      <c r="F3" s="4"/>
      <c r="G3" s="4"/>
      <c r="H3" s="4"/>
      <c r="I3" s="4"/>
      <c r="J3" s="4"/>
    </row>
    <row r="5" customFormat="false" ht="15" hidden="false" customHeight="false" outlineLevel="0" collapsed="false">
      <c r="B5" s="6" t="s">
        <v>44</v>
      </c>
      <c r="C5" s="7" t="s">
        <v>293</v>
      </c>
      <c r="D5" s="7" t="s">
        <v>294</v>
      </c>
      <c r="E5" s="7" t="s">
        <v>295</v>
      </c>
      <c r="F5" s="7" t="s">
        <v>272</v>
      </c>
      <c r="G5" s="7" t="s">
        <v>150</v>
      </c>
      <c r="H5" s="7" t="s">
        <v>151</v>
      </c>
      <c r="I5" s="7" t="s">
        <v>152</v>
      </c>
      <c r="J5" s="7" t="s">
        <v>153</v>
      </c>
    </row>
    <row r="6" customFormat="false" ht="15" hidden="false" customHeight="false" outlineLevel="0" collapsed="false">
      <c r="B6" s="8" t="s">
        <v>273</v>
      </c>
      <c r="C6" s="48" t="n">
        <f aca="false">'Income Statement'!C6</f>
        <v>31300</v>
      </c>
      <c r="D6" s="48" t="n">
        <f aca="false">'Income Statement'!D6</f>
        <v>45119</v>
      </c>
      <c r="E6" s="48" t="n">
        <f aca="false">'Income Statement'!E6</f>
        <v>63829</v>
      </c>
      <c r="F6" s="48" t="n">
        <f aca="false">'Income Statement'!F6</f>
        <v>82977.7</v>
      </c>
      <c r="G6" s="48" t="n">
        <f aca="false">'Income Statement'!G6</f>
        <v>102892.348</v>
      </c>
      <c r="H6" s="48" t="n">
        <f aca="false">'Income Statement'!H6</f>
        <v>123470.8176</v>
      </c>
      <c r="I6" s="48" t="n">
        <f aca="false">'Income Statement'!I6</f>
        <v>144460.856592</v>
      </c>
      <c r="J6" s="48" t="n">
        <f aca="false">'Income Statement'!J6</f>
        <v>164685.37651488</v>
      </c>
    </row>
    <row r="7" customFormat="false" ht="15" hidden="false" customHeight="false" outlineLevel="0" collapsed="false">
      <c r="B7" s="10" t="s">
        <v>298</v>
      </c>
      <c r="C7" s="41" t="n">
        <f aca="false">'Income Statement'!C9</f>
        <v>2974</v>
      </c>
      <c r="D7" s="41" t="n">
        <f aca="false">'Income Statement'!D9</f>
        <v>4875</v>
      </c>
      <c r="E7" s="41" t="n">
        <f aca="false">'Income Statement'!E9</f>
        <v>7800</v>
      </c>
      <c r="F7" s="41" t="n">
        <f aca="false">'Income Statement'!F9</f>
        <v>10455.1902</v>
      </c>
      <c r="G7" s="41" t="n">
        <f aca="false">'Income Statement'!G9</f>
        <v>13376.00524</v>
      </c>
      <c r="H7" s="41" t="n">
        <f aca="false">'Income Statement'!H9</f>
        <v>16298.1479232</v>
      </c>
      <c r="I7" s="41" t="n">
        <f aca="false">'Income Statement'!I9</f>
        <v>19357.754783328</v>
      </c>
      <c r="J7" s="41" t="n">
        <f aca="false">'Income Statement'!J9</f>
        <v>22232.5258295088</v>
      </c>
    </row>
    <row r="8" customFormat="false" ht="15" hidden="false" customHeight="false" outlineLevel="0" collapsed="false">
      <c r="B8" s="10" t="s">
        <v>274</v>
      </c>
      <c r="C8" s="41" t="n">
        <f aca="false">'Income Statement'!C12</f>
        <v>2574</v>
      </c>
      <c r="D8" s="41" t="n">
        <f aca="false">'Income Statement'!D12</f>
        <v>4255</v>
      </c>
      <c r="E8" s="41" t="n">
        <f aca="false">'Income Statement'!E12</f>
        <v>6550</v>
      </c>
      <c r="F8" s="41" t="n">
        <f aca="false">'Income Statement'!F12</f>
        <v>8795.6362</v>
      </c>
      <c r="G8" s="41" t="n">
        <f aca="false">'Income Statement'!G12</f>
        <v>11318.15828</v>
      </c>
      <c r="H8" s="41" t="n">
        <f aca="false">'Income Statement'!H12</f>
        <v>13828.7315712</v>
      </c>
      <c r="I8" s="41" t="n">
        <f aca="false">'Income Statement'!I12</f>
        <v>16468.537651488</v>
      </c>
      <c r="J8" s="41" t="n">
        <f aca="false">'Income Statement'!J12</f>
        <v>18938.8182992112</v>
      </c>
    </row>
    <row r="9" customFormat="false" ht="15" hidden="false" customHeight="false" outlineLevel="0" collapsed="false">
      <c r="B9" s="14" t="s">
        <v>306</v>
      </c>
      <c r="C9" s="37" t="n">
        <f aca="false">'Income Statement'!C18</f>
        <v>490</v>
      </c>
      <c r="D9" s="37" t="n">
        <f aca="false">'Income Statement'!D18</f>
        <v>1688</v>
      </c>
      <c r="E9" s="37" t="n">
        <f aca="false">'Income Statement'!E18</f>
        <v>2588</v>
      </c>
      <c r="F9" s="37" t="n">
        <f aca="false">'Income Statement'!F18</f>
        <v>3997.865586</v>
      </c>
      <c r="G9" s="37" t="n">
        <f aca="false">'Income Statement'!G18</f>
        <v>5228.98912536</v>
      </c>
      <c r="H9" s="37" t="n">
        <f aca="false">'Income Statement'!H18</f>
        <v>6437.768429664</v>
      </c>
      <c r="I9" s="37" t="n">
        <f aca="false">'Income Statement'!I18</f>
        <v>7722.87739340832</v>
      </c>
      <c r="J9" s="37" t="n">
        <f aca="false">'Income Statement'!J18</f>
        <v>8912.77257698531</v>
      </c>
    </row>
    <row r="10" customFormat="false" ht="15" hidden="false" customHeight="false" outlineLevel="0" collapsed="false">
      <c r="B10" s="10" t="s">
        <v>307</v>
      </c>
      <c r="C10" s="11" t="n">
        <f aca="false">'Income Statement'!C19</f>
        <v>0.114451277755647</v>
      </c>
      <c r="D10" s="11" t="n">
        <f aca="false">'Income Statement'!D19</f>
        <v>0.394272973166392</v>
      </c>
      <c r="E10" s="11" t="n">
        <f aca="false">'Income Statement'!E19</f>
        <v>0.604489605778806</v>
      </c>
      <c r="F10" s="11" t="n">
        <f aca="false">'Income Statement'!F19</f>
        <v>0.933797601251079</v>
      </c>
      <c r="G10" s="11" t="n">
        <f aca="false">'Income Statement'!G19</f>
        <v>1.22135609544456</v>
      </c>
      <c r="H10" s="11" t="n">
        <f aca="false">'Income Statement'!H19</f>
        <v>1.50369555646941</v>
      </c>
      <c r="I10" s="11" t="n">
        <f aca="false">'Income Statement'!I19</f>
        <v>1.80386364413425</v>
      </c>
      <c r="J10" s="11" t="n">
        <f aca="false">'Income Statement'!J19</f>
        <v>2.08179226486012</v>
      </c>
    </row>
    <row r="11" customFormat="false" ht="15" hidden="false" customHeight="false" outlineLevel="0" collapsed="false">
      <c r="B11" s="10" t="s">
        <v>314</v>
      </c>
      <c r="C11" s="41" t="n">
        <f aca="false">'Balance Sheet'!C10</f>
        <v>28000</v>
      </c>
      <c r="D11" s="41" t="n">
        <f aca="false">'Balance Sheet'!D10</f>
        <v>39112</v>
      </c>
      <c r="E11" s="41" t="n">
        <f aca="false">'Balance Sheet'!E10</f>
        <v>50680</v>
      </c>
      <c r="F11" s="41" t="n">
        <f aca="false">'Balance Sheet'!F10</f>
        <v>65973.36648398</v>
      </c>
      <c r="G11" s="41" t="n">
        <f aca="false">'Balance Sheet'!G10</f>
        <v>82860.6154622048</v>
      </c>
      <c r="H11" s="41" t="n">
        <f aca="false">'Balance Sheet'!H10</f>
        <v>101210.000238928</v>
      </c>
      <c r="I11" s="41" t="n">
        <f aca="false">'Balance Sheet'!I10</f>
        <v>120994.235927834</v>
      </c>
      <c r="J11" s="41" t="n">
        <f aca="false">'Balance Sheet'!J10</f>
        <v>141496.599097785</v>
      </c>
    </row>
    <row r="12" customFormat="false" ht="15" hidden="false" customHeight="false" outlineLevel="0" collapsed="false">
      <c r="B12" s="10" t="s">
        <v>335</v>
      </c>
      <c r="C12" s="41" t="n">
        <f aca="false">'Balance Sheet'!C6</f>
        <v>3500</v>
      </c>
      <c r="D12" s="41" t="n">
        <f aca="false">'Balance Sheet'!D6</f>
        <v>4752</v>
      </c>
      <c r="E12" s="41" t="n">
        <f aca="false">'Balance Sheet'!E6</f>
        <v>7500</v>
      </c>
      <c r="F12" s="41" t="n">
        <f aca="false">'Balance Sheet'!F6</f>
        <v>11763.17848398</v>
      </c>
      <c r="G12" s="41" t="n">
        <f aca="false">'Balance Sheet'!G6</f>
        <v>17339.1823422048</v>
      </c>
      <c r="H12" s="41" t="n">
        <f aca="false">'Balance Sheet'!H6</f>
        <v>24204.1844949283</v>
      </c>
      <c r="I12" s="41" t="n">
        <f aca="false">'Balance Sheet'!I6</f>
        <v>32439.5801153537</v>
      </c>
      <c r="J12" s="41" t="n">
        <f aca="false">'Balance Sheet'!J6</f>
        <v>41943.8366906299</v>
      </c>
    </row>
    <row r="13" customFormat="false" ht="15" hidden="false" customHeight="false" outlineLevel="0" collapsed="false">
      <c r="B13" s="10" t="s">
        <v>336</v>
      </c>
      <c r="C13" s="41" t="n">
        <f aca="false">'Balance Sheet'!C7-'Balance Sheet'!C14</f>
        <v>7500</v>
      </c>
      <c r="D13" s="41" t="n">
        <f aca="false">'Balance Sheet'!D7-'Balance Sheet'!D14</f>
        <v>9350</v>
      </c>
      <c r="E13" s="41" t="n">
        <f aca="false">'Balance Sheet'!E7-'Balance Sheet'!E14</f>
        <v>12000</v>
      </c>
      <c r="F13" s="41" t="n">
        <f aca="false">'Balance Sheet'!F7-'Balance Sheet'!F14</f>
        <v>12123.82631602</v>
      </c>
      <c r="G13" s="41" t="n">
        <f aca="false">'Balance Sheet'!G7-'Balance Sheet'!G14</f>
        <v>11340.6144097952</v>
      </c>
      <c r="H13" s="41" t="n">
        <f aca="false">'Balance Sheet'!H7-'Balance Sheet'!H14</f>
        <v>9496.7588394717</v>
      </c>
      <c r="I13" s="41" t="n">
        <f aca="false">'Balance Sheet'!I7-'Balance Sheet'!I14</f>
        <v>6457.01522365427</v>
      </c>
      <c r="J13" s="41" t="n">
        <f aca="false">'Balance Sheet'!J7-'Balance Sheet'!J14</f>
        <v>2060.89453747124</v>
      </c>
    </row>
    <row r="14" customFormat="false" ht="15" hidden="false" customHeight="false" outlineLevel="0" collapsed="false">
      <c r="B14" s="10" t="s">
        <v>325</v>
      </c>
      <c r="C14" s="36" t="s">
        <v>337</v>
      </c>
      <c r="D14" s="41" t="n">
        <f aca="false">'Cash Flow'!D11</f>
        <v>1201.016</v>
      </c>
      <c r="E14" s="41" t="n">
        <f aca="false">'Cash Flow'!E11</f>
        <v>1093.056</v>
      </c>
      <c r="F14" s="41" t="n">
        <f aca="false">'Cash Flow'!F11</f>
        <v>1641.31539102</v>
      </c>
      <c r="G14" s="41" t="n">
        <f aca="false">'Cash Flow'!G11</f>
        <v>2425.8915907752</v>
      </c>
      <c r="H14" s="41" t="n">
        <f aca="false">'Cash Flow'!H11</f>
        <v>3015.65045247648</v>
      </c>
      <c r="I14" s="41" t="n">
        <f aca="false">'Cash Flow'!I11</f>
        <v>3596.09258374658</v>
      </c>
      <c r="J14" s="41" t="n">
        <f aca="false">'Cash Flow'!J11</f>
        <v>4156.54233690609</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338</v>
      </c>
      <c r="C2" s="1"/>
      <c r="D2" s="1"/>
      <c r="E2" s="1"/>
      <c r="F2" s="1"/>
      <c r="G2" s="1"/>
      <c r="H2" s="1"/>
      <c r="I2" s="1"/>
      <c r="J2" s="1"/>
    </row>
    <row r="3" customFormat="false" ht="22.35" hidden="false" customHeight="true" outlineLevel="0" collapsed="false">
      <c r="B3" s="4" t="s">
        <v>339</v>
      </c>
      <c r="C3" s="4"/>
      <c r="D3" s="4"/>
      <c r="E3" s="4"/>
      <c r="F3" s="4"/>
      <c r="G3" s="4"/>
      <c r="H3" s="4"/>
      <c r="I3" s="4"/>
      <c r="J3" s="4"/>
    </row>
    <row r="6" customFormat="false" ht="15" hidden="false" customHeight="true" outlineLevel="0" collapsed="false">
      <c r="B6" s="5" t="s">
        <v>340</v>
      </c>
      <c r="C6" s="5"/>
      <c r="D6" s="5"/>
      <c r="E6" s="5"/>
      <c r="F6" s="5"/>
      <c r="G6" s="5"/>
      <c r="H6" s="5"/>
      <c r="I6" s="5"/>
      <c r="J6" s="5"/>
    </row>
    <row r="7" customFormat="false" ht="15" hidden="false" customHeight="false" outlineLevel="0" collapsed="false">
      <c r="B7" s="10" t="s">
        <v>341</v>
      </c>
      <c r="C7" s="13" t="n">
        <f aca="false">Assumptions!C6</f>
        <v>7.7</v>
      </c>
    </row>
    <row r="8" customFormat="false" ht="15" hidden="false" customHeight="false" outlineLevel="0" collapsed="false">
      <c r="B8" s="10" t="s">
        <v>342</v>
      </c>
      <c r="C8" s="20" t="n">
        <f aca="false">Assumptions!C96</f>
        <v>0.631009860563039</v>
      </c>
    </row>
    <row r="9" customFormat="false" ht="15" hidden="false" customHeight="false" outlineLevel="0" collapsed="false">
      <c r="B9" s="10" t="s">
        <v>343</v>
      </c>
      <c r="C9" s="20" t="n">
        <f aca="false">Assumptions!C97</f>
        <v>0.0195</v>
      </c>
    </row>
    <row r="10" customFormat="false" ht="15" hidden="false" customHeight="false" outlineLevel="0" collapsed="false">
      <c r="B10" s="10" t="s">
        <v>344</v>
      </c>
      <c r="C10" s="34" t="n">
        <f aca="false">Assumptions!C98</f>
        <v>60</v>
      </c>
    </row>
    <row r="11" customFormat="false" ht="15" hidden="false" customHeight="false" outlineLevel="0" collapsed="false">
      <c r="B11" s="10" t="s">
        <v>345</v>
      </c>
      <c r="C11" s="34" t="n">
        <f aca="false">Assumptions!C99</f>
        <v>50000</v>
      </c>
    </row>
    <row r="13" customFormat="false" ht="15" hidden="false" customHeight="true" outlineLevel="0" collapsed="false">
      <c r="B13" s="5" t="s">
        <v>346</v>
      </c>
      <c r="C13" s="5"/>
      <c r="D13" s="5"/>
      <c r="E13" s="5"/>
      <c r="F13" s="5"/>
      <c r="G13" s="5"/>
      <c r="H13" s="5"/>
      <c r="I13" s="5"/>
      <c r="J13" s="5"/>
    </row>
    <row r="14" customFormat="false" ht="15" hidden="false" customHeight="false" outlineLevel="0" collapsed="false">
      <c r="B14" s="6" t="s">
        <v>347</v>
      </c>
      <c r="C14" s="7" t="s">
        <v>348</v>
      </c>
      <c r="D14" s="7" t="s">
        <v>349</v>
      </c>
      <c r="E14" s="7" t="s">
        <v>350</v>
      </c>
      <c r="F14" s="7" t="s">
        <v>349</v>
      </c>
    </row>
    <row r="15" customFormat="false" ht="15" hidden="false" customHeight="false" outlineLevel="0" collapsed="false">
      <c r="B15" s="10" t="s">
        <v>351</v>
      </c>
      <c r="C15" s="16" t="n">
        <v>5.68</v>
      </c>
      <c r="D15" s="12" t="n">
        <f aca="false">C15/Assumptions!C6-1</f>
        <v>-0.262337662337662</v>
      </c>
      <c r="E15" s="16" t="n">
        <v>4.6</v>
      </c>
      <c r="F15" s="12" t="n">
        <f aca="false">E15/Assumptions!C6-1</f>
        <v>-0.402597402597403</v>
      </c>
    </row>
    <row r="16" customFormat="false" ht="15" hidden="false" customHeight="false" outlineLevel="0" collapsed="false">
      <c r="B16" s="10" t="s">
        <v>352</v>
      </c>
      <c r="C16" s="16" t="n">
        <v>6.9</v>
      </c>
      <c r="D16" s="12" t="n">
        <f aca="false">C16/Assumptions!C6-1</f>
        <v>-0.103896103896104</v>
      </c>
      <c r="E16" s="16" t="n">
        <v>6.4</v>
      </c>
      <c r="F16" s="12" t="n">
        <f aca="false">E16/Assumptions!C6-1</f>
        <v>-0.168831168831169</v>
      </c>
    </row>
    <row r="17" customFormat="false" ht="15" hidden="false" customHeight="false" outlineLevel="0" collapsed="false">
      <c r="B17" s="10" t="s">
        <v>353</v>
      </c>
      <c r="C17" s="15" t="n">
        <v>7.74</v>
      </c>
      <c r="D17" s="12" t="n">
        <f aca="false">C17/Assumptions!C6-1</f>
        <v>0.0051948051948052</v>
      </c>
      <c r="E17" s="15" t="n">
        <v>7.79</v>
      </c>
      <c r="F17" s="12" t="n">
        <f aca="false">E17/Assumptions!C6-1</f>
        <v>0.0116883116883117</v>
      </c>
    </row>
    <row r="18" customFormat="false" ht="15" hidden="false" customHeight="false" outlineLevel="0" collapsed="false">
      <c r="B18" s="10" t="s">
        <v>354</v>
      </c>
      <c r="C18" s="16" t="n">
        <v>8.66</v>
      </c>
      <c r="D18" s="12" t="n">
        <f aca="false">C18/Assumptions!C6-1</f>
        <v>0.124675324675325</v>
      </c>
      <c r="E18" s="16" t="n">
        <v>9.45</v>
      </c>
      <c r="F18" s="12" t="n">
        <f aca="false">E18/Assumptions!C6-1</f>
        <v>0.227272727272727</v>
      </c>
    </row>
    <row r="19" customFormat="false" ht="15" hidden="false" customHeight="false" outlineLevel="0" collapsed="false">
      <c r="B19" s="10" t="s">
        <v>355</v>
      </c>
      <c r="C19" s="16" t="n">
        <v>10.48</v>
      </c>
      <c r="D19" s="12" t="n">
        <f aca="false">C19/Assumptions!C6-1</f>
        <v>0.361038961038961</v>
      </c>
      <c r="E19" s="16" t="n">
        <v>13.06</v>
      </c>
      <c r="F19" s="12" t="n">
        <f aca="false">E19/Assumptions!C6-1</f>
        <v>0.696103896103896</v>
      </c>
    </row>
    <row r="21" customFormat="false" ht="15" hidden="false" customHeight="false" outlineLevel="0" collapsed="false">
      <c r="B21" s="17" t="s">
        <v>356</v>
      </c>
      <c r="C21" s="18" t="n">
        <v>6.9</v>
      </c>
      <c r="E21" s="18" t="n">
        <v>8.66</v>
      </c>
    </row>
    <row r="22" customFormat="false" ht="15" hidden="false" customHeight="false" outlineLevel="0" collapsed="false">
      <c r="B22" s="17" t="s">
        <v>357</v>
      </c>
      <c r="C22" s="18" t="n">
        <v>6.4</v>
      </c>
      <c r="E22" s="18" t="n">
        <v>9.45</v>
      </c>
    </row>
    <row r="24" customFormat="false" ht="15" hidden="false" customHeight="true" outlineLevel="0" collapsed="false">
      <c r="B24" s="5" t="s">
        <v>358</v>
      </c>
      <c r="C24" s="5"/>
      <c r="D24" s="5"/>
      <c r="E24" s="5"/>
      <c r="F24" s="5"/>
      <c r="G24" s="5"/>
      <c r="H24" s="5"/>
      <c r="I24" s="5"/>
      <c r="J24" s="5"/>
    </row>
    <row r="25" customFormat="false" ht="15" hidden="false" customHeight="false" outlineLevel="0" collapsed="false">
      <c r="B25" s="6" t="s">
        <v>359</v>
      </c>
      <c r="C25" s="7" t="s">
        <v>360</v>
      </c>
      <c r="D25" s="7" t="s">
        <v>361</v>
      </c>
    </row>
    <row r="26" customFormat="false" ht="15" hidden="false" customHeight="false" outlineLevel="0" collapsed="false">
      <c r="B26" s="10" t="s">
        <v>362</v>
      </c>
      <c r="C26" s="16" t="n">
        <v>10.01</v>
      </c>
      <c r="D26" s="49" t="n">
        <v>0.346</v>
      </c>
    </row>
    <row r="27" customFormat="false" ht="15" hidden="false" customHeight="false" outlineLevel="0" collapsed="false">
      <c r="B27" s="10" t="s">
        <v>363</v>
      </c>
      <c r="C27" s="16" t="n">
        <v>9.24</v>
      </c>
      <c r="D27" s="49" t="n">
        <v>0.497</v>
      </c>
    </row>
    <row r="28" customFormat="false" ht="15" hidden="false" customHeight="false" outlineLevel="0" collapsed="false">
      <c r="B28" s="10" t="s">
        <v>364</v>
      </c>
      <c r="C28" s="16" t="n">
        <v>8.85</v>
      </c>
      <c r="D28" s="49" t="n">
        <v>0.592</v>
      </c>
    </row>
    <row r="29" customFormat="false" ht="15" hidden="false" customHeight="false" outlineLevel="0" collapsed="false">
      <c r="B29" s="10" t="s">
        <v>365</v>
      </c>
      <c r="C29" s="16" t="n">
        <v>8.47</v>
      </c>
      <c r="D29" s="49" t="n">
        <v>0.697</v>
      </c>
    </row>
    <row r="30" customFormat="false" ht="15" hidden="false" customHeight="false" outlineLevel="0" collapsed="false">
      <c r="B30" s="10" t="s">
        <v>366</v>
      </c>
      <c r="C30" s="16" t="n">
        <v>8.09</v>
      </c>
      <c r="D30" s="49" t="n">
        <v>0.815</v>
      </c>
    </row>
    <row r="31" customFormat="false" ht="15" hidden="false" customHeight="false" outlineLevel="0" collapsed="false">
      <c r="B31" s="10" t="s">
        <v>367</v>
      </c>
      <c r="C31" s="16" t="n">
        <v>7.31</v>
      </c>
      <c r="D31" s="49" t="n">
        <v>0.784</v>
      </c>
    </row>
    <row r="32" customFormat="false" ht="15" hidden="false" customHeight="false" outlineLevel="0" collapsed="false">
      <c r="B32" s="10" t="s">
        <v>368</v>
      </c>
      <c r="C32" s="16" t="n">
        <v>6.93</v>
      </c>
      <c r="D32" s="49" t="n">
        <v>0.648</v>
      </c>
    </row>
    <row r="33" customFormat="false" ht="15" hidden="false" customHeight="false" outlineLevel="0" collapsed="false">
      <c r="B33" s="10" t="s">
        <v>369</v>
      </c>
      <c r="C33" s="16" t="n">
        <v>6.54</v>
      </c>
      <c r="D33" s="49" t="n">
        <v>0.512</v>
      </c>
    </row>
    <row r="34" customFormat="false" ht="15" hidden="false" customHeight="false" outlineLevel="0" collapsed="false">
      <c r="B34" s="10" t="s">
        <v>370</v>
      </c>
      <c r="C34" s="16" t="n">
        <v>6.16</v>
      </c>
      <c r="D34" s="49" t="n">
        <v>0.394</v>
      </c>
    </row>
    <row r="35" customFormat="false" ht="15" hidden="false" customHeight="false" outlineLevel="0" collapsed="false">
      <c r="B35" s="10" t="s">
        <v>371</v>
      </c>
      <c r="C35" s="16" t="n">
        <v>5.39</v>
      </c>
      <c r="D35" s="49" t="n">
        <v>0.206</v>
      </c>
    </row>
  </sheetData>
  <mergeCells count="5">
    <mergeCell ref="B2:J2"/>
    <mergeCell ref="B3:J3"/>
    <mergeCell ref="B6:J6"/>
    <mergeCell ref="B13:J1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372</v>
      </c>
      <c r="C2" s="1"/>
      <c r="D2" s="1"/>
      <c r="E2" s="1"/>
      <c r="F2" s="1"/>
      <c r="G2" s="1"/>
      <c r="H2" s="1"/>
      <c r="I2" s="1"/>
      <c r="J2" s="1"/>
    </row>
    <row r="3" customFormat="false" ht="15" hidden="false" customHeight="true" outlineLevel="0" collapsed="false">
      <c r="B3" s="4" t="s">
        <v>373</v>
      </c>
      <c r="C3" s="4"/>
      <c r="D3" s="4"/>
      <c r="E3" s="4"/>
      <c r="F3" s="4"/>
      <c r="G3" s="4"/>
      <c r="H3" s="4"/>
      <c r="I3" s="4"/>
      <c r="J3" s="4"/>
    </row>
    <row r="6" customFormat="false" ht="15" hidden="false" customHeight="false" outlineLevel="0" collapsed="false">
      <c r="B6" s="10" t="s">
        <v>374</v>
      </c>
      <c r="C6" s="41" t="n">
        <f aca="false">SOTP!J17-SOTP!J7</f>
        <v>18132.59</v>
      </c>
    </row>
    <row r="7" customFormat="false" ht="15" hidden="false" customHeight="false" outlineLevel="0" collapsed="false">
      <c r="B7" s="10" t="s">
        <v>375</v>
      </c>
      <c r="C7" s="41" t="n">
        <f aca="false">SOTP!D7*SOTP!I7</f>
        <v>656.64</v>
      </c>
    </row>
    <row r="9" customFormat="false" ht="15" hidden="false" customHeight="false" outlineLevel="0" collapsed="false">
      <c r="B9" s="50" t="s">
        <v>376</v>
      </c>
      <c r="C9" s="51" t="n">
        <v>0</v>
      </c>
      <c r="D9" s="51" t="n">
        <v>0.05</v>
      </c>
      <c r="E9" s="51" t="n">
        <v>0.1</v>
      </c>
      <c r="F9" s="51" t="n">
        <v>0.15</v>
      </c>
      <c r="G9" s="51" t="n">
        <v>0.2</v>
      </c>
      <c r="H9" s="51" t="n">
        <v>0.25</v>
      </c>
    </row>
    <row r="10" customFormat="false" ht="15" hidden="false" customHeight="false" outlineLevel="0" collapsed="false">
      <c r="B10" s="52" t="s">
        <v>377</v>
      </c>
      <c r="C10" s="13" t="n">
        <f aca="false">((C6+C7*8)-Assumptions!C73-Assumptions!C74)*(1-C9)/Assumptions!C7</f>
        <v>4.64478554811887</v>
      </c>
      <c r="D10" s="13" t="n">
        <f aca="false">((C6+C7*8)-Assumptions!C73-Assumptions!C74)*(1-D9)/Assumptions!C7</f>
        <v>4.41254627071293</v>
      </c>
      <c r="E10" s="13" t="n">
        <f aca="false">((C6+C7*8)-Assumptions!C73-Assumptions!C74)*(1-E9)/Assumptions!C7</f>
        <v>4.18030699330699</v>
      </c>
      <c r="F10" s="13" t="n">
        <f aca="false">((C6+C7*8)-Assumptions!C73-Assumptions!C74)*(1-F9)/Assumptions!C7</f>
        <v>3.94806771590104</v>
      </c>
      <c r="G10" s="13" t="n">
        <f aca="false">((C6+C7*8)-Assumptions!C73-Assumptions!C74)*(1-G9)/Assumptions!C7</f>
        <v>3.7158284384951</v>
      </c>
      <c r="H10" s="13" t="n">
        <f aca="false">((C6+C7*8)-Assumptions!C73-Assumptions!C74)*(1-H9)/Assumptions!C7</f>
        <v>3.48358916108916</v>
      </c>
    </row>
    <row r="11" customFormat="false" ht="15" hidden="false" customHeight="false" outlineLevel="0" collapsed="false">
      <c r="B11" s="52" t="s">
        <v>378</v>
      </c>
      <c r="C11" s="13" t="n">
        <f aca="false">((C6+C7*10)-Assumptions!C73-Assumptions!C74)*(1-C9)/Assumptions!C7</f>
        <v>4.95153365842691</v>
      </c>
      <c r="D11" s="13" t="n">
        <f aca="false">((C6+C7*10)-Assumptions!C73-Assumptions!C74)*(1-D9)/Assumptions!C7</f>
        <v>4.70395697550556</v>
      </c>
      <c r="E11" s="13" t="n">
        <f aca="false">((C6+C7*10)-Assumptions!C73-Assumptions!C74)*(1-E9)/Assumptions!C7</f>
        <v>4.45638029258422</v>
      </c>
      <c r="F11" s="13" t="n">
        <f aca="false">((C6+C7*10)-Assumptions!C73-Assumptions!C74)*(1-F9)/Assumptions!C7</f>
        <v>4.20880360966287</v>
      </c>
      <c r="G11" s="13" t="n">
        <f aca="false">((C6+C7*10)-Assumptions!C73-Assumptions!C74)*(1-G9)/Assumptions!C7</f>
        <v>3.96122692674153</v>
      </c>
      <c r="H11" s="13" t="n">
        <f aca="false">((C6+C7*10)-Assumptions!C73-Assumptions!C74)*(1-H9)/Assumptions!C7</f>
        <v>3.71365024382018</v>
      </c>
    </row>
    <row r="12" customFormat="false" ht="15" hidden="false" customHeight="false" outlineLevel="0" collapsed="false">
      <c r="B12" s="52" t="s">
        <v>379</v>
      </c>
      <c r="C12" s="13" t="n">
        <f aca="false">((C6+C7*12)-Assumptions!C73-Assumptions!C74)*(1-C9)/Assumptions!C7</f>
        <v>5.25828176873494</v>
      </c>
      <c r="D12" s="13" t="n">
        <f aca="false">((C6+C7*12)-Assumptions!C73-Assumptions!C74)*(1-D9)/Assumptions!C7</f>
        <v>4.99536768029819</v>
      </c>
      <c r="E12" s="13" t="n">
        <f aca="false">((C6+C7*12)-Assumptions!C73-Assumptions!C74)*(1-E9)/Assumptions!C7</f>
        <v>4.73245359186145</v>
      </c>
      <c r="F12" s="13" t="n">
        <f aca="false">((C6+C7*12)-Assumptions!C73-Assumptions!C74)*(1-F9)/Assumptions!C7</f>
        <v>4.4695395034247</v>
      </c>
      <c r="G12" s="13" t="n">
        <f aca="false">((C6+C7*12)-Assumptions!C73-Assumptions!C74)*(1-G9)/Assumptions!C7</f>
        <v>4.20662541498795</v>
      </c>
      <c r="H12" s="13" t="n">
        <f aca="false">((C6+C7*12)-Assumptions!C73-Assumptions!C74)*(1-H9)/Assumptions!C7</f>
        <v>3.94371132655121</v>
      </c>
    </row>
    <row r="13" customFormat="false" ht="15" hidden="false" customHeight="false" outlineLevel="0" collapsed="false">
      <c r="B13" s="52" t="s">
        <v>380</v>
      </c>
      <c r="C13" s="13" t="n">
        <f aca="false">((C6+C7*14)-Assumptions!C73-Assumptions!C74)*(1-C9)/Assumptions!C7</f>
        <v>5.56502987904297</v>
      </c>
      <c r="D13" s="13" t="n">
        <f aca="false">((C6+C7*14)-Assumptions!C73-Assumptions!C74)*(1-D9)/Assumptions!C7</f>
        <v>5.28677838509083</v>
      </c>
      <c r="E13" s="53" t="n">
        <f aca="false">((C6+C7*14)-Assumptions!C73-Assumptions!C74)*(1-E9)/Assumptions!C7</f>
        <v>5.00852689113868</v>
      </c>
      <c r="F13" s="13" t="n">
        <f aca="false">((C6+C7*14)-Assumptions!C73-Assumptions!C74)*(1-F9)/Assumptions!C7</f>
        <v>4.73027539718653</v>
      </c>
      <c r="G13" s="13" t="n">
        <f aca="false">((C6+C7*14)-Assumptions!C73-Assumptions!C74)*(1-G9)/Assumptions!C7</f>
        <v>4.45202390323438</v>
      </c>
      <c r="H13" s="13" t="n">
        <f aca="false">((C6+C7*14)-Assumptions!C73-Assumptions!C74)*(1-H9)/Assumptions!C7</f>
        <v>4.17377240928223</v>
      </c>
    </row>
    <row r="14" customFormat="false" ht="15" hidden="false" customHeight="false" outlineLevel="0" collapsed="false">
      <c r="B14" s="52" t="s">
        <v>381</v>
      </c>
      <c r="C14" s="13" t="n">
        <f aca="false">((C6+C7*16)-Assumptions!C73-Assumptions!C74)*(1-C9)/Assumptions!C7</f>
        <v>5.87177798935101</v>
      </c>
      <c r="D14" s="13" t="n">
        <f aca="false">((C6+C7*16)-Assumptions!C73-Assumptions!C74)*(1-D9)/Assumptions!C7</f>
        <v>5.57818908988346</v>
      </c>
      <c r="E14" s="13" t="n">
        <f aca="false">((C6+C7*16)-Assumptions!C73-Assumptions!C74)*(1-E9)/Assumptions!C7</f>
        <v>5.28460019041591</v>
      </c>
      <c r="F14" s="13" t="n">
        <f aca="false">((C6+C7*16)-Assumptions!C73-Assumptions!C74)*(1-F9)/Assumptions!C7</f>
        <v>4.99101129094836</v>
      </c>
      <c r="G14" s="13" t="n">
        <f aca="false">((C6+C7*16)-Assumptions!C73-Assumptions!C74)*(1-G9)/Assumptions!C7</f>
        <v>4.69742239148081</v>
      </c>
      <c r="H14" s="13" t="n">
        <f aca="false">((C6+C7*16)-Assumptions!C73-Assumptions!C74)*(1-H9)/Assumptions!C7</f>
        <v>4.40383349201326</v>
      </c>
    </row>
    <row r="15" customFormat="false" ht="15" hidden="false" customHeight="false" outlineLevel="0" collapsed="false">
      <c r="B15" s="52" t="s">
        <v>382</v>
      </c>
      <c r="C15" s="13" t="n">
        <f aca="false">((C6+C7*18)-Assumptions!C73-Assumptions!C74)*(1-C9)/Assumptions!C7</f>
        <v>6.17852609965904</v>
      </c>
      <c r="D15" s="13" t="n">
        <f aca="false">((C6+C7*18)-Assumptions!C73-Assumptions!C74)*(1-D9)/Assumptions!C7</f>
        <v>5.86959979467609</v>
      </c>
      <c r="E15" s="13" t="n">
        <f aca="false">((C6+C7*18)-Assumptions!C73-Assumptions!C74)*(1-E9)/Assumptions!C7</f>
        <v>5.56067348969314</v>
      </c>
      <c r="F15" s="13" t="n">
        <f aca="false">((C6+C7*18)-Assumptions!C73-Assumptions!C74)*(1-F9)/Assumptions!C7</f>
        <v>5.25174718471018</v>
      </c>
      <c r="G15" s="13" t="n">
        <f aca="false">((C6+C7*18)-Assumptions!C73-Assumptions!C74)*(1-G9)/Assumptions!C7</f>
        <v>4.94282087972723</v>
      </c>
      <c r="H15" s="13" t="n">
        <f aca="false">((C6+C7*18)-Assumptions!C73-Assumptions!C74)*(1-H9)/Assumptions!C7</f>
        <v>4.63389457474428</v>
      </c>
    </row>
    <row r="17" customFormat="false" ht="15" hidden="false" customHeight="false" outlineLevel="0" collapsed="false">
      <c r="B17" s="10" t="s">
        <v>383</v>
      </c>
      <c r="C17" s="13" t="n">
        <f aca="false">Assumptions!C6</f>
        <v>7.7</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384</v>
      </c>
      <c r="C2" s="1"/>
      <c r="D2" s="1"/>
      <c r="E2" s="1"/>
      <c r="F2" s="1"/>
      <c r="G2" s="1"/>
      <c r="H2" s="1"/>
      <c r="I2" s="1"/>
      <c r="J2" s="1"/>
    </row>
    <row r="3" customFormat="false" ht="15" hidden="false" customHeight="true" outlineLevel="0" collapsed="false">
      <c r="B3" s="4" t="s">
        <v>385</v>
      </c>
      <c r="C3" s="4"/>
      <c r="D3" s="4"/>
      <c r="E3" s="4"/>
      <c r="F3" s="4"/>
      <c r="G3" s="4"/>
      <c r="H3" s="4"/>
      <c r="I3" s="4"/>
      <c r="J3" s="4"/>
    </row>
    <row r="5" customFormat="false" ht="15" hidden="false" customHeight="false" outlineLevel="0" collapsed="false">
      <c r="C5" s="7" t="s">
        <v>293</v>
      </c>
      <c r="D5" s="7" t="s">
        <v>294</v>
      </c>
      <c r="E5" s="7" t="s">
        <v>295</v>
      </c>
      <c r="F5" s="7" t="s">
        <v>272</v>
      </c>
      <c r="G5" s="7" t="s">
        <v>150</v>
      </c>
      <c r="H5" s="7" t="s">
        <v>151</v>
      </c>
      <c r="I5" s="7" t="s">
        <v>152</v>
      </c>
      <c r="J5" s="7" t="s">
        <v>153</v>
      </c>
    </row>
    <row r="6" customFormat="false" ht="15" hidden="false" customHeight="false" outlineLevel="0" collapsed="false">
      <c r="B6" s="10" t="s">
        <v>307</v>
      </c>
      <c r="C6" s="11" t="n">
        <f aca="false">'Income Statement'!C19</f>
        <v>0.114451277755647</v>
      </c>
      <c r="D6" s="11" t="n">
        <f aca="false">'Income Statement'!D19</f>
        <v>0.394272973166392</v>
      </c>
      <c r="E6" s="11" t="n">
        <f aca="false">'Income Statement'!E19</f>
        <v>0.604489605778806</v>
      </c>
      <c r="F6" s="11" t="n">
        <f aca="false">'Income Statement'!F19</f>
        <v>0.933797601251079</v>
      </c>
      <c r="G6" s="11" t="n">
        <f aca="false">'Income Statement'!G19</f>
        <v>1.22135609544456</v>
      </c>
      <c r="H6" s="11" t="n">
        <f aca="false">'Income Statement'!H19</f>
        <v>1.50369555646941</v>
      </c>
      <c r="I6" s="11" t="n">
        <f aca="false">'Income Statement'!I19</f>
        <v>1.80386364413425</v>
      </c>
      <c r="J6" s="11" t="n">
        <f aca="false">'Income Statement'!J19</f>
        <v>2.08179226486012</v>
      </c>
    </row>
    <row r="7" customFormat="false" ht="15" hidden="false" customHeight="false" outlineLevel="0" collapsed="false">
      <c r="B7" s="10" t="s">
        <v>386</v>
      </c>
      <c r="C7" s="13" t="n">
        <f aca="false">'Balance Sheet'!C6/Assumptions!C7</f>
        <v>0.817509126826051</v>
      </c>
      <c r="D7" s="13" t="n">
        <f aca="false">'Balance Sheet'!D6/Assumptions!C7</f>
        <v>1.10994382019354</v>
      </c>
      <c r="E7" s="13" t="n">
        <f aca="false">'Balance Sheet'!E6/Assumptions!C7</f>
        <v>1.75180527177011</v>
      </c>
      <c r="F7" s="13" t="n">
        <f aca="false">'Balance Sheet'!F6/Assumptions!C7</f>
        <v>2.74757307746785</v>
      </c>
      <c r="G7" s="13" t="n">
        <f aca="false">'Balance Sheet'!G6/Assumptions!C7</f>
        <v>4.04998280470101</v>
      </c>
      <c r="H7" s="13" t="n">
        <f aca="false">'Balance Sheet'!H6/Assumptions!C7</f>
        <v>5.65346906628157</v>
      </c>
      <c r="I7" s="13" t="n">
        <f aca="false">'Balance Sheet'!I6/Assumptions!C7</f>
        <v>7.57704366134473</v>
      </c>
      <c r="J7" s="13" t="n">
        <f aca="false">'Balance Sheet'!J6/Assumptions!C7</f>
        <v>9.79699123105466</v>
      </c>
    </row>
    <row r="8" customFormat="false" ht="15" hidden="false" customHeight="false" outlineLevel="0" collapsed="false">
      <c r="B8" s="10" t="s">
        <v>387</v>
      </c>
      <c r="C8" s="35" t="n">
        <f aca="false">Assumptions!C6/'Income Statement'!C19</f>
        <v>67.2775363542857</v>
      </c>
      <c r="D8" s="35" t="n">
        <f aca="false">Assumptions!C6/'Income Statement'!D19</f>
        <v>19.5296165957346</v>
      </c>
      <c r="E8" s="35" t="n">
        <f aca="false">Assumptions!C6/'Income Statement'!E19</f>
        <v>12.7380188615147</v>
      </c>
      <c r="F8" s="35" t="n">
        <f aca="false">Assumptions!C6/'Income Statement'!F19</f>
        <v>8.24589824356341</v>
      </c>
      <c r="G8" s="35" t="n">
        <f aca="false">Assumptions!C6/'Income Statement'!G19</f>
        <v>6.30446765584551</v>
      </c>
      <c r="H8" s="35" t="n">
        <f aca="false">Assumptions!C6/'Income Statement'!H19</f>
        <v>5.12071739979013</v>
      </c>
      <c r="I8" s="35" t="n">
        <f aca="false">Assumptions!C6/'Income Statement'!I19</f>
        <v>4.26861532746038</v>
      </c>
      <c r="J8" s="35" t="n">
        <f aca="false">Assumptions!C6/'Income Statement'!J19</f>
        <v>3.69873600261329</v>
      </c>
    </row>
    <row r="9" customFormat="false" ht="15" hidden="false" customHeight="false" outlineLevel="0" collapsed="false">
      <c r="B9" s="10" t="s">
        <v>388</v>
      </c>
      <c r="C9" s="35" t="n">
        <f aca="false">Assumptions!C6*Assumptions!C7/'Balance Sheet'!C6</f>
        <v>9.4188550896</v>
      </c>
      <c r="D9" s="35" t="n">
        <f aca="false">Assumptions!C6*Assumptions!C7/'Balance Sheet'!D6</f>
        <v>6.93728805</v>
      </c>
      <c r="E9" s="35" t="n">
        <f aca="false">Assumptions!C6*Assumptions!C7/'Balance Sheet'!E6</f>
        <v>4.39546570848</v>
      </c>
      <c r="F9" s="35" t="n">
        <f aca="false">Assumptions!C6*Assumptions!C7/'Balance Sheet'!F6</f>
        <v>2.80247323106553</v>
      </c>
      <c r="G9" s="35" t="n">
        <f aca="false">Assumptions!C6*Assumptions!C7/'Balance Sheet'!G6</f>
        <v>1.90124264010757</v>
      </c>
      <c r="H9" s="35" t="n">
        <f aca="false">Assumptions!C6*Assumptions!C7/'Balance Sheet'!H6</f>
        <v>1.36199560123613</v>
      </c>
      <c r="I9" s="35" t="n">
        <f aca="false">Assumptions!C6*Assumptions!C7/'Balance Sheet'!I6</f>
        <v>1.01622748187166</v>
      </c>
      <c r="J9" s="35" t="n">
        <f aca="false">Assumptions!C6*Assumptions!C7/'Balance Sheet'!J6</f>
        <v>0.785955587629028</v>
      </c>
    </row>
    <row r="10" customFormat="false" ht="15" hidden="false" customHeight="false" outlineLevel="0" collapsed="false">
      <c r="B10" s="10" t="s">
        <v>389</v>
      </c>
      <c r="C10" s="35" t="n">
        <f aca="false">(Assumptions!C6*Assumptions!C7+'Balance Sheet'!C7-'Balance Sheet'!C14)/'Income Statement'!C9</f>
        <v>13.6065880341627</v>
      </c>
      <c r="D10" s="35" t="n">
        <f aca="false">(Assumptions!C6*Assumptions!C7+'Balance Sheet'!D7-'Balance Sheet'!D14)/'Income Statement'!D9</f>
        <v>8.6802036540718</v>
      </c>
      <c r="E10" s="35" t="n">
        <f aca="false">(Assumptions!C6*Assumptions!C7+'Balance Sheet'!E7-'Balance Sheet'!E14)/'Income Statement'!E9</f>
        <v>5.76487087353846</v>
      </c>
      <c r="F10" s="35" t="n">
        <f aca="false">(Assumptions!C6*Assumptions!C7+'Balance Sheet'!F7-'Balance Sheet'!F14)/'Income Statement'!F9</f>
        <v>4.31267325290935</v>
      </c>
      <c r="G10" s="35" t="n">
        <f aca="false">(Assumptions!C6*Assumptions!C7+'Balance Sheet'!G7-'Balance Sheet'!G14)/'Income Statement'!G9</f>
        <v>3.3123945773361</v>
      </c>
      <c r="H10" s="35" t="n">
        <f aca="false">(Assumptions!C6*Assumptions!C7+'Balance Sheet'!H7-'Balance Sheet'!H14)/'Income Statement'!H9</f>
        <v>2.60537282230867</v>
      </c>
      <c r="I10" s="35" t="n">
        <f aca="false">(Assumptions!C6*Assumptions!C7+'Balance Sheet'!I7-'Balance Sheet'!I14)/'Income Statement'!I9</f>
        <v>2.03654858109927</v>
      </c>
      <c r="J10" s="35" t="n">
        <f aca="false">(Assumptions!C6*Assumptions!C7+'Balance Sheet'!J7-'Balance Sheet'!J14)/'Income Statement'!J9</f>
        <v>1.57547944033335</v>
      </c>
    </row>
    <row r="11" customFormat="false" ht="15" hidden="false" customHeight="false" outlineLevel="0" collapsed="false">
      <c r="B11" s="10" t="s">
        <v>390</v>
      </c>
      <c r="C11" s="54" t="n">
        <f aca="false">'Income Statement'!C18/'Balance Sheet'!C6</f>
        <v>0.14</v>
      </c>
      <c r="D11" s="54" t="n">
        <f aca="false">'Income Statement'!D18/'Balance Sheet'!D6</f>
        <v>0.355218855218855</v>
      </c>
      <c r="E11" s="54" t="n">
        <f aca="false">'Income Statement'!E18/'Balance Sheet'!E6</f>
        <v>0.345066666666667</v>
      </c>
      <c r="F11" s="54" t="n">
        <f aca="false">'Income Statement'!F18/'Balance Sheet'!F6</f>
        <v>0.339862698797319</v>
      </c>
      <c r="G11" s="54" t="n">
        <f aca="false">'Income Statement'!G18/'Balance Sheet'!G6</f>
        <v>0.301570686677207</v>
      </c>
      <c r="H11" s="54" t="n">
        <f aca="false">'Income Statement'!H18/'Balance Sheet'!H6</f>
        <v>0.265977497858395</v>
      </c>
      <c r="I11" s="54" t="n">
        <f aca="false">'Income Statement'!I18/'Balance Sheet'!I6</f>
        <v>0.238069585547843</v>
      </c>
      <c r="J11" s="54" t="n">
        <f aca="false">'Income Statement'!J18/'Balance Sheet'!J6</f>
        <v>0.212493021149312</v>
      </c>
    </row>
    <row r="12" customFormat="false" ht="15" hidden="false" customHeight="false" outlineLevel="0" collapsed="false">
      <c r="B12" s="10" t="s">
        <v>391</v>
      </c>
      <c r="C12" s="55" t="n">
        <f aca="false">('Balance Sheet'!C7-'Balance Sheet'!C14)/'Income Statement'!C9</f>
        <v>2.52185608607935</v>
      </c>
      <c r="D12" s="55" t="n">
        <f aca="false">('Balance Sheet'!D7-'Balance Sheet'!D14)/'Income Statement'!D9</f>
        <v>1.91794871794872</v>
      </c>
      <c r="E12" s="55" t="n">
        <f aca="false">('Balance Sheet'!E7-'Balance Sheet'!E14)/'Income Statement'!E9</f>
        <v>1.53846153846154</v>
      </c>
      <c r="F12" s="55" t="n">
        <f aca="false">('Balance Sheet'!F7-'Balance Sheet'!F14)/'Income Statement'!F9</f>
        <v>1.15959882929915</v>
      </c>
      <c r="G12" s="55" t="n">
        <f aca="false">('Balance Sheet'!G7-'Balance Sheet'!G14)/'Income Statement'!G9</f>
        <v>0.847832682950954</v>
      </c>
      <c r="H12" s="55" t="n">
        <f aca="false">('Balance Sheet'!H7-'Balance Sheet'!H14)/'Income Statement'!H9</f>
        <v>0.582689449391566</v>
      </c>
      <c r="I12" s="55" t="n">
        <f aca="false">('Balance Sheet'!I7-'Balance Sheet'!I14)/'Income Statement'!I9</f>
        <v>0.333562197472168</v>
      </c>
      <c r="J12" s="55" t="n">
        <f aca="false">('Balance Sheet'!J7-'Balance Sheet'!J14)/'Income Statement'!J9</f>
        <v>0.0926972739523752</v>
      </c>
    </row>
    <row r="13" customFormat="false" ht="15" hidden="false" customHeight="false" outlineLevel="0" collapsed="false">
      <c r="B13" s="10" t="s">
        <v>392</v>
      </c>
      <c r="C13" s="49" t="s">
        <v>337</v>
      </c>
      <c r="D13" s="54" t="n">
        <f aca="false">'Income Statement'!D6/'Income Statement'!C6-1</f>
        <v>0.441501597444089</v>
      </c>
      <c r="E13" s="54" t="n">
        <f aca="false">'Income Statement'!E6/'Income Statement'!D6-1</f>
        <v>0.414681176444513</v>
      </c>
      <c r="F13" s="54" t="n">
        <f aca="false">'Income Statement'!F6/'Income Statement'!E6-1</f>
        <v>0.3</v>
      </c>
      <c r="G13" s="54" t="n">
        <f aca="false">'Income Statement'!G6/'Income Statement'!F6-1</f>
        <v>0.24</v>
      </c>
      <c r="H13" s="54" t="n">
        <f aca="false">'Income Statement'!H6/'Income Statement'!G6-1</f>
        <v>0.2</v>
      </c>
      <c r="I13" s="54" t="n">
        <f aca="false">'Income Statement'!I6/'Income Statement'!H6-1</f>
        <v>0.17</v>
      </c>
      <c r="J13" s="54" t="n">
        <f aca="false">'Income Statement'!J6/'Income Statement'!I6-1</f>
        <v>0.14</v>
      </c>
    </row>
  </sheetData>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0" min="3" style="0" width="13"/>
  </cols>
  <sheetData>
    <row r="2" customFormat="false" ht="25.5" hidden="false" customHeight="true" outlineLevel="0" collapsed="false">
      <c r="B2" s="1" t="s">
        <v>393</v>
      </c>
      <c r="C2" s="1"/>
      <c r="D2" s="1"/>
      <c r="E2" s="1"/>
      <c r="F2" s="1"/>
      <c r="G2" s="1"/>
      <c r="H2" s="1"/>
      <c r="I2" s="1"/>
      <c r="J2" s="1"/>
    </row>
    <row r="3" customFormat="false" ht="15" hidden="false" customHeight="true" outlineLevel="0" collapsed="false">
      <c r="B3" s="4" t="s">
        <v>394</v>
      </c>
      <c r="C3" s="4"/>
      <c r="D3" s="4"/>
      <c r="E3" s="4"/>
      <c r="F3" s="4"/>
      <c r="G3" s="4"/>
      <c r="H3" s="4"/>
      <c r="I3" s="4"/>
      <c r="J3" s="4"/>
    </row>
    <row r="5" customFormat="false" ht="15" hidden="false" customHeight="false" outlineLevel="0" collapsed="false">
      <c r="B5" s="6" t="s">
        <v>395</v>
      </c>
      <c r="C5" s="7" t="s">
        <v>396</v>
      </c>
      <c r="D5" s="7" t="s">
        <v>397</v>
      </c>
      <c r="E5" s="7" t="s">
        <v>232</v>
      </c>
    </row>
    <row r="6" customFormat="false" ht="15" hidden="false" customHeight="true" outlineLevel="0" collapsed="false">
      <c r="B6" s="10" t="s">
        <v>398</v>
      </c>
      <c r="C6" s="56" t="n">
        <v>6.5</v>
      </c>
      <c r="D6" s="56" t="n">
        <v>5.5</v>
      </c>
      <c r="E6" s="40" t="s">
        <v>399</v>
      </c>
      <c r="F6" s="40"/>
      <c r="G6" s="40"/>
      <c r="H6" s="40"/>
      <c r="I6" s="40"/>
      <c r="J6" s="40"/>
    </row>
    <row r="7" customFormat="false" ht="15" hidden="false" customHeight="true" outlineLevel="0" collapsed="false">
      <c r="B7" s="10" t="s">
        <v>400</v>
      </c>
      <c r="C7" s="56" t="n">
        <v>7.5</v>
      </c>
      <c r="D7" s="56" t="n">
        <v>6</v>
      </c>
      <c r="E7" s="40" t="s">
        <v>401</v>
      </c>
      <c r="F7" s="40"/>
      <c r="G7" s="40"/>
      <c r="H7" s="40"/>
      <c r="I7" s="40"/>
      <c r="J7" s="40"/>
    </row>
    <row r="8" customFormat="false" ht="15" hidden="false" customHeight="true" outlineLevel="0" collapsed="false">
      <c r="B8" s="10" t="s">
        <v>402</v>
      </c>
      <c r="C8" s="56" t="n">
        <v>6</v>
      </c>
      <c r="D8" s="56"/>
      <c r="E8" s="40" t="s">
        <v>403</v>
      </c>
      <c r="F8" s="40"/>
      <c r="G8" s="40"/>
      <c r="H8" s="40"/>
      <c r="I8" s="40"/>
      <c r="J8" s="40"/>
    </row>
    <row r="9" customFormat="false" ht="15" hidden="false" customHeight="true" outlineLevel="0" collapsed="false">
      <c r="B9" s="10" t="s">
        <v>404</v>
      </c>
      <c r="C9" s="56" t="n">
        <v>8</v>
      </c>
      <c r="D9" s="56" t="n">
        <v>6.5</v>
      </c>
      <c r="E9" s="40" t="s">
        <v>405</v>
      </c>
      <c r="F9" s="40"/>
      <c r="G9" s="40"/>
      <c r="H9" s="40"/>
      <c r="I9" s="40"/>
      <c r="J9" s="40"/>
    </row>
    <row r="10" customFormat="false" ht="15" hidden="false" customHeight="false" outlineLevel="0" collapsed="false">
      <c r="B10" s="8" t="s">
        <v>406</v>
      </c>
      <c r="C10" s="57" t="n">
        <f aca="false">Assumptions!C101</f>
        <v>9</v>
      </c>
      <c r="D10" s="57" t="n">
        <f aca="false">Assumptions!C102</f>
        <v>6</v>
      </c>
    </row>
    <row r="11" customFormat="false" ht="15" hidden="false" customHeight="false" outlineLevel="0" collapsed="false">
      <c r="B11" s="14" t="s">
        <v>407</v>
      </c>
      <c r="C11" s="58" t="n">
        <f aca="false">Assumptions!C6/'Income Statement'!E19</f>
        <v>12.7380188615147</v>
      </c>
      <c r="D11" s="58" t="n">
        <f aca="false">(Assumptions!C6*Assumptions!C7+'Balance Sheet'!E7-'Balance Sheet'!E14)/'Income Statement'!E9</f>
        <v>5.76487087353846</v>
      </c>
    </row>
  </sheetData>
  <mergeCells count="6">
    <mergeCell ref="B2:J2"/>
    <mergeCell ref="B3:J3"/>
    <mergeCell ref="E6:J6"/>
    <mergeCell ref="E7:J7"/>
    <mergeCell ref="E8:J8"/>
    <mergeCell ref="E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2026-07-03T02:41:24Z</dcterms:created>
  <dc:creator>openpyxl</dc:creator>
  <dc:description/>
  <dc:language>en-US</dc:language>
  <cp:lastModifiedBy/>
  <dcterms:modified xsi:type="dcterms:W3CDTF">2026-07-03T02:41:24Z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