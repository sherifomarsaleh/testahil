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omments13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FCFF Valuation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Investing.com OHLC series, close 01-Jul-2026</t>
        </r>
      </text>
    </comment>
    <comment ref="B7" authorId="0">
      <text>
        <r>
          <rPr>
            <sz val="10"/>
            <rFont val="Arial"/>
            <family val="2"/>
          </rPr>
          <t xml:space="preserve">african-markets.com, 05-Jan-2026, post-2025 capital action</t>
        </r>
      </text>
    </comment>
    <comment ref="B8" authorId="0">
      <text>
        <r>
          <rPr>
            <sz val="10"/>
            <rFont val="Arial"/>
            <family val="2"/>
          </rPr>
          <t xml:space="preserve">Edita 1Q2026 ER, 17-May-2026</t>
        </r>
      </text>
    </comment>
    <comment ref="B9" authorId="0">
      <text>
        <r>
          <rPr>
            <sz val="10"/>
            <rFont val="Arial"/>
            <family val="2"/>
          </rPr>
          <t xml:space="preserve">mid-2026 indicative</t>
        </r>
      </text>
    </comment>
    <comment ref="B60" authorId="0">
      <text>
        <r>
          <rPr>
            <sz val="10"/>
            <rFont val="Arial"/>
            <family val="2"/>
          </rPr>
          <t xml:space="preserve">mc_v2 YZ-HAR run, files/mc_EFID.json</t>
        </r>
      </text>
    </comment>
    <comment ref="B61" authorId="0">
      <text>
        <r>
          <rPr>
            <sz val="10"/>
            <rFont val="Arial"/>
            <family val="2"/>
          </rPr>
          <t xml:space="preserve">mc_v2 YZ-HAR run, files/mc_EFID.json</t>
        </r>
      </text>
    </comment>
    <comment ref="B62" authorId="0">
      <text>
        <r>
          <rPr>
            <sz val="10"/>
            <rFont val="Arial"/>
            <family val="2"/>
          </rPr>
          <t xml:space="preserve">mc_v2 YZ-HAR run, files/mc_EFID.json</t>
        </r>
      </text>
    </comment>
    <comment ref="B63" authorId="0">
      <text>
        <r>
          <rPr>
            <sz val="10"/>
            <rFont val="Arial"/>
            <family val="2"/>
          </rPr>
          <t xml:space="preserve">mc_v2 YZ-HAR run, files/mc_EFID.json</t>
        </r>
      </text>
    </comment>
    <comment ref="B64" authorId="0">
      <text>
        <r>
          <rPr>
            <sz val="10"/>
            <rFont val="Arial"/>
            <family val="2"/>
          </rPr>
          <t xml:space="preserve">mc_v2 YZ-HAR run, files/mc_EFID.json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B5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B6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B7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B8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B9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B10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B11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C4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C5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C6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C7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C8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C9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C10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C11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D4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D5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D6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D7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D8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D9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D10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D11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E4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E5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E6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E7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E8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E9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E10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E11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F4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F5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F6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F7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F8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F9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F10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F11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G4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G5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G6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G7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G8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G9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G10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  <comment ref="G11" authorId="0">
      <text>
        <r>
          <rPr>
            <sz val="10"/>
            <rFont val="Arial"/>
            <family val="2"/>
          </rPr>
          <t xml:space="preserve">Edita FY2024/FY2025 earnings releases (segment tables)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  <comment ref="C6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  <comment ref="C7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  <comment ref="C8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  <comment ref="C9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  <comment ref="D5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  <comment ref="D6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  <comment ref="D7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  <comment ref="D8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  <comment ref="D9" authorId="0">
      <text>
        <r>
          <rPr>
            <sz val="10"/>
            <rFont val="Arial"/>
            <family val="2"/>
          </rPr>
          <t xml:space="preserve">Testahil estimate, public data Jul-2026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FY2024 ER (FY2023 comparatives), 09-Mar-2025; D&amp;A and net finance are Testahil estimates</t>
        </r>
      </text>
    </comment>
    <comment ref="B7" authorId="0">
      <text>
        <r>
          <rPr>
            <sz val="10"/>
            <rFont val="Arial"/>
            <family val="2"/>
          </rPr>
          <t xml:space="preserve">FY2024 ER (FY2023 comparatives), 09-Mar-2025; D&amp;A and net finance are Testahil estimates</t>
        </r>
      </text>
    </comment>
    <comment ref="B10" authorId="0">
      <text>
        <r>
          <rPr>
            <sz val="10"/>
            <rFont val="Arial"/>
            <family val="2"/>
          </rPr>
          <t xml:space="preserve">FY2024 ER (FY2023 comparatives), 09-Mar-2025; D&amp;A and net finance are Testahil estimates</t>
        </r>
      </text>
    </comment>
    <comment ref="B12" authorId="0">
      <text>
        <r>
          <rPr>
            <sz val="10"/>
            <rFont val="Arial"/>
            <family val="2"/>
          </rPr>
          <t xml:space="preserve">FY2024 ER (FY2023 comparatives), 09-Mar-2025; D&amp;A and net finance are Testahil estimates</t>
        </r>
      </text>
    </comment>
    <comment ref="B14" authorId="0">
      <text>
        <r>
          <rPr>
            <sz val="10"/>
            <rFont val="Arial"/>
            <family val="2"/>
          </rPr>
          <t xml:space="preserve">FY2024 ER (FY2023 comparatives), 09-Mar-2025; D&amp;A and net finance are Testahil estimates</t>
        </r>
      </text>
    </comment>
    <comment ref="B16" authorId="0">
      <text>
        <r>
          <rPr>
            <sz val="10"/>
            <rFont val="Arial"/>
            <family val="2"/>
          </rPr>
          <t xml:space="preserve">tax as balancing figure (PBT − reported NP)</t>
        </r>
      </text>
    </comment>
    <comment ref="B17" authorId="0">
      <text>
        <r>
          <rPr>
            <sz val="10"/>
            <rFont val="Arial"/>
            <family val="2"/>
          </rPr>
          <t xml:space="preserve">FY2024 ER (FY2023 comparatives), 09-Mar-2025; D&amp;A and net finance are Testahil estimates</t>
        </r>
      </text>
    </comment>
    <comment ref="C4" authorId="0">
      <text>
        <r>
          <rPr>
            <sz val="10"/>
            <rFont val="Arial"/>
            <family val="2"/>
          </rPr>
          <t xml:space="preserve">FY2024/FY2025 ER</t>
        </r>
      </text>
    </comment>
    <comment ref="C7" authorId="0">
      <text>
        <r>
          <rPr>
            <sz val="10"/>
            <rFont val="Arial"/>
            <family val="2"/>
          </rPr>
          <t xml:space="preserve">FY2024/FY2025 ER</t>
        </r>
      </text>
    </comment>
    <comment ref="C10" authorId="0">
      <text>
        <r>
          <rPr>
            <sz val="10"/>
            <rFont val="Arial"/>
            <family val="2"/>
          </rPr>
          <t xml:space="preserve">FY2024/FY2025 ER</t>
        </r>
      </text>
    </comment>
    <comment ref="C12" authorId="0">
      <text>
        <r>
          <rPr>
            <sz val="10"/>
            <rFont val="Arial"/>
            <family val="2"/>
          </rPr>
          <t xml:space="preserve">FY2024/FY2025 ER</t>
        </r>
      </text>
    </comment>
    <comment ref="C14" authorId="0">
      <text>
        <r>
          <rPr>
            <sz val="10"/>
            <rFont val="Arial"/>
            <family val="2"/>
          </rPr>
          <t xml:space="preserve">FY2024/FY2025 ER</t>
        </r>
      </text>
    </comment>
    <comment ref="C16" authorId="0">
      <text>
        <r>
          <rPr>
            <sz val="10"/>
            <rFont val="Arial"/>
            <family val="2"/>
          </rPr>
          <t xml:space="preserve">FY2024/FY2025 ER</t>
        </r>
      </text>
    </comment>
    <comment ref="D4" authorId="0">
      <text>
        <r>
          <rPr>
            <sz val="10"/>
            <rFont val="Arial"/>
            <family val="2"/>
          </rPr>
          <t xml:space="preserve">FY2025 ER, 11-Mar-2026</t>
        </r>
      </text>
    </comment>
    <comment ref="D7" authorId="0">
      <text>
        <r>
          <rPr>
            <sz val="10"/>
            <rFont val="Arial"/>
            <family val="2"/>
          </rPr>
          <t xml:space="preserve">FY2025 ER, 11-Mar-2026</t>
        </r>
      </text>
    </comment>
    <comment ref="D10" authorId="0">
      <text>
        <r>
          <rPr>
            <sz val="10"/>
            <rFont val="Arial"/>
            <family val="2"/>
          </rPr>
          <t xml:space="preserve">FY2025 ER, 11-Mar-2026</t>
        </r>
      </text>
    </comment>
    <comment ref="D12" authorId="0">
      <text>
        <r>
          <rPr>
            <sz val="10"/>
            <rFont val="Arial"/>
            <family val="2"/>
          </rPr>
          <t xml:space="preserve">FY2025 ER, 11-Mar-2026</t>
        </r>
      </text>
    </comment>
    <comment ref="D14" authorId="0">
      <text>
        <r>
          <rPr>
            <sz val="10"/>
            <rFont val="Arial"/>
            <family val="2"/>
          </rPr>
          <t xml:space="preserve">FY2025 ER, 11-Mar-2026</t>
        </r>
      </text>
    </comment>
    <comment ref="D16" authorId="0">
      <text>
        <r>
          <rPr>
            <sz val="10"/>
            <rFont val="Arial"/>
            <family val="2"/>
          </rPr>
          <t xml:space="preserve">FY2025 ER, 11-Mar-2026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FY2024 ER (FY2023 comparatives); PP&amp;E, other assets &amp; equity are Testahil estimates (equity rolled from disclosed NP/dividends)</t>
        </r>
      </text>
    </comment>
    <comment ref="B6" authorId="0">
      <text>
        <r>
          <rPr>
            <sz val="10"/>
            <rFont val="Arial"/>
            <family val="2"/>
          </rPr>
          <t xml:space="preserve">FY2024 ER (FY2023 comparatives); PP&amp;E, other assets &amp; equity are Testahil estimates (equity rolled from disclosed NP/dividends)</t>
        </r>
      </text>
    </comment>
    <comment ref="B7" authorId="0">
      <text>
        <r>
          <rPr>
            <sz val="10"/>
            <rFont val="Arial"/>
            <family val="2"/>
          </rPr>
          <t xml:space="preserve">FY2024 ER (FY2023 comparatives); PP&amp;E, other assets &amp; equity are Testahil estimates (equity rolled from disclosed NP/dividends)</t>
        </r>
      </text>
    </comment>
    <comment ref="B8" authorId="0">
      <text>
        <r>
          <rPr>
            <sz val="10"/>
            <rFont val="Arial"/>
            <family val="2"/>
          </rPr>
          <t xml:space="preserve">FY2024 ER (FY2023 comparatives); PP&amp;E, other assets &amp; equity are Testahil estimates (equity rolled from disclosed NP/dividends)</t>
        </r>
      </text>
    </comment>
    <comment ref="B9" authorId="0">
      <text>
        <r>
          <rPr>
            <sz val="10"/>
            <rFont val="Arial"/>
            <family val="2"/>
          </rPr>
          <t xml:space="preserve">FY2024 ER (FY2023 comparatives); PP&amp;E, other assets &amp; equity are Testahil estimates (equity rolled from disclosed NP/dividends)</t>
        </r>
      </text>
    </comment>
    <comment ref="B13" authorId="0">
      <text>
        <r>
          <rPr>
            <sz val="10"/>
            <rFont val="Arial"/>
            <family val="2"/>
          </rPr>
          <t xml:space="preserve">FY2024 ER (FY2023 comparatives); PP&amp;E, other assets &amp; equity are Testahil estimates (equity rolled from disclosed NP/dividends)</t>
        </r>
      </text>
    </comment>
    <comment ref="B14" authorId="0">
      <text>
        <r>
          <rPr>
            <sz val="10"/>
            <rFont val="Arial"/>
            <family val="2"/>
          </rPr>
          <t xml:space="preserve">FY2024 ER (FY2023 comparatives); PP&amp;E, other assets &amp; equity are Testahil estimates (equity rolled from disclosed NP/dividends)</t>
        </r>
      </text>
    </comment>
    <comment ref="B15" authorId="0">
      <text>
        <r>
          <rPr>
            <sz val="10"/>
            <rFont val="Arial"/>
            <family val="2"/>
          </rPr>
          <t xml:space="preserve">balancing figure</t>
        </r>
      </text>
    </comment>
    <comment ref="B17" authorId="0">
      <text>
        <r>
          <rPr>
            <sz val="10"/>
            <rFont val="Arial"/>
            <family val="2"/>
          </rPr>
          <t xml:space="preserve">FY2024 ER (FY2023 comparatives); PP&amp;E, other assets &amp; equity are Testahil estimates (equity rolled from disclosed NP/dividends)</t>
        </r>
      </text>
    </comment>
    <comment ref="C5" authorId="0">
      <text>
        <r>
          <rPr>
            <sz val="10"/>
            <rFont val="Arial"/>
            <family val="2"/>
          </rPr>
          <t xml:space="preserve">FY2024 ER, 09-Mar-2025; PP&amp;E/other/equity Testahil estimates</t>
        </r>
      </text>
    </comment>
    <comment ref="C6" authorId="0">
      <text>
        <r>
          <rPr>
            <sz val="10"/>
            <rFont val="Arial"/>
            <family val="2"/>
          </rPr>
          <t xml:space="preserve">FY2024 ER, 09-Mar-2025; PP&amp;E/other/equity Testahil estimates</t>
        </r>
      </text>
    </comment>
    <comment ref="C7" authorId="0">
      <text>
        <r>
          <rPr>
            <sz val="10"/>
            <rFont val="Arial"/>
            <family val="2"/>
          </rPr>
          <t xml:space="preserve">FY2024 ER, 09-Mar-2025; PP&amp;E/other/equity Testahil estimates</t>
        </r>
      </text>
    </comment>
    <comment ref="C8" authorId="0">
      <text>
        <r>
          <rPr>
            <sz val="10"/>
            <rFont val="Arial"/>
            <family val="2"/>
          </rPr>
          <t xml:space="preserve">FY2024 ER, 09-Mar-2025; PP&amp;E/other/equity Testahil estimates</t>
        </r>
      </text>
    </comment>
    <comment ref="C9" authorId="0">
      <text>
        <r>
          <rPr>
            <sz val="10"/>
            <rFont val="Arial"/>
            <family val="2"/>
          </rPr>
          <t xml:space="preserve">FY2024 ER, 09-Mar-2025; PP&amp;E/other/equity Testahil estimates</t>
        </r>
      </text>
    </comment>
    <comment ref="C13" authorId="0">
      <text>
        <r>
          <rPr>
            <sz val="10"/>
            <rFont val="Arial"/>
            <family val="2"/>
          </rPr>
          <t xml:space="preserve">FY2024 ER, 09-Mar-2025; PP&amp;E/other/equity Testahil estimates</t>
        </r>
      </text>
    </comment>
    <comment ref="C14" authorId="0">
      <text>
        <r>
          <rPr>
            <sz val="10"/>
            <rFont val="Arial"/>
            <family val="2"/>
          </rPr>
          <t xml:space="preserve">FY2024 ER, 09-Mar-2025; PP&amp;E/other/equity Testahil estimates</t>
        </r>
      </text>
    </comment>
    <comment ref="C15" authorId="0">
      <text>
        <r>
          <rPr>
            <sz val="10"/>
            <rFont val="Arial"/>
            <family val="2"/>
          </rPr>
          <t xml:space="preserve">balancing figure</t>
        </r>
      </text>
    </comment>
    <comment ref="C17" authorId="0">
      <text>
        <r>
          <rPr>
            <sz val="10"/>
            <rFont val="Arial"/>
            <family val="2"/>
          </rPr>
          <t xml:space="preserve">FY2024 ER, 09-Mar-2025; PP&amp;E/other/equity Testahil estimates</t>
        </r>
      </text>
    </comment>
    <comment ref="D5" authorId="0">
      <text>
        <r>
          <rPr>
            <sz val="10"/>
            <rFont val="Arial"/>
            <family val="2"/>
          </rPr>
          <t xml:space="preserve">FY2025 ER, 11-Mar-2026; PP&amp;E/other/equity Testahil estimates</t>
        </r>
      </text>
    </comment>
    <comment ref="D6" authorId="0">
      <text>
        <r>
          <rPr>
            <sz val="10"/>
            <rFont val="Arial"/>
            <family val="2"/>
          </rPr>
          <t xml:space="preserve">FY2025 ER, 11-Mar-2026; PP&amp;E/other/equity Testahil estimates</t>
        </r>
      </text>
    </comment>
    <comment ref="D7" authorId="0">
      <text>
        <r>
          <rPr>
            <sz val="10"/>
            <rFont val="Arial"/>
            <family val="2"/>
          </rPr>
          <t xml:space="preserve">FY2025 ER, 11-Mar-2026; PP&amp;E/other/equity Testahil estimates</t>
        </r>
      </text>
    </comment>
    <comment ref="D8" authorId="0">
      <text>
        <r>
          <rPr>
            <sz val="10"/>
            <rFont val="Arial"/>
            <family val="2"/>
          </rPr>
          <t xml:space="preserve">FY2025 ER, 11-Mar-2026; PP&amp;E/other/equity Testahil estimates</t>
        </r>
      </text>
    </comment>
    <comment ref="D9" authorId="0">
      <text>
        <r>
          <rPr>
            <sz val="10"/>
            <rFont val="Arial"/>
            <family val="2"/>
          </rPr>
          <t xml:space="preserve">FY2025 ER, 11-Mar-2026; PP&amp;E/other/equity Testahil estimates</t>
        </r>
      </text>
    </comment>
    <comment ref="D13" authorId="0">
      <text>
        <r>
          <rPr>
            <sz val="10"/>
            <rFont val="Arial"/>
            <family val="2"/>
          </rPr>
          <t xml:space="preserve">FY2025 ER, 11-Mar-2026; PP&amp;E/other/equity Testahil estimates</t>
        </r>
      </text>
    </comment>
    <comment ref="D14" authorId="0">
      <text>
        <r>
          <rPr>
            <sz val="10"/>
            <rFont val="Arial"/>
            <family val="2"/>
          </rPr>
          <t xml:space="preserve">FY2025 ER, 11-Mar-2026; PP&amp;E/other/equity Testahil estimates</t>
        </r>
      </text>
    </comment>
    <comment ref="D15" authorId="0">
      <text>
        <r>
          <rPr>
            <sz val="10"/>
            <rFont val="Arial"/>
            <family val="2"/>
          </rPr>
          <t xml:space="preserve">balancing figure</t>
        </r>
      </text>
    </comment>
    <comment ref="D17" authorId="0">
      <text>
        <r>
          <rPr>
            <sz val="10"/>
            <rFont val="Arial"/>
            <family val="2"/>
          </rPr>
          <t xml:space="preserve">FY2025 ER, 11-Mar-2026; PP&amp;E/other/equity Testahil estimates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FY2025 ER</t>
        </r>
      </text>
    </comment>
    <comment ref="D5" authorId="0">
      <text>
        <r>
          <rPr>
            <sz val="10"/>
            <rFont val="Arial"/>
            <family val="2"/>
          </rPr>
          <t xml:space="preserve">FY2025 ER</t>
        </r>
      </text>
    </comment>
    <comment ref="D9" authorId="0">
      <text>
        <r>
          <rPr>
            <sz val="10"/>
            <rFont val="Arial"/>
            <family val="2"/>
          </rPr>
          <t xml:space="preserve">payables balancing figures, FY25 vs FY24</t>
        </r>
      </text>
    </comment>
    <comment ref="D11" authorId="0">
      <text>
        <r>
          <rPr>
            <sz val="10"/>
            <rFont val="Arial"/>
            <family val="2"/>
          </rPr>
          <t xml:space="preserve">FY2025 ER capex</t>
        </r>
      </text>
    </comment>
    <comment ref="D13" authorId="0">
      <text>
        <r>
          <rPr>
            <sz val="10"/>
            <rFont val="Arial"/>
            <family val="2"/>
          </rPr>
          <t xml:space="preserve">FY2024 dividend paid Apr-2025, Mubasher OGM filing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  <comment ref="B7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  <comment ref="C6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  <comment ref="C7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  <comment ref="D6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  <comment ref="D7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  <comment ref="E6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  <comment ref="E7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  <comment ref="F6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  <comment ref="F7" authorId="0">
      <text>
        <r>
          <rPr>
            <sz val="10"/>
            <rFont val="Arial"/>
            <family val="2"/>
          </rPr>
          <t xml:space="preserve">mc_v2 run 03-Jul-2026, files/mc_EFID.json</t>
        </r>
      </text>
    </comment>
  </commentList>
</comments>
</file>

<file path=xl/sharedStrings.xml><?xml version="1.0" encoding="utf-8"?>
<sst xmlns="http://schemas.openxmlformats.org/spreadsheetml/2006/main" count="385" uniqueCount="298">
  <si>
    <t xml:space="preserve">READ FIRST — Testahil · Independent Valuation Study — Educational Analysis</t>
  </si>
  <si>
    <t xml:space="preserve">This workbook accompanies the Edita Food Industries (EGX: EFID) independent valuation study dated 03 July 2026. It is an educational analysis, not investment advice, not a recommendation, and it contains no rating or price target.</t>
  </si>
  <si>
    <t xml:space="preserve">How to use it: all inputs live on the 'Assumptions' sheet as blue cells. Every downstream sheet links back to that single input layer, so changing one input (e.g. WACC, terminal growth, a segment growth rate or a target multiple) reprices the whole model. Black cells are formulas; green cells are cross-sheet links; yellow-shaded cells are Testahil estimates where the company has not disclosed the line, with the method noted in a cell comment.</t>
  </si>
  <si>
    <t xml:space="preserve">Structure: Summary -&gt; Fundamental Valuation (five lenses) -&gt; Assumptions -&gt; FCFF Valuation (primary lens) -&gt; Segments -&gt; Relative &amp; Normalized -&gt; DCF -&gt; Income Statement -&gt; Balance Sheet -&gt; Cash Flow -&gt; Summary Financials -&gt; Monte Carlo -&gt; Sensitivity -&gt; Per-Share &amp; Ratios -&gt; Peer &amp; Sector.</t>
  </si>
  <si>
    <t xml:space="preserve">Sources: Edita earnings releases FY2023-FY2025 and 1Q2026 (IFRS management accounts), EGX disclosures via Mubasher, african-markets.com for share count. Each hardcoded figure carries its source and as-of date in a cell comment.</t>
  </si>
  <si>
    <t xml:space="preserve">The Monte Carlo sheet reports the mc_v2 (YZ-HAR, Student-t5, drift OFF for this asset class) simulation of 03-Jul-2026, seed 42, 50,000 paths. The paths diffuse from spot; the Section-1 fundamental value gap is deliberately kept out of the drift.</t>
  </si>
  <si>
    <t xml:space="preserve">Prepared by Testahil (testahil.com). The preparer is not licensed by the Egyptian Financial Regulatory Authority. The preparer may hold, and may in the future take or dispose of, a position in the security discussed in this report.</t>
  </si>
  <si>
    <t xml:space="preserve">Summary — Edita Food Industries (EGX: EFID) · 03-Jul-2026</t>
  </si>
  <si>
    <t xml:space="preserve">Anchor</t>
  </si>
  <si>
    <t xml:space="preserve">Spot (EGP)</t>
  </si>
  <si>
    <t xml:space="preserve">Shares (m)</t>
  </si>
  <si>
    <t xml:space="preserve">Market cap (EGP m)</t>
  </si>
  <si>
    <t xml:space="preserve">Net cash (EGP m)</t>
  </si>
  <si>
    <t xml:space="preserve">Enterprise value (EGP m)</t>
  </si>
  <si>
    <t xml:space="preserve">Fair value</t>
  </si>
  <si>
    <t xml:space="preserve">Weighted fair value (EGP/share)</t>
  </si>
  <si>
    <t xml:space="preserve">Upside vs spot</t>
  </si>
  <si>
    <t xml:space="preserve">DCF (primary lens)</t>
  </si>
  <si>
    <t xml:space="preserve">Bear / Bull (FCFF scenarios)</t>
  </si>
  <si>
    <t xml:space="preserve">Monte Carlo (T+60, from spot — value gap not in drift)</t>
  </si>
  <si>
    <t xml:space="preserve">Median</t>
  </si>
  <si>
    <t xml:space="preserve">50% band (P25–P75)</t>
  </si>
  <si>
    <t xml:space="preserve">90% band (P5–P95)</t>
  </si>
  <si>
    <t xml:space="preserve">P(above spot at T+60)</t>
  </si>
  <si>
    <t xml:space="preserve">Verdict (educational, not advice)</t>
  </si>
  <si>
    <t xml:space="preserve">Quality compounder at a full-ish price: the weighted fair value sits modestly above spot, driven by a 30%-growth FY2026E and sustained ~19% EBITDA margins. The re-rating since 2022 has already captured most of the devaluation-repricing story; from here the case rests on volume-led growth, margin durability and the cash pile. Step 0: PASS (CRPS skill +1.6% vs zero-drift RW, drift OFF).</t>
  </si>
  <si>
    <t xml:space="preserve">Fundamental Valuation — five lenses, one weighted fair value (EGP/share)</t>
  </si>
  <si>
    <t xml:space="preserve">Lens</t>
  </si>
  <si>
    <t xml:space="preserve">Value</t>
  </si>
  <si>
    <t xml:space="preserve">Weight</t>
  </si>
  <si>
    <t xml:space="preserve">Contribution</t>
  </si>
  <si>
    <t xml:space="preserve">Low</t>
  </si>
  <si>
    <t xml:space="preserve">High</t>
  </si>
  <si>
    <t xml:space="preserve">DCF (FCFF)</t>
  </si>
  <si>
    <t xml:space="preserve">Relative multiples</t>
  </si>
  <si>
    <t xml:space="preserve">Normalized earnings power</t>
  </si>
  <si>
    <t xml:space="preserve">Segment GP build</t>
  </si>
  <si>
    <t xml:space="preserve">DDM</t>
  </si>
  <si>
    <t xml:space="preserve">Weighted fair value</t>
  </si>
  <si>
    <t xml:space="preserve">Spot</t>
  </si>
  <si>
    <t xml:space="preserve">Upside / (downside)</t>
  </si>
  <si>
    <t xml:space="preserve">Low/High per lens feed the football field in the study; DCF low/high are the bear/bull scenarios.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</si>
  <si>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</si>
  <si>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</si>
  <si>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</si>
  <si>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(EGP/share)</t>
  </si>
  <si>
    <t xml:space="preserve">Anchor date</t>
  </si>
  <si>
    <t xml:space="preserve">01-Jul-2026</t>
  </si>
  <si>
    <t xml:space="preserve">Shares outstanding (m)</t>
  </si>
  <si>
    <t xml:space="preserve">Net cash (EGP m, 31-Mar-2026)</t>
  </si>
  <si>
    <t xml:space="preserve">EGP/USD (indicative)</t>
  </si>
  <si>
    <t xml:space="preserve">WACC BUILD</t>
  </si>
  <si>
    <t xml:space="preserve">Risk-free rate (EGP 10-yr)</t>
  </si>
  <si>
    <t xml:space="preserve">Equity risk premium</t>
  </si>
  <si>
    <t xml:space="preserve">Beta</t>
  </si>
  <si>
    <t xml:space="preserve">Cost of debt (pre-tax)</t>
  </si>
  <si>
    <t xml:space="preserve">Debt weight</t>
  </si>
  <si>
    <t xml:space="preserve">Tax rate</t>
  </si>
  <si>
    <t xml:space="preserve">Cost of equity</t>
  </si>
  <si>
    <t xml:space="preserve">WACC</t>
  </si>
  <si>
    <t xml:space="preserve">Terminal growth (nominal EGP)</t>
  </si>
  <si>
    <t xml:space="preserve">DCF DRIVERS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</si>
  <si>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</si>
  <si>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</si>
  <si>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</si>
  <si>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</si>
  <si>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</si>
  <si>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 growth</t>
  </si>
  <si>
    <t xml:space="preserve">EBITDA margin</t>
  </si>
  <si>
    <t xml:space="preserve">D&amp;A % of revenue</t>
  </si>
  <si>
    <t xml:space="preserve">Capex % of revenue</t>
  </si>
  <si>
    <t xml:space="preserve">Gross margin</t>
  </si>
  <si>
    <t xml:space="preserve">Net finance income (EGP m)</t>
  </si>
  <si>
    <t xml:space="preserve">Change in NWC (% of Δ revenue)</t>
  </si>
  <si>
    <t xml:space="preserve">Dividend payout ratio</t>
  </si>
  <si>
    <t xml:space="preserve">RELATIVE &amp; NORMALIZED</t>
  </si>
  <si>
    <t xml:space="preserve">Target P/E (x FY2026E EPS)</t>
  </si>
  <si>
    <t xml:space="preserve">Target EV/EBITDA (x FY2026E)</t>
  </si>
  <si>
    <t xml:space="preserve">Target EV/Gross profit (x FY2026E)</t>
  </si>
  <si>
    <t xml:space="preserve">Mid-cycle net margin (normalized)</t>
  </si>
  <si>
    <t xml:space="preserve">Justified P/E on normalized EPS</t>
  </si>
  <si>
    <t xml:space="preserve">SYNTHESIS WEIGHTS</t>
  </si>
  <si>
    <t xml:space="preserve">Weights check</t>
  </si>
  <si>
    <t xml:space="preserve">WORKING CAPITAL (% of revenue)</t>
  </si>
  <si>
    <t xml:space="preserve">Inventory</t>
  </si>
  <si>
    <t xml:space="preserve">Trade &amp; notes receivable</t>
  </si>
  <si>
    <t xml:space="preserve">Payables, provisions &amp; other liabilities</t>
  </si>
  <si>
    <t xml:space="preserve">Other assets growth (p.a.)</t>
  </si>
  <si>
    <t xml:space="preserve">SCENARIOS (FCFF Valuation)</t>
  </si>
  <si>
    <t xml:space="preserve">Growth delta (p.a.)</t>
  </si>
  <si>
    <t xml:space="preserve">Terminal g</t>
  </si>
  <si>
    <t xml:space="preserve">Bear</t>
  </si>
  <si>
    <t xml:space="preserve">Bull</t>
  </si>
  <si>
    <t xml:space="preserve">MONTE CARLO (mc_v2, seed 42, 03-Jul-2026)</t>
  </si>
  <si>
    <t xml:space="preserve">HAR daily sigma</t>
  </si>
  <si>
    <t xml:space="preserve">Annualized path vol</t>
  </si>
  <si>
    <t xml:space="preserve">Net factor drift (3m)</t>
  </si>
  <si>
    <t xml:space="preserve">Paths</t>
  </si>
  <si>
    <t xml:space="preserve">Drift class</t>
  </si>
  <si>
    <t xml:space="preserve">EGX staple — secular drift OFF</t>
  </si>
  <si>
    <t xml:space="preserve">FCFF Valuation — primary lens (EGP)</t>
  </si>
  <si>
    <t xml:space="preserve">Base case — bridge from the DCF sheet</t>
  </si>
  <si>
    <t xml:space="preserve">PV of explicit FCFF (EGP m)</t>
  </si>
  <si>
    <t xml:space="preserve">PV of terminal value</t>
  </si>
  <si>
    <t xml:space="preserve">Enterprise value</t>
  </si>
  <si>
    <t xml:space="preserve">+ Net cash</t>
  </si>
  <si>
    <t xml:space="preserve">Equity value</t>
  </si>
  <si>
    <t xml:space="preserve">Fair value per share (EGP)</t>
  </si>
  <si>
    <t xml:space="preserve">Implied FY2026E P/E (x)</t>
  </si>
  <si>
    <t xml:space="preserve">Implied FY2026E EV/EBITDA (x)</t>
  </si>
  <si>
    <t xml:space="preserve">Scenarios — bear / base / bull</t>
  </si>
  <si>
    <t xml:space="preserve">Bear — Revenue</t>
  </si>
  <si>
    <t xml:space="preserve">Bear — FCFF</t>
  </si>
  <si>
    <t xml:space="preserve">Bear — fair value per share</t>
  </si>
  <si>
    <t xml:space="preserve">Base — Revenue</t>
  </si>
  <si>
    <t xml:space="preserve">Base — FCFF</t>
  </si>
  <si>
    <t xml:space="preserve">Base — fair value per share</t>
  </si>
  <si>
    <t xml:space="preserve">Bull — Revenue</t>
  </si>
  <si>
    <t xml:space="preserve">Bull — FCFF</t>
  </si>
  <si>
    <t xml:space="preserve">Bull — fair value per share</t>
  </si>
  <si>
    <t xml:space="preserve">Bear/Bull re-run the FCFF engine with the scenario growth delta, EBITDA margin, WACC and terminal g from the Assumptions scenario block; capex, D&amp;A and NWC intensities are held at base.</t>
  </si>
  <si>
    <t xml:space="preserve">Segments — revenue &amp; gross profit by category (EGP m)</t>
  </si>
  <si>
    <t xml:space="preserve">Segment</t>
  </si>
  <si>
    <t xml:space="preserve">FY23 Rev</t>
  </si>
  <si>
    <t xml:space="preserve">FY23 GP</t>
  </si>
  <si>
    <t xml:space="preserve">FY24 Rev</t>
  </si>
  <si>
    <t xml:space="preserve">FY24 GP</t>
  </si>
  <si>
    <t xml:space="preserve">FY25 Rev</t>
  </si>
  <si>
    <t xml:space="preserve">FY25 GP</t>
  </si>
  <si>
    <t xml:space="preserve">FY25 GPM</t>
  </si>
  <si>
    <t xml:space="preserve">FY26E growth</t>
  </si>
  <si>
    <t xml:space="preserve">FY26E GPM</t>
  </si>
  <si>
    <t xml:space="preserve">FY26E Rev</t>
  </si>
  <si>
    <t xml:space="preserve">FY26E GP</t>
  </si>
  <si>
    <t xml:space="preserve">Cakes</t>
  </si>
  <si>
    <t xml:space="preserve">Bakery (croissants &amp; pate)</t>
  </si>
  <si>
    <t xml:space="preserve">Wafers</t>
  </si>
  <si>
    <t xml:space="preserve">Rusks</t>
  </si>
  <si>
    <t xml:space="preserve">Candy</t>
  </si>
  <si>
    <t xml:space="preserve">Biscuits</t>
  </si>
  <si>
    <t xml:space="preserve">Frozen</t>
  </si>
  <si>
    <t xml:space="preserve">Raw chips &amp; other</t>
  </si>
  <si>
    <t xml:space="preserve">Total</t>
  </si>
  <si>
    <t xml:space="preserve">Segment gross-profit build (cross-check lens)</t>
  </si>
  <si>
    <t xml:space="preserve">FY2026E group gross profit (EGP m)</t>
  </si>
  <si>
    <t xml:space="preserve">Target EV / gross profit (x)</t>
  </si>
  <si>
    <t xml:space="preserve">Implied enterprise value</t>
  </si>
  <si>
    <t xml:space="preserve">Segment-build value per share (EGP)</t>
  </si>
  <si>
    <t xml:space="preserve">Relative multiples, normalized earnings power, DDM (EGP)</t>
  </si>
  <si>
    <t xml:space="preserve">Peer multiples (Testahil estimates from public data, Jul-2026)</t>
  </si>
  <si>
    <t xml:space="preserve">Peer</t>
  </si>
  <si>
    <t xml:space="preserve">Mkt</t>
  </si>
  <si>
    <t xml:space="preserve">P/E (fwd)</t>
  </si>
  <si>
    <t xml:space="preserve">EV/EBITDA (fwd)</t>
  </si>
  <si>
    <t xml:space="preserve">Juhayna (JUFO)</t>
  </si>
  <si>
    <t xml:space="preserve">EGX</t>
  </si>
  <si>
    <t xml:space="preserve">Obour Land (OLFI)</t>
  </si>
  <si>
    <t xml:space="preserve">Domty (DOMT)</t>
  </si>
  <si>
    <t xml:space="preserve">Eastern Company (EAST)</t>
  </si>
  <si>
    <t xml:space="preserve">Almarai (2280.SE)</t>
  </si>
  <si>
    <t xml:space="preserve">Tadawul</t>
  </si>
  <si>
    <t xml:space="preserve">Edita (EFID) at spot</t>
  </si>
  <si>
    <t xml:space="preserve">EGX peer median</t>
  </si>
  <si>
    <t xml:space="preserve">Relative valuation</t>
  </si>
  <si>
    <t xml:space="preserve">FY2026E EPS (EGP)</t>
  </si>
  <si>
    <t xml:space="preserve">Target P/E (x)</t>
  </si>
  <si>
    <t xml:space="preserve">P/E value per share</t>
  </si>
  <si>
    <t xml:space="preserve">FY2026E EBITDA (EGP m)</t>
  </si>
  <si>
    <t xml:space="preserve">Target EV/EBITDA (x)</t>
  </si>
  <si>
    <t xml:space="preserve">EV/EBITDA value per share</t>
  </si>
  <si>
    <t xml:space="preserve">Relative blend (average)</t>
  </si>
  <si>
    <t xml:space="preserve">FY2026E revenue (EGP m)</t>
  </si>
  <si>
    <t xml:space="preserve">Mid-cycle net margin</t>
  </si>
  <si>
    <t xml:space="preserve">Normalized net profit</t>
  </si>
  <si>
    <t xml:space="preserve">Normalized EPS</t>
  </si>
  <si>
    <t xml:space="preserve">Justified P/E (x)</t>
  </si>
  <si>
    <t xml:space="preserve">Normalized value per share</t>
  </si>
  <si>
    <t xml:space="preserve">DDM sanity (two-stage, Ke discounting)</t>
  </si>
  <si>
    <t xml:space="preserve">DPS path FY26E-FY30E (EGP)</t>
  </si>
  <si>
    <t xml:space="preserve">PV of dividends</t>
  </si>
  <si>
    <t xml:space="preserve">Gordon TV on FY2030E DPS</t>
  </si>
  <si>
    <t xml:space="preserve">DDM value per share</t>
  </si>
  <si>
    <t xml:space="preserve">DCF — FCFF, five-year explicit forecast (EGP m)</t>
  </si>
  <si>
    <t xml:space="preserve">Revenue</t>
  </si>
  <si>
    <t xml:space="preserve">EBITDA</t>
  </si>
  <si>
    <t xml:space="preserve">− D&amp;A</t>
  </si>
  <si>
    <t xml:space="preserve">EBIT</t>
  </si>
  <si>
    <t xml:space="preserve">− Tax on EBIT</t>
  </si>
  <si>
    <t xml:space="preserve">NOPAT</t>
  </si>
  <si>
    <t xml:space="preserve">+ D&amp;A</t>
  </si>
  <si>
    <t xml:space="preserve">− Capex</t>
  </si>
  <si>
    <t xml:space="preserve">− Δ NWC</t>
  </si>
  <si>
    <t xml:space="preserve">FCFF</t>
  </si>
  <si>
    <t xml:space="preserve">Discount factor</t>
  </si>
  <si>
    <t xml:space="preserve">PV of FCFF</t>
  </si>
  <si>
    <t xml:space="preserve">Sum PV of explicit FCFF</t>
  </si>
  <si>
    <t xml:space="preserve">Terminal value (Gordon on FY2030E)</t>
  </si>
  <si>
    <t xml:space="preserve">+ Net cash (31-Mar-2026)</t>
  </si>
  <si>
    <t xml:space="preserve">DCF fair value per share (EGP)</t>
  </si>
  <si>
    <t xml:space="preserve">TV share of EV</t>
  </si>
  <si>
    <t xml:space="preserve">WACC (links Assumptions)</t>
  </si>
  <si>
    <t xml:space="preserve">Terminal growth (links Assumptions)</t>
  </si>
  <si>
    <t xml:space="preserve">Income Statement — EGP m (IFRS management accounts)</t>
  </si>
  <si>
    <t xml:space="preserve">FY2023A</t>
  </si>
  <si>
    <t xml:space="preserve">FY2024A</t>
  </si>
  <si>
    <t xml:space="preserve">FY2025A</t>
  </si>
  <si>
    <t xml:space="preserve">COGS</t>
  </si>
  <si>
    <t xml:space="preserve">Gross profit</t>
  </si>
  <si>
    <t xml:space="preserve">SG&amp;A &amp; other opex (net)</t>
  </si>
  <si>
    <t xml:space="preserve">D&amp;A</t>
  </si>
  <si>
    <t xml:space="preserve">Net finance income/(cost)</t>
  </si>
  <si>
    <t xml:space="preserve">Profit before tax</t>
  </si>
  <si>
    <t xml:space="preserve">Income tax</t>
  </si>
  <si>
    <t xml:space="preserve">Net profit (IFRS)</t>
  </si>
  <si>
    <t xml:space="preserve">Net margin</t>
  </si>
  <si>
    <t xml:space="preserve">EPS (EGP, current shares)</t>
  </si>
  <si>
    <t xml:space="preserve">FY2023 D&amp;A and net finance are Testahil estimates (yellow); FY2023 tax is the PBT − reported-NP balancing figure. EPS uses the current 1,400.04m share count across all years for comparability.</t>
  </si>
  <si>
    <t xml:space="preserve">Balance Sheet — EGP m</t>
  </si>
  <si>
    <t xml:space="preserve">ASSETS</t>
  </si>
  <si>
    <t xml:space="preserve">Net PP&amp;E &amp; intangibles</t>
  </si>
  <si>
    <t xml:space="preserve">Inventories</t>
  </si>
  <si>
    <t xml:space="preserve">Other current &amp; non-current assets (est.)</t>
  </si>
  <si>
    <t xml:space="preserve">Cash &amp; equivalents</t>
  </si>
  <si>
    <t xml:space="preserve">Total assets</t>
  </si>
  <si>
    <t xml:space="preserve">LIABILITIES &amp; EQUITY</t>
  </si>
  <si>
    <t xml:space="preserve">Loans &amp; borrowings</t>
  </si>
  <si>
    <t xml:space="preserve">Bank overdrafts</t>
  </si>
  <si>
    <t xml:space="preserve">Total liabilities</t>
  </si>
  <si>
    <t xml:space="preserve">Shareholders' equity (incl. minority)</t>
  </si>
  <si>
    <t xml:space="preserve">Total liabilities &amp; equity</t>
  </si>
  <si>
    <t xml:space="preserve">Balance check</t>
  </si>
  <si>
    <t xml:space="preserve">Forecast debt &amp; overdrafts held flat; payables/inventory/receivables scale with revenue; cash closes from the Cash Flow sheet. The balance check must read zero in every column.</t>
  </si>
  <si>
    <t xml:space="preserve">Cash Flow — EGP m</t>
  </si>
  <si>
    <t xml:space="preserve">Net profit</t>
  </si>
  <si>
    <t xml:space="preserve">− Δ Inventories</t>
  </si>
  <si>
    <t xml:space="preserve">− Δ Receivables</t>
  </si>
  <si>
    <t xml:space="preserve">− Δ Other assets</t>
  </si>
  <si>
    <t xml:space="preserve">+ Δ Payables &amp; other</t>
  </si>
  <si>
    <t xml:space="preserve">Cash flow from operations</t>
  </si>
  <si>
    <t xml:space="preserve">Free cash flow</t>
  </si>
  <si>
    <t xml:space="preserve">− Dividends paid</t>
  </si>
  <si>
    <t xml:space="preserve">+ Δ Debt &amp; overdrafts</t>
  </si>
  <si>
    <t xml:space="preserve">Net change in cash</t>
  </si>
  <si>
    <t xml:space="preserve">Opening cash</t>
  </si>
  <si>
    <t xml:space="preserve">Closing cash</t>
  </si>
  <si>
    <t xml:space="preserve">FY2025A column is a Testahil derivation from disclosed period-end balances (net-debt walk); FY2023-24 full cash-flow statements were not restated here.</t>
  </si>
  <si>
    <t xml:space="preserve">Summary Financials — all cells link to the statement sheets (EGP m)</t>
  </si>
  <si>
    <t xml:space="preserve">EPS (EGP)</t>
  </si>
  <si>
    <t xml:space="preserve">Equity</t>
  </si>
  <si>
    <t xml:space="preserve">Net debt/(cash)</t>
  </si>
  <si>
    <t xml:space="preserve">CFO</t>
  </si>
  <si>
    <t xml:space="preserve">Capex</t>
  </si>
  <si>
    <t xml:space="preserve">Monte Carlo — mc_v2 (YZ-HAR width, Student-t5, drift OFF), seed 42, 50,000 paths</t>
  </si>
  <si>
    <t xml:space="preserve">Anchor 27.34 (close 2026-07-01) · HAR daily σ 0.0260 · ann. path vol 41.3% · net factor drift 0.5%/3m · egx_staples 16-factor overlay (calibrated=False, Appendix-A defaults)</t>
  </si>
  <si>
    <t xml:space="preserve">Percentile table (EGP/share)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</si>
  <si>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</si>
  <si>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</si>
  <si>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</si>
  <si>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</si>
  <si>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</si>
  <si>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</si>
  <si>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</t>
  </si>
  <si>
    <t xml:space="preserve">T+60</t>
  </si>
  <si>
    <t xml:space="preserve">Touch probabilities by T+60 (running max/min)</t>
  </si>
  <si>
    <t xml:space="preserve">Upside level</t>
  </si>
  <si>
    <t xml:space="preserve">P(touch)</t>
  </si>
  <si>
    <t xml:space="preserve">Downside level</t>
  </si>
  <si>
    <t xml:space="preserve">Terminal-price zones at T+60</t>
  </si>
  <si>
    <t xml:space="preserve">Zone (EGP)</t>
  </si>
  <si>
    <t xml:space="preserve">Probability</t>
  </si>
  <si>
    <t xml:space="preserve">0-20</t>
  </si>
  <si>
    <t xml:space="preserve">20-22</t>
  </si>
  <si>
    <t xml:space="preserve">22-24</t>
  </si>
  <si>
    <t xml:space="preserve">24-26</t>
  </si>
  <si>
    <t xml:space="preserve">26-28</t>
  </si>
  <si>
    <t xml:space="preserve">28-30</t>
  </si>
  <si>
    <t xml:space="preserve">30-32</t>
  </si>
  <si>
    <t xml:space="preserve">32-34</t>
  </si>
  <si>
    <t xml:space="preserve">34-∞</t>
  </si>
  <si>
    <t xml:space="preserve">P(T+60 close above spot)</t>
  </si>
  <si>
    <t xml:space="preserve">These paths diffuse from spot and deliberately do not embed the fundamental value gap of Section 1 — lens independence. 50% band and T+20 lead the presentation; the 90% tail is context.</t>
  </si>
  <si>
    <t xml:space="preserve">Sensitivity — DCF fair value per share (EGP): WACC × terminal growth</t>
  </si>
  <si>
    <t xml:space="preserve">WACC \ g</t>
  </si>
  <si>
    <t xml:space="preserve">Grid re-discounts the base FCFF path; it does not re-run growth/margins. Base cell: WACC row 20.7%, g column 13.5%.</t>
  </si>
  <si>
    <t xml:space="preserve">Per-Share &amp; Ratios</t>
  </si>
  <si>
    <t xml:space="preserve">DPS (EGP)</t>
  </si>
  <si>
    <t xml:space="preserve">BVPS (EGP)</t>
  </si>
  <si>
    <t xml:space="preserve">ROE (avg)</t>
  </si>
  <si>
    <t xml:space="preserve">Net debt / (cash) (EGP m)</t>
  </si>
  <si>
    <t xml:space="preserve">Net debt / EBITDA (x)</t>
  </si>
  <si>
    <t xml:space="preserve">P/E at spot (x)</t>
  </si>
  <si>
    <t xml:space="preserve">EV/EBITDA at spot (x)</t>
  </si>
  <si>
    <t xml:space="preserve">Peer set &amp; sector structure</t>
  </si>
  <si>
    <t xml:space="preserve">Peer set: EGX consumer staples — Juhayna (dairy/juice), Obour Land (white cheese), Domty (cheese/juice/bakery entrant), Eastern Company (tobacco, cash-flow comp) — plus Almarai (Tadawul) as the regional quality benchmark. Multiples on the 'Relative &amp; Normalized' sheet.</t>
  </si>
  <si>
    <t xml:space="preserve">Sector structure: Egyptian packaged snacks is a repertoire, price-point-led category. Edita holds leading positions across cakes (~half the market), croissants (dominant), rusks and wafers, with HTT brand ownership (HoHos, Twinkies, Tiger Tail) now extended across Africa (Jan-2026).</t>
  </si>
  <si>
    <t xml:space="preserve">Demand driver: per-capita packaged-snack consumption in Egypt remains far below EM peers; price-point migration (EGP 5 -&gt; 10) is the volume-preserving inflation pass-through mechanism.</t>
  </si>
  <si>
    <t xml:space="preserve">Competition: Mondelez Egypt, PepsiCo (Chipsy adjacency), Corona/Bisco Misr in biscuits, plus informal bakery substitutes at the low end.</t>
  </si>
  <si>
    <t xml:space="preserve">Key sector risks: EGP devaluation resets imported input costs (c.80% of direct materials are imported or FX-linked); sugar/flour/cocoa/packaging cycles; purchasing-power shocks to the mass consumer; export logistics (Red Sea).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</si>
</sst>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.0;\(#,##0.0\);\-"/>
    <numFmt numFmtId="167" formatCode="#,##0;\(#,##0\);\-"/>
    <numFmt numFmtId="168" formatCode="0.0%"/>
    <numFmt numFmtId="169" formatCode="0.0\x"/>
    <numFmt numFmtId="170" formatCode="0.0000"/>
    <numFmt numFmtId="171" formatCode="0.000"/>
    <numFmt numFmtId="172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C6E63"/>
      <name val="Arial"/>
      <family val="0"/>
      <charset val="1"/>
    </font>
    <font>
      <i val="true"/>
      <sz val="8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6E63"/>
        <bgColor rgb="FF00808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6E63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24" hidden="false" customHeight="true" outlineLevel="0" collapsed="false">
      <c r="A1" s="2" t="s">
        <v>0</v>
      </c>
    </row>
    <row r="3" customFormat="false" ht="45.75" hidden="false" customHeight="true" outlineLevel="0" collapsed="false">
      <c r="A3" s="3" t="s">
        <v>1</v>
      </c>
    </row>
    <row r="5" customFormat="false" ht="45.75" hidden="false" customHeight="true" outlineLevel="0" collapsed="false">
      <c r="A5" s="3" t="s">
        <v>2</v>
      </c>
    </row>
    <row r="7" customFormat="false" ht="45.75" hidden="false" customHeight="true" outlineLevel="0" collapsed="false">
      <c r="A7" s="3" t="s">
        <v>3</v>
      </c>
    </row>
    <row r="9" customFormat="false" ht="45.75" hidden="false" customHeight="true" outlineLevel="0" collapsed="false">
      <c r="A9" s="3" t="s">
        <v>4</v>
      </c>
    </row>
    <row r="11" customFormat="false" ht="45.75" hidden="false" customHeight="true" outlineLevel="0" collapsed="false">
      <c r="A11" s="3" t="s">
        <v>5</v>
      </c>
    </row>
    <row r="13" customFormat="false" ht="45.75" hidden="false" customHeight="true" outlineLevel="0" collapsed="false">
      <c r="A13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3"/>
  </cols>
  <sheetData>
    <row r="1" customFormat="false" ht="24" hidden="false" customHeight="true" outlineLevel="0" collapsed="false">
      <c r="A1" s="4" t="s">
        <v>7</v>
      </c>
      <c r="B1" s="4"/>
      <c r="C1" s="4"/>
      <c r="D1" s="4"/>
      <c r="E1" s="4"/>
      <c r="F1" s="4"/>
      <c r="G1" s="4"/>
    </row>
    <row r="3" customFormat="false" ht="15" hidden="false" customHeight="true" outlineLevel="0" collapsed="false">
      <c r="A3" s="5" t="s">
        <v>8</v>
      </c>
      <c r="B3" s="5"/>
      <c r="C3" s="5"/>
      <c r="D3" s="5"/>
      <c r="E3" s="5"/>
      <c r="F3" s="5"/>
      <c r="G3" s="5"/>
    </row>
    <row r="4" customFormat="false" ht="15" hidden="false" customHeight="true" outlineLevel="0" collapsed="false">
      <c r="A4" s="6" t="s">
        <v>9</v>
      </c>
      <c r="B4" s="7" t="n">
        <f aca="false">Assumptions!B5</f>
        <v>27.34</v>
      </c>
    </row>
    <row r="5" customFormat="false" ht="15" hidden="false" customHeight="true" outlineLevel="0" collapsed="false">
      <c r="A5" s="6" t="s">
        <v>10</v>
      </c>
      <c r="B5" s="8" t="n">
        <f aca="false">Assumptions!B7</f>
        <v>1400.04</v>
      </c>
    </row>
    <row r="6" customFormat="false" ht="15" hidden="false" customHeight="true" outlineLevel="0" collapsed="false">
      <c r="A6" s="6" t="s">
        <v>11</v>
      </c>
      <c r="B6" s="9" t="n">
        <f aca="false">Assumptions!B5*Assumptions!B7</f>
        <v>38277.0936</v>
      </c>
    </row>
    <row r="7" customFormat="false" ht="15" hidden="false" customHeight="true" outlineLevel="0" collapsed="false">
      <c r="A7" s="6" t="s">
        <v>12</v>
      </c>
      <c r="B7" s="8" t="n">
        <f aca="false">Assumptions!B8</f>
        <v>853.3</v>
      </c>
    </row>
    <row r="8" customFormat="false" ht="15" hidden="false" customHeight="true" outlineLevel="0" collapsed="false">
      <c r="A8" s="6" t="s">
        <v>13</v>
      </c>
      <c r="B8" s="9" t="n">
        <f aca="false">B6-B7</f>
        <v>37423.7936</v>
      </c>
    </row>
    <row r="10" customFormat="false" ht="15" hidden="false" customHeight="true" outlineLevel="0" collapsed="false">
      <c r="A10" s="5" t="s">
        <v>14</v>
      </c>
      <c r="B10" s="5"/>
      <c r="C10" s="5"/>
      <c r="D10" s="5"/>
      <c r="E10" s="5"/>
      <c r="F10" s="5"/>
      <c r="G10" s="5"/>
    </row>
    <row r="11" customFormat="false" ht="15" hidden="false" customHeight="true" outlineLevel="0" collapsed="false">
      <c r="A11" s="10" t="s">
        <v>15</v>
      </c>
      <c r="B11" s="11" t="n">
        <f aca="false">'Fundamental Valuation'!D9</f>
        <v>27.6823270114124</v>
      </c>
    </row>
    <row r="12" customFormat="false" ht="15" hidden="false" customHeight="true" outlineLevel="0" collapsed="false">
      <c r="A12" s="6" t="s">
        <v>16</v>
      </c>
      <c r="B12" s="12" t="n">
        <f aca="false">'Fundamental Valuation'!D11</f>
        <v>0.0125211050260567</v>
      </c>
    </row>
    <row r="13" customFormat="false" ht="15" hidden="false" customHeight="true" outlineLevel="0" collapsed="false">
      <c r="A13" s="6" t="s">
        <v>17</v>
      </c>
      <c r="B13" s="7" t="n">
        <f aca="false">DCF!B24</f>
        <v>29.7383902963649</v>
      </c>
    </row>
    <row r="14" customFormat="false" ht="15" hidden="false" customHeight="true" outlineLevel="0" collapsed="false">
      <c r="A14" s="6" t="s">
        <v>18</v>
      </c>
      <c r="B14" s="7" t="n">
        <f aca="false">'FCFF Valuation'!B19</f>
        <v>16.405015376529</v>
      </c>
      <c r="C14" s="7" t="n">
        <f aca="false">'FCFF Valuation'!B27</f>
        <v>42.7792997541513</v>
      </c>
    </row>
    <row r="16" customFormat="false" ht="15" hidden="false" customHeight="true" outlineLevel="0" collapsed="false">
      <c r="A16" s="5" t="s">
        <v>19</v>
      </c>
      <c r="B16" s="5"/>
      <c r="C16" s="5"/>
      <c r="D16" s="5"/>
      <c r="E16" s="5"/>
      <c r="F16" s="5"/>
      <c r="G16" s="5"/>
    </row>
    <row r="17" customFormat="false" ht="15" hidden="false" customHeight="true" outlineLevel="0" collapsed="false">
      <c r="A17" s="6" t="s">
        <v>20</v>
      </c>
      <c r="B17" s="7" t="n">
        <f aca="false">'Monte Carlo'!D7</f>
        <v>27.82</v>
      </c>
    </row>
    <row r="18" customFormat="false" ht="15" hidden="false" customHeight="true" outlineLevel="0" collapsed="false">
      <c r="A18" s="6" t="s">
        <v>21</v>
      </c>
      <c r="B18" s="7" t="n">
        <f aca="false">'Monte Carlo'!C7</f>
        <v>24.4</v>
      </c>
      <c r="C18" s="7" t="n">
        <f aca="false">'Monte Carlo'!E7</f>
        <v>31.65</v>
      </c>
    </row>
    <row r="19" customFormat="false" ht="15" hidden="false" customHeight="true" outlineLevel="0" collapsed="false">
      <c r="A19" s="6" t="s">
        <v>22</v>
      </c>
      <c r="B19" s="7" t="n">
        <f aca="false">'Monte Carlo'!B7</f>
        <v>19.4</v>
      </c>
      <c r="C19" s="7" t="n">
        <f aca="false">'Monte Carlo'!F7</f>
        <v>38.98</v>
      </c>
    </row>
    <row r="20" customFormat="false" ht="15" hidden="false" customHeight="true" outlineLevel="0" collapsed="false">
      <c r="A20" s="6" t="s">
        <v>23</v>
      </c>
      <c r="B20" s="13" t="n">
        <v>0.5358</v>
      </c>
    </row>
    <row r="22" customFormat="false" ht="15" hidden="false" customHeight="true" outlineLevel="0" collapsed="false">
      <c r="A22" s="5" t="s">
        <v>24</v>
      </c>
      <c r="B22" s="5"/>
      <c r="C22" s="5"/>
      <c r="D22" s="5"/>
      <c r="E22" s="5"/>
      <c r="F22" s="5"/>
      <c r="G22" s="5"/>
    </row>
    <row r="23" customFormat="false" ht="15" hidden="false" customHeight="true" outlineLevel="0" collapsed="false">
      <c r="A23" s="14" t="s">
        <v>25</v>
      </c>
      <c r="B23" s="14"/>
      <c r="C23" s="14"/>
      <c r="D23" s="14"/>
      <c r="E23" s="14"/>
      <c r="F23" s="14"/>
      <c r="G23" s="14"/>
    </row>
    <row r="24" customFormat="false" ht="15" hidden="false" customHeight="true" outlineLevel="0" collapsed="false">
      <c r="A24" s="14"/>
      <c r="B24" s="14"/>
      <c r="C24" s="14"/>
      <c r="D24" s="14"/>
      <c r="E24" s="14"/>
      <c r="F24" s="14"/>
      <c r="G24" s="14"/>
    </row>
    <row r="25" customFormat="false" ht="15" hidden="false" customHeight="true" outlineLevel="0" collapsed="false">
      <c r="A25" s="14"/>
      <c r="B25" s="14"/>
      <c r="C25" s="14"/>
      <c r="D25" s="14"/>
      <c r="E25" s="14"/>
      <c r="F25" s="14"/>
      <c r="G25" s="14"/>
    </row>
  </sheetData>
  <mergeCells count="6">
    <mergeCell ref="A1:G1"/>
    <mergeCell ref="A3:G3"/>
    <mergeCell ref="A10:G10"/>
    <mergeCell ref="A16:G16"/>
    <mergeCell ref="A22:G22"/>
    <mergeCell ref="A23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3"/>
  </cols>
  <sheetData>
    <row r="1" customFormat="false" ht="24" hidden="false" customHeight="true" outlineLevel="0" collapsed="false">
      <c r="A1" s="4" t="s">
        <v>26</v>
      </c>
      <c r="B1" s="4"/>
      <c r="C1" s="4"/>
      <c r="D1" s="4"/>
      <c r="E1" s="4"/>
      <c r="F1" s="4"/>
      <c r="G1" s="4"/>
    </row>
    <row r="3" customFormat="false" ht="15" hidden="false" customHeight="true" outlineLevel="0" collapsed="false">
      <c r="A3" s="15" t="s">
        <v>27</v>
      </c>
      <c r="B3" s="15" t="s">
        <v>28</v>
      </c>
      <c r="C3" s="15" t="s">
        <v>29</v>
      </c>
      <c r="D3" s="15" t="s">
        <v>30</v>
      </c>
      <c r="E3" s="15" t="s">
        <v>31</v>
      </c>
      <c r="F3" s="15" t="s">
        <v>32</v>
      </c>
    </row>
    <row r="4" customFormat="false" ht="15" hidden="false" customHeight="true" outlineLevel="0" collapsed="false">
      <c r="A4" s="6" t="s">
        <v>33</v>
      </c>
      <c r="B4" s="7" t="n">
        <f aca="false">DCF!B24</f>
        <v>29.7383902963649</v>
      </c>
      <c r="C4" s="12" t="n">
        <f aca="false">Assumptions!B41</f>
        <v>0.35</v>
      </c>
      <c r="D4" s="16" t="n">
        <f aca="false">B4*C4</f>
        <v>10.4084366037277</v>
      </c>
      <c r="E4" s="16" t="n">
        <f aca="false">'FCFF Valuation'!B19</f>
        <v>16.405015376529</v>
      </c>
      <c r="F4" s="16" t="n">
        <f aca="false">'FCFF Valuation'!B27</f>
        <v>42.7792997541513</v>
      </c>
    </row>
    <row r="5" customFormat="false" ht="15" hidden="false" customHeight="true" outlineLevel="0" collapsed="false">
      <c r="A5" s="6" t="s">
        <v>34</v>
      </c>
      <c r="B5" s="7" t="n">
        <f aca="false">'Relative &amp; Normalized'!B20</f>
        <v>29.0931296310998</v>
      </c>
      <c r="C5" s="12" t="n">
        <f aca="false">Assumptions!B42</f>
        <v>0.25</v>
      </c>
      <c r="D5" s="16" t="n">
        <f aca="false">B5*C5</f>
        <v>7.27328240777496</v>
      </c>
      <c r="E5" s="16" t="n">
        <f aca="false">B5*0.85</f>
        <v>24.7291601864349</v>
      </c>
      <c r="F5" s="16" t="n">
        <f aca="false">B5*1.15</f>
        <v>33.4570990757648</v>
      </c>
    </row>
    <row r="6" customFormat="false" ht="15" hidden="false" customHeight="true" outlineLevel="0" collapsed="false">
      <c r="A6" s="6" t="s">
        <v>35</v>
      </c>
      <c r="B6" s="7" t="n">
        <f aca="false">'Relative &amp; Normalized'!B28</f>
        <v>26.7033379403446</v>
      </c>
      <c r="C6" s="12" t="n">
        <f aca="false">Assumptions!B43</f>
        <v>0.2</v>
      </c>
      <c r="D6" s="16" t="n">
        <f aca="false">B6*C6</f>
        <v>5.34066758806891</v>
      </c>
      <c r="E6" s="16" t="n">
        <f aca="false">B6*0.85</f>
        <v>22.6978372492929</v>
      </c>
      <c r="F6" s="16" t="n">
        <f aca="false">B6*1.15</f>
        <v>30.7088386313962</v>
      </c>
    </row>
    <row r="7" customFormat="false" ht="15" hidden="false" customHeight="true" outlineLevel="0" collapsed="false">
      <c r="A7" s="6" t="s">
        <v>36</v>
      </c>
      <c r="B7" s="7" t="n">
        <f aca="false">Segments!B20</f>
        <v>30.0871582426216</v>
      </c>
      <c r="C7" s="12" t="n">
        <f aca="false">Assumptions!B44</f>
        <v>0.1</v>
      </c>
      <c r="D7" s="16" t="n">
        <f aca="false">B7*C7</f>
        <v>3.00871582426216</v>
      </c>
      <c r="E7" s="16" t="n">
        <f aca="false">B7*0.9</f>
        <v>27.0784424183595</v>
      </c>
      <c r="F7" s="16" t="n">
        <f aca="false">B7*1.1</f>
        <v>33.0958740668838</v>
      </c>
    </row>
    <row r="8" customFormat="false" ht="15" hidden="false" customHeight="true" outlineLevel="0" collapsed="false">
      <c r="A8" s="6" t="s">
        <v>37</v>
      </c>
      <c r="B8" s="7" t="n">
        <f aca="false">'Relative &amp; Normalized'!B34</f>
        <v>16.5122458757864</v>
      </c>
      <c r="C8" s="12" t="n">
        <f aca="false">Assumptions!B45</f>
        <v>0.1</v>
      </c>
      <c r="D8" s="16" t="n">
        <f aca="false">B8*C8</f>
        <v>1.65122458757864</v>
      </c>
      <c r="E8" s="16" t="n">
        <f aca="false">B8*0.85</f>
        <v>14.0354089944184</v>
      </c>
      <c r="F8" s="16" t="n">
        <f aca="false">B8*1.15</f>
        <v>18.9890827571544</v>
      </c>
    </row>
    <row r="9" customFormat="false" ht="15" hidden="false" customHeight="true" outlineLevel="0" collapsed="false">
      <c r="A9" s="10" t="s">
        <v>38</v>
      </c>
      <c r="D9" s="11" t="n">
        <f aca="false">SUM(D4:D8)</f>
        <v>27.6823270114124</v>
      </c>
    </row>
    <row r="10" customFormat="false" ht="15" hidden="false" customHeight="true" outlineLevel="0" collapsed="false">
      <c r="A10" s="6" t="s">
        <v>39</v>
      </c>
      <c r="D10" s="7" t="n">
        <f aca="false">Assumptions!B5</f>
        <v>27.34</v>
      </c>
    </row>
    <row r="11" customFormat="false" ht="15" hidden="false" customHeight="true" outlineLevel="0" collapsed="false">
      <c r="A11" s="10" t="s">
        <v>40</v>
      </c>
      <c r="D11" s="17" t="n">
        <f aca="false">D9/D10-1</f>
        <v>0.0125211050260567</v>
      </c>
    </row>
    <row r="13" customFormat="false" ht="15" hidden="false" customHeight="true" outlineLevel="0" collapsed="false">
      <c r="A13" s="18" t="s">
        <v>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3"/>
    <col collapsed="false" customWidth="true" hidden="false" outlineLevel="0" max="7" min="7" style="1" width="60"/>
  </cols>
  <sheetData>
    <row r="1" customFormat="false" ht="24" hidden="false" customHeight="true" outlineLevel="0" collapsed="false">
      <c r="A1" s="4" t="s">
        <v>42</v>
      </c>
      <c r="B1" s="4"/>
      <c r="C1" s="4"/>
      <c r="D1" s="4"/>
      <c r="E1" s="4"/>
      <c r="F1" s="4"/>
      <c r="G1" s="4"/>
    </row>
    <row r="2" customFormat="false" ht="15" hidden="false" customHeight="true" outlineLevel="0" collapsed="false">
      <c r="A2" s="15" t="s">
        <v>43</v>
      </c>
    </row>
    <row r="4" customFormat="false" ht="15" hidden="false" customHeight="true" outlineLevel="0" collapsed="false">
      <c r="A4" s="5" t="s">
        <v>44</v>
      </c>
      <c r="B4" s="5"/>
      <c r="C4" s="5"/>
      <c r="D4" s="5"/>
      <c r="E4" s="5"/>
      <c r="F4" s="5"/>
      <c r="G4" s="5"/>
    </row>
    <row r="5" customFormat="false" ht="15" hidden="false" customHeight="true" outlineLevel="0" collapsed="false">
      <c r="A5" s="6" t="s">
        <v>45</v>
      </c>
      <c r="B5" s="19" t="n">
        <v>27.34</v>
      </c>
    </row>
    <row r="6" customFormat="false" ht="15" hidden="false" customHeight="true" outlineLevel="0" collapsed="false">
      <c r="A6" s="6" t="s">
        <v>46</v>
      </c>
      <c r="B6" s="20" t="s">
        <v>47</v>
      </c>
    </row>
    <row r="7" customFormat="false" ht="15" hidden="false" customHeight="true" outlineLevel="0" collapsed="false">
      <c r="A7" s="6" t="s">
        <v>48</v>
      </c>
      <c r="B7" s="21" t="n">
        <v>1400.04</v>
      </c>
    </row>
    <row r="8" customFormat="false" ht="15" hidden="false" customHeight="true" outlineLevel="0" collapsed="false">
      <c r="A8" s="6" t="s">
        <v>49</v>
      </c>
      <c r="B8" s="21" t="n">
        <v>853.3</v>
      </c>
    </row>
    <row r="9" customFormat="false" ht="15" hidden="false" customHeight="true" outlineLevel="0" collapsed="false">
      <c r="A9" s="6" t="s">
        <v>50</v>
      </c>
      <c r="B9" s="21" t="n">
        <v>48</v>
      </c>
    </row>
    <row r="11" customFormat="false" ht="15" hidden="false" customHeight="true" outlineLevel="0" collapsed="false">
      <c r="A11" s="5" t="s">
        <v>51</v>
      </c>
      <c r="B11" s="5"/>
      <c r="C11" s="5"/>
      <c r="D11" s="5"/>
      <c r="E11" s="5"/>
      <c r="F11" s="5"/>
      <c r="G11" s="5"/>
    </row>
    <row r="12" customFormat="false" ht="15" hidden="false" customHeight="true" outlineLevel="0" collapsed="false">
      <c r="A12" s="6" t="s">
        <v>52</v>
      </c>
      <c r="B12" s="13" t="n">
        <v>0.165</v>
      </c>
    </row>
    <row r="13" customFormat="false" ht="15" hidden="false" customHeight="true" outlineLevel="0" collapsed="false">
      <c r="A13" s="6" t="s">
        <v>53</v>
      </c>
      <c r="B13" s="13" t="n">
        <v>0.07</v>
      </c>
    </row>
    <row r="14" customFormat="false" ht="15" hidden="false" customHeight="true" outlineLevel="0" collapsed="false">
      <c r="A14" s="6" t="s">
        <v>54</v>
      </c>
      <c r="B14" s="19" t="n">
        <v>0.7</v>
      </c>
    </row>
    <row r="15" customFormat="false" ht="15" hidden="false" customHeight="true" outlineLevel="0" collapsed="false">
      <c r="A15" s="6" t="s">
        <v>55</v>
      </c>
      <c r="B15" s="13" t="n">
        <v>0.19</v>
      </c>
    </row>
    <row r="16" customFormat="false" ht="15" hidden="false" customHeight="true" outlineLevel="0" collapsed="false">
      <c r="A16" s="6" t="s">
        <v>56</v>
      </c>
      <c r="B16" s="13" t="n">
        <v>0.1</v>
      </c>
    </row>
    <row r="17" customFormat="false" ht="15" hidden="false" customHeight="true" outlineLevel="0" collapsed="false">
      <c r="A17" s="6" t="s">
        <v>57</v>
      </c>
      <c r="B17" s="13" t="n">
        <v>0.265</v>
      </c>
    </row>
    <row r="18" customFormat="false" ht="15" hidden="false" customHeight="true" outlineLevel="0" collapsed="false">
      <c r="A18" s="6" t="s">
        <v>58</v>
      </c>
      <c r="B18" s="17" t="n">
        <f aca="false">B12+B14*B13</f>
        <v>0.214</v>
      </c>
    </row>
    <row r="19" customFormat="false" ht="15" hidden="false" customHeight="true" outlineLevel="0" collapsed="false">
      <c r="A19" s="6" t="s">
        <v>59</v>
      </c>
      <c r="B19" s="17" t="n">
        <f aca="false">(1-B16)*B18+B16*B15*(1-B17)</f>
        <v>0.206565</v>
      </c>
    </row>
    <row r="20" customFormat="false" ht="15" hidden="false" customHeight="true" outlineLevel="0" collapsed="false">
      <c r="A20" s="6" t="s">
        <v>60</v>
      </c>
      <c r="B20" s="13" t="n">
        <v>0.135</v>
      </c>
    </row>
    <row r="22" customFormat="false" ht="15" hidden="false" customHeight="true" outlineLevel="0" collapsed="false">
      <c r="A22" s="5" t="s">
        <v>61</v>
      </c>
      <c r="B22" s="5"/>
      <c r="C22" s="5"/>
      <c r="D22" s="5"/>
      <c r="E22" s="5"/>
      <c r="F22" s="5"/>
      <c r="G22" s="5"/>
    </row>
    <row r="23" customFormat="false" ht="15" hidden="false" customHeight="true" outlineLevel="0" collapsed="false">
      <c r="A23" s="15"/>
      <c r="B23" s="15" t="s">
        <v>62</v>
      </c>
      <c r="C23" s="15" t="s">
        <v>63</v>
      </c>
      <c r="D23" s="15" t="s">
        <v>64</v>
      </c>
      <c r="E23" s="15" t="s">
        <v>65</v>
      </c>
      <c r="F23" s="15" t="s">
        <v>66</v>
      </c>
    </row>
    <row r="24" customFormat="false" ht="15" hidden="false" customHeight="true" outlineLevel="0" collapsed="false">
      <c r="A24" s="6" t="s">
        <v>67</v>
      </c>
      <c r="B24" s="13" t="n">
        <v>0.3</v>
      </c>
      <c r="C24" s="13" t="n">
        <v>0.22</v>
      </c>
      <c r="D24" s="13" t="n">
        <v>0.18</v>
      </c>
      <c r="E24" s="13" t="n">
        <v>0.15</v>
      </c>
      <c r="F24" s="13" t="n">
        <v>0.13</v>
      </c>
    </row>
    <row r="25" customFormat="false" ht="15" hidden="false" customHeight="true" outlineLevel="0" collapsed="false">
      <c r="A25" s="6" t="s">
        <v>68</v>
      </c>
      <c r="B25" s="13" t="n">
        <v>0.192</v>
      </c>
      <c r="C25" s="13" t="n">
        <v>0.194</v>
      </c>
      <c r="D25" s="13" t="n">
        <v>0.195</v>
      </c>
      <c r="E25" s="13" t="n">
        <v>0.195</v>
      </c>
      <c r="F25" s="13" t="n">
        <v>0.195</v>
      </c>
    </row>
    <row r="26" customFormat="false" ht="15" hidden="false" customHeight="true" outlineLevel="0" collapsed="false">
      <c r="A26" s="6" t="s">
        <v>69</v>
      </c>
      <c r="B26" s="13" t="n">
        <v>0.026</v>
      </c>
      <c r="C26" s="13" t="n">
        <v>0.026</v>
      </c>
      <c r="D26" s="13" t="n">
        <v>0.026</v>
      </c>
      <c r="E26" s="13" t="n">
        <v>0.027</v>
      </c>
      <c r="F26" s="13" t="n">
        <v>0.027</v>
      </c>
    </row>
    <row r="27" customFormat="false" ht="15" hidden="false" customHeight="true" outlineLevel="0" collapsed="false">
      <c r="A27" s="6" t="s">
        <v>70</v>
      </c>
      <c r="B27" s="13" t="n">
        <v>0.065</v>
      </c>
      <c r="C27" s="13" t="n">
        <v>0.06</v>
      </c>
      <c r="D27" s="13" t="n">
        <v>0.055</v>
      </c>
      <c r="E27" s="13" t="n">
        <v>0.05</v>
      </c>
      <c r="F27" s="13" t="n">
        <v>0.05</v>
      </c>
    </row>
    <row r="28" customFormat="false" ht="15" hidden="false" customHeight="true" outlineLevel="0" collapsed="false">
      <c r="A28" s="6" t="s">
        <v>71</v>
      </c>
      <c r="B28" s="13" t="n">
        <v>0.34</v>
      </c>
      <c r="C28" s="13" t="n">
        <v>0.342</v>
      </c>
      <c r="D28" s="13" t="n">
        <v>0.343</v>
      </c>
      <c r="E28" s="13" t="n">
        <v>0.343</v>
      </c>
      <c r="F28" s="13" t="n">
        <v>0.343</v>
      </c>
    </row>
    <row r="29" customFormat="false" ht="15" hidden="false" customHeight="true" outlineLevel="0" collapsed="false">
      <c r="A29" s="6" t="s">
        <v>72</v>
      </c>
      <c r="B29" s="22" t="n">
        <v>700</v>
      </c>
      <c r="C29" s="22" t="n">
        <v>650</v>
      </c>
      <c r="D29" s="22" t="n">
        <v>600</v>
      </c>
      <c r="E29" s="22" t="n">
        <v>600</v>
      </c>
      <c r="F29" s="22" t="n">
        <v>650</v>
      </c>
    </row>
    <row r="30" customFormat="false" ht="15" hidden="false" customHeight="true" outlineLevel="0" collapsed="false">
      <c r="A30" s="6" t="s">
        <v>73</v>
      </c>
      <c r="B30" s="13" t="n">
        <v>0.02</v>
      </c>
    </row>
    <row r="31" customFormat="false" ht="15" hidden="false" customHeight="true" outlineLevel="0" collapsed="false">
      <c r="A31" s="6" t="s">
        <v>74</v>
      </c>
      <c r="B31" s="13" t="n">
        <v>0.45</v>
      </c>
    </row>
    <row r="33" customFormat="false" ht="15" hidden="false" customHeight="true" outlineLevel="0" collapsed="false">
      <c r="A33" s="5" t="s">
        <v>75</v>
      </c>
      <c r="B33" s="5"/>
      <c r="C33" s="5"/>
      <c r="D33" s="5"/>
      <c r="E33" s="5"/>
      <c r="F33" s="5"/>
      <c r="G33" s="5"/>
    </row>
    <row r="34" customFormat="false" ht="15" hidden="false" customHeight="true" outlineLevel="0" collapsed="false">
      <c r="A34" s="6" t="s">
        <v>76</v>
      </c>
      <c r="B34" s="23" t="n">
        <v>11.5</v>
      </c>
    </row>
    <row r="35" customFormat="false" ht="15" hidden="false" customHeight="true" outlineLevel="0" collapsed="false">
      <c r="A35" s="6" t="s">
        <v>77</v>
      </c>
      <c r="B35" s="23" t="n">
        <v>7</v>
      </c>
    </row>
    <row r="36" customFormat="false" ht="15" hidden="false" customHeight="true" outlineLevel="0" collapsed="false">
      <c r="A36" s="6" t="s">
        <v>78</v>
      </c>
      <c r="B36" s="23" t="n">
        <v>4.4</v>
      </c>
    </row>
    <row r="37" customFormat="false" ht="15" hidden="false" customHeight="true" outlineLevel="0" collapsed="false">
      <c r="A37" s="6" t="s">
        <v>79</v>
      </c>
      <c r="B37" s="13" t="n">
        <v>0.11</v>
      </c>
    </row>
    <row r="38" customFormat="false" ht="15" hidden="false" customHeight="true" outlineLevel="0" collapsed="false">
      <c r="A38" s="6" t="s">
        <v>80</v>
      </c>
      <c r="B38" s="23" t="n">
        <v>12.5</v>
      </c>
    </row>
    <row r="40" customFormat="false" ht="15" hidden="false" customHeight="true" outlineLevel="0" collapsed="false">
      <c r="A40" s="5" t="s">
        <v>81</v>
      </c>
      <c r="B40" s="5"/>
      <c r="C40" s="5"/>
      <c r="D40" s="5"/>
      <c r="E40" s="5"/>
      <c r="F40" s="5"/>
      <c r="G40" s="5"/>
    </row>
    <row r="41" customFormat="false" ht="15" hidden="false" customHeight="true" outlineLevel="0" collapsed="false">
      <c r="A41" s="6" t="s">
        <v>33</v>
      </c>
      <c r="B41" s="13" t="n">
        <v>0.35</v>
      </c>
    </row>
    <row r="42" customFormat="false" ht="15" hidden="false" customHeight="true" outlineLevel="0" collapsed="false">
      <c r="A42" s="6" t="s">
        <v>34</v>
      </c>
      <c r="B42" s="13" t="n">
        <v>0.25</v>
      </c>
    </row>
    <row r="43" customFormat="false" ht="15" hidden="false" customHeight="true" outlineLevel="0" collapsed="false">
      <c r="A43" s="6" t="s">
        <v>35</v>
      </c>
      <c r="B43" s="13" t="n">
        <v>0.2</v>
      </c>
    </row>
    <row r="44" customFormat="false" ht="15" hidden="false" customHeight="true" outlineLevel="0" collapsed="false">
      <c r="A44" s="6" t="s">
        <v>36</v>
      </c>
      <c r="B44" s="13" t="n">
        <v>0.1</v>
      </c>
    </row>
    <row r="45" customFormat="false" ht="15" hidden="false" customHeight="true" outlineLevel="0" collapsed="false">
      <c r="A45" s="6" t="s">
        <v>37</v>
      </c>
      <c r="B45" s="13" t="n">
        <v>0.1</v>
      </c>
    </row>
    <row r="46" customFormat="false" ht="15" hidden="false" customHeight="true" outlineLevel="0" collapsed="false">
      <c r="A46" s="6" t="s">
        <v>82</v>
      </c>
      <c r="B46" s="17" t="n">
        <f aca="false">SUM(B41:B45)</f>
        <v>1</v>
      </c>
    </row>
    <row r="48" customFormat="false" ht="15" hidden="false" customHeight="true" outlineLevel="0" collapsed="false">
      <c r="A48" s="5" t="s">
        <v>83</v>
      </c>
      <c r="B48" s="5"/>
      <c r="C48" s="5"/>
      <c r="D48" s="5"/>
      <c r="E48" s="5"/>
      <c r="F48" s="5"/>
      <c r="G48" s="5"/>
    </row>
    <row r="49" customFormat="false" ht="15" hidden="false" customHeight="true" outlineLevel="0" collapsed="false">
      <c r="A49" s="6" t="s">
        <v>84</v>
      </c>
      <c r="B49" s="13" t="n">
        <v>0.111</v>
      </c>
    </row>
    <row r="50" customFormat="false" ht="15" hidden="false" customHeight="true" outlineLevel="0" collapsed="false">
      <c r="A50" s="6" t="s">
        <v>85</v>
      </c>
      <c r="B50" s="13" t="n">
        <v>0.012</v>
      </c>
    </row>
    <row r="51" customFormat="false" ht="15" hidden="false" customHeight="true" outlineLevel="0" collapsed="false">
      <c r="A51" s="6" t="s">
        <v>86</v>
      </c>
      <c r="B51" s="13" t="n">
        <v>0.147</v>
      </c>
    </row>
    <row r="52" customFormat="false" ht="15" hidden="false" customHeight="true" outlineLevel="0" collapsed="false">
      <c r="A52" s="6" t="s">
        <v>87</v>
      </c>
      <c r="B52" s="13" t="n">
        <v>0.1</v>
      </c>
    </row>
    <row r="54" customFormat="false" ht="15" hidden="false" customHeight="true" outlineLevel="0" collapsed="false">
      <c r="A54" s="5" t="s">
        <v>88</v>
      </c>
      <c r="B54" s="5"/>
      <c r="C54" s="5"/>
      <c r="D54" s="5"/>
      <c r="E54" s="5"/>
      <c r="F54" s="5"/>
      <c r="G54" s="5"/>
    </row>
    <row r="55" customFormat="false" ht="15" hidden="false" customHeight="true" outlineLevel="0" collapsed="false">
      <c r="A55" s="15"/>
      <c r="B55" s="15" t="s">
        <v>89</v>
      </c>
      <c r="C55" s="15" t="s">
        <v>68</v>
      </c>
      <c r="D55" s="15" t="s">
        <v>59</v>
      </c>
      <c r="E55" s="15" t="s">
        <v>90</v>
      </c>
    </row>
    <row r="56" customFormat="false" ht="15" hidden="false" customHeight="true" outlineLevel="0" collapsed="false">
      <c r="A56" s="6" t="s">
        <v>91</v>
      </c>
      <c r="B56" s="13" t="n">
        <v>-0.05</v>
      </c>
      <c r="C56" s="13" t="n">
        <v>0.18</v>
      </c>
      <c r="D56" s="13" t="n">
        <v>0.225</v>
      </c>
      <c r="E56" s="13" t="n">
        <v>0.125</v>
      </c>
    </row>
    <row r="57" customFormat="false" ht="15" hidden="false" customHeight="true" outlineLevel="0" collapsed="false">
      <c r="A57" s="6" t="s">
        <v>92</v>
      </c>
      <c r="B57" s="13" t="n">
        <v>0.04</v>
      </c>
      <c r="C57" s="13" t="n">
        <v>0.205</v>
      </c>
      <c r="D57" s="13" t="n">
        <v>0.205</v>
      </c>
      <c r="E57" s="13" t="n">
        <v>0.145</v>
      </c>
    </row>
    <row r="59" customFormat="false" ht="15" hidden="false" customHeight="true" outlineLevel="0" collapsed="false">
      <c r="A59" s="5" t="s">
        <v>93</v>
      </c>
      <c r="B59" s="5"/>
      <c r="C59" s="5"/>
      <c r="D59" s="5"/>
      <c r="E59" s="5"/>
      <c r="F59" s="5"/>
      <c r="G59" s="5"/>
    </row>
    <row r="60" customFormat="false" ht="15" hidden="false" customHeight="true" outlineLevel="0" collapsed="false">
      <c r="A60" s="6" t="s">
        <v>94</v>
      </c>
      <c r="B60" s="24" t="n">
        <v>0.025999</v>
      </c>
    </row>
    <row r="61" customFormat="false" ht="15" hidden="false" customHeight="true" outlineLevel="0" collapsed="false">
      <c r="A61" s="6" t="s">
        <v>95</v>
      </c>
      <c r="B61" s="13" t="n">
        <v>0.4127</v>
      </c>
    </row>
    <row r="62" customFormat="false" ht="15" hidden="false" customHeight="true" outlineLevel="0" collapsed="false">
      <c r="A62" s="6" t="s">
        <v>96</v>
      </c>
      <c r="B62" s="13" t="n">
        <v>0.005</v>
      </c>
    </row>
    <row r="63" customFormat="false" ht="15" hidden="false" customHeight="true" outlineLevel="0" collapsed="false">
      <c r="A63" s="6" t="s">
        <v>97</v>
      </c>
      <c r="B63" s="22" t="n">
        <v>50000</v>
      </c>
    </row>
    <row r="64" customFormat="false" ht="15" hidden="false" customHeight="true" outlineLevel="0" collapsed="false">
      <c r="A64" s="6" t="s">
        <v>98</v>
      </c>
      <c r="B64" s="20" t="s">
        <v>99</v>
      </c>
    </row>
  </sheetData>
  <mergeCells count="9">
    <mergeCell ref="A1:G1"/>
    <mergeCell ref="A4:G4"/>
    <mergeCell ref="A11:G11"/>
    <mergeCell ref="A22:G22"/>
    <mergeCell ref="A33:G33"/>
    <mergeCell ref="A40:G40"/>
    <mergeCell ref="A48:G48"/>
    <mergeCell ref="A54:G54"/>
    <mergeCell ref="A59:G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2"/>
  </cols>
  <sheetData>
    <row r="1" customFormat="false" ht="24" hidden="false" customHeight="true" outlineLevel="0" collapsed="false">
      <c r="A1" s="4" t="s">
        <v>100</v>
      </c>
      <c r="B1" s="4"/>
      <c r="C1" s="4"/>
      <c r="D1" s="4"/>
      <c r="E1" s="4"/>
      <c r="F1" s="4"/>
      <c r="G1" s="4"/>
      <c r="H1" s="4"/>
    </row>
    <row r="3" customFormat="false" ht="15" hidden="false" customHeight="true" outlineLevel="0" collapsed="false">
      <c r="A3" s="5" t="s">
        <v>101</v>
      </c>
      <c r="B3" s="5"/>
      <c r="C3" s="5"/>
      <c r="D3" s="5"/>
      <c r="E3" s="5"/>
      <c r="F3" s="5"/>
      <c r="G3" s="5"/>
      <c r="H3" s="5"/>
    </row>
    <row r="4" customFormat="false" ht="15" hidden="false" customHeight="true" outlineLevel="0" collapsed="false">
      <c r="A4" s="6" t="s">
        <v>102</v>
      </c>
      <c r="B4" s="8" t="n">
        <f aca="false">DCF!B17</f>
        <v>9808.71937311878</v>
      </c>
    </row>
    <row r="5" customFormat="false" ht="15" hidden="false" customHeight="true" outlineLevel="0" collapsed="false">
      <c r="A5" s="6" t="s">
        <v>103</v>
      </c>
      <c r="B5" s="8" t="n">
        <f aca="false">DCF!B19</f>
        <v>30972.9165774039</v>
      </c>
    </row>
    <row r="6" customFormat="false" ht="15" hidden="false" customHeight="true" outlineLevel="0" collapsed="false">
      <c r="A6" s="6" t="s">
        <v>104</v>
      </c>
      <c r="B6" s="25" t="n">
        <f aca="false">DCF!B20</f>
        <v>40781.6359505227</v>
      </c>
    </row>
    <row r="7" customFormat="false" ht="15" hidden="false" customHeight="true" outlineLevel="0" collapsed="false">
      <c r="A7" s="6" t="s">
        <v>105</v>
      </c>
      <c r="B7" s="25" t="n">
        <f aca="false">DCF!B21</f>
        <v>853.3</v>
      </c>
    </row>
    <row r="8" customFormat="false" ht="15" hidden="false" customHeight="true" outlineLevel="0" collapsed="false">
      <c r="A8" s="6" t="s">
        <v>106</v>
      </c>
      <c r="B8" s="25" t="n">
        <f aca="false">DCF!B22</f>
        <v>41634.9359505227</v>
      </c>
    </row>
    <row r="9" customFormat="false" ht="15" hidden="false" customHeight="true" outlineLevel="0" collapsed="false">
      <c r="A9" s="10" t="s">
        <v>107</v>
      </c>
      <c r="B9" s="11" t="n">
        <f aca="false">DCF!B24</f>
        <v>29.7383902963649</v>
      </c>
    </row>
    <row r="10" customFormat="false" ht="15" hidden="false" customHeight="true" outlineLevel="0" collapsed="false">
      <c r="A10" s="6" t="s">
        <v>16</v>
      </c>
      <c r="B10" s="26" t="n">
        <f aca="false">B9/Assumptions!$B$5-1</f>
        <v>0.0877245902108601</v>
      </c>
    </row>
    <row r="11" customFormat="false" ht="15" hidden="false" customHeight="true" outlineLevel="0" collapsed="false">
      <c r="A11" s="6" t="s">
        <v>108</v>
      </c>
      <c r="B11" s="27" t="n">
        <f aca="false">B9/('Income Statement'!E17/Assumptions!$B$7)</f>
        <v>10.8653311780281</v>
      </c>
    </row>
    <row r="12" customFormat="false" ht="15" hidden="false" customHeight="true" outlineLevel="0" collapsed="false">
      <c r="A12" s="6" t="s">
        <v>109</v>
      </c>
      <c r="B12" s="27" t="n">
        <f aca="false">B6/'Income Statement'!E10</f>
        <v>7.8119619100728</v>
      </c>
    </row>
    <row r="15" customFormat="false" ht="15" hidden="false" customHeight="true" outlineLevel="0" collapsed="false">
      <c r="A15" s="5" t="s">
        <v>110</v>
      </c>
      <c r="B15" s="5"/>
      <c r="C15" s="5"/>
      <c r="D15" s="5"/>
      <c r="E15" s="5"/>
      <c r="F15" s="5"/>
      <c r="G15" s="5"/>
      <c r="H15" s="5"/>
    </row>
    <row r="16" customFormat="false" ht="15" hidden="false" customHeight="true" outlineLevel="0" collapsed="false">
      <c r="A16" s="15"/>
      <c r="B16" s="15" t="s">
        <v>62</v>
      </c>
      <c r="C16" s="15" t="s">
        <v>63</v>
      </c>
      <c r="D16" s="15" t="s">
        <v>64</v>
      </c>
      <c r="E16" s="15" t="s">
        <v>65</v>
      </c>
      <c r="F16" s="15" t="s">
        <v>66</v>
      </c>
    </row>
    <row r="17" customFormat="false" ht="15" hidden="false" customHeight="true" outlineLevel="0" collapsed="false">
      <c r="A17" s="6" t="s">
        <v>111</v>
      </c>
      <c r="B17" s="25" t="n">
        <f aca="false">20915.1*(1+Assumptions!B$24+Assumptions!$B$56)</f>
        <v>26143.875</v>
      </c>
      <c r="C17" s="25" t="n">
        <f aca="false">B17*(1+Assumptions!C$24+Assumptions!$B$56)</f>
        <v>30588.33375</v>
      </c>
      <c r="D17" s="25" t="n">
        <f aca="false">C17*(1+Assumptions!D$24+Assumptions!$B$56)</f>
        <v>34564.8171375</v>
      </c>
      <c r="E17" s="25" t="n">
        <f aca="false">D17*(1+Assumptions!E$24+Assumptions!$B$56)</f>
        <v>38021.29885125</v>
      </c>
      <c r="F17" s="25" t="n">
        <f aca="false">E17*(1+Assumptions!F$24+Assumptions!$B$56)</f>
        <v>41063.00275935</v>
      </c>
    </row>
    <row r="18" customFormat="false" ht="15" hidden="false" customHeight="true" outlineLevel="0" collapsed="false">
      <c r="A18" s="6" t="s">
        <v>112</v>
      </c>
      <c r="B18" s="25" t="n">
        <f aca="false">(B17*Assumptions!$C$56-B17*Assumptions!B$26)*(1-Assumptions!$B$17)+B17*Assumptions!B$26-B17*Assumptions!B$27-(B17-20915.1)*Assumptions!$B$30</f>
        <v>1835.03858625</v>
      </c>
      <c r="C18" s="25" t="n">
        <f aca="false">(C17*Assumptions!$C$56-C17*Assumptions!C$26)*(1-Assumptions!$B$17)+C17*Assumptions!C$26-C17*Assumptions!C$27-(C17-B17)*Assumptions!$B$30</f>
        <v>2333.4009746625</v>
      </c>
      <c r="D18" s="25" t="n">
        <f aca="false">(D17*Assumptions!$C$56-D17*Assumptions!D$26)*(1-Assumptions!$B$17)+D17*Assumptions!D$26-D17*Assumptions!D$27-(D17-C17)*Assumptions!$B$30</f>
        <v>2830.48228705612</v>
      </c>
      <c r="E18" s="25" t="n">
        <f aca="false">(E17*Assumptions!$C$56-E17*Assumptions!E$26)*(1-Assumptions!$B$17)+E17*Assumptions!E$26-E17*Assumptions!E$27-(E17-D17)*Assumptions!$B$30</f>
        <v>3332.06565446357</v>
      </c>
      <c r="F18" s="25" t="n">
        <f aca="false">(F17*Assumptions!$C$56-F17*Assumptions!F$26)*(1-Assumptions!$B$17)+F17*Assumptions!F$26-F17*Assumptions!F$27-(F17-E17)*Assumptions!$B$30</f>
        <v>3612.45683367565</v>
      </c>
    </row>
    <row r="19" customFormat="false" ht="15" hidden="false" customHeight="true" outlineLevel="0" collapsed="false">
      <c r="A19" s="10" t="s">
        <v>113</v>
      </c>
      <c r="B19" s="11" t="n">
        <f aca="false">((B18/(1+Assumptions!$D$56)^1+C18/(1+Assumptions!$D$56)^2+D18/(1+Assumptions!$D$56)^3+E18/(1+Assumptions!$D$56)^4+F18/(1+Assumptions!$D$56)^5)+F18*(1+Assumptions!$E$56)/(Assumptions!$D$56-Assumptions!$E$56)/(1+Assumptions!$D$56)^5+Assumptions!$B$8)/Assumptions!$B$7</f>
        <v>16.405015376529</v>
      </c>
    </row>
    <row r="21" customFormat="false" ht="15" hidden="false" customHeight="true" outlineLevel="0" collapsed="false">
      <c r="A21" s="6" t="s">
        <v>114</v>
      </c>
      <c r="B21" s="25" t="n">
        <f aca="false">DCF!B4</f>
        <v>27189.63</v>
      </c>
      <c r="C21" s="25" t="n">
        <f aca="false">DCF!C4</f>
        <v>33171.3486</v>
      </c>
      <c r="D21" s="25" t="n">
        <f aca="false">DCF!D4</f>
        <v>39142.191348</v>
      </c>
      <c r="E21" s="25" t="n">
        <f aca="false">DCF!E4</f>
        <v>45013.5200502</v>
      </c>
      <c r="F21" s="25" t="n">
        <f aca="false">DCF!F4</f>
        <v>50865.277656726</v>
      </c>
    </row>
    <row r="22" customFormat="false" ht="15" hidden="false" customHeight="true" outlineLevel="0" collapsed="false">
      <c r="A22" s="6" t="s">
        <v>115</v>
      </c>
      <c r="B22" s="25" t="n">
        <f aca="false">DCF!B13</f>
        <v>2131.5205863</v>
      </c>
      <c r="C22" s="25" t="n">
        <f aca="false">DCF!C13</f>
        <v>2848.537900728</v>
      </c>
      <c r="D22" s="25" t="n">
        <f aca="false">DCF!D13</f>
        <v>3607.50689423982</v>
      </c>
      <c r="E22" s="25" t="n">
        <f aca="false">DCF!E13</f>
        <v>4405.5319206001</v>
      </c>
      <c r="F22" s="25" t="n">
        <f aca="false">DCF!F13</f>
        <v>4993.90794681731</v>
      </c>
    </row>
    <row r="23" customFormat="false" ht="15" hidden="false" customHeight="true" outlineLevel="0" collapsed="false">
      <c r="A23" s="10" t="s">
        <v>116</v>
      </c>
      <c r="B23" s="11" t="n">
        <f aca="false">((B22/(1+Assumptions!$B$19)^1+C22/(1+Assumptions!$B$19)^2+D22/(1+Assumptions!$B$19)^3+E22/(1+Assumptions!$B$19)^4+F22/(1+Assumptions!$B$19)^5)+F22*(1+Assumptions!$B$20)/(Assumptions!$B$19-Assumptions!$B$20)/(1+Assumptions!$B$19)^5+Assumptions!$B$8)/Assumptions!$B$7</f>
        <v>29.7383902963649</v>
      </c>
    </row>
    <row r="25" customFormat="false" ht="15" hidden="false" customHeight="true" outlineLevel="0" collapsed="false">
      <c r="A25" s="6" t="s">
        <v>117</v>
      </c>
      <c r="B25" s="25" t="n">
        <f aca="false">20915.1*(1+Assumptions!B$24+Assumptions!$B$57)</f>
        <v>28026.234</v>
      </c>
      <c r="C25" s="25" t="n">
        <f aca="false">B25*(1+Assumptions!C$24+Assumptions!$B$57)</f>
        <v>35313.05484</v>
      </c>
      <c r="D25" s="25" t="n">
        <f aca="false">C25*(1+Assumptions!D$24+Assumptions!$B$57)</f>
        <v>43081.9269048</v>
      </c>
      <c r="E25" s="25" t="n">
        <f aca="false">D25*(1+Assumptions!E$24+Assumptions!$B$57)</f>
        <v>51267.493016712</v>
      </c>
      <c r="F25" s="25" t="n">
        <f aca="false">E25*(1+Assumptions!F$24+Assumptions!$B$57)</f>
        <v>59982.966829553</v>
      </c>
    </row>
    <row r="26" customFormat="false" ht="15" hidden="false" customHeight="true" outlineLevel="0" collapsed="false">
      <c r="A26" s="6" t="s">
        <v>118</v>
      </c>
      <c r="B26" s="25" t="n">
        <f aca="false">(B25*Assumptions!$C$57-B25*Assumptions!B$26)*(1-Assumptions!$B$17)+B25*Assumptions!B$26-B25*Assumptions!B$27-(B25-20915.1)*Assumptions!$B$30</f>
        <v>2452.02567021</v>
      </c>
      <c r="C26" s="25" t="n">
        <f aca="false">(C25*Assumptions!$C$57-C25*Assumptions!C$26)*(1-Assumptions!$B$17)+C25*Assumptions!C$26-C25*Assumptions!C$27-(C25-B25)*Assumptions!$B$30</f>
        <v>3299.5817786646</v>
      </c>
      <c r="D26" s="25" t="n">
        <f aca="false">(D25*Assumptions!$C$57-D25*Assumptions!D$26)*(1-Assumptions!$B$17)+D25*Assumptions!D$26-D25*Assumptions!D$27-(D25-C25)*Assumptions!$B$30</f>
        <v>4263.32039169481</v>
      </c>
      <c r="E26" s="25" t="n">
        <f aca="false">(E25*Assumptions!$C$57-E25*Assumptions!E$26)*(1-Assumptions!$B$17)+E25*Assumptions!E$26-E25*Assumptions!E$27-(E25-D25)*Assumptions!$B$30</f>
        <v>5364.46244975382</v>
      </c>
      <c r="F26" s="25" t="n">
        <f aca="false">(F25*Assumptions!$C$57-F25*Assumptions!F$26)*(1-Assumptions!$B$17)+F25*Assumptions!F$26-F25*Assumptions!F$27-(F25-E25)*Assumptions!$B$30</f>
        <v>6293.65383697388</v>
      </c>
    </row>
    <row r="27" customFormat="false" ht="15" hidden="false" customHeight="true" outlineLevel="0" collapsed="false">
      <c r="A27" s="10" t="s">
        <v>119</v>
      </c>
      <c r="B27" s="11" t="n">
        <f aca="false">((B26/(1+Assumptions!$D$57)^1+C26/(1+Assumptions!$D$57)^2+D26/(1+Assumptions!$D$57)^3+E26/(1+Assumptions!$D$57)^4+F26/(1+Assumptions!$D$57)^5)+F26*(1+Assumptions!$E$57)/(Assumptions!$D$57-Assumptions!$E$57)/(1+Assumptions!$D$57)^5+Assumptions!$B$8)/Assumptions!$B$7</f>
        <v>42.7792997541513</v>
      </c>
    </row>
    <row r="30" customFormat="false" ht="15" hidden="false" customHeight="true" outlineLevel="0" collapsed="false">
      <c r="A30" s="18" t="s">
        <v>120</v>
      </c>
    </row>
  </sheetData>
  <mergeCells count="3">
    <mergeCell ref="A1:H1"/>
    <mergeCell ref="A3:H3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3" min="2" style="1" width="11"/>
  </cols>
  <sheetData>
    <row r="1" customFormat="false" ht="24" hidden="false" customHeight="true" outlineLevel="0" collapsed="false">
      <c r="A1" s="4" t="s">
        <v>121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customFormat="false" ht="15" hidden="false" customHeight="true" outlineLevel="0" collapsed="false">
      <c r="A3" s="15" t="s">
        <v>122</v>
      </c>
      <c r="B3" s="15" t="s">
        <v>123</v>
      </c>
      <c r="C3" s="15" t="s">
        <v>124</v>
      </c>
      <c r="D3" s="15" t="s">
        <v>125</v>
      </c>
      <c r="E3" s="15" t="s">
        <v>126</v>
      </c>
      <c r="F3" s="15" t="s">
        <v>127</v>
      </c>
      <c r="G3" s="15" t="s">
        <v>128</v>
      </c>
      <c r="H3" s="15" t="s">
        <v>129</v>
      </c>
      <c r="I3" s="15" t="s">
        <v>130</v>
      </c>
      <c r="J3" s="15" t="s">
        <v>131</v>
      </c>
      <c r="K3" s="15" t="s">
        <v>132</v>
      </c>
      <c r="L3" s="15" t="s">
        <v>133</v>
      </c>
    </row>
    <row r="4" customFormat="false" ht="15" hidden="false" customHeight="true" outlineLevel="0" collapsed="false">
      <c r="A4" s="6" t="s">
        <v>134</v>
      </c>
      <c r="B4" s="21" t="n">
        <v>6032.5</v>
      </c>
      <c r="C4" s="21" t="n">
        <v>2122.4</v>
      </c>
      <c r="D4" s="21" t="n">
        <v>8272.2</v>
      </c>
      <c r="E4" s="21" t="n">
        <v>2744.2</v>
      </c>
      <c r="F4" s="21" t="n">
        <v>10855.6</v>
      </c>
      <c r="G4" s="21" t="n">
        <v>3974</v>
      </c>
      <c r="H4" s="26" t="n">
        <f aca="false">G4/F4</f>
        <v>0.366078337447953</v>
      </c>
      <c r="I4" s="13" t="n">
        <v>0.27</v>
      </c>
      <c r="J4" s="13" t="n">
        <v>0.37</v>
      </c>
      <c r="K4" s="25" t="n">
        <f aca="false">F4*(1+I4)</f>
        <v>13786.612</v>
      </c>
      <c r="L4" s="25" t="n">
        <f aca="false">K4*J4</f>
        <v>5101.04644</v>
      </c>
    </row>
    <row r="5" customFormat="false" ht="15" hidden="false" customHeight="true" outlineLevel="0" collapsed="false">
      <c r="A5" s="6" t="s">
        <v>135</v>
      </c>
      <c r="B5" s="21" t="n">
        <v>4066.6</v>
      </c>
      <c r="C5" s="21" t="n">
        <v>1211</v>
      </c>
      <c r="D5" s="21" t="n">
        <v>4657.4</v>
      </c>
      <c r="E5" s="21" t="n">
        <v>1313</v>
      </c>
      <c r="F5" s="21" t="n">
        <v>5885.4</v>
      </c>
      <c r="G5" s="21" t="n">
        <v>1968.6</v>
      </c>
      <c r="H5" s="26" t="n">
        <f aca="false">G5/F5</f>
        <v>0.334488734835355</v>
      </c>
      <c r="I5" s="13" t="n">
        <v>0.38</v>
      </c>
      <c r="J5" s="13" t="n">
        <v>0.335</v>
      </c>
      <c r="K5" s="25" t="n">
        <f aca="false">F5*(1+I5)</f>
        <v>8121.852</v>
      </c>
      <c r="L5" s="25" t="n">
        <f aca="false">K5*J5</f>
        <v>2720.82042</v>
      </c>
    </row>
    <row r="6" customFormat="false" ht="15" hidden="false" customHeight="true" outlineLevel="0" collapsed="false">
      <c r="A6" s="6" t="s">
        <v>136</v>
      </c>
      <c r="B6" s="21" t="n">
        <v>1079</v>
      </c>
      <c r="C6" s="21" t="n">
        <v>350.2</v>
      </c>
      <c r="D6" s="21" t="n">
        <v>1734.8</v>
      </c>
      <c r="E6" s="21" t="n">
        <v>514.9</v>
      </c>
      <c r="F6" s="21" t="n">
        <v>2018.6</v>
      </c>
      <c r="G6" s="21" t="n">
        <v>626.5</v>
      </c>
      <c r="H6" s="26" t="n">
        <f aca="false">G6/F6</f>
        <v>0.310363618349351</v>
      </c>
      <c r="I6" s="13" t="n">
        <v>0.22</v>
      </c>
      <c r="J6" s="13" t="n">
        <v>0.315</v>
      </c>
      <c r="K6" s="25" t="n">
        <f aca="false">F6*(1+I6)</f>
        <v>2462.692</v>
      </c>
      <c r="L6" s="25" t="n">
        <f aca="false">K6*J6</f>
        <v>775.74798</v>
      </c>
    </row>
    <row r="7" customFormat="false" ht="15" hidden="false" customHeight="true" outlineLevel="0" collapsed="false">
      <c r="A7" s="6" t="s">
        <v>137</v>
      </c>
      <c r="B7" s="21" t="n">
        <v>545</v>
      </c>
      <c r="C7" s="21" t="n">
        <v>153.3</v>
      </c>
      <c r="D7" s="21" t="n">
        <v>726.8</v>
      </c>
      <c r="E7" s="21" t="n">
        <v>175.2</v>
      </c>
      <c r="F7" s="21" t="n">
        <v>1084.7</v>
      </c>
      <c r="G7" s="21" t="n">
        <v>324.2</v>
      </c>
      <c r="H7" s="26" t="n">
        <f aca="false">G7/F7</f>
        <v>0.298884484189177</v>
      </c>
      <c r="I7" s="13" t="n">
        <v>0.4</v>
      </c>
      <c r="J7" s="13" t="n">
        <v>0.31</v>
      </c>
      <c r="K7" s="25" t="n">
        <f aca="false">F7*(1+I7)</f>
        <v>1518.58</v>
      </c>
      <c r="L7" s="25" t="n">
        <f aca="false">K7*J7</f>
        <v>470.7598</v>
      </c>
    </row>
    <row r="8" customFormat="false" ht="15" hidden="false" customHeight="true" outlineLevel="0" collapsed="false">
      <c r="A8" s="6" t="s">
        <v>138</v>
      </c>
      <c r="B8" s="21" t="n">
        <v>307.7</v>
      </c>
      <c r="C8" s="21" t="n">
        <v>86.6</v>
      </c>
      <c r="D8" s="21" t="n">
        <v>484.8</v>
      </c>
      <c r="E8" s="21" t="n">
        <v>142.6</v>
      </c>
      <c r="F8" s="21" t="n">
        <v>558</v>
      </c>
      <c r="G8" s="21" t="n">
        <v>151.1</v>
      </c>
      <c r="H8" s="26" t="n">
        <f aca="false">G8/F8</f>
        <v>0.27078853046595</v>
      </c>
      <c r="I8" s="13" t="n">
        <v>0.18</v>
      </c>
      <c r="J8" s="13" t="n">
        <v>0.285</v>
      </c>
      <c r="K8" s="25" t="n">
        <f aca="false">F8*(1+I8)</f>
        <v>658.44</v>
      </c>
      <c r="L8" s="25" t="n">
        <f aca="false">K8*J8</f>
        <v>187.6554</v>
      </c>
    </row>
    <row r="9" customFormat="false" ht="15" hidden="false" customHeight="true" outlineLevel="0" collapsed="false">
      <c r="A9" s="6" t="s">
        <v>139</v>
      </c>
      <c r="B9" s="21" t="n">
        <v>80.1</v>
      </c>
      <c r="C9" s="21" t="n">
        <v>14.6</v>
      </c>
      <c r="D9" s="21" t="n">
        <v>195.9</v>
      </c>
      <c r="E9" s="21" t="n">
        <v>35.9</v>
      </c>
      <c r="F9" s="21" t="n">
        <v>343.5</v>
      </c>
      <c r="G9" s="21" t="n">
        <v>74.9</v>
      </c>
      <c r="H9" s="26" t="n">
        <f aca="false">G9/F9</f>
        <v>0.218049490538574</v>
      </c>
      <c r="I9" s="13" t="n">
        <v>0.45</v>
      </c>
      <c r="J9" s="13" t="n">
        <v>0.245</v>
      </c>
      <c r="K9" s="25" t="n">
        <f aca="false">F9*(1+I9)</f>
        <v>498.075</v>
      </c>
      <c r="L9" s="25" t="n">
        <f aca="false">K9*J9</f>
        <v>122.028375</v>
      </c>
    </row>
    <row r="10" customFormat="false" ht="15" hidden="false" customHeight="true" outlineLevel="0" collapsed="false">
      <c r="A10" s="6" t="s">
        <v>140</v>
      </c>
      <c r="B10" s="21" t="n">
        <v>14.9</v>
      </c>
      <c r="C10" s="21" t="n">
        <v>-12.9</v>
      </c>
      <c r="D10" s="21" t="n">
        <v>72.3</v>
      </c>
      <c r="E10" s="21" t="n">
        <v>-20</v>
      </c>
      <c r="F10" s="21" t="n">
        <v>62.2</v>
      </c>
      <c r="G10" s="21" t="n">
        <v>-49.8</v>
      </c>
      <c r="H10" s="26" t="n">
        <f aca="false">G10/F10</f>
        <v>-0.80064308681672</v>
      </c>
      <c r="I10" s="13" t="n">
        <v>0.3</v>
      </c>
      <c r="J10" s="13" t="n">
        <v>-0.3</v>
      </c>
      <c r="K10" s="25" t="n">
        <f aca="false">F10*(1+I10)</f>
        <v>80.86</v>
      </c>
      <c r="L10" s="25" t="n">
        <f aca="false">K10*J10</f>
        <v>-24.258</v>
      </c>
    </row>
    <row r="11" customFormat="false" ht="15" hidden="false" customHeight="true" outlineLevel="0" collapsed="false">
      <c r="A11" s="6" t="s">
        <v>141</v>
      </c>
      <c r="B11" s="21" t="n">
        <v>0</v>
      </c>
      <c r="C11" s="21" t="n">
        <v>0</v>
      </c>
      <c r="D11" s="21" t="n">
        <v>2.4</v>
      </c>
      <c r="E11" s="21" t="n">
        <v>0.4</v>
      </c>
      <c r="F11" s="21" t="n">
        <v>107.2</v>
      </c>
      <c r="G11" s="21" t="n">
        <v>16.2</v>
      </c>
      <c r="H11" s="26" t="n">
        <f aca="false">G11/F11</f>
        <v>0.151119402985075</v>
      </c>
      <c r="I11" s="13" t="n">
        <v>0.6</v>
      </c>
      <c r="J11" s="13" t="n">
        <v>0.15</v>
      </c>
      <c r="K11" s="25" t="n">
        <f aca="false">F11*(1+I11)</f>
        <v>171.52</v>
      </c>
      <c r="L11" s="25" t="n">
        <f aca="false">K11*J11</f>
        <v>25.728</v>
      </c>
    </row>
    <row r="12" customFormat="false" ht="15" hidden="false" customHeight="true" outlineLevel="0" collapsed="false">
      <c r="A12" s="10" t="s">
        <v>142</v>
      </c>
      <c r="B12" s="28" t="n">
        <f aca="false">SUM(B4:B11)</f>
        <v>12125.8</v>
      </c>
      <c r="C12" s="28" t="n">
        <f aca="false">SUM(C4:C11)</f>
        <v>3925.2</v>
      </c>
      <c r="D12" s="28" t="n">
        <f aca="false">SUM(D4:D11)</f>
        <v>16146.6</v>
      </c>
      <c r="E12" s="28" t="n">
        <f aca="false">SUM(E4:E11)</f>
        <v>4906.2</v>
      </c>
      <c r="F12" s="28" t="n">
        <f aca="false">SUM(F4:F11)</f>
        <v>20915.2</v>
      </c>
      <c r="G12" s="28" t="n">
        <f aca="false">SUM(G4:G11)</f>
        <v>7085.7</v>
      </c>
      <c r="H12" s="17" t="n">
        <f aca="false">G12/F12</f>
        <v>0.338782320991432</v>
      </c>
      <c r="I12" s="17" t="n">
        <f aca="false">K12/F12-1</f>
        <v>0.305205353044676</v>
      </c>
      <c r="J12" s="17" t="n">
        <f aca="false">L12/K12</f>
        <v>0.343589699241695</v>
      </c>
      <c r="K12" s="28" t="n">
        <f aca="false">SUM(K4:K11)</f>
        <v>27298.631</v>
      </c>
      <c r="L12" s="28" t="n">
        <f aca="false">SUM(L4:L11)</f>
        <v>9379.528415</v>
      </c>
    </row>
    <row r="14" customFormat="false" ht="15" hidden="false" customHeight="true" outlineLevel="0" collapsed="false">
      <c r="A14" s="5" t="s">
        <v>143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true" outlineLevel="0" collapsed="false">
      <c r="A15" s="6" t="s">
        <v>144</v>
      </c>
      <c r="B15" s="25" t="n">
        <f aca="false">L12</f>
        <v>9379.528415</v>
      </c>
    </row>
    <row r="16" customFormat="false" ht="15" hidden="false" customHeight="true" outlineLevel="0" collapsed="false">
      <c r="A16" s="6" t="s">
        <v>145</v>
      </c>
      <c r="B16" s="27" t="n">
        <f aca="false">Assumptions!$B$36</f>
        <v>4.4</v>
      </c>
    </row>
    <row r="17" customFormat="false" ht="15" hidden="false" customHeight="true" outlineLevel="0" collapsed="false">
      <c r="A17" s="6" t="s">
        <v>146</v>
      </c>
      <c r="B17" s="25" t="n">
        <f aca="false">B15*B16</f>
        <v>41269.925026</v>
      </c>
    </row>
    <row r="18" customFormat="false" ht="15" hidden="false" customHeight="true" outlineLevel="0" collapsed="false">
      <c r="A18" s="6" t="s">
        <v>105</v>
      </c>
      <c r="B18" s="25" t="n">
        <f aca="false">Assumptions!$B$8</f>
        <v>853.3</v>
      </c>
    </row>
    <row r="19" customFormat="false" ht="15" hidden="false" customHeight="true" outlineLevel="0" collapsed="false">
      <c r="A19" s="6" t="s">
        <v>106</v>
      </c>
      <c r="B19" s="25" t="n">
        <f aca="false">B17+B18</f>
        <v>42123.225026</v>
      </c>
    </row>
    <row r="20" customFormat="false" ht="15" hidden="false" customHeight="true" outlineLevel="0" collapsed="false">
      <c r="A20" s="10" t="s">
        <v>147</v>
      </c>
      <c r="B20" s="11" t="n">
        <f aca="false">B19/Assumptions!$B$7</f>
        <v>30.0871582426216</v>
      </c>
    </row>
  </sheetData>
  <mergeCells count="2">
    <mergeCell ref="A1:M1"/>
    <mergeCell ref="A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2"/>
  </cols>
  <sheetData>
    <row r="1" customFormat="false" ht="24" hidden="false" customHeight="true" outlineLevel="0" collapsed="false">
      <c r="A1" s="4" t="s">
        <v>148</v>
      </c>
      <c r="B1" s="4"/>
      <c r="C1" s="4"/>
      <c r="D1" s="4"/>
      <c r="E1" s="4"/>
      <c r="F1" s="4"/>
      <c r="G1" s="4"/>
      <c r="H1" s="4"/>
    </row>
    <row r="3" customFormat="false" ht="15" hidden="false" customHeight="true" outlineLevel="0" collapsed="false">
      <c r="A3" s="5" t="s">
        <v>149</v>
      </c>
      <c r="B3" s="5"/>
      <c r="C3" s="5"/>
      <c r="D3" s="5"/>
      <c r="E3" s="5"/>
      <c r="F3" s="5"/>
      <c r="G3" s="5"/>
      <c r="H3" s="5"/>
    </row>
    <row r="4" customFormat="false" ht="15" hidden="false" customHeight="true" outlineLevel="0" collapsed="false">
      <c r="A4" s="15" t="s">
        <v>150</v>
      </c>
      <c r="B4" s="15" t="s">
        <v>151</v>
      </c>
      <c r="C4" s="15" t="s">
        <v>152</v>
      </c>
      <c r="D4" s="15" t="s">
        <v>153</v>
      </c>
    </row>
    <row r="5" customFormat="false" ht="15" hidden="false" customHeight="true" outlineLevel="0" collapsed="false">
      <c r="A5" s="6" t="s">
        <v>154</v>
      </c>
      <c r="B5" s="6" t="s">
        <v>155</v>
      </c>
      <c r="C5" s="23" t="n">
        <v>10.5</v>
      </c>
      <c r="D5" s="23" t="n">
        <v>6</v>
      </c>
    </row>
    <row r="6" customFormat="false" ht="15" hidden="false" customHeight="true" outlineLevel="0" collapsed="false">
      <c r="A6" s="6" t="s">
        <v>156</v>
      </c>
      <c r="B6" s="6" t="s">
        <v>155</v>
      </c>
      <c r="C6" s="23" t="n">
        <v>8</v>
      </c>
      <c r="D6" s="23" t="n">
        <v>4.5</v>
      </c>
    </row>
    <row r="7" customFormat="false" ht="15" hidden="false" customHeight="true" outlineLevel="0" collapsed="false">
      <c r="A7" s="6" t="s">
        <v>157</v>
      </c>
      <c r="B7" s="6" t="s">
        <v>155</v>
      </c>
      <c r="C7" s="23" t="n">
        <v>7.5</v>
      </c>
      <c r="D7" s="23" t="n">
        <v>5</v>
      </c>
    </row>
    <row r="8" customFormat="false" ht="15" hidden="false" customHeight="true" outlineLevel="0" collapsed="false">
      <c r="A8" s="6" t="s">
        <v>158</v>
      </c>
      <c r="B8" s="6" t="s">
        <v>155</v>
      </c>
      <c r="C8" s="23" t="n">
        <v>7</v>
      </c>
      <c r="D8" s="23" t="n">
        <v>5.5</v>
      </c>
    </row>
    <row r="9" customFormat="false" ht="15" hidden="false" customHeight="true" outlineLevel="0" collapsed="false">
      <c r="A9" s="6" t="s">
        <v>159</v>
      </c>
      <c r="B9" s="6" t="s">
        <v>160</v>
      </c>
      <c r="C9" s="23" t="n">
        <v>21</v>
      </c>
      <c r="D9" s="23" t="n">
        <v>12</v>
      </c>
    </row>
    <row r="10" customFormat="false" ht="15" hidden="false" customHeight="true" outlineLevel="0" collapsed="false">
      <c r="A10" s="6" t="s">
        <v>161</v>
      </c>
      <c r="B10" s="6" t="s">
        <v>155</v>
      </c>
      <c r="C10" s="27" t="n">
        <f aca="false">Assumptions!$B$5/('Income Statement'!E17/Assumptions!$B$7)</f>
        <v>9.98904619405705</v>
      </c>
      <c r="D10" s="27" t="n">
        <f aca="false">(Assumptions!$B$5*Assumptions!$B$7-Assumptions!$B$8)/'Income Statement'!E10</f>
        <v>7.16874748448827</v>
      </c>
    </row>
    <row r="11" customFormat="false" ht="15" hidden="false" customHeight="true" outlineLevel="0" collapsed="false">
      <c r="A11" s="10" t="s">
        <v>162</v>
      </c>
      <c r="C11" s="29" t="n">
        <f aca="false">MEDIAN(C5:C8)</f>
        <v>7.75</v>
      </c>
      <c r="D11" s="29" t="n">
        <f aca="false">MEDIAN(D5:D8)</f>
        <v>5.25</v>
      </c>
    </row>
    <row r="13" customFormat="false" ht="15" hidden="false" customHeight="true" outlineLevel="0" collapsed="false">
      <c r="A13" s="5" t="s">
        <v>163</v>
      </c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6" t="s">
        <v>164</v>
      </c>
      <c r="B14" s="16" t="n">
        <f aca="false">'Income Statement'!E19</f>
        <v>2.73699805455558</v>
      </c>
    </row>
    <row r="15" customFormat="false" ht="15" hidden="false" customHeight="true" outlineLevel="0" collapsed="false">
      <c r="A15" s="6" t="s">
        <v>165</v>
      </c>
      <c r="B15" s="27" t="n">
        <f aca="false">Assumptions!$B$34</f>
        <v>11.5</v>
      </c>
    </row>
    <row r="16" customFormat="false" ht="15" hidden="false" customHeight="true" outlineLevel="0" collapsed="false">
      <c r="A16" s="6" t="s">
        <v>166</v>
      </c>
      <c r="B16" s="16" t="n">
        <f aca="false">B14*B15</f>
        <v>31.4754776273892</v>
      </c>
    </row>
    <row r="17" customFormat="false" ht="15" hidden="false" customHeight="true" outlineLevel="0" collapsed="false">
      <c r="A17" s="6" t="s">
        <v>167</v>
      </c>
      <c r="B17" s="25" t="n">
        <f aca="false">'Income Statement'!E10</f>
        <v>5220.40896</v>
      </c>
    </row>
    <row r="18" customFormat="false" ht="15" hidden="false" customHeight="true" outlineLevel="0" collapsed="false">
      <c r="A18" s="6" t="s">
        <v>168</v>
      </c>
      <c r="B18" s="27" t="n">
        <f aca="false">Assumptions!$B$35</f>
        <v>7</v>
      </c>
    </row>
    <row r="19" customFormat="false" ht="15" hidden="false" customHeight="true" outlineLevel="0" collapsed="false">
      <c r="A19" s="6" t="s">
        <v>169</v>
      </c>
      <c r="B19" s="16" t="n">
        <f aca="false">(B17*B18+Assumptions!$B$8)/Assumptions!$B$7</f>
        <v>26.7107816348104</v>
      </c>
    </row>
    <row r="20" customFormat="false" ht="15" hidden="false" customHeight="true" outlineLevel="0" collapsed="false">
      <c r="A20" s="10" t="s">
        <v>170</v>
      </c>
      <c r="B20" s="11" t="n">
        <f aca="false">AVERAGE(B16,B19)</f>
        <v>29.0931296310998</v>
      </c>
    </row>
    <row r="22" customFormat="false" ht="15" hidden="false" customHeight="true" outlineLevel="0" collapsed="false">
      <c r="A22" s="5" t="s">
        <v>35</v>
      </c>
      <c r="B22" s="5"/>
      <c r="C22" s="5"/>
      <c r="D22" s="5"/>
      <c r="E22" s="5"/>
      <c r="F22" s="5"/>
      <c r="G22" s="5"/>
      <c r="H22" s="5"/>
    </row>
    <row r="23" customFormat="false" ht="15" hidden="false" customHeight="true" outlineLevel="0" collapsed="false">
      <c r="A23" s="6" t="s">
        <v>171</v>
      </c>
      <c r="B23" s="25" t="n">
        <f aca="false">'Income Statement'!E4</f>
        <v>27189.63</v>
      </c>
    </row>
    <row r="24" customFormat="false" ht="15" hidden="false" customHeight="true" outlineLevel="0" collapsed="false">
      <c r="A24" s="6" t="s">
        <v>172</v>
      </c>
      <c r="B24" s="26" t="n">
        <f aca="false">Assumptions!$B$37</f>
        <v>0.11</v>
      </c>
    </row>
    <row r="25" customFormat="false" ht="15" hidden="false" customHeight="true" outlineLevel="0" collapsed="false">
      <c r="A25" s="6" t="s">
        <v>173</v>
      </c>
      <c r="B25" s="25" t="n">
        <f aca="false">B23*B24</f>
        <v>2990.8593</v>
      </c>
    </row>
    <row r="26" customFormat="false" ht="15" hidden="false" customHeight="true" outlineLevel="0" collapsed="false">
      <c r="A26" s="6" t="s">
        <v>174</v>
      </c>
      <c r="B26" s="16" t="n">
        <f aca="false">B25/Assumptions!$B$7</f>
        <v>2.13626703522756</v>
      </c>
    </row>
    <row r="27" customFormat="false" ht="15" hidden="false" customHeight="true" outlineLevel="0" collapsed="false">
      <c r="A27" s="6" t="s">
        <v>175</v>
      </c>
      <c r="B27" s="27" t="n">
        <f aca="false">Assumptions!$B$38</f>
        <v>12.5</v>
      </c>
    </row>
    <row r="28" customFormat="false" ht="15" hidden="false" customHeight="true" outlineLevel="0" collapsed="false">
      <c r="A28" s="10" t="s">
        <v>176</v>
      </c>
      <c r="B28" s="11" t="n">
        <f aca="false">B26*B27</f>
        <v>26.7033379403446</v>
      </c>
    </row>
    <row r="30" customFormat="false" ht="15" hidden="false" customHeight="true" outlineLevel="0" collapsed="false">
      <c r="A30" s="5" t="s">
        <v>177</v>
      </c>
      <c r="B30" s="5"/>
      <c r="C30" s="5"/>
      <c r="D30" s="5"/>
      <c r="E30" s="5"/>
      <c r="F30" s="5"/>
      <c r="G30" s="5"/>
      <c r="H30" s="5"/>
    </row>
    <row r="31" customFormat="false" ht="15" hidden="false" customHeight="true" outlineLevel="0" collapsed="false">
      <c r="A31" s="6" t="s">
        <v>178</v>
      </c>
      <c r="B31" s="16" t="n">
        <f aca="false">'Income Statement'!E17*Assumptions!$B$31/Assumptions!$B$7</f>
        <v>1.23164912455001</v>
      </c>
      <c r="C31" s="16" t="n">
        <f aca="false">'Income Statement'!F17*Assumptions!$B$31/Assumptions!$B$7</f>
        <v>1.47009132332476</v>
      </c>
      <c r="D31" s="16" t="n">
        <f aca="false">'Income Statement'!G17*Assumptions!$B$31/Assumptions!$B$7</f>
        <v>1.70450221724473</v>
      </c>
      <c r="E31" s="16" t="n">
        <f aca="false">'Income Statement'!H17*Assumptions!$B$31/Assumptions!$B$7</f>
        <v>1.92828151703481</v>
      </c>
      <c r="F31" s="16" t="n">
        <f aca="false">'Income Statement'!I17*Assumptions!$B$31/Assumptions!$B$7</f>
        <v>2.17234330324393</v>
      </c>
    </row>
    <row r="32" customFormat="false" ht="15" hidden="false" customHeight="true" outlineLevel="0" collapsed="false">
      <c r="A32" s="6" t="s">
        <v>179</v>
      </c>
      <c r="B32" s="16" t="n">
        <f aca="false">B31/(1+Assumptions!$B$18)^1+C31/(1+Assumptions!$B$18)^2+D31/(1+Assumptions!$B$18)^3+E31/(1+Assumptions!$B$18)^4+F31/(1+Assumptions!$B$18)^5</f>
        <v>4.67627750284408</v>
      </c>
    </row>
    <row r="33" customFormat="false" ht="15" hidden="false" customHeight="true" outlineLevel="0" collapsed="false">
      <c r="A33" s="6" t="s">
        <v>180</v>
      </c>
      <c r="B33" s="16" t="n">
        <f aca="false">F31*(1+Assumptions!$B$20)/(Assumptions!$B$18-Assumptions!$B$20)/(1+Assumptions!$B$18)^5</f>
        <v>11.8359683729423</v>
      </c>
    </row>
    <row r="34" customFormat="false" ht="15" hidden="false" customHeight="true" outlineLevel="0" collapsed="false">
      <c r="A34" s="10" t="s">
        <v>181</v>
      </c>
      <c r="B34" s="11" t="n">
        <f aca="false">B32+B33</f>
        <v>16.5122458757864</v>
      </c>
    </row>
  </sheetData>
  <mergeCells count="5">
    <mergeCell ref="A1:H1"/>
    <mergeCell ref="A3:H3"/>
    <mergeCell ref="A13:H13"/>
    <mergeCell ref="A22:H22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2"/>
  </cols>
  <sheetData>
    <row r="1" customFormat="false" ht="24" hidden="false" customHeight="true" outlineLevel="0" collapsed="false">
      <c r="A1" s="4" t="s">
        <v>182</v>
      </c>
      <c r="B1" s="4"/>
      <c r="C1" s="4"/>
      <c r="D1" s="4"/>
      <c r="E1" s="4"/>
      <c r="F1" s="4"/>
      <c r="G1" s="4"/>
      <c r="H1" s="4"/>
    </row>
    <row r="3" customFormat="false" ht="15" hidden="false" customHeight="true" outlineLevel="0" collapsed="false">
      <c r="A3" s="15"/>
      <c r="B3" s="15" t="s">
        <v>62</v>
      </c>
      <c r="C3" s="15" t="s">
        <v>63</v>
      </c>
      <c r="D3" s="15" t="s">
        <v>64</v>
      </c>
      <c r="E3" s="15" t="s">
        <v>65</v>
      </c>
      <c r="F3" s="15" t="s">
        <v>66</v>
      </c>
    </row>
    <row r="4" customFormat="false" ht="15" hidden="false" customHeight="true" outlineLevel="0" collapsed="false">
      <c r="A4" s="6" t="s">
        <v>183</v>
      </c>
      <c r="B4" s="8" t="n">
        <f aca="false">'Income Statement'!E4</f>
        <v>27189.63</v>
      </c>
      <c r="C4" s="8" t="n">
        <f aca="false">'Income Statement'!F4</f>
        <v>33171.3486</v>
      </c>
      <c r="D4" s="8" t="n">
        <f aca="false">'Income Statement'!G4</f>
        <v>39142.191348</v>
      </c>
      <c r="E4" s="8" t="n">
        <f aca="false">'Income Statement'!H4</f>
        <v>45013.5200502</v>
      </c>
      <c r="F4" s="8" t="n">
        <f aca="false">'Income Statement'!I4</f>
        <v>50865.277656726</v>
      </c>
    </row>
    <row r="5" customFormat="false" ht="15" hidden="false" customHeight="true" outlineLevel="0" collapsed="false">
      <c r="A5" s="6" t="s">
        <v>184</v>
      </c>
      <c r="B5" s="8" t="n">
        <f aca="false">'Income Statement'!E10</f>
        <v>5220.40896</v>
      </c>
      <c r="C5" s="8" t="n">
        <f aca="false">'Income Statement'!F10</f>
        <v>6435.2416284</v>
      </c>
      <c r="D5" s="8" t="n">
        <f aca="false">'Income Statement'!G10</f>
        <v>7632.72731286</v>
      </c>
      <c r="E5" s="8" t="n">
        <f aca="false">'Income Statement'!H10</f>
        <v>8777.636409789</v>
      </c>
      <c r="F5" s="8" t="n">
        <f aca="false">'Income Statement'!I10</f>
        <v>9918.72914306157</v>
      </c>
    </row>
    <row r="6" customFormat="false" ht="15" hidden="false" customHeight="true" outlineLevel="0" collapsed="false">
      <c r="A6" s="6" t="s">
        <v>185</v>
      </c>
      <c r="B6" s="8" t="n">
        <f aca="false">-'Income Statement'!E12</f>
        <v>-706.93038</v>
      </c>
      <c r="C6" s="8" t="n">
        <f aca="false">-'Income Statement'!F12</f>
        <v>-862.4550636</v>
      </c>
      <c r="D6" s="8" t="n">
        <f aca="false">-'Income Statement'!G12</f>
        <v>-1017.696975048</v>
      </c>
      <c r="E6" s="8" t="n">
        <f aca="false">-'Income Statement'!H12</f>
        <v>-1215.3650413554</v>
      </c>
      <c r="F6" s="8" t="n">
        <f aca="false">-'Income Statement'!I12</f>
        <v>-1373.3624967316</v>
      </c>
    </row>
    <row r="7" customFormat="false" ht="15" hidden="false" customHeight="true" outlineLevel="0" collapsed="false">
      <c r="A7" s="10" t="s">
        <v>186</v>
      </c>
      <c r="B7" s="28" t="n">
        <f aca="false">B5+B6</f>
        <v>4513.47858</v>
      </c>
      <c r="C7" s="28" t="n">
        <f aca="false">C5+C6</f>
        <v>5572.7865648</v>
      </c>
      <c r="D7" s="28" t="n">
        <f aca="false">D5+D6</f>
        <v>6615.030337812</v>
      </c>
      <c r="E7" s="28" t="n">
        <f aca="false">E5+E6</f>
        <v>7562.2713684336</v>
      </c>
      <c r="F7" s="28" t="n">
        <f aca="false">F5+F6</f>
        <v>8545.36664632997</v>
      </c>
    </row>
    <row r="8" customFormat="false" ht="15" hidden="false" customHeight="true" outlineLevel="0" collapsed="false">
      <c r="A8" s="6" t="s">
        <v>187</v>
      </c>
      <c r="B8" s="25" t="n">
        <f aca="false">-B7*Assumptions!$B$17</f>
        <v>-1196.0718237</v>
      </c>
      <c r="C8" s="25" t="n">
        <f aca="false">-C7*Assumptions!$B$17</f>
        <v>-1476.788439672</v>
      </c>
      <c r="D8" s="25" t="n">
        <f aca="false">-D7*Assumptions!$B$17</f>
        <v>-1752.98303952018</v>
      </c>
      <c r="E8" s="25" t="n">
        <f aca="false">-E7*Assumptions!$B$17</f>
        <v>-2004.0019126349</v>
      </c>
      <c r="F8" s="25" t="n">
        <f aca="false">-F7*Assumptions!$B$17</f>
        <v>-2264.52216127744</v>
      </c>
    </row>
    <row r="9" customFormat="false" ht="15" hidden="false" customHeight="true" outlineLevel="0" collapsed="false">
      <c r="A9" s="10" t="s">
        <v>188</v>
      </c>
      <c r="B9" s="28" t="n">
        <f aca="false">B7+B8</f>
        <v>3317.4067563</v>
      </c>
      <c r="C9" s="28" t="n">
        <f aca="false">C7+C8</f>
        <v>4095.998125128</v>
      </c>
      <c r="D9" s="28" t="n">
        <f aca="false">D7+D8</f>
        <v>4862.04729829182</v>
      </c>
      <c r="E9" s="28" t="n">
        <f aca="false">E7+E8</f>
        <v>5558.2694557987</v>
      </c>
      <c r="F9" s="28" t="n">
        <f aca="false">F7+F8</f>
        <v>6280.84448505253</v>
      </c>
    </row>
    <row r="10" customFormat="false" ht="15" hidden="false" customHeight="true" outlineLevel="0" collapsed="false">
      <c r="A10" s="6" t="s">
        <v>189</v>
      </c>
      <c r="B10" s="25" t="n">
        <f aca="false">-B6</f>
        <v>706.93038</v>
      </c>
      <c r="C10" s="25" t="n">
        <f aca="false">-C6</f>
        <v>862.4550636</v>
      </c>
      <c r="D10" s="25" t="n">
        <f aca="false">-D6</f>
        <v>1017.696975048</v>
      </c>
      <c r="E10" s="25" t="n">
        <f aca="false">-E6</f>
        <v>1215.3650413554</v>
      </c>
      <c r="F10" s="25" t="n">
        <f aca="false">-F6</f>
        <v>1373.3624967316</v>
      </c>
    </row>
    <row r="11" customFormat="false" ht="15" hidden="false" customHeight="true" outlineLevel="0" collapsed="false">
      <c r="A11" s="6" t="s">
        <v>190</v>
      </c>
      <c r="B11" s="25" t="n">
        <f aca="false">-B4*Assumptions!B$27</f>
        <v>-1767.32595</v>
      </c>
      <c r="C11" s="25" t="n">
        <f aca="false">-C4*Assumptions!C$27</f>
        <v>-1990.280916</v>
      </c>
      <c r="D11" s="25" t="n">
        <f aca="false">-D4*Assumptions!D$27</f>
        <v>-2152.82052414</v>
      </c>
      <c r="E11" s="25" t="n">
        <f aca="false">-E4*Assumptions!E$27</f>
        <v>-2250.67600251</v>
      </c>
      <c r="F11" s="25" t="n">
        <f aca="false">-F4*Assumptions!F$27</f>
        <v>-2543.2638828363</v>
      </c>
    </row>
    <row r="12" customFormat="false" ht="15" hidden="false" customHeight="true" outlineLevel="0" collapsed="false">
      <c r="A12" s="6" t="s">
        <v>191</v>
      </c>
      <c r="B12" s="25" t="n">
        <f aca="false">-(B4-'Income Statement'!D4)*Assumptions!$B$30</f>
        <v>-125.4906</v>
      </c>
      <c r="C12" s="25" t="n">
        <f aca="false">-(C4-'Income Statement'!E4)*Assumptions!$B$30</f>
        <v>-119.634372</v>
      </c>
      <c r="D12" s="25" t="n">
        <f aca="false">-(D4-'Income Statement'!F4)*Assumptions!$B$30</f>
        <v>-119.41685496</v>
      </c>
      <c r="E12" s="25" t="n">
        <f aca="false">-(E4-'Income Statement'!G4)*Assumptions!$B$30</f>
        <v>-117.426574044</v>
      </c>
      <c r="F12" s="25" t="n">
        <f aca="false">-(F4-'Income Statement'!H4)*Assumptions!$B$30</f>
        <v>-117.03515213052</v>
      </c>
    </row>
    <row r="13" customFormat="false" ht="15" hidden="false" customHeight="true" outlineLevel="0" collapsed="false">
      <c r="A13" s="10" t="s">
        <v>192</v>
      </c>
      <c r="B13" s="28" t="n">
        <f aca="false">SUM(B9:B12)</f>
        <v>2131.5205863</v>
      </c>
      <c r="C13" s="28" t="n">
        <f aca="false">SUM(C9:C12)</f>
        <v>2848.537900728</v>
      </c>
      <c r="D13" s="28" t="n">
        <f aca="false">SUM(D9:D12)</f>
        <v>3607.50689423982</v>
      </c>
      <c r="E13" s="28" t="n">
        <f aca="false">SUM(E9:E12)</f>
        <v>4405.5319206001</v>
      </c>
      <c r="F13" s="28" t="n">
        <f aca="false">SUM(F9:F12)</f>
        <v>4993.90794681731</v>
      </c>
    </row>
    <row r="14" customFormat="false" ht="15" hidden="false" customHeight="true" outlineLevel="0" collapsed="false">
      <c r="A14" s="6" t="s">
        <v>193</v>
      </c>
      <c r="B14" s="30" t="n">
        <f aca="false">1/(1+Assumptions!$B$19)^1</f>
        <v>0.828799111527352</v>
      </c>
      <c r="C14" s="30" t="n">
        <f aca="false">1/(1+Assumptions!$B$19)^2</f>
        <v>0.686907967268529</v>
      </c>
      <c r="D14" s="30" t="n">
        <f aca="false">1/(1+Assumptions!$B$19)^3</f>
        <v>0.569308712973216</v>
      </c>
      <c r="E14" s="30" t="n">
        <f aca="false">1/(1+Assumptions!$B$19)^4</f>
        <v>0.471842555496982</v>
      </c>
      <c r="F14" s="30" t="n">
        <f aca="false">1/(1+Assumptions!$B$19)^5</f>
        <v>0.391062690776694</v>
      </c>
    </row>
    <row r="15" customFormat="false" ht="15" hidden="false" customHeight="true" outlineLevel="0" collapsed="false">
      <c r="A15" s="6" t="s">
        <v>194</v>
      </c>
      <c r="B15" s="25" t="n">
        <f aca="false">B13*B14</f>
        <v>1766.6023681277</v>
      </c>
      <c r="C15" s="25" t="n">
        <f aca="false">C13*C14</f>
        <v>1956.68337907643</v>
      </c>
      <c r="D15" s="25" t="n">
        <f aca="false">D13*D14</f>
        <v>2053.78510700168</v>
      </c>
      <c r="E15" s="25" t="n">
        <f aca="false">E13*E14</f>
        <v>2078.71743973948</v>
      </c>
      <c r="F15" s="25" t="n">
        <f aca="false">F13*F14</f>
        <v>1952.93107917349</v>
      </c>
    </row>
    <row r="17" customFormat="false" ht="15" hidden="false" customHeight="true" outlineLevel="0" collapsed="false">
      <c r="A17" s="6" t="s">
        <v>195</v>
      </c>
      <c r="B17" s="25" t="n">
        <f aca="false">SUM(B15:F15)</f>
        <v>9808.71937311878</v>
      </c>
    </row>
    <row r="18" customFormat="false" ht="15" hidden="false" customHeight="true" outlineLevel="0" collapsed="false">
      <c r="A18" s="6" t="s">
        <v>196</v>
      </c>
      <c r="B18" s="25" t="n">
        <f aca="false">F13*(1+Assumptions!$B$20)/(Assumptions!$B$19-Assumptions!$B$20)</f>
        <v>79201.9216046621</v>
      </c>
    </row>
    <row r="19" customFormat="false" ht="15" hidden="false" customHeight="true" outlineLevel="0" collapsed="false">
      <c r="A19" s="6" t="s">
        <v>103</v>
      </c>
      <c r="B19" s="25" t="n">
        <f aca="false">B18*F14</f>
        <v>30972.9165774039</v>
      </c>
    </row>
    <row r="20" customFormat="false" ht="15" hidden="false" customHeight="true" outlineLevel="0" collapsed="false">
      <c r="A20" s="10" t="s">
        <v>104</v>
      </c>
      <c r="B20" s="28" t="n">
        <f aca="false">B17+B19</f>
        <v>40781.6359505227</v>
      </c>
    </row>
    <row r="21" customFormat="false" ht="15" hidden="false" customHeight="true" outlineLevel="0" collapsed="false">
      <c r="A21" s="6" t="s">
        <v>197</v>
      </c>
      <c r="B21" s="25" t="n">
        <f aca="false">Assumptions!$B$8</f>
        <v>853.3</v>
      </c>
    </row>
    <row r="22" customFormat="false" ht="15" hidden="false" customHeight="true" outlineLevel="0" collapsed="false">
      <c r="A22" s="6" t="s">
        <v>106</v>
      </c>
      <c r="B22" s="25" t="n">
        <f aca="false">B20+B21</f>
        <v>41634.9359505227</v>
      </c>
    </row>
    <row r="23" customFormat="false" ht="15" hidden="false" customHeight="true" outlineLevel="0" collapsed="false">
      <c r="A23" s="6" t="s">
        <v>48</v>
      </c>
      <c r="B23" s="25" t="n">
        <f aca="false">Assumptions!$B$7</f>
        <v>1400.04</v>
      </c>
    </row>
    <row r="24" customFormat="false" ht="15" hidden="false" customHeight="true" outlineLevel="0" collapsed="false">
      <c r="A24" s="10" t="s">
        <v>198</v>
      </c>
      <c r="B24" s="11" t="n">
        <f aca="false">B22/B23</f>
        <v>29.7383902963649</v>
      </c>
    </row>
    <row r="26" customFormat="false" ht="15" hidden="false" customHeight="true" outlineLevel="0" collapsed="false">
      <c r="A26" s="6" t="s">
        <v>199</v>
      </c>
      <c r="B26" s="26" t="n">
        <f aca="false">B19/B20</f>
        <v>0.759481954450798</v>
      </c>
    </row>
    <row r="27" customFormat="false" ht="15" hidden="false" customHeight="false" outlineLevel="0" collapsed="false">
      <c r="A27" s="31" t="s">
        <v>200</v>
      </c>
      <c r="B27" s="32" t="n">
        <f aca="false">Assumptions!B19</f>
        <v>0.206565</v>
      </c>
    </row>
    <row r="28" customFormat="false" ht="15" hidden="false" customHeight="false" outlineLevel="0" collapsed="false">
      <c r="A28" s="31" t="s">
        <v>201</v>
      </c>
      <c r="B28" s="32" t="n">
        <f aca="false">Assumptions!B20</f>
        <v>0.135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2"/>
  </cols>
  <sheetData>
    <row r="1" customFormat="false" ht="24" hidden="false" customHeight="true" outlineLevel="0" collapsed="false">
      <c r="A1" s="4" t="s">
        <v>202</v>
      </c>
      <c r="B1" s="4"/>
      <c r="C1" s="4"/>
      <c r="D1" s="4"/>
      <c r="E1" s="4"/>
      <c r="F1" s="4"/>
      <c r="G1" s="4"/>
      <c r="H1" s="4"/>
      <c r="I1" s="4"/>
    </row>
    <row r="3" customFormat="false" ht="15" hidden="false" customHeight="true" outlineLevel="0" collapsed="false">
      <c r="A3" s="15"/>
      <c r="B3" s="15" t="s">
        <v>203</v>
      </c>
      <c r="C3" s="15" t="s">
        <v>204</v>
      </c>
      <c r="D3" s="15" t="s">
        <v>205</v>
      </c>
      <c r="E3" s="15" t="s">
        <v>62</v>
      </c>
      <c r="F3" s="15" t="s">
        <v>63</v>
      </c>
      <c r="G3" s="15" t="s">
        <v>64</v>
      </c>
      <c r="H3" s="15" t="s">
        <v>65</v>
      </c>
      <c r="I3" s="15" t="s">
        <v>66</v>
      </c>
    </row>
    <row r="4" customFormat="false" ht="15" hidden="false" customHeight="true" outlineLevel="0" collapsed="false">
      <c r="A4" s="10" t="s">
        <v>183</v>
      </c>
      <c r="B4" s="21" t="n">
        <v>12125.5</v>
      </c>
      <c r="C4" s="21" t="n">
        <v>16146.5</v>
      </c>
      <c r="D4" s="21" t="n">
        <v>20915.1</v>
      </c>
      <c r="E4" s="28" t="n">
        <f aca="false">D4*(1+Assumptions!B$24)</f>
        <v>27189.63</v>
      </c>
      <c r="F4" s="28" t="n">
        <f aca="false">E4*(1+Assumptions!C$24)</f>
        <v>33171.3486</v>
      </c>
      <c r="G4" s="28" t="n">
        <f aca="false">F4*(1+Assumptions!D$24)</f>
        <v>39142.191348</v>
      </c>
      <c r="H4" s="28" t="n">
        <f aca="false">G4*(1+Assumptions!E$24)</f>
        <v>45013.5200502</v>
      </c>
      <c r="I4" s="28" t="n">
        <f aca="false">H4*(1+Assumptions!F$24)</f>
        <v>50865.277656726</v>
      </c>
    </row>
    <row r="5" customFormat="false" ht="15" hidden="false" customHeight="true" outlineLevel="0" collapsed="false">
      <c r="A5" s="6" t="s">
        <v>67</v>
      </c>
      <c r="C5" s="26" t="n">
        <f aca="false">C4/B4-1</f>
        <v>0.331615191126139</v>
      </c>
      <c r="D5" s="26" t="n">
        <f aca="false">D4/C4-1</f>
        <v>0.295333353977642</v>
      </c>
      <c r="E5" s="26" t="n">
        <f aca="false">E4/D4-1</f>
        <v>0.3</v>
      </c>
      <c r="F5" s="26" t="n">
        <f aca="false">F4/E4-1</f>
        <v>0.22</v>
      </c>
      <c r="G5" s="26" t="n">
        <f aca="false">G4/F4-1</f>
        <v>0.18</v>
      </c>
      <c r="H5" s="26" t="n">
        <f aca="false">H4/G4-1</f>
        <v>0.15</v>
      </c>
      <c r="I5" s="26" t="n">
        <f aca="false">I4/H4-1</f>
        <v>0.13</v>
      </c>
    </row>
    <row r="6" customFormat="false" ht="15" hidden="false" customHeight="true" outlineLevel="0" collapsed="false">
      <c r="A6" s="6" t="s">
        <v>206</v>
      </c>
      <c r="B6" s="25" t="n">
        <f aca="false">B4-B7</f>
        <v>8200.2</v>
      </c>
      <c r="C6" s="25" t="n">
        <f aca="false">C4-C7</f>
        <v>11240.2</v>
      </c>
      <c r="D6" s="25" t="n">
        <f aca="false">D4-D7</f>
        <v>13829.5</v>
      </c>
      <c r="E6" s="25" t="n">
        <f aca="false">E4*(1-Assumptions!B$28)</f>
        <v>17945.1558</v>
      </c>
      <c r="F6" s="25" t="n">
        <f aca="false">F4*(1-Assumptions!C$28)</f>
        <v>21826.7473788</v>
      </c>
      <c r="G6" s="25" t="n">
        <f aca="false">G4*(1-Assumptions!D$28)</f>
        <v>25716.419715636</v>
      </c>
      <c r="H6" s="25" t="n">
        <f aca="false">H4*(1-Assumptions!E$28)</f>
        <v>29573.8826729814</v>
      </c>
      <c r="I6" s="25" t="n">
        <f aca="false">I4*(1-Assumptions!F$28)</f>
        <v>33418.487420469</v>
      </c>
    </row>
    <row r="7" customFormat="false" ht="15" hidden="false" customHeight="true" outlineLevel="0" collapsed="false">
      <c r="A7" s="10" t="s">
        <v>207</v>
      </c>
      <c r="B7" s="21" t="n">
        <v>3925.3</v>
      </c>
      <c r="C7" s="21" t="n">
        <v>4906.3</v>
      </c>
      <c r="D7" s="21" t="n">
        <v>7085.6</v>
      </c>
      <c r="E7" s="28" t="n">
        <f aca="false">E4-E6</f>
        <v>9244.4742</v>
      </c>
      <c r="F7" s="28" t="n">
        <f aca="false">F4-F6</f>
        <v>11344.6012212</v>
      </c>
      <c r="G7" s="28" t="n">
        <f aca="false">G4-G6</f>
        <v>13425.771632364</v>
      </c>
      <c r="H7" s="28" t="n">
        <f aca="false">H4-H6</f>
        <v>15439.6373772186</v>
      </c>
      <c r="I7" s="28" t="n">
        <f aca="false">I4-I6</f>
        <v>17446.790236257</v>
      </c>
    </row>
    <row r="8" customFormat="false" ht="15" hidden="false" customHeight="true" outlineLevel="0" collapsed="false">
      <c r="A8" s="6" t="s">
        <v>71</v>
      </c>
      <c r="B8" s="26" t="n">
        <f aca="false">B7/B4</f>
        <v>0.323722733083172</v>
      </c>
      <c r="C8" s="26" t="n">
        <f aca="false">C7/C4</f>
        <v>0.303861517976032</v>
      </c>
      <c r="D8" s="26" t="n">
        <f aca="false">D7/D4</f>
        <v>0.33877915955458</v>
      </c>
      <c r="E8" s="26" t="n">
        <f aca="false">E7/E4</f>
        <v>0.34</v>
      </c>
      <c r="F8" s="26" t="n">
        <f aca="false">F7/F4</f>
        <v>0.342</v>
      </c>
      <c r="G8" s="26" t="n">
        <f aca="false">G7/G4</f>
        <v>0.343</v>
      </c>
      <c r="H8" s="26" t="n">
        <f aca="false">H7/H4</f>
        <v>0.343</v>
      </c>
      <c r="I8" s="26" t="n">
        <f aca="false">I7/I4</f>
        <v>0.343</v>
      </c>
    </row>
    <row r="9" customFormat="false" ht="15" hidden="false" customHeight="true" outlineLevel="0" collapsed="false">
      <c r="A9" s="6" t="s">
        <v>208</v>
      </c>
      <c r="B9" s="25" t="n">
        <f aca="false">B7-B10</f>
        <v>1559.6</v>
      </c>
      <c r="C9" s="25" t="n">
        <f aca="false">C7-C10</f>
        <v>2368.8</v>
      </c>
      <c r="D9" s="25" t="n">
        <f aca="false">D7-D10</f>
        <v>3074.5</v>
      </c>
      <c r="E9" s="25" t="n">
        <f aca="false">E7-E10</f>
        <v>4024.06524</v>
      </c>
      <c r="F9" s="25" t="n">
        <f aca="false">F7-F10</f>
        <v>4909.3595928</v>
      </c>
      <c r="G9" s="25" t="n">
        <f aca="false">G7-G10</f>
        <v>5793.044319504</v>
      </c>
      <c r="H9" s="25" t="n">
        <f aca="false">H7-H10</f>
        <v>6662.0009674296</v>
      </c>
      <c r="I9" s="25" t="n">
        <f aca="false">I7-I10</f>
        <v>7528.06109319544</v>
      </c>
    </row>
    <row r="10" customFormat="false" ht="15" hidden="false" customHeight="true" outlineLevel="0" collapsed="false">
      <c r="A10" s="10" t="s">
        <v>184</v>
      </c>
      <c r="B10" s="21" t="n">
        <v>2365.7</v>
      </c>
      <c r="C10" s="21" t="n">
        <v>2537.5</v>
      </c>
      <c r="D10" s="21" t="n">
        <v>4011.1</v>
      </c>
      <c r="E10" s="28" t="n">
        <f aca="false">E4*Assumptions!B$25</f>
        <v>5220.40896</v>
      </c>
      <c r="F10" s="28" t="n">
        <f aca="false">F4*Assumptions!C$25</f>
        <v>6435.2416284</v>
      </c>
      <c r="G10" s="28" t="n">
        <f aca="false">G4*Assumptions!D$25</f>
        <v>7632.72731286</v>
      </c>
      <c r="H10" s="28" t="n">
        <f aca="false">H4*Assumptions!E$25</f>
        <v>8777.636409789</v>
      </c>
      <c r="I10" s="28" t="n">
        <f aca="false">I4*Assumptions!F$25</f>
        <v>9918.72914306157</v>
      </c>
    </row>
    <row r="11" customFormat="false" ht="15" hidden="false" customHeight="true" outlineLevel="0" collapsed="false">
      <c r="A11" s="6" t="s">
        <v>68</v>
      </c>
      <c r="B11" s="26" t="n">
        <f aca="false">B10/B4</f>
        <v>0.195101232938848</v>
      </c>
      <c r="C11" s="26" t="n">
        <f aca="false">C10/C4</f>
        <v>0.157154801350138</v>
      </c>
      <c r="D11" s="26" t="n">
        <f aca="false">D10/D4</f>
        <v>0.191780101457798</v>
      </c>
      <c r="E11" s="26" t="n">
        <f aca="false">E10/E4</f>
        <v>0.192</v>
      </c>
      <c r="F11" s="26" t="n">
        <f aca="false">F10/F4</f>
        <v>0.194</v>
      </c>
      <c r="G11" s="26" t="n">
        <f aca="false">G10/G4</f>
        <v>0.195</v>
      </c>
      <c r="H11" s="26" t="n">
        <f aca="false">H10/H4</f>
        <v>0.195</v>
      </c>
      <c r="I11" s="26" t="n">
        <f aca="false">I10/I4</f>
        <v>0.195</v>
      </c>
    </row>
    <row r="12" customFormat="false" ht="15" hidden="false" customHeight="true" outlineLevel="0" collapsed="false">
      <c r="A12" s="6" t="s">
        <v>209</v>
      </c>
      <c r="B12" s="33" t="n">
        <v>330</v>
      </c>
      <c r="C12" s="21" t="n">
        <v>380.2</v>
      </c>
      <c r="D12" s="21" t="n">
        <v>469</v>
      </c>
      <c r="E12" s="25" t="n">
        <f aca="false">E4*Assumptions!B$26</f>
        <v>706.93038</v>
      </c>
      <c r="F12" s="25" t="n">
        <f aca="false">F4*Assumptions!C$26</f>
        <v>862.4550636</v>
      </c>
      <c r="G12" s="25" t="n">
        <f aca="false">G4*Assumptions!D$26</f>
        <v>1017.696975048</v>
      </c>
      <c r="H12" s="25" t="n">
        <f aca="false">H4*Assumptions!E$26</f>
        <v>1215.3650413554</v>
      </c>
      <c r="I12" s="25" t="n">
        <f aca="false">I4*Assumptions!F$26</f>
        <v>1373.3624967316</v>
      </c>
    </row>
    <row r="13" customFormat="false" ht="15" hidden="false" customHeight="true" outlineLevel="0" collapsed="false">
      <c r="A13" s="10" t="s">
        <v>186</v>
      </c>
      <c r="B13" s="25" t="n">
        <f aca="false">B10-B12</f>
        <v>2035.7</v>
      </c>
      <c r="C13" s="25" t="n">
        <f aca="false">C10-C12</f>
        <v>2157.3</v>
      </c>
      <c r="D13" s="25" t="n">
        <f aca="false">D10-D12</f>
        <v>3542.1</v>
      </c>
      <c r="E13" s="28" t="n">
        <f aca="false">E10-E12</f>
        <v>4513.47858</v>
      </c>
      <c r="F13" s="28" t="n">
        <f aca="false">F10-F12</f>
        <v>5572.7865648</v>
      </c>
      <c r="G13" s="28" t="n">
        <f aca="false">G10-G12</f>
        <v>6615.030337812</v>
      </c>
      <c r="H13" s="28" t="n">
        <f aca="false">H10-H12</f>
        <v>7562.2713684336</v>
      </c>
      <c r="I13" s="28" t="n">
        <f aca="false">I10-I12</f>
        <v>8545.36664632997</v>
      </c>
    </row>
    <row r="14" customFormat="false" ht="15" hidden="false" customHeight="true" outlineLevel="0" collapsed="false">
      <c r="A14" s="6" t="s">
        <v>210</v>
      </c>
      <c r="B14" s="33" t="n">
        <v>-80</v>
      </c>
      <c r="C14" s="21" t="n">
        <v>-185.6</v>
      </c>
      <c r="D14" s="21" t="n">
        <v>-91.3</v>
      </c>
      <c r="E14" s="8" t="n">
        <f aca="false">Assumptions!B$29</f>
        <v>700</v>
      </c>
      <c r="F14" s="8" t="n">
        <f aca="false">Assumptions!C$29</f>
        <v>650</v>
      </c>
      <c r="G14" s="8" t="n">
        <f aca="false">Assumptions!D$29</f>
        <v>600</v>
      </c>
      <c r="H14" s="8" t="n">
        <f aca="false">Assumptions!E$29</f>
        <v>600</v>
      </c>
      <c r="I14" s="8" t="n">
        <f aca="false">Assumptions!F$29</f>
        <v>650</v>
      </c>
    </row>
    <row r="15" customFormat="false" ht="15" hidden="false" customHeight="true" outlineLevel="0" collapsed="false">
      <c r="A15" s="6" t="s">
        <v>211</v>
      </c>
      <c r="B15" s="25" t="n">
        <f aca="false">B13+B14</f>
        <v>1955.7</v>
      </c>
      <c r="C15" s="25" t="n">
        <f aca="false">C13+C14</f>
        <v>1971.7</v>
      </c>
      <c r="D15" s="25" t="n">
        <f aca="false">D13+D14</f>
        <v>3450.8</v>
      </c>
      <c r="E15" s="25" t="n">
        <f aca="false">E13+E14</f>
        <v>5213.47858</v>
      </c>
      <c r="F15" s="25" t="n">
        <f aca="false">F13+F14</f>
        <v>6222.7865648</v>
      </c>
      <c r="G15" s="25" t="n">
        <f aca="false">G13+G14</f>
        <v>7215.030337812</v>
      </c>
      <c r="H15" s="25" t="n">
        <f aca="false">H13+H14</f>
        <v>8162.2713684336</v>
      </c>
      <c r="I15" s="25" t="n">
        <f aca="false">I13+I14</f>
        <v>9195.36664632997</v>
      </c>
    </row>
    <row r="16" customFormat="false" ht="15" hidden="false" customHeight="true" outlineLevel="0" collapsed="false">
      <c r="A16" s="6" t="s">
        <v>212</v>
      </c>
      <c r="B16" s="25" t="n">
        <f aca="false">B15-B17</f>
        <v>449.1</v>
      </c>
      <c r="C16" s="21" t="n">
        <v>556.3</v>
      </c>
      <c r="D16" s="21" t="n">
        <v>1008.5</v>
      </c>
      <c r="E16" s="25" t="n">
        <f aca="false">E15*Assumptions!$B$17</f>
        <v>1381.5718237</v>
      </c>
      <c r="F16" s="25" t="n">
        <f aca="false">F15*Assumptions!$B$17</f>
        <v>1649.038439672</v>
      </c>
      <c r="G16" s="25" t="n">
        <f aca="false">G15*Assumptions!$B$17</f>
        <v>1911.98303952018</v>
      </c>
      <c r="H16" s="25" t="n">
        <f aca="false">H15*Assumptions!$B$17</f>
        <v>2163.0019126349</v>
      </c>
      <c r="I16" s="25" t="n">
        <f aca="false">I15*Assumptions!$B$17</f>
        <v>2436.77216127744</v>
      </c>
    </row>
    <row r="17" customFormat="false" ht="15" hidden="false" customHeight="true" outlineLevel="0" collapsed="false">
      <c r="A17" s="10" t="s">
        <v>213</v>
      </c>
      <c r="B17" s="21" t="n">
        <v>1506.6</v>
      </c>
      <c r="C17" s="28" t="n">
        <f aca="false">C15-C16</f>
        <v>1415.4</v>
      </c>
      <c r="D17" s="28" t="n">
        <f aca="false">D15-D16</f>
        <v>2442.3</v>
      </c>
      <c r="E17" s="28" t="n">
        <f aca="false">E15-E16</f>
        <v>3831.9067563</v>
      </c>
      <c r="F17" s="28" t="n">
        <f aca="false">F15-F16</f>
        <v>4573.748125128</v>
      </c>
      <c r="G17" s="28" t="n">
        <f aca="false">G15-G16</f>
        <v>5303.04729829182</v>
      </c>
      <c r="H17" s="28" t="n">
        <f aca="false">H15-H16</f>
        <v>5999.26945579869</v>
      </c>
      <c r="I17" s="28" t="n">
        <f aca="false">I15-I16</f>
        <v>6758.59448505253</v>
      </c>
    </row>
    <row r="18" customFormat="false" ht="15" hidden="false" customHeight="true" outlineLevel="0" collapsed="false">
      <c r="A18" s="6" t="s">
        <v>214</v>
      </c>
      <c r="B18" s="26" t="n">
        <f aca="false">B17/B4</f>
        <v>0.124250546369222</v>
      </c>
      <c r="C18" s="26" t="n">
        <f aca="false">C17/C4</f>
        <v>0.0876598643668907</v>
      </c>
      <c r="D18" s="26" t="n">
        <f aca="false">D17/D4</f>
        <v>0.116772092889826</v>
      </c>
      <c r="E18" s="26" t="n">
        <f aca="false">E17/E4</f>
        <v>0.140932655438857</v>
      </c>
      <c r="F18" s="26" t="n">
        <f aca="false">F17/F4</f>
        <v>0.137882489502643</v>
      </c>
      <c r="G18" s="26" t="n">
        <f aca="false">G17/G4</f>
        <v>0.135481614995548</v>
      </c>
      <c r="H18" s="26" t="n">
        <f aca="false">H17/H4</f>
        <v>0.133277056517868</v>
      </c>
      <c r="I18" s="26" t="n">
        <f aca="false">I17/I4</f>
        <v>0.13287245831359</v>
      </c>
    </row>
    <row r="19" customFormat="false" ht="15" hidden="false" customHeight="true" outlineLevel="0" collapsed="false">
      <c r="A19" s="6" t="s">
        <v>215</v>
      </c>
      <c r="B19" s="16" t="n">
        <f aca="false">B17/Assumptions!$B$7</f>
        <v>1.07611211108254</v>
      </c>
      <c r="C19" s="16" t="n">
        <f aca="false">C17/Assumptions!$B$7</f>
        <v>1.010971115111</v>
      </c>
      <c r="D19" s="16" t="n">
        <f aca="false">D17/Assumptions!$B$7</f>
        <v>1.7444501585669</v>
      </c>
      <c r="E19" s="16" t="n">
        <f aca="false">E17/Assumptions!$B$7</f>
        <v>2.73699805455558</v>
      </c>
      <c r="F19" s="16" t="n">
        <f aca="false">F17/Assumptions!$B$7</f>
        <v>3.26686960738836</v>
      </c>
      <c r="G19" s="16" t="n">
        <f aca="false">G17/Assumptions!$B$7</f>
        <v>3.7877827049883</v>
      </c>
      <c r="H19" s="16" t="n">
        <f aca="false">H17/Assumptions!$B$7</f>
        <v>4.28507003785513</v>
      </c>
      <c r="I19" s="16" t="n">
        <f aca="false">I17/Assumptions!$B$7</f>
        <v>4.8274295627643</v>
      </c>
    </row>
    <row r="21" customFormat="false" ht="15" hidden="false" customHeight="true" outlineLevel="0" collapsed="false">
      <c r="A21" s="18" t="s">
        <v>216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2" style="1" width="12"/>
  </cols>
  <sheetData>
    <row r="1" customFormat="false" ht="24" hidden="false" customHeight="true" outlineLevel="0" collapsed="false">
      <c r="A1" s="4" t="s">
        <v>217</v>
      </c>
      <c r="B1" s="4"/>
      <c r="C1" s="4"/>
      <c r="D1" s="4"/>
      <c r="E1" s="4"/>
      <c r="F1" s="4"/>
      <c r="G1" s="4"/>
      <c r="H1" s="4"/>
      <c r="I1" s="4"/>
    </row>
    <row r="3" customFormat="false" ht="15" hidden="false" customHeight="true" outlineLevel="0" collapsed="false">
      <c r="A3" s="15"/>
      <c r="B3" s="15" t="s">
        <v>203</v>
      </c>
      <c r="C3" s="15" t="s">
        <v>204</v>
      </c>
      <c r="D3" s="15" t="s">
        <v>205</v>
      </c>
      <c r="E3" s="15" t="s">
        <v>62</v>
      </c>
      <c r="F3" s="15" t="s">
        <v>63</v>
      </c>
      <c r="G3" s="15" t="s">
        <v>64</v>
      </c>
      <c r="H3" s="15" t="s">
        <v>65</v>
      </c>
      <c r="I3" s="15" t="s">
        <v>66</v>
      </c>
    </row>
    <row r="4" customFormat="false" ht="15" hidden="false" customHeight="true" outlineLevel="0" collapsed="false">
      <c r="A4" s="15" t="s">
        <v>218</v>
      </c>
    </row>
    <row r="5" customFormat="false" ht="15" hidden="false" customHeight="true" outlineLevel="0" collapsed="false">
      <c r="A5" s="6" t="s">
        <v>219</v>
      </c>
      <c r="B5" s="33" t="n">
        <v>4540</v>
      </c>
      <c r="C5" s="33" t="n">
        <v>5400</v>
      </c>
      <c r="D5" s="33" t="n">
        <v>6323.8</v>
      </c>
      <c r="E5" s="25" t="n">
        <f aca="false">D5+'Income Statement'!E4*Assumptions!B$27-'Income Statement'!E12</f>
        <v>7384.19557</v>
      </c>
      <c r="F5" s="25" t="n">
        <f aca="false">E5+'Income Statement'!F4*Assumptions!C$27-'Income Statement'!F12</f>
        <v>8512.0214224</v>
      </c>
      <c r="G5" s="25" t="n">
        <f aca="false">F5+'Income Statement'!G4*Assumptions!D$27-'Income Statement'!G12</f>
        <v>9647.144971492</v>
      </c>
      <c r="H5" s="25" t="n">
        <f aca="false">G5+'Income Statement'!H4*Assumptions!E$27-'Income Statement'!H12</f>
        <v>10682.4559326466</v>
      </c>
      <c r="I5" s="25" t="n">
        <f aca="false">H5+'Income Statement'!I4*Assumptions!F$27-'Income Statement'!I12</f>
        <v>11852.3573187513</v>
      </c>
    </row>
    <row r="6" customFormat="false" ht="15" hidden="false" customHeight="true" outlineLevel="0" collapsed="false">
      <c r="A6" s="6" t="s">
        <v>220</v>
      </c>
      <c r="B6" s="21" t="n">
        <v>1867</v>
      </c>
      <c r="C6" s="21" t="n">
        <v>3034</v>
      </c>
      <c r="D6" s="21" t="n">
        <v>2315.1</v>
      </c>
      <c r="E6" s="25" t="n">
        <f aca="false">'Income Statement'!E4*Assumptions!$B$49</f>
        <v>3018.04893</v>
      </c>
      <c r="F6" s="25" t="n">
        <f aca="false">'Income Statement'!F4*Assumptions!$B$49</f>
        <v>3682.0196946</v>
      </c>
      <c r="G6" s="25" t="n">
        <f aca="false">'Income Statement'!G4*Assumptions!$B$49</f>
        <v>4344.783239628</v>
      </c>
      <c r="H6" s="25" t="n">
        <f aca="false">'Income Statement'!H4*Assumptions!$B$49</f>
        <v>4996.5007255722</v>
      </c>
      <c r="I6" s="25" t="n">
        <f aca="false">'Income Statement'!I4*Assumptions!$B$49</f>
        <v>5646.04581989658</v>
      </c>
    </row>
    <row r="7" customFormat="false" ht="15" hidden="false" customHeight="true" outlineLevel="0" collapsed="false">
      <c r="A7" s="6" t="s">
        <v>85</v>
      </c>
      <c r="B7" s="21" t="n">
        <v>159.6</v>
      </c>
      <c r="C7" s="21" t="n">
        <v>174.8</v>
      </c>
      <c r="D7" s="21" t="n">
        <v>243.5</v>
      </c>
      <c r="E7" s="25" t="n">
        <f aca="false">'Income Statement'!E4*Assumptions!$B$50</f>
        <v>326.27556</v>
      </c>
      <c r="F7" s="25" t="n">
        <f aca="false">'Income Statement'!F4*Assumptions!$B$50</f>
        <v>398.0561832</v>
      </c>
      <c r="G7" s="25" t="n">
        <f aca="false">'Income Statement'!G4*Assumptions!$B$50</f>
        <v>469.706296176</v>
      </c>
      <c r="H7" s="25" t="n">
        <f aca="false">'Income Statement'!H4*Assumptions!$B$50</f>
        <v>540.1622406024</v>
      </c>
      <c r="I7" s="25" t="n">
        <f aca="false">'Income Statement'!I4*Assumptions!$B$50</f>
        <v>610.383331880712</v>
      </c>
    </row>
    <row r="8" customFormat="false" ht="15" hidden="false" customHeight="true" outlineLevel="0" collapsed="false">
      <c r="A8" s="6" t="s">
        <v>221</v>
      </c>
      <c r="B8" s="33" t="n">
        <v>1000</v>
      </c>
      <c r="C8" s="33" t="n">
        <v>1300</v>
      </c>
      <c r="D8" s="33" t="n">
        <v>1600</v>
      </c>
      <c r="E8" s="25" t="n">
        <f aca="false">D8*(1+Assumptions!$B$52)</f>
        <v>1760</v>
      </c>
      <c r="F8" s="25" t="n">
        <f aca="false">E8*(1+Assumptions!$B$52)</f>
        <v>1936</v>
      </c>
      <c r="G8" s="25" t="n">
        <f aca="false">F8*(1+Assumptions!$B$52)</f>
        <v>2129.6</v>
      </c>
      <c r="H8" s="25" t="n">
        <f aca="false">G8*(1+Assumptions!$B$52)</f>
        <v>2342.56</v>
      </c>
      <c r="I8" s="25" t="n">
        <f aca="false">H8*(1+Assumptions!$B$52)</f>
        <v>2576.816</v>
      </c>
    </row>
    <row r="9" customFormat="false" ht="15" hidden="false" customHeight="true" outlineLevel="0" collapsed="false">
      <c r="A9" s="6" t="s">
        <v>222</v>
      </c>
      <c r="B9" s="21" t="n">
        <v>1356.3</v>
      </c>
      <c r="C9" s="21" t="n">
        <v>1324.2</v>
      </c>
      <c r="D9" s="21" t="n">
        <v>4741.1</v>
      </c>
      <c r="E9" s="8" t="n">
        <f aca="false">'Cash Flow'!E17</f>
        <v>5761.904265965</v>
      </c>
      <c r="F9" s="8" t="n">
        <f aca="false">'Cash Flow'!F17</f>
        <v>7117.2011287854</v>
      </c>
      <c r="G9" s="8" t="n">
        <f aca="false">'Cash Flow'!G17</f>
        <v>8848.4538197059</v>
      </c>
      <c r="H9" s="8" t="n">
        <f aca="false">'Cash Flow'!H17</f>
        <v>11040.6929480934</v>
      </c>
      <c r="I9" s="8" t="n">
        <f aca="false">'Cash Flow'!I17</f>
        <v>13494.2047113242</v>
      </c>
    </row>
    <row r="10" customFormat="false" ht="15" hidden="false" customHeight="true" outlineLevel="0" collapsed="false">
      <c r="A10" s="10" t="s">
        <v>223</v>
      </c>
      <c r="B10" s="28" t="n">
        <f aca="false">SUM(B5:B9)</f>
        <v>8922.9</v>
      </c>
      <c r="C10" s="28" t="n">
        <f aca="false">SUM(C5:C9)</f>
        <v>11233</v>
      </c>
      <c r="D10" s="28" t="n">
        <f aca="false">SUM(D5:D9)</f>
        <v>15223.5</v>
      </c>
      <c r="E10" s="28" t="n">
        <f aca="false">SUM(E5:E9)</f>
        <v>18250.424325965</v>
      </c>
      <c r="F10" s="28" t="n">
        <f aca="false">SUM(F5:F9)</f>
        <v>21645.2984289854</v>
      </c>
      <c r="G10" s="28" t="n">
        <f aca="false">SUM(G5:G9)</f>
        <v>25439.6883270019</v>
      </c>
      <c r="H10" s="28" t="n">
        <f aca="false">SUM(H5:H9)</f>
        <v>29602.3718469146</v>
      </c>
      <c r="I10" s="28" t="n">
        <f aca="false">SUM(I5:I9)</f>
        <v>34179.8071818528</v>
      </c>
    </row>
    <row r="11" customFormat="false" ht="15" hidden="false" customHeight="true" outlineLevel="0" collapsed="false">
      <c r="A11" s="6"/>
    </row>
    <row r="12" customFormat="false" ht="15" hidden="false" customHeight="true" outlineLevel="0" collapsed="false">
      <c r="A12" s="15" t="s">
        <v>224</v>
      </c>
    </row>
    <row r="13" customFormat="false" ht="15" hidden="false" customHeight="true" outlineLevel="0" collapsed="false">
      <c r="A13" s="6" t="s">
        <v>225</v>
      </c>
      <c r="B13" s="21" t="n">
        <v>2030.5</v>
      </c>
      <c r="C13" s="21" t="n">
        <v>3468.2</v>
      </c>
      <c r="D13" s="21" t="n">
        <v>4474.6</v>
      </c>
      <c r="E13" s="25" t="n">
        <f aca="false">D13</f>
        <v>4474.6</v>
      </c>
      <c r="F13" s="25" t="n">
        <f aca="false">E13</f>
        <v>4474.6</v>
      </c>
      <c r="G13" s="25" t="n">
        <f aca="false">F13</f>
        <v>4474.6</v>
      </c>
      <c r="H13" s="25" t="n">
        <f aca="false">G13</f>
        <v>4474.6</v>
      </c>
      <c r="I13" s="25" t="n">
        <f aca="false">H13</f>
        <v>4474.6</v>
      </c>
    </row>
    <row r="14" customFormat="false" ht="15" hidden="false" customHeight="true" outlineLevel="0" collapsed="false">
      <c r="A14" s="6" t="s">
        <v>226</v>
      </c>
      <c r="B14" s="21" t="n">
        <v>596.7</v>
      </c>
      <c r="C14" s="21" t="n">
        <v>808.4</v>
      </c>
      <c r="D14" s="21" t="n">
        <v>771.4</v>
      </c>
      <c r="E14" s="25" t="n">
        <f aca="false">D14</f>
        <v>771.4</v>
      </c>
      <c r="F14" s="25" t="n">
        <f aca="false">E14</f>
        <v>771.4</v>
      </c>
      <c r="G14" s="25" t="n">
        <f aca="false">F14</f>
        <v>771.4</v>
      </c>
      <c r="H14" s="25" t="n">
        <f aca="false">G14</f>
        <v>771.4</v>
      </c>
      <c r="I14" s="25" t="n">
        <f aca="false">H14</f>
        <v>771.4</v>
      </c>
    </row>
    <row r="15" customFormat="false" ht="15" hidden="false" customHeight="true" outlineLevel="0" collapsed="false">
      <c r="A15" s="6" t="s">
        <v>86</v>
      </c>
      <c r="B15" s="25" t="n">
        <f aca="false">B10-B13-B14-B17</f>
        <v>2495.7</v>
      </c>
      <c r="C15" s="25" t="n">
        <f aca="false">C10-C13-C14-C17</f>
        <v>1956.4</v>
      </c>
      <c r="D15" s="25" t="n">
        <f aca="false">D10-D13-D14-D17</f>
        <v>3077.5</v>
      </c>
      <c r="E15" s="25" t="n">
        <f aca="false">'Income Statement'!E4*Assumptions!$B$51</f>
        <v>3996.87561</v>
      </c>
      <c r="F15" s="25" t="n">
        <f aca="false">'Income Statement'!F4*Assumptions!$B$51</f>
        <v>4876.1882442</v>
      </c>
      <c r="G15" s="25" t="n">
        <f aca="false">'Income Statement'!G4*Assumptions!$B$51</f>
        <v>5753.902128156</v>
      </c>
      <c r="H15" s="25" t="n">
        <f aca="false">'Income Statement'!H4*Assumptions!$B$51</f>
        <v>6616.9874473794</v>
      </c>
      <c r="I15" s="25" t="n">
        <f aca="false">'Income Statement'!I4*Assumptions!$B$51</f>
        <v>7477.19581553872</v>
      </c>
    </row>
    <row r="16" customFormat="false" ht="15" hidden="false" customHeight="true" outlineLevel="0" collapsed="false">
      <c r="A16" s="10" t="s">
        <v>227</v>
      </c>
      <c r="B16" s="28" t="n">
        <f aca="false">SUM(B13:B15)</f>
        <v>5122.9</v>
      </c>
      <c r="C16" s="28" t="n">
        <f aca="false">SUM(C13:C15)</f>
        <v>6233</v>
      </c>
      <c r="D16" s="28" t="n">
        <f aca="false">SUM(D13:D15)</f>
        <v>8323.5</v>
      </c>
      <c r="E16" s="28" t="n">
        <f aca="false">SUM(E13:E15)</f>
        <v>9242.87561</v>
      </c>
      <c r="F16" s="28" t="n">
        <f aca="false">SUM(F13:F15)</f>
        <v>10122.1882442</v>
      </c>
      <c r="G16" s="28" t="n">
        <f aca="false">SUM(G13:G15)</f>
        <v>10999.902128156</v>
      </c>
      <c r="H16" s="28" t="n">
        <f aca="false">SUM(H13:H15)</f>
        <v>11862.9874473794</v>
      </c>
      <c r="I16" s="28" t="n">
        <f aca="false">SUM(I13:I15)</f>
        <v>12723.1958155387</v>
      </c>
    </row>
    <row r="17" customFormat="false" ht="15" hidden="false" customHeight="true" outlineLevel="0" collapsed="false">
      <c r="A17" s="10" t="s">
        <v>228</v>
      </c>
      <c r="B17" s="33" t="n">
        <v>3800</v>
      </c>
      <c r="C17" s="33" t="n">
        <v>5000</v>
      </c>
      <c r="D17" s="33" t="n">
        <v>6900</v>
      </c>
      <c r="E17" s="25" t="n">
        <f aca="false">D17+'Income Statement'!E17+'Cash Flow'!E13</f>
        <v>9007.548715965</v>
      </c>
      <c r="F17" s="25" t="n">
        <f aca="false">E17+'Income Statement'!F17+'Cash Flow'!F13</f>
        <v>11523.1101847854</v>
      </c>
      <c r="G17" s="25" t="n">
        <f aca="false">F17+'Income Statement'!G17+'Cash Flow'!G13</f>
        <v>14439.7861988459</v>
      </c>
      <c r="H17" s="25" t="n">
        <f aca="false">G17+'Income Statement'!H17+'Cash Flow'!H13</f>
        <v>17739.3843995352</v>
      </c>
      <c r="I17" s="25" t="n">
        <f aca="false">H17+'Income Statement'!I17+'Cash Flow'!I13</f>
        <v>21456.6113663141</v>
      </c>
    </row>
    <row r="18" customFormat="false" ht="15" hidden="false" customHeight="true" outlineLevel="0" collapsed="false">
      <c r="A18" s="10" t="s">
        <v>229</v>
      </c>
      <c r="B18" s="28" t="n">
        <f aca="false">B16+B17</f>
        <v>8922.9</v>
      </c>
      <c r="C18" s="28" t="n">
        <f aca="false">C16+C17</f>
        <v>11233</v>
      </c>
      <c r="D18" s="28" t="n">
        <f aca="false">D16+D17</f>
        <v>15223.5</v>
      </c>
      <c r="E18" s="28" t="n">
        <f aca="false">E16+E17</f>
        <v>18250.424325965</v>
      </c>
      <c r="F18" s="28" t="n">
        <f aca="false">F16+F17</f>
        <v>21645.2984289854</v>
      </c>
      <c r="G18" s="28" t="n">
        <f aca="false">G16+G17</f>
        <v>25439.6883270019</v>
      </c>
      <c r="H18" s="28" t="n">
        <f aca="false">H16+H17</f>
        <v>29602.3718469146</v>
      </c>
      <c r="I18" s="28" t="n">
        <f aca="false">I16+I17</f>
        <v>34179.8071818528</v>
      </c>
    </row>
    <row r="19" customFormat="false" ht="15" hidden="false" customHeight="true" outlineLevel="0" collapsed="false">
      <c r="A19" s="6" t="s">
        <v>230</v>
      </c>
      <c r="B19" s="25" t="n">
        <f aca="false">B10-B18</f>
        <v>0</v>
      </c>
      <c r="C19" s="25" t="n">
        <f aca="false">C10-C18</f>
        <v>0</v>
      </c>
      <c r="D19" s="25" t="n">
        <f aca="false">D10-D18</f>
        <v>0</v>
      </c>
      <c r="E19" s="25" t="n">
        <f aca="false">E10-E18</f>
        <v>0</v>
      </c>
      <c r="F19" s="25" t="n">
        <f aca="false">F10-F18</f>
        <v>0</v>
      </c>
      <c r="G19" s="25" t="n">
        <f aca="false">G10-G18</f>
        <v>0</v>
      </c>
      <c r="H19" s="25" t="n">
        <f aca="false">H10-H18</f>
        <v>0</v>
      </c>
      <c r="I19" s="25" t="n">
        <f aca="false">I10-I18</f>
        <v>0</v>
      </c>
    </row>
    <row r="21" customFormat="false" ht="15" hidden="false" customHeight="true" outlineLevel="0" collapsed="false">
      <c r="A21" s="18" t="s">
        <v>231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2" style="1" width="12"/>
  </cols>
  <sheetData>
    <row r="1" customFormat="false" ht="24" hidden="false" customHeight="true" outlineLevel="0" collapsed="false">
      <c r="A1" s="4" t="s">
        <v>232</v>
      </c>
      <c r="B1" s="4"/>
      <c r="C1" s="4"/>
      <c r="D1" s="4"/>
      <c r="E1" s="4"/>
      <c r="F1" s="4"/>
      <c r="G1" s="4"/>
      <c r="H1" s="4"/>
      <c r="I1" s="4"/>
    </row>
    <row r="3" customFormat="false" ht="15" hidden="false" customHeight="true" outlineLevel="0" collapsed="false">
      <c r="A3" s="15"/>
      <c r="B3" s="15" t="s">
        <v>203</v>
      </c>
      <c r="C3" s="15" t="s">
        <v>204</v>
      </c>
      <c r="D3" s="15" t="s">
        <v>205</v>
      </c>
      <c r="E3" s="15" t="s">
        <v>62</v>
      </c>
      <c r="F3" s="15" t="s">
        <v>63</v>
      </c>
      <c r="G3" s="15" t="s">
        <v>64</v>
      </c>
      <c r="H3" s="15" t="s">
        <v>65</v>
      </c>
      <c r="I3" s="15" t="s">
        <v>66</v>
      </c>
    </row>
    <row r="4" customFormat="false" ht="15" hidden="false" customHeight="true" outlineLevel="0" collapsed="false">
      <c r="A4" s="6" t="s">
        <v>233</v>
      </c>
      <c r="D4" s="21" t="n">
        <v>2442.3</v>
      </c>
      <c r="E4" s="8" t="n">
        <f aca="false">'Income Statement'!E17</f>
        <v>3831.9067563</v>
      </c>
      <c r="F4" s="8" t="n">
        <f aca="false">'Income Statement'!F17</f>
        <v>4573.748125128</v>
      </c>
      <c r="G4" s="8" t="n">
        <f aca="false">'Income Statement'!G17</f>
        <v>5303.04729829182</v>
      </c>
      <c r="H4" s="8" t="n">
        <f aca="false">'Income Statement'!H17</f>
        <v>5999.26945579869</v>
      </c>
      <c r="I4" s="8" t="n">
        <f aca="false">'Income Statement'!I17</f>
        <v>6758.59448505253</v>
      </c>
    </row>
    <row r="5" customFormat="false" ht="15" hidden="false" customHeight="true" outlineLevel="0" collapsed="false">
      <c r="A5" s="6" t="s">
        <v>189</v>
      </c>
      <c r="D5" s="21" t="n">
        <v>469</v>
      </c>
      <c r="E5" s="8" t="n">
        <f aca="false">'Income Statement'!E12</f>
        <v>706.93038</v>
      </c>
      <c r="F5" s="8" t="n">
        <f aca="false">'Income Statement'!F12</f>
        <v>862.4550636</v>
      </c>
      <c r="G5" s="8" t="n">
        <f aca="false">'Income Statement'!G12</f>
        <v>1017.696975048</v>
      </c>
      <c r="H5" s="8" t="n">
        <f aca="false">'Income Statement'!H12</f>
        <v>1215.3650413554</v>
      </c>
      <c r="I5" s="8" t="n">
        <f aca="false">'Income Statement'!I12</f>
        <v>1373.3624967316</v>
      </c>
    </row>
    <row r="6" customFormat="false" ht="15" hidden="false" customHeight="true" outlineLevel="0" collapsed="false">
      <c r="A6" s="6" t="s">
        <v>234</v>
      </c>
      <c r="D6" s="25" t="n">
        <f aca="false">-(2315.1-3034)</f>
        <v>718.9</v>
      </c>
      <c r="E6" s="25" t="n">
        <f aca="false">-('Balance Sheet'!E6-'Balance Sheet'!D6)</f>
        <v>-702.94893</v>
      </c>
      <c r="F6" s="25" t="n">
        <f aca="false">-('Balance Sheet'!F6-'Balance Sheet'!E6)</f>
        <v>-663.9707646</v>
      </c>
      <c r="G6" s="25" t="n">
        <f aca="false">-('Balance Sheet'!G6-'Balance Sheet'!F6)</f>
        <v>-662.763545028</v>
      </c>
      <c r="H6" s="25" t="n">
        <f aca="false">-('Balance Sheet'!H6-'Balance Sheet'!G6)</f>
        <v>-651.717485944199</v>
      </c>
      <c r="I6" s="25" t="n">
        <f aca="false">-('Balance Sheet'!I6-'Balance Sheet'!H6)</f>
        <v>-649.545094324385</v>
      </c>
    </row>
    <row r="7" customFormat="false" ht="15" hidden="false" customHeight="true" outlineLevel="0" collapsed="false">
      <c r="A7" s="6" t="s">
        <v>235</v>
      </c>
      <c r="D7" s="25" t="n">
        <f aca="false">-(243.5-174.8)</f>
        <v>-68.7</v>
      </c>
      <c r="E7" s="25" t="n">
        <f aca="false">-('Balance Sheet'!E7-'Balance Sheet'!D7)</f>
        <v>-82.77556</v>
      </c>
      <c r="F7" s="25" t="n">
        <f aca="false">-('Balance Sheet'!F7-'Balance Sheet'!E7)</f>
        <v>-71.7806232</v>
      </c>
      <c r="G7" s="25" t="n">
        <f aca="false">-('Balance Sheet'!G7-'Balance Sheet'!F7)</f>
        <v>-71.650112976</v>
      </c>
      <c r="H7" s="25" t="n">
        <f aca="false">-('Balance Sheet'!H7-'Balance Sheet'!G7)</f>
        <v>-70.4559444263999</v>
      </c>
      <c r="I7" s="25" t="n">
        <f aca="false">-('Balance Sheet'!I7-'Balance Sheet'!H7)</f>
        <v>-70.221091278312</v>
      </c>
    </row>
    <row r="8" customFormat="false" ht="15" hidden="false" customHeight="true" outlineLevel="0" collapsed="false">
      <c r="A8" s="6" t="s">
        <v>236</v>
      </c>
      <c r="D8" s="25" t="n">
        <f aca="false">-(1600-1300)</f>
        <v>-300</v>
      </c>
      <c r="E8" s="25" t="n">
        <f aca="false">-('Balance Sheet'!E8-'Balance Sheet'!D8)</f>
        <v>-160</v>
      </c>
      <c r="F8" s="25" t="n">
        <f aca="false">-('Balance Sheet'!F8-'Balance Sheet'!E8)</f>
        <v>-176</v>
      </c>
      <c r="G8" s="25" t="n">
        <f aca="false">-('Balance Sheet'!G8-'Balance Sheet'!F8)</f>
        <v>-193.6</v>
      </c>
      <c r="H8" s="25" t="n">
        <f aca="false">-('Balance Sheet'!H8-'Balance Sheet'!G8)</f>
        <v>-212.960000000001</v>
      </c>
      <c r="I8" s="25" t="n">
        <f aca="false">-('Balance Sheet'!I8-'Balance Sheet'!H8)</f>
        <v>-234.256</v>
      </c>
    </row>
    <row r="9" customFormat="false" ht="15" hidden="false" customHeight="true" outlineLevel="0" collapsed="false">
      <c r="A9" s="6" t="s">
        <v>237</v>
      </c>
      <c r="D9" s="25" t="n">
        <f aca="false">3077.5-1956.4</f>
        <v>1121.1</v>
      </c>
      <c r="E9" s="25" t="n">
        <f aca="false">'Balance Sheet'!E15-'Balance Sheet'!D15</f>
        <v>919.37561</v>
      </c>
      <c r="F9" s="25" t="n">
        <f aca="false">'Balance Sheet'!F15-'Balance Sheet'!E15</f>
        <v>879.3126342</v>
      </c>
      <c r="G9" s="25" t="n">
        <f aca="false">'Balance Sheet'!G15-'Balance Sheet'!F15</f>
        <v>877.713883955999</v>
      </c>
      <c r="H9" s="25" t="n">
        <f aca="false">'Balance Sheet'!H15-'Balance Sheet'!G15</f>
        <v>863.085319223399</v>
      </c>
      <c r="I9" s="25" t="n">
        <f aca="false">'Balance Sheet'!I15-'Balance Sheet'!H15</f>
        <v>860.20836815932</v>
      </c>
    </row>
    <row r="10" customFormat="false" ht="15" hidden="false" customHeight="true" outlineLevel="0" collapsed="false">
      <c r="A10" s="10" t="s">
        <v>238</v>
      </c>
      <c r="D10" s="28" t="n">
        <f aca="false">SUM(D4:D9)</f>
        <v>4382.6</v>
      </c>
      <c r="E10" s="28" t="n">
        <f aca="false">SUM(E4:E9)</f>
        <v>4512.4882563</v>
      </c>
      <c r="F10" s="28" t="n">
        <f aca="false">SUM(F4:F9)</f>
        <v>5403.764435128</v>
      </c>
      <c r="G10" s="28" t="n">
        <f aca="false">SUM(G4:G9)</f>
        <v>6270.44449929182</v>
      </c>
      <c r="H10" s="28" t="n">
        <f aca="false">SUM(H4:H9)</f>
        <v>7142.58638600689</v>
      </c>
      <c r="I10" s="28" t="n">
        <f aca="false">SUM(I4:I9)</f>
        <v>8038.14316434075</v>
      </c>
    </row>
    <row r="11" customFormat="false" ht="15" hidden="false" customHeight="true" outlineLevel="0" collapsed="false">
      <c r="A11" s="6" t="s">
        <v>190</v>
      </c>
      <c r="D11" s="21" t="n">
        <v>-1392.8</v>
      </c>
      <c r="E11" s="25" t="n">
        <f aca="false">-'Income Statement'!E4*Assumptions!B$27</f>
        <v>-1767.32595</v>
      </c>
      <c r="F11" s="25" t="n">
        <f aca="false">-'Income Statement'!F4*Assumptions!C$27</f>
        <v>-1990.280916</v>
      </c>
      <c r="G11" s="25" t="n">
        <f aca="false">-'Income Statement'!G4*Assumptions!D$27</f>
        <v>-2152.82052414</v>
      </c>
      <c r="H11" s="25" t="n">
        <f aca="false">-'Income Statement'!H4*Assumptions!E$27</f>
        <v>-2250.67600251</v>
      </c>
      <c r="I11" s="25" t="n">
        <f aca="false">-'Income Statement'!I4*Assumptions!F$27</f>
        <v>-2543.2638828363</v>
      </c>
    </row>
    <row r="12" customFormat="false" ht="15" hidden="false" customHeight="true" outlineLevel="0" collapsed="false">
      <c r="A12" s="10" t="s">
        <v>239</v>
      </c>
      <c r="D12" s="28" t="n">
        <f aca="false">D10+D11</f>
        <v>2989.8</v>
      </c>
      <c r="E12" s="28" t="n">
        <f aca="false">E10+E11</f>
        <v>2745.1623063</v>
      </c>
      <c r="F12" s="28" t="n">
        <f aca="false">F10+F11</f>
        <v>3413.483519128</v>
      </c>
      <c r="G12" s="28" t="n">
        <f aca="false">G10+G11</f>
        <v>4117.62397515182</v>
      </c>
      <c r="H12" s="28" t="n">
        <f aca="false">H10+H11</f>
        <v>4891.91038349689</v>
      </c>
      <c r="I12" s="28" t="n">
        <f aca="false">I10+I11</f>
        <v>5494.87928150445</v>
      </c>
    </row>
    <row r="13" customFormat="false" ht="15" hidden="false" customHeight="true" outlineLevel="0" collapsed="false">
      <c r="A13" s="6" t="s">
        <v>240</v>
      </c>
      <c r="D13" s="21" t="n">
        <v>-800.1</v>
      </c>
      <c r="E13" s="25" t="n">
        <f aca="false">-'Income Statement'!E17*Assumptions!$B$31</f>
        <v>-1724.358040335</v>
      </c>
      <c r="F13" s="25" t="n">
        <f aca="false">-'Income Statement'!F17*Assumptions!$B$31</f>
        <v>-2058.1866563076</v>
      </c>
      <c r="G13" s="25" t="n">
        <f aca="false">-'Income Statement'!G17*Assumptions!$B$31</f>
        <v>-2386.37128423132</v>
      </c>
      <c r="H13" s="25" t="n">
        <f aca="false">-'Income Statement'!H17*Assumptions!$B$31</f>
        <v>-2699.67125510941</v>
      </c>
      <c r="I13" s="25" t="n">
        <f aca="false">-'Income Statement'!I17*Assumptions!$B$31</f>
        <v>-3041.36751827364</v>
      </c>
    </row>
    <row r="14" customFormat="false" ht="15" hidden="false" customHeight="true" outlineLevel="0" collapsed="false">
      <c r="A14" s="6" t="s">
        <v>241</v>
      </c>
      <c r="D14" s="25" t="n">
        <f aca="false">(4474.6+771.4)-(3468.2+808.4)</f>
        <v>969.400000000001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</row>
    <row r="15" customFormat="false" ht="15" hidden="false" customHeight="true" outlineLevel="0" collapsed="false">
      <c r="A15" s="10" t="s">
        <v>242</v>
      </c>
      <c r="D15" s="28" t="n">
        <f aca="false">D12+D13+D14</f>
        <v>3159.1</v>
      </c>
      <c r="E15" s="28" t="n">
        <f aca="false">E12+E13+E14</f>
        <v>1020.804265965</v>
      </c>
      <c r="F15" s="28" t="n">
        <f aca="false">F12+F13+F14</f>
        <v>1355.2968628204</v>
      </c>
      <c r="G15" s="28" t="n">
        <f aca="false">G12+G13+G14</f>
        <v>1731.2526909205</v>
      </c>
      <c r="H15" s="28" t="n">
        <f aca="false">H12+H13+H14</f>
        <v>2192.23912838748</v>
      </c>
      <c r="I15" s="28" t="n">
        <f aca="false">I12+I13+I14</f>
        <v>2453.51176323081</v>
      </c>
    </row>
    <row r="16" customFormat="false" ht="15" hidden="false" customHeight="true" outlineLevel="0" collapsed="false">
      <c r="A16" s="6" t="s">
        <v>243</v>
      </c>
      <c r="D16" s="21" t="n">
        <v>1324.2</v>
      </c>
      <c r="E16" s="8" t="n">
        <f aca="false">'Balance Sheet'!D9</f>
        <v>4741.1</v>
      </c>
      <c r="F16" s="25" t="n">
        <f aca="false">E17</f>
        <v>5761.904265965</v>
      </c>
      <c r="G16" s="25" t="n">
        <f aca="false">F17</f>
        <v>7117.2011287854</v>
      </c>
      <c r="H16" s="25" t="n">
        <f aca="false">G17</f>
        <v>8848.4538197059</v>
      </c>
      <c r="I16" s="25" t="n">
        <f aca="false">H17</f>
        <v>11040.6929480934</v>
      </c>
    </row>
    <row r="17" customFormat="false" ht="15" hidden="false" customHeight="true" outlineLevel="0" collapsed="false">
      <c r="A17" s="10" t="s">
        <v>244</v>
      </c>
      <c r="D17" s="28" t="n">
        <f aca="false">D16+D15</f>
        <v>4483.3</v>
      </c>
      <c r="E17" s="28" t="n">
        <f aca="false">E16+E15</f>
        <v>5761.904265965</v>
      </c>
      <c r="F17" s="28" t="n">
        <f aca="false">F16+F15</f>
        <v>7117.2011287854</v>
      </c>
      <c r="G17" s="28" t="n">
        <f aca="false">G16+G15</f>
        <v>8848.4538197059</v>
      </c>
      <c r="H17" s="28" t="n">
        <f aca="false">H16+H15</f>
        <v>11040.6929480934</v>
      </c>
      <c r="I17" s="28" t="n">
        <f aca="false">I16+I15</f>
        <v>13494.2047113242</v>
      </c>
    </row>
    <row r="19" customFormat="false" ht="15" hidden="false" customHeight="true" outlineLevel="0" collapsed="false">
      <c r="A19" s="18" t="s">
        <v>245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1"/>
  </cols>
  <sheetData>
    <row r="1" customFormat="false" ht="24" hidden="false" customHeight="true" outlineLevel="0" collapsed="false">
      <c r="A1" s="4" t="s">
        <v>246</v>
      </c>
      <c r="B1" s="4"/>
      <c r="C1" s="4"/>
      <c r="D1" s="4"/>
      <c r="E1" s="4"/>
      <c r="F1" s="4"/>
      <c r="G1" s="4"/>
      <c r="H1" s="4"/>
      <c r="I1" s="4"/>
    </row>
    <row r="3" customFormat="false" ht="15" hidden="false" customHeight="true" outlineLevel="0" collapsed="false">
      <c r="A3" s="15"/>
      <c r="B3" s="15" t="s">
        <v>203</v>
      </c>
      <c r="C3" s="15" t="s">
        <v>204</v>
      </c>
      <c r="D3" s="15" t="s">
        <v>205</v>
      </c>
      <c r="E3" s="15" t="s">
        <v>62</v>
      </c>
      <c r="F3" s="15" t="s">
        <v>63</v>
      </c>
      <c r="G3" s="15" t="s">
        <v>64</v>
      </c>
      <c r="H3" s="15" t="s">
        <v>65</v>
      </c>
      <c r="I3" s="15" t="s">
        <v>66</v>
      </c>
    </row>
    <row r="4" customFormat="false" ht="15" hidden="false" customHeight="true" outlineLevel="0" collapsed="false">
      <c r="A4" s="6" t="s">
        <v>183</v>
      </c>
      <c r="B4" s="8" t="n">
        <f aca="false">'Income Statement'!B4</f>
        <v>12125.5</v>
      </c>
      <c r="C4" s="8" t="n">
        <f aca="false">'Income Statement'!C4</f>
        <v>16146.5</v>
      </c>
      <c r="D4" s="8" t="n">
        <f aca="false">'Income Statement'!D4</f>
        <v>20915.1</v>
      </c>
      <c r="E4" s="8" t="n">
        <f aca="false">'Income Statement'!E4</f>
        <v>27189.63</v>
      </c>
      <c r="F4" s="8" t="n">
        <f aca="false">'Income Statement'!F4</f>
        <v>33171.3486</v>
      </c>
      <c r="G4" s="8" t="n">
        <f aca="false">'Income Statement'!G4</f>
        <v>39142.191348</v>
      </c>
      <c r="H4" s="8" t="n">
        <f aca="false">'Income Statement'!H4</f>
        <v>45013.5200502</v>
      </c>
      <c r="I4" s="8" t="n">
        <f aca="false">'Income Statement'!I4</f>
        <v>50865.277656726</v>
      </c>
    </row>
    <row r="5" customFormat="false" ht="15" hidden="false" customHeight="true" outlineLevel="0" collapsed="false">
      <c r="A5" s="6" t="s">
        <v>184</v>
      </c>
      <c r="B5" s="8" t="n">
        <f aca="false">'Income Statement'!B10</f>
        <v>2365.7</v>
      </c>
      <c r="C5" s="8" t="n">
        <f aca="false">'Income Statement'!C10</f>
        <v>2537.5</v>
      </c>
      <c r="D5" s="8" t="n">
        <f aca="false">'Income Statement'!D10</f>
        <v>4011.1</v>
      </c>
      <c r="E5" s="8" t="n">
        <f aca="false">'Income Statement'!E10</f>
        <v>5220.40896</v>
      </c>
      <c r="F5" s="8" t="n">
        <f aca="false">'Income Statement'!F10</f>
        <v>6435.2416284</v>
      </c>
      <c r="G5" s="8" t="n">
        <f aca="false">'Income Statement'!G10</f>
        <v>7632.72731286</v>
      </c>
      <c r="H5" s="8" t="n">
        <f aca="false">'Income Statement'!H10</f>
        <v>8777.636409789</v>
      </c>
      <c r="I5" s="8" t="n">
        <f aca="false">'Income Statement'!I10</f>
        <v>9918.72914306157</v>
      </c>
    </row>
    <row r="6" customFormat="false" ht="15" hidden="false" customHeight="true" outlineLevel="0" collapsed="false">
      <c r="A6" s="6" t="s">
        <v>186</v>
      </c>
      <c r="B6" s="8" t="n">
        <f aca="false">'Income Statement'!B13</f>
        <v>2035.7</v>
      </c>
      <c r="C6" s="8" t="n">
        <f aca="false">'Income Statement'!C13</f>
        <v>2157.3</v>
      </c>
      <c r="D6" s="8" t="n">
        <f aca="false">'Income Statement'!D13</f>
        <v>3542.1</v>
      </c>
      <c r="E6" s="8" t="n">
        <f aca="false">'Income Statement'!E13</f>
        <v>4513.47858</v>
      </c>
      <c r="F6" s="8" t="n">
        <f aca="false">'Income Statement'!F13</f>
        <v>5572.7865648</v>
      </c>
      <c r="G6" s="8" t="n">
        <f aca="false">'Income Statement'!G13</f>
        <v>6615.030337812</v>
      </c>
      <c r="H6" s="8" t="n">
        <f aca="false">'Income Statement'!H13</f>
        <v>7562.2713684336</v>
      </c>
      <c r="I6" s="8" t="n">
        <f aca="false">'Income Statement'!I13</f>
        <v>8545.36664632997</v>
      </c>
    </row>
    <row r="7" customFormat="false" ht="15" hidden="false" customHeight="true" outlineLevel="0" collapsed="false">
      <c r="A7" s="6" t="s">
        <v>233</v>
      </c>
      <c r="B7" s="8" t="n">
        <f aca="false">'Income Statement'!B17</f>
        <v>1506.6</v>
      </c>
      <c r="C7" s="8" t="n">
        <f aca="false">'Income Statement'!C17</f>
        <v>1415.4</v>
      </c>
      <c r="D7" s="8" t="n">
        <f aca="false">'Income Statement'!D17</f>
        <v>2442.3</v>
      </c>
      <c r="E7" s="8" t="n">
        <f aca="false">'Income Statement'!E17</f>
        <v>3831.9067563</v>
      </c>
      <c r="F7" s="8" t="n">
        <f aca="false">'Income Statement'!F17</f>
        <v>4573.748125128</v>
      </c>
      <c r="G7" s="8" t="n">
        <f aca="false">'Income Statement'!G17</f>
        <v>5303.04729829182</v>
      </c>
      <c r="H7" s="8" t="n">
        <f aca="false">'Income Statement'!H17</f>
        <v>5999.26945579869</v>
      </c>
      <c r="I7" s="8" t="n">
        <f aca="false">'Income Statement'!I17</f>
        <v>6758.59448505253</v>
      </c>
    </row>
    <row r="8" customFormat="false" ht="15" hidden="false" customHeight="true" outlineLevel="0" collapsed="false">
      <c r="A8" s="6" t="s">
        <v>247</v>
      </c>
      <c r="B8" s="7" t="n">
        <f aca="false">'Income Statement'!B19</f>
        <v>1.07611211108254</v>
      </c>
      <c r="C8" s="7" t="n">
        <f aca="false">'Income Statement'!C19</f>
        <v>1.010971115111</v>
      </c>
      <c r="D8" s="7" t="n">
        <f aca="false">'Income Statement'!D19</f>
        <v>1.7444501585669</v>
      </c>
      <c r="E8" s="7" t="n">
        <f aca="false">'Income Statement'!E19</f>
        <v>2.73699805455558</v>
      </c>
      <c r="F8" s="7" t="n">
        <f aca="false">'Income Statement'!F19</f>
        <v>3.26686960738836</v>
      </c>
      <c r="G8" s="7" t="n">
        <f aca="false">'Income Statement'!G19</f>
        <v>3.7877827049883</v>
      </c>
      <c r="H8" s="7" t="n">
        <f aca="false">'Income Statement'!H19</f>
        <v>4.28507003785513</v>
      </c>
      <c r="I8" s="7" t="n">
        <f aca="false">'Income Statement'!I19</f>
        <v>4.8274295627643</v>
      </c>
    </row>
    <row r="9" customFormat="false" ht="15" hidden="false" customHeight="true" outlineLevel="0" collapsed="false">
      <c r="A9" s="6" t="s">
        <v>223</v>
      </c>
      <c r="B9" s="8" t="n">
        <f aca="false">'Balance Sheet'!B10</f>
        <v>8922.9</v>
      </c>
      <c r="C9" s="8" t="n">
        <f aca="false">'Balance Sheet'!C10</f>
        <v>11233</v>
      </c>
      <c r="D9" s="8" t="n">
        <f aca="false">'Balance Sheet'!D10</f>
        <v>15223.5</v>
      </c>
      <c r="E9" s="8" t="n">
        <f aca="false">'Balance Sheet'!E10</f>
        <v>18250.424325965</v>
      </c>
      <c r="F9" s="8" t="n">
        <f aca="false">'Balance Sheet'!F10</f>
        <v>21645.2984289854</v>
      </c>
      <c r="G9" s="8" t="n">
        <f aca="false">'Balance Sheet'!G10</f>
        <v>25439.6883270019</v>
      </c>
      <c r="H9" s="8" t="n">
        <f aca="false">'Balance Sheet'!H10</f>
        <v>29602.3718469146</v>
      </c>
      <c r="I9" s="8" t="n">
        <f aca="false">'Balance Sheet'!I10</f>
        <v>34179.8071818528</v>
      </c>
    </row>
    <row r="10" customFormat="false" ht="15" hidden="false" customHeight="true" outlineLevel="0" collapsed="false">
      <c r="A10" s="6" t="s">
        <v>248</v>
      </c>
      <c r="B10" s="8" t="n">
        <f aca="false">'Balance Sheet'!B17</f>
        <v>3800</v>
      </c>
      <c r="C10" s="8" t="n">
        <f aca="false">'Balance Sheet'!C17</f>
        <v>5000</v>
      </c>
      <c r="D10" s="8" t="n">
        <f aca="false">'Balance Sheet'!D17</f>
        <v>6900</v>
      </c>
      <c r="E10" s="8" t="n">
        <f aca="false">'Balance Sheet'!E17</f>
        <v>9007.548715965</v>
      </c>
      <c r="F10" s="8" t="n">
        <f aca="false">'Balance Sheet'!F17</f>
        <v>11523.1101847854</v>
      </c>
      <c r="G10" s="8" t="n">
        <f aca="false">'Balance Sheet'!G17</f>
        <v>14439.7861988459</v>
      </c>
      <c r="H10" s="8" t="n">
        <f aca="false">'Balance Sheet'!H17</f>
        <v>17739.3843995352</v>
      </c>
      <c r="I10" s="8" t="n">
        <f aca="false">'Balance Sheet'!I17</f>
        <v>21456.6113663141</v>
      </c>
    </row>
    <row r="11" customFormat="false" ht="15" hidden="false" customHeight="true" outlineLevel="0" collapsed="false">
      <c r="A11" s="6" t="s">
        <v>249</v>
      </c>
      <c r="B11" s="8" t="n">
        <f aca="false">'Balance Sheet'!B13+'Balance Sheet'!B14-'Balance Sheet'!B9</f>
        <v>1270.9</v>
      </c>
      <c r="C11" s="8" t="n">
        <f aca="false">'Balance Sheet'!C13+'Balance Sheet'!C14-'Balance Sheet'!C9</f>
        <v>2952.4</v>
      </c>
      <c r="D11" s="8" t="n">
        <f aca="false">'Balance Sheet'!D13+'Balance Sheet'!D14-'Balance Sheet'!D9</f>
        <v>504.9</v>
      </c>
      <c r="E11" s="8" t="n">
        <f aca="false">'Balance Sheet'!E13+'Balance Sheet'!E14-'Balance Sheet'!E9</f>
        <v>-515.904265965</v>
      </c>
      <c r="F11" s="8" t="n">
        <f aca="false">'Balance Sheet'!F13+'Balance Sheet'!F14-'Balance Sheet'!F9</f>
        <v>-1871.2011287854</v>
      </c>
      <c r="G11" s="8" t="n">
        <f aca="false">'Balance Sheet'!G13+'Balance Sheet'!G14-'Balance Sheet'!G9</f>
        <v>-3602.4538197059</v>
      </c>
      <c r="H11" s="8" t="n">
        <f aca="false">'Balance Sheet'!H13+'Balance Sheet'!H14-'Balance Sheet'!H9</f>
        <v>-5794.69294809338</v>
      </c>
      <c r="I11" s="8" t="n">
        <f aca="false">'Balance Sheet'!I13+'Balance Sheet'!I14-'Balance Sheet'!I9</f>
        <v>-8248.2047113242</v>
      </c>
    </row>
    <row r="12" customFormat="false" ht="15" hidden="false" customHeight="true" outlineLevel="0" collapsed="false">
      <c r="A12" s="6" t="s">
        <v>250</v>
      </c>
      <c r="D12" s="8" t="n">
        <f aca="false">'Cash Flow'!D10</f>
        <v>4382.6</v>
      </c>
      <c r="E12" s="8" t="n">
        <f aca="false">'Cash Flow'!E10</f>
        <v>4512.4882563</v>
      </c>
      <c r="F12" s="8" t="n">
        <f aca="false">'Cash Flow'!F10</f>
        <v>5403.764435128</v>
      </c>
      <c r="G12" s="8" t="n">
        <f aca="false">'Cash Flow'!G10</f>
        <v>6270.44449929182</v>
      </c>
      <c r="H12" s="8" t="n">
        <f aca="false">'Cash Flow'!H10</f>
        <v>7142.58638600689</v>
      </c>
      <c r="I12" s="8" t="n">
        <f aca="false">'Cash Flow'!I10</f>
        <v>8038.14316434075</v>
      </c>
    </row>
    <row r="13" customFormat="false" ht="15" hidden="false" customHeight="true" outlineLevel="0" collapsed="false">
      <c r="A13" s="6" t="s">
        <v>251</v>
      </c>
      <c r="D13" s="8" t="n">
        <f aca="false">'Cash Flow'!D11</f>
        <v>-1392.8</v>
      </c>
      <c r="E13" s="8" t="n">
        <f aca="false">'Cash Flow'!E11</f>
        <v>-1767.32595</v>
      </c>
      <c r="F13" s="8" t="n">
        <f aca="false">'Cash Flow'!F11</f>
        <v>-1990.280916</v>
      </c>
      <c r="G13" s="8" t="n">
        <f aca="false">'Cash Flow'!G11</f>
        <v>-2152.82052414</v>
      </c>
      <c r="H13" s="8" t="n">
        <f aca="false">'Cash Flow'!H11</f>
        <v>-2250.67600251</v>
      </c>
      <c r="I13" s="8" t="n">
        <f aca="false">'Cash Flow'!I11</f>
        <v>-2543.2638828363</v>
      </c>
    </row>
    <row r="14" customFormat="false" ht="15" hidden="false" customHeight="true" outlineLevel="0" collapsed="false">
      <c r="A14" s="6" t="s">
        <v>239</v>
      </c>
      <c r="D14" s="8" t="n">
        <f aca="false">'Cash Flow'!D12</f>
        <v>2989.8</v>
      </c>
      <c r="E14" s="8" t="n">
        <f aca="false">'Cash Flow'!E12</f>
        <v>2745.1623063</v>
      </c>
      <c r="F14" s="8" t="n">
        <f aca="false">'Cash Flow'!F12</f>
        <v>3413.483519128</v>
      </c>
      <c r="G14" s="8" t="n">
        <f aca="false">'Cash Flow'!G12</f>
        <v>4117.62397515182</v>
      </c>
      <c r="H14" s="8" t="n">
        <f aca="false">'Cash Flow'!H12</f>
        <v>4891.91038349689</v>
      </c>
      <c r="I14" s="8" t="n">
        <f aca="false">'Cash Flow'!I12</f>
        <v>5494.87928150445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1"/>
  </cols>
  <sheetData>
    <row r="1" customFormat="false" ht="24" hidden="false" customHeight="true" outlineLevel="0" collapsed="false">
      <c r="A1" s="4" t="s">
        <v>252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true" outlineLevel="0" collapsed="false">
      <c r="A2" s="15" t="s">
        <v>253</v>
      </c>
    </row>
    <row r="4" customFormat="false" ht="15" hidden="false" customHeight="true" outlineLevel="0" collapsed="false">
      <c r="A4" s="5" t="s">
        <v>254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true" outlineLevel="0" collapsed="false">
      <c r="A5" s="15" t="s">
        <v>255</v>
      </c>
      <c r="B5" s="15" t="s">
        <v>256</v>
      </c>
      <c r="C5" s="15" t="s">
        <v>257</v>
      </c>
      <c r="D5" s="15" t="s">
        <v>258</v>
      </c>
      <c r="E5" s="15" t="s">
        <v>259</v>
      </c>
      <c r="F5" s="15" t="s">
        <v>260</v>
      </c>
    </row>
    <row r="6" customFormat="false" ht="15" hidden="false" customHeight="true" outlineLevel="0" collapsed="false">
      <c r="A6" s="6" t="s">
        <v>261</v>
      </c>
      <c r="B6" s="19" t="n">
        <v>22.35</v>
      </c>
      <c r="C6" s="19" t="n">
        <v>25.48</v>
      </c>
      <c r="D6" s="19" t="n">
        <v>27.48</v>
      </c>
      <c r="E6" s="19" t="n">
        <v>29.62</v>
      </c>
      <c r="F6" s="19" t="n">
        <v>33.56</v>
      </c>
    </row>
    <row r="7" customFormat="false" ht="15" hidden="false" customHeight="true" outlineLevel="0" collapsed="false">
      <c r="A7" s="6" t="s">
        <v>262</v>
      </c>
      <c r="B7" s="19" t="n">
        <v>19.4</v>
      </c>
      <c r="C7" s="19" t="n">
        <v>24.4</v>
      </c>
      <c r="D7" s="19" t="n">
        <v>27.82</v>
      </c>
      <c r="E7" s="19" t="n">
        <v>31.65</v>
      </c>
      <c r="F7" s="19" t="n">
        <v>38.98</v>
      </c>
    </row>
    <row r="9" customFormat="false" ht="15" hidden="false" customHeight="true" outlineLevel="0" collapsed="false">
      <c r="A9" s="5" t="s">
        <v>263</v>
      </c>
      <c r="B9" s="5"/>
      <c r="C9" s="5"/>
      <c r="D9" s="5"/>
      <c r="E9" s="5"/>
      <c r="F9" s="5"/>
      <c r="G9" s="5"/>
      <c r="H9" s="5"/>
      <c r="I9" s="5"/>
    </row>
    <row r="10" customFormat="false" ht="15" hidden="false" customHeight="true" outlineLevel="0" collapsed="false">
      <c r="A10" s="15" t="s">
        <v>264</v>
      </c>
      <c r="B10" s="15" t="s">
        <v>265</v>
      </c>
      <c r="C10" s="15"/>
      <c r="D10" s="15" t="s">
        <v>266</v>
      </c>
      <c r="E10" s="15" t="s">
        <v>265</v>
      </c>
    </row>
    <row r="11" customFormat="false" ht="15" hidden="false" customHeight="true" outlineLevel="0" collapsed="false">
      <c r="A11" s="19" t="n">
        <v>28</v>
      </c>
      <c r="B11" s="13" t="n">
        <v>0.8526</v>
      </c>
      <c r="D11" s="19" t="n">
        <v>27</v>
      </c>
      <c r="E11" s="13" t="n">
        <v>0.8708</v>
      </c>
    </row>
    <row r="12" customFormat="false" ht="15" hidden="false" customHeight="true" outlineLevel="0" collapsed="false">
      <c r="A12" s="19" t="n">
        <v>29</v>
      </c>
      <c r="B12" s="13" t="n">
        <v>0.7243</v>
      </c>
      <c r="D12" s="19" t="n">
        <v>26</v>
      </c>
      <c r="E12" s="13" t="n">
        <v>0.7088</v>
      </c>
    </row>
    <row r="13" customFormat="false" ht="15" hidden="false" customHeight="true" outlineLevel="0" collapsed="false">
      <c r="A13" s="19" t="n">
        <v>30</v>
      </c>
      <c r="B13" s="13" t="n">
        <v>0.6055</v>
      </c>
      <c r="D13" s="19" t="n">
        <v>25</v>
      </c>
      <c r="E13" s="13" t="n">
        <v>0.5586</v>
      </c>
    </row>
    <row r="14" customFormat="false" ht="15" hidden="false" customHeight="true" outlineLevel="0" collapsed="false">
      <c r="A14" s="19" t="n">
        <v>31</v>
      </c>
      <c r="B14" s="13" t="n">
        <v>0.4994</v>
      </c>
      <c r="D14" s="19" t="n">
        <v>24</v>
      </c>
      <c r="E14" s="13" t="n">
        <v>0.4267</v>
      </c>
    </row>
    <row r="15" customFormat="false" ht="15" hidden="false" customHeight="true" outlineLevel="0" collapsed="false">
      <c r="A15" s="19" t="n">
        <v>32</v>
      </c>
      <c r="B15" s="13" t="n">
        <v>0.4065</v>
      </c>
      <c r="D15" s="19" t="n">
        <v>23</v>
      </c>
      <c r="E15" s="13" t="n">
        <v>0.3156</v>
      </c>
    </row>
    <row r="16" customFormat="false" ht="15" hidden="false" customHeight="true" outlineLevel="0" collapsed="false">
      <c r="A16" s="19" t="n">
        <v>33</v>
      </c>
      <c r="B16" s="13" t="n">
        <v>0.3291</v>
      </c>
      <c r="D16" s="19" t="n">
        <v>22</v>
      </c>
      <c r="E16" s="13" t="n">
        <v>0.2277</v>
      </c>
    </row>
    <row r="17" customFormat="false" ht="15" hidden="false" customHeight="true" outlineLevel="0" collapsed="false">
      <c r="A17" s="19" t="n">
        <v>35</v>
      </c>
      <c r="B17" s="13" t="n">
        <v>0.2133</v>
      </c>
      <c r="D17" s="19" t="n">
        <v>20</v>
      </c>
      <c r="E17" s="13" t="n">
        <v>0.1092</v>
      </c>
    </row>
    <row r="19" customFormat="false" ht="15" hidden="false" customHeight="true" outlineLevel="0" collapsed="false">
      <c r="A19" s="5" t="s">
        <v>267</v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true" outlineLevel="0" collapsed="false">
      <c r="A20" s="15" t="s">
        <v>268</v>
      </c>
      <c r="B20" s="15" t="s">
        <v>269</v>
      </c>
    </row>
    <row r="21" customFormat="false" ht="15" hidden="false" customHeight="true" outlineLevel="0" collapsed="false">
      <c r="A21" s="6" t="s">
        <v>270</v>
      </c>
      <c r="B21" s="13" t="n">
        <v>0.0623</v>
      </c>
    </row>
    <row r="22" customFormat="false" ht="15" hidden="false" customHeight="true" outlineLevel="0" collapsed="false">
      <c r="A22" s="6" t="s">
        <v>271</v>
      </c>
      <c r="B22" s="13" t="n">
        <v>0.062</v>
      </c>
    </row>
    <row r="23" customFormat="false" ht="15" hidden="false" customHeight="true" outlineLevel="0" collapsed="false">
      <c r="A23" s="6" t="s">
        <v>272</v>
      </c>
      <c r="B23" s="13" t="n">
        <v>0.1021</v>
      </c>
    </row>
    <row r="24" customFormat="false" ht="15" hidden="false" customHeight="true" outlineLevel="0" collapsed="false">
      <c r="A24" s="6" t="s">
        <v>273</v>
      </c>
      <c r="B24" s="13" t="n">
        <v>0.1334</v>
      </c>
    </row>
    <row r="25" customFormat="false" ht="15" hidden="false" customHeight="true" outlineLevel="0" collapsed="false">
      <c r="A25" s="6" t="s">
        <v>274</v>
      </c>
      <c r="B25" s="13" t="n">
        <v>0.1543</v>
      </c>
    </row>
    <row r="26" customFormat="false" ht="15" hidden="false" customHeight="true" outlineLevel="0" collapsed="false">
      <c r="A26" s="6" t="s">
        <v>275</v>
      </c>
      <c r="B26" s="13" t="n">
        <v>0.1414</v>
      </c>
    </row>
    <row r="27" customFormat="false" ht="15" hidden="false" customHeight="true" outlineLevel="0" collapsed="false">
      <c r="A27" s="6" t="s">
        <v>276</v>
      </c>
      <c r="B27" s="13" t="n">
        <v>0.1122</v>
      </c>
    </row>
    <row r="28" customFormat="false" ht="15" hidden="false" customHeight="true" outlineLevel="0" collapsed="false">
      <c r="A28" s="6" t="s">
        <v>277</v>
      </c>
      <c r="B28" s="13" t="n">
        <v>0.0782</v>
      </c>
    </row>
    <row r="29" customFormat="false" ht="15" hidden="false" customHeight="true" outlineLevel="0" collapsed="false">
      <c r="A29" s="6" t="s">
        <v>278</v>
      </c>
      <c r="B29" s="13" t="n">
        <v>0.1541</v>
      </c>
    </row>
    <row r="30" customFormat="false" ht="15" hidden="false" customHeight="true" outlineLevel="0" collapsed="false">
      <c r="A30" s="6" t="s">
        <v>279</v>
      </c>
      <c r="B30" s="13" t="n">
        <v>0.5358</v>
      </c>
    </row>
    <row r="32" customFormat="false" ht="15" hidden="false" customHeight="true" outlineLevel="0" collapsed="false">
      <c r="A32" s="18" t="s">
        <v>280</v>
      </c>
    </row>
  </sheetData>
  <mergeCells count="4">
    <mergeCell ref="A1:I1"/>
    <mergeCell ref="A4:I4"/>
    <mergeCell ref="A9:I9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2"/>
  </cols>
  <sheetData>
    <row r="1" customFormat="false" ht="24" hidden="false" customHeight="true" outlineLevel="0" collapsed="false">
      <c r="A1" s="4" t="s">
        <v>281</v>
      </c>
      <c r="B1" s="4"/>
      <c r="C1" s="4"/>
      <c r="D1" s="4"/>
      <c r="E1" s="4"/>
      <c r="F1" s="4"/>
      <c r="G1" s="4"/>
    </row>
    <row r="3" customFormat="false" ht="15" hidden="false" customHeight="true" outlineLevel="0" collapsed="false">
      <c r="A3" s="15" t="s">
        <v>282</v>
      </c>
      <c r="B3" s="13" t="n">
        <v>0.115</v>
      </c>
      <c r="C3" s="13" t="n">
        <v>0.125</v>
      </c>
      <c r="D3" s="13" t="n">
        <v>0.135</v>
      </c>
      <c r="E3" s="13" t="n">
        <v>0.145</v>
      </c>
      <c r="F3" s="13" t="n">
        <v>0.155</v>
      </c>
    </row>
    <row r="4" customFormat="false" ht="15" hidden="false" customHeight="true" outlineLevel="0" collapsed="false">
      <c r="A4" s="13" t="n">
        <v>0.187</v>
      </c>
      <c r="B4" s="16" t="n">
        <f aca="false">((DCF!B13/(1+$A4)^1+DCF!C13/(1+$A4)^2+DCF!D13/(1+$A4)^3+DCF!E13/(1+$A4)^4+DCF!F13/(1+$A4)^5)+DCF!F13*(1+B$3)/($A4-B$3)/(1+$A4)^5+Assumptions!$B$8)/Assumptions!$B$7</f>
        <v>31.417338617419</v>
      </c>
      <c r="C4" s="16" t="n">
        <f aca="false">((DCF!B13/(1+$A4)^1+DCF!C13/(1+$A4)^2+DCF!D13/(1+$A4)^3+DCF!E13/(1+$A4)^4+DCF!F13/(1+$A4)^5)+DCF!F13*(1+C$3)/($A4-C$3)/(1+$A4)^5+Assumptions!$B$8)/Assumptions!$B$7</f>
        <v>35.4424048124074</v>
      </c>
      <c r="D4" s="16" t="n">
        <f aca="false">((DCF!B13/(1+$A4)^1+DCF!C13/(1+$A4)^2+DCF!D13/(1+$A4)^3+DCF!E13/(1+$A4)^4+DCF!F13/(1+$A4)^5)+DCF!F13*(1+D$3)/($A4-D$3)/(1+$A4)^5+Assumptions!$B$8)/Assumptions!$B$7</f>
        <v>41.0155733900836</v>
      </c>
      <c r="E4" s="16" t="n">
        <f aca="false">((DCF!B13/(1+$A4)^1+DCF!C13/(1+$A4)^2+DCF!D13/(1+$A4)^3+DCF!E13/(1+$A4)^4+DCF!F13/(1+$A4)^5)+DCF!F13*(1+E$3)/($A4-E$3)/(1+$A4)^5+Assumptions!$B$8)/Assumptions!$B$7</f>
        <v>49.2426317666532</v>
      </c>
      <c r="F4" s="16" t="n">
        <f aca="false">((DCF!B13/(1+$A4)^1+DCF!C13/(1+$A4)^2+DCF!D13/(1+$A4)^3+DCF!E13/(1+$A4)^4+DCF!F13/(1+$A4)^5)+DCF!F13*(1+F$3)/($A4-F$3)/(1+$A4)^5+Assumptions!$B$8)/Assumptions!$B$7</f>
        <v>62.6116016285788</v>
      </c>
    </row>
    <row r="5" customFormat="false" ht="15" hidden="false" customHeight="true" outlineLevel="0" collapsed="false">
      <c r="A5" s="13" t="n">
        <v>0.197</v>
      </c>
      <c r="B5" s="16" t="n">
        <f aca="false">((DCF!B13/(1+$A5)^1+DCF!C13/(1+$A5)^2+DCF!D13/(1+$A5)^3+DCF!E13/(1+$A5)^4+DCF!F13/(1+$A5)^5)+DCF!F13*(1+B$3)/($A5-B$3)/(1+$A5)^5+Assumptions!$B$8)/Assumptions!$B$7</f>
        <v>27.5255448411403</v>
      </c>
      <c r="C5" s="16" t="n">
        <f aca="false">((DCF!B13/(1+$A5)^1+DCF!C13/(1+$A5)^2+DCF!D13/(1+$A5)^3+DCF!E13/(1+$A5)^4+DCF!F13/(1+$A5)^5)+DCF!F13*(1+C$3)/($A5-C$3)/(1+$A5)^5+Assumptions!$B$8)/Assumptions!$B$7</f>
        <v>30.4684559092366</v>
      </c>
      <c r="D5" s="16" t="n">
        <f aca="false">((DCF!B13/(1+$A5)^1+DCF!C13/(1+$A5)^2+DCF!D13/(1+$A5)^3+DCF!E13/(1+$A5)^4+DCF!F13/(1+$A5)^5)+DCF!F13*(1+D$3)/($A5-D$3)/(1+$A5)^5+Assumptions!$B$8)/Assumptions!$B$7</f>
        <v>34.3606931283318</v>
      </c>
      <c r="E5" s="16" t="n">
        <f aca="false">((DCF!B13/(1+$A5)^1+DCF!C13/(1+$A5)^2+DCF!D13/(1+$A5)^3+DCF!E13/(1+$A5)^4+DCF!F13/(1+$A5)^5)+DCF!F13*(1+E$3)/($A5-E$3)/(1+$A5)^5+Assumptions!$B$8)/Assumptions!$B$7</f>
        <v>39.7499446624636</v>
      </c>
      <c r="F5" s="16" t="n">
        <f aca="false">((DCF!B13/(1+$A5)^1+DCF!C13/(1+$A5)^2+DCF!D13/(1+$A5)^3+DCF!E13/(1+$A5)^4+DCF!F13/(1+$A5)^5)+DCF!F13*(1+F$3)/($A5-F$3)/(1+$A5)^5+Assumptions!$B$8)/Assumptions!$B$7</f>
        <v>47.7055064509439</v>
      </c>
    </row>
    <row r="6" customFormat="false" ht="15" hidden="false" customHeight="true" outlineLevel="0" collapsed="false">
      <c r="A6" s="13" t="n">
        <v>0.207</v>
      </c>
      <c r="B6" s="16" t="n">
        <f aca="false">((DCF!B13/(1+$A6)^1+DCF!C13/(1+$A6)^2+DCF!D13/(1+$A6)^3+DCF!E13/(1+$A6)^4+DCF!F13/(1+$A6)^5)+DCF!F13*(1+B$3)/($A6-B$3)/(1+$A6)^5+Assumptions!$B$8)/Assumptions!$B$7</f>
        <v>24.4830839186889</v>
      </c>
      <c r="C6" s="16" t="n">
        <f aca="false">((DCF!B13/(1+$A6)^1+DCF!C13/(1+$A6)^2+DCF!D13/(1+$A6)^3+DCF!E13/(1+$A6)^4+DCF!F13/(1+$A6)^5)+DCF!F13*(1+C$3)/($A6-C$3)/(1+$A6)^5+Assumptions!$B$8)/Assumptions!$B$7</f>
        <v>26.7108486730833</v>
      </c>
      <c r="D6" s="16" t="n">
        <f aca="false">((DCF!B13/(1+$A6)^1+DCF!C13/(1+$A6)^2+DCF!D13/(1+$A6)^3+DCF!E13/(1+$A6)^4+DCF!F13/(1+$A6)^5)+DCF!F13*(1+D$3)/($A6-D$3)/(1+$A6)^5+Assumptions!$B$8)/Assumptions!$B$7</f>
        <v>29.5574369703651</v>
      </c>
      <c r="E6" s="16" t="n">
        <f aca="false">((DCF!B13/(1+$A6)^1+DCF!C13/(1+$A6)^2+DCF!D13/(1+$A6)^3+DCF!E13/(1+$A6)^4+DCF!F13/(1+$A6)^5)+DCF!F13*(1+E$3)/($A6-E$3)/(1+$A6)^5+Assumptions!$B$8)/Assumptions!$B$7</f>
        <v>33.3222795570926</v>
      </c>
      <c r="F6" s="16" t="n">
        <f aca="false">((DCF!B13/(1+$A6)^1+DCF!C13/(1+$A6)^2+DCF!D13/(1+$A6)^3+DCF!E13/(1+$A6)^4+DCF!F13/(1+$A6)^5)+DCF!F13*(1+F$3)/($A6-F$3)/(1+$A6)^5+Assumptions!$B$8)/Assumptions!$B$7</f>
        <v>38.5351385233307</v>
      </c>
    </row>
    <row r="7" customFormat="false" ht="15" hidden="false" customHeight="true" outlineLevel="0" collapsed="false">
      <c r="A7" s="13" t="n">
        <v>0.217</v>
      </c>
      <c r="B7" s="16" t="n">
        <f aca="false">((DCF!B13/(1+$A7)^1+DCF!C13/(1+$A7)^2+DCF!D13/(1+$A7)^3+DCF!E13/(1+$A7)^4+DCF!F13/(1+$A7)^5)+DCF!F13*(1+B$3)/($A7-B$3)/(1+$A7)^5+Assumptions!$B$8)/Assumptions!$B$7</f>
        <v>22.0400413136289</v>
      </c>
      <c r="C7" s="16" t="n">
        <f aca="false">((DCF!B13/(1+$A7)^1+DCF!C13/(1+$A7)^2+DCF!D13/(1+$A7)^3+DCF!E13/(1+$A7)^4+DCF!F13/(1+$A7)^5)+DCF!F13*(1+C$3)/($A7-C$3)/(1+$A7)^5+Assumptions!$B$8)/Assumptions!$B$7</f>
        <v>23.7728466500493</v>
      </c>
      <c r="D7" s="16" t="n">
        <f aca="false">((DCF!B13/(1+$A7)^1+DCF!C13/(1+$A7)^2+DCF!D13/(1+$A7)^3+DCF!E13/(1+$A7)^4+DCF!F13/(1+$A7)^5)+DCF!F13*(1+D$3)/($A7-D$3)/(1+$A7)^5+Assumptions!$B$8)/Assumptions!$B$7</f>
        <v>25.9282874343772</v>
      </c>
      <c r="E7" s="16" t="n">
        <f aca="false">((DCF!B13/(1+$A7)^1+DCF!C13/(1+$A7)^2+DCF!D13/(1+$A7)^3+DCF!E13/(1+$A7)^4+DCF!F13/(1+$A7)^5)+DCF!F13*(1+E$3)/($A7-E$3)/(1+$A7)^5+Assumptions!$B$8)/Assumptions!$B$7</f>
        <v>28.6824617699072</v>
      </c>
      <c r="F7" s="16" t="n">
        <f aca="false">((DCF!B13/(1+$A7)^1+DCF!C13/(1+$A7)^2+DCF!D13/(1+$A7)^3+DCF!E13/(1+$A7)^4+DCF!F13/(1+$A7)^5)+DCF!F13*(1+F$3)/($A7-F$3)/(1+$A7)^5+Assumptions!$B$8)/Assumptions!$B$7</f>
        <v>32.3250794394792</v>
      </c>
    </row>
    <row r="8" customFormat="false" ht="15" hidden="false" customHeight="true" outlineLevel="0" collapsed="false">
      <c r="A8" s="13" t="n">
        <v>0.227</v>
      </c>
      <c r="B8" s="16" t="n">
        <f aca="false">((DCF!B13/(1+$A8)^1+DCF!C13/(1+$A8)^2+DCF!D13/(1+$A8)^3+DCF!E13/(1+$A8)^4+DCF!F13/(1+$A8)^5)+DCF!F13*(1+B$3)/($A8-B$3)/(1+$A8)^5+Assumptions!$B$8)/Assumptions!$B$7</f>
        <v>20.0357623628178</v>
      </c>
      <c r="C8" s="16" t="n">
        <f aca="false">((DCF!B13/(1+$A8)^1+DCF!C13/(1+$A8)^2+DCF!D13/(1+$A8)^3+DCF!E13/(1+$A8)^4+DCF!F13/(1+$A8)^5)+DCF!F13*(1+C$3)/($A8-C$3)/(1+$A8)^5+Assumptions!$B$8)/Assumptions!$B$7</f>
        <v>21.4133005390057</v>
      </c>
      <c r="D8" s="16" t="n">
        <f aca="false">((DCF!B13/(1+$A8)^1+DCF!C13/(1+$A8)^2+DCF!D13/(1+$A8)^3+DCF!E13/(1+$A8)^4+DCF!F13/(1+$A8)^5)+DCF!F13*(1+D$3)/($A8-D$3)/(1+$A8)^5+Assumptions!$B$8)/Assumptions!$B$7</f>
        <v>23.0903035361041</v>
      </c>
      <c r="E8" s="16" t="n">
        <f aca="false">((DCF!B13/(1+$A8)^1+DCF!C13/(1+$A8)^2+DCF!D13/(1+$A8)^3+DCF!E13/(1+$A8)^4+DCF!F13/(1+$A8)^5)+DCF!F13*(1+E$3)/($A8-E$3)/(1+$A8)^5+Assumptions!$B$8)/Assumptions!$B$7</f>
        <v>25.176331654446</v>
      </c>
      <c r="F8" s="16" t="n">
        <f aca="false">((DCF!B13/(1+$A8)^1+DCF!C13/(1+$A8)^2+DCF!D13/(1+$A8)^3+DCF!E13/(1+$A8)^4+DCF!F13/(1+$A8)^5)+DCF!F13*(1+F$3)/($A8-F$3)/(1+$A8)^5+Assumptions!$B$8)/Assumptions!$B$7</f>
        <v>27.8418120278829</v>
      </c>
    </row>
    <row r="10" customFormat="false" ht="15" hidden="false" customHeight="true" outlineLevel="0" collapsed="false">
      <c r="A10" s="18" t="s">
        <v>283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1"/>
  </cols>
  <sheetData>
    <row r="1" customFormat="false" ht="24" hidden="false" customHeight="true" outlineLevel="0" collapsed="false">
      <c r="A1" s="4" t="s">
        <v>284</v>
      </c>
      <c r="B1" s="4"/>
      <c r="C1" s="4"/>
      <c r="D1" s="4"/>
      <c r="E1" s="4"/>
      <c r="F1" s="4"/>
      <c r="G1" s="4"/>
      <c r="H1" s="4"/>
      <c r="I1" s="4"/>
    </row>
    <row r="3" customFormat="false" ht="15" hidden="false" customHeight="true" outlineLevel="0" collapsed="false">
      <c r="A3" s="15"/>
      <c r="B3" s="15" t="s">
        <v>203</v>
      </c>
      <c r="C3" s="15" t="s">
        <v>204</v>
      </c>
      <c r="D3" s="15" t="s">
        <v>205</v>
      </c>
      <c r="E3" s="15" t="s">
        <v>62</v>
      </c>
      <c r="F3" s="15" t="s">
        <v>63</v>
      </c>
      <c r="G3" s="15" t="s">
        <v>64</v>
      </c>
      <c r="H3" s="15" t="s">
        <v>65</v>
      </c>
      <c r="I3" s="15" t="s">
        <v>66</v>
      </c>
    </row>
    <row r="4" customFormat="false" ht="15" hidden="false" customHeight="true" outlineLevel="0" collapsed="false">
      <c r="A4" s="6" t="s">
        <v>247</v>
      </c>
      <c r="B4" s="16" t="n">
        <f aca="false">'Income Statement'!B19</f>
        <v>1.07611211108254</v>
      </c>
      <c r="C4" s="16" t="n">
        <f aca="false">'Income Statement'!C19</f>
        <v>1.010971115111</v>
      </c>
      <c r="D4" s="16" t="n">
        <f aca="false">'Income Statement'!D19</f>
        <v>1.7444501585669</v>
      </c>
      <c r="E4" s="16" t="n">
        <f aca="false">'Income Statement'!E19</f>
        <v>2.73699805455558</v>
      </c>
      <c r="F4" s="16" t="n">
        <f aca="false">'Income Statement'!F19</f>
        <v>3.26686960738836</v>
      </c>
      <c r="G4" s="16" t="n">
        <f aca="false">'Income Statement'!G19</f>
        <v>3.7877827049883</v>
      </c>
      <c r="H4" s="16" t="n">
        <f aca="false">'Income Statement'!H19</f>
        <v>4.28507003785513</v>
      </c>
      <c r="I4" s="16" t="n">
        <f aca="false">'Income Statement'!I19</f>
        <v>4.8274295627643</v>
      </c>
    </row>
    <row r="5" customFormat="false" ht="15" hidden="false" customHeight="true" outlineLevel="0" collapsed="false">
      <c r="A5" s="6" t="s">
        <v>285</v>
      </c>
      <c r="D5" s="16" t="n">
        <f aca="false">-'Cash Flow'!D13/Assumptions!$B$7</f>
        <v>0.571483671895089</v>
      </c>
      <c r="E5" s="16" t="n">
        <f aca="false">-'Cash Flow'!E13/Assumptions!$B$7</f>
        <v>1.23164912455001</v>
      </c>
      <c r="F5" s="16" t="n">
        <f aca="false">-'Cash Flow'!F13/Assumptions!$B$7</f>
        <v>1.47009132332476</v>
      </c>
      <c r="G5" s="16" t="n">
        <f aca="false">-'Cash Flow'!G13/Assumptions!$B$7</f>
        <v>1.70450221724473</v>
      </c>
      <c r="H5" s="16" t="n">
        <f aca="false">-'Cash Flow'!H13/Assumptions!$B$7</f>
        <v>1.92828151703481</v>
      </c>
      <c r="I5" s="16" t="n">
        <f aca="false">-'Cash Flow'!I13/Assumptions!$B$7</f>
        <v>2.17234330324393</v>
      </c>
    </row>
    <row r="6" customFormat="false" ht="15" hidden="false" customHeight="true" outlineLevel="0" collapsed="false">
      <c r="A6" s="6" t="s">
        <v>286</v>
      </c>
      <c r="B6" s="16" t="n">
        <f aca="false">'Balance Sheet'!B17/Assumptions!$B$7</f>
        <v>2.71420816548099</v>
      </c>
      <c r="C6" s="16" t="n">
        <f aca="false">'Balance Sheet'!C17/Assumptions!$B$7</f>
        <v>3.57132653352761</v>
      </c>
      <c r="D6" s="16" t="n">
        <f aca="false">'Balance Sheet'!D17/Assumptions!$B$7</f>
        <v>4.92843061626811</v>
      </c>
      <c r="E6" s="16" t="n">
        <f aca="false">'Balance Sheet'!E17/Assumptions!$B$7</f>
        <v>6.43377954627368</v>
      </c>
      <c r="F6" s="16" t="n">
        <f aca="false">'Balance Sheet'!F17/Assumptions!$B$7</f>
        <v>8.23055783033728</v>
      </c>
      <c r="G6" s="16" t="n">
        <f aca="false">'Balance Sheet'!G17/Assumptions!$B$7</f>
        <v>10.3138383180808</v>
      </c>
      <c r="H6" s="16" t="n">
        <f aca="false">'Balance Sheet'!H17/Assumptions!$B$7</f>
        <v>12.6706268389012</v>
      </c>
      <c r="I6" s="16" t="n">
        <f aca="false">'Balance Sheet'!I17/Assumptions!$B$7</f>
        <v>15.3257130984215</v>
      </c>
    </row>
    <row r="7" customFormat="false" ht="15" hidden="false" customHeight="true" outlineLevel="0" collapsed="false">
      <c r="A7" s="6" t="s">
        <v>287</v>
      </c>
      <c r="C7" s="26" t="n">
        <f aca="false">'Income Statement'!C17/(('Balance Sheet'!C17+'Balance Sheet'!B17)/2)</f>
        <v>0.321681818181818</v>
      </c>
      <c r="D7" s="26" t="n">
        <f aca="false">'Income Statement'!D17/(('Balance Sheet'!D17+'Balance Sheet'!C17)/2)</f>
        <v>0.410470588235294</v>
      </c>
      <c r="E7" s="26" t="n">
        <f aca="false">'Income Statement'!E17/(('Balance Sheet'!E17+'Balance Sheet'!D17)/2)</f>
        <v>0.481772122747517</v>
      </c>
      <c r="F7" s="26" t="n">
        <f aca="false">'Income Statement'!F17/(('Balance Sheet'!F17+'Balance Sheet'!E17)/2)</f>
        <v>0.445552979788762</v>
      </c>
      <c r="G7" s="26" t="n">
        <f aca="false">'Income Statement'!G17/(('Balance Sheet'!G17+'Balance Sheet'!F17)/2)</f>
        <v>0.408509683968481</v>
      </c>
      <c r="H7" s="26" t="n">
        <f aca="false">'Income Statement'!H17/(('Balance Sheet'!H17+'Balance Sheet'!G17)/2)</f>
        <v>0.372866630446996</v>
      </c>
      <c r="I7" s="26" t="n">
        <f aca="false">'Income Statement'!I17/(('Balance Sheet'!I17+'Balance Sheet'!H17)/2)</f>
        <v>0.344861476433833</v>
      </c>
    </row>
    <row r="8" customFormat="false" ht="15" hidden="false" customHeight="true" outlineLevel="0" collapsed="false">
      <c r="A8" s="6" t="s">
        <v>288</v>
      </c>
      <c r="B8" s="25" t="n">
        <f aca="false">'Balance Sheet'!B13+'Balance Sheet'!B14-'Balance Sheet'!B9</f>
        <v>1270.9</v>
      </c>
      <c r="C8" s="25" t="n">
        <f aca="false">'Balance Sheet'!C13+'Balance Sheet'!C14-'Balance Sheet'!C9</f>
        <v>2952.4</v>
      </c>
      <c r="D8" s="25" t="n">
        <f aca="false">'Balance Sheet'!D13+'Balance Sheet'!D14-'Balance Sheet'!D9</f>
        <v>504.9</v>
      </c>
      <c r="E8" s="25" t="n">
        <f aca="false">'Balance Sheet'!E13+'Balance Sheet'!E14-'Balance Sheet'!E9</f>
        <v>-515.904265965</v>
      </c>
      <c r="F8" s="25" t="n">
        <f aca="false">'Balance Sheet'!F13+'Balance Sheet'!F14-'Balance Sheet'!F9</f>
        <v>-1871.2011287854</v>
      </c>
      <c r="G8" s="25" t="n">
        <f aca="false">'Balance Sheet'!G13+'Balance Sheet'!G14-'Balance Sheet'!G9</f>
        <v>-3602.4538197059</v>
      </c>
      <c r="H8" s="25" t="n">
        <f aca="false">'Balance Sheet'!H13+'Balance Sheet'!H14-'Balance Sheet'!H9</f>
        <v>-5794.69294809338</v>
      </c>
      <c r="I8" s="25" t="n">
        <f aca="false">'Balance Sheet'!I13+'Balance Sheet'!I14-'Balance Sheet'!I9</f>
        <v>-8248.2047113242</v>
      </c>
    </row>
    <row r="9" customFormat="false" ht="15" hidden="false" customHeight="true" outlineLevel="0" collapsed="false">
      <c r="A9" s="6" t="s">
        <v>289</v>
      </c>
      <c r="B9" s="27" t="n">
        <f aca="false">('Balance Sheet'!B13+'Balance Sheet'!B14-'Balance Sheet'!B9)/'Income Statement'!B10</f>
        <v>0.537219427653549</v>
      </c>
      <c r="C9" s="27" t="n">
        <f aca="false">('Balance Sheet'!C13+'Balance Sheet'!C14-'Balance Sheet'!C9)/'Income Statement'!C10</f>
        <v>1.16350738916256</v>
      </c>
      <c r="D9" s="27" t="n">
        <f aca="false">('Balance Sheet'!D13+'Balance Sheet'!D14-'Balance Sheet'!D9)/'Income Statement'!D10</f>
        <v>0.125875694946523</v>
      </c>
      <c r="E9" s="27" t="n">
        <f aca="false">('Balance Sheet'!E13+'Balance Sheet'!E14-'Balance Sheet'!E9)/'Income Statement'!E10</f>
        <v>-0.0988244924713713</v>
      </c>
      <c r="F9" s="27" t="n">
        <f aca="false">('Balance Sheet'!F13+'Balance Sheet'!F14-'Balance Sheet'!F9)/'Income Statement'!F10</f>
        <v>-0.29077402789779</v>
      </c>
      <c r="G9" s="27" t="n">
        <f aca="false">('Balance Sheet'!G13+'Balance Sheet'!G14-'Balance Sheet'!G9)/'Income Statement'!G10</f>
        <v>-0.471974652315472</v>
      </c>
      <c r="H9" s="27" t="n">
        <f aca="false">('Balance Sheet'!H13+'Balance Sheet'!H14-'Balance Sheet'!H9)/'Income Statement'!H10</f>
        <v>-0.660165524927761</v>
      </c>
      <c r="I9" s="27" t="n">
        <f aca="false">('Balance Sheet'!I13+'Balance Sheet'!I14-'Balance Sheet'!I9)/'Income Statement'!I10</f>
        <v>-0.831578783164379</v>
      </c>
    </row>
    <row r="10" customFormat="false" ht="15" hidden="false" customHeight="true" outlineLevel="0" collapsed="false">
      <c r="A10" s="6" t="s">
        <v>71</v>
      </c>
      <c r="B10" s="26" t="n">
        <f aca="false">'Income Statement'!B8</f>
        <v>0.323722733083172</v>
      </c>
      <c r="C10" s="26" t="n">
        <f aca="false">'Income Statement'!C8</f>
        <v>0.303861517976032</v>
      </c>
      <c r="D10" s="26" t="n">
        <f aca="false">'Income Statement'!D8</f>
        <v>0.33877915955458</v>
      </c>
      <c r="E10" s="26" t="n">
        <f aca="false">'Income Statement'!E8</f>
        <v>0.34</v>
      </c>
      <c r="F10" s="26" t="n">
        <f aca="false">'Income Statement'!F8</f>
        <v>0.342</v>
      </c>
      <c r="G10" s="26" t="n">
        <f aca="false">'Income Statement'!G8</f>
        <v>0.343</v>
      </c>
      <c r="H10" s="26" t="n">
        <f aca="false">'Income Statement'!H8</f>
        <v>0.343</v>
      </c>
      <c r="I10" s="26" t="n">
        <f aca="false">'Income Statement'!I8</f>
        <v>0.343</v>
      </c>
    </row>
    <row r="11" customFormat="false" ht="15" hidden="false" customHeight="true" outlineLevel="0" collapsed="false">
      <c r="A11" s="6" t="s">
        <v>68</v>
      </c>
      <c r="B11" s="26" t="n">
        <f aca="false">'Income Statement'!B11</f>
        <v>0.195101232938848</v>
      </c>
      <c r="C11" s="26" t="n">
        <f aca="false">'Income Statement'!C11</f>
        <v>0.157154801350138</v>
      </c>
      <c r="D11" s="26" t="n">
        <f aca="false">'Income Statement'!D11</f>
        <v>0.191780101457798</v>
      </c>
      <c r="E11" s="26" t="n">
        <f aca="false">'Income Statement'!E11</f>
        <v>0.192</v>
      </c>
      <c r="F11" s="26" t="n">
        <f aca="false">'Income Statement'!F11</f>
        <v>0.194</v>
      </c>
      <c r="G11" s="26" t="n">
        <f aca="false">'Income Statement'!G11</f>
        <v>0.195</v>
      </c>
      <c r="H11" s="26" t="n">
        <f aca="false">'Income Statement'!H11</f>
        <v>0.195</v>
      </c>
      <c r="I11" s="26" t="n">
        <f aca="false">'Income Statement'!I11</f>
        <v>0.195</v>
      </c>
    </row>
    <row r="12" customFormat="false" ht="15" hidden="false" customHeight="true" outlineLevel="0" collapsed="false">
      <c r="A12" s="6" t="s">
        <v>214</v>
      </c>
      <c r="B12" s="26" t="n">
        <f aca="false">'Income Statement'!B18</f>
        <v>0.124250546369222</v>
      </c>
      <c r="C12" s="26" t="n">
        <f aca="false">'Income Statement'!C18</f>
        <v>0.0876598643668907</v>
      </c>
      <c r="D12" s="26" t="n">
        <f aca="false">'Income Statement'!D18</f>
        <v>0.116772092889826</v>
      </c>
      <c r="E12" s="26" t="n">
        <f aca="false">'Income Statement'!E18</f>
        <v>0.140932655438857</v>
      </c>
      <c r="F12" s="26" t="n">
        <f aca="false">'Income Statement'!F18</f>
        <v>0.137882489502643</v>
      </c>
      <c r="G12" s="26" t="n">
        <f aca="false">'Income Statement'!G18</f>
        <v>0.135481614995548</v>
      </c>
      <c r="H12" s="26" t="n">
        <f aca="false">'Income Statement'!H18</f>
        <v>0.133277056517868</v>
      </c>
      <c r="I12" s="26" t="n">
        <f aca="false">'Income Statement'!I18</f>
        <v>0.13287245831359</v>
      </c>
    </row>
    <row r="13" customFormat="false" ht="15" hidden="false" customHeight="true" outlineLevel="0" collapsed="false">
      <c r="A13" s="6" t="s">
        <v>290</v>
      </c>
      <c r="B13" s="27" t="n">
        <f aca="false">Assumptions!$B$5/'Income Statement'!B19</f>
        <v>25.40627479092</v>
      </c>
      <c r="C13" s="27" t="n">
        <f aca="false">Assumptions!$B$5/'Income Statement'!C19</f>
        <v>27.0433047901653</v>
      </c>
      <c r="D13" s="27" t="n">
        <f aca="false">Assumptions!$B$5/'Income Statement'!D19</f>
        <v>15.6725601277484</v>
      </c>
      <c r="E13" s="27" t="n">
        <f aca="false">Assumptions!$B$5/'Income Statement'!E19</f>
        <v>9.98904619405705</v>
      </c>
      <c r="F13" s="27" t="n">
        <f aca="false">Assumptions!$B$5/'Income Statement'!F19</f>
        <v>8.36886784160831</v>
      </c>
      <c r="G13" s="27" t="n">
        <f aca="false">Assumptions!$B$5/'Income Statement'!G19</f>
        <v>7.21794308950055</v>
      </c>
      <c r="H13" s="27" t="n">
        <f aca="false">Assumptions!$B$5/'Income Statement'!H19</f>
        <v>6.38029244760837</v>
      </c>
      <c r="I13" s="27" t="n">
        <f aca="false">Assumptions!$B$5/'Income Statement'!I19</f>
        <v>5.66346948091864</v>
      </c>
    </row>
    <row r="14" customFormat="false" ht="15" hidden="false" customHeight="true" outlineLevel="0" collapsed="false">
      <c r="A14" s="6" t="s">
        <v>291</v>
      </c>
      <c r="B14" s="27" t="n">
        <f aca="false">(Assumptions!$B$5*Assumptions!$B$7-Assumptions!$B$8)/'Income Statement'!B10</f>
        <v>15.8193319524876</v>
      </c>
      <c r="C14" s="27" t="n">
        <f aca="false">(Assumptions!$B$5*Assumptions!$B$7-Assumptions!$B$8)/'Income Statement'!C10</f>
        <v>14.748293044335</v>
      </c>
      <c r="D14" s="27" t="n">
        <f aca="false">(Assumptions!$B$5*Assumptions!$B$7-Assumptions!$B$8)/'Income Statement'!D10</f>
        <v>9.33005749046396</v>
      </c>
      <c r="E14" s="27" t="n">
        <f aca="false">(Assumptions!$B$5*Assumptions!$B$7-Assumptions!$B$8)/'Income Statement'!E10</f>
        <v>7.16874748448827</v>
      </c>
      <c r="F14" s="27" t="n">
        <f aca="false">(Assumptions!$B$5*Assumptions!$B$7-Assumptions!$B$8)/'Income Statement'!F10</f>
        <v>5.81544497643124</v>
      </c>
      <c r="G14" s="27" t="n">
        <f aca="false">(Assumptions!$B$5*Assumptions!$B$7-Assumptions!$B$8)/'Income Statement'!G10</f>
        <v>4.90306964549179</v>
      </c>
      <c r="H14" s="27" t="n">
        <f aca="false">(Assumptions!$B$5*Assumptions!$B$7-Assumptions!$B$8)/'Income Statement'!H10</f>
        <v>4.26353882216678</v>
      </c>
      <c r="I14" s="27" t="n">
        <f aca="false">(Assumptions!$B$5*Assumptions!$B$7-Assumptions!$B$8)/'Income Statement'!I10</f>
        <v>3.77304320545733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90"/>
  </cols>
  <sheetData>
    <row r="1" customFormat="false" ht="24" hidden="false" customHeight="true" outlineLevel="0" collapsed="false">
      <c r="A1" s="4" t="s">
        <v>292</v>
      </c>
      <c r="B1" s="4"/>
    </row>
    <row r="3" customFormat="false" ht="43.5" hidden="false" customHeight="true" outlineLevel="0" collapsed="false">
      <c r="A3" s="14" t="s">
        <v>293</v>
      </c>
      <c r="B3" s="14"/>
    </row>
    <row r="5" customFormat="false" ht="43.5" hidden="false" customHeight="true" outlineLevel="0" collapsed="false">
      <c r="A5" s="14" t="s">
        <v>294</v>
      </c>
      <c r="B5" s="14"/>
    </row>
    <row r="7" customFormat="false" ht="43.5" hidden="false" customHeight="true" outlineLevel="0" collapsed="false">
      <c r="A7" s="14" t="s">
        <v>295</v>
      </c>
      <c r="B7" s="14"/>
    </row>
    <row r="9" customFormat="false" ht="43.5" hidden="false" customHeight="true" outlineLevel="0" collapsed="false">
      <c r="A9" s="14" t="s">
        <v>296</v>
      </c>
      <c r="B9" s="14"/>
    </row>
    <row r="11" customFormat="false" ht="43.5" hidden="false" customHeight="true" outlineLevel="0" collapsed="false">
      <c r="A11" s="14" t="s">
        <v>297</v>
      </c>
      <c r="B11" s="14"/>
    </row>
  </sheetData>
  <mergeCells count="6">
    <mergeCell ref="A1:B1"/>
    <mergeCell ref="A3:B3"/>
    <mergeCell ref="A5:B5"/>
    <mergeCell ref="A7:B7"/>
    <mergeCell ref="A9:B9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2026-07-03T07:57:26Z</dcterms:created>
  <dc:creator>openpyxl</dc:creator>
  <dc:description/>
  <dc:language>en-US</dc:language>
  <cp:lastModifiedBy/>
  <dcterms:modified xsi:type="dcterms:W3CDTF">2026-07-03T14:57:22Z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