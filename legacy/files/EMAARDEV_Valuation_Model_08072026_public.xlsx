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SOTP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<sst xmlns="http://schemas.openxmlformats.org/spreadsheetml/2006/main" count="335" uniqueCount="265">
  <si>
    <t xml:space="preserve">Testahil · Independent Valuation Study — Educational Analysis · Not investment advice</t>
  </si>
  <si>
    <t xml:space="preserve">Emaar Development PJSC (DFM: EMAARDEV) — companion valuation model.</t>
  </si>
  <si>
    <t xml:space="preserve">This workbook is an educational valuation exercise, not investment advice, and contains no price target or rating.</t>
  </si>
  <si>
    <t xml:space="preserve">All blue cells on the Assumptions sheet are inputs; every other sheet links back to them, so changing one input reprices the model.</t>
  </si>
  <si>
    <t xml:space="preserve">Reported historical financials (FY2023–FY2025) are the company's own disclosure (EMAARDEV results releases; S&amp;P/Yahoo tie-out).</t>
  </si>
  <si>
    <t xml:space="preserve">Balance-sheet lines and some splits are estimates flagged in the sheets. Forward-looking inputs — margins, the net-cash mark, the</t>
  </si>
  <si>
    <t xml:space="preserve">land-bank value, the multiples, the DCF and the Monte-Carlo factors — are the preparer's own judgments and are inherently uncertain.</t>
  </si>
  <si>
    <t xml:space="preserve">CALIBRATION NOTE (important): the Monte-Carlo lens for EMAARDEV is INDICATIVE. On a full 5-year walk-forward backtest it TIES the</t>
  </si>
  <si>
    <t xml:space="preserve">zero-drift random-walk benchmark on CRPS skill (does not distinguishably beat it) but produces a well-calibrated, roughly-uniform PIT</t>
  </si>
  <si>
    <t xml:space="preserve">under the name-specific drift-ON setting. It is NOT a failed/broken calibration; it simply has no demonstrated edge for this name.</t>
  </si>
  <si>
    <t xml:space="preserve">Primary lens: RNAV / split-NAV (development legs carry no terminal value). Currency: AED.</t>
  </si>
  <si>
    <t xml:space="preserve">The preparer may hold, and may in the future take or dispose of, a position in the security discussed in this report.</t>
  </si>
  <si>
    <t xml:space="preserve">Valuation summary — Emaar Development PJSC</t>
  </si>
  <si>
    <t xml:space="preserve">Four-lens fair value vs spot. Weighted central = SUMPRODUCT(base, weights).</t>
  </si>
  <si>
    <t xml:space="preserve">Lens</t>
  </si>
  <si>
    <t xml:space="preserve">Bear</t>
  </si>
  <si>
    <t xml:space="preserve">Base</t>
  </si>
  <si>
    <t xml:space="preserve">Bull</t>
  </si>
  <si>
    <t xml:space="preserve">Weight</t>
  </si>
  <si>
    <t xml:space="preserve">RNAV (primary)</t>
  </si>
  <si>
    <t xml:space="preserve">Going-concern DCF</t>
  </si>
  <si>
    <t xml:space="preserve">Relative multiples</t>
  </si>
  <si>
    <t xml:space="preserve">Property-cycle earnings</t>
  </si>
  <si>
    <t xml:space="preserve">Weighted central</t>
  </si>
  <si>
    <t xml:space="preserve">Spot price (AED)</t>
  </si>
  <si>
    <t xml:space="preserve">Upside to central base</t>
  </si>
  <si>
    <t xml:space="preserve">Read: modestly-to-clearly undervalued (~+21%); RNAV-led; crux = Dubai property cycle + NAV discount. MC INDICATIVE (ties benchmark).</t>
  </si>
  <si>
    <t xml:space="preserve">Fundamental valuation — overview</t>
  </si>
  <si>
    <t xml:space="preserve">Anchor = RNAV; cross-checks = DCF, relative, property-cycle. See Summary for the weighted blend.</t>
  </si>
  <si>
    <t xml:space="preserve">Base FV (AED)</t>
  </si>
  <si>
    <t xml:space="preserve">Assumptions — the single input layer</t>
  </si>
  <si>
    <t xml:space="preserve">All blue cells are inputs. Every downstream sheet links here; change one cell and the model reprices.</t>
  </si>
  <si>
    <t xml:space="preserve">ANCHORS</t>
  </si>
  <si>
    <t xml:space="preserve">Spot price (AED/share)</t>
  </si>
  <si>
    <t xml:space="preserve">Shares outstanding (mn)</t>
  </si>
  <si>
    <t xml:space="preserve">Net cash mark (AED mn)</t>
  </si>
  <si>
    <t xml:space="preserve">Sales backlog (AED mn)</t>
  </si>
  <si>
    <t xml:space="preserve">WACC / discount rate</t>
  </si>
  <si>
    <t xml:space="preserve">Risk-free rate (rf)</t>
  </si>
  <si>
    <t xml:space="preserve">Beta (per-name, 0.8–1.3 band)</t>
  </si>
  <si>
    <t xml:space="preserve">Equity risk premium (ERP)</t>
  </si>
  <si>
    <t xml:space="preserve">Cost of equity Ke = rf + beta×ERP</t>
  </si>
  <si>
    <t xml:space="preserve">Terminal growth (disclosure only)</t>
  </si>
  <si>
    <t xml:space="preserve">Terminal exit EV/EBITDA (DCF)</t>
  </si>
  <si>
    <t xml:space="preserve">Corporate tax rate (UAE CT)</t>
  </si>
  <si>
    <t xml:space="preserve">RNAV — DEVELOPMENT (no terminal value on dev legs)</t>
  </si>
  <si>
    <t xml:space="preserve">Sustainable development net margin</t>
  </si>
  <si>
    <t xml:space="preserve">Backlog recognition yr1 weight</t>
  </si>
  <si>
    <t xml:space="preserve">  yr2</t>
  </si>
  <si>
    <t xml:space="preserve">  yr3</t>
  </si>
  <si>
    <t xml:space="preserve">  yr4</t>
  </si>
  <si>
    <t xml:space="preserve">Land-bank future launches (attrib, PV, haircut)</t>
  </si>
  <si>
    <t xml:space="preserve">Central overhead PV (negative)</t>
  </si>
  <si>
    <t xml:space="preserve">RELATIVE &amp; CYCLE</t>
  </si>
  <si>
    <t xml:space="preserve">Mid-cycle attributable net profit (AED mn)</t>
  </si>
  <si>
    <t xml:space="preserve">Through-cycle P/E (cycle lens)</t>
  </si>
  <si>
    <t xml:space="preserve">Justified P/E (relative lens)</t>
  </si>
  <si>
    <t xml:space="preserve">Normalized mid-cycle EPS (AED)</t>
  </si>
  <si>
    <t xml:space="preserve">LENS WEIGHTS</t>
  </si>
  <si>
    <t xml:space="preserve">RNAV weight</t>
  </si>
  <si>
    <t xml:space="preserve">DCF weight</t>
  </si>
  <si>
    <t xml:space="preserve">Relative weight</t>
  </si>
  <si>
    <t xml:space="preserve">Cycle weight</t>
  </si>
  <si>
    <t xml:space="preserve">FORECAST DRIVERS (DCF / IS)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</si>
  <si>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</si>
  <si>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</si>
  <si>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</si>
  <si>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</si>
  <si>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</si>
  <si>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Revenue (AED mn)</t>
  </si>
  <si>
    <t xml:space="preserve">EBITDA margin</t>
  </si>
  <si>
    <t xml:space="preserve">D&amp;A % of revenue</t>
  </si>
  <si>
    <t xml:space="preserve">Capex % of revenue</t>
  </si>
  <si>
    <t xml:space="preserve">Land investment (AED mn)</t>
  </si>
  <si>
    <t xml:space="preserve">Δ net working capital (AED mn)</t>
  </si>
  <si>
    <t xml:space="preserve">RNAV / sum-of-the-parts (primary lens)</t>
  </si>
  <si>
    <t xml:space="preserve">Split-NAV: development legs carry NO terminal value; net cash + PV of backlog profit + haircut land bank − overhead.</t>
  </si>
  <si>
    <t xml:space="preserve">Component</t>
  </si>
  <si>
    <t xml:space="preserve">AED mn</t>
  </si>
  <si>
    <t xml:space="preserve">Backlog PV factor (4-yr, WACC)</t>
  </si>
  <si>
    <t xml:space="preserve">Net cash</t>
  </si>
  <si>
    <t xml:space="preserve">PV of backlog net profit (attrib.)</t>
  </si>
  <si>
    <t xml:space="preserve">Central overhead PV</t>
  </si>
  <si>
    <t xml:space="preserve">RNAV (equity)</t>
  </si>
  <si>
    <t xml:space="preserve">RNAV per share (AED)</t>
  </si>
  <si>
    <t xml:space="preserve">Development legs carry no perpetual terminal value; only recurring legs would (EMAARDEV is ~pure build-to-sell).</t>
  </si>
  <si>
    <t xml:space="preserve">Segment / community view</t>
  </si>
  <si>
    <t xml:space="preserve">Pure build-to-sell developer; value engine = the master-planned pipeline.</t>
  </si>
  <si>
    <t xml:space="preserve">Community cluster</t>
  </si>
  <si>
    <t xml:space="preserve">Cyclicality</t>
  </si>
  <si>
    <t xml:space="preserve">Margin trend</t>
  </si>
  <si>
    <t xml:space="preserve">Capital int.</t>
  </si>
  <si>
    <t xml:space="preserve">Swing role</t>
  </si>
  <si>
    <t xml:space="preserve">Flagship established (Downtown, Marina, Hills)</t>
  </si>
  <si>
    <t xml:space="preserve">Moderate</t>
  </si>
  <si>
    <t xml:space="preserve">Steady ~45%</t>
  </si>
  <si>
    <t xml:space="preserve">Low</t>
  </si>
  <si>
    <t xml:space="preserve">Cash anchor</t>
  </si>
  <si>
    <t xml:space="preserve">New master-plans (Oasis, Grand Polo, Beachfront)</t>
  </si>
  <si>
    <t xml:space="preserve">High</t>
  </si>
  <si>
    <t xml:space="preserve">Peak → normalize</t>
  </si>
  <si>
    <t xml:space="preserve">Dominant swing</t>
  </si>
  <si>
    <t xml:space="preserve">Emaar South / The Valley (volume)</t>
  </si>
  <si>
    <t xml:space="preserve">Improving</t>
  </si>
  <si>
    <t xml:space="preserve">Volume base</t>
  </si>
  <si>
    <t xml:space="preserve">Land bank (305m sq ft incl. new 36m)</t>
  </si>
  <si>
    <t xml:space="preserve">Optionality</t>
  </si>
  <si>
    <t xml:space="preserve">High (land)</t>
  </si>
  <si>
    <t xml:space="preserve">Long-dated upside</t>
  </si>
  <si>
    <t xml:space="preserve">Relative multiples &amp; property-cycle earnings</t>
  </si>
  <si>
    <t xml:space="preserve">Floor lens (relative) and cycle lens (property-cycle framing replaces normalized-earnings for developers).</t>
  </si>
  <si>
    <t xml:space="preserve">Relative (floor)</t>
  </si>
  <si>
    <t xml:space="preserve">Justified P/E</t>
  </si>
  <si>
    <t xml:space="preserve">Relative fair value (AED)</t>
  </si>
  <si>
    <t xml:space="preserve">Property-cycle (mid)</t>
  </si>
  <si>
    <t xml:space="preserve">Mid-cycle attrib. net profit (AED mn)</t>
  </si>
  <si>
    <t xml:space="preserve">Through-cycle P/E</t>
  </si>
  <si>
    <t xml:space="preserve">Cycle fair value (AED)</t>
  </si>
  <si>
    <t xml:space="preserve">Discounted cash flow — exit-multiple terminal (no Gordon perpetuity on a finite development pipeline, §3.5-E)</t>
  </si>
  <si>
    <t xml:space="preserve">Revenue→EBITDA→D&amp;A→EBIT→NOPAT→+D&amp;A→−Capex→−Land→−ΔWC→FCFF→Discount factor→PV. TV = exit EV/EBITDA.</t>
  </si>
  <si>
    <t xml:space="preserve">Revenue</t>
  </si>
  <si>
    <t xml:space="preserve">EBITDA</t>
  </si>
  <si>
    <t xml:space="preserve">D&amp;A</t>
  </si>
  <si>
    <t xml:space="preserve">EBIT</t>
  </si>
  <si>
    <t xml:space="preserve">NOPAT = EBIT×(1−tax)</t>
  </si>
  <si>
    <t xml:space="preserve">+ D&amp;A</t>
  </si>
  <si>
    <t xml:space="preserve">− Capex</t>
  </si>
  <si>
    <t xml:space="preserve">− Land investment</t>
  </si>
  <si>
    <t xml:space="preserve">− Δ working capital</t>
  </si>
  <si>
    <t xml:space="preserve">Free cash flow to firm</t>
  </si>
  <si>
    <t xml:space="preserve">Discount factor</t>
  </si>
  <si>
    <t xml:space="preserve">PV of FCFF</t>
  </si>
  <si>
    <t xml:space="preserve">Σ PV of explicit FCFF</t>
  </si>
  <si>
    <t xml:space="preserve">Year-5 EBITDA</t>
  </si>
  <si>
    <t xml:space="preserve">Terminal value (exit EV/EBITDA)</t>
  </si>
  <si>
    <t xml:space="preserve">PV of terminal value</t>
  </si>
  <si>
    <t xml:space="preserve">Enterprise value</t>
  </si>
  <si>
    <t xml:space="preserve">plus: net cash</t>
  </si>
  <si>
    <t xml:space="preserve">Equity value</t>
  </si>
  <si>
    <t xml:space="preserve">Fair value per share (AED)</t>
  </si>
  <si>
    <t xml:space="preserve">% terminal of EV</t>
  </si>
  <si>
    <t xml:space="preserve">Memo: Gordon-perpetuity FV (disclosure, device A-7)</t>
  </si>
  <si>
    <t xml:space="preserve">A naive Gordon perpetuity overstates value by assuming perpetual high-margin land replenishment — hence the exit-multiple terminal.</t>
  </si>
  <si>
    <t xml:space="preserve">Income statement (AED mn)</t>
  </si>
  <si>
    <t xml:space="preserve">3 years historical (company disclosure) + 5-year forecast (links to Assumptions drivers).</t>
  </si>
  <si>
    <t xml:space="preserve">Line</t>
  </si>
  <si>
    <t xml:space="preserve">2023</t>
  </si>
  <si>
    <t xml:space="preserve">2024</t>
  </si>
  <si>
    <t xml:space="preserve">2025</t>
  </si>
  <si>
    <t xml:space="preserve">COGS</t>
  </si>
  <si>
    <t xml:space="preserve">Gross profit</t>
  </si>
  <si>
    <t xml:space="preserve">SG&amp;A / opex</t>
  </si>
  <si>
    <t xml:space="preserve">Net finance &amp; other</t>
  </si>
  <si>
    <t xml:space="preserve">JV / associates</t>
  </si>
  <si>
    <t xml:space="preserve">PBT</t>
  </si>
  <si>
    <t xml:space="preserve">Tax</t>
  </si>
  <si>
    <t xml:space="preserve">NCI</t>
  </si>
  <si>
    <t xml:space="preserve">Net profit (attrib.)</t>
  </si>
  <si>
    <t xml:space="preserve">EPS (AED)</t>
  </si>
  <si>
    <t xml:space="preserve">Source: EMAARDEV FY23–FY25 results releases (S&amp;P/Yahoo tie-out). Forecast: Assumptions drivers.</t>
  </si>
  <si>
    <t xml:space="preserve">Balance sheet (AED mn)</t>
  </si>
  <si>
    <t xml:space="preserve">Cash-rich BTS developer, ~zero debt. Historical estimated from disclosure/ratios (flagged); forecast rolls forward.</t>
  </si>
  <si>
    <t xml:space="preserve">Cash &amp; bank (incl. escrow)</t>
  </si>
  <si>
    <t xml:space="preserve">Development properties / WIP</t>
  </si>
  <si>
    <t xml:space="preserve">Receivables &amp; contract assets</t>
  </si>
  <si>
    <t xml:space="preserve">Other assets</t>
  </si>
  <si>
    <t xml:space="preserve">Total assets</t>
  </si>
  <si>
    <t xml:space="preserve">Customer advances / deferred rev</t>
  </si>
  <si>
    <t xml:space="preserve">Payables &amp; provisions</t>
  </si>
  <si>
    <t xml:space="preserve">Debt</t>
  </si>
  <si>
    <t xml:space="preserve">Total liabilities</t>
  </si>
  <si>
    <t xml:space="preserve">Equity (attrib.)</t>
  </si>
  <si>
    <t xml:space="preserve">Net cash (cash − debt)</t>
  </si>
  <si>
    <t xml:space="preserve">Balance-sheet lines are estimates from disclosure and ratios (ROE ~37.5%, D/E ~0); flagged, not audited tie-out.</t>
  </si>
  <si>
    <t xml:space="preserve">Cash flow (AED mn)</t>
  </si>
  <si>
    <t xml:space="preserve">Indirect method; forecast links to IS and Assumptions. Strong operating cash from pre-sales.</t>
  </si>
  <si>
    <t xml:space="preserve">+ NCI</t>
  </si>
  <si>
    <t xml:space="preserve">± Δ working capital</t>
  </si>
  <si>
    <t xml:space="preserve">Operating cash flow</t>
  </si>
  <si>
    <t xml:space="preserve">Investing cash flow</t>
  </si>
  <si>
    <t xml:space="preserve">− Dividends paid</t>
  </si>
  <si>
    <t xml:space="preserve">Financing cash flow</t>
  </si>
  <si>
    <t xml:space="preserve">Net change in cash</t>
  </si>
  <si>
    <t xml:space="preserve">Summary financials (links to statements)</t>
  </si>
  <si>
    <t xml:space="preserve">Every cell links to the statement sheets — no hard-coded duplicates.</t>
  </si>
  <si>
    <t xml:space="preserve">Monte Carlo — engine output (drift-ON, name-specific)</t>
  </si>
  <si>
    <t xml:space="preserve">50,000 paths · seed 42 · YZ-HAR width (c2c-leveled) · unit-variance t5 · secular drift ON. INDICATIVE: ties benchmark, PIT ~uniform.</t>
  </si>
  <si>
    <t xml:space="preserve">The probability read (from the same 50,000 paths)</t>
  </si>
  <si>
    <t xml:space="preserve">P(price above spot) at T+60</t>
  </si>
  <si>
    <t xml:space="preserve">P(+10%) vs P(−10%)</t>
  </si>
  <si>
    <t xml:space="preserve">44% vs 13%</t>
  </si>
  <si>
    <t xml:space="preserve">Odds ratio (up:down)</t>
  </si>
  <si>
    <t xml:space="preserve">Median level / % move</t>
  </si>
  <si>
    <t xml:space="preserve">15.34  (+7.6%)</t>
  </si>
  <si>
    <t xml:space="preserve">50% band (25th–75th)</t>
  </si>
  <si>
    <t xml:space="preserve">13.87 – 16.97</t>
  </si>
  <si>
    <t xml:space="preserve">Touch +10% / −10% by T+60</t>
  </si>
  <si>
    <t xml:space="preserve">64% / 30%</t>
  </si>
  <si>
    <t xml:space="preserve">Percentile map (AED/share)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</si>
  <si>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</si>
  <si>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</si>
  <si>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</si>
  <si>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</si>
  <si>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</si>
  <si>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</si>
  <si>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 sessions</t>
  </si>
  <si>
    <t xml:space="preserve">T+60 sessions</t>
  </si>
  <si>
    <t xml:space="preserve">Engine inputs</t>
  </si>
  <si>
    <t xml:space="preserve">Annualized diffusion vol</t>
  </si>
  <si>
    <t xml:space="preserve">Secular drift (daily, ON)</t>
  </si>
  <si>
    <t xml:space="preserve">Net 3-month drift</t>
  </si>
  <si>
    <t xml:space="preserve">Seed</t>
  </si>
  <si>
    <t xml:space="preserve">Paths</t>
  </si>
  <si>
    <t xml:space="preserve">Level-touch ladder</t>
  </si>
  <si>
    <t xml:space="preserve">Level</t>
  </si>
  <si>
    <t xml:space="preserve">T+20</t>
  </si>
  <si>
    <t xml:space="preserve">T+60</t>
  </si>
  <si>
    <t xml:space="preserve">Sensitivity — WACC × terminal exit multiple (DCF) and RNAV drivers</t>
  </si>
  <si>
    <t xml:space="preserve">DCF fair value across WACC and exit EV/EBITDA; RNAV across dev margin and net cash.</t>
  </si>
  <si>
    <t xml:space="preserve">DCF FV (AED) — WACC (down) × exit EV/EBITDA (across)</t>
  </si>
  <si>
    <t xml:space="preserve">WACC \ exit</t>
  </si>
  <si>
    <t xml:space="preserve">RNAV FV (AED) — dev margin (down) × net cash (across, AED bn)</t>
  </si>
  <si>
    <t xml:space="preserve">margin \ cash</t>
  </si>
  <si>
    <t xml:space="preserve">Per-share &amp; ratio dashboard</t>
  </si>
  <si>
    <t xml:space="preserve">Fixed panel, identical across studies (the 'Data Miner').</t>
  </si>
  <si>
    <t xml:space="preserve">Metric</t>
  </si>
  <si>
    <t xml:space="preserve">DPS (AED)</t>
  </si>
  <si>
    <t xml:space="preserve">BVPS (AED)</t>
  </si>
  <si>
    <t xml:space="preserve">P/E</t>
  </si>
  <si>
    <t xml:space="preserve">Dividend yield</t>
  </si>
  <si>
    <t xml:space="preserve">EV/EBITDA (2025)</t>
  </si>
  <si>
    <t xml:space="preserve">Net margin (attrib.)</t>
  </si>
  <si>
    <t xml:space="preserve">ROE</t>
  </si>
  <si>
    <t xml:space="preserve">ROIC</t>
  </si>
  <si>
    <t xml:space="preserve">Net debt / EBITDA</t>
  </si>
  <si>
    <t xml:space="preserve">Backlog / revenue</t>
  </si>
  <si>
    <t xml:space="preserve">Peer set &amp; sector structure</t>
  </si>
  <si>
    <t xml:space="preserve">Dubai / GCC residential developers; EMAARDEV screens cheap on P/E with a large backlog and net cash.</t>
  </si>
  <si>
    <t xml:space="preserve">Peer</t>
  </si>
  <si>
    <t xml:space="preserve">EV/EBITDA</t>
  </si>
  <si>
    <t xml:space="preserve">Div yield</t>
  </si>
  <si>
    <t xml:space="preserve">Note</t>
  </si>
  <si>
    <t xml:space="preserve">Emaar Development (EMAARDEV)</t>
  </si>
  <si>
    <t xml:space="preserve">5.0x</t>
  </si>
  <si>
    <t xml:space="preserve">2.7x</t>
  </si>
  <si>
    <t xml:space="preserve">7.0%</t>
  </si>
  <si>
    <t xml:space="preserve">This study; deep value + net cash</t>
  </si>
  <si>
    <t xml:space="preserve">Emaar Properties (EMAAR)</t>
  </si>
  <si>
    <t xml:space="preserve">~9x</t>
  </si>
  <si>
    <t xml:space="preserve">~6x</t>
  </si>
  <si>
    <t xml:space="preserve">~5%</t>
  </si>
  <si>
    <t xml:space="preserve">Parent; diversified (malls/hotels)</t>
  </si>
  <si>
    <t xml:space="preserve">Aldar Properties (Abu Dhabi)</t>
  </si>
  <si>
    <t xml:space="preserve">~12x</t>
  </si>
  <si>
    <t xml:space="preserve">~11x</t>
  </si>
  <si>
    <t xml:space="preserve">~3%</t>
  </si>
  <si>
    <t xml:space="preserve">Diversified dev + recurring</t>
  </si>
  <si>
    <t xml:space="preserve">DAMAC / Deyaar / Union Props</t>
  </si>
  <si>
    <t xml:space="preserve">6–10x</t>
  </si>
  <si>
    <t xml:space="preserve">4–8x</t>
  </si>
  <si>
    <t xml:space="preserve">3–6%</t>
  </si>
  <si>
    <t xml:space="preserve">Smaller Dubai developers</t>
  </si>
  <si>
    <t xml:space="preserve">Sector</t>
  </si>
  <si>
    <t xml:space="preserve">—</t>
  </si>
  <si>
    <t xml:space="preserve">Dubai residential up-cycle; rising 2026-27 supply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</si>
</sst>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;\(#,##0.00\);\-"/>
    <numFmt numFmtId="166" formatCode="0.0%"/>
    <numFmt numFmtId="167" formatCode="#,##0;\(#,##0\);\-"/>
    <numFmt numFmtId="168" formatCode="0.00"/>
    <numFmt numFmtId="169" formatCode="0.0\x"/>
    <numFmt numFmtId="170" formatCode="0.000"/>
    <numFmt numFmtId="171" formatCode="0.00\x"/>
    <numFmt numFmtId="172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sz val="10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3"/>
      <color rgb="FF1C3A36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3A36"/>
        <bgColor rgb="FF333300"/>
      </patternFill>
    </fill>
    <fill>
      <patternFill patternType="solid">
        <fgColor rgb="FFEDE6D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6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2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1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2</v>
      </c>
    </row>
    <row r="7" customFormat="false" ht="15" hidden="false" customHeight="false" outlineLevel="0" collapsed="false">
      <c r="A7" s="2" t="s">
        <v>3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4</v>
      </c>
    </row>
    <row r="10" customFormat="false" ht="15" hidden="false" customHeight="false" outlineLevel="0" collapsed="false">
      <c r="A10" s="2" t="s">
        <v>5</v>
      </c>
    </row>
    <row r="11" customFormat="false" ht="15" hidden="false" customHeight="false" outlineLevel="0" collapsed="false">
      <c r="A11" s="2" t="s">
        <v>6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7</v>
      </c>
    </row>
    <row r="14" customFormat="false" ht="15" hidden="false" customHeight="false" outlineLevel="0" collapsed="false">
      <c r="A14" s="2" t="s">
        <v>8</v>
      </c>
    </row>
    <row r="15" customFormat="false" ht="15" hidden="false" customHeight="false" outlineLevel="0" collapsed="false">
      <c r="A15" s="2" t="s">
        <v>9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10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4" t="s">
        <v>12</v>
      </c>
    </row>
    <row r="2" customFormat="false" ht="15" hidden="false" customHeight="false" outlineLevel="0" collapsed="false">
      <c r="A2" s="5" t="s">
        <v>13</v>
      </c>
    </row>
    <row r="3" customFormat="false" ht="15" hidden="false" customHeight="false" outlineLevel="0" collapsed="false">
      <c r="A3" s="6" t="s">
        <v>14</v>
      </c>
      <c r="B3" s="7" t="s">
        <v>15</v>
      </c>
      <c r="C3" s="7" t="s">
        <v>16</v>
      </c>
      <c r="D3" s="7" t="s">
        <v>17</v>
      </c>
      <c r="E3" s="7" t="s">
        <v>18</v>
      </c>
    </row>
    <row r="4" customFormat="false" ht="15" hidden="false" customHeight="false" outlineLevel="0" collapsed="false">
      <c r="A4" s="8" t="s">
        <v>19</v>
      </c>
      <c r="B4" s="9" t="n">
        <v>13.7981511964257</v>
      </c>
      <c r="C4" s="10" t="n">
        <f aca="false">SOTP!B11</f>
        <v>17.55617639583</v>
      </c>
      <c r="D4" s="9" t="n">
        <v>22.3142015952343</v>
      </c>
      <c r="E4" s="11" t="n">
        <f aca="false">Assumptions!$B$31</f>
        <v>0.4</v>
      </c>
    </row>
    <row r="5" customFormat="false" ht="15" hidden="false" customHeight="false" outlineLevel="0" collapsed="false">
      <c r="A5" s="8" t="s">
        <v>20</v>
      </c>
      <c r="B5" s="9" t="n">
        <v>14.0047900830337</v>
      </c>
      <c r="C5" s="10" t="n">
        <f aca="false">DCF!B24</f>
        <v>18.4273553724128</v>
      </c>
      <c r="D5" s="9" t="n">
        <v>24.8769297527573</v>
      </c>
      <c r="E5" s="11" t="n">
        <f aca="false">Assumptions!$B$32</f>
        <v>0.2</v>
      </c>
    </row>
    <row r="6" customFormat="false" ht="15" hidden="false" customHeight="false" outlineLevel="0" collapsed="false">
      <c r="A6" s="8" t="s">
        <v>21</v>
      </c>
      <c r="B6" s="9" t="n">
        <v>12.375</v>
      </c>
      <c r="C6" s="10" t="n">
        <f aca="false">'Relative &amp; Normalized'!B7</f>
        <v>15.75</v>
      </c>
      <c r="D6" s="9" t="n">
        <v>20.25</v>
      </c>
      <c r="E6" s="11" t="n">
        <f aca="false">Assumptions!$B$33</f>
        <v>0.15</v>
      </c>
    </row>
    <row r="7" customFormat="false" ht="15" hidden="false" customHeight="false" outlineLevel="0" collapsed="false">
      <c r="A7" s="8" t="s">
        <v>22</v>
      </c>
      <c r="B7" s="9" t="n">
        <v>10.8</v>
      </c>
      <c r="C7" s="10" t="n">
        <f aca="false">'Relative &amp; Normalized'!B12</f>
        <v>16.875</v>
      </c>
      <c r="D7" s="9" t="n">
        <v>23.2875</v>
      </c>
      <c r="E7" s="11" t="n">
        <f aca="false">Assumptions!$B$34</f>
        <v>0.25</v>
      </c>
    </row>
    <row r="8" customFormat="false" ht="15" hidden="false" customHeight="false" outlineLevel="0" collapsed="false">
      <c r="A8" s="12" t="s">
        <v>23</v>
      </c>
      <c r="B8" s="13" t="n">
        <f aca="false">SUMPRODUCT(B4:B7,$E4:$E7)</f>
        <v>12.876468495177</v>
      </c>
      <c r="C8" s="13" t="n">
        <f aca="false">SUMPRODUCT(C4:C7,$E4:$E7)</f>
        <v>17.2891916328146</v>
      </c>
      <c r="D8" s="13" t="n">
        <f aca="false">SUMPRODUCT(D4:D7,$E4:$E7)</f>
        <v>22.7604415886452</v>
      </c>
    </row>
    <row r="10" customFormat="false" ht="15" hidden="false" customHeight="false" outlineLevel="0" collapsed="false">
      <c r="A10" s="8" t="s">
        <v>24</v>
      </c>
      <c r="C10" s="10" t="n">
        <f aca="false">Assumptions!$B$5</f>
        <v>14.26</v>
      </c>
    </row>
    <row r="11" customFormat="false" ht="15" hidden="false" customHeight="false" outlineLevel="0" collapsed="false">
      <c r="A11" s="8" t="s">
        <v>25</v>
      </c>
      <c r="C11" s="14" t="n">
        <f aca="false">C8/C10-1</f>
        <v>0.212425780702284</v>
      </c>
    </row>
    <row r="13" customFormat="false" ht="15" hidden="false" customHeight="false" outlineLevel="0" collapsed="false">
      <c r="A13" s="5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4" t="s">
        <v>27</v>
      </c>
    </row>
    <row r="2" customFormat="false" ht="15" hidden="false" customHeight="false" outlineLevel="0" collapsed="false">
      <c r="A2" s="5" t="s">
        <v>28</v>
      </c>
    </row>
    <row r="4" customFormat="false" ht="15" hidden="false" customHeight="false" outlineLevel="0" collapsed="false">
      <c r="A4" s="6" t="s">
        <v>14</v>
      </c>
      <c r="B4" s="6" t="s">
        <v>29</v>
      </c>
    </row>
    <row r="5" customFormat="false" ht="15" hidden="false" customHeight="false" outlineLevel="0" collapsed="false">
      <c r="A5" s="8" t="s">
        <v>19</v>
      </c>
      <c r="B5" s="10" t="n">
        <f aca="false">SOTP!B11</f>
        <v>17.55617639583</v>
      </c>
    </row>
    <row r="6" customFormat="false" ht="15" hidden="false" customHeight="false" outlineLevel="0" collapsed="false">
      <c r="A6" s="8" t="s">
        <v>20</v>
      </c>
      <c r="B6" s="10" t="n">
        <f aca="false">DCF!B24</f>
        <v>18.4273553724128</v>
      </c>
    </row>
    <row r="7" customFormat="false" ht="15" hidden="false" customHeight="false" outlineLevel="0" collapsed="false">
      <c r="A7" s="8" t="s">
        <v>21</v>
      </c>
      <c r="B7" s="10" t="n">
        <f aca="false">'Relative &amp; Normalized'!B7</f>
        <v>15.75</v>
      </c>
    </row>
    <row r="8" customFormat="false" ht="15" hidden="false" customHeight="false" outlineLevel="0" collapsed="false">
      <c r="A8" s="8" t="s">
        <v>22</v>
      </c>
      <c r="B8" s="10" t="n">
        <f aca="false">'Relative &amp; Normalized'!B12</f>
        <v>16.875</v>
      </c>
    </row>
    <row r="9" customFormat="false" ht="15" hidden="false" customHeight="false" outlineLevel="0" collapsed="false">
      <c r="A9" s="12" t="s">
        <v>23</v>
      </c>
      <c r="B9" s="10" t="n">
        <f aca="false">Summary!C8</f>
        <v>17.2891916328146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4" t="s">
        <v>30</v>
      </c>
    </row>
    <row r="2" customFormat="false" ht="15" hidden="false" customHeight="false" outlineLevel="0" collapsed="false">
      <c r="A2" s="5" t="s">
        <v>31</v>
      </c>
    </row>
    <row r="4" customFormat="false" ht="15" hidden="false" customHeight="false" outlineLevel="0" collapsed="false">
      <c r="A4" s="15" t="s">
        <v>32</v>
      </c>
      <c r="B4" s="16"/>
      <c r="C4" s="16"/>
      <c r="D4" s="16"/>
      <c r="E4" s="16"/>
      <c r="F4" s="16"/>
    </row>
    <row r="5" customFormat="false" ht="15" hidden="false" customHeight="false" outlineLevel="0" collapsed="false">
      <c r="A5" s="8" t="s">
        <v>33</v>
      </c>
      <c r="B5" s="9" t="n">
        <v>14.26</v>
      </c>
    </row>
    <row r="6" customFormat="false" ht="15" hidden="false" customHeight="false" outlineLevel="0" collapsed="false">
      <c r="A6" s="8" t="s">
        <v>34</v>
      </c>
      <c r="B6" s="17" t="n">
        <v>4000</v>
      </c>
    </row>
    <row r="7" customFormat="false" ht="15" hidden="false" customHeight="false" outlineLevel="0" collapsed="false">
      <c r="A7" s="8" t="s">
        <v>35</v>
      </c>
      <c r="B7" s="17" t="n">
        <v>20000</v>
      </c>
    </row>
    <row r="8" customFormat="false" ht="15" hidden="false" customHeight="false" outlineLevel="0" collapsed="false">
      <c r="A8" s="8" t="s">
        <v>36</v>
      </c>
      <c r="B8" s="17" t="n">
        <v>125200</v>
      </c>
    </row>
    <row r="9" customFormat="false" ht="15" hidden="false" customHeight="false" outlineLevel="0" collapsed="false">
      <c r="A9" s="8" t="s">
        <v>37</v>
      </c>
      <c r="B9" s="18" t="n">
        <v>0.11</v>
      </c>
    </row>
    <row r="10" customFormat="false" ht="15" hidden="false" customHeight="false" outlineLevel="0" collapsed="false">
      <c r="A10" s="8" t="s">
        <v>38</v>
      </c>
      <c r="B10" s="18" t="n">
        <v>0.045</v>
      </c>
    </row>
    <row r="11" customFormat="false" ht="15" hidden="false" customHeight="false" outlineLevel="0" collapsed="false">
      <c r="A11" s="8" t="s">
        <v>39</v>
      </c>
      <c r="B11" s="19" t="n">
        <v>1.05</v>
      </c>
    </row>
    <row r="12" customFormat="false" ht="15" hidden="false" customHeight="false" outlineLevel="0" collapsed="false">
      <c r="A12" s="8" t="s">
        <v>40</v>
      </c>
      <c r="B12" s="18" t="n">
        <v>0.06</v>
      </c>
    </row>
    <row r="13" customFormat="false" ht="15" hidden="false" customHeight="false" outlineLevel="0" collapsed="false">
      <c r="A13" s="8" t="s">
        <v>41</v>
      </c>
      <c r="B13" s="14" t="n">
        <f aca="false">Assumptions!$B$10+Assumptions!$B$11*Assumptions!$B$12</f>
        <v>0.108</v>
      </c>
    </row>
    <row r="14" customFormat="false" ht="15" hidden="false" customHeight="false" outlineLevel="0" collapsed="false">
      <c r="A14" s="8" t="s">
        <v>42</v>
      </c>
      <c r="B14" s="18" t="n">
        <v>0.035</v>
      </c>
    </row>
    <row r="15" customFormat="false" ht="15" hidden="false" customHeight="false" outlineLevel="0" collapsed="false">
      <c r="A15" s="8" t="s">
        <v>43</v>
      </c>
      <c r="B15" s="20" t="n">
        <v>2.5</v>
      </c>
    </row>
    <row r="16" customFormat="false" ht="15" hidden="false" customHeight="false" outlineLevel="0" collapsed="false">
      <c r="A16" s="8" t="s">
        <v>44</v>
      </c>
      <c r="B16" s="18" t="n">
        <v>0.09</v>
      </c>
    </row>
    <row r="17" customFormat="false" ht="15" hidden="false" customHeight="false" outlineLevel="0" collapsed="false">
      <c r="A17" s="15" t="s">
        <v>45</v>
      </c>
      <c r="B17" s="16"/>
      <c r="C17" s="16"/>
      <c r="D17" s="16"/>
      <c r="E17" s="16"/>
      <c r="F17" s="16"/>
    </row>
    <row r="18" customFormat="false" ht="15" hidden="false" customHeight="false" outlineLevel="0" collapsed="false">
      <c r="A18" s="8" t="s">
        <v>46</v>
      </c>
      <c r="B18" s="18" t="n">
        <v>0.35</v>
      </c>
    </row>
    <row r="19" customFormat="false" ht="15" hidden="false" customHeight="false" outlineLevel="0" collapsed="false">
      <c r="A19" s="8" t="s">
        <v>47</v>
      </c>
      <c r="B19" s="18" t="n">
        <v>0.35</v>
      </c>
    </row>
    <row r="20" customFormat="false" ht="15" hidden="false" customHeight="false" outlineLevel="0" collapsed="false">
      <c r="A20" s="8" t="s">
        <v>48</v>
      </c>
      <c r="B20" s="18" t="n">
        <v>0.3</v>
      </c>
    </row>
    <row r="21" customFormat="false" ht="15" hidden="false" customHeight="false" outlineLevel="0" collapsed="false">
      <c r="A21" s="8" t="s">
        <v>49</v>
      </c>
      <c r="B21" s="18" t="n">
        <v>0.2</v>
      </c>
    </row>
    <row r="22" customFormat="false" ht="15" hidden="false" customHeight="false" outlineLevel="0" collapsed="false">
      <c r="A22" s="8" t="s">
        <v>50</v>
      </c>
      <c r="B22" s="18" t="n">
        <v>0.15</v>
      </c>
    </row>
    <row r="23" customFormat="false" ht="15" hidden="false" customHeight="false" outlineLevel="0" collapsed="false">
      <c r="A23" s="8" t="s">
        <v>51</v>
      </c>
      <c r="B23" s="17" t="n">
        <v>18000</v>
      </c>
    </row>
    <row r="24" customFormat="false" ht="15" hidden="false" customHeight="false" outlineLevel="0" collapsed="false">
      <c r="A24" s="8" t="s">
        <v>52</v>
      </c>
      <c r="B24" s="17" t="n">
        <v>-3000</v>
      </c>
    </row>
    <row r="25" customFormat="false" ht="15" hidden="false" customHeight="false" outlineLevel="0" collapsed="false">
      <c r="A25" s="15" t="s">
        <v>53</v>
      </c>
      <c r="B25" s="16"/>
      <c r="C25" s="16"/>
      <c r="D25" s="16"/>
      <c r="E25" s="16"/>
      <c r="F25" s="16"/>
    </row>
    <row r="26" customFormat="false" ht="15" hidden="false" customHeight="false" outlineLevel="0" collapsed="false">
      <c r="A26" s="8" t="s">
        <v>54</v>
      </c>
      <c r="B26" s="17" t="n">
        <v>9000</v>
      </c>
    </row>
    <row r="27" customFormat="false" ht="15" hidden="false" customHeight="false" outlineLevel="0" collapsed="false">
      <c r="A27" s="8" t="s">
        <v>55</v>
      </c>
      <c r="B27" s="20" t="n">
        <v>7.5</v>
      </c>
    </row>
    <row r="28" customFormat="false" ht="15" hidden="false" customHeight="false" outlineLevel="0" collapsed="false">
      <c r="A28" s="8" t="s">
        <v>56</v>
      </c>
      <c r="B28" s="20" t="n">
        <v>7</v>
      </c>
    </row>
    <row r="29" customFormat="false" ht="15" hidden="false" customHeight="false" outlineLevel="0" collapsed="false">
      <c r="A29" s="8" t="s">
        <v>57</v>
      </c>
      <c r="B29" s="9" t="n">
        <v>2.25</v>
      </c>
    </row>
    <row r="30" customFormat="false" ht="15" hidden="false" customHeight="false" outlineLevel="0" collapsed="false">
      <c r="A30" s="15" t="s">
        <v>58</v>
      </c>
      <c r="B30" s="16"/>
      <c r="C30" s="16"/>
      <c r="D30" s="16"/>
      <c r="E30" s="16"/>
      <c r="F30" s="16"/>
    </row>
    <row r="31" customFormat="false" ht="15" hidden="false" customHeight="false" outlineLevel="0" collapsed="false">
      <c r="A31" s="8" t="s">
        <v>59</v>
      </c>
      <c r="B31" s="18" t="n">
        <v>0.4</v>
      </c>
    </row>
    <row r="32" customFormat="false" ht="15" hidden="false" customHeight="false" outlineLevel="0" collapsed="false">
      <c r="A32" s="8" t="s">
        <v>60</v>
      </c>
      <c r="B32" s="18" t="n">
        <v>0.2</v>
      </c>
    </row>
    <row r="33" customFormat="false" ht="15" hidden="false" customHeight="false" outlineLevel="0" collapsed="false">
      <c r="A33" s="8" t="s">
        <v>61</v>
      </c>
      <c r="B33" s="18" t="n">
        <v>0.15</v>
      </c>
    </row>
    <row r="34" customFormat="false" ht="15" hidden="false" customHeight="false" outlineLevel="0" collapsed="false">
      <c r="A34" s="8" t="s">
        <v>62</v>
      </c>
      <c r="B34" s="18" t="n">
        <v>0.25</v>
      </c>
    </row>
    <row r="35" customFormat="false" ht="15" hidden="false" customHeight="false" outlineLevel="0" collapsed="false">
      <c r="A35" s="15" t="s">
        <v>63</v>
      </c>
      <c r="B35" s="16"/>
      <c r="C35" s="15" t="s">
        <v>64</v>
      </c>
      <c r="D35" s="15" t="s">
        <v>65</v>
      </c>
      <c r="E35" s="15" t="s">
        <v>66</v>
      </c>
      <c r="F35" s="15" t="s">
        <v>67</v>
      </c>
      <c r="G35" s="12" t="s">
        <v>68</v>
      </c>
    </row>
    <row r="36" customFormat="false" ht="15" hidden="false" customHeight="false" outlineLevel="0" collapsed="false">
      <c r="A36" s="8" t="s">
        <v>69</v>
      </c>
      <c r="C36" s="17" t="n">
        <v>30000</v>
      </c>
      <c r="D36" s="17" t="n">
        <v>32000</v>
      </c>
      <c r="E36" s="17" t="n">
        <v>31000</v>
      </c>
      <c r="F36" s="17" t="n">
        <v>29000</v>
      </c>
      <c r="G36" s="17" t="n">
        <v>28000</v>
      </c>
    </row>
    <row r="37" customFormat="false" ht="15" hidden="false" customHeight="false" outlineLevel="0" collapsed="false">
      <c r="A37" s="8" t="s">
        <v>70</v>
      </c>
      <c r="C37" s="18" t="n">
        <v>0.51</v>
      </c>
      <c r="D37" s="18" t="n">
        <v>0.49</v>
      </c>
      <c r="E37" s="18" t="n">
        <v>0.475</v>
      </c>
      <c r="F37" s="18" t="n">
        <v>0.46</v>
      </c>
      <c r="G37" s="18" t="n">
        <v>0.45</v>
      </c>
    </row>
    <row r="38" customFormat="false" ht="15" hidden="false" customHeight="false" outlineLevel="0" collapsed="false">
      <c r="A38" s="8" t="s">
        <v>71</v>
      </c>
      <c r="C38" s="18" t="n">
        <v>0.03</v>
      </c>
      <c r="D38" s="18" t="n">
        <v>0.03</v>
      </c>
      <c r="E38" s="18" t="n">
        <v>0.03</v>
      </c>
      <c r="F38" s="18" t="n">
        <v>0.03</v>
      </c>
      <c r="G38" s="18" t="n">
        <v>0.03</v>
      </c>
    </row>
    <row r="39" customFormat="false" ht="15" hidden="false" customHeight="false" outlineLevel="0" collapsed="false">
      <c r="A39" s="8" t="s">
        <v>72</v>
      </c>
      <c r="C39" s="18" t="n">
        <v>0.02</v>
      </c>
      <c r="D39" s="18" t="n">
        <v>0.02</v>
      </c>
      <c r="E39" s="18" t="n">
        <v>0.02</v>
      </c>
      <c r="F39" s="18" t="n">
        <v>0.02</v>
      </c>
      <c r="G39" s="18" t="n">
        <v>0.02</v>
      </c>
    </row>
    <row r="40" customFormat="false" ht="15" hidden="false" customHeight="false" outlineLevel="0" collapsed="false">
      <c r="A40" s="8" t="s">
        <v>73</v>
      </c>
      <c r="C40" s="17" t="n">
        <v>4000</v>
      </c>
      <c r="D40" s="17" t="n">
        <v>3500</v>
      </c>
      <c r="E40" s="17" t="n">
        <v>3000</v>
      </c>
      <c r="F40" s="17" t="n">
        <v>3000</v>
      </c>
      <c r="G40" s="17" t="n">
        <v>3000</v>
      </c>
    </row>
    <row r="41" customFormat="false" ht="15" hidden="false" customHeight="false" outlineLevel="0" collapsed="false">
      <c r="A41" s="8" t="s">
        <v>74</v>
      </c>
      <c r="C41" s="17" t="n">
        <v>-1500</v>
      </c>
      <c r="D41" s="17" t="n">
        <v>-1000</v>
      </c>
      <c r="E41" s="17" t="n">
        <v>0</v>
      </c>
      <c r="F41" s="17" t="n">
        <v>1000</v>
      </c>
      <c r="G41" s="17" t="n">
        <v>1500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4" t="s">
        <v>75</v>
      </c>
    </row>
    <row r="2" customFormat="false" ht="15" hidden="false" customHeight="false" outlineLevel="0" collapsed="false">
      <c r="A2" s="5" t="s">
        <v>76</v>
      </c>
    </row>
    <row r="4" customFormat="false" ht="15" hidden="false" customHeight="false" outlineLevel="0" collapsed="false">
      <c r="A4" s="6" t="s">
        <v>77</v>
      </c>
      <c r="B4" s="7" t="s">
        <v>78</v>
      </c>
    </row>
    <row r="5" customFormat="false" ht="15" hidden="false" customHeight="false" outlineLevel="0" collapsed="false">
      <c r="A5" s="8" t="s">
        <v>79</v>
      </c>
      <c r="B5" s="21" t="n">
        <f aca="false">Assumptions!$B$19/(1+Assumptions!$B$9)^1+Assumptions!$B$20/(1+Assumptions!$B$9)^2+Assumptions!$B$21/(1+Assumptions!$B$9)^3+Assumptions!$B$22/(1+Assumptions!$B$9)^4</f>
        <v>0.803849967670472</v>
      </c>
    </row>
    <row r="6" customFormat="false" ht="15" hidden="false" customHeight="false" outlineLevel="0" collapsed="false">
      <c r="A6" s="8" t="s">
        <v>80</v>
      </c>
      <c r="B6" s="22" t="n">
        <f aca="false">Assumptions!$B$7</f>
        <v>20000</v>
      </c>
    </row>
    <row r="7" customFormat="false" ht="15" hidden="false" customHeight="false" outlineLevel="0" collapsed="false">
      <c r="A7" s="8" t="s">
        <v>81</v>
      </c>
      <c r="B7" s="22" t="n">
        <f aca="false">Assumptions!$B$8*Assumptions!$B$18*B5</f>
        <v>35224.7055833201</v>
      </c>
    </row>
    <row r="8" customFormat="false" ht="15" hidden="false" customHeight="false" outlineLevel="0" collapsed="false">
      <c r="A8" s="8" t="s">
        <v>51</v>
      </c>
      <c r="B8" s="22" t="n">
        <f aca="false">Assumptions!$B$23</f>
        <v>18000</v>
      </c>
    </row>
    <row r="9" customFormat="false" ht="15" hidden="false" customHeight="false" outlineLevel="0" collapsed="false">
      <c r="A9" s="8" t="s">
        <v>82</v>
      </c>
      <c r="B9" s="22" t="n">
        <f aca="false">Assumptions!$B$24</f>
        <v>-3000</v>
      </c>
    </row>
    <row r="10" customFormat="false" ht="15" hidden="false" customHeight="false" outlineLevel="0" collapsed="false">
      <c r="A10" s="12" t="s">
        <v>83</v>
      </c>
      <c r="B10" s="23" t="n">
        <f aca="false">B6+B7+B8+B9</f>
        <v>70224.7055833201</v>
      </c>
    </row>
    <row r="11" customFormat="false" ht="15" hidden="false" customHeight="false" outlineLevel="0" collapsed="false">
      <c r="A11" s="12" t="s">
        <v>84</v>
      </c>
      <c r="B11" s="13" t="n">
        <f aca="false">B10/Assumptions!$B$6</f>
        <v>17.55617639583</v>
      </c>
    </row>
    <row r="13" customFormat="false" ht="15" hidden="false" customHeight="false" outlineLevel="0" collapsed="false">
      <c r="A13" s="5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4" t="s">
        <v>86</v>
      </c>
    </row>
    <row r="2" customFormat="false" ht="15" hidden="false" customHeight="false" outlineLevel="0" collapsed="false">
      <c r="A2" s="5" t="s">
        <v>87</v>
      </c>
    </row>
    <row r="4" customFormat="false" ht="15" hidden="false" customHeight="false" outlineLevel="0" collapsed="false">
      <c r="A4" s="6" t="s">
        <v>88</v>
      </c>
      <c r="B4" s="7" t="s">
        <v>89</v>
      </c>
      <c r="C4" s="7" t="s">
        <v>90</v>
      </c>
      <c r="D4" s="7" t="s">
        <v>91</v>
      </c>
      <c r="E4" s="7" t="s">
        <v>92</v>
      </c>
    </row>
    <row r="5" customFormat="false" ht="15" hidden="false" customHeight="false" outlineLevel="0" collapsed="false">
      <c r="A5" s="8" t="s">
        <v>93</v>
      </c>
      <c r="B5" s="24" t="s">
        <v>94</v>
      </c>
      <c r="C5" s="24" t="s">
        <v>95</v>
      </c>
      <c r="D5" s="24" t="s">
        <v>96</v>
      </c>
      <c r="E5" s="24" t="s">
        <v>97</v>
      </c>
    </row>
    <row r="6" customFormat="false" ht="15" hidden="false" customHeight="false" outlineLevel="0" collapsed="false">
      <c r="A6" s="8" t="s">
        <v>98</v>
      </c>
      <c r="B6" s="24" t="s">
        <v>99</v>
      </c>
      <c r="C6" s="24" t="s">
        <v>100</v>
      </c>
      <c r="D6" s="24" t="s">
        <v>94</v>
      </c>
      <c r="E6" s="24" t="s">
        <v>101</v>
      </c>
    </row>
    <row r="7" customFormat="false" ht="15" hidden="false" customHeight="false" outlineLevel="0" collapsed="false">
      <c r="A7" s="8" t="s">
        <v>102</v>
      </c>
      <c r="B7" s="24" t="s">
        <v>94</v>
      </c>
      <c r="C7" s="24" t="s">
        <v>103</v>
      </c>
      <c r="D7" s="24" t="s">
        <v>94</v>
      </c>
      <c r="E7" s="24" t="s">
        <v>104</v>
      </c>
    </row>
    <row r="8" customFormat="false" ht="15" hidden="false" customHeight="false" outlineLevel="0" collapsed="false">
      <c r="A8" s="8" t="s">
        <v>105</v>
      </c>
      <c r="B8" s="24" t="s">
        <v>99</v>
      </c>
      <c r="C8" s="24" t="s">
        <v>106</v>
      </c>
      <c r="D8" s="24" t="s">
        <v>107</v>
      </c>
      <c r="E8" s="24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4" t="s">
        <v>109</v>
      </c>
    </row>
    <row r="2" customFormat="false" ht="15" hidden="false" customHeight="false" outlineLevel="0" collapsed="false">
      <c r="A2" s="5" t="s">
        <v>110</v>
      </c>
    </row>
    <row r="4" customFormat="false" ht="15" hidden="false" customHeight="false" outlineLevel="0" collapsed="false">
      <c r="A4" s="12" t="s">
        <v>111</v>
      </c>
    </row>
    <row r="5" customFormat="false" ht="15" hidden="false" customHeight="false" outlineLevel="0" collapsed="false">
      <c r="A5" s="8" t="s">
        <v>57</v>
      </c>
      <c r="B5" s="10" t="n">
        <f aca="false">Assumptions!$B$29</f>
        <v>2.25</v>
      </c>
    </row>
    <row r="6" customFormat="false" ht="15" hidden="false" customHeight="false" outlineLevel="0" collapsed="false">
      <c r="A6" s="8" t="s">
        <v>112</v>
      </c>
      <c r="B6" s="25" t="n">
        <f aca="false">Assumptions!$B$28</f>
        <v>7</v>
      </c>
    </row>
    <row r="7" customFormat="false" ht="15" hidden="false" customHeight="false" outlineLevel="0" collapsed="false">
      <c r="A7" s="12" t="s">
        <v>113</v>
      </c>
      <c r="B7" s="26" t="n">
        <f aca="false">B5*B6</f>
        <v>15.75</v>
      </c>
    </row>
    <row r="9" customFormat="false" ht="15" hidden="false" customHeight="false" outlineLevel="0" collapsed="false">
      <c r="A9" s="12" t="s">
        <v>114</v>
      </c>
    </row>
    <row r="10" customFormat="false" ht="15" hidden="false" customHeight="false" outlineLevel="0" collapsed="false">
      <c r="A10" s="8" t="s">
        <v>115</v>
      </c>
      <c r="B10" s="27" t="n">
        <f aca="false">Assumptions!$B$26</f>
        <v>9000</v>
      </c>
    </row>
    <row r="11" customFormat="false" ht="15" hidden="false" customHeight="false" outlineLevel="0" collapsed="false">
      <c r="A11" s="8" t="s">
        <v>116</v>
      </c>
      <c r="B11" s="25" t="n">
        <f aca="false">Assumptions!$B$27</f>
        <v>7.5</v>
      </c>
    </row>
    <row r="12" customFormat="false" ht="15" hidden="false" customHeight="false" outlineLevel="0" collapsed="false">
      <c r="A12" s="12" t="s">
        <v>117</v>
      </c>
      <c r="B12" s="26" t="n">
        <f aca="false">(B10/Assumptions!$B$6)*B11</f>
        <v>16.875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4" t="s">
        <v>118</v>
      </c>
    </row>
    <row r="2" customFormat="false" ht="15" hidden="false" customHeight="false" outlineLevel="0" collapsed="false">
      <c r="A2" s="5" t="s">
        <v>119</v>
      </c>
    </row>
    <row r="3" customFormat="false" ht="15" hidden="false" customHeight="false" outlineLevel="0" collapsed="false">
      <c r="A3" s="28"/>
      <c r="B3" s="7" t="s">
        <v>64</v>
      </c>
      <c r="C3" s="7" t="s">
        <v>65</v>
      </c>
      <c r="D3" s="7" t="s">
        <v>66</v>
      </c>
      <c r="E3" s="7" t="s">
        <v>67</v>
      </c>
      <c r="F3" s="7" t="s">
        <v>68</v>
      </c>
    </row>
    <row r="4" customFormat="false" ht="15" hidden="false" customHeight="false" outlineLevel="0" collapsed="false">
      <c r="A4" s="8" t="s">
        <v>120</v>
      </c>
      <c r="B4" s="27" t="n">
        <f aca="false">'Income Statement'!E4</f>
        <v>30000</v>
      </c>
      <c r="C4" s="27" t="n">
        <f aca="false">'Income Statement'!F4</f>
        <v>32000</v>
      </c>
      <c r="D4" s="27" t="n">
        <f aca="false">'Income Statement'!G4</f>
        <v>31000</v>
      </c>
      <c r="E4" s="27" t="n">
        <f aca="false">'Income Statement'!H4</f>
        <v>29000</v>
      </c>
      <c r="F4" s="27" t="n">
        <f aca="false">'Income Statement'!I4</f>
        <v>28000</v>
      </c>
    </row>
    <row r="5" customFormat="false" ht="15" hidden="false" customHeight="false" outlineLevel="0" collapsed="false">
      <c r="A5" s="12" t="s">
        <v>121</v>
      </c>
      <c r="B5" s="27" t="n">
        <f aca="false">'Income Statement'!E8</f>
        <v>15300</v>
      </c>
      <c r="C5" s="27" t="n">
        <f aca="false">'Income Statement'!F8</f>
        <v>15680</v>
      </c>
      <c r="D5" s="27" t="n">
        <f aca="false">'Income Statement'!G8</f>
        <v>14725</v>
      </c>
      <c r="E5" s="27" t="n">
        <f aca="false">'Income Statement'!H8</f>
        <v>13340</v>
      </c>
      <c r="F5" s="27" t="n">
        <f aca="false">'Income Statement'!I8</f>
        <v>12600</v>
      </c>
    </row>
    <row r="6" customFormat="false" ht="15" hidden="false" customHeight="false" outlineLevel="0" collapsed="false">
      <c r="A6" s="8" t="s">
        <v>122</v>
      </c>
      <c r="B6" s="27" t="n">
        <f aca="false">'Income Statement'!E9</f>
        <v>900</v>
      </c>
      <c r="C6" s="27" t="n">
        <f aca="false">'Income Statement'!F9</f>
        <v>960</v>
      </c>
      <c r="D6" s="27" t="n">
        <f aca="false">'Income Statement'!G9</f>
        <v>930</v>
      </c>
      <c r="E6" s="27" t="n">
        <f aca="false">'Income Statement'!H9</f>
        <v>870</v>
      </c>
      <c r="F6" s="27" t="n">
        <f aca="false">'Income Statement'!I9</f>
        <v>840</v>
      </c>
    </row>
    <row r="7" customFormat="false" ht="15" hidden="false" customHeight="false" outlineLevel="0" collapsed="false">
      <c r="A7" s="12" t="s">
        <v>123</v>
      </c>
      <c r="B7" s="29" t="n">
        <f aca="false">B5-B6</f>
        <v>14400</v>
      </c>
      <c r="C7" s="29" t="n">
        <f aca="false">C5-C6</f>
        <v>14720</v>
      </c>
      <c r="D7" s="29" t="n">
        <f aca="false">D5-D6</f>
        <v>13795</v>
      </c>
      <c r="E7" s="29" t="n">
        <f aca="false">E5-E6</f>
        <v>12470</v>
      </c>
      <c r="F7" s="29" t="n">
        <f aca="false">F5-F6</f>
        <v>11760</v>
      </c>
    </row>
    <row r="8" customFormat="false" ht="15" hidden="false" customHeight="false" outlineLevel="0" collapsed="false">
      <c r="A8" s="8" t="s">
        <v>124</v>
      </c>
      <c r="B8" s="29" t="n">
        <f aca="false">B7*(1-Assumptions!$B$16)</f>
        <v>13104</v>
      </c>
      <c r="C8" s="29" t="n">
        <f aca="false">C7*(1-Assumptions!$B$16)</f>
        <v>13395.2</v>
      </c>
      <c r="D8" s="29" t="n">
        <f aca="false">D7*(1-Assumptions!$B$16)</f>
        <v>12553.45</v>
      </c>
      <c r="E8" s="29" t="n">
        <f aca="false">E7*(1-Assumptions!$B$16)</f>
        <v>11347.7</v>
      </c>
      <c r="F8" s="29" t="n">
        <f aca="false">F7*(1-Assumptions!$B$16)</f>
        <v>10701.6</v>
      </c>
    </row>
    <row r="9" customFormat="false" ht="15" hidden="false" customHeight="false" outlineLevel="0" collapsed="false">
      <c r="A9" s="8" t="s">
        <v>125</v>
      </c>
      <c r="B9" s="29" t="n">
        <f aca="false">B6</f>
        <v>900</v>
      </c>
      <c r="C9" s="29" t="n">
        <f aca="false">C6</f>
        <v>960</v>
      </c>
      <c r="D9" s="29" t="n">
        <f aca="false">D6</f>
        <v>930</v>
      </c>
      <c r="E9" s="29" t="n">
        <f aca="false">E6</f>
        <v>870</v>
      </c>
      <c r="F9" s="29" t="n">
        <f aca="false">F6</f>
        <v>840</v>
      </c>
    </row>
    <row r="10" customFormat="false" ht="15" hidden="false" customHeight="false" outlineLevel="0" collapsed="false">
      <c r="A10" s="8" t="s">
        <v>126</v>
      </c>
      <c r="B10" s="29" t="n">
        <f aca="false">-B4*Assumptions!C$39</f>
        <v>-600</v>
      </c>
      <c r="C10" s="29" t="n">
        <f aca="false">-C4*Assumptions!D$39</f>
        <v>-640</v>
      </c>
      <c r="D10" s="29" t="n">
        <f aca="false">-D4*Assumptions!E$39</f>
        <v>-620</v>
      </c>
      <c r="E10" s="29" t="n">
        <f aca="false">-E4*Assumptions!F$39</f>
        <v>-580</v>
      </c>
      <c r="F10" s="29" t="n">
        <f aca="false">-F4*Assumptions!G$39</f>
        <v>-560</v>
      </c>
    </row>
    <row r="11" customFormat="false" ht="15" hidden="false" customHeight="false" outlineLevel="0" collapsed="false">
      <c r="A11" s="8" t="s">
        <v>127</v>
      </c>
      <c r="B11" s="29" t="n">
        <f aca="false">-Assumptions!C$40</f>
        <v>-4000</v>
      </c>
      <c r="C11" s="29" t="n">
        <f aca="false">-Assumptions!D$40</f>
        <v>-3500</v>
      </c>
      <c r="D11" s="29" t="n">
        <f aca="false">-Assumptions!E$40</f>
        <v>-3000</v>
      </c>
      <c r="E11" s="29" t="n">
        <f aca="false">-Assumptions!F$40</f>
        <v>-3000</v>
      </c>
      <c r="F11" s="29" t="n">
        <f aca="false">-Assumptions!G$40</f>
        <v>-3000</v>
      </c>
    </row>
    <row r="12" customFormat="false" ht="15" hidden="false" customHeight="false" outlineLevel="0" collapsed="false">
      <c r="A12" s="8" t="s">
        <v>128</v>
      </c>
      <c r="B12" s="29" t="n">
        <f aca="false">-Assumptions!C$41</f>
        <v>1500</v>
      </c>
      <c r="C12" s="29" t="n">
        <f aca="false">-Assumptions!D$41</f>
        <v>1000</v>
      </c>
      <c r="D12" s="29" t="n">
        <f aca="false">-Assumptions!E$41</f>
        <v>-0</v>
      </c>
      <c r="E12" s="29" t="n">
        <f aca="false">-Assumptions!F$41</f>
        <v>-1000</v>
      </c>
      <c r="F12" s="29" t="n">
        <f aca="false">-Assumptions!G$41</f>
        <v>-1500</v>
      </c>
    </row>
    <row r="13" customFormat="false" ht="15" hidden="false" customHeight="false" outlineLevel="0" collapsed="false">
      <c r="A13" s="12" t="s">
        <v>129</v>
      </c>
      <c r="B13" s="29" t="n">
        <f aca="false">B8+B9+B10+B11+B12</f>
        <v>10904</v>
      </c>
      <c r="C13" s="29" t="n">
        <f aca="false">C8+C9+C10+C11+C12</f>
        <v>11215.2</v>
      </c>
      <c r="D13" s="29" t="n">
        <f aca="false">D8+D9+D10+D11+D12</f>
        <v>9863.45</v>
      </c>
      <c r="E13" s="29" t="n">
        <f aca="false">E8+E9+E10+E11+E12</f>
        <v>7637.7</v>
      </c>
      <c r="F13" s="29" t="n">
        <f aca="false">F8+F9+F10+F11+F12</f>
        <v>6481.6</v>
      </c>
    </row>
    <row r="14" customFormat="false" ht="15" hidden="false" customHeight="false" outlineLevel="0" collapsed="false">
      <c r="A14" s="8" t="s">
        <v>130</v>
      </c>
      <c r="B14" s="30" t="n">
        <f aca="false">1/(1+Assumptions!$B$9)^1</f>
        <v>0.900900900900901</v>
      </c>
      <c r="C14" s="30" t="n">
        <f aca="false">1/(1+Assumptions!$B$9)^2</f>
        <v>0.811622433244055</v>
      </c>
      <c r="D14" s="30" t="n">
        <f aca="false">1/(1+Assumptions!$B$9)^3</f>
        <v>0.73119138130095</v>
      </c>
      <c r="E14" s="30" t="n">
        <f aca="false">1/(1+Assumptions!$B$9)^4</f>
        <v>0.658730974145</v>
      </c>
      <c r="F14" s="30" t="n">
        <f aca="false">1/(1+Assumptions!$B$9)^5</f>
        <v>0.593451328058559</v>
      </c>
    </row>
    <row r="15" customFormat="false" ht="15" hidden="false" customHeight="false" outlineLevel="0" collapsed="false">
      <c r="A15" s="12" t="s">
        <v>131</v>
      </c>
      <c r="B15" s="29" t="n">
        <f aca="false">B13*B14</f>
        <v>9823.42342342342</v>
      </c>
      <c r="C15" s="29" t="n">
        <f aca="false">C13*C14</f>
        <v>9102.50791331872</v>
      </c>
      <c r="D15" s="29" t="n">
        <f aca="false">D13*D14</f>
        <v>7212.06962989286</v>
      </c>
      <c r="E15" s="29" t="n">
        <f aca="false">E13*E14</f>
        <v>5031.18956122727</v>
      </c>
      <c r="F15" s="29" t="n">
        <f aca="false">F13*F14</f>
        <v>3846.51412794435</v>
      </c>
    </row>
    <row r="17" customFormat="false" ht="15" hidden="false" customHeight="false" outlineLevel="0" collapsed="false">
      <c r="A17" s="8" t="s">
        <v>132</v>
      </c>
      <c r="B17" s="29" t="n">
        <f aca="false">SUM(B15:F15)</f>
        <v>35015.7046558066</v>
      </c>
    </row>
    <row r="18" customFormat="false" ht="15" hidden="false" customHeight="false" outlineLevel="0" collapsed="false">
      <c r="A18" s="8" t="s">
        <v>133</v>
      </c>
      <c r="B18" s="29" t="n">
        <f aca="false">F5</f>
        <v>12600</v>
      </c>
    </row>
    <row r="19" customFormat="false" ht="15" hidden="false" customHeight="false" outlineLevel="0" collapsed="false">
      <c r="A19" s="8" t="s">
        <v>134</v>
      </c>
      <c r="B19" s="29" t="n">
        <f aca="false">B18*Assumptions!$B$15</f>
        <v>31500</v>
      </c>
    </row>
    <row r="20" customFormat="false" ht="15" hidden="false" customHeight="false" outlineLevel="0" collapsed="false">
      <c r="A20" s="8" t="s">
        <v>135</v>
      </c>
      <c r="B20" s="29" t="n">
        <f aca="false">B19/(1+Assumptions!$B$9)^5</f>
        <v>18693.7168338446</v>
      </c>
    </row>
    <row r="21" customFormat="false" ht="15" hidden="false" customHeight="false" outlineLevel="0" collapsed="false">
      <c r="A21" s="12" t="s">
        <v>136</v>
      </c>
      <c r="B21" s="29" t="n">
        <f aca="false">B17+B20</f>
        <v>53709.4214896512</v>
      </c>
    </row>
    <row r="22" customFormat="false" ht="15" hidden="false" customHeight="false" outlineLevel="0" collapsed="false">
      <c r="A22" s="8" t="s">
        <v>137</v>
      </c>
      <c r="B22" s="29" t="n">
        <f aca="false">Assumptions!$B$7</f>
        <v>20000</v>
      </c>
    </row>
    <row r="23" customFormat="false" ht="15" hidden="false" customHeight="false" outlineLevel="0" collapsed="false">
      <c r="A23" s="12" t="s">
        <v>138</v>
      </c>
      <c r="B23" s="29" t="n">
        <f aca="false">B21+B22</f>
        <v>73709.4214896512</v>
      </c>
    </row>
    <row r="24" customFormat="false" ht="15" hidden="false" customHeight="false" outlineLevel="0" collapsed="false">
      <c r="A24" s="12" t="s">
        <v>139</v>
      </c>
      <c r="B24" s="31" t="n">
        <f aca="false">B23/Assumptions!$B$6</f>
        <v>18.4273553724128</v>
      </c>
    </row>
    <row r="25" customFormat="false" ht="15" hidden="false" customHeight="false" outlineLevel="0" collapsed="false">
      <c r="A25" s="8" t="s">
        <v>140</v>
      </c>
      <c r="B25" s="14" t="n">
        <f aca="false">B20/B21</f>
        <v>0.348052842785628</v>
      </c>
    </row>
    <row r="26" customFormat="false" ht="15" hidden="false" customHeight="false" outlineLevel="0" collapsed="false">
      <c r="A26" s="8" t="s">
        <v>141</v>
      </c>
      <c r="B26" s="31" t="n">
        <f aca="false">(B17+(F13*(1+Assumptions!$B$14)/(Assumptions!$B$9-Assumptions!$B$14))/(1+Assumptions!$B$9)^5+Assumptions!$B$7)/Assumptions!$B$6</f>
        <v>27.0243999053597</v>
      </c>
    </row>
    <row r="28" customFormat="false" ht="15" hidden="false" customHeight="false" outlineLevel="0" collapsed="false">
      <c r="A28" s="5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4" t="s">
        <v>143</v>
      </c>
    </row>
    <row r="2" customFormat="false" ht="15" hidden="false" customHeight="false" outlineLevel="0" collapsed="false">
      <c r="A2" s="5" t="s">
        <v>144</v>
      </c>
    </row>
    <row r="3" customFormat="false" ht="15" hidden="false" customHeight="false" outlineLevel="0" collapsed="false">
      <c r="A3" s="6" t="s">
        <v>145</v>
      </c>
      <c r="B3" s="7" t="s">
        <v>146</v>
      </c>
      <c r="C3" s="7" t="s">
        <v>147</v>
      </c>
      <c r="D3" s="7" t="s">
        <v>148</v>
      </c>
      <c r="E3" s="7" t="s">
        <v>64</v>
      </c>
      <c r="F3" s="7" t="s">
        <v>65</v>
      </c>
      <c r="G3" s="7" t="s">
        <v>66</v>
      </c>
      <c r="H3" s="7" t="s">
        <v>67</v>
      </c>
      <c r="I3" s="7" t="s">
        <v>68</v>
      </c>
    </row>
    <row r="4" customFormat="false" ht="15" hidden="false" customHeight="false" outlineLevel="0" collapsed="false">
      <c r="A4" s="8" t="s">
        <v>120</v>
      </c>
      <c r="B4" s="17" t="n">
        <v>11921</v>
      </c>
      <c r="C4" s="17" t="n">
        <v>19147</v>
      </c>
      <c r="D4" s="17" t="n">
        <v>27486</v>
      </c>
      <c r="E4" s="27" t="n">
        <f aca="false">Assumptions!C$36</f>
        <v>30000</v>
      </c>
      <c r="F4" s="27" t="n">
        <f aca="false">Assumptions!D$36</f>
        <v>32000</v>
      </c>
      <c r="G4" s="27" t="n">
        <f aca="false">Assumptions!E$36</f>
        <v>31000</v>
      </c>
      <c r="H4" s="27" t="n">
        <f aca="false">Assumptions!F$36</f>
        <v>29000</v>
      </c>
      <c r="I4" s="27" t="n">
        <f aca="false">Assumptions!G$36</f>
        <v>28000</v>
      </c>
    </row>
    <row r="5" customFormat="false" ht="15" hidden="false" customHeight="false" outlineLevel="0" collapsed="false">
      <c r="A5" s="8" t="s">
        <v>149</v>
      </c>
      <c r="B5" s="17" t="n">
        <v>-3513</v>
      </c>
      <c r="C5" s="17" t="n">
        <v>-8490</v>
      </c>
      <c r="D5" s="17" t="n">
        <v>-11948</v>
      </c>
      <c r="E5" s="29" t="n">
        <f aca="false">-(E4-E6)</f>
        <v>-13050</v>
      </c>
      <c r="F5" s="29" t="n">
        <f aca="false">-(F4-F6)</f>
        <v>-13920</v>
      </c>
      <c r="G5" s="29" t="n">
        <f aca="false">-(G4-G6)</f>
        <v>-13485</v>
      </c>
      <c r="H5" s="29" t="n">
        <f aca="false">-(H4-H6)</f>
        <v>-12615</v>
      </c>
      <c r="I5" s="29" t="n">
        <f aca="false">-(I4-I6)</f>
        <v>-12180</v>
      </c>
    </row>
    <row r="6" customFormat="false" ht="15" hidden="false" customHeight="false" outlineLevel="0" collapsed="false">
      <c r="A6" s="12" t="s">
        <v>150</v>
      </c>
      <c r="B6" s="23" t="n">
        <v>8408</v>
      </c>
      <c r="C6" s="23" t="n">
        <v>10657</v>
      </c>
      <c r="D6" s="23" t="n">
        <v>15537</v>
      </c>
      <c r="E6" s="23" t="n">
        <f aca="false">E4*0.565</f>
        <v>16950</v>
      </c>
      <c r="F6" s="23" t="n">
        <f aca="false">F4*0.565</f>
        <v>18080</v>
      </c>
      <c r="G6" s="23" t="n">
        <f aca="false">G4*0.565</f>
        <v>17515</v>
      </c>
      <c r="H6" s="23" t="n">
        <f aca="false">H4*0.565</f>
        <v>16385</v>
      </c>
      <c r="I6" s="23" t="n">
        <f aca="false">I4*0.565</f>
        <v>15820</v>
      </c>
    </row>
    <row r="7" customFormat="false" ht="15" hidden="false" customHeight="false" outlineLevel="0" collapsed="false">
      <c r="A7" s="8" t="s">
        <v>151</v>
      </c>
      <c r="B7" s="17" t="n">
        <v>-1183</v>
      </c>
      <c r="C7" s="17" t="n">
        <v>-1609</v>
      </c>
      <c r="D7" s="17" t="n">
        <v>-2119</v>
      </c>
      <c r="E7" s="29" t="n">
        <f aca="false">-(E6-E10-E9)</f>
        <v>-1650</v>
      </c>
      <c r="F7" s="29" t="n">
        <f aca="false">-(F6-F10-F9)</f>
        <v>-2400</v>
      </c>
      <c r="G7" s="29" t="n">
        <f aca="false">-(G6-G10-G9)</f>
        <v>-2790</v>
      </c>
      <c r="H7" s="29" t="n">
        <f aca="false">-(H6-H10-H9)</f>
        <v>-3045</v>
      </c>
      <c r="I7" s="29" t="n">
        <f aca="false">-(I6-I10-I9)</f>
        <v>-3220</v>
      </c>
    </row>
    <row r="8" customFormat="false" ht="15" hidden="false" customHeight="false" outlineLevel="0" collapsed="false">
      <c r="A8" s="12" t="s">
        <v>121</v>
      </c>
      <c r="B8" s="23" t="n">
        <v>8000</v>
      </c>
      <c r="C8" s="23" t="n">
        <v>9600</v>
      </c>
      <c r="D8" s="23" t="n">
        <v>14300</v>
      </c>
      <c r="E8" s="23" t="n">
        <f aca="false">E4*Assumptions!C$37</f>
        <v>15300</v>
      </c>
      <c r="F8" s="23" t="n">
        <f aca="false">F4*Assumptions!D$37</f>
        <v>15680</v>
      </c>
      <c r="G8" s="23" t="n">
        <f aca="false">G4*Assumptions!E$37</f>
        <v>14725</v>
      </c>
      <c r="H8" s="23" t="n">
        <f aca="false">H4*Assumptions!F$37</f>
        <v>13340</v>
      </c>
      <c r="I8" s="23" t="n">
        <f aca="false">I4*Assumptions!G$37</f>
        <v>12600</v>
      </c>
    </row>
    <row r="9" customFormat="false" ht="15" hidden="false" customHeight="false" outlineLevel="0" collapsed="false">
      <c r="A9" s="8" t="s">
        <v>122</v>
      </c>
      <c r="B9" s="17" t="n">
        <v>775</v>
      </c>
      <c r="C9" s="17" t="n">
        <v>553</v>
      </c>
      <c r="D9" s="17" t="n">
        <v>881</v>
      </c>
      <c r="E9" s="29" t="n">
        <f aca="false">E4*Assumptions!C$38</f>
        <v>900</v>
      </c>
      <c r="F9" s="29" t="n">
        <f aca="false">F4*Assumptions!D$38</f>
        <v>960</v>
      </c>
      <c r="G9" s="29" t="n">
        <f aca="false">G4*Assumptions!E$38</f>
        <v>930</v>
      </c>
      <c r="H9" s="29" t="n">
        <f aca="false">H4*Assumptions!F$38</f>
        <v>870</v>
      </c>
      <c r="I9" s="29" t="n">
        <f aca="false">I4*Assumptions!G$38</f>
        <v>840</v>
      </c>
    </row>
    <row r="10" customFormat="false" ht="15" hidden="false" customHeight="false" outlineLevel="0" collapsed="false">
      <c r="A10" s="12" t="s">
        <v>123</v>
      </c>
      <c r="B10" s="23" t="n">
        <v>7225</v>
      </c>
      <c r="C10" s="23" t="n">
        <v>9047</v>
      </c>
      <c r="D10" s="23" t="n">
        <v>13419</v>
      </c>
      <c r="E10" s="23" t="n">
        <f aca="false">E8-E9</f>
        <v>14400</v>
      </c>
      <c r="F10" s="23" t="n">
        <f aca="false">F8-F9</f>
        <v>14720</v>
      </c>
      <c r="G10" s="23" t="n">
        <f aca="false">G8-G9</f>
        <v>13795</v>
      </c>
      <c r="H10" s="23" t="n">
        <f aca="false">H8-H9</f>
        <v>12470</v>
      </c>
      <c r="I10" s="23" t="n">
        <f aca="false">I8-I9</f>
        <v>11760</v>
      </c>
    </row>
    <row r="11" customFormat="false" ht="15" hidden="false" customHeight="false" outlineLevel="0" collapsed="false">
      <c r="A11" s="8" t="s">
        <v>152</v>
      </c>
      <c r="B11" s="17" t="n">
        <v>564</v>
      </c>
      <c r="C11" s="17" t="n">
        <v>1175</v>
      </c>
      <c r="D11" s="17" t="n">
        <v>1300</v>
      </c>
      <c r="E11" s="29" t="n">
        <v>1300</v>
      </c>
      <c r="F11" s="29" t="n">
        <v>1300</v>
      </c>
      <c r="G11" s="29" t="n">
        <v>1300</v>
      </c>
      <c r="H11" s="29" t="n">
        <v>1300</v>
      </c>
      <c r="I11" s="29" t="n">
        <v>1300</v>
      </c>
    </row>
    <row r="12" customFormat="false" ht="15" hidden="false" customHeight="false" outlineLevel="0" collapsed="false">
      <c r="A12" s="8" t="s">
        <v>153</v>
      </c>
      <c r="B12" s="17" t="n">
        <v>120</v>
      </c>
      <c r="C12" s="17" t="n">
        <v>300</v>
      </c>
      <c r="D12" s="17" t="n">
        <v>300</v>
      </c>
      <c r="E12" s="29" t="n">
        <v>300</v>
      </c>
      <c r="F12" s="29" t="n">
        <v>300</v>
      </c>
      <c r="G12" s="29" t="n">
        <v>300</v>
      </c>
      <c r="H12" s="29" t="n">
        <v>300</v>
      </c>
      <c r="I12" s="29" t="n">
        <v>300</v>
      </c>
    </row>
    <row r="13" customFormat="false" ht="15" hidden="false" customHeight="false" outlineLevel="0" collapsed="false">
      <c r="A13" s="12" t="s">
        <v>154</v>
      </c>
      <c r="B13" s="23" t="n">
        <v>6980</v>
      </c>
      <c r="C13" s="23" t="n">
        <v>10190</v>
      </c>
      <c r="D13" s="23" t="n">
        <v>15537</v>
      </c>
      <c r="E13" s="23" t="n">
        <f aca="false">E10+E11+E12</f>
        <v>16000</v>
      </c>
      <c r="F13" s="23" t="n">
        <f aca="false">F10+F11+F12</f>
        <v>16320</v>
      </c>
      <c r="G13" s="23" t="n">
        <f aca="false">G10+G11+G12</f>
        <v>15395</v>
      </c>
      <c r="H13" s="23" t="n">
        <f aca="false">H10+H11+H12</f>
        <v>14070</v>
      </c>
      <c r="I13" s="23" t="n">
        <f aca="false">I10+I11+I12</f>
        <v>13360</v>
      </c>
    </row>
    <row r="14" customFormat="false" ht="15" hidden="false" customHeight="false" outlineLevel="0" collapsed="false">
      <c r="A14" s="8" t="s">
        <v>155</v>
      </c>
      <c r="B14" s="17" t="n">
        <v>-104</v>
      </c>
      <c r="C14" s="17" t="n">
        <v>-990</v>
      </c>
      <c r="D14" s="17" t="n">
        <v>-1400</v>
      </c>
      <c r="E14" s="29" t="n">
        <f aca="false">-E13*Assumptions!$B$16</f>
        <v>-1440</v>
      </c>
      <c r="F14" s="29" t="n">
        <f aca="false">-F13*Assumptions!$B$16</f>
        <v>-1468.8</v>
      </c>
      <c r="G14" s="29" t="n">
        <f aca="false">-G13*Assumptions!$B$16</f>
        <v>-1385.55</v>
      </c>
      <c r="H14" s="29" t="n">
        <f aca="false">-H13*Assumptions!$B$16</f>
        <v>-1266.3</v>
      </c>
      <c r="I14" s="29" t="n">
        <f aca="false">-I13*Assumptions!$B$16</f>
        <v>-1202.4</v>
      </c>
    </row>
    <row r="15" customFormat="false" ht="15" hidden="false" customHeight="false" outlineLevel="0" collapsed="false">
      <c r="A15" s="8" t="s">
        <v>156</v>
      </c>
      <c r="B15" s="17" t="n">
        <v>-236</v>
      </c>
      <c r="C15" s="17" t="n">
        <v>-1570</v>
      </c>
      <c r="D15" s="17" t="n">
        <v>-2817</v>
      </c>
      <c r="E15" s="29" t="n">
        <f aca="false">-(E13+E14)*0.2</f>
        <v>-2912</v>
      </c>
      <c r="F15" s="29" t="n">
        <f aca="false">-(F13+F14)*0.2</f>
        <v>-2970.24</v>
      </c>
      <c r="G15" s="29" t="n">
        <f aca="false">-(G13+G14)*0.2</f>
        <v>-2801.89</v>
      </c>
      <c r="H15" s="29" t="n">
        <f aca="false">-(H13+H14)*0.2</f>
        <v>-2560.74</v>
      </c>
      <c r="I15" s="29" t="n">
        <f aca="false">-(I13+I14)*0.2</f>
        <v>-2431.52</v>
      </c>
    </row>
    <row r="16" customFormat="false" ht="15" hidden="false" customHeight="false" outlineLevel="0" collapsed="false">
      <c r="A16" s="12" t="s">
        <v>157</v>
      </c>
      <c r="B16" s="23" t="n">
        <v>6640</v>
      </c>
      <c r="C16" s="23" t="n">
        <v>7630</v>
      </c>
      <c r="D16" s="23" t="n">
        <v>11320</v>
      </c>
      <c r="E16" s="23" t="n">
        <f aca="false">E13+E14+E15</f>
        <v>11648</v>
      </c>
      <c r="F16" s="23" t="n">
        <f aca="false">F13+F14+F15</f>
        <v>11880.96</v>
      </c>
      <c r="G16" s="23" t="n">
        <f aca="false">G13+G14+G15</f>
        <v>11207.56</v>
      </c>
      <c r="H16" s="23" t="n">
        <f aca="false">H13+H14+H15</f>
        <v>10242.96</v>
      </c>
      <c r="I16" s="23" t="n">
        <f aca="false">I13+I14+I15</f>
        <v>9726.08</v>
      </c>
    </row>
    <row r="18" customFormat="false" ht="15" hidden="false" customHeight="false" outlineLevel="0" collapsed="false">
      <c r="A18" s="8" t="s">
        <v>158</v>
      </c>
      <c r="B18" s="26" t="n">
        <f aca="false">B16/Assumptions!$B$6</f>
        <v>1.66</v>
      </c>
      <c r="C18" s="26" t="n">
        <f aca="false">C16/Assumptions!$B$6</f>
        <v>1.9075</v>
      </c>
      <c r="D18" s="26" t="n">
        <f aca="false">D16/Assumptions!$B$6</f>
        <v>2.83</v>
      </c>
      <c r="E18" s="26" t="n">
        <f aca="false">E16/Assumptions!$B$6</f>
        <v>2.912</v>
      </c>
      <c r="F18" s="26" t="n">
        <f aca="false">F16/Assumptions!$B$6</f>
        <v>2.97024</v>
      </c>
      <c r="G18" s="26" t="n">
        <f aca="false">G16/Assumptions!$B$6</f>
        <v>2.80189</v>
      </c>
      <c r="H18" s="26" t="n">
        <f aca="false">H16/Assumptions!$B$6</f>
        <v>2.56074</v>
      </c>
      <c r="I18" s="26" t="n">
        <f aca="false">I16/Assumptions!$B$6</f>
        <v>2.43152</v>
      </c>
    </row>
    <row r="20" customFormat="false" ht="15" hidden="false" customHeight="false" outlineLevel="0" collapsed="false">
      <c r="A20" s="5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4" t="s">
        <v>160</v>
      </c>
    </row>
    <row r="2" customFormat="false" ht="15" hidden="false" customHeight="false" outlineLevel="0" collapsed="false">
      <c r="A2" s="5" t="s">
        <v>161</v>
      </c>
    </row>
    <row r="3" customFormat="false" ht="15" hidden="false" customHeight="false" outlineLevel="0" collapsed="false">
      <c r="A3" s="6" t="s">
        <v>145</v>
      </c>
      <c r="B3" s="7" t="s">
        <v>146</v>
      </c>
      <c r="C3" s="7" t="s">
        <v>147</v>
      </c>
      <c r="D3" s="7" t="s">
        <v>148</v>
      </c>
      <c r="E3" s="7" t="s">
        <v>64</v>
      </c>
      <c r="F3" s="7" t="s">
        <v>65</v>
      </c>
      <c r="G3" s="7" t="s">
        <v>66</v>
      </c>
      <c r="H3" s="7" t="s">
        <v>67</v>
      </c>
      <c r="I3" s="7" t="s">
        <v>68</v>
      </c>
    </row>
    <row r="4" customFormat="false" ht="15" hidden="false" customHeight="false" outlineLevel="0" collapsed="false">
      <c r="A4" s="8" t="s">
        <v>162</v>
      </c>
      <c r="B4" s="17" t="n">
        <v>16000</v>
      </c>
      <c r="C4" s="17" t="n">
        <v>18000</v>
      </c>
      <c r="D4" s="17" t="n">
        <v>24000</v>
      </c>
      <c r="E4" s="29" t="n">
        <f aca="false">D4+'Cash Flow'!E18</f>
        <v>24000</v>
      </c>
      <c r="F4" s="29" t="n">
        <f aca="false">E4+'Cash Flow'!F18</f>
        <v>24000</v>
      </c>
      <c r="G4" s="29" t="n">
        <f aca="false">F4+'Cash Flow'!G18</f>
        <v>24000</v>
      </c>
      <c r="H4" s="29" t="n">
        <f aca="false">G4+'Cash Flow'!H18</f>
        <v>24000</v>
      </c>
      <c r="I4" s="29" t="n">
        <f aca="false">H4+'Cash Flow'!I18</f>
        <v>24000</v>
      </c>
    </row>
    <row r="5" customFormat="false" ht="15" hidden="false" customHeight="false" outlineLevel="0" collapsed="false">
      <c r="A5" s="8" t="s">
        <v>163</v>
      </c>
      <c r="B5" s="17" t="n">
        <v>22000</v>
      </c>
      <c r="C5" s="17" t="n">
        <v>26000</v>
      </c>
      <c r="D5" s="17" t="n">
        <v>30000</v>
      </c>
      <c r="E5" s="29" t="n">
        <f aca="false">D5*1.02</f>
        <v>30600</v>
      </c>
      <c r="F5" s="29" t="n">
        <f aca="false">E5*1.02</f>
        <v>31212</v>
      </c>
      <c r="G5" s="29" t="n">
        <f aca="false">F5*1.02</f>
        <v>31836.24</v>
      </c>
      <c r="H5" s="29" t="n">
        <f aca="false">G5*1.02</f>
        <v>32472.9648</v>
      </c>
      <c r="I5" s="29" t="n">
        <f aca="false">H5*1.02</f>
        <v>33122.424096</v>
      </c>
    </row>
    <row r="6" customFormat="false" ht="15" hidden="false" customHeight="false" outlineLevel="0" collapsed="false">
      <c r="A6" s="8" t="s">
        <v>164</v>
      </c>
      <c r="B6" s="17" t="n">
        <v>9000</v>
      </c>
      <c r="C6" s="17" t="n">
        <v>12000</v>
      </c>
      <c r="D6" s="17" t="n">
        <v>15000</v>
      </c>
      <c r="E6" s="29" t="n">
        <f aca="false">D6*1.02</f>
        <v>15300</v>
      </c>
      <c r="F6" s="29" t="n">
        <f aca="false">E6*1.02</f>
        <v>15606</v>
      </c>
      <c r="G6" s="29" t="n">
        <f aca="false">F6*1.02</f>
        <v>15918.12</v>
      </c>
      <c r="H6" s="29" t="n">
        <f aca="false">G6*1.02</f>
        <v>16236.4824</v>
      </c>
      <c r="I6" s="29" t="n">
        <f aca="false">H6*1.02</f>
        <v>16561.212048</v>
      </c>
    </row>
    <row r="7" customFormat="false" ht="15" hidden="false" customHeight="false" outlineLevel="0" collapsed="false">
      <c r="A7" s="8" t="s">
        <v>165</v>
      </c>
      <c r="B7" s="17" t="n">
        <v>6000</v>
      </c>
      <c r="C7" s="17" t="n">
        <v>7000</v>
      </c>
      <c r="D7" s="17" t="n">
        <v>8000</v>
      </c>
      <c r="E7" s="29" t="n">
        <f aca="false">D7*1.02</f>
        <v>8160</v>
      </c>
      <c r="F7" s="29" t="n">
        <f aca="false">E7*1.02</f>
        <v>8323.2</v>
      </c>
      <c r="G7" s="29" t="n">
        <f aca="false">F7*1.02</f>
        <v>8489.664</v>
      </c>
      <c r="H7" s="29" t="n">
        <f aca="false">G7*1.02</f>
        <v>8659.45728</v>
      </c>
      <c r="I7" s="29" t="n">
        <f aca="false">H7*1.02</f>
        <v>8832.6464256</v>
      </c>
    </row>
    <row r="8" customFormat="false" ht="15" hidden="false" customHeight="false" outlineLevel="0" collapsed="false">
      <c r="A8" s="12" t="s">
        <v>166</v>
      </c>
      <c r="B8" s="17" t="n">
        <v>53000</v>
      </c>
      <c r="C8" s="17" t="n">
        <v>63000</v>
      </c>
      <c r="D8" s="17" t="n">
        <v>77000</v>
      </c>
      <c r="E8" s="29" t="n">
        <f aca="false">SUM(E4:E7)</f>
        <v>78060</v>
      </c>
      <c r="F8" s="29" t="n">
        <f aca="false">SUM(F4:F7)</f>
        <v>79141.2</v>
      </c>
      <c r="G8" s="29" t="n">
        <f aca="false">SUM(G4:G7)</f>
        <v>80244.024</v>
      </c>
      <c r="H8" s="29" t="n">
        <f aca="false">SUM(H4:H7)</f>
        <v>81368.90448</v>
      </c>
      <c r="I8" s="29" t="n">
        <f aca="false">SUM(I4:I7)</f>
        <v>82516.2825696</v>
      </c>
    </row>
    <row r="9" customFormat="false" ht="15" hidden="false" customHeight="false" outlineLevel="0" collapsed="false">
      <c r="A9" s="8" t="s">
        <v>167</v>
      </c>
      <c r="B9" s="17" t="n">
        <v>20000</v>
      </c>
      <c r="C9" s="17" t="n">
        <v>25000</v>
      </c>
      <c r="D9" s="17" t="n">
        <v>31000</v>
      </c>
      <c r="E9" s="29" t="n">
        <f aca="false">D9*1.02</f>
        <v>31620</v>
      </c>
      <c r="F9" s="29" t="n">
        <f aca="false">E9*1.02</f>
        <v>32252.4</v>
      </c>
      <c r="G9" s="29" t="n">
        <f aca="false">F9*1.02</f>
        <v>32897.448</v>
      </c>
      <c r="H9" s="29" t="n">
        <f aca="false">G9*1.02</f>
        <v>33555.39696</v>
      </c>
      <c r="I9" s="29" t="n">
        <f aca="false">H9*1.02</f>
        <v>34226.5048992</v>
      </c>
    </row>
    <row r="10" customFormat="false" ht="15" hidden="false" customHeight="false" outlineLevel="0" collapsed="false">
      <c r="A10" s="8" t="s">
        <v>168</v>
      </c>
      <c r="B10" s="17" t="n">
        <v>10000</v>
      </c>
      <c r="C10" s="17" t="n">
        <v>12000</v>
      </c>
      <c r="D10" s="17" t="n">
        <v>14000</v>
      </c>
      <c r="E10" s="29" t="n">
        <f aca="false">D10*1.02</f>
        <v>14280</v>
      </c>
      <c r="F10" s="29" t="n">
        <f aca="false">E10*1.02</f>
        <v>14565.6</v>
      </c>
      <c r="G10" s="29" t="n">
        <f aca="false">F10*1.02</f>
        <v>14856.912</v>
      </c>
      <c r="H10" s="29" t="n">
        <f aca="false">G10*1.02</f>
        <v>15154.05024</v>
      </c>
      <c r="I10" s="29" t="n">
        <f aca="false">H10*1.02</f>
        <v>15457.1312448</v>
      </c>
    </row>
    <row r="11" customFormat="false" ht="15" hidden="false" customHeight="false" outlineLevel="0" collapsed="false">
      <c r="A11" s="8" t="s">
        <v>169</v>
      </c>
      <c r="B11" s="17" t="n">
        <v>0</v>
      </c>
      <c r="C11" s="17" t="n">
        <v>0</v>
      </c>
      <c r="D11" s="17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</row>
    <row r="12" customFormat="false" ht="15" hidden="false" customHeight="false" outlineLevel="0" collapsed="false">
      <c r="A12" s="12" t="s">
        <v>170</v>
      </c>
      <c r="B12" s="17" t="n">
        <v>30000</v>
      </c>
      <c r="C12" s="17" t="n">
        <v>37000</v>
      </c>
      <c r="D12" s="17" t="n">
        <v>45000</v>
      </c>
      <c r="E12" s="29" t="n">
        <f aca="false">E9+E10+E11</f>
        <v>45900</v>
      </c>
      <c r="F12" s="29" t="n">
        <f aca="false">F9+F10+F11</f>
        <v>46818</v>
      </c>
      <c r="G12" s="29" t="n">
        <f aca="false">G9+G10+G11</f>
        <v>47754.36</v>
      </c>
      <c r="H12" s="29" t="n">
        <f aca="false">H9+H10+H11</f>
        <v>48709.4472</v>
      </c>
      <c r="I12" s="29" t="n">
        <f aca="false">I9+I10+I11</f>
        <v>49683.636144</v>
      </c>
    </row>
    <row r="13" customFormat="false" ht="15" hidden="false" customHeight="false" outlineLevel="0" collapsed="false">
      <c r="A13" s="8" t="s">
        <v>156</v>
      </c>
      <c r="B13" s="17" t="n">
        <v>3000</v>
      </c>
      <c r="C13" s="17" t="n">
        <v>4000</v>
      </c>
      <c r="D13" s="17" t="n">
        <v>5000</v>
      </c>
      <c r="E13" s="29" t="n">
        <f aca="false">D13*1.02</f>
        <v>5100</v>
      </c>
      <c r="F13" s="29" t="n">
        <f aca="false">E13*1.02</f>
        <v>5202</v>
      </c>
      <c r="G13" s="29" t="n">
        <f aca="false">F13*1.02</f>
        <v>5306.04</v>
      </c>
      <c r="H13" s="29" t="n">
        <f aca="false">G13*1.02</f>
        <v>5412.1608</v>
      </c>
      <c r="I13" s="29" t="n">
        <f aca="false">H13*1.02</f>
        <v>5520.404016</v>
      </c>
    </row>
    <row r="14" customFormat="false" ht="15" hidden="false" customHeight="false" outlineLevel="0" collapsed="false">
      <c r="A14" s="12" t="s">
        <v>171</v>
      </c>
      <c r="B14" s="17" t="n">
        <v>20000</v>
      </c>
      <c r="C14" s="17" t="n">
        <v>22000</v>
      </c>
      <c r="D14" s="17" t="n">
        <v>27000</v>
      </c>
      <c r="E14" s="29" t="n">
        <f aca="false">D14+'Income Statement'!E16-Assumptions!$B$6*1</f>
        <v>34648</v>
      </c>
      <c r="F14" s="29" t="n">
        <f aca="false">E14+'Income Statement'!F16-Assumptions!$B$6*1</f>
        <v>42528.96</v>
      </c>
      <c r="G14" s="29" t="n">
        <f aca="false">F14+'Income Statement'!G16-Assumptions!$B$6*1</f>
        <v>49736.52</v>
      </c>
      <c r="H14" s="29" t="n">
        <f aca="false">G14+'Income Statement'!H16-Assumptions!$B$6*1</f>
        <v>55979.48</v>
      </c>
      <c r="I14" s="29" t="n">
        <f aca="false">H14+'Income Statement'!I16-Assumptions!$B$6*1</f>
        <v>61705.56</v>
      </c>
    </row>
    <row r="16" customFormat="false" ht="15" hidden="false" customHeight="false" outlineLevel="0" collapsed="false">
      <c r="A16" s="8" t="s">
        <v>172</v>
      </c>
      <c r="B16" s="22" t="n">
        <f aca="false">B4-B11</f>
        <v>16000</v>
      </c>
      <c r="C16" s="22" t="n">
        <f aca="false">C4-C11</f>
        <v>18000</v>
      </c>
      <c r="D16" s="22" t="n">
        <f aca="false">D4-D11</f>
        <v>24000</v>
      </c>
      <c r="E16" s="22" t="n">
        <f aca="false">E4-E11</f>
        <v>24000</v>
      </c>
      <c r="F16" s="22" t="n">
        <f aca="false">F4-F11</f>
        <v>24000</v>
      </c>
      <c r="G16" s="22" t="n">
        <f aca="false">G4-G11</f>
        <v>24000</v>
      </c>
      <c r="H16" s="22" t="n">
        <f aca="false">H4-H11</f>
        <v>24000</v>
      </c>
      <c r="I16" s="22" t="n">
        <f aca="false">I4-I11</f>
        <v>24000</v>
      </c>
    </row>
    <row r="18" customFormat="false" ht="15" hidden="false" customHeight="false" outlineLevel="0" collapsed="false">
      <c r="A18" s="5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4" t="s">
        <v>174</v>
      </c>
    </row>
    <row r="2" customFormat="false" ht="15" hidden="false" customHeight="false" outlineLevel="0" collapsed="false">
      <c r="A2" s="5" t="s">
        <v>175</v>
      </c>
    </row>
    <row r="3" customFormat="false" ht="15" hidden="false" customHeight="false" outlineLevel="0" collapsed="false">
      <c r="A3" s="6" t="s">
        <v>145</v>
      </c>
      <c r="B3" s="7" t="s">
        <v>146</v>
      </c>
      <c r="C3" s="7" t="s">
        <v>147</v>
      </c>
      <c r="D3" s="7" t="s">
        <v>148</v>
      </c>
      <c r="E3" s="7" t="s">
        <v>64</v>
      </c>
      <c r="F3" s="7" t="s">
        <v>65</v>
      </c>
      <c r="G3" s="7" t="s">
        <v>66</v>
      </c>
      <c r="H3" s="7" t="s">
        <v>67</v>
      </c>
      <c r="I3" s="7" t="s">
        <v>68</v>
      </c>
    </row>
    <row r="4" customFormat="false" ht="15" hidden="false" customHeight="false" outlineLevel="0" collapsed="false">
      <c r="A4" s="8" t="s">
        <v>157</v>
      </c>
      <c r="E4" s="27" t="n">
        <f aca="false">'Income Statement'!E16</f>
        <v>11648</v>
      </c>
      <c r="F4" s="27" t="n">
        <f aca="false">'Income Statement'!F16</f>
        <v>11880.96</v>
      </c>
      <c r="G4" s="27" t="n">
        <f aca="false">'Income Statement'!G16</f>
        <v>11207.56</v>
      </c>
      <c r="H4" s="27" t="n">
        <f aca="false">'Income Statement'!H16</f>
        <v>10242.96</v>
      </c>
      <c r="I4" s="27" t="n">
        <f aca="false">'Income Statement'!I16</f>
        <v>9726.08</v>
      </c>
    </row>
    <row r="5" customFormat="false" ht="15" hidden="false" customHeight="false" outlineLevel="0" collapsed="false">
      <c r="A5" s="8" t="s">
        <v>176</v>
      </c>
      <c r="E5" s="29" t="n">
        <f aca="false">-'Income Statement'!E15</f>
        <v>2912</v>
      </c>
      <c r="F5" s="29" t="n">
        <f aca="false">-'Income Statement'!F15</f>
        <v>2970.24</v>
      </c>
      <c r="G5" s="29" t="n">
        <f aca="false">-'Income Statement'!G15</f>
        <v>2801.89</v>
      </c>
      <c r="H5" s="29" t="n">
        <f aca="false">-'Income Statement'!H15</f>
        <v>2560.74</v>
      </c>
      <c r="I5" s="29" t="n">
        <f aca="false">-'Income Statement'!I15</f>
        <v>2431.52</v>
      </c>
    </row>
    <row r="6" customFormat="false" ht="15" hidden="false" customHeight="false" outlineLevel="0" collapsed="false">
      <c r="A6" s="8" t="s">
        <v>125</v>
      </c>
      <c r="E6" s="29" t="n">
        <f aca="false">'Income Statement'!E9</f>
        <v>900</v>
      </c>
      <c r="F6" s="29" t="n">
        <f aca="false">'Income Statement'!F9</f>
        <v>960</v>
      </c>
      <c r="G6" s="29" t="n">
        <f aca="false">'Income Statement'!G9</f>
        <v>930</v>
      </c>
      <c r="H6" s="29" t="n">
        <f aca="false">'Income Statement'!H9</f>
        <v>870</v>
      </c>
      <c r="I6" s="29" t="n">
        <f aca="false">'Income Statement'!I9</f>
        <v>840</v>
      </c>
    </row>
    <row r="7" customFormat="false" ht="15" hidden="false" customHeight="false" outlineLevel="0" collapsed="false">
      <c r="A7" s="8" t="s">
        <v>177</v>
      </c>
      <c r="E7" s="29" t="n">
        <f aca="false">-Assumptions!C$41</f>
        <v>1500</v>
      </c>
      <c r="F7" s="29" t="n">
        <f aca="false">-Assumptions!D$41</f>
        <v>1000</v>
      </c>
      <c r="G7" s="29" t="n">
        <f aca="false">-Assumptions!E$41</f>
        <v>-0</v>
      </c>
      <c r="H7" s="29" t="n">
        <f aca="false">-Assumptions!F$41</f>
        <v>-1000</v>
      </c>
      <c r="I7" s="29" t="n">
        <f aca="false">-Assumptions!G$41</f>
        <v>-1500</v>
      </c>
    </row>
    <row r="8" customFormat="false" ht="15" hidden="false" customHeight="false" outlineLevel="0" collapsed="false">
      <c r="A8" s="12" t="s">
        <v>178</v>
      </c>
      <c r="B8" s="29" t="n">
        <v>7000</v>
      </c>
      <c r="C8" s="29" t="n">
        <v>9500</v>
      </c>
      <c r="D8" s="29" t="n">
        <v>14500</v>
      </c>
      <c r="E8" s="29" t="n">
        <f aca="false">SUM(E4:E7)</f>
        <v>16960</v>
      </c>
      <c r="F8" s="29" t="n">
        <f aca="false">SUM(F4:F7)</f>
        <v>16811.2</v>
      </c>
      <c r="G8" s="29" t="n">
        <f aca="false">SUM(G4:G7)</f>
        <v>14939.45</v>
      </c>
      <c r="H8" s="29" t="n">
        <f aca="false">SUM(H4:H7)</f>
        <v>12673.7</v>
      </c>
      <c r="I8" s="29" t="n">
        <f aca="false">SUM(I4:I7)</f>
        <v>11497.6</v>
      </c>
    </row>
    <row r="9" customFormat="false" ht="15" hidden="false" customHeight="false" outlineLevel="0" collapsed="false">
      <c r="A9" s="8" t="s">
        <v>126</v>
      </c>
      <c r="B9" s="29" t="n">
        <v>-400</v>
      </c>
      <c r="C9" s="29" t="n">
        <v>-500</v>
      </c>
      <c r="D9" s="29" t="n">
        <v>-600</v>
      </c>
      <c r="E9" s="29" t="n">
        <f aca="false">-'Income Statement'!E4*Assumptions!C$39</f>
        <v>-600</v>
      </c>
      <c r="F9" s="29" t="n">
        <f aca="false">-'Income Statement'!F4*Assumptions!D$39</f>
        <v>-640</v>
      </c>
      <c r="G9" s="29" t="n">
        <f aca="false">-'Income Statement'!G4*Assumptions!E$39</f>
        <v>-620</v>
      </c>
      <c r="H9" s="29" t="n">
        <f aca="false">-'Income Statement'!H4*Assumptions!F$39</f>
        <v>-580</v>
      </c>
      <c r="I9" s="29" t="n">
        <f aca="false">-'Income Statement'!I4*Assumptions!G$39</f>
        <v>-560</v>
      </c>
    </row>
    <row r="10" customFormat="false" ht="15" hidden="false" customHeight="false" outlineLevel="0" collapsed="false">
      <c r="A10" s="8" t="s">
        <v>127</v>
      </c>
      <c r="B10" s="29" t="n">
        <v>-2000</v>
      </c>
      <c r="C10" s="29" t="n">
        <v>-4000</v>
      </c>
      <c r="D10" s="29" t="n">
        <v>-8000</v>
      </c>
      <c r="E10" s="29" t="n">
        <f aca="false">-Assumptions!C$40</f>
        <v>-4000</v>
      </c>
      <c r="F10" s="29" t="n">
        <f aca="false">-Assumptions!D$40</f>
        <v>-3500</v>
      </c>
      <c r="G10" s="29" t="n">
        <f aca="false">-Assumptions!E$40</f>
        <v>-3000</v>
      </c>
      <c r="H10" s="29" t="n">
        <f aca="false">-Assumptions!F$40</f>
        <v>-3000</v>
      </c>
      <c r="I10" s="29" t="n">
        <f aca="false">-Assumptions!G$40</f>
        <v>-3000</v>
      </c>
    </row>
    <row r="11" customFormat="false" ht="15" hidden="false" customHeight="false" outlineLevel="0" collapsed="false">
      <c r="A11" s="12" t="s">
        <v>179</v>
      </c>
      <c r="B11" s="29" t="n">
        <f aca="false">B9+B10</f>
        <v>-2400</v>
      </c>
      <c r="C11" s="29" t="n">
        <f aca="false">C9+C10</f>
        <v>-4500</v>
      </c>
      <c r="D11" s="29" t="n">
        <f aca="false">D9+D10</f>
        <v>-8600</v>
      </c>
      <c r="E11" s="29" t="n">
        <f aca="false">E9+E10</f>
        <v>-4600</v>
      </c>
      <c r="F11" s="29" t="n">
        <f aca="false">F9+F10</f>
        <v>-4140</v>
      </c>
      <c r="G11" s="29" t="n">
        <f aca="false">G9+G10</f>
        <v>-3620</v>
      </c>
      <c r="H11" s="29" t="n">
        <f aca="false">H9+H10</f>
        <v>-3580</v>
      </c>
      <c r="I11" s="29" t="n">
        <f aca="false">I9+I10</f>
        <v>-3560</v>
      </c>
    </row>
    <row r="12" customFormat="false" ht="15" hidden="false" customHeight="false" outlineLevel="0" collapsed="false">
      <c r="A12" s="8" t="s">
        <v>180</v>
      </c>
      <c r="B12" s="29" t="n">
        <v>-2082</v>
      </c>
      <c r="C12" s="29" t="n">
        <v>-2720</v>
      </c>
      <c r="D12" s="29" t="n">
        <v>-4000</v>
      </c>
      <c r="E12" s="29" t="n">
        <f aca="false">-Assumptions!$B$6*1</f>
        <v>-4000</v>
      </c>
      <c r="F12" s="29" t="n">
        <f aca="false">-Assumptions!$B$6*1</f>
        <v>-4000</v>
      </c>
      <c r="G12" s="29" t="n">
        <f aca="false">-Assumptions!$B$6*1</f>
        <v>-4000</v>
      </c>
      <c r="H12" s="29" t="n">
        <f aca="false">-Assumptions!$B$6*1</f>
        <v>-4000</v>
      </c>
      <c r="I12" s="29" t="n">
        <f aca="false">-Assumptions!$B$6*1</f>
        <v>-4000</v>
      </c>
    </row>
    <row r="13" customFormat="false" ht="15" hidden="false" customHeight="false" outlineLevel="0" collapsed="false">
      <c r="A13" s="12" t="s">
        <v>181</v>
      </c>
      <c r="B13" s="29" t="n">
        <f aca="false">B12</f>
        <v>-2082</v>
      </c>
      <c r="C13" s="29" t="n">
        <f aca="false">C12</f>
        <v>-2720</v>
      </c>
      <c r="D13" s="29" t="n">
        <f aca="false">D12</f>
        <v>-4000</v>
      </c>
      <c r="E13" s="29" t="n">
        <f aca="false">E12</f>
        <v>-4000</v>
      </c>
      <c r="F13" s="29" t="n">
        <f aca="false">F12</f>
        <v>-4000</v>
      </c>
      <c r="G13" s="29" t="n">
        <f aca="false">G12</f>
        <v>-4000</v>
      </c>
      <c r="H13" s="29" t="n">
        <f aca="false">H12</f>
        <v>-4000</v>
      </c>
      <c r="I13" s="29" t="n">
        <f aca="false">I12</f>
        <v>-4000</v>
      </c>
    </row>
    <row r="14" customFormat="false" ht="15" hidden="false" customHeight="false" outlineLevel="0" collapsed="false">
      <c r="A14" s="12" t="s">
        <v>182</v>
      </c>
      <c r="B14" s="29" t="n">
        <f aca="false">B8+B11+B13</f>
        <v>2518</v>
      </c>
      <c r="C14" s="29" t="n">
        <f aca="false">C8+C11+C13</f>
        <v>2280</v>
      </c>
      <c r="D14" s="29" t="n">
        <f aca="false">D8+D11+D13</f>
        <v>1900</v>
      </c>
      <c r="E14" s="29" t="n">
        <f aca="false">E8+E11+E13</f>
        <v>8360</v>
      </c>
      <c r="F14" s="29" t="n">
        <f aca="false">F8+F11+F13</f>
        <v>8671.2</v>
      </c>
      <c r="G14" s="29" t="n">
        <f aca="false">G8+G11+G13</f>
        <v>7319.45</v>
      </c>
      <c r="H14" s="29" t="n">
        <f aca="false">H8+H11+H13</f>
        <v>5093.7</v>
      </c>
      <c r="I14" s="29" t="n">
        <f aca="false">I8+I11+I13</f>
        <v>3937.6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4" t="s">
        <v>183</v>
      </c>
    </row>
    <row r="2" customFormat="false" ht="15" hidden="false" customHeight="false" outlineLevel="0" collapsed="false">
      <c r="A2" s="5" t="s">
        <v>184</v>
      </c>
    </row>
    <row r="3" customFormat="false" ht="15" hidden="false" customHeight="false" outlineLevel="0" collapsed="false">
      <c r="A3" s="6" t="s">
        <v>145</v>
      </c>
      <c r="B3" s="7" t="s">
        <v>146</v>
      </c>
      <c r="C3" s="7" t="s">
        <v>147</v>
      </c>
      <c r="D3" s="7" t="s">
        <v>148</v>
      </c>
      <c r="E3" s="7" t="s">
        <v>64</v>
      </c>
      <c r="F3" s="7" t="s">
        <v>65</v>
      </c>
      <c r="G3" s="7" t="s">
        <v>66</v>
      </c>
      <c r="H3" s="7" t="s">
        <v>67</v>
      </c>
      <c r="I3" s="7" t="s">
        <v>68</v>
      </c>
    </row>
    <row r="4" customFormat="false" ht="15" hidden="false" customHeight="false" outlineLevel="0" collapsed="false">
      <c r="A4" s="8" t="s">
        <v>120</v>
      </c>
      <c r="B4" s="27" t="n">
        <f aca="false">'Income Statement'!B4</f>
        <v>11921</v>
      </c>
      <c r="C4" s="27" t="n">
        <f aca="false">'Income Statement'!C4</f>
        <v>19147</v>
      </c>
      <c r="D4" s="27" t="n">
        <f aca="false">'Income Statement'!D4</f>
        <v>27486</v>
      </c>
      <c r="E4" s="27" t="n">
        <f aca="false">'Income Statement'!E4</f>
        <v>30000</v>
      </c>
      <c r="F4" s="27" t="n">
        <f aca="false">'Income Statement'!F4</f>
        <v>32000</v>
      </c>
      <c r="G4" s="27" t="n">
        <f aca="false">'Income Statement'!G4</f>
        <v>31000</v>
      </c>
      <c r="H4" s="27" t="n">
        <f aca="false">'Income Statement'!H4</f>
        <v>29000</v>
      </c>
      <c r="I4" s="27" t="n">
        <f aca="false">'Income Statement'!I4</f>
        <v>28000</v>
      </c>
    </row>
    <row r="5" customFormat="false" ht="15" hidden="false" customHeight="false" outlineLevel="0" collapsed="false">
      <c r="A5" s="8" t="s">
        <v>121</v>
      </c>
      <c r="B5" s="27" t="n">
        <f aca="false">'Income Statement'!B8</f>
        <v>8000</v>
      </c>
      <c r="C5" s="27" t="n">
        <f aca="false">'Income Statement'!C8</f>
        <v>9600</v>
      </c>
      <c r="D5" s="27" t="n">
        <f aca="false">'Income Statement'!D8</f>
        <v>14300</v>
      </c>
      <c r="E5" s="27" t="n">
        <f aca="false">'Income Statement'!E8</f>
        <v>15300</v>
      </c>
      <c r="F5" s="27" t="n">
        <f aca="false">'Income Statement'!F8</f>
        <v>15680</v>
      </c>
      <c r="G5" s="27" t="n">
        <f aca="false">'Income Statement'!G8</f>
        <v>14725</v>
      </c>
      <c r="H5" s="27" t="n">
        <f aca="false">'Income Statement'!H8</f>
        <v>13340</v>
      </c>
      <c r="I5" s="27" t="n">
        <f aca="false">'Income Statement'!I8</f>
        <v>12600</v>
      </c>
    </row>
    <row r="6" customFormat="false" ht="15" hidden="false" customHeight="false" outlineLevel="0" collapsed="false">
      <c r="A6" s="8" t="s">
        <v>123</v>
      </c>
      <c r="B6" s="27" t="n">
        <f aca="false">'Income Statement'!B10</f>
        <v>7225</v>
      </c>
      <c r="C6" s="27" t="n">
        <f aca="false">'Income Statement'!C10</f>
        <v>9047</v>
      </c>
      <c r="D6" s="27" t="n">
        <f aca="false">'Income Statement'!D10</f>
        <v>13419</v>
      </c>
      <c r="E6" s="27" t="n">
        <f aca="false">'Income Statement'!E10</f>
        <v>14400</v>
      </c>
      <c r="F6" s="27" t="n">
        <f aca="false">'Income Statement'!F10</f>
        <v>14720</v>
      </c>
      <c r="G6" s="27" t="n">
        <f aca="false">'Income Statement'!G10</f>
        <v>13795</v>
      </c>
      <c r="H6" s="27" t="n">
        <f aca="false">'Income Statement'!H10</f>
        <v>12470</v>
      </c>
      <c r="I6" s="27" t="n">
        <f aca="false">'Income Statement'!I10</f>
        <v>11760</v>
      </c>
    </row>
    <row r="7" customFormat="false" ht="15" hidden="false" customHeight="false" outlineLevel="0" collapsed="false">
      <c r="A7" s="8" t="s">
        <v>157</v>
      </c>
      <c r="B7" s="27" t="n">
        <f aca="false">'Income Statement'!B16</f>
        <v>6640</v>
      </c>
      <c r="C7" s="27" t="n">
        <f aca="false">'Income Statement'!C16</f>
        <v>7630</v>
      </c>
      <c r="D7" s="27" t="n">
        <f aca="false">'Income Statement'!D16</f>
        <v>11320</v>
      </c>
      <c r="E7" s="27" t="n">
        <f aca="false">'Income Statement'!E16</f>
        <v>11648</v>
      </c>
      <c r="F7" s="27" t="n">
        <f aca="false">'Income Statement'!F16</f>
        <v>11880.96</v>
      </c>
      <c r="G7" s="27" t="n">
        <f aca="false">'Income Statement'!G16</f>
        <v>11207.56</v>
      </c>
      <c r="H7" s="27" t="n">
        <f aca="false">'Income Statement'!H16</f>
        <v>10242.96</v>
      </c>
      <c r="I7" s="27" t="n">
        <f aca="false">'Income Statement'!I16</f>
        <v>9726.08</v>
      </c>
    </row>
    <row r="9" customFormat="false" ht="15" hidden="false" customHeight="false" outlineLevel="0" collapsed="false">
      <c r="A9" s="8" t="s">
        <v>129</v>
      </c>
      <c r="E9" s="27" t="n">
        <f aca="false">DCF!B13</f>
        <v>10904</v>
      </c>
      <c r="F9" s="27" t="n">
        <f aca="false">DCF!C13</f>
        <v>11215.2</v>
      </c>
      <c r="G9" s="27" t="n">
        <f aca="false">DCF!D13</f>
        <v>9863.45</v>
      </c>
      <c r="H9" s="27" t="n">
        <f aca="false">DCF!E13</f>
        <v>7637.7</v>
      </c>
      <c r="I9" s="27" t="n">
        <f aca="false">DCF!F13</f>
        <v>6481.6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4" t="s">
        <v>185</v>
      </c>
    </row>
    <row r="2" customFormat="false" ht="15" hidden="false" customHeight="false" outlineLevel="0" collapsed="false">
      <c r="A2" s="5" t="s">
        <v>186</v>
      </c>
    </row>
    <row r="4" customFormat="false" ht="15" hidden="false" customHeight="false" outlineLevel="0" collapsed="false">
      <c r="A4" s="12" t="s">
        <v>187</v>
      </c>
    </row>
    <row r="5" customFormat="false" ht="15" hidden="false" customHeight="false" outlineLevel="0" collapsed="false">
      <c r="A5" s="8" t="s">
        <v>188</v>
      </c>
      <c r="B5" s="14" t="n">
        <v>0.68856</v>
      </c>
    </row>
    <row r="6" customFormat="false" ht="15" hidden="false" customHeight="false" outlineLevel="0" collapsed="false">
      <c r="A6" s="8" t="s">
        <v>189</v>
      </c>
      <c r="B6" s="8" t="s">
        <v>190</v>
      </c>
    </row>
    <row r="7" customFormat="false" ht="15" hidden="false" customHeight="false" outlineLevel="0" collapsed="false">
      <c r="A7" s="8" t="s">
        <v>191</v>
      </c>
      <c r="B7" s="32" t="n">
        <v>3.4359134091263</v>
      </c>
    </row>
    <row r="8" customFormat="false" ht="15" hidden="false" customHeight="false" outlineLevel="0" collapsed="false">
      <c r="A8" s="8" t="s">
        <v>192</v>
      </c>
      <c r="B8" s="8" t="s">
        <v>193</v>
      </c>
    </row>
    <row r="9" customFormat="false" ht="15" hidden="false" customHeight="false" outlineLevel="0" collapsed="false">
      <c r="A9" s="8" t="s">
        <v>194</v>
      </c>
      <c r="B9" s="8" t="s">
        <v>195</v>
      </c>
    </row>
    <row r="10" customFormat="false" ht="15" hidden="false" customHeight="false" outlineLevel="0" collapsed="false">
      <c r="A10" s="8" t="s">
        <v>196</v>
      </c>
      <c r="B10" s="8" t="s">
        <v>197</v>
      </c>
    </row>
    <row r="12" customFormat="false" ht="15" hidden="false" customHeight="false" outlineLevel="0" collapsed="false">
      <c r="A12" s="12" t="s">
        <v>198</v>
      </c>
    </row>
    <row r="13" customFormat="false" ht="15" hidden="false" customHeight="false" outlineLevel="0" collapsed="false">
      <c r="A13" s="6" t="s">
        <v>199</v>
      </c>
      <c r="B13" s="7" t="s">
        <v>200</v>
      </c>
      <c r="C13" s="7" t="s">
        <v>201</v>
      </c>
      <c r="D13" s="7" t="s">
        <v>202</v>
      </c>
      <c r="E13" s="7" t="s">
        <v>203</v>
      </c>
      <c r="F13" s="7" t="s">
        <v>204</v>
      </c>
    </row>
    <row r="14" customFormat="false" ht="15" hidden="false" customHeight="false" outlineLevel="0" collapsed="false">
      <c r="A14" s="8" t="s">
        <v>205</v>
      </c>
      <c r="B14" s="31" t="n">
        <v>12.4213326788361</v>
      </c>
      <c r="C14" s="31" t="n">
        <v>13.7821529375602</v>
      </c>
      <c r="D14" s="31" t="n">
        <v>14.6039177814311</v>
      </c>
      <c r="E14" s="31" t="n">
        <v>15.4882226360029</v>
      </c>
      <c r="F14" s="31" t="n">
        <v>17.1826989771104</v>
      </c>
    </row>
    <row r="15" customFormat="false" ht="15" hidden="false" customHeight="false" outlineLevel="0" collapsed="false">
      <c r="A15" s="8" t="s">
        <v>206</v>
      </c>
      <c r="B15" s="31" t="n">
        <v>11.5893599258734</v>
      </c>
      <c r="C15" s="31" t="n">
        <v>13.8660278424272</v>
      </c>
      <c r="D15" s="31" t="n">
        <v>15.3440046181366</v>
      </c>
      <c r="E15" s="31" t="n">
        <v>16.9662795521179</v>
      </c>
      <c r="F15" s="31" t="n">
        <v>20.3263337616852</v>
      </c>
    </row>
    <row r="17" customFormat="false" ht="15" hidden="false" customHeight="false" outlineLevel="0" collapsed="false">
      <c r="A17" s="12" t="s">
        <v>207</v>
      </c>
    </row>
    <row r="18" customFormat="false" ht="15" hidden="false" customHeight="false" outlineLevel="0" collapsed="false">
      <c r="A18" s="8" t="s">
        <v>208</v>
      </c>
      <c r="B18" s="14" t="n">
        <v>0.368777625974839</v>
      </c>
    </row>
    <row r="19" customFormat="false" ht="15" hidden="false" customHeight="false" outlineLevel="0" collapsed="false">
      <c r="A19" s="8" t="s">
        <v>209</v>
      </c>
      <c r="B19" s="33" t="n">
        <v>0.00119611737158988</v>
      </c>
    </row>
    <row r="20" customFormat="false" ht="15" hidden="false" customHeight="false" outlineLevel="0" collapsed="false">
      <c r="A20" s="8" t="s">
        <v>210</v>
      </c>
      <c r="B20" s="14" t="n">
        <v>0.0744050239797446</v>
      </c>
    </row>
    <row r="21" customFormat="false" ht="15" hidden="false" customHeight="false" outlineLevel="0" collapsed="false">
      <c r="A21" s="8" t="s">
        <v>211</v>
      </c>
      <c r="B21" s="8" t="n">
        <v>42</v>
      </c>
    </row>
    <row r="22" customFormat="false" ht="15" hidden="false" customHeight="false" outlineLevel="0" collapsed="false">
      <c r="A22" s="8" t="s">
        <v>212</v>
      </c>
      <c r="B22" s="29" t="n">
        <v>50000</v>
      </c>
    </row>
    <row r="24" customFormat="false" ht="15" hidden="false" customHeight="false" outlineLevel="0" collapsed="false">
      <c r="A24" s="12" t="s">
        <v>213</v>
      </c>
    </row>
    <row r="25" customFormat="false" ht="15" hidden="false" customHeight="false" outlineLevel="0" collapsed="false">
      <c r="A25" s="6" t="s">
        <v>214</v>
      </c>
      <c r="B25" s="7" t="s">
        <v>215</v>
      </c>
      <c r="C25" s="7" t="s">
        <v>216</v>
      </c>
    </row>
    <row r="26" customFormat="false" ht="15" hidden="false" customHeight="false" outlineLevel="0" collapsed="false">
      <c r="A26" s="31" t="n">
        <v>20</v>
      </c>
      <c r="B26" s="14" t="n">
        <v>0.00874</v>
      </c>
      <c r="C26" s="14" t="n">
        <v>0.0887</v>
      </c>
    </row>
    <row r="27" customFormat="false" ht="15" hidden="false" customHeight="false" outlineLevel="0" collapsed="false">
      <c r="A27" s="31" t="n">
        <v>18</v>
      </c>
      <c r="B27" s="14" t="n">
        <v>0.03638</v>
      </c>
      <c r="C27" s="14" t="n">
        <v>0.23038</v>
      </c>
    </row>
    <row r="28" customFormat="false" ht="15" hidden="false" customHeight="false" outlineLevel="0" collapsed="false">
      <c r="A28" s="31" t="n">
        <v>17</v>
      </c>
      <c r="B28" s="14" t="n">
        <v>0.08812</v>
      </c>
      <c r="C28" s="14" t="n">
        <v>0.36928</v>
      </c>
    </row>
    <row r="29" customFormat="false" ht="15" hidden="false" customHeight="false" outlineLevel="0" collapsed="false">
      <c r="A29" s="31" t="n">
        <v>16</v>
      </c>
      <c r="B29" s="14" t="n">
        <v>0.2335</v>
      </c>
      <c r="C29" s="14" t="n">
        <v>0.5712</v>
      </c>
    </row>
    <row r="30" customFormat="false" ht="15" hidden="false" customHeight="false" outlineLevel="0" collapsed="false">
      <c r="A30" s="31" t="n">
        <v>15</v>
      </c>
      <c r="B30" s="14" t="n">
        <v>0.57244</v>
      </c>
      <c r="C30" s="14" t="n">
        <v>0.808</v>
      </c>
    </row>
    <row r="31" customFormat="false" ht="15" hidden="false" customHeight="false" outlineLevel="0" collapsed="false">
      <c r="A31" s="31" t="n">
        <v>14</v>
      </c>
      <c r="B31" s="14" t="n">
        <v>0.65372</v>
      </c>
      <c r="C31" s="14" t="n">
        <v>0.74698</v>
      </c>
    </row>
    <row r="32" customFormat="false" ht="15" hidden="false" customHeight="false" outlineLevel="0" collapsed="false">
      <c r="A32" s="31" t="n">
        <v>13</v>
      </c>
      <c r="B32" s="14" t="n">
        <v>0.19042</v>
      </c>
      <c r="C32" s="14" t="n">
        <v>0.34524</v>
      </c>
    </row>
    <row r="33" customFormat="false" ht="15" hidden="false" customHeight="false" outlineLevel="0" collapsed="false">
      <c r="A33" s="31" t="n">
        <v>12</v>
      </c>
      <c r="B33" s="14" t="n">
        <v>0.0495</v>
      </c>
      <c r="C33" s="14" t="n">
        <v>0.15014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4" t="s">
        <v>217</v>
      </c>
    </row>
    <row r="2" customFormat="false" ht="15" hidden="false" customHeight="false" outlineLevel="0" collapsed="false">
      <c r="A2" s="5" t="s">
        <v>218</v>
      </c>
    </row>
    <row r="4" customFormat="false" ht="15" hidden="false" customHeight="false" outlineLevel="0" collapsed="false">
      <c r="A4" s="12" t="s">
        <v>219</v>
      </c>
    </row>
    <row r="5" customFormat="false" ht="15" hidden="false" customHeight="false" outlineLevel="0" collapsed="false">
      <c r="A5" s="12" t="s">
        <v>220</v>
      </c>
      <c r="B5" s="34" t="n">
        <v>2</v>
      </c>
      <c r="C5" s="34" t="n">
        <v>2.5</v>
      </c>
      <c r="D5" s="34" t="n">
        <v>3</v>
      </c>
      <c r="E5" s="34" t="n">
        <v>3.5</v>
      </c>
    </row>
    <row r="6" customFormat="false" ht="15" hidden="false" customHeight="false" outlineLevel="0" collapsed="false">
      <c r="A6" s="18" t="n">
        <v>0.095</v>
      </c>
      <c r="B6" s="31" t="n">
        <f aca="false">(DCF!$B$13/(1+$A6)^1+DCF!$C$13/(1+$A6)^2+DCF!$D$13/(1+$A6)^3+DCF!$E$13/(1+$A6)^4+DCF!$F$13/(1+$A6)^5+DCF!$F$5*2/(1+$A6)^5+Assumptions!$B$7)/Assumptions!$B$6</f>
        <v>18.0654354823483</v>
      </c>
      <c r="C6" s="31" t="n">
        <f aca="false">(DCF!$B$13/(1+$A6)^1+DCF!$C$13/(1+$A6)^2+DCF!$D$13/(1+$A6)^3+DCF!$E$13/(1+$A6)^4+DCF!$F$13/(1+$A6)^5+DCF!$F$5*2.5/(1+$A6)^5+Assumptions!$B$7)/Assumptions!$B$6</f>
        <v>19.0659190551672</v>
      </c>
      <c r="D6" s="31" t="n">
        <f aca="false">(DCF!$B$13/(1+$A6)^1+DCF!$C$13/(1+$A6)^2+DCF!$D$13/(1+$A6)^3+DCF!$E$13/(1+$A6)^4+DCF!$F$13/(1+$A6)^5+DCF!$F$5*3/(1+$A6)^5+Assumptions!$B$7)/Assumptions!$B$6</f>
        <v>20.0664026279861</v>
      </c>
      <c r="E6" s="31" t="n">
        <f aca="false">(DCF!$B$13/(1+$A6)^1+DCF!$C$13/(1+$A6)^2+DCF!$D$13/(1+$A6)^3+DCF!$E$13/(1+$A6)^4+DCF!$F$13/(1+$A6)^5+DCF!$F$5*3.5/(1+$A6)^5+Assumptions!$B$7)/Assumptions!$B$6</f>
        <v>21.0668862008051</v>
      </c>
    </row>
    <row r="7" customFormat="false" ht="15" hidden="false" customHeight="false" outlineLevel="0" collapsed="false">
      <c r="A7" s="18" t="n">
        <v>0.11</v>
      </c>
      <c r="B7" s="31" t="n">
        <f aca="false">(DCF!$B$13/(1+$A7)^1+DCF!$C$13/(1+$A7)^2+DCF!$D$13/(1+$A7)^3+DCF!$E$13/(1+$A7)^4+DCF!$F$13/(1+$A7)^5+DCF!$F$5*2/(1+$A7)^5+Assumptions!$B$7)/Assumptions!$B$6</f>
        <v>17.4926695307206</v>
      </c>
      <c r="C7" s="31" t="n">
        <f aca="false">(DCF!$B$13/(1+$A7)^1+DCF!$C$13/(1+$A7)^2+DCF!$D$13/(1+$A7)^3+DCF!$E$13/(1+$A7)^4+DCF!$F$13/(1+$A7)^5+DCF!$F$5*2.5/(1+$A7)^5+Assumptions!$B$7)/Assumptions!$B$6</f>
        <v>18.4273553724128</v>
      </c>
      <c r="D7" s="31" t="n">
        <f aca="false">(DCF!$B$13/(1+$A7)^1+DCF!$C$13/(1+$A7)^2+DCF!$D$13/(1+$A7)^3+DCF!$E$13/(1+$A7)^4+DCF!$F$13/(1+$A7)^5+DCF!$F$5*3/(1+$A7)^5+Assumptions!$B$7)/Assumptions!$B$6</f>
        <v>19.362041214105</v>
      </c>
      <c r="E7" s="31" t="n">
        <f aca="false">(DCF!$B$13/(1+$A7)^1+DCF!$C$13/(1+$A7)^2+DCF!$D$13/(1+$A7)^3+DCF!$E$13/(1+$A7)^4+DCF!$F$13/(1+$A7)^5+DCF!$F$5*3.5/(1+$A7)^5+Assumptions!$B$7)/Assumptions!$B$6</f>
        <v>20.2967270557973</v>
      </c>
    </row>
    <row r="8" customFormat="false" ht="15" hidden="false" customHeight="false" outlineLevel="0" collapsed="false">
      <c r="A8" s="18" t="n">
        <v>0.125</v>
      </c>
      <c r="B8" s="31" t="n">
        <f aca="false">(DCF!$B$13/(1+$A8)^1+DCF!$C$13/(1+$A8)^2+DCF!$D$13/(1+$A8)^3+DCF!$E$13/(1+$A8)^4+DCF!$F$13/(1+$A8)^5+DCF!$F$5*2/(1+$A8)^5+Assumptions!$B$7)/Assumptions!$B$6</f>
        <v>16.9576172466934</v>
      </c>
      <c r="C8" s="31" t="n">
        <f aca="false">(DCF!$B$13/(1+$A8)^1+DCF!$C$13/(1+$A8)^2+DCF!$D$13/(1+$A8)^3+DCF!$E$13/(1+$A8)^4+DCF!$F$13/(1+$A8)^5+DCF!$F$5*2.5/(1+$A8)^5+Assumptions!$B$7)/Assumptions!$B$6</f>
        <v>17.8316303544514</v>
      </c>
      <c r="D8" s="31" t="n">
        <f aca="false">(DCF!$B$13/(1+$A8)^1+DCF!$C$13/(1+$A8)^2+DCF!$D$13/(1+$A8)^3+DCF!$E$13/(1+$A8)^4+DCF!$F$13/(1+$A8)^5+DCF!$F$5*3/(1+$A8)^5+Assumptions!$B$7)/Assumptions!$B$6</f>
        <v>18.7056434622094</v>
      </c>
      <c r="E8" s="31" t="n">
        <f aca="false">(DCF!$B$13/(1+$A8)^1+DCF!$C$13/(1+$A8)^2+DCF!$D$13/(1+$A8)^3+DCF!$E$13/(1+$A8)^4+DCF!$F$13/(1+$A8)^5+DCF!$F$5*3.5/(1+$A8)^5+Assumptions!$B$7)/Assumptions!$B$6</f>
        <v>19.5796565699673</v>
      </c>
    </row>
    <row r="9" customFormat="false" ht="15" hidden="false" customHeight="false" outlineLevel="0" collapsed="false">
      <c r="A9" s="18" t="n">
        <v>0.14</v>
      </c>
      <c r="B9" s="31" t="n">
        <f aca="false">(DCF!$B$13/(1+$A9)^1+DCF!$C$13/(1+$A9)^2+DCF!$D$13/(1+$A9)^3+DCF!$E$13/(1+$A9)^4+DCF!$F$13/(1+$A9)^5+DCF!$F$5*2/(1+$A9)^5+Assumptions!$B$7)/Assumptions!$B$6</f>
        <v>16.4571885296842</v>
      </c>
      <c r="C9" s="31" t="n">
        <f aca="false">(DCF!$B$13/(1+$A9)^1+DCF!$C$13/(1+$A9)^2+DCF!$D$13/(1+$A9)^3+DCF!$E$13/(1+$A9)^4+DCF!$F$13/(1+$A9)^5+DCF!$F$5*2.5/(1+$A9)^5+Assumptions!$B$7)/Assumptions!$B$6</f>
        <v>17.2751941760509</v>
      </c>
      <c r="D9" s="31" t="n">
        <f aca="false">(DCF!$B$13/(1+$A9)^1+DCF!$C$13/(1+$A9)^2+DCF!$D$13/(1+$A9)^3+DCF!$E$13/(1+$A9)^4+DCF!$F$13/(1+$A9)^5+DCF!$F$5*3/(1+$A9)^5+Assumptions!$B$7)/Assumptions!$B$6</f>
        <v>18.0931998224176</v>
      </c>
      <c r="E9" s="31" t="n">
        <f aca="false">(DCF!$B$13/(1+$A9)^1+DCF!$C$13/(1+$A9)^2+DCF!$D$13/(1+$A9)^3+DCF!$E$13/(1+$A9)^4+DCF!$F$13/(1+$A9)^5+DCF!$F$5*3.5/(1+$A9)^5+Assumptions!$B$7)/Assumptions!$B$6</f>
        <v>18.9112054687843</v>
      </c>
    </row>
    <row r="11" customFormat="false" ht="15" hidden="false" customHeight="false" outlineLevel="0" collapsed="false">
      <c r="A11" s="12" t="s">
        <v>221</v>
      </c>
    </row>
    <row r="12" customFormat="false" ht="15" hidden="false" customHeight="false" outlineLevel="0" collapsed="false">
      <c r="A12" s="12" t="s">
        <v>222</v>
      </c>
      <c r="B12" s="23" t="n">
        <v>16</v>
      </c>
      <c r="C12" s="23" t="n">
        <v>20</v>
      </c>
      <c r="D12" s="23" t="n">
        <v>24</v>
      </c>
      <c r="E12" s="23" t="n">
        <v>28</v>
      </c>
    </row>
    <row r="13" customFormat="false" ht="15" hidden="false" customHeight="false" outlineLevel="0" collapsed="false">
      <c r="A13" s="18" t="n">
        <v>0.3</v>
      </c>
      <c r="B13" s="31" t="n">
        <f aca="false">(16*1000+Assumptions!$B$8*$A13*SOTP!$B$5+Assumptions!$B$23+Assumptions!$B$24)/Assumptions!$B$6</f>
        <v>15.2981511964257</v>
      </c>
      <c r="C13" s="31" t="n">
        <f aca="false">(20*1000+Assumptions!$B$8*$A13*SOTP!$B$5+Assumptions!$B$23+Assumptions!$B$24)/Assumptions!$B$6</f>
        <v>16.2981511964257</v>
      </c>
      <c r="D13" s="31" t="n">
        <f aca="false">(24*1000+Assumptions!$B$8*$A13*SOTP!$B$5+Assumptions!$B$23+Assumptions!$B$24)/Assumptions!$B$6</f>
        <v>17.2981511964257</v>
      </c>
      <c r="E13" s="31" t="n">
        <f aca="false">(28*1000+Assumptions!$B$8*$A13*SOTP!$B$5+Assumptions!$B$23+Assumptions!$B$24)/Assumptions!$B$6</f>
        <v>18.2981511964257</v>
      </c>
    </row>
    <row r="14" customFormat="false" ht="15" hidden="false" customHeight="false" outlineLevel="0" collapsed="false">
      <c r="A14" s="18" t="n">
        <v>0.35</v>
      </c>
      <c r="B14" s="31" t="n">
        <f aca="false">(16*1000+Assumptions!$B$8*$A14*SOTP!$B$5+Assumptions!$B$23+Assumptions!$B$24)/Assumptions!$B$6</f>
        <v>16.55617639583</v>
      </c>
      <c r="C14" s="31" t="n">
        <f aca="false">(20*1000+Assumptions!$B$8*$A14*SOTP!$B$5+Assumptions!$B$23+Assumptions!$B$24)/Assumptions!$B$6</f>
        <v>17.55617639583</v>
      </c>
      <c r="D14" s="31" t="n">
        <f aca="false">(24*1000+Assumptions!$B$8*$A14*SOTP!$B$5+Assumptions!$B$23+Assumptions!$B$24)/Assumptions!$B$6</f>
        <v>18.55617639583</v>
      </c>
      <c r="E14" s="31" t="n">
        <f aca="false">(28*1000+Assumptions!$B$8*$A14*SOTP!$B$5+Assumptions!$B$23+Assumptions!$B$24)/Assumptions!$B$6</f>
        <v>19.55617639583</v>
      </c>
    </row>
    <row r="15" customFormat="false" ht="15" hidden="false" customHeight="false" outlineLevel="0" collapsed="false">
      <c r="A15" s="18" t="n">
        <v>0.4</v>
      </c>
      <c r="B15" s="31" t="n">
        <f aca="false">(16*1000+Assumptions!$B$8*$A15*SOTP!$B$5+Assumptions!$B$23+Assumptions!$B$24)/Assumptions!$B$6</f>
        <v>17.8142015952343</v>
      </c>
      <c r="C15" s="31" t="n">
        <f aca="false">(20*1000+Assumptions!$B$8*$A15*SOTP!$B$5+Assumptions!$B$23+Assumptions!$B$24)/Assumptions!$B$6</f>
        <v>18.8142015952343</v>
      </c>
      <c r="D15" s="31" t="n">
        <f aca="false">(24*1000+Assumptions!$B$8*$A15*SOTP!$B$5+Assumptions!$B$23+Assumptions!$B$24)/Assumptions!$B$6</f>
        <v>19.8142015952343</v>
      </c>
      <c r="E15" s="31" t="n">
        <f aca="false">(28*1000+Assumptions!$B$8*$A15*SOTP!$B$5+Assumptions!$B$23+Assumptions!$B$24)/Assumptions!$B$6</f>
        <v>20.8142015952343</v>
      </c>
    </row>
    <row r="16" customFormat="false" ht="15" hidden="false" customHeight="false" outlineLevel="0" collapsed="false">
      <c r="A16" s="18" t="n">
        <v>0.45</v>
      </c>
      <c r="B16" s="31" t="n">
        <f aca="false">(16*1000+Assumptions!$B$8*$A16*SOTP!$B$5+Assumptions!$B$23+Assumptions!$B$24)/Assumptions!$B$6</f>
        <v>19.0722267946386</v>
      </c>
      <c r="C16" s="31" t="n">
        <f aca="false">(20*1000+Assumptions!$B$8*$A16*SOTP!$B$5+Assumptions!$B$23+Assumptions!$B$24)/Assumptions!$B$6</f>
        <v>20.0722267946386</v>
      </c>
      <c r="D16" s="31" t="n">
        <f aca="false">(24*1000+Assumptions!$B$8*$A16*SOTP!$B$5+Assumptions!$B$23+Assumptions!$B$24)/Assumptions!$B$6</f>
        <v>21.0722267946386</v>
      </c>
      <c r="E16" s="31" t="n">
        <f aca="false">(28*1000+Assumptions!$B$8*$A16*SOTP!$B$5+Assumptions!$B$23+Assumptions!$B$24)/Assumptions!$B$6</f>
        <v>22.0722267946386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4" t="s">
        <v>223</v>
      </c>
    </row>
    <row r="2" customFormat="false" ht="15" hidden="false" customHeight="false" outlineLevel="0" collapsed="false">
      <c r="A2" s="5" t="s">
        <v>224</v>
      </c>
    </row>
    <row r="3" customFormat="false" ht="15" hidden="false" customHeight="false" outlineLevel="0" collapsed="false">
      <c r="A3" s="6" t="s">
        <v>225</v>
      </c>
      <c r="B3" s="7" t="s">
        <v>146</v>
      </c>
      <c r="C3" s="7" t="s">
        <v>147</v>
      </c>
      <c r="D3" s="7" t="s">
        <v>148</v>
      </c>
    </row>
    <row r="4" customFormat="false" ht="15" hidden="false" customHeight="false" outlineLevel="0" collapsed="false">
      <c r="A4" s="8" t="s">
        <v>158</v>
      </c>
      <c r="B4" s="9" t="n">
        <v>1.66</v>
      </c>
      <c r="C4" s="9" t="n">
        <v>1.91</v>
      </c>
      <c r="D4" s="9" t="n">
        <v>2.83</v>
      </c>
    </row>
    <row r="5" customFormat="false" ht="15" hidden="false" customHeight="false" outlineLevel="0" collapsed="false">
      <c r="A5" s="8" t="s">
        <v>226</v>
      </c>
      <c r="B5" s="9" t="n">
        <v>0.52</v>
      </c>
      <c r="C5" s="9" t="n">
        <v>0.68</v>
      </c>
      <c r="D5" s="9" t="n">
        <v>1</v>
      </c>
    </row>
    <row r="6" customFormat="false" ht="15" hidden="false" customHeight="false" outlineLevel="0" collapsed="false">
      <c r="A6" s="8" t="s">
        <v>227</v>
      </c>
      <c r="B6" s="9" t="n">
        <v>5</v>
      </c>
      <c r="C6" s="9" t="n">
        <v>5.5</v>
      </c>
      <c r="D6" s="9" t="n">
        <v>6.75</v>
      </c>
    </row>
    <row r="7" customFormat="false" ht="15" hidden="false" customHeight="false" outlineLevel="0" collapsed="false">
      <c r="A7" s="8" t="s">
        <v>228</v>
      </c>
      <c r="B7" s="20" t="n">
        <v>8.6</v>
      </c>
      <c r="C7" s="20" t="n">
        <v>7.5</v>
      </c>
      <c r="D7" s="25" t="n">
        <f aca="false">Assumptions!$B$5/2.83</f>
        <v>5.03886925795053</v>
      </c>
    </row>
    <row r="8" customFormat="false" ht="15" hidden="false" customHeight="false" outlineLevel="0" collapsed="false">
      <c r="A8" s="8" t="s">
        <v>229</v>
      </c>
      <c r="B8" s="11" t="n">
        <f aca="false">0.52/Assumptions!$B$5</f>
        <v>0.0364656381486676</v>
      </c>
      <c r="C8" s="11" t="n">
        <f aca="false">0.68/Assumptions!$B$5</f>
        <v>0.0476858345021038</v>
      </c>
      <c r="D8" s="11" t="n">
        <f aca="false">1/Assumptions!$B$5</f>
        <v>0.0701262272089762</v>
      </c>
    </row>
    <row r="9" customFormat="false" ht="15" hidden="false" customHeight="false" outlineLevel="0" collapsed="false">
      <c r="A9" s="8" t="s">
        <v>230</v>
      </c>
      <c r="D9" s="25" t="n">
        <f aca="false">(Assumptions!$B$5*Assumptions!$B$6-Assumptions!$B$7)/14300</f>
        <v>2.59020979020979</v>
      </c>
    </row>
    <row r="10" customFormat="false" ht="15" hidden="false" customHeight="false" outlineLevel="0" collapsed="false">
      <c r="A10" s="8" t="s">
        <v>231</v>
      </c>
      <c r="B10" s="18" t="n">
        <v>0.557</v>
      </c>
      <c r="C10" s="18" t="n">
        <v>0.398</v>
      </c>
      <c r="D10" s="18" t="n">
        <v>0.412</v>
      </c>
    </row>
    <row r="11" customFormat="false" ht="15" hidden="false" customHeight="false" outlineLevel="0" collapsed="false">
      <c r="A11" s="8" t="s">
        <v>232</v>
      </c>
      <c r="B11" s="18" t="n">
        <v>0.33</v>
      </c>
      <c r="C11" s="18" t="n">
        <v>0.35</v>
      </c>
      <c r="D11" s="18" t="n">
        <v>0.375</v>
      </c>
    </row>
    <row r="12" customFormat="false" ht="15" hidden="false" customHeight="false" outlineLevel="0" collapsed="false">
      <c r="A12" s="8" t="s">
        <v>233</v>
      </c>
      <c r="D12" s="18" t="n">
        <v>0.21</v>
      </c>
    </row>
    <row r="13" customFormat="false" ht="15" hidden="false" customHeight="false" outlineLevel="0" collapsed="false">
      <c r="A13" s="8" t="s">
        <v>234</v>
      </c>
      <c r="B13" s="20" t="n">
        <v>-2</v>
      </c>
      <c r="C13" s="20" t="n">
        <v>-1.9</v>
      </c>
      <c r="D13" s="20" t="n">
        <v>-1.4</v>
      </c>
    </row>
    <row r="14" customFormat="false" ht="15" hidden="false" customHeight="false" outlineLevel="0" collapsed="false">
      <c r="A14" s="8" t="s">
        <v>235</v>
      </c>
      <c r="B14" s="25" t="n">
        <f aca="false">57100/11921</f>
        <v>4.78986662192769</v>
      </c>
      <c r="C14" s="25" t="n">
        <f aca="false">90900/19147</f>
        <v>4.7474800229801</v>
      </c>
      <c r="D14" s="25" t="n">
        <f aca="false">125200/27486</f>
        <v>4.5550462053409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4" t="s">
        <v>236</v>
      </c>
    </row>
    <row r="2" customFormat="false" ht="15" hidden="false" customHeight="false" outlineLevel="0" collapsed="false">
      <c r="A2" s="5" t="s">
        <v>237</v>
      </c>
    </row>
    <row r="4" customFormat="false" ht="15" hidden="false" customHeight="false" outlineLevel="0" collapsed="false">
      <c r="A4" s="6" t="s">
        <v>238</v>
      </c>
      <c r="B4" s="7" t="s">
        <v>228</v>
      </c>
      <c r="C4" s="7" t="s">
        <v>239</v>
      </c>
      <c r="D4" s="7" t="s">
        <v>240</v>
      </c>
      <c r="E4" s="7" t="s">
        <v>241</v>
      </c>
    </row>
    <row r="5" customFormat="false" ht="15" hidden="false" customHeight="false" outlineLevel="0" collapsed="false">
      <c r="A5" s="8" t="s">
        <v>242</v>
      </c>
      <c r="B5" s="24" t="s">
        <v>243</v>
      </c>
      <c r="C5" s="24" t="s">
        <v>244</v>
      </c>
      <c r="D5" s="24" t="s">
        <v>245</v>
      </c>
      <c r="E5" s="24" t="s">
        <v>246</v>
      </c>
    </row>
    <row r="6" customFormat="false" ht="15" hidden="false" customHeight="false" outlineLevel="0" collapsed="false">
      <c r="A6" s="8" t="s">
        <v>247</v>
      </c>
      <c r="B6" s="24" t="s">
        <v>248</v>
      </c>
      <c r="C6" s="24" t="s">
        <v>249</v>
      </c>
      <c r="D6" s="24" t="s">
        <v>250</v>
      </c>
      <c r="E6" s="24" t="s">
        <v>251</v>
      </c>
    </row>
    <row r="7" customFormat="false" ht="15" hidden="false" customHeight="false" outlineLevel="0" collapsed="false">
      <c r="A7" s="8" t="s">
        <v>252</v>
      </c>
      <c r="B7" s="24" t="s">
        <v>253</v>
      </c>
      <c r="C7" s="24" t="s">
        <v>254</v>
      </c>
      <c r="D7" s="24" t="s">
        <v>255</v>
      </c>
      <c r="E7" s="24" t="s">
        <v>256</v>
      </c>
    </row>
    <row r="8" customFormat="false" ht="15" hidden="false" customHeight="false" outlineLevel="0" collapsed="false">
      <c r="A8" s="8" t="s">
        <v>257</v>
      </c>
      <c r="B8" s="24" t="s">
        <v>258</v>
      </c>
      <c r="C8" s="24" t="s">
        <v>259</v>
      </c>
      <c r="D8" s="24" t="s">
        <v>260</v>
      </c>
      <c r="E8" s="24" t="s">
        <v>261</v>
      </c>
    </row>
    <row r="9" customFormat="false" ht="15" hidden="false" customHeight="false" outlineLevel="0" collapsed="false">
      <c r="A9" s="8" t="s">
        <v>262</v>
      </c>
      <c r="B9" s="24" t="s">
        <v>263</v>
      </c>
      <c r="C9" s="24" t="s">
        <v>263</v>
      </c>
      <c r="D9" s="24" t="s">
        <v>263</v>
      </c>
      <c r="E9" s="24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2026-07-08T08:51:39Z</dcterms:created>
  <dc:creator>openpyxl</dc:creator>
  <dc:description/>
  <dc:language>en-US</dc:language>
  <cp:lastModifiedBy/>
  <dcterms:modified xsi:type="dcterms:W3CDTF">2026-07-08T08:51:39Z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