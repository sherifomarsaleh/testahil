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Earnings Power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<sst xmlns="http://schemas.openxmlformats.org/spreadsheetml/2006/main" count="322" uniqueCount="231">
  <si>
    <t xml:space="preserve">Testahil · Independent Valuation Study — Educational Analysis · Egypt Aluminum (EGX: EGAL)</t>
  </si>
  <si>
    <t xml:space="preserve">This workbook is the companion model to the EGAL valuation study dated 03 Jul 2026. It is educational analysis, not investment advice, not a recommendation, and contains no price target or rating.</t>
  </si>
  <si>
    <t xml:space="preserve">HOW TO USE — every input lives on the Assumptions sheet (blue cells). Change any blue cell (e.g. the WACC, terminal growth, normalized LME, the EV/EBITDA multiple, the payout ratio) and the whole model — DCF, relative and normalized lenses, forecast statements, per-share output — reprices. No downstream sheet hard-codes a duplicate of an assumption.</t>
  </si>
  <si>
    <t xml:space="preserve">COLOR CODE — blue: hard-coded inputs &amp; judgments · black: formulas · green: links from other sheets.</t>
  </si>
  <si>
    <t xml:space="preserve">SOURCES — historical figures are from company disclosure via EGX/Mubasher (FY22/23–FY24/25 results; 9M FY25/26 release) and are commented where hard-coded. Forward inputs are the preparer's judgments.</t>
  </si>
  <si>
    <t xml:space="preserve">DISCLOSURE — the preparer may hold, and may in the future take or dispose of, a position in the security discussed. The preparer is not licensed by any securities regulator (including the Egyptian FRA).</t>
  </si>
  <si>
    <t xml:space="preserve">Summary — every read at a glance (EGAL · 01 Jul 2026 spot EGP 285.88)</t>
  </si>
  <si>
    <t xml:space="preserve">Read</t>
  </si>
  <si>
    <t xml:space="preserve">Output</t>
  </si>
  <si>
    <t xml:space="preserve">vs spot / note</t>
  </si>
  <si>
    <t xml:space="preserve">Spot (EGP, 01 Jul 2026)</t>
  </si>
  <si>
    <t xml:space="preserve">—</t>
  </si>
  <si>
    <t xml:space="preserve">Market cap (EGP m)</t>
  </si>
  <si>
    <t xml:space="preserve">412.5 m shares</t>
  </si>
  <si>
    <t xml:space="preserve">DCF (primary)</t>
  </si>
  <si>
    <t xml:space="preserve">Relative multiples</t>
  </si>
  <si>
    <t xml:space="preserve">Normalized earnings power</t>
  </si>
  <si>
    <t xml:space="preserve">Replacement cost / EV per tonne</t>
  </si>
  <si>
    <t xml:space="preserve">Weighted central</t>
  </si>
  <si>
    <t xml:space="preserve">Monte Carlo T+60 median (paths from spot)</t>
  </si>
  <si>
    <t xml:space="preserve">50k paths · seed 42</t>
  </si>
  <si>
    <t xml:space="preserve">Monte Carlo T+60 p5–p95</t>
  </si>
  <si>
    <t xml:space="preserve">232–452</t>
  </si>
  <si>
    <t xml:space="preserve">engine: YZ-HAR · t5 · secular drift</t>
  </si>
  <si>
    <t xml:space="preserve">Step 0 CRPS skill vs RW benchmark</t>
  </si>
  <si>
    <t xml:space="preserve">PASS (&gt; 0)</t>
  </si>
  <si>
    <t xml:space="preserve">Fundamental valuation — four lenses, weights, and the central value</t>
  </si>
  <si>
    <t xml:space="preserve">Replacement-cost / EV-per-tonne lens</t>
  </si>
  <si>
    <t xml:space="preserve">Capacity (kt) × US$/t × EGP/USD (EGP m)</t>
  </si>
  <si>
    <t xml:space="preserve">× (1 − age/technology discount)</t>
  </si>
  <si>
    <t xml:space="preserve">+ Expansion option credit (Trafigura, part)</t>
  </si>
  <si>
    <t xml:space="preserve">+ Net cash</t>
  </si>
  <si>
    <t xml:space="preserve">Equity value</t>
  </si>
  <si>
    <t xml:space="preserve">Replacement value per share (EGP)</t>
  </si>
  <si>
    <t xml:space="preserve">Synthesis</t>
  </si>
  <si>
    <t xml:space="preserve">Lens</t>
  </si>
  <si>
    <t xml:space="preserve">Weight</t>
  </si>
  <si>
    <t xml:space="preserve">Bear</t>
  </si>
  <si>
    <t xml:space="preserve">Base</t>
  </si>
  <si>
    <t xml:space="preserve">Bull</t>
  </si>
  <si>
    <t xml:space="preserve">Discounted cash flow (primary)</t>
  </si>
  <si>
    <t xml:space="preserve">vs spot</t>
  </si>
  <si>
    <t xml:space="preserve">Assumptions — the single blue-cell input layer (all judgments live here)</t>
  </si>
  <si>
    <t xml:space="preserve">Market &amp; share data</t>
  </si>
  <si>
    <t xml:space="preserve">Spot price (EGP, 01 Jul 2026 close)</t>
  </si>
  <si>
    <t xml:space="preserve">Shares outstanding (m)</t>
  </si>
  <si>
    <t xml:space="preserve">Net cash, est. 30 Jun 2026 (EGP m)</t>
  </si>
  <si>
    <t xml:space="preserve">EGP/USD (03 Jul 2026)</t>
  </si>
  <si>
    <t xml:space="preserve">Valuation core</t>
  </si>
  <si>
    <t xml:space="preserve">WACC (nominal EGP)</t>
  </si>
  <si>
    <t xml:space="preserve">Terminal growth (nominal EGP)</t>
  </si>
  <si>
    <t xml:space="preserve">Tax rate</t>
  </si>
  <si>
    <t xml:space="preserve">EV/EBITDA multiple (relative lens)</t>
  </si>
  <si>
    <t xml:space="preserve">Normalized EBITDA (EGP m, mid-cycle)</t>
  </si>
  <si>
    <t xml:space="preserve">Justified P/E (normalized lens)</t>
  </si>
  <si>
    <t xml:space="preserve">Mid-cycle net profit (EGP m)</t>
  </si>
  <si>
    <t xml:space="preserve">Replacement cost (US$/t capacity)</t>
  </si>
  <si>
    <t xml:space="preserve">Capacity (kt/yr)</t>
  </si>
  <si>
    <t xml:space="preserve">Age/technology discount (replacement lens)</t>
  </si>
  <si>
    <t xml:space="preserve">Expansion option credit (EGP m)</t>
  </si>
  <si>
    <t xml:space="preserve">Lens weights: DCF / Relative / Normalized / Replacement</t>
  </si>
  <si>
    <t xml:space="preserve">  w DCF</t>
  </si>
  <si>
    <t xml:space="preserve">  w Relative</t>
  </si>
  <si>
    <t xml:space="preserve">  w Normalized</t>
  </si>
  <si>
    <t xml:space="preserve">  w Replacement</t>
  </si>
  <si>
    <t xml:space="preserve">Operating drivers (forecast years F26E–F31E)</t>
  </si>
  <si>
    <t xml:space="preserve">Driver</t>
  </si>
  <si>
    <t xml:space="preserve">F26E</t>
  </si>
  <si>
    <t xml:space="preserve">F27E</t>
  </si>
  <si>
    <t xml:space="preserve">F28E</t>
  </si>
  <si>
    <t xml:space="preserve">F29E</t>
  </si>
  <si>
    <t xml:space="preserve">F30E</t>
  </si>
  <si>
    <t xml:space="preserve">F31E</t>
  </si>
  <si>
    <t xml:space="preserve">Revenue growth</t>
  </si>
  <si>
    <t xml:space="preserve">Gross margin</t>
  </si>
  <si>
    <t xml:space="preserve">SG&amp;A % of revenue</t>
  </si>
  <si>
    <t xml:space="preserve">D&amp;A (EGP m)</t>
  </si>
  <si>
    <t xml:space="preserve">Net interest income (EGP m)</t>
  </si>
  <si>
    <t xml:space="preserve">Capex (EGP m)</t>
  </si>
  <si>
    <t xml:space="preserve">Change in WC % of Δrevenue</t>
  </si>
  <si>
    <t xml:space="preserve">Dividend payout (of prior-yr NP)</t>
  </si>
  <si>
    <t xml:space="preserve">Sources: FY22/23–FY24/25 company results via EGX/Mubasher (24 Aug 2025 release for FY24/25); 9M FY25/26 EGP 10.4bn NP (May 2026); company FY25/26 target EGP 13.71bn and FY26/27 budget EGP 11.1bn; Trafigura partnership releases 6/10 May 2026; net cash anchored to Sep-2025 disclosed EGP 6.9bn rolled forward (derived).</t>
  </si>
  <si>
    <t xml:space="preserve">Normalized earnings power — the mid-cycle build behind the DCF &amp; normalized lens</t>
  </si>
  <si>
    <t xml:space="preserve">LME aluminium (US$/t, mid-cycle)</t>
  </si>
  <si>
    <t xml:space="preserve">Realized premium / product mix (%)</t>
  </si>
  <si>
    <t xml:space="preserve">Sales volume (kt)</t>
  </si>
  <si>
    <t xml:space="preserve">EGP/USD</t>
  </si>
  <si>
    <t xml:space="preserve">Revenue (EGP m)</t>
  </si>
  <si>
    <t xml:space="preserve">EBITDA margin</t>
  </si>
  <si>
    <t xml:space="preserve">Normalized EBITDA (EGP m)</t>
  </si>
  <si>
    <t xml:space="preserve">Mid-cycle net profit ≈ (EBITDA−D&amp;A)×(1−t)+int (EGP m)</t>
  </si>
  <si>
    <t xml:space="preserve">Base build lands EBITDA ≈ 13.6bn and NP ≈ 11.3bn — the Assumptions inputs (13,500 / 11,500) sit on this build; reconcile after edits.</t>
  </si>
  <si>
    <t xml:space="preserve">Segments — export vs local, and the FY24/25 revenue mix</t>
  </si>
  <si>
    <t xml:space="preserve">Segment</t>
  </si>
  <si>
    <t xml:space="preserve">FY23/24</t>
  </si>
  <si>
    <t xml:space="preserve">FY24/25</t>
  </si>
  <si>
    <t xml:space="preserve">Share FY24/25</t>
  </si>
  <si>
    <t xml:space="preserve">Note</t>
  </si>
  <si>
    <t xml:space="preserve">Export sales (EGP m)</t>
  </si>
  <si>
    <t xml:space="preserve">LME-linked, USD-denominated (~60% EU-bound)</t>
  </si>
  <si>
    <t xml:space="preserve">Local sales (EGP m)</t>
  </si>
  <si>
    <t xml:space="preserve">Domestic ingot/billet/rod demand</t>
  </si>
  <si>
    <t xml:space="preserve">Total revenue</t>
  </si>
  <si>
    <t xml:space="preserve">links to Income Statement</t>
  </si>
  <si>
    <t xml:space="preserve">Production (kt, est.)</t>
  </si>
  <si>
    <t xml:space="preserve">vs ~320 kt nameplate</t>
  </si>
  <si>
    <t xml:space="preserve">Implied realization (EGP k/t)</t>
  </si>
  <si>
    <t xml:space="preserve">Revenue / volume</t>
  </si>
  <si>
    <t xml:space="preserve">Relative multiples &amp; normalized earnings — two cross-check lenses</t>
  </si>
  <si>
    <t xml:space="preserve">Relative lens</t>
  </si>
  <si>
    <t xml:space="preserve">EBITDA basis (EGP m)</t>
  </si>
  <si>
    <t xml:space="preserve">EV/EBITDA multiple</t>
  </si>
  <si>
    <t xml:space="preserve">Enterprise value</t>
  </si>
  <si>
    <t xml:space="preserve">Value per share (EGP)</t>
  </si>
  <si>
    <t xml:space="preserve">Normalized-earnings lens</t>
  </si>
  <si>
    <t xml:space="preserve">Justified P/E</t>
  </si>
  <si>
    <t xml:space="preserve">Discounted cash flow — FCFF, primary lens (explicit F27E–F31E + terminal)</t>
  </si>
  <si>
    <t xml:space="preserve">EGP m</t>
  </si>
  <si>
    <t xml:space="preserve">EBIT</t>
  </si>
  <si>
    <t xml:space="preserve">NOPAT = EBIT × (1 − tax)</t>
  </si>
  <si>
    <t xml:space="preserve">+ D&amp;A</t>
  </si>
  <si>
    <t xml:space="preserve">− Capex</t>
  </si>
  <si>
    <t xml:space="preserve">− Change in WC</t>
  </si>
  <si>
    <t xml:space="preserve">FCFF</t>
  </si>
  <si>
    <t xml:space="preserve">Discount factor</t>
  </si>
  <si>
    <t xml:space="preserve">PV of FCFF</t>
  </si>
  <si>
    <t xml:space="preserve">Σ PV explicit FCFF</t>
  </si>
  <si>
    <t xml:space="preserve">Terminal value (Gordon, on F31E FCFF)</t>
  </si>
  <si>
    <t xml:space="preserve">PV of terminal value</t>
  </si>
  <si>
    <t xml:space="preserve">DCF value per share (EGP)</t>
  </si>
  <si>
    <t xml:space="preserve">Upside / (downside) vs spot</t>
  </si>
  <si>
    <t xml:space="preserve">Income statement — 3yr historical (reported/derived) + FY25/26E bridge + 5yr forecast</t>
  </si>
  <si>
    <t xml:space="preserve">FY22/23</t>
  </si>
  <si>
    <t xml:space="preserve">Revenue</t>
  </si>
  <si>
    <t xml:space="preserve">COGS</t>
  </si>
  <si>
    <t xml:space="preserve">Gross profit</t>
  </si>
  <si>
    <t xml:space="preserve">SG&amp;A &amp; other opex</t>
  </si>
  <si>
    <t xml:space="preserve">D&amp;A (memo, in COGS/opex)</t>
  </si>
  <si>
    <t xml:space="preserve">EBITDA</t>
  </si>
  <si>
    <t xml:space="preserve">Net interest income</t>
  </si>
  <si>
    <t xml:space="preserve">FX &amp; one-off items</t>
  </si>
  <si>
    <t xml:space="preserve">Profit before tax</t>
  </si>
  <si>
    <t xml:space="preserve">Income tax</t>
  </si>
  <si>
    <t xml:space="preserve">Net profit after tax</t>
  </si>
  <si>
    <t xml:space="preserve">EPS (EGP)</t>
  </si>
  <si>
    <t xml:space="preserve">Sources: FY22/23–FY24/25 reported (EGX/Mubasher, FY24/25 release 24 Aug 2025); COGS/SG&amp;A split, D&amp;A and interest are derived from disclosed EBIT/tax anchors and flagged as estimates. FY25/26E bridges 9M actual EGP 10.4bn NP to ~EGP 13.4bn.</t>
  </si>
  <si>
    <t xml:space="preserve">Balance sheet — 3yr historical (anchored/derived) + forecast</t>
  </si>
  <si>
    <t xml:space="preserve">Cash &amp; ST investments</t>
  </si>
  <si>
    <t xml:space="preserve">Receivables</t>
  </si>
  <si>
    <t xml:space="preserve">Inventories</t>
  </si>
  <si>
    <t xml:space="preserve">PP&amp;E, net</t>
  </si>
  <si>
    <t xml:space="preserve">Other assets</t>
  </si>
  <si>
    <t xml:space="preserve">Total assets</t>
  </si>
  <si>
    <t xml:space="preserve">Payables &amp; accruals</t>
  </si>
  <si>
    <t xml:space="preserve">Debt</t>
  </si>
  <si>
    <t xml:space="preserve">Shareholders equity</t>
  </si>
  <si>
    <t xml:space="preserve">Provisions &amp; other liabilities</t>
  </si>
  <si>
    <t xml:space="preserve">Total liabilities &amp; equity</t>
  </si>
  <si>
    <t xml:space="preserve">Check (TA − TL&amp;E)</t>
  </si>
  <si>
    <t xml:space="preserve">Net cash</t>
  </si>
  <si>
    <t xml:space="preserve">BVPS (EGP)</t>
  </si>
  <si>
    <t xml:space="preserve">Historical columns are anchored to disclosed items (cash/net cash, capital EGP 1,650m = 412.5m shares) with remaining lines derived to reconcile; forecast provisions line is the balancing item. Flagged as reconstruction, not audited statements.</t>
  </si>
  <si>
    <t xml:space="preserve">Cash flow — derived historical + forecast</t>
  </si>
  <si>
    <t xml:space="preserve">Net profit</t>
  </si>
  <si>
    <t xml:space="preserve">D&amp;A</t>
  </si>
  <si>
    <t xml:space="preserve">Change in working capital</t>
  </si>
  <si>
    <t xml:space="preserve">Operating cash flow</t>
  </si>
  <si>
    <t xml:space="preserve">Capex</t>
  </si>
  <si>
    <t xml:space="preserve">Free cash flow</t>
  </si>
  <si>
    <t xml:space="preserve">Other / FX &amp; adjustments (plug)</t>
  </si>
  <si>
    <t xml:space="preserve">Dividends paid</t>
  </si>
  <si>
    <t xml:space="preserve">Net change in cash</t>
  </si>
  <si>
    <t xml:space="preserve">Opening cash</t>
  </si>
  <si>
    <t xml:space="preserve">Closing cash</t>
  </si>
  <si>
    <t xml:space="preserve">Historical CF is derived (plug reconciles to cash anchors); dividends: DPS 2.50 (FY23), 3.00 (FY24), 8.00 (FY25 pay), FY24/25 distribution of EGP 10.00/sh assumed paid in F26E.</t>
  </si>
  <si>
    <t xml:space="preserve">Summary financials — every cell links to the statement sheets</t>
  </si>
  <si>
    <t xml:space="preserve">Monte Carlo — YZ-HAR width · Student-t(5) shape · secular drift · 16 factors · 50,000 paths · seed 42</t>
  </si>
  <si>
    <t xml:space="preserve">Percentile map (EGP)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</si>
  <si>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</si>
  <si>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</si>
  <si>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</si>
  <si>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</si>
  <si>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</si>
  <si>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</si>
  <si>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</si>
  <si>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</si>
  <si>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Engine: diffusion σ_daily = HAR forecast 2.52% (ann. ≈ 40.0%); drift = secular 0.242%/day (Step-0 validated) + net factor +0.5%; simulated path vol ≈ 44%.</t>
  </si>
  <si>
    <t xml:space="preserve">Level-touch ladder (probability of touching by horizon)</t>
  </si>
  <si>
    <t xml:space="preserve">Level (EGP)</t>
  </si>
  <si>
    <t xml:space="preserve">T+20 touch</t>
  </si>
  <si>
    <t xml:space="preserve">T+60 touch</t>
  </si>
  <si>
    <t xml:space="preserve">Probability zones at T+60</t>
  </si>
  <si>
    <t xml:space="preserve">&lt; 220 (deep downside)</t>
  </si>
  <si>
    <t xml:space="preserve">220–260 (lower band)</t>
  </si>
  <si>
    <t xml:space="preserve">260–310 (around spot)</t>
  </si>
  <si>
    <t xml:space="preserve">310–360 (upper band)</t>
  </si>
  <si>
    <t xml:space="preserve">&gt; 360 (strong upside)</t>
  </si>
  <si>
    <t xml:space="preserve">DCF sensitivity — value per share across WACC × terminal growth (live formulas)</t>
  </si>
  <si>
    <t xml:space="preserve">WACC \ g</t>
  </si>
  <si>
    <t xml:space="preserve">Grid re-prices live off the DCF FCFF row and Assumptions net cash/share count; the study's Figure 2 mirrors it.</t>
  </si>
  <si>
    <t xml:space="preserve">Per-share &amp; ratios</t>
  </si>
  <si>
    <t xml:space="preserve">DPS declared for year (EGP)</t>
  </si>
  <si>
    <t xml:space="preserve">P/E at spot</t>
  </si>
  <si>
    <t xml:space="preserve">EV/EBITDA at spot</t>
  </si>
  <si>
    <t xml:space="preserve">Dividend yield (declared/spot)</t>
  </si>
  <si>
    <t xml:space="preserve">ROE (avg equity)</t>
  </si>
  <si>
    <t xml:space="preserve">Net margin</t>
  </si>
  <si>
    <t xml:space="preserve">FCF yield at spot</t>
  </si>
  <si>
    <t xml:space="preserve">Peer set — global primary-aluminium producers (indicative, early Jul 2026)</t>
  </si>
  <si>
    <t xml:space="preserve">Producer</t>
  </si>
  <si>
    <t xml:space="preserve">Mkt cap (US$bn)</t>
  </si>
  <si>
    <t xml:space="preserve">P/E</t>
  </si>
  <si>
    <t xml:space="preserve">EV/EBITDA</t>
  </si>
  <si>
    <t xml:space="preserve">Capacity (kt)</t>
  </si>
  <si>
    <t xml:space="preserve">Alcoa (AA)</t>
  </si>
  <si>
    <t xml:space="preserve">US/global; alumina-integrated</t>
  </si>
  <si>
    <t xml:space="preserve">Norsk Hydro (NHY)</t>
  </si>
  <si>
    <t xml:space="preserve">Hydro-powered, EU CBAM-advantaged</t>
  </si>
  <si>
    <t xml:space="preserve">Century Aluminum (CENX)</t>
  </si>
  <si>
    <t xml:space="preserve">US smelter; power-price levered</t>
  </si>
  <si>
    <t xml:space="preserve">Hindalco (HNDL)</t>
  </si>
  <si>
    <t xml:space="preserve">India; Novelis downstream</t>
  </si>
  <si>
    <t xml:space="preserve">China Hongqiao (1378)</t>
  </si>
  <si>
    <t xml:space="preserve">World's largest; coal-power</t>
  </si>
  <si>
    <t xml:space="preserve">Aluminium Bahrain (ALBA)</t>
  </si>
  <si>
    <t xml:space="preserve">Gulf; gas-powered, closest analogue</t>
  </si>
  <si>
    <t xml:space="preserve">Ma'aden (1211)</t>
  </si>
  <si>
    <t xml:space="preserve">Saudi diversified miner</t>
  </si>
  <si>
    <t xml:space="preserve">Egypt Aluminum (EGAL)</t>
  </si>
  <si>
    <t xml:space="preserve">State 89.8%; Nag Hammadi; Trafigura expansion to ~600 kt</t>
  </si>
  <si>
    <t xml:space="preserve">Peer figures are indicative public-source snapshots for context, not a pricing basis; the relative lens uses the Assumptions multiple.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</si>
</sst>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#,##0;\(#,##0\);\-"/>
    <numFmt numFmtId="167" formatCode="0.0%"/>
    <numFmt numFmtId="168" formatCode="0.000"/>
    <numFmt numFmtId="169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color rgb="FF1C3A36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/>
    </row>
    <row r="3" customFormat="false" ht="28.3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/>
    </row>
    <row r="5" customFormat="false" ht="41.7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3" t="s">
        <v>3</v>
      </c>
    </row>
    <row r="8" customFormat="false" ht="15" hidden="false" customHeight="false" outlineLevel="0" collapsed="false">
      <c r="A8" s="3"/>
    </row>
    <row r="9" customFormat="false" ht="28.35" hidden="false" customHeight="false" outlineLevel="0" collapsed="false">
      <c r="A9" s="3" t="s">
        <v>4</v>
      </c>
    </row>
    <row r="10" customFormat="false" ht="15" hidden="false" customHeight="false" outlineLevel="0" collapsed="false">
      <c r="A10" s="3"/>
    </row>
    <row r="11" customFormat="false" ht="28.35" hidden="false" customHeight="false" outlineLevel="0" collapsed="false">
      <c r="A11" s="3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6"/>
  </cols>
  <sheetData>
    <row r="1" customFormat="false" ht="15" hidden="false" customHeight="false" outlineLevel="0" collapsed="false">
      <c r="A1" s="1" t="s">
        <v>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7</v>
      </c>
      <c r="B2" s="4" t="s">
        <v>8</v>
      </c>
      <c r="C2" s="4" t="s">
        <v>9</v>
      </c>
    </row>
    <row r="3" customFormat="false" ht="15" hidden="false" customHeight="false" outlineLevel="0" collapsed="false">
      <c r="A3" s="0" t="s">
        <v>10</v>
      </c>
      <c r="B3" s="5" t="n">
        <f aca="false">Assumptions!$B$3</f>
        <v>285.88</v>
      </c>
      <c r="C3" s="6" t="s">
        <v>11</v>
      </c>
    </row>
    <row r="4" customFormat="false" ht="15" hidden="false" customHeight="false" outlineLevel="0" collapsed="false">
      <c r="A4" s="0" t="s">
        <v>12</v>
      </c>
      <c r="B4" s="7" t="n">
        <f aca="false">Assumptions!$B$3*Assumptions!$B$4</f>
        <v>117925.5</v>
      </c>
      <c r="C4" s="6" t="s">
        <v>13</v>
      </c>
    </row>
    <row r="5" customFormat="false" ht="15" hidden="false" customHeight="false" outlineLevel="0" collapsed="false">
      <c r="A5" s="0" t="s">
        <v>14</v>
      </c>
      <c r="B5" s="5" t="n">
        <f aca="false">DCF!$B$18</f>
        <v>268.469440849061</v>
      </c>
      <c r="C5" s="8" t="n">
        <f aca="false">DCF!$B$18/Assumptions!$B$3-1</f>
        <v>-0.0609016340805193</v>
      </c>
    </row>
    <row r="6" customFormat="false" ht="15" hidden="false" customHeight="false" outlineLevel="0" collapsed="false">
      <c r="A6" s="0" t="s">
        <v>15</v>
      </c>
      <c r="B6" s="5" t="n">
        <f aca="false">'Relative &amp; Normalized'!$C$8</f>
        <v>234.545454545455</v>
      </c>
      <c r="C6" s="8" t="n">
        <f aca="false">'Relative &amp; Normalized'!$C$8/Assumptions!$B$3-1</f>
        <v>-0.179566760369895</v>
      </c>
    </row>
    <row r="7" customFormat="false" ht="15" hidden="false" customHeight="false" outlineLevel="0" collapsed="false">
      <c r="A7" s="0" t="s">
        <v>16</v>
      </c>
      <c r="B7" s="5" t="n">
        <f aca="false">'Relative &amp; Normalized'!$C$13</f>
        <v>264.848484848485</v>
      </c>
      <c r="C7" s="8" t="n">
        <f aca="false">'Relative &amp; Normalized'!$C$13/Assumptions!$B$3-1</f>
        <v>-0.0735676338026974</v>
      </c>
    </row>
    <row r="8" customFormat="false" ht="15" hidden="false" customHeight="false" outlineLevel="0" collapsed="false">
      <c r="A8" s="0" t="s">
        <v>17</v>
      </c>
      <c r="B8" s="5" t="n">
        <f aca="false">'Fundamental Valuation'!$B$8</f>
        <v>209.584484848485</v>
      </c>
      <c r="C8" s="8" t="n">
        <f aca="false">'Fundamental Valuation'!$B$8/Assumptions!$B$3-1</f>
        <v>-0.266879512912814</v>
      </c>
    </row>
    <row r="9" customFormat="false" ht="15" hidden="false" customHeight="false" outlineLevel="0" collapsed="false">
      <c r="A9" s="0" t="s">
        <v>18</v>
      </c>
      <c r="B9" s="5" t="n">
        <f aca="false">'Fundamental Valuation'!$D$16</f>
        <v>250.250461872929</v>
      </c>
      <c r="C9" s="8" t="n">
        <f aca="false">'Fundamental Valuation'!$D$16/Assumptions!$B$3-1</f>
        <v>-0.124631097408252</v>
      </c>
    </row>
    <row r="10" customFormat="false" ht="15" hidden="false" customHeight="false" outlineLevel="0" collapsed="false">
      <c r="A10" s="0" t="s">
        <v>19</v>
      </c>
      <c r="B10" s="9" t="n">
        <v>326.250542989174</v>
      </c>
      <c r="C10" s="6" t="s">
        <v>20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s">
        <v>23</v>
      </c>
    </row>
    <row r="12" customFormat="false" ht="15" hidden="false" customHeight="false" outlineLevel="0" collapsed="false">
      <c r="A12" s="0" t="s">
        <v>24</v>
      </c>
      <c r="B12" s="10" t="n">
        <v>0.150591634286554</v>
      </c>
      <c r="C12" s="6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4"/>
  </cols>
  <sheetData>
    <row r="1" customFormat="false" ht="15" hidden="false" customHeight="false" outlineLevel="0" collapsed="false">
      <c r="A1" s="1" t="s">
        <v>26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11" t="s">
        <v>27</v>
      </c>
    </row>
    <row r="3" customFormat="false" ht="15" hidden="false" customHeight="false" outlineLevel="0" collapsed="false">
      <c r="A3" s="12" t="s">
        <v>28</v>
      </c>
      <c r="B3" s="13" t="n">
        <f aca="false">Assumptions!$B$16*1000*Assumptions!$B$15*Assumptions!$B$6/1000000</f>
        <v>86416</v>
      </c>
    </row>
    <row r="4" customFormat="false" ht="15" hidden="false" customHeight="false" outlineLevel="0" collapsed="false">
      <c r="A4" s="12" t="s">
        <v>29</v>
      </c>
      <c r="B4" s="13" t="n">
        <f aca="false">B3*(1-Assumptions!$B$17)</f>
        <v>73453.6</v>
      </c>
    </row>
    <row r="5" customFormat="false" ht="15" hidden="false" customHeight="false" outlineLevel="0" collapsed="false">
      <c r="A5" s="12" t="s">
        <v>30</v>
      </c>
      <c r="B5" s="13" t="n">
        <f aca="false">Assumptions!$B$18</f>
        <v>4000</v>
      </c>
    </row>
    <row r="6" customFormat="false" ht="15" hidden="false" customHeight="false" outlineLevel="0" collapsed="false">
      <c r="A6" s="12" t="s">
        <v>31</v>
      </c>
      <c r="B6" s="13" t="n">
        <f aca="false">Assumptions!$B$5</f>
        <v>9000</v>
      </c>
    </row>
    <row r="7" customFormat="false" ht="15" hidden="false" customHeight="false" outlineLevel="0" collapsed="false">
      <c r="A7" s="12" t="s">
        <v>32</v>
      </c>
      <c r="B7" s="13" t="n">
        <f aca="false">B4+B5+B6</f>
        <v>86453.6</v>
      </c>
    </row>
    <row r="8" customFormat="false" ht="15" hidden="false" customHeight="false" outlineLevel="0" collapsed="false">
      <c r="A8" s="12" t="s">
        <v>33</v>
      </c>
      <c r="B8" s="14" t="n">
        <f aca="false">B7/Assumptions!$B$4</f>
        <v>209.584484848485</v>
      </c>
    </row>
    <row r="10" customFormat="false" ht="15" hidden="false" customHeight="false" outlineLevel="0" collapsed="false">
      <c r="A10" s="11" t="s">
        <v>34</v>
      </c>
    </row>
    <row r="11" customFormat="false" ht="15" hidden="false" customHeight="false" outlineLevel="0" collapsed="false">
      <c r="A11" s="4" t="s">
        <v>35</v>
      </c>
      <c r="B11" s="4" t="s">
        <v>36</v>
      </c>
      <c r="C11" s="4" t="s">
        <v>37</v>
      </c>
      <c r="D11" s="4" t="s">
        <v>38</v>
      </c>
      <c r="E11" s="4" t="s">
        <v>39</v>
      </c>
    </row>
    <row r="12" customFormat="false" ht="15" hidden="false" customHeight="false" outlineLevel="0" collapsed="false">
      <c r="A12" s="12" t="s">
        <v>40</v>
      </c>
      <c r="B12" s="8" t="n">
        <f aca="false">Assumptions!$B$20</f>
        <v>0.35</v>
      </c>
      <c r="C12" s="15" t="n">
        <v>205</v>
      </c>
      <c r="D12" s="5" t="n">
        <f aca="false">DCF!$B$18</f>
        <v>268.469440849061</v>
      </c>
      <c r="E12" s="15" t="n">
        <v>385</v>
      </c>
    </row>
    <row r="13" customFormat="false" ht="15" hidden="false" customHeight="false" outlineLevel="0" collapsed="false">
      <c r="A13" s="12" t="s">
        <v>15</v>
      </c>
      <c r="B13" s="8" t="n">
        <f aca="false">Assumptions!$B$21</f>
        <v>0.25</v>
      </c>
      <c r="C13" s="5" t="n">
        <f aca="false">'Relative &amp; Normalized'!B8</f>
        <v>167.272727272727</v>
      </c>
      <c r="D13" s="5" t="n">
        <f aca="false">'Relative &amp; Normalized'!$C$8</f>
        <v>234.545454545455</v>
      </c>
      <c r="E13" s="5" t="n">
        <f aca="false">'Relative &amp; Normalized'!D8</f>
        <v>312.727272727273</v>
      </c>
    </row>
    <row r="14" customFormat="false" ht="15" hidden="false" customHeight="false" outlineLevel="0" collapsed="false">
      <c r="A14" s="12" t="s">
        <v>16</v>
      </c>
      <c r="B14" s="8" t="n">
        <f aca="false">Assumptions!$B$22</f>
        <v>0.25</v>
      </c>
      <c r="C14" s="5" t="n">
        <f aca="false">'Relative &amp; Normalized'!B13</f>
        <v>172.727272727273</v>
      </c>
      <c r="D14" s="5" t="n">
        <f aca="false">'Relative &amp; Normalized'!$C$13</f>
        <v>264.848484848485</v>
      </c>
      <c r="E14" s="5" t="n">
        <f aca="false">'Relative &amp; Normalized'!D13</f>
        <v>376.363636363636</v>
      </c>
    </row>
    <row r="15" customFormat="false" ht="15" hidden="false" customHeight="false" outlineLevel="0" collapsed="false">
      <c r="A15" s="12" t="s">
        <v>17</v>
      </c>
      <c r="B15" s="8" t="n">
        <f aca="false">Assumptions!$B$23</f>
        <v>0.15</v>
      </c>
      <c r="C15" s="15" t="n">
        <v>178</v>
      </c>
      <c r="D15" s="5" t="n">
        <f aca="false">'Fundamental Valuation'!$B$8</f>
        <v>209.584484848485</v>
      </c>
      <c r="E15" s="15" t="n">
        <v>290</v>
      </c>
    </row>
    <row r="16" customFormat="false" ht="15" hidden="false" customHeight="false" outlineLevel="0" collapsed="false">
      <c r="A16" s="16" t="s">
        <v>18</v>
      </c>
      <c r="C16" s="17" t="n">
        <f aca="false">SUMPRODUCT($B$12:$B$15,C12:C15)</f>
        <v>183.45</v>
      </c>
      <c r="D16" s="17" t="n">
        <f aca="false">SUMPRODUCT($B$12:$B$15,D12:D15)</f>
        <v>250.250461872929</v>
      </c>
      <c r="E16" s="17" t="n">
        <f aca="false">SUMPRODUCT($B$12:$B$15,E12:E15)</f>
        <v>350.522727272727</v>
      </c>
    </row>
    <row r="17" customFormat="false" ht="15" hidden="false" customHeight="false" outlineLevel="0" collapsed="false">
      <c r="A17" s="12" t="s">
        <v>41</v>
      </c>
      <c r="D17" s="18" t="n">
        <f aca="false">D16/Assumptions!$B$3-1</f>
        <v>-0.124631097408252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3"/>
  </cols>
  <sheetData>
    <row r="1" customFormat="false" ht="15" hidden="false" customHeight="false" outlineLevel="0" collapsed="false">
      <c r="A1" s="1" t="s">
        <v>42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11" t="s">
        <v>43</v>
      </c>
    </row>
    <row r="3" customFormat="false" ht="15" hidden="false" customHeight="false" outlineLevel="0" collapsed="false">
      <c r="A3" s="12" t="s">
        <v>44</v>
      </c>
      <c r="B3" s="15" t="n">
        <v>285.88</v>
      </c>
    </row>
    <row r="4" customFormat="false" ht="15" hidden="false" customHeight="false" outlineLevel="0" collapsed="false">
      <c r="A4" s="12" t="s">
        <v>45</v>
      </c>
      <c r="B4" s="19" t="n">
        <v>412.5</v>
      </c>
    </row>
    <row r="5" customFormat="false" ht="15" hidden="false" customHeight="false" outlineLevel="0" collapsed="false">
      <c r="A5" s="12" t="s">
        <v>46</v>
      </c>
      <c r="B5" s="19" t="n">
        <v>9000</v>
      </c>
    </row>
    <row r="6" customFormat="false" ht="15" hidden="false" customHeight="false" outlineLevel="0" collapsed="false">
      <c r="A6" s="12" t="s">
        <v>47</v>
      </c>
      <c r="B6" s="15" t="n">
        <v>49.1</v>
      </c>
    </row>
    <row r="7" customFormat="false" ht="15" hidden="false" customHeight="false" outlineLevel="0" collapsed="false">
      <c r="A7" s="11" t="s">
        <v>48</v>
      </c>
    </row>
    <row r="8" customFormat="false" ht="15" hidden="false" customHeight="false" outlineLevel="0" collapsed="false">
      <c r="A8" s="12" t="s">
        <v>49</v>
      </c>
      <c r="B8" s="20" t="n">
        <v>0.2</v>
      </c>
    </row>
    <row r="9" customFormat="false" ht="15" hidden="false" customHeight="false" outlineLevel="0" collapsed="false">
      <c r="A9" s="12" t="s">
        <v>50</v>
      </c>
      <c r="B9" s="20" t="n">
        <v>0.12</v>
      </c>
    </row>
    <row r="10" customFormat="false" ht="15" hidden="false" customHeight="false" outlineLevel="0" collapsed="false">
      <c r="A10" s="12" t="s">
        <v>51</v>
      </c>
      <c r="B10" s="20" t="n">
        <v>0.225</v>
      </c>
    </row>
    <row r="11" customFormat="false" ht="15" hidden="false" customHeight="false" outlineLevel="0" collapsed="false">
      <c r="A11" s="12" t="s">
        <v>52</v>
      </c>
      <c r="B11" s="21" t="n">
        <v>6.5</v>
      </c>
    </row>
    <row r="12" customFormat="false" ht="15" hidden="false" customHeight="false" outlineLevel="0" collapsed="false">
      <c r="A12" s="12" t="s">
        <v>53</v>
      </c>
      <c r="B12" s="19" t="n">
        <v>13500</v>
      </c>
    </row>
    <row r="13" customFormat="false" ht="15" hidden="false" customHeight="false" outlineLevel="0" collapsed="false">
      <c r="A13" s="12" t="s">
        <v>54</v>
      </c>
      <c r="B13" s="21" t="n">
        <v>9.5</v>
      </c>
    </row>
    <row r="14" customFormat="false" ht="15" hidden="false" customHeight="false" outlineLevel="0" collapsed="false">
      <c r="A14" s="12" t="s">
        <v>55</v>
      </c>
      <c r="B14" s="19" t="n">
        <v>11500</v>
      </c>
    </row>
    <row r="15" customFormat="false" ht="15" hidden="false" customHeight="false" outlineLevel="0" collapsed="false">
      <c r="A15" s="12" t="s">
        <v>56</v>
      </c>
      <c r="B15" s="19" t="n">
        <v>5500</v>
      </c>
    </row>
    <row r="16" customFormat="false" ht="15" hidden="false" customHeight="false" outlineLevel="0" collapsed="false">
      <c r="A16" s="12" t="s">
        <v>57</v>
      </c>
      <c r="B16" s="19" t="n">
        <v>320</v>
      </c>
    </row>
    <row r="17" customFormat="false" ht="15" hidden="false" customHeight="false" outlineLevel="0" collapsed="false">
      <c r="A17" s="12" t="s">
        <v>58</v>
      </c>
      <c r="B17" s="20" t="n">
        <v>0.15</v>
      </c>
    </row>
    <row r="18" customFormat="false" ht="15" hidden="false" customHeight="false" outlineLevel="0" collapsed="false">
      <c r="A18" s="12" t="s">
        <v>59</v>
      </c>
      <c r="B18" s="19" t="n">
        <v>4000</v>
      </c>
    </row>
    <row r="19" customFormat="false" ht="15" hidden="false" customHeight="false" outlineLevel="0" collapsed="false">
      <c r="A19" s="11" t="s">
        <v>60</v>
      </c>
    </row>
    <row r="20" customFormat="false" ht="15" hidden="false" customHeight="false" outlineLevel="0" collapsed="false">
      <c r="A20" s="12" t="s">
        <v>61</v>
      </c>
      <c r="B20" s="20" t="n">
        <v>0.35</v>
      </c>
    </row>
    <row r="21" customFormat="false" ht="15" hidden="false" customHeight="false" outlineLevel="0" collapsed="false">
      <c r="A21" s="12" t="s">
        <v>62</v>
      </c>
      <c r="B21" s="20" t="n">
        <v>0.25</v>
      </c>
    </row>
    <row r="22" customFormat="false" ht="15" hidden="false" customHeight="false" outlineLevel="0" collapsed="false">
      <c r="A22" s="12" t="s">
        <v>63</v>
      </c>
      <c r="B22" s="20" t="n">
        <v>0.25</v>
      </c>
    </row>
    <row r="23" customFormat="false" ht="15" hidden="false" customHeight="false" outlineLevel="0" collapsed="false">
      <c r="A23" s="12" t="s">
        <v>64</v>
      </c>
      <c r="B23" s="20" t="n">
        <v>0.15</v>
      </c>
    </row>
    <row r="24" customFormat="false" ht="15" hidden="false" customHeight="false" outlineLevel="0" collapsed="false">
      <c r="A24" s="11" t="s">
        <v>65</v>
      </c>
    </row>
    <row r="25" customFormat="false" ht="15" hidden="false" customHeight="false" outlineLevel="0" collapsed="false">
      <c r="A25" s="4" t="s">
        <v>66</v>
      </c>
      <c r="B25" s="4" t="s">
        <v>67</v>
      </c>
      <c r="C25" s="4" t="s">
        <v>68</v>
      </c>
      <c r="D25" s="4" t="s">
        <v>69</v>
      </c>
      <c r="E25" s="4" t="s">
        <v>70</v>
      </c>
      <c r="F25" s="4" t="s">
        <v>71</v>
      </c>
      <c r="G25" s="4" t="s">
        <v>72</v>
      </c>
    </row>
    <row r="26" customFormat="false" ht="15" hidden="false" customHeight="false" outlineLevel="0" collapsed="false">
      <c r="A26" s="12" t="s">
        <v>73</v>
      </c>
      <c r="B26" s="20" t="n">
        <v>0.142</v>
      </c>
      <c r="C26" s="20" t="n">
        <v>0.069</v>
      </c>
      <c r="D26" s="20" t="n">
        <v>0.099</v>
      </c>
      <c r="E26" s="20" t="n">
        <v>0.1</v>
      </c>
      <c r="F26" s="20" t="n">
        <v>0.1</v>
      </c>
      <c r="G26" s="20" t="n">
        <v>0.1</v>
      </c>
    </row>
    <row r="27" customFormat="false" ht="15" hidden="false" customHeight="false" outlineLevel="0" collapsed="false">
      <c r="A27" s="12" t="s">
        <v>74</v>
      </c>
      <c r="B27" s="20" t="n">
        <v>0.351</v>
      </c>
      <c r="C27" s="20" t="n">
        <v>0.3</v>
      </c>
      <c r="D27" s="20" t="n">
        <v>0.302</v>
      </c>
      <c r="E27" s="20" t="n">
        <v>0.305</v>
      </c>
      <c r="F27" s="20" t="n">
        <v>0.305</v>
      </c>
      <c r="G27" s="20" t="n">
        <v>0.305</v>
      </c>
    </row>
    <row r="28" customFormat="false" ht="15" hidden="false" customHeight="false" outlineLevel="0" collapsed="false">
      <c r="A28" s="12" t="s">
        <v>75</v>
      </c>
      <c r="B28" s="20" t="n">
        <v>0.047</v>
      </c>
      <c r="C28" s="20" t="n">
        <v>0.049</v>
      </c>
      <c r="D28" s="20" t="n">
        <v>0.049</v>
      </c>
      <c r="E28" s="20" t="n">
        <v>0.049</v>
      </c>
      <c r="F28" s="20" t="n">
        <v>0.049</v>
      </c>
      <c r="G28" s="20" t="n">
        <v>0.049</v>
      </c>
    </row>
    <row r="29" customFormat="false" ht="15" hidden="false" customHeight="false" outlineLevel="0" collapsed="false">
      <c r="A29" s="12" t="s">
        <v>76</v>
      </c>
      <c r="B29" s="19" t="n">
        <v>850</v>
      </c>
      <c r="C29" s="19" t="n">
        <v>950</v>
      </c>
      <c r="D29" s="19" t="n">
        <v>1100</v>
      </c>
      <c r="E29" s="19" t="n">
        <v>1250</v>
      </c>
      <c r="F29" s="19" t="n">
        <v>1350</v>
      </c>
      <c r="G29" s="19" t="n">
        <v>1450</v>
      </c>
    </row>
    <row r="30" customFormat="false" ht="15" hidden="false" customHeight="false" outlineLevel="0" collapsed="false">
      <c r="A30" s="12" t="s">
        <v>77</v>
      </c>
      <c r="B30" s="19" t="n">
        <v>2300</v>
      </c>
      <c r="C30" s="19" t="n">
        <v>2000</v>
      </c>
      <c r="D30" s="19" t="n">
        <v>1800</v>
      </c>
      <c r="E30" s="19" t="n">
        <v>1700</v>
      </c>
      <c r="F30" s="19" t="n">
        <v>1600</v>
      </c>
      <c r="G30" s="19" t="n">
        <v>1500</v>
      </c>
    </row>
    <row r="31" customFormat="false" ht="15" hidden="false" customHeight="false" outlineLevel="0" collapsed="false">
      <c r="A31" s="12" t="s">
        <v>78</v>
      </c>
      <c r="B31" s="19" t="n">
        <v>1500</v>
      </c>
      <c r="C31" s="19" t="n">
        <v>2200</v>
      </c>
      <c r="D31" s="19" t="n">
        <v>2600</v>
      </c>
      <c r="E31" s="19" t="n">
        <v>2800</v>
      </c>
      <c r="F31" s="19" t="n">
        <v>3000</v>
      </c>
      <c r="G31" s="19" t="n">
        <v>3200</v>
      </c>
    </row>
    <row r="32" customFormat="false" ht="15" hidden="false" customHeight="false" outlineLevel="0" collapsed="false">
      <c r="A32" s="12" t="s">
        <v>79</v>
      </c>
      <c r="B32" s="20" t="n">
        <v>0.12</v>
      </c>
      <c r="C32" s="20" t="n">
        <v>0.12</v>
      </c>
      <c r="D32" s="20" t="n">
        <v>0.12</v>
      </c>
      <c r="E32" s="20" t="n">
        <v>0.12</v>
      </c>
      <c r="F32" s="20" t="n">
        <v>0.12</v>
      </c>
      <c r="G32" s="20" t="n">
        <v>0.12</v>
      </c>
    </row>
    <row r="33" customFormat="false" ht="15" hidden="false" customHeight="false" outlineLevel="0" collapsed="false">
      <c r="A33" s="12" t="s">
        <v>80</v>
      </c>
      <c r="B33" s="20" t="n">
        <v>0.405</v>
      </c>
      <c r="C33" s="20" t="n">
        <v>0.45</v>
      </c>
      <c r="D33" s="20" t="n">
        <v>0.45</v>
      </c>
      <c r="E33" s="20" t="n">
        <v>0.45</v>
      </c>
      <c r="F33" s="20" t="n">
        <v>0.45</v>
      </c>
      <c r="G33" s="20" t="n">
        <v>0.45</v>
      </c>
    </row>
    <row r="35" customFormat="false" ht="15" hidden="false" customHeight="false" outlineLevel="0" collapsed="false">
      <c r="A35" s="2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" t="s">
        <v>82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17" t="s">
        <v>66</v>
      </c>
      <c r="B2" s="17" t="s">
        <v>37</v>
      </c>
      <c r="C2" s="17" t="s">
        <v>38</v>
      </c>
      <c r="D2" s="17" t="s">
        <v>39</v>
      </c>
    </row>
    <row r="3" customFormat="false" ht="15" hidden="false" customHeight="false" outlineLevel="0" collapsed="false">
      <c r="A3" s="23" t="s">
        <v>83</v>
      </c>
      <c r="B3" s="19" t="n">
        <v>2300</v>
      </c>
      <c r="C3" s="19" t="n">
        <v>2600</v>
      </c>
      <c r="D3" s="19" t="n">
        <v>2850</v>
      </c>
    </row>
    <row r="4" customFormat="false" ht="15" hidden="false" customHeight="false" outlineLevel="0" collapsed="false">
      <c r="A4" s="23" t="s">
        <v>84</v>
      </c>
      <c r="B4" s="15" t="n">
        <v>1.1</v>
      </c>
      <c r="C4" s="15" t="n">
        <v>1.14</v>
      </c>
      <c r="D4" s="15" t="n">
        <v>1.17</v>
      </c>
    </row>
    <row r="5" customFormat="false" ht="15" hidden="false" customHeight="false" outlineLevel="0" collapsed="false">
      <c r="A5" s="23" t="s">
        <v>85</v>
      </c>
      <c r="B5" s="19" t="n">
        <v>258</v>
      </c>
      <c r="C5" s="19" t="n">
        <v>278</v>
      </c>
      <c r="D5" s="19" t="n">
        <v>292</v>
      </c>
    </row>
    <row r="6" customFormat="false" ht="15" hidden="false" customHeight="false" outlineLevel="0" collapsed="false">
      <c r="A6" s="23" t="s">
        <v>86</v>
      </c>
      <c r="B6" s="19" t="n">
        <v>47</v>
      </c>
      <c r="C6" s="19" t="n">
        <v>50</v>
      </c>
      <c r="D6" s="19" t="n">
        <v>53</v>
      </c>
    </row>
    <row r="7" customFormat="false" ht="15" hidden="false" customHeight="false" outlineLevel="0" collapsed="false">
      <c r="A7" s="23" t="s">
        <v>87</v>
      </c>
      <c r="B7" s="24" t="n">
        <f aca="false">B3*B4*B5*B6/1000</f>
        <v>30678.78</v>
      </c>
      <c r="C7" s="24" t="n">
        <f aca="false">C3*C4*C5*C6/1000</f>
        <v>41199.6</v>
      </c>
      <c r="D7" s="24" t="n">
        <f aca="false">D3*D4*D5*D6/1000</f>
        <v>51604.722</v>
      </c>
    </row>
    <row r="8" customFormat="false" ht="15" hidden="false" customHeight="false" outlineLevel="0" collapsed="false">
      <c r="A8" s="23" t="s">
        <v>88</v>
      </c>
      <c r="B8" s="20" t="n">
        <v>0.27</v>
      </c>
      <c r="C8" s="20" t="n">
        <v>0.33</v>
      </c>
      <c r="D8" s="20" t="n">
        <v>0.36</v>
      </c>
    </row>
    <row r="9" customFormat="false" ht="15" hidden="false" customHeight="false" outlineLevel="0" collapsed="false">
      <c r="A9" s="23" t="s">
        <v>89</v>
      </c>
      <c r="B9" s="24" t="n">
        <f aca="false">B7*B8</f>
        <v>8283.2706</v>
      </c>
      <c r="C9" s="24" t="n">
        <f aca="false">C7*C8</f>
        <v>13595.868</v>
      </c>
      <c r="D9" s="24" t="n">
        <f aca="false">D7*D8</f>
        <v>18577.69992</v>
      </c>
    </row>
    <row r="10" customFormat="false" ht="15" hidden="false" customHeight="false" outlineLevel="0" collapsed="false">
      <c r="A10" s="23" t="s">
        <v>76</v>
      </c>
      <c r="B10" s="19" t="n">
        <v>1000</v>
      </c>
      <c r="C10" s="19" t="n">
        <v>1000</v>
      </c>
      <c r="D10" s="19" t="n">
        <v>1000</v>
      </c>
    </row>
    <row r="11" customFormat="false" ht="15" hidden="false" customHeight="false" outlineLevel="0" collapsed="false">
      <c r="A11" s="23" t="s">
        <v>51</v>
      </c>
      <c r="B11" s="20" t="n">
        <v>0.225</v>
      </c>
      <c r="C11" s="20" t="n">
        <v>0.225</v>
      </c>
      <c r="D11" s="20" t="n">
        <v>0.225</v>
      </c>
    </row>
    <row r="12" customFormat="false" ht="15" hidden="false" customHeight="false" outlineLevel="0" collapsed="false">
      <c r="A12" s="23" t="s">
        <v>90</v>
      </c>
      <c r="B12" s="24" t="n">
        <f aca="false">(B9-B10)*(1-B11)+B13*(1-B11)</f>
        <v>6807.034715</v>
      </c>
      <c r="C12" s="24" t="n">
        <f aca="false">(C9-C10)*(1-C11)+C13*(1-C11)</f>
        <v>11311.7977</v>
      </c>
      <c r="D12" s="24" t="n">
        <f aca="false">(D9-D10)*(1-D11)+D13*(1-D11)</f>
        <v>15405.217438</v>
      </c>
    </row>
    <row r="13" customFormat="false" ht="15" hidden="false" customHeight="false" outlineLevel="0" collapsed="false">
      <c r="A13" s="23" t="s">
        <v>77</v>
      </c>
      <c r="B13" s="19" t="n">
        <v>1500</v>
      </c>
      <c r="C13" s="19" t="n">
        <v>2000</v>
      </c>
      <c r="D13" s="19" t="n">
        <v>2300</v>
      </c>
    </row>
    <row r="14" customFormat="false" ht="15" hidden="false" customHeight="false" outlineLevel="0" collapsed="false">
      <c r="A14" s="22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4"/>
  </cols>
  <sheetData>
    <row r="1" customFormat="false" ht="15" hidden="false" customHeight="false" outlineLevel="0" collapsed="false">
      <c r="A1" s="1" t="s">
        <v>92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93</v>
      </c>
      <c r="B2" s="4" t="s">
        <v>94</v>
      </c>
      <c r="C2" s="4" t="s">
        <v>95</v>
      </c>
      <c r="D2" s="4" t="s">
        <v>96</v>
      </c>
      <c r="E2" s="4" t="s">
        <v>97</v>
      </c>
    </row>
    <row r="3" customFormat="false" ht="15" hidden="false" customHeight="false" outlineLevel="0" collapsed="false">
      <c r="A3" s="12" t="s">
        <v>98</v>
      </c>
      <c r="B3" s="19" t="n">
        <v>19700</v>
      </c>
      <c r="C3" s="19" t="n">
        <v>26900</v>
      </c>
      <c r="D3" s="18" t="n">
        <f aca="false">C3/$C$5</f>
        <v>0.622930319801774</v>
      </c>
      <c r="E3" s="12" t="s">
        <v>99</v>
      </c>
    </row>
    <row r="4" customFormat="false" ht="15" hidden="false" customHeight="false" outlineLevel="0" collapsed="false">
      <c r="A4" s="12" t="s">
        <v>100</v>
      </c>
      <c r="B4" s="19" t="n">
        <v>13115</v>
      </c>
      <c r="C4" s="19" t="n">
        <v>16283</v>
      </c>
      <c r="D4" s="18" t="n">
        <f aca="false">C4/$C$5</f>
        <v>0.377069680198226</v>
      </c>
      <c r="E4" s="12" t="s">
        <v>101</v>
      </c>
    </row>
    <row r="5" customFormat="false" ht="15" hidden="false" customHeight="false" outlineLevel="0" collapsed="false">
      <c r="A5" s="12" t="s">
        <v>102</v>
      </c>
      <c r="B5" s="7" t="n">
        <f aca="false">'Income Statement'!C3</f>
        <v>32815</v>
      </c>
      <c r="C5" s="7" t="n">
        <f aca="false">'Income Statement'!D3</f>
        <v>43183</v>
      </c>
      <c r="E5" s="12" t="s">
        <v>103</v>
      </c>
    </row>
    <row r="6" customFormat="false" ht="15" hidden="false" customHeight="false" outlineLevel="0" collapsed="false">
      <c r="A6" s="12" t="s">
        <v>104</v>
      </c>
      <c r="B6" s="19" t="n">
        <v>265</v>
      </c>
      <c r="C6" s="19" t="n">
        <v>272</v>
      </c>
      <c r="E6" s="12" t="s">
        <v>105</v>
      </c>
    </row>
    <row r="7" customFormat="false" ht="15" hidden="false" customHeight="false" outlineLevel="0" collapsed="false">
      <c r="A7" s="12" t="s">
        <v>106</v>
      </c>
      <c r="B7" s="9" t="n">
        <f aca="false">B5/B6</f>
        <v>123.830188679245</v>
      </c>
      <c r="C7" s="9" t="n">
        <f aca="false">C5/C6</f>
        <v>158.761029411765</v>
      </c>
      <c r="E7" s="1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" t="s">
        <v>108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5" t="s">
        <v>109</v>
      </c>
      <c r="B2" s="25" t="s">
        <v>37</v>
      </c>
      <c r="C2" s="25" t="s">
        <v>38</v>
      </c>
      <c r="D2" s="25" t="s">
        <v>39</v>
      </c>
    </row>
    <row r="3" customFormat="false" ht="15" hidden="false" customHeight="false" outlineLevel="0" collapsed="false">
      <c r="A3" s="19" t="s">
        <v>110</v>
      </c>
      <c r="B3" s="19" t="n">
        <v>12000</v>
      </c>
      <c r="C3" s="7" t="n">
        <f aca="false">Assumptions!$B$12</f>
        <v>13500</v>
      </c>
      <c r="D3" s="19" t="n">
        <v>15000</v>
      </c>
    </row>
    <row r="4" customFormat="false" ht="15" hidden="false" customHeight="false" outlineLevel="0" collapsed="false">
      <c r="A4" s="21" t="s">
        <v>111</v>
      </c>
      <c r="B4" s="21" t="n">
        <v>5</v>
      </c>
      <c r="C4" s="26" t="n">
        <f aca="false">Assumptions!$B$11</f>
        <v>6.5</v>
      </c>
      <c r="D4" s="21" t="n">
        <v>8</v>
      </c>
    </row>
    <row r="5" customFormat="false" ht="15" hidden="false" customHeight="false" outlineLevel="0" collapsed="false">
      <c r="A5" s="19" t="s">
        <v>112</v>
      </c>
      <c r="B5" s="24" t="n">
        <f aca="false">B3*B4</f>
        <v>60000</v>
      </c>
      <c r="C5" s="24" t="n">
        <f aca="false">C3*C4</f>
        <v>87750</v>
      </c>
      <c r="D5" s="24" t="n">
        <f aca="false">D3*D4</f>
        <v>120000</v>
      </c>
    </row>
    <row r="6" customFormat="false" ht="15" hidden="false" customHeight="false" outlineLevel="0" collapsed="false">
      <c r="A6" s="19" t="s">
        <v>31</v>
      </c>
      <c r="B6" s="24" t="n">
        <f aca="false">Assumptions!$B$5</f>
        <v>9000</v>
      </c>
      <c r="C6" s="24" t="n">
        <f aca="false">Assumptions!$B$5</f>
        <v>9000</v>
      </c>
      <c r="D6" s="24" t="n">
        <f aca="false">Assumptions!$B$5</f>
        <v>9000</v>
      </c>
    </row>
    <row r="7" customFormat="false" ht="15" hidden="false" customHeight="false" outlineLevel="0" collapsed="false">
      <c r="A7" s="19" t="s">
        <v>32</v>
      </c>
      <c r="B7" s="24" t="n">
        <f aca="false">B5+B6</f>
        <v>69000</v>
      </c>
      <c r="C7" s="24" t="n">
        <f aca="false">C5+C6</f>
        <v>96750</v>
      </c>
      <c r="D7" s="24" t="n">
        <f aca="false">D5+D6</f>
        <v>129000</v>
      </c>
    </row>
    <row r="8" customFormat="false" ht="15" hidden="false" customHeight="false" outlineLevel="0" collapsed="false">
      <c r="A8" s="19" t="s">
        <v>113</v>
      </c>
      <c r="B8" s="9" t="n">
        <f aca="false">B7/Assumptions!$B$4</f>
        <v>167.272727272727</v>
      </c>
      <c r="C8" s="9" t="n">
        <f aca="false">C7/Assumptions!$B$4</f>
        <v>234.545454545455</v>
      </c>
      <c r="D8" s="9" t="n">
        <f aca="false">D7/Assumptions!$B$4</f>
        <v>312.727272727273</v>
      </c>
    </row>
    <row r="10" customFormat="false" ht="15" hidden="false" customHeight="false" outlineLevel="0" collapsed="false">
      <c r="A10" s="25" t="s">
        <v>114</v>
      </c>
      <c r="B10" s="25" t="s">
        <v>37</v>
      </c>
      <c r="C10" s="25" t="s">
        <v>38</v>
      </c>
      <c r="D10" s="25" t="s">
        <v>39</v>
      </c>
    </row>
    <row r="11" customFormat="false" ht="15" hidden="false" customHeight="false" outlineLevel="0" collapsed="false">
      <c r="A11" s="19" t="s">
        <v>55</v>
      </c>
      <c r="B11" s="19" t="n">
        <v>9500</v>
      </c>
      <c r="C11" s="7" t="n">
        <f aca="false">Assumptions!$B$14</f>
        <v>11500</v>
      </c>
      <c r="D11" s="19" t="n">
        <v>13500</v>
      </c>
    </row>
    <row r="12" customFormat="false" ht="15" hidden="false" customHeight="false" outlineLevel="0" collapsed="false">
      <c r="A12" s="21" t="s">
        <v>115</v>
      </c>
      <c r="B12" s="21" t="n">
        <v>7.5</v>
      </c>
      <c r="C12" s="26" t="n">
        <f aca="false">Assumptions!$B$13</f>
        <v>9.5</v>
      </c>
      <c r="D12" s="21" t="n">
        <v>11.5</v>
      </c>
    </row>
    <row r="13" customFormat="false" ht="15" hidden="false" customHeight="false" outlineLevel="0" collapsed="false">
      <c r="A13" s="19" t="s">
        <v>113</v>
      </c>
      <c r="B13" s="9" t="n">
        <f aca="false">B11*B12/Assumptions!$B$4</f>
        <v>172.727272727273</v>
      </c>
      <c r="C13" s="9" t="n">
        <f aca="false">C11*C12/Assumptions!$B$4</f>
        <v>264.848484848485</v>
      </c>
      <c r="D13" s="9" t="n">
        <f aca="false">D11*D12/Assumptions!$B$4</f>
        <v>376.363636363636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9" min="2" style="0" width="12"/>
  </cols>
  <sheetData>
    <row r="1" customFormat="false" ht="15" hidden="false" customHeight="false" outlineLevel="0" collapsed="false">
      <c r="A1" s="1" t="s">
        <v>116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117</v>
      </c>
      <c r="B2" s="4" t="s">
        <v>68</v>
      </c>
      <c r="C2" s="4" t="s">
        <v>69</v>
      </c>
      <c r="D2" s="4" t="s">
        <v>70</v>
      </c>
      <c r="E2" s="4" t="s">
        <v>71</v>
      </c>
      <c r="F2" s="4" t="s">
        <v>72</v>
      </c>
    </row>
    <row r="3" customFormat="false" ht="15" hidden="false" customHeight="false" outlineLevel="0" collapsed="false">
      <c r="A3" s="12" t="s">
        <v>118</v>
      </c>
      <c r="B3" s="7" t="n">
        <f aca="false">'Income Statement'!F7</f>
        <v>13232.147728534</v>
      </c>
      <c r="C3" s="7" t="n">
        <f aca="false">'Income Statement'!G7</f>
        <v>14658.0039022936</v>
      </c>
      <c r="D3" s="7" t="n">
        <f aca="false">'Income Statement'!H7</f>
        <v>16314.9956477703</v>
      </c>
      <c r="E3" s="7" t="n">
        <f aca="false">'Income Statement'!I7</f>
        <v>17946.4952125473</v>
      </c>
      <c r="F3" s="7" t="n">
        <f aca="false">'Income Statement'!J7</f>
        <v>19741.144733802</v>
      </c>
    </row>
    <row r="4" customFormat="false" ht="15" hidden="false" customHeight="false" outlineLevel="0" collapsed="false">
      <c r="A4" s="12" t="s">
        <v>119</v>
      </c>
      <c r="B4" s="13" t="n">
        <f aca="false">B3*(1-Assumptions!$B$10)</f>
        <v>10254.9144896139</v>
      </c>
      <c r="C4" s="13" t="n">
        <f aca="false">C3*(1-Assumptions!$B$10)</f>
        <v>11359.9530242775</v>
      </c>
      <c r="D4" s="13" t="n">
        <f aca="false">D3*(1-Assumptions!$B$10)</f>
        <v>12644.121627022</v>
      </c>
      <c r="E4" s="13" t="n">
        <f aca="false">E3*(1-Assumptions!$B$10)</f>
        <v>13908.5337897242</v>
      </c>
      <c r="F4" s="13" t="n">
        <f aca="false">F3*(1-Assumptions!$B$10)</f>
        <v>15299.3871686966</v>
      </c>
    </row>
    <row r="5" customFormat="false" ht="15" hidden="false" customHeight="false" outlineLevel="0" collapsed="false">
      <c r="A5" s="12" t="s">
        <v>120</v>
      </c>
      <c r="B5" s="7" t="n">
        <f aca="false">'Income Statement'!F8</f>
        <v>950</v>
      </c>
      <c r="C5" s="7" t="n">
        <f aca="false">'Income Statement'!G8</f>
        <v>1100</v>
      </c>
      <c r="D5" s="7" t="n">
        <f aca="false">'Income Statement'!H8</f>
        <v>1250</v>
      </c>
      <c r="E5" s="7" t="n">
        <f aca="false">'Income Statement'!I8</f>
        <v>1350</v>
      </c>
      <c r="F5" s="7" t="n">
        <f aca="false">'Income Statement'!J8</f>
        <v>1450</v>
      </c>
    </row>
    <row r="6" customFormat="false" ht="15" hidden="false" customHeight="false" outlineLevel="0" collapsed="false">
      <c r="A6" s="12" t="s">
        <v>121</v>
      </c>
      <c r="B6" s="7" t="n">
        <f aca="false">-Assumptions!C$31</f>
        <v>-2200</v>
      </c>
      <c r="C6" s="7" t="n">
        <f aca="false">-Assumptions!D$31</f>
        <v>-2600</v>
      </c>
      <c r="D6" s="7" t="n">
        <f aca="false">-Assumptions!E$31</f>
        <v>-2800</v>
      </c>
      <c r="E6" s="7" t="n">
        <f aca="false">-Assumptions!F$31</f>
        <v>-3000</v>
      </c>
      <c r="F6" s="7" t="n">
        <f aca="false">-Assumptions!G$31</f>
        <v>-3200</v>
      </c>
    </row>
    <row r="7" customFormat="false" ht="15" hidden="false" customHeight="false" outlineLevel="0" collapsed="false">
      <c r="A7" s="12" t="s">
        <v>122</v>
      </c>
      <c r="B7" s="7" t="n">
        <f aca="false">'Cash Flow'!F5</f>
        <v>-408.32808408</v>
      </c>
      <c r="C7" s="7" t="n">
        <f aca="false">'Cash Flow'!G5</f>
        <v>-626.28651400392</v>
      </c>
      <c r="D7" s="7" t="n">
        <f aca="false">'Cash Flow'!H5</f>
        <v>-695.241291808393</v>
      </c>
      <c r="E7" s="7" t="n">
        <f aca="false">'Cash Flow'!I5</f>
        <v>-764.765420989232</v>
      </c>
      <c r="F7" s="7" t="n">
        <f aca="false">'Cash Flow'!J5</f>
        <v>-841.241963088154</v>
      </c>
    </row>
    <row r="8" customFormat="false" ht="15" hidden="false" customHeight="false" outlineLevel="0" collapsed="false">
      <c r="A8" s="16" t="s">
        <v>123</v>
      </c>
      <c r="B8" s="27" t="n">
        <f aca="false">SUM(B4:B7)</f>
        <v>8596.58640553385</v>
      </c>
      <c r="C8" s="27" t="n">
        <f aca="false">SUM(C4:C7)</f>
        <v>9233.66651027362</v>
      </c>
      <c r="D8" s="27" t="n">
        <f aca="false">SUM(D4:D7)</f>
        <v>10398.8803352136</v>
      </c>
      <c r="E8" s="27" t="n">
        <f aca="false">SUM(E4:E7)</f>
        <v>11493.7683687349</v>
      </c>
      <c r="F8" s="27" t="n">
        <f aca="false">SUM(F4:F7)</f>
        <v>12708.1452056084</v>
      </c>
    </row>
    <row r="9" customFormat="false" ht="15" hidden="false" customHeight="false" outlineLevel="0" collapsed="false">
      <c r="A9" s="12" t="s">
        <v>124</v>
      </c>
      <c r="B9" s="28" t="n">
        <f aca="false">1/(1+Assumptions!$B$8)^1</f>
        <v>0.833333333333333</v>
      </c>
      <c r="C9" s="28" t="n">
        <f aca="false">1/(1+Assumptions!$B$8)^2</f>
        <v>0.694444444444444</v>
      </c>
      <c r="D9" s="28" t="n">
        <f aca="false">1/(1+Assumptions!$B$8)^3</f>
        <v>0.578703703703704</v>
      </c>
      <c r="E9" s="28" t="n">
        <f aca="false">1/(1+Assumptions!$B$8)^4</f>
        <v>0.482253086419753</v>
      </c>
      <c r="F9" s="28" t="n">
        <f aca="false">1/(1+Assumptions!$B$8)^5</f>
        <v>0.401877572016461</v>
      </c>
    </row>
    <row r="10" customFormat="false" ht="15" hidden="false" customHeight="false" outlineLevel="0" collapsed="false">
      <c r="A10" s="12" t="s">
        <v>125</v>
      </c>
      <c r="B10" s="13" t="n">
        <f aca="false">B8*B9</f>
        <v>7163.82200461155</v>
      </c>
      <c r="C10" s="13" t="n">
        <f aca="false">C8*C9</f>
        <v>6412.26840991224</v>
      </c>
      <c r="D10" s="13" t="n">
        <f aca="false">D8*D9</f>
        <v>6017.8705643597</v>
      </c>
      <c r="E10" s="13" t="n">
        <f aca="false">E8*E9</f>
        <v>5542.90527041615</v>
      </c>
      <c r="F10" s="13" t="n">
        <f aca="false">F8*F9</f>
        <v>5107.11854006254</v>
      </c>
    </row>
    <row r="12" customFormat="false" ht="15" hidden="false" customHeight="false" outlineLevel="0" collapsed="false">
      <c r="A12" s="12" t="s">
        <v>126</v>
      </c>
      <c r="B12" s="13" t="n">
        <f aca="false">SUM(B10:F10)</f>
        <v>30243.9847893622</v>
      </c>
    </row>
    <row r="13" customFormat="false" ht="15" hidden="false" customHeight="false" outlineLevel="0" collapsed="false">
      <c r="A13" s="12" t="s">
        <v>127</v>
      </c>
      <c r="B13" s="13" t="n">
        <f aca="false">F8*(1+Assumptions!$B$9)/(Assumptions!$B$8-Assumptions!$B$9)</f>
        <v>177914.032878518</v>
      </c>
    </row>
    <row r="14" customFormat="false" ht="15" hidden="false" customHeight="false" outlineLevel="0" collapsed="false">
      <c r="A14" s="12" t="s">
        <v>128</v>
      </c>
      <c r="B14" s="13" t="n">
        <f aca="false">B13*F9</f>
        <v>71499.6595608756</v>
      </c>
    </row>
    <row r="15" customFormat="false" ht="15" hidden="false" customHeight="false" outlineLevel="0" collapsed="false">
      <c r="A15" s="16" t="s">
        <v>112</v>
      </c>
      <c r="B15" s="27" t="n">
        <f aca="false">B12+B14</f>
        <v>101743.644350238</v>
      </c>
    </row>
    <row r="16" customFormat="false" ht="15" hidden="false" customHeight="false" outlineLevel="0" collapsed="false">
      <c r="A16" s="16" t="s">
        <v>31</v>
      </c>
      <c r="B16" s="27" t="n">
        <f aca="false">Assumptions!$B$5</f>
        <v>9000</v>
      </c>
    </row>
    <row r="17" customFormat="false" ht="15" hidden="false" customHeight="false" outlineLevel="0" collapsed="false">
      <c r="A17" s="16" t="s">
        <v>32</v>
      </c>
      <c r="B17" s="27" t="n">
        <f aca="false">B15+B16</f>
        <v>110743.644350238</v>
      </c>
    </row>
    <row r="18" customFormat="false" ht="15" hidden="false" customHeight="false" outlineLevel="0" collapsed="false">
      <c r="A18" s="16" t="s">
        <v>129</v>
      </c>
      <c r="B18" s="14" t="n">
        <f aca="false">B17/Assumptions!$B$4</f>
        <v>268.469440849061</v>
      </c>
    </row>
    <row r="19" customFormat="false" ht="15" hidden="false" customHeight="false" outlineLevel="0" collapsed="false">
      <c r="A19" s="16" t="s">
        <v>130</v>
      </c>
      <c r="B19" s="29" t="n">
        <f aca="false">B18/Assumptions!$B$3-1</f>
        <v>-0.0609016340805193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131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117</v>
      </c>
      <c r="B2" s="4" t="s">
        <v>132</v>
      </c>
      <c r="C2" s="4" t="s">
        <v>94</v>
      </c>
      <c r="D2" s="4" t="s">
        <v>95</v>
      </c>
      <c r="E2" s="4" t="s">
        <v>67</v>
      </c>
      <c r="F2" s="4" t="s">
        <v>68</v>
      </c>
      <c r="G2" s="4" t="s">
        <v>69</v>
      </c>
      <c r="H2" s="4" t="s">
        <v>70</v>
      </c>
      <c r="I2" s="4" t="s">
        <v>71</v>
      </c>
      <c r="J2" s="4" t="s">
        <v>72</v>
      </c>
    </row>
    <row r="3" customFormat="false" ht="15" hidden="false" customHeight="false" outlineLevel="0" collapsed="false">
      <c r="A3" s="16" t="s">
        <v>133</v>
      </c>
      <c r="B3" s="30" t="n">
        <v>22045</v>
      </c>
      <c r="C3" s="30" t="n">
        <v>32815</v>
      </c>
      <c r="D3" s="30" t="n">
        <v>43183</v>
      </c>
      <c r="E3" s="27" t="n">
        <f aca="false">D3*(1+Assumptions!B$26)</f>
        <v>49314.986</v>
      </c>
      <c r="F3" s="27" t="n">
        <f aca="false">E3*(1+Assumptions!C$26)</f>
        <v>52717.720034</v>
      </c>
      <c r="G3" s="27" t="n">
        <f aca="false">F3*(1+Assumptions!D$26)</f>
        <v>57936.774317366</v>
      </c>
      <c r="H3" s="27" t="n">
        <f aca="false">G3*(1+Assumptions!E$26)</f>
        <v>63730.4517491026</v>
      </c>
      <c r="I3" s="27" t="n">
        <f aca="false">H3*(1+Assumptions!F$26)</f>
        <v>70103.4969240129</v>
      </c>
      <c r="J3" s="27" t="n">
        <f aca="false">I3*(1+Assumptions!G$26)</f>
        <v>77113.8466164142</v>
      </c>
    </row>
    <row r="4" customFormat="false" ht="15" hidden="false" customHeight="false" outlineLevel="0" collapsed="false">
      <c r="A4" s="12" t="s">
        <v>134</v>
      </c>
      <c r="B4" s="19" t="n">
        <v>-16200</v>
      </c>
      <c r="C4" s="19" t="n">
        <v>-22600</v>
      </c>
      <c r="D4" s="19" t="n">
        <v>-29950</v>
      </c>
      <c r="E4" s="13" t="n">
        <f aca="false">-E3*(1-Assumptions!B$27)</f>
        <v>-32005.425914</v>
      </c>
      <c r="F4" s="13" t="n">
        <f aca="false">-F3*(1-Assumptions!C$27)</f>
        <v>-36902.4040238</v>
      </c>
      <c r="G4" s="13" t="n">
        <f aca="false">-G3*(1-Assumptions!D$27)</f>
        <v>-40439.8684735215</v>
      </c>
      <c r="H4" s="13" t="n">
        <f aca="false">-H3*(1-Assumptions!E$27)</f>
        <v>-44292.6639656263</v>
      </c>
      <c r="I4" s="13" t="n">
        <f aca="false">-I3*(1-Assumptions!F$27)</f>
        <v>-48721.930362189</v>
      </c>
      <c r="J4" s="13" t="n">
        <f aca="false">-J3*(1-Assumptions!G$27)</f>
        <v>-53594.1233984078</v>
      </c>
    </row>
    <row r="5" customFormat="false" ht="15" hidden="false" customHeight="false" outlineLevel="0" collapsed="false">
      <c r="A5" s="16" t="s">
        <v>135</v>
      </c>
      <c r="B5" s="30" t="n">
        <v>5845</v>
      </c>
      <c r="C5" s="30" t="n">
        <v>10215</v>
      </c>
      <c r="D5" s="30" t="n">
        <v>13233</v>
      </c>
      <c r="E5" s="27" t="n">
        <f aca="false">E3+E4</f>
        <v>17309.560086</v>
      </c>
      <c r="F5" s="27" t="n">
        <f aca="false">F3+F4</f>
        <v>15815.3160102</v>
      </c>
      <c r="G5" s="27" t="n">
        <f aca="false">G3+G4</f>
        <v>17496.9058438445</v>
      </c>
      <c r="H5" s="27" t="n">
        <f aca="false">H3+H4</f>
        <v>19437.7877834763</v>
      </c>
      <c r="I5" s="27" t="n">
        <f aca="false">I3+I4</f>
        <v>21381.5665618239</v>
      </c>
      <c r="J5" s="27" t="n">
        <f aca="false">J3+J4</f>
        <v>23519.7232180063</v>
      </c>
    </row>
    <row r="6" customFormat="false" ht="15" hidden="false" customHeight="false" outlineLevel="0" collapsed="false">
      <c r="A6" s="12" t="s">
        <v>136</v>
      </c>
      <c r="B6" s="19" t="n">
        <v>-1000</v>
      </c>
      <c r="C6" s="19" t="n">
        <v>-1350</v>
      </c>
      <c r="D6" s="19" t="n">
        <v>-2073</v>
      </c>
      <c r="E6" s="13" t="n">
        <f aca="false">-E3*Assumptions!B$28</f>
        <v>-2317.804342</v>
      </c>
      <c r="F6" s="13" t="n">
        <f aca="false">-F3*Assumptions!C$28</f>
        <v>-2583.168281666</v>
      </c>
      <c r="G6" s="13" t="n">
        <f aca="false">-G3*Assumptions!D$28</f>
        <v>-2838.90194155093</v>
      </c>
      <c r="H6" s="13" t="n">
        <f aca="false">-H3*Assumptions!E$28</f>
        <v>-3122.79213570603</v>
      </c>
      <c r="I6" s="13" t="n">
        <f aca="false">-I3*Assumptions!F$28</f>
        <v>-3435.07134927663</v>
      </c>
      <c r="J6" s="13" t="n">
        <f aca="false">-J3*Assumptions!G$28</f>
        <v>-3778.57848420429</v>
      </c>
    </row>
    <row r="7" customFormat="false" ht="15" hidden="false" customHeight="false" outlineLevel="0" collapsed="false">
      <c r="A7" s="16" t="s">
        <v>118</v>
      </c>
      <c r="B7" s="30" t="n">
        <v>4845</v>
      </c>
      <c r="C7" s="30" t="n">
        <v>8865</v>
      </c>
      <c r="D7" s="30" t="n">
        <v>11160</v>
      </c>
      <c r="E7" s="27" t="n">
        <f aca="false">E5+E6</f>
        <v>14991.755744</v>
      </c>
      <c r="F7" s="27" t="n">
        <f aca="false">F5+F6</f>
        <v>13232.147728534</v>
      </c>
      <c r="G7" s="27" t="n">
        <f aca="false">G5+G6</f>
        <v>14658.0039022936</v>
      </c>
      <c r="H7" s="27" t="n">
        <f aca="false">H5+H6</f>
        <v>16314.9956477703</v>
      </c>
      <c r="I7" s="27" t="n">
        <f aca="false">I5+I6</f>
        <v>17946.4952125473</v>
      </c>
      <c r="J7" s="27" t="n">
        <f aca="false">J5+J6</f>
        <v>19741.144733802</v>
      </c>
    </row>
    <row r="8" customFormat="false" ht="15" hidden="false" customHeight="false" outlineLevel="0" collapsed="false">
      <c r="A8" s="12" t="s">
        <v>137</v>
      </c>
      <c r="B8" s="19" t="n">
        <v>650</v>
      </c>
      <c r="C8" s="19" t="n">
        <v>700</v>
      </c>
      <c r="D8" s="19" t="n">
        <v>780</v>
      </c>
      <c r="E8" s="13" t="n">
        <f aca="false">Assumptions!B$29</f>
        <v>850</v>
      </c>
      <c r="F8" s="13" t="n">
        <f aca="false">Assumptions!C$29</f>
        <v>950</v>
      </c>
      <c r="G8" s="13" t="n">
        <f aca="false">Assumptions!D$29</f>
        <v>1100</v>
      </c>
      <c r="H8" s="13" t="n">
        <f aca="false">Assumptions!E$29</f>
        <v>1250</v>
      </c>
      <c r="I8" s="13" t="n">
        <f aca="false">Assumptions!F$29</f>
        <v>1350</v>
      </c>
      <c r="J8" s="13" t="n">
        <f aca="false">Assumptions!G$29</f>
        <v>1450</v>
      </c>
    </row>
    <row r="9" customFormat="false" ht="15" hidden="false" customHeight="false" outlineLevel="0" collapsed="false">
      <c r="A9" s="16" t="s">
        <v>138</v>
      </c>
      <c r="B9" s="30" t="n">
        <v>5495</v>
      </c>
      <c r="C9" s="30" t="n">
        <v>9565</v>
      </c>
      <c r="D9" s="30" t="n">
        <v>11940</v>
      </c>
      <c r="E9" s="27" t="n">
        <f aca="false">E7+E8</f>
        <v>15841.755744</v>
      </c>
      <c r="F9" s="27" t="n">
        <f aca="false">F7+F8</f>
        <v>14182.147728534</v>
      </c>
      <c r="G9" s="27" t="n">
        <f aca="false">G7+G8</f>
        <v>15758.0039022936</v>
      </c>
      <c r="H9" s="27" t="n">
        <f aca="false">H7+H8</f>
        <v>17564.9956477703</v>
      </c>
      <c r="I9" s="27" t="n">
        <f aca="false">I7+I8</f>
        <v>19296.4952125473</v>
      </c>
      <c r="J9" s="27" t="n">
        <f aca="false">J7+J8</f>
        <v>21191.144733802</v>
      </c>
    </row>
    <row r="10" customFormat="false" ht="15" hidden="false" customHeight="false" outlineLevel="0" collapsed="false">
      <c r="A10" s="12" t="s">
        <v>139</v>
      </c>
      <c r="B10" s="19" t="n">
        <v>-15</v>
      </c>
      <c r="C10" s="19" t="n">
        <v>1000</v>
      </c>
      <c r="D10" s="19" t="n">
        <v>2000</v>
      </c>
      <c r="E10" s="13" t="n">
        <f aca="false">Assumptions!B$30</f>
        <v>2300</v>
      </c>
      <c r="F10" s="13" t="n">
        <f aca="false">Assumptions!C$30</f>
        <v>2000</v>
      </c>
      <c r="G10" s="13" t="n">
        <f aca="false">Assumptions!D$30</f>
        <v>1800</v>
      </c>
      <c r="H10" s="13" t="n">
        <f aca="false">Assumptions!E$30</f>
        <v>1700</v>
      </c>
      <c r="I10" s="13" t="n">
        <f aca="false">Assumptions!F$30</f>
        <v>1600</v>
      </c>
      <c r="J10" s="13" t="n">
        <f aca="false">Assumptions!G$30</f>
        <v>1500</v>
      </c>
    </row>
    <row r="11" customFormat="false" ht="15" hidden="false" customHeight="false" outlineLevel="0" collapsed="false">
      <c r="A11" s="12" t="s">
        <v>140</v>
      </c>
      <c r="B11" s="19" t="n">
        <v>0</v>
      </c>
      <c r="C11" s="19" t="n">
        <v>2165</v>
      </c>
      <c r="D11" s="19" t="n">
        <v>0</v>
      </c>
      <c r="E11" s="13" t="n">
        <f aca="false">0</f>
        <v>0</v>
      </c>
      <c r="F11" s="13" t="n">
        <f aca="false">0</f>
        <v>0</v>
      </c>
      <c r="G11" s="13" t="n">
        <f aca="false">0</f>
        <v>0</v>
      </c>
      <c r="H11" s="13" t="n">
        <f aca="false">0</f>
        <v>0</v>
      </c>
      <c r="I11" s="13" t="n">
        <f aca="false">0</f>
        <v>0</v>
      </c>
      <c r="J11" s="13" t="n">
        <f aca="false">0</f>
        <v>0</v>
      </c>
    </row>
    <row r="12" customFormat="false" ht="15" hidden="false" customHeight="false" outlineLevel="0" collapsed="false">
      <c r="A12" s="16" t="s">
        <v>141</v>
      </c>
      <c r="B12" s="30" t="n">
        <v>4830</v>
      </c>
      <c r="C12" s="30" t="n">
        <v>12030</v>
      </c>
      <c r="D12" s="30" t="n">
        <v>13160</v>
      </c>
      <c r="E12" s="27" t="n">
        <f aca="false">E7+E10+E11</f>
        <v>17291.755744</v>
      </c>
      <c r="F12" s="27" t="n">
        <f aca="false">F7+F10+F11</f>
        <v>15232.147728534</v>
      </c>
      <c r="G12" s="27" t="n">
        <f aca="false">G7+G10+G11</f>
        <v>16458.0039022936</v>
      </c>
      <c r="H12" s="27" t="n">
        <f aca="false">H7+H10+H11</f>
        <v>18014.9956477703</v>
      </c>
      <c r="I12" s="27" t="n">
        <f aca="false">I7+I10+I11</f>
        <v>19546.4952125473</v>
      </c>
      <c r="J12" s="27" t="n">
        <f aca="false">J7+J10+J11</f>
        <v>21241.144733802</v>
      </c>
    </row>
    <row r="13" customFormat="false" ht="15" hidden="false" customHeight="false" outlineLevel="0" collapsed="false">
      <c r="A13" s="12" t="s">
        <v>142</v>
      </c>
      <c r="B13" s="19" t="n">
        <v>-1138</v>
      </c>
      <c r="C13" s="19" t="n">
        <v>-2706</v>
      </c>
      <c r="D13" s="19" t="n">
        <v>-2980</v>
      </c>
      <c r="E13" s="13" t="n">
        <f aca="false">-E12*Assumptions!$B$10</f>
        <v>-3890.6450424</v>
      </c>
      <c r="F13" s="13" t="n">
        <f aca="false">-F12*Assumptions!$B$10</f>
        <v>-3427.23323892015</v>
      </c>
      <c r="G13" s="13" t="n">
        <f aca="false">-G12*Assumptions!$B$10</f>
        <v>-3703.05087801606</v>
      </c>
      <c r="H13" s="13" t="n">
        <f aca="false">-H12*Assumptions!$B$10</f>
        <v>-4053.37402074831</v>
      </c>
      <c r="I13" s="13" t="n">
        <f aca="false">-I12*Assumptions!$B$10</f>
        <v>-4397.96142282314</v>
      </c>
      <c r="J13" s="13" t="n">
        <f aca="false">-J12*Assumptions!$B$10</f>
        <v>-4779.25756510546</v>
      </c>
    </row>
    <row r="14" customFormat="false" ht="15" hidden="false" customHeight="false" outlineLevel="0" collapsed="false">
      <c r="A14" s="16" t="s">
        <v>143</v>
      </c>
      <c r="B14" s="30" t="n">
        <v>3692</v>
      </c>
      <c r="C14" s="30" t="n">
        <v>9324</v>
      </c>
      <c r="D14" s="30" t="n">
        <v>10180</v>
      </c>
      <c r="E14" s="27" t="n">
        <f aca="false">E12+E13</f>
        <v>13401.1107016</v>
      </c>
      <c r="F14" s="27" t="n">
        <f aca="false">F12+F13</f>
        <v>11804.9144896139</v>
      </c>
      <c r="G14" s="27" t="n">
        <f aca="false">G12+G13</f>
        <v>12754.9530242775</v>
      </c>
      <c r="H14" s="27" t="n">
        <f aca="false">H12+H13</f>
        <v>13961.621627022</v>
      </c>
      <c r="I14" s="27" t="n">
        <f aca="false">I12+I13</f>
        <v>15148.5337897242</v>
      </c>
      <c r="J14" s="27" t="n">
        <f aca="false">J12+J13</f>
        <v>16461.8871686966</v>
      </c>
    </row>
    <row r="15" customFormat="false" ht="15" hidden="false" customHeight="false" outlineLevel="0" collapsed="false">
      <c r="A15" s="12" t="s">
        <v>144</v>
      </c>
      <c r="B15" s="15" t="n">
        <v>8.95</v>
      </c>
      <c r="C15" s="15" t="n">
        <v>22.6</v>
      </c>
      <c r="D15" s="15" t="n">
        <v>24.68</v>
      </c>
      <c r="E15" s="23" t="n">
        <f aca="false">E14/Assumptions!$B$4</f>
        <v>32.4875410947879</v>
      </c>
      <c r="F15" s="23" t="n">
        <f aca="false">F14/Assumptions!$B$4</f>
        <v>28.617974520276</v>
      </c>
      <c r="G15" s="23" t="n">
        <f aca="false">G14/Assumptions!$B$4</f>
        <v>30.9210982406728</v>
      </c>
      <c r="H15" s="23" t="n">
        <f aca="false">H14/Assumptions!$B$4</f>
        <v>33.8463554594472</v>
      </c>
      <c r="I15" s="23" t="n">
        <f aca="false">I14/Assumptions!$B$4</f>
        <v>36.7237182781192</v>
      </c>
      <c r="J15" s="23" t="n">
        <f aca="false">J14/Assumptions!$B$4</f>
        <v>39.9076052574462</v>
      </c>
    </row>
    <row r="17" customFormat="false" ht="15" hidden="false" customHeight="false" outlineLevel="0" collapsed="false">
      <c r="A17" s="22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146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117</v>
      </c>
      <c r="B2" s="4" t="s">
        <v>132</v>
      </c>
      <c r="C2" s="4" t="s">
        <v>94</v>
      </c>
      <c r="D2" s="4" t="s">
        <v>95</v>
      </c>
      <c r="E2" s="4" t="s">
        <v>67</v>
      </c>
      <c r="F2" s="4" t="s">
        <v>68</v>
      </c>
      <c r="G2" s="4" t="s">
        <v>69</v>
      </c>
      <c r="H2" s="4" t="s">
        <v>70</v>
      </c>
      <c r="I2" s="4" t="s">
        <v>71</v>
      </c>
      <c r="J2" s="4" t="s">
        <v>72</v>
      </c>
    </row>
    <row r="3" customFormat="false" ht="15" hidden="false" customHeight="false" outlineLevel="0" collapsed="false">
      <c r="A3" s="16" t="s">
        <v>147</v>
      </c>
      <c r="B3" s="30" t="n">
        <v>3050</v>
      </c>
      <c r="C3" s="30" t="n">
        <v>6320</v>
      </c>
      <c r="D3" s="30" t="n">
        <v>9600</v>
      </c>
      <c r="E3" s="27" t="n">
        <f aca="false">'Cash Flow'!E13</f>
        <v>17492.3723816</v>
      </c>
      <c r="F3" s="27" t="n">
        <f aca="false">'Cash Flow'!F13</f>
        <v>21608.4589714139</v>
      </c>
      <c r="G3" s="27" t="n">
        <f aca="false">'Cash Flow'!G13</f>
        <v>26924.9139613612</v>
      </c>
      <c r="H3" s="27" t="n">
        <f aca="false">'Cash Flow'!H13</f>
        <v>32901.5654356499</v>
      </c>
      <c r="I3" s="27" t="n">
        <f aca="false">'Cash Flow'!I13</f>
        <v>39352.6040722249</v>
      </c>
      <c r="J3" s="27" t="n">
        <f aca="false">'Cash Flow'!J13</f>
        <v>46406.4090724575</v>
      </c>
    </row>
    <row r="4" customFormat="false" ht="15" hidden="false" customHeight="false" outlineLevel="0" collapsed="false">
      <c r="A4" s="12" t="s">
        <v>148</v>
      </c>
      <c r="B4" s="19" t="n">
        <v>2100</v>
      </c>
      <c r="C4" s="19" t="n">
        <v>3050</v>
      </c>
      <c r="D4" s="19" t="n">
        <v>3900</v>
      </c>
      <c r="E4" s="13" t="n">
        <f aca="false">'Income Statement'!E3*3900/43183</f>
        <v>4453.8</v>
      </c>
      <c r="F4" s="13" t="n">
        <f aca="false">'Income Statement'!F3*3900/43183</f>
        <v>4761.1122</v>
      </c>
      <c r="G4" s="13" t="n">
        <f aca="false">'Income Statement'!G3*3900/43183</f>
        <v>5232.4623078</v>
      </c>
      <c r="H4" s="13" t="n">
        <f aca="false">'Income Statement'!H3*3900/43183</f>
        <v>5755.70853858</v>
      </c>
      <c r="I4" s="13" t="n">
        <f aca="false">'Income Statement'!I3*3900/43183</f>
        <v>6331.279392438</v>
      </c>
      <c r="J4" s="13" t="n">
        <f aca="false">'Income Statement'!J3*3900/43183</f>
        <v>6964.4073316818</v>
      </c>
    </row>
    <row r="5" customFormat="false" ht="15" hidden="false" customHeight="false" outlineLevel="0" collapsed="false">
      <c r="A5" s="12" t="s">
        <v>149</v>
      </c>
      <c r="B5" s="19" t="n">
        <v>5300</v>
      </c>
      <c r="C5" s="19" t="n">
        <v>7200</v>
      </c>
      <c r="D5" s="19" t="n">
        <v>8600</v>
      </c>
      <c r="E5" s="13" t="n">
        <f aca="false">-'Income Statement'!E4*8600/29950</f>
        <v>9190.20577163272</v>
      </c>
      <c r="F5" s="13" t="n">
        <f aca="false">-'Income Statement'!F4*8600/29950</f>
        <v>10596.3497363833</v>
      </c>
      <c r="G5" s="13" t="n">
        <f aca="false">-'Income Statement'!G4*8600/29950</f>
        <v>11612.115822113</v>
      </c>
      <c r="H5" s="13" t="n">
        <f aca="false">-'Income Statement'!H4*8600/29950</f>
        <v>12718.4277163401</v>
      </c>
      <c r="I5" s="13" t="n">
        <f aca="false">-'Income Statement'!I4*8600/29950</f>
        <v>13990.2704879741</v>
      </c>
      <c r="J5" s="13" t="n">
        <f aca="false">-'Income Statement'!J4*8600/29950</f>
        <v>15389.2975367715</v>
      </c>
    </row>
    <row r="6" customFormat="false" ht="15" hidden="false" customHeight="false" outlineLevel="0" collapsed="false">
      <c r="A6" s="12" t="s">
        <v>150</v>
      </c>
      <c r="B6" s="19" t="n">
        <v>6200</v>
      </c>
      <c r="C6" s="19" t="n">
        <v>6650</v>
      </c>
      <c r="D6" s="19" t="n">
        <v>7200</v>
      </c>
      <c r="E6" s="13" t="n">
        <f aca="false">D6+Assumptions!B$31-'Income Statement'!E8</f>
        <v>7850</v>
      </c>
      <c r="F6" s="13" t="n">
        <f aca="false">E6+Assumptions!C$31-'Income Statement'!F8</f>
        <v>9100</v>
      </c>
      <c r="G6" s="13" t="n">
        <f aca="false">F6+Assumptions!D$31-'Income Statement'!G8</f>
        <v>10600</v>
      </c>
      <c r="H6" s="13" t="n">
        <f aca="false">G6+Assumptions!E$31-'Income Statement'!H8</f>
        <v>12150</v>
      </c>
      <c r="I6" s="13" t="n">
        <f aca="false">H6+Assumptions!F$31-'Income Statement'!I8</f>
        <v>13800</v>
      </c>
      <c r="J6" s="13" t="n">
        <f aca="false">I6+Assumptions!G$31-'Income Statement'!J8</f>
        <v>15550</v>
      </c>
    </row>
    <row r="7" customFormat="false" ht="15" hidden="false" customHeight="false" outlineLevel="0" collapsed="false">
      <c r="A7" s="12" t="s">
        <v>151</v>
      </c>
      <c r="B7" s="19" t="n">
        <v>1450</v>
      </c>
      <c r="C7" s="19" t="n">
        <v>1600</v>
      </c>
      <c r="D7" s="19" t="n">
        <v>1700</v>
      </c>
      <c r="E7" s="13" t="n">
        <f aca="false">D7</f>
        <v>1700</v>
      </c>
      <c r="F7" s="13" t="n">
        <f aca="false">E7</f>
        <v>1700</v>
      </c>
      <c r="G7" s="13" t="n">
        <f aca="false">F7</f>
        <v>1700</v>
      </c>
      <c r="H7" s="13" t="n">
        <f aca="false">G7</f>
        <v>1700</v>
      </c>
      <c r="I7" s="13" t="n">
        <f aca="false">H7</f>
        <v>1700</v>
      </c>
      <c r="J7" s="13" t="n">
        <f aca="false">I7</f>
        <v>1700</v>
      </c>
    </row>
    <row r="8" customFormat="false" ht="15" hidden="false" customHeight="false" outlineLevel="0" collapsed="false">
      <c r="A8" s="16" t="s">
        <v>152</v>
      </c>
      <c r="B8" s="30" t="n">
        <v>18100</v>
      </c>
      <c r="C8" s="30" t="n">
        <v>24820</v>
      </c>
      <c r="D8" s="30" t="n">
        <v>31000</v>
      </c>
      <c r="E8" s="27" t="n">
        <f aca="false">SUM(E3:E7)</f>
        <v>40686.3781532327</v>
      </c>
      <c r="F8" s="27" t="n">
        <f aca="false">SUM(F3:F7)</f>
        <v>47765.9209077972</v>
      </c>
      <c r="G8" s="27" t="n">
        <f aca="false">SUM(G3:G7)</f>
        <v>56069.4920912743</v>
      </c>
      <c r="H8" s="27" t="n">
        <f aca="false">SUM(H3:H7)</f>
        <v>65225.70169057</v>
      </c>
      <c r="I8" s="27" t="n">
        <f aca="false">SUM(I3:I7)</f>
        <v>75174.1539526371</v>
      </c>
      <c r="J8" s="27" t="n">
        <f aca="false">SUM(J3:J7)</f>
        <v>86010.1139409108</v>
      </c>
    </row>
    <row r="9" customFormat="false" ht="15" hidden="false" customHeight="false" outlineLevel="0" collapsed="false">
      <c r="A9" s="12" t="s">
        <v>153</v>
      </c>
      <c r="B9" s="19" t="n">
        <v>3300</v>
      </c>
      <c r="C9" s="19" t="n">
        <v>3900</v>
      </c>
      <c r="D9" s="19" t="n">
        <v>4200</v>
      </c>
      <c r="E9" s="13" t="n">
        <f aca="false">-'Income Statement'!E4*4200/29950</f>
        <v>4488.24002800668</v>
      </c>
      <c r="F9" s="13" t="n">
        <f aca="false">-'Income Statement'!F4*4200/29950</f>
        <v>5174.96149916394</v>
      </c>
      <c r="G9" s="13" t="n">
        <f aca="false">-'Income Statement'!G4*4200/29950</f>
        <v>5671.0333084738</v>
      </c>
      <c r="H9" s="13" t="n">
        <f aca="false">-'Income Statement'!H4*4200/29950</f>
        <v>6211.32516379401</v>
      </c>
      <c r="I9" s="13" t="n">
        <f aca="false">-'Income Statement'!I4*4200/29950</f>
        <v>6832.45768017341</v>
      </c>
      <c r="J9" s="13" t="n">
        <f aca="false">-'Income Statement'!J4*4200/29950</f>
        <v>7515.70344819075</v>
      </c>
    </row>
    <row r="10" customFormat="false" ht="15" hidden="false" customHeight="false" outlineLevel="0" collapsed="false">
      <c r="A10" s="12" t="s">
        <v>154</v>
      </c>
      <c r="B10" s="19" t="n">
        <v>750</v>
      </c>
      <c r="C10" s="19" t="n">
        <v>680</v>
      </c>
      <c r="D10" s="19" t="n">
        <v>600</v>
      </c>
      <c r="E10" s="13" t="n">
        <f aca="false">D10</f>
        <v>600</v>
      </c>
      <c r="F10" s="13" t="n">
        <f aca="false">E10</f>
        <v>600</v>
      </c>
      <c r="G10" s="13" t="n">
        <f aca="false">F10</f>
        <v>600</v>
      </c>
      <c r="H10" s="13" t="n">
        <f aca="false">G10</f>
        <v>600</v>
      </c>
      <c r="I10" s="13" t="n">
        <f aca="false">H10</f>
        <v>600</v>
      </c>
      <c r="J10" s="13" t="n">
        <f aca="false">I10</f>
        <v>600</v>
      </c>
    </row>
    <row r="11" customFormat="false" ht="15" hidden="false" customHeight="false" outlineLevel="0" collapsed="false">
      <c r="A11" s="16" t="s">
        <v>155</v>
      </c>
      <c r="B11" s="30" t="n">
        <v>10400</v>
      </c>
      <c r="C11" s="30" t="n">
        <v>18486</v>
      </c>
      <c r="D11" s="30" t="n">
        <v>25366</v>
      </c>
      <c r="E11" s="27" t="n">
        <f aca="false">D11+'Income Statement'!E14+'Cash Flow'!E10</f>
        <v>34644.2107016</v>
      </c>
      <c r="F11" s="27" t="n">
        <f aca="false">E11+'Income Statement'!F14+'Cash Flow'!F10</f>
        <v>40418.6253754939</v>
      </c>
      <c r="G11" s="27" t="n">
        <f aca="false">F11+'Income Statement'!G14+'Cash Flow'!G10</f>
        <v>47861.3668794452</v>
      </c>
      <c r="H11" s="27" t="n">
        <f aca="false">G11+'Income Statement'!H14+'Cash Flow'!H10</f>
        <v>56083.2596455422</v>
      </c>
      <c r="I11" s="27" t="n">
        <f aca="false">H11+'Income Statement'!I14+'Cash Flow'!I10</f>
        <v>64949.0637031065</v>
      </c>
      <c r="J11" s="27" t="n">
        <f aca="false">I11+'Income Statement'!J14+'Cash Flow'!J10</f>
        <v>74594.1106664272</v>
      </c>
    </row>
    <row r="12" customFormat="false" ht="15" hidden="false" customHeight="false" outlineLevel="0" collapsed="false">
      <c r="A12" s="12" t="s">
        <v>156</v>
      </c>
      <c r="B12" s="19" t="n">
        <v>3650</v>
      </c>
      <c r="C12" s="19" t="n">
        <v>1754</v>
      </c>
      <c r="D12" s="19" t="n">
        <v>834</v>
      </c>
      <c r="E12" s="13" t="n">
        <f aca="false">E8-E9-E10-E11</f>
        <v>953.927423626039</v>
      </c>
      <c r="F12" s="13" t="n">
        <f aca="false">F8-F9-F10-F11</f>
        <v>1572.33403313936</v>
      </c>
      <c r="G12" s="13" t="n">
        <f aca="false">G8-G9-G10-G11</f>
        <v>1937.0919033553</v>
      </c>
      <c r="H12" s="13" t="n">
        <f aca="false">H8-H9-H10-H11</f>
        <v>2331.11688123379</v>
      </c>
      <c r="I12" s="13" t="n">
        <f aca="false">I8-I9-I10-I11</f>
        <v>2792.63256935716</v>
      </c>
      <c r="J12" s="13" t="n">
        <f aca="false">J8-J9-J10-J11</f>
        <v>3300.29982629289</v>
      </c>
    </row>
    <row r="13" customFormat="false" ht="15" hidden="false" customHeight="false" outlineLevel="0" collapsed="false">
      <c r="A13" s="16" t="s">
        <v>157</v>
      </c>
      <c r="B13" s="30" t="n">
        <v>18100</v>
      </c>
      <c r="C13" s="30" t="n">
        <v>24820</v>
      </c>
      <c r="D13" s="30" t="n">
        <v>31000</v>
      </c>
      <c r="E13" s="27" t="n">
        <f aca="false">E9+E10+E12+E11</f>
        <v>40686.3781532327</v>
      </c>
      <c r="F13" s="27" t="n">
        <f aca="false">F9+F10+F12+F11</f>
        <v>47765.9209077972</v>
      </c>
      <c r="G13" s="27" t="n">
        <f aca="false">G9+G10+G12+G11</f>
        <v>56069.4920912743</v>
      </c>
      <c r="H13" s="27" t="n">
        <f aca="false">H9+H10+H12+H11</f>
        <v>65225.70169057</v>
      </c>
      <c r="I13" s="27" t="n">
        <f aca="false">I9+I10+I12+I11</f>
        <v>75174.1539526371</v>
      </c>
      <c r="J13" s="27" t="n">
        <f aca="false">J9+J10+J12+J11</f>
        <v>86010.1139409108</v>
      </c>
    </row>
    <row r="14" customFormat="false" ht="15" hidden="false" customHeight="false" outlineLevel="0" collapsed="false">
      <c r="A14" s="12" t="s">
        <v>158</v>
      </c>
      <c r="B14" s="19" t="n">
        <v>0</v>
      </c>
      <c r="C14" s="19" t="n">
        <v>0</v>
      </c>
      <c r="D14" s="19" t="n">
        <v>0</v>
      </c>
      <c r="E14" s="13" t="n">
        <f aca="false">E8-E13</f>
        <v>0</v>
      </c>
      <c r="F14" s="13" t="n">
        <f aca="false">F8-F13</f>
        <v>0</v>
      </c>
      <c r="G14" s="13" t="n">
        <f aca="false">G8-G13</f>
        <v>0</v>
      </c>
      <c r="H14" s="13" t="n">
        <f aca="false">H8-H13</f>
        <v>0</v>
      </c>
      <c r="I14" s="13" t="n">
        <f aca="false">I8-I13</f>
        <v>0</v>
      </c>
      <c r="J14" s="13" t="n">
        <f aca="false">J8-J13</f>
        <v>0</v>
      </c>
    </row>
    <row r="15" customFormat="false" ht="15" hidden="false" customHeight="false" outlineLevel="0" collapsed="false">
      <c r="A15" s="16" t="s">
        <v>159</v>
      </c>
      <c r="B15" s="30" t="n">
        <v>2300</v>
      </c>
      <c r="C15" s="30" t="n">
        <v>5640</v>
      </c>
      <c r="D15" s="30" t="n">
        <v>9000</v>
      </c>
      <c r="E15" s="27" t="n">
        <f aca="false">E3-E10</f>
        <v>16892.3723816</v>
      </c>
      <c r="F15" s="27" t="n">
        <f aca="false">F3-F10</f>
        <v>21008.4589714139</v>
      </c>
      <c r="G15" s="27" t="n">
        <f aca="false">G3-G10</f>
        <v>26324.9139613612</v>
      </c>
      <c r="H15" s="27" t="n">
        <f aca="false">H3-H10</f>
        <v>32301.5654356499</v>
      </c>
      <c r="I15" s="27" t="n">
        <f aca="false">I3-I10</f>
        <v>38752.6040722249</v>
      </c>
      <c r="J15" s="27" t="n">
        <f aca="false">J3-J10</f>
        <v>45806.4090724575</v>
      </c>
    </row>
    <row r="16" customFormat="false" ht="15" hidden="false" customHeight="false" outlineLevel="0" collapsed="false">
      <c r="A16" s="12" t="s">
        <v>160</v>
      </c>
      <c r="B16" s="15" t="n">
        <v>25.2</v>
      </c>
      <c r="C16" s="15" t="n">
        <v>44.8</v>
      </c>
      <c r="D16" s="15" t="n">
        <v>61.5</v>
      </c>
      <c r="E16" s="23" t="n">
        <f aca="false">E11/Assumptions!$B$4</f>
        <v>83.9859653372121</v>
      </c>
      <c r="F16" s="23" t="n">
        <f aca="false">F11/Assumptions!$B$4</f>
        <v>97.9845463648336</v>
      </c>
      <c r="G16" s="23" t="n">
        <f aca="false">G11/Assumptions!$B$4</f>
        <v>116.027556071382</v>
      </c>
      <c r="H16" s="23" t="n">
        <f aca="false">H11/Assumptions!$B$4</f>
        <v>135.959417322527</v>
      </c>
      <c r="I16" s="23" t="n">
        <f aca="false">I11/Assumptions!$B$4</f>
        <v>157.452275643895</v>
      </c>
      <c r="J16" s="23" t="n">
        <f aca="false">J11/Assumptions!$B$4</f>
        <v>180.834207676187</v>
      </c>
    </row>
    <row r="18" customFormat="false" ht="15" hidden="false" customHeight="false" outlineLevel="0" collapsed="false">
      <c r="A18" s="22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162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117</v>
      </c>
      <c r="B2" s="4" t="s">
        <v>132</v>
      </c>
      <c r="C2" s="4" t="s">
        <v>94</v>
      </c>
      <c r="D2" s="4" t="s">
        <v>95</v>
      </c>
      <c r="E2" s="4" t="s">
        <v>67</v>
      </c>
      <c r="F2" s="4" t="s">
        <v>68</v>
      </c>
      <c r="G2" s="4" t="s">
        <v>69</v>
      </c>
      <c r="H2" s="4" t="s">
        <v>70</v>
      </c>
      <c r="I2" s="4" t="s">
        <v>71</v>
      </c>
      <c r="J2" s="4" t="s">
        <v>72</v>
      </c>
    </row>
    <row r="3" customFormat="false" ht="15" hidden="false" customHeight="false" outlineLevel="0" collapsed="false">
      <c r="A3" s="16" t="s">
        <v>163</v>
      </c>
      <c r="B3" s="30" t="n">
        <v>3692</v>
      </c>
      <c r="C3" s="30" t="n">
        <v>9324</v>
      </c>
      <c r="D3" s="30" t="n">
        <v>10180</v>
      </c>
      <c r="E3" s="27" t="n">
        <f aca="false">'Income Statement'!E14</f>
        <v>13401.1107016</v>
      </c>
      <c r="F3" s="27" t="n">
        <f aca="false">'Income Statement'!F14</f>
        <v>11804.9144896139</v>
      </c>
      <c r="G3" s="27" t="n">
        <f aca="false">'Income Statement'!G14</f>
        <v>12754.9530242775</v>
      </c>
      <c r="H3" s="27" t="n">
        <f aca="false">'Income Statement'!H14</f>
        <v>13961.621627022</v>
      </c>
      <c r="I3" s="27" t="n">
        <f aca="false">'Income Statement'!I14</f>
        <v>15148.5337897242</v>
      </c>
      <c r="J3" s="27" t="n">
        <f aca="false">'Income Statement'!J14</f>
        <v>16461.8871686966</v>
      </c>
    </row>
    <row r="4" customFormat="false" ht="15" hidden="false" customHeight="false" outlineLevel="0" collapsed="false">
      <c r="A4" s="12" t="s">
        <v>164</v>
      </c>
      <c r="B4" s="19" t="n">
        <v>650</v>
      </c>
      <c r="C4" s="19" t="n">
        <v>700</v>
      </c>
      <c r="D4" s="19" t="n">
        <v>780</v>
      </c>
      <c r="E4" s="13" t="n">
        <f aca="false">'Income Statement'!E8</f>
        <v>850</v>
      </c>
      <c r="F4" s="13" t="n">
        <f aca="false">'Income Statement'!F8</f>
        <v>950</v>
      </c>
      <c r="G4" s="13" t="n">
        <f aca="false">'Income Statement'!G8</f>
        <v>1100</v>
      </c>
      <c r="H4" s="13" t="n">
        <f aca="false">'Income Statement'!H8</f>
        <v>1250</v>
      </c>
      <c r="I4" s="13" t="n">
        <f aca="false">'Income Statement'!I8</f>
        <v>1350</v>
      </c>
      <c r="J4" s="13" t="n">
        <f aca="false">'Income Statement'!J8</f>
        <v>1450</v>
      </c>
    </row>
    <row r="5" customFormat="false" ht="15" hidden="false" customHeight="false" outlineLevel="0" collapsed="false">
      <c r="A5" s="12" t="s">
        <v>165</v>
      </c>
      <c r="B5" s="19" t="n">
        <v>-900</v>
      </c>
      <c r="C5" s="19" t="n">
        <v>-1600</v>
      </c>
      <c r="D5" s="19" t="n">
        <v>-1450</v>
      </c>
      <c r="E5" s="13" t="n">
        <f aca="false">-('Income Statement'!E3-'Income Statement'!D3)*Assumptions!B$32</f>
        <v>-735.83832</v>
      </c>
      <c r="F5" s="13" t="n">
        <f aca="false">-('Income Statement'!F3-'Income Statement'!E3)*Assumptions!C$32</f>
        <v>-408.32808408</v>
      </c>
      <c r="G5" s="13" t="n">
        <f aca="false">-('Income Statement'!G3-'Income Statement'!F3)*Assumptions!D$32</f>
        <v>-626.28651400392</v>
      </c>
      <c r="H5" s="13" t="n">
        <f aca="false">-('Income Statement'!H3-'Income Statement'!G3)*Assumptions!E$32</f>
        <v>-695.241291808393</v>
      </c>
      <c r="I5" s="13" t="n">
        <f aca="false">-('Income Statement'!I3-'Income Statement'!H3)*Assumptions!F$32</f>
        <v>-764.765420989232</v>
      </c>
      <c r="J5" s="13" t="n">
        <f aca="false">-('Income Statement'!J3-'Income Statement'!I3)*Assumptions!G$32</f>
        <v>-841.241963088154</v>
      </c>
    </row>
    <row r="6" customFormat="false" ht="15" hidden="false" customHeight="false" outlineLevel="0" collapsed="false">
      <c r="A6" s="16" t="s">
        <v>166</v>
      </c>
      <c r="B6" s="30" t="n">
        <v>3442</v>
      </c>
      <c r="C6" s="30" t="n">
        <v>8424</v>
      </c>
      <c r="D6" s="30" t="n">
        <v>9510</v>
      </c>
      <c r="E6" s="27" t="n">
        <f aca="false">SUM(E3:E5)</f>
        <v>13515.2723816</v>
      </c>
      <c r="F6" s="27" t="n">
        <f aca="false">SUM(F3:F5)</f>
        <v>12346.5864055339</v>
      </c>
      <c r="G6" s="27" t="n">
        <f aca="false">SUM(G3:G5)</f>
        <v>13228.6665102736</v>
      </c>
      <c r="H6" s="27" t="n">
        <f aca="false">SUM(H3:H5)</f>
        <v>14516.3803352136</v>
      </c>
      <c r="I6" s="27" t="n">
        <f aca="false">SUM(I3:I5)</f>
        <v>15733.7683687349</v>
      </c>
      <c r="J6" s="27" t="n">
        <f aca="false">SUM(J3:J5)</f>
        <v>17070.6452056084</v>
      </c>
    </row>
    <row r="7" customFormat="false" ht="15" hidden="false" customHeight="false" outlineLevel="0" collapsed="false">
      <c r="A7" s="12" t="s">
        <v>167</v>
      </c>
      <c r="B7" s="19" t="n">
        <v>-500</v>
      </c>
      <c r="C7" s="19" t="n">
        <v>-600</v>
      </c>
      <c r="D7" s="19" t="n">
        <v>-900</v>
      </c>
      <c r="E7" s="13" t="n">
        <f aca="false">-Assumptions!B$31</f>
        <v>-1500</v>
      </c>
      <c r="F7" s="13" t="n">
        <f aca="false">-Assumptions!C$31</f>
        <v>-2200</v>
      </c>
      <c r="G7" s="13" t="n">
        <f aca="false">-Assumptions!D$31</f>
        <v>-2600</v>
      </c>
      <c r="H7" s="13" t="n">
        <f aca="false">-Assumptions!E$31</f>
        <v>-2800</v>
      </c>
      <c r="I7" s="13" t="n">
        <f aca="false">-Assumptions!F$31</f>
        <v>-3000</v>
      </c>
      <c r="J7" s="13" t="n">
        <f aca="false">-Assumptions!G$31</f>
        <v>-3200</v>
      </c>
    </row>
    <row r="8" customFormat="false" ht="15" hidden="false" customHeight="false" outlineLevel="0" collapsed="false">
      <c r="A8" s="16" t="s">
        <v>168</v>
      </c>
      <c r="B8" s="30" t="n">
        <v>2942</v>
      </c>
      <c r="C8" s="30" t="n">
        <v>7824</v>
      </c>
      <c r="D8" s="30" t="n">
        <v>8610</v>
      </c>
      <c r="E8" s="27" t="n">
        <f aca="false">E6+E7</f>
        <v>12015.2723816</v>
      </c>
      <c r="F8" s="27" t="n">
        <f aca="false">F6+F7</f>
        <v>10146.5864055339</v>
      </c>
      <c r="G8" s="27" t="n">
        <f aca="false">G6+G7</f>
        <v>10628.6665102736</v>
      </c>
      <c r="H8" s="27" t="n">
        <f aca="false">H6+H7</f>
        <v>11716.3803352136</v>
      </c>
      <c r="I8" s="27" t="n">
        <f aca="false">I6+I7</f>
        <v>12733.7683687349</v>
      </c>
      <c r="J8" s="27" t="n">
        <f aca="false">J6+J7</f>
        <v>13870.6452056084</v>
      </c>
    </row>
    <row r="9" customFormat="false" ht="15" hidden="false" customHeight="false" outlineLevel="0" collapsed="false">
      <c r="A9" s="12" t="s">
        <v>169</v>
      </c>
      <c r="B9" s="19" t="n">
        <v>-1200</v>
      </c>
      <c r="C9" s="19" t="n">
        <v>-3316</v>
      </c>
      <c r="D9" s="19" t="n">
        <v>-2030</v>
      </c>
      <c r="E9" s="13" t="n">
        <f aca="false">0</f>
        <v>0</v>
      </c>
      <c r="F9" s="13" t="n">
        <f aca="false">0</f>
        <v>0</v>
      </c>
      <c r="G9" s="13" t="n">
        <f aca="false">0</f>
        <v>0</v>
      </c>
      <c r="H9" s="13" t="n">
        <f aca="false">0</f>
        <v>0</v>
      </c>
      <c r="I9" s="13" t="n">
        <f aca="false">0</f>
        <v>0</v>
      </c>
      <c r="J9" s="13" t="n">
        <f aca="false">0</f>
        <v>0</v>
      </c>
    </row>
    <row r="10" customFormat="false" ht="15" hidden="false" customHeight="false" outlineLevel="0" collapsed="false">
      <c r="A10" s="12" t="s">
        <v>170</v>
      </c>
      <c r="B10" s="19" t="n">
        <v>-1030</v>
      </c>
      <c r="C10" s="19" t="n">
        <v>-1238</v>
      </c>
      <c r="D10" s="19" t="n">
        <v>-3300</v>
      </c>
      <c r="E10" s="13" t="n">
        <f aca="false">-'Income Statement'!D14*Assumptions!B$33</f>
        <v>-4122.9</v>
      </c>
      <c r="F10" s="13" t="n">
        <f aca="false">-'Income Statement'!E14*Assumptions!C$33</f>
        <v>-6030.49981572</v>
      </c>
      <c r="G10" s="13" t="n">
        <f aca="false">-'Income Statement'!F14*Assumptions!D$33</f>
        <v>-5312.21152032623</v>
      </c>
      <c r="H10" s="13" t="n">
        <f aca="false">-'Income Statement'!G14*Assumptions!E$33</f>
        <v>-5739.72886092489</v>
      </c>
      <c r="I10" s="13" t="n">
        <f aca="false">-'Income Statement'!H14*Assumptions!F$33</f>
        <v>-6282.72973215988</v>
      </c>
      <c r="J10" s="13" t="n">
        <f aca="false">-'Income Statement'!I14*Assumptions!G$33</f>
        <v>-6816.84020537587</v>
      </c>
    </row>
    <row r="11" customFormat="false" ht="15" hidden="false" customHeight="false" outlineLevel="0" collapsed="false">
      <c r="A11" s="16" t="s">
        <v>171</v>
      </c>
      <c r="B11" s="30" t="n">
        <v>712</v>
      </c>
      <c r="C11" s="30" t="n">
        <v>3270</v>
      </c>
      <c r="D11" s="30" t="n">
        <v>3280</v>
      </c>
      <c r="E11" s="27" t="n">
        <f aca="false">E8+E9+E10</f>
        <v>7892.3723816</v>
      </c>
      <c r="F11" s="27" t="n">
        <f aca="false">F8+F9+F10</f>
        <v>4116.08658981385</v>
      </c>
      <c r="G11" s="27" t="n">
        <f aca="false">G8+G9+G10</f>
        <v>5316.45498994739</v>
      </c>
      <c r="H11" s="27" t="n">
        <f aca="false">H8+H9+H10</f>
        <v>5976.65147428867</v>
      </c>
      <c r="I11" s="27" t="n">
        <f aca="false">I8+I9+I10</f>
        <v>6451.03863657504</v>
      </c>
      <c r="J11" s="27" t="n">
        <f aca="false">J8+J9+J10</f>
        <v>7053.80500023254</v>
      </c>
    </row>
    <row r="12" customFormat="false" ht="15" hidden="false" customHeight="false" outlineLevel="0" collapsed="false">
      <c r="A12" s="12" t="s">
        <v>172</v>
      </c>
      <c r="B12" s="19" t="n">
        <v>2338</v>
      </c>
      <c r="C12" s="19" t="n">
        <v>3050</v>
      </c>
      <c r="D12" s="19" t="n">
        <v>6320</v>
      </c>
      <c r="E12" s="13" t="n">
        <f aca="false">D13</f>
        <v>9600</v>
      </c>
      <c r="F12" s="13" t="n">
        <f aca="false">E13</f>
        <v>17492.3723816</v>
      </c>
      <c r="G12" s="13" t="n">
        <f aca="false">F13</f>
        <v>21608.4589714139</v>
      </c>
      <c r="H12" s="13" t="n">
        <f aca="false">G13</f>
        <v>26924.9139613612</v>
      </c>
      <c r="I12" s="13" t="n">
        <f aca="false">H13</f>
        <v>32901.5654356499</v>
      </c>
      <c r="J12" s="13" t="n">
        <f aca="false">I13</f>
        <v>39352.6040722249</v>
      </c>
    </row>
    <row r="13" customFormat="false" ht="15" hidden="false" customHeight="false" outlineLevel="0" collapsed="false">
      <c r="A13" s="16" t="s">
        <v>173</v>
      </c>
      <c r="B13" s="30" t="n">
        <v>3050</v>
      </c>
      <c r="C13" s="30" t="n">
        <v>6320</v>
      </c>
      <c r="D13" s="30" t="n">
        <v>9600</v>
      </c>
      <c r="E13" s="27" t="n">
        <f aca="false">E12+E11</f>
        <v>17492.3723816</v>
      </c>
      <c r="F13" s="27" t="n">
        <f aca="false">F12+F11</f>
        <v>21608.4589714139</v>
      </c>
      <c r="G13" s="27" t="n">
        <f aca="false">G12+G11</f>
        <v>26924.9139613612</v>
      </c>
      <c r="H13" s="27" t="n">
        <f aca="false">H12+H11</f>
        <v>32901.5654356499</v>
      </c>
      <c r="I13" s="27" t="n">
        <f aca="false">I12+I11</f>
        <v>39352.6040722249</v>
      </c>
      <c r="J13" s="27" t="n">
        <f aca="false">J12+J11</f>
        <v>46406.4090724575</v>
      </c>
    </row>
    <row r="15" customFormat="false" ht="15" hidden="false" customHeight="false" outlineLevel="0" collapsed="false">
      <c r="A15" s="22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175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117</v>
      </c>
      <c r="B2" s="4" t="s">
        <v>132</v>
      </c>
      <c r="C2" s="4" t="s">
        <v>94</v>
      </c>
      <c r="D2" s="4" t="s">
        <v>95</v>
      </c>
      <c r="E2" s="4" t="s">
        <v>67</v>
      </c>
      <c r="F2" s="4" t="s">
        <v>68</v>
      </c>
      <c r="G2" s="4" t="s">
        <v>69</v>
      </c>
      <c r="H2" s="4" t="s">
        <v>70</v>
      </c>
      <c r="I2" s="4" t="s">
        <v>71</v>
      </c>
      <c r="J2" s="4" t="s">
        <v>72</v>
      </c>
    </row>
    <row r="3" customFormat="false" ht="15" hidden="false" customHeight="false" outlineLevel="0" collapsed="false">
      <c r="A3" s="16" t="s">
        <v>133</v>
      </c>
      <c r="B3" s="7" t="n">
        <f aca="false">'Income Statement'!B3</f>
        <v>22045</v>
      </c>
      <c r="C3" s="7" t="n">
        <f aca="false">'Income Statement'!C3</f>
        <v>32815</v>
      </c>
      <c r="D3" s="7" t="n">
        <f aca="false">'Income Statement'!D3</f>
        <v>43183</v>
      </c>
      <c r="E3" s="7" t="n">
        <f aca="false">'Income Statement'!E3</f>
        <v>49314.986</v>
      </c>
      <c r="F3" s="7" t="n">
        <f aca="false">'Income Statement'!F3</f>
        <v>52717.720034</v>
      </c>
      <c r="G3" s="7" t="n">
        <f aca="false">'Income Statement'!G3</f>
        <v>57936.774317366</v>
      </c>
      <c r="H3" s="7" t="n">
        <f aca="false">'Income Statement'!H3</f>
        <v>63730.4517491026</v>
      </c>
      <c r="I3" s="7" t="n">
        <f aca="false">'Income Statement'!I3</f>
        <v>70103.4969240129</v>
      </c>
      <c r="J3" s="7" t="n">
        <f aca="false">'Income Statement'!J3</f>
        <v>77113.8466164142</v>
      </c>
    </row>
    <row r="4" customFormat="false" ht="15" hidden="false" customHeight="false" outlineLevel="0" collapsed="false">
      <c r="A4" s="16" t="s">
        <v>138</v>
      </c>
      <c r="B4" s="7" t="n">
        <f aca="false">'Income Statement'!B9</f>
        <v>5495</v>
      </c>
      <c r="C4" s="7" t="n">
        <f aca="false">'Income Statement'!C9</f>
        <v>9565</v>
      </c>
      <c r="D4" s="7" t="n">
        <f aca="false">'Income Statement'!D9</f>
        <v>11940</v>
      </c>
      <c r="E4" s="7" t="n">
        <f aca="false">'Income Statement'!E9</f>
        <v>15841.755744</v>
      </c>
      <c r="F4" s="7" t="n">
        <f aca="false">'Income Statement'!F9</f>
        <v>14182.147728534</v>
      </c>
      <c r="G4" s="7" t="n">
        <f aca="false">'Income Statement'!G9</f>
        <v>15758.0039022936</v>
      </c>
      <c r="H4" s="7" t="n">
        <f aca="false">'Income Statement'!H9</f>
        <v>17564.9956477703</v>
      </c>
      <c r="I4" s="7" t="n">
        <f aca="false">'Income Statement'!I9</f>
        <v>19296.4952125473</v>
      </c>
      <c r="J4" s="7" t="n">
        <f aca="false">'Income Statement'!J9</f>
        <v>21191.144733802</v>
      </c>
    </row>
    <row r="5" customFormat="false" ht="15" hidden="false" customHeight="false" outlineLevel="0" collapsed="false">
      <c r="A5" s="16" t="s">
        <v>118</v>
      </c>
      <c r="B5" s="7" t="n">
        <f aca="false">'Income Statement'!B7</f>
        <v>4845</v>
      </c>
      <c r="C5" s="7" t="n">
        <f aca="false">'Income Statement'!C7</f>
        <v>8865</v>
      </c>
      <c r="D5" s="7" t="n">
        <f aca="false">'Income Statement'!D7</f>
        <v>11160</v>
      </c>
      <c r="E5" s="7" t="n">
        <f aca="false">'Income Statement'!E7</f>
        <v>14991.755744</v>
      </c>
      <c r="F5" s="7" t="n">
        <f aca="false">'Income Statement'!F7</f>
        <v>13232.147728534</v>
      </c>
      <c r="G5" s="7" t="n">
        <f aca="false">'Income Statement'!G7</f>
        <v>14658.0039022936</v>
      </c>
      <c r="H5" s="7" t="n">
        <f aca="false">'Income Statement'!H7</f>
        <v>16314.9956477703</v>
      </c>
      <c r="I5" s="7" t="n">
        <f aca="false">'Income Statement'!I7</f>
        <v>17946.4952125473</v>
      </c>
      <c r="J5" s="7" t="n">
        <f aca="false">'Income Statement'!J7</f>
        <v>19741.144733802</v>
      </c>
    </row>
    <row r="6" customFormat="false" ht="15" hidden="false" customHeight="false" outlineLevel="0" collapsed="false">
      <c r="A6" s="16" t="s">
        <v>163</v>
      </c>
      <c r="B6" s="7" t="n">
        <f aca="false">'Income Statement'!B14</f>
        <v>3692</v>
      </c>
      <c r="C6" s="7" t="n">
        <f aca="false">'Income Statement'!C14</f>
        <v>9324</v>
      </c>
      <c r="D6" s="7" t="n">
        <f aca="false">'Income Statement'!D14</f>
        <v>10180</v>
      </c>
      <c r="E6" s="7" t="n">
        <f aca="false">'Income Statement'!E14</f>
        <v>13401.1107016</v>
      </c>
      <c r="F6" s="7" t="n">
        <f aca="false">'Income Statement'!F14</f>
        <v>11804.9144896139</v>
      </c>
      <c r="G6" s="7" t="n">
        <f aca="false">'Income Statement'!G14</f>
        <v>12754.9530242775</v>
      </c>
      <c r="H6" s="7" t="n">
        <f aca="false">'Income Statement'!H14</f>
        <v>13961.621627022</v>
      </c>
      <c r="I6" s="7" t="n">
        <f aca="false">'Income Statement'!I14</f>
        <v>15148.5337897242</v>
      </c>
      <c r="J6" s="7" t="n">
        <f aca="false">'Income Statement'!J14</f>
        <v>16461.8871686966</v>
      </c>
    </row>
    <row r="7" customFormat="false" ht="15" hidden="false" customHeight="false" outlineLevel="0" collapsed="false">
      <c r="A7" s="16" t="s">
        <v>144</v>
      </c>
      <c r="B7" s="5" t="n">
        <f aca="false">'Income Statement'!B15</f>
        <v>8.95</v>
      </c>
      <c r="C7" s="5" t="n">
        <f aca="false">'Income Statement'!C15</f>
        <v>22.6</v>
      </c>
      <c r="D7" s="5" t="n">
        <f aca="false">'Income Statement'!D15</f>
        <v>24.68</v>
      </c>
      <c r="E7" s="5" t="n">
        <f aca="false">'Income Statement'!E15</f>
        <v>32.4875410947879</v>
      </c>
      <c r="F7" s="5" t="n">
        <f aca="false">'Income Statement'!F15</f>
        <v>28.617974520276</v>
      </c>
      <c r="G7" s="5" t="n">
        <f aca="false">'Income Statement'!G15</f>
        <v>30.9210982406728</v>
      </c>
      <c r="H7" s="5" t="n">
        <f aca="false">'Income Statement'!H15</f>
        <v>33.8463554594472</v>
      </c>
      <c r="I7" s="5" t="n">
        <f aca="false">'Income Statement'!I15</f>
        <v>36.7237182781192</v>
      </c>
      <c r="J7" s="5" t="n">
        <f aca="false">'Income Statement'!J15</f>
        <v>39.9076052574462</v>
      </c>
    </row>
    <row r="8" customFormat="false" ht="15" hidden="false" customHeight="false" outlineLevel="0" collapsed="false">
      <c r="A8" s="16" t="s">
        <v>166</v>
      </c>
      <c r="B8" s="7" t="n">
        <f aca="false">'Cash Flow'!B6</f>
        <v>3442</v>
      </c>
      <c r="C8" s="7" t="n">
        <f aca="false">'Cash Flow'!C6</f>
        <v>8424</v>
      </c>
      <c r="D8" s="7" t="n">
        <f aca="false">'Cash Flow'!D6</f>
        <v>9510</v>
      </c>
      <c r="E8" s="7" t="n">
        <f aca="false">'Cash Flow'!E6</f>
        <v>13515.2723816</v>
      </c>
      <c r="F8" s="7" t="n">
        <f aca="false">'Cash Flow'!F6</f>
        <v>12346.5864055339</v>
      </c>
      <c r="G8" s="7" t="n">
        <f aca="false">'Cash Flow'!G6</f>
        <v>13228.6665102736</v>
      </c>
      <c r="H8" s="7" t="n">
        <f aca="false">'Cash Flow'!H6</f>
        <v>14516.3803352136</v>
      </c>
      <c r="I8" s="7" t="n">
        <f aca="false">'Cash Flow'!I6</f>
        <v>15733.7683687349</v>
      </c>
      <c r="J8" s="7" t="n">
        <f aca="false">'Cash Flow'!J6</f>
        <v>17070.6452056084</v>
      </c>
    </row>
    <row r="9" customFormat="false" ht="15" hidden="false" customHeight="false" outlineLevel="0" collapsed="false">
      <c r="A9" s="16" t="s">
        <v>168</v>
      </c>
      <c r="B9" s="7" t="n">
        <f aca="false">'Cash Flow'!B8</f>
        <v>2942</v>
      </c>
      <c r="C9" s="7" t="n">
        <f aca="false">'Cash Flow'!C8</f>
        <v>7824</v>
      </c>
      <c r="D9" s="7" t="n">
        <f aca="false">'Cash Flow'!D8</f>
        <v>8610</v>
      </c>
      <c r="E9" s="7" t="n">
        <f aca="false">'Cash Flow'!E8</f>
        <v>12015.2723816</v>
      </c>
      <c r="F9" s="7" t="n">
        <f aca="false">'Cash Flow'!F8</f>
        <v>10146.5864055339</v>
      </c>
      <c r="G9" s="7" t="n">
        <f aca="false">'Cash Flow'!G8</f>
        <v>10628.6665102736</v>
      </c>
      <c r="H9" s="7" t="n">
        <f aca="false">'Cash Flow'!H8</f>
        <v>11716.3803352136</v>
      </c>
      <c r="I9" s="7" t="n">
        <f aca="false">'Cash Flow'!I8</f>
        <v>12733.7683687349</v>
      </c>
      <c r="J9" s="7" t="n">
        <f aca="false">'Cash Flow'!J8</f>
        <v>13870.6452056084</v>
      </c>
    </row>
    <row r="10" customFormat="false" ht="15" hidden="false" customHeight="false" outlineLevel="0" collapsed="false">
      <c r="A10" s="16" t="s">
        <v>159</v>
      </c>
      <c r="B10" s="7" t="n">
        <f aca="false">'Balance Sheet'!B15</f>
        <v>2300</v>
      </c>
      <c r="C10" s="7" t="n">
        <f aca="false">'Balance Sheet'!C15</f>
        <v>5640</v>
      </c>
      <c r="D10" s="7" t="n">
        <f aca="false">'Balance Sheet'!D15</f>
        <v>9000</v>
      </c>
      <c r="E10" s="7" t="n">
        <f aca="false">'Balance Sheet'!E15</f>
        <v>16892.3723816</v>
      </c>
      <c r="F10" s="7" t="n">
        <f aca="false">'Balance Sheet'!F15</f>
        <v>21008.4589714139</v>
      </c>
      <c r="G10" s="7" t="n">
        <f aca="false">'Balance Sheet'!G15</f>
        <v>26324.9139613612</v>
      </c>
      <c r="H10" s="7" t="n">
        <f aca="false">'Balance Sheet'!H15</f>
        <v>32301.5654356499</v>
      </c>
      <c r="I10" s="7" t="n">
        <f aca="false">'Balance Sheet'!I15</f>
        <v>38752.6040722249</v>
      </c>
      <c r="J10" s="7" t="n">
        <f aca="false">'Balance Sheet'!J15</f>
        <v>45806.4090724575</v>
      </c>
    </row>
    <row r="11" customFormat="false" ht="15" hidden="false" customHeight="false" outlineLevel="0" collapsed="false">
      <c r="A11" s="16" t="s">
        <v>155</v>
      </c>
      <c r="B11" s="7" t="n">
        <f aca="false">'Balance Sheet'!B11</f>
        <v>10400</v>
      </c>
      <c r="C11" s="7" t="n">
        <f aca="false">'Balance Sheet'!C11</f>
        <v>18486</v>
      </c>
      <c r="D11" s="7" t="n">
        <f aca="false">'Balance Sheet'!D11</f>
        <v>25366</v>
      </c>
      <c r="E11" s="7" t="n">
        <f aca="false">'Balance Sheet'!E11</f>
        <v>34644.2107016</v>
      </c>
      <c r="F11" s="7" t="n">
        <f aca="false">'Balance Sheet'!F11</f>
        <v>40418.6253754939</v>
      </c>
      <c r="G11" s="7" t="n">
        <f aca="false">'Balance Sheet'!G11</f>
        <v>47861.3668794452</v>
      </c>
      <c r="H11" s="7" t="n">
        <f aca="false">'Balance Sheet'!H11</f>
        <v>56083.2596455422</v>
      </c>
      <c r="I11" s="7" t="n">
        <f aca="false">'Balance Sheet'!I11</f>
        <v>64949.0637031065</v>
      </c>
      <c r="J11" s="7" t="n">
        <f aca="false">'Balance Sheet'!J11</f>
        <v>74594.1106664272</v>
      </c>
    </row>
    <row r="12" customFormat="false" ht="15" hidden="false" customHeight="false" outlineLevel="0" collapsed="false">
      <c r="A12" s="16" t="s">
        <v>160</v>
      </c>
      <c r="B12" s="5" t="n">
        <f aca="false">'Balance Sheet'!B16</f>
        <v>25.2</v>
      </c>
      <c r="C12" s="5" t="n">
        <f aca="false">'Balance Sheet'!C16</f>
        <v>44.8</v>
      </c>
      <c r="D12" s="5" t="n">
        <f aca="false">'Balance Sheet'!D16</f>
        <v>61.5</v>
      </c>
      <c r="E12" s="5" t="n">
        <f aca="false">'Balance Sheet'!E16</f>
        <v>83.9859653372121</v>
      </c>
      <c r="F12" s="5" t="n">
        <f aca="false">'Balance Sheet'!F16</f>
        <v>97.9845463648336</v>
      </c>
      <c r="G12" s="5" t="n">
        <f aca="false">'Balance Sheet'!G16</f>
        <v>116.027556071382</v>
      </c>
      <c r="H12" s="5" t="n">
        <f aca="false">'Balance Sheet'!H16</f>
        <v>135.959417322527</v>
      </c>
      <c r="I12" s="5" t="n">
        <f aca="false">'Balance Sheet'!I16</f>
        <v>157.452275643895</v>
      </c>
      <c r="J12" s="5" t="n">
        <f aca="false">'Balance Sheet'!J16</f>
        <v>180.834207676187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1" t="s">
        <v>176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11" t="s">
        <v>177</v>
      </c>
    </row>
    <row r="3" customFormat="false" ht="15" hidden="false" customHeight="false" outlineLevel="0" collapsed="false">
      <c r="A3" s="4" t="s">
        <v>178</v>
      </c>
      <c r="B3" s="4" t="s">
        <v>179</v>
      </c>
      <c r="C3" s="4" t="s">
        <v>180</v>
      </c>
      <c r="D3" s="4" t="s">
        <v>181</v>
      </c>
      <c r="E3" s="4" t="s">
        <v>182</v>
      </c>
      <c r="F3" s="4" t="s">
        <v>183</v>
      </c>
    </row>
    <row r="4" customFormat="false" ht="15" hidden="false" customHeight="false" outlineLevel="0" collapsed="false">
      <c r="A4" s="12" t="s">
        <v>184</v>
      </c>
      <c r="B4" s="23" t="n">
        <v>244.501611117288</v>
      </c>
      <c r="C4" s="23" t="n">
        <v>277.80008707699</v>
      </c>
      <c r="D4" s="23" t="n">
        <v>298.800221976956</v>
      </c>
      <c r="E4" s="23" t="n">
        <v>321.184435877782</v>
      </c>
      <c r="F4" s="23" t="n">
        <v>361.957552428863</v>
      </c>
    </row>
    <row r="5" customFormat="false" ht="15" hidden="false" customHeight="false" outlineLevel="0" collapsed="false">
      <c r="A5" s="12" t="s">
        <v>185</v>
      </c>
      <c r="B5" s="23" t="n">
        <v>231.541022030297</v>
      </c>
      <c r="C5" s="23" t="n">
        <v>287.486030596943</v>
      </c>
      <c r="D5" s="23" t="n">
        <v>326.250542989174</v>
      </c>
      <c r="E5" s="23" t="n">
        <v>369.44680253083</v>
      </c>
      <c r="F5" s="23" t="n">
        <v>451.694213015642</v>
      </c>
    </row>
    <row r="7" customFormat="false" ht="15" hidden="false" customHeight="false" outlineLevel="0" collapsed="false">
      <c r="A7" s="22" t="s">
        <v>186</v>
      </c>
    </row>
    <row r="9" customFormat="false" ht="15" hidden="false" customHeight="false" outlineLevel="0" collapsed="false">
      <c r="A9" s="11" t="s">
        <v>187</v>
      </c>
    </row>
    <row r="10" customFormat="false" ht="15" hidden="false" customHeight="false" outlineLevel="0" collapsed="false">
      <c r="A10" s="4" t="s">
        <v>188</v>
      </c>
      <c r="B10" s="4" t="s">
        <v>189</v>
      </c>
      <c r="C10" s="4" t="s">
        <v>190</v>
      </c>
    </row>
    <row r="11" customFormat="false" ht="15" hidden="false" customHeight="false" outlineLevel="0" collapsed="false">
      <c r="A11" s="13" t="n">
        <v>340</v>
      </c>
      <c r="B11" s="31" t="n">
        <v>0.17268</v>
      </c>
      <c r="C11" s="31" t="n">
        <v>0.56842</v>
      </c>
    </row>
    <row r="12" customFormat="false" ht="15" hidden="false" customHeight="false" outlineLevel="0" collapsed="false">
      <c r="A12" s="13" t="n">
        <v>320</v>
      </c>
      <c r="B12" s="31" t="n">
        <v>0.37326</v>
      </c>
      <c r="C12" s="31" t="n">
        <v>0.73502</v>
      </c>
    </row>
    <row r="13" customFormat="false" ht="15" hidden="false" customHeight="false" outlineLevel="0" collapsed="false">
      <c r="A13" s="13" t="n">
        <v>300</v>
      </c>
      <c r="B13" s="31" t="n">
        <v>0.6911</v>
      </c>
      <c r="C13" s="31" t="n">
        <v>0.88896</v>
      </c>
    </row>
    <row r="14" customFormat="false" ht="15" hidden="false" customHeight="false" outlineLevel="0" collapsed="false">
      <c r="A14" s="13" t="n">
        <v>270</v>
      </c>
      <c r="B14" s="31" t="n">
        <v>0.37468</v>
      </c>
      <c r="C14" s="31" t="n">
        <v>0.49898</v>
      </c>
    </row>
    <row r="15" customFormat="false" ht="15" hidden="false" customHeight="false" outlineLevel="0" collapsed="false">
      <c r="A15" s="13" t="n">
        <v>250</v>
      </c>
      <c r="B15" s="31" t="n">
        <v>0.12234</v>
      </c>
      <c r="C15" s="31" t="n">
        <v>0.2418</v>
      </c>
    </row>
    <row r="16" customFormat="false" ht="15" hidden="false" customHeight="false" outlineLevel="0" collapsed="false">
      <c r="A16" s="13" t="n">
        <v>230</v>
      </c>
      <c r="B16" s="31" t="n">
        <v>0.03802</v>
      </c>
      <c r="C16" s="31" t="n">
        <v>0.11312</v>
      </c>
    </row>
    <row r="17" customFormat="false" ht="15" hidden="false" customHeight="false" outlineLevel="0" collapsed="false">
      <c r="A17" s="13" t="n">
        <v>210</v>
      </c>
      <c r="B17" s="31" t="n">
        <v>0.01186</v>
      </c>
      <c r="C17" s="31" t="n">
        <v>0.05212</v>
      </c>
    </row>
    <row r="19" customFormat="false" ht="15" hidden="false" customHeight="false" outlineLevel="0" collapsed="false">
      <c r="A19" s="11" t="s">
        <v>191</v>
      </c>
    </row>
    <row r="20" customFormat="false" ht="15" hidden="false" customHeight="false" outlineLevel="0" collapsed="false">
      <c r="A20" s="12" t="s">
        <v>192</v>
      </c>
      <c r="B20" s="31" t="n">
        <v>0.03354</v>
      </c>
    </row>
    <row r="21" customFormat="false" ht="15" hidden="false" customHeight="false" outlineLevel="0" collapsed="false">
      <c r="A21" s="12" t="s">
        <v>193</v>
      </c>
      <c r="B21" s="31" t="n">
        <v>0.08852</v>
      </c>
    </row>
    <row r="22" customFormat="false" ht="15" hidden="false" customHeight="false" outlineLevel="0" collapsed="false">
      <c r="A22" s="12" t="s">
        <v>194</v>
      </c>
      <c r="B22" s="31" t="n">
        <v>0.26906</v>
      </c>
    </row>
    <row r="23" customFormat="false" ht="15" hidden="false" customHeight="false" outlineLevel="0" collapsed="false">
      <c r="A23" s="12" t="s">
        <v>195</v>
      </c>
      <c r="B23" s="31" t="n">
        <v>0.31394</v>
      </c>
    </row>
    <row r="24" customFormat="false" ht="15" hidden="false" customHeight="false" outlineLevel="0" collapsed="false">
      <c r="A24" s="12" t="s">
        <v>196</v>
      </c>
      <c r="B24" s="31" t="n">
        <v>0.29494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3"/>
  </cols>
  <sheetData>
    <row r="1" customFormat="false" ht="15" hidden="false" customHeight="false" outlineLevel="0" collapsed="false">
      <c r="A1" s="1" t="s">
        <v>197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198</v>
      </c>
      <c r="B2" s="32" t="n">
        <v>0.11</v>
      </c>
      <c r="C2" s="32" t="n">
        <v>0.115</v>
      </c>
      <c r="D2" s="32" t="n">
        <v>0.12</v>
      </c>
      <c r="E2" s="32" t="n">
        <v>0.125</v>
      </c>
      <c r="F2" s="32" t="n">
        <v>0.13</v>
      </c>
    </row>
    <row r="3" customFormat="false" ht="15" hidden="false" customHeight="false" outlineLevel="0" collapsed="false">
      <c r="A3" s="32" t="n">
        <v>0.185</v>
      </c>
      <c r="B3" s="23" t="n">
        <f aca="false">(SUMPRODUCT(DCF!$B$8:$F$8,1/(1+$A3)^{1,2,3,4,5})+DCF!$F$8*(1+B$2)/($A3-B$2)/(1+$A3)^5+Assumptions!$B$5)/Assumptions!$B$4</f>
        <v>292.942794205491</v>
      </c>
      <c r="C3" s="23" t="n">
        <f aca="false">(SUMPRODUCT(DCF!$B$8:$F$8,1/(1+$A3)^{1,2,3,4,5})+DCF!$F$8*(1+C$2)/($A3-C$2)/(1+$A3)^5+Assumptions!$B$5)/Assumptions!$B$4</f>
        <v>307.822540115909</v>
      </c>
      <c r="D3" s="23" t="n">
        <f aca="false">(SUMPRODUCT(DCF!$B$8:$F$8,1/(1+$A3)^{1,2,3,4,5})+DCF!$F$8*(1+D$2)/($A3-D$2)/(1+$A3)^5+Assumptions!$B$5)/Assumptions!$B$4</f>
        <v>324.991477704853</v>
      </c>
      <c r="E3" s="23" t="n">
        <f aca="false">(SUMPRODUCT(DCF!$B$8:$F$8,1/(1+$A3)^{1,2,3,4,5})+DCF!$F$8*(1+E$2)/($A3-E$2)/(1+$A3)^5+Assumptions!$B$5)/Assumptions!$B$4</f>
        <v>345.021904891954</v>
      </c>
      <c r="F3" s="23" t="n">
        <f aca="false">(SUMPRODUCT(DCF!$B$8:$F$8,1/(1+$A3)^{1,2,3,4,5})+DCF!$F$8*(1+F$2)/($A3-F$2)/(1+$A3)^5+Assumptions!$B$5)/Assumptions!$B$4</f>
        <v>368.694227931255</v>
      </c>
    </row>
    <row r="4" customFormat="false" ht="15" hidden="false" customHeight="false" outlineLevel="0" collapsed="false">
      <c r="A4" s="32" t="n">
        <v>0.2</v>
      </c>
      <c r="B4" s="23" t="n">
        <f aca="false">(SUMPRODUCT(DCF!$B$8:$F$8,1/(1+$A4)^{1,2,3,4,5})+DCF!$F$8*(1+B$2)/($A4-B$2)/(1+$A4)^5+Assumptions!$B$5)/Assumptions!$B$4</f>
        <v>247.83461846497</v>
      </c>
      <c r="C4" s="23" t="n">
        <f aca="false">(SUMPRODUCT(DCF!$B$8:$F$8,1/(1+$A4)^{1,2,3,4,5})+DCF!$F$8*(1+C$2)/($A4-C$2)/(1+$A4)^5+Assumptions!$B$5)/Assumptions!$B$4</f>
        <v>257.545123116307</v>
      </c>
      <c r="D4" s="23" t="n">
        <f aca="false">(SUMPRODUCT(DCF!$B$8:$F$8,1/(1+$A4)^{1,2,3,4,5})+DCF!$F$8*(1+D$2)/($A4-D$2)/(1+$A4)^5+Assumptions!$B$5)/Assumptions!$B$4</f>
        <v>268.469440849061</v>
      </c>
      <c r="E4" s="23" t="n">
        <f aca="false">(SUMPRODUCT(DCF!$B$8:$F$8,1/(1+$A4)^{1,2,3,4,5})+DCF!$F$8*(1+E$2)/($A4-E$2)/(1+$A4)^5+Assumptions!$B$5)/Assumptions!$B$4</f>
        <v>280.850334279516</v>
      </c>
      <c r="F4" s="23" t="n">
        <f aca="false">(SUMPRODUCT(DCF!$B$8:$F$8,1/(1+$A4)^{1,2,3,4,5})+DCF!$F$8*(1+F$2)/($A4-F$2)/(1+$A4)^5+Assumptions!$B$5)/Assumptions!$B$4</f>
        <v>294.999926771464</v>
      </c>
    </row>
    <row r="5" customFormat="false" ht="15" hidden="false" customHeight="false" outlineLevel="0" collapsed="false">
      <c r="A5" s="32" t="n">
        <v>0.215</v>
      </c>
      <c r="B5" s="23" t="n">
        <f aca="false">(SUMPRODUCT(DCF!$B$8:$F$8,1/(1+$A5)^{1,2,3,4,5})+DCF!$F$8*(1+B$2)/($A5-B$2)/(1+$A5)^5+Assumptions!$B$5)/Assumptions!$B$4</f>
        <v>215.611919174094</v>
      </c>
      <c r="C5" s="23" t="n">
        <f aca="false">(SUMPRODUCT(DCF!$B$8:$F$8,1/(1+$A5)^{1,2,3,4,5})+DCF!$F$8*(1+C$2)/($A5-C$2)/(1+$A5)^5+Assumptions!$B$5)/Assumptions!$B$4</f>
        <v>222.343759544353</v>
      </c>
      <c r="D5" s="23" t="n">
        <f aca="false">(SUMPRODUCT(DCF!$B$8:$F$8,1/(1+$A5)^{1,2,3,4,5})+DCF!$F$8*(1+D$2)/($A5-D$2)/(1+$A5)^5+Assumptions!$B$5)/Assumptions!$B$4</f>
        <v>229.78421469043</v>
      </c>
      <c r="E5" s="23" t="n">
        <f aca="false">(SUMPRODUCT(DCF!$B$8:$F$8,1/(1+$A5)^{1,2,3,4,5})+DCF!$F$8*(1+E$2)/($A5-E$2)/(1+$A5)^5+Assumptions!$B$5)/Assumptions!$B$4</f>
        <v>238.051387074959</v>
      </c>
      <c r="F5" s="23" t="n">
        <f aca="false">(SUMPRODUCT(DCF!$B$8:$F$8,1/(1+$A5)^{1,2,3,4,5})+DCF!$F$8*(1+F$2)/($A5-F$2)/(1+$A5)^5+Assumptions!$B$5)/Assumptions!$B$4</f>
        <v>247.291167975315</v>
      </c>
    </row>
    <row r="6" customFormat="false" ht="15" hidden="false" customHeight="false" outlineLevel="0" collapsed="false">
      <c r="A6" s="32" t="n">
        <v>0.23</v>
      </c>
      <c r="B6" s="23" t="n">
        <f aca="false">(SUMPRODUCT(DCF!$B$8:$F$8,1/(1+$A6)^{1,2,3,4,5})+DCF!$F$8*(1+B$2)/($A6-B$2)/(1+$A6)^5+Assumptions!$B$5)/Assumptions!$B$4</f>
        <v>191.442780685308</v>
      </c>
      <c r="C6" s="23" t="n">
        <f aca="false">(SUMPRODUCT(DCF!$B$8:$F$8,1/(1+$A6)^{1,2,3,4,5})+DCF!$F$8*(1+C$2)/($A6-C$2)/(1+$A6)^5+Assumptions!$B$5)/Assumptions!$B$4</f>
        <v>196.319510418576</v>
      </c>
      <c r="D6" s="23" t="n">
        <f aca="false">(SUMPRODUCT(DCF!$B$8:$F$8,1/(1+$A6)^{1,2,3,4,5})+DCF!$F$8*(1+D$2)/($A6-D$2)/(1+$A6)^5+Assumptions!$B$5)/Assumptions!$B$4</f>
        <v>201.639579218505</v>
      </c>
      <c r="E6" s="23" t="n">
        <f aca="false">(SUMPRODUCT(DCF!$B$8:$F$8,1/(1+$A6)^{1,2,3,4,5})+DCF!$F$8*(1+E$2)/($A6-E$2)/(1+$A6)^5+Assumptions!$B$5)/Assumptions!$B$4</f>
        <v>207.466321237475</v>
      </c>
      <c r="F6" s="23" t="n">
        <f aca="false">(SUMPRODUCT(DCF!$B$8:$F$8,1/(1+$A6)^{1,2,3,4,5})+DCF!$F$8*(1+F$2)/($A6-F$2)/(1+$A6)^5+Assumptions!$B$5)/Assumptions!$B$4</f>
        <v>213.875737458342</v>
      </c>
    </row>
    <row r="8" customFormat="false" ht="15" hidden="false" customHeight="false" outlineLevel="0" collapsed="false">
      <c r="A8" s="22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200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117</v>
      </c>
      <c r="B2" s="4" t="s">
        <v>132</v>
      </c>
      <c r="C2" s="4" t="s">
        <v>94</v>
      </c>
      <c r="D2" s="4" t="s">
        <v>95</v>
      </c>
      <c r="E2" s="4" t="s">
        <v>67</v>
      </c>
      <c r="F2" s="4" t="s">
        <v>68</v>
      </c>
      <c r="G2" s="4" t="s">
        <v>69</v>
      </c>
      <c r="H2" s="4" t="s">
        <v>70</v>
      </c>
      <c r="I2" s="4" t="s">
        <v>71</v>
      </c>
      <c r="J2" s="4" t="s">
        <v>72</v>
      </c>
    </row>
    <row r="3" customFormat="false" ht="15" hidden="false" customHeight="false" outlineLevel="0" collapsed="false">
      <c r="A3" s="16" t="s">
        <v>144</v>
      </c>
      <c r="B3" s="23" t="n">
        <f aca="false">'Income Statement'!B15</f>
        <v>8.95</v>
      </c>
      <c r="C3" s="23" t="n">
        <f aca="false">'Income Statement'!C15</f>
        <v>22.6</v>
      </c>
      <c r="D3" s="23" t="n">
        <f aca="false">'Income Statement'!D15</f>
        <v>24.68</v>
      </c>
      <c r="E3" s="23" t="n">
        <f aca="false">'Income Statement'!E15</f>
        <v>32.4875410947879</v>
      </c>
      <c r="F3" s="23" t="n">
        <f aca="false">'Income Statement'!F15</f>
        <v>28.617974520276</v>
      </c>
      <c r="G3" s="23" t="n">
        <f aca="false">'Income Statement'!G15</f>
        <v>30.9210982406728</v>
      </c>
      <c r="H3" s="23" t="n">
        <f aca="false">'Income Statement'!H15</f>
        <v>33.8463554594472</v>
      </c>
      <c r="I3" s="23" t="n">
        <f aca="false">'Income Statement'!I15</f>
        <v>36.7237182781192</v>
      </c>
      <c r="J3" s="23" t="n">
        <f aca="false">'Income Statement'!J15</f>
        <v>39.9076052574462</v>
      </c>
    </row>
    <row r="4" customFormat="false" ht="15" hidden="false" customHeight="false" outlineLevel="0" collapsed="false">
      <c r="A4" s="16" t="s">
        <v>201</v>
      </c>
      <c r="B4" s="15" t="n">
        <v>2.5</v>
      </c>
      <c r="C4" s="15" t="n">
        <v>3</v>
      </c>
      <c r="D4" s="15" t="n">
        <v>8</v>
      </c>
      <c r="E4" s="15" t="n">
        <v>10</v>
      </c>
    </row>
    <row r="5" customFormat="false" ht="15" hidden="false" customHeight="false" outlineLevel="0" collapsed="false">
      <c r="A5" s="16" t="s">
        <v>202</v>
      </c>
      <c r="B5" s="33" t="n">
        <f aca="false">Assumptions!$B$3/'Income Statement'!B15</f>
        <v>31.9418994413408</v>
      </c>
      <c r="C5" s="33" t="n">
        <f aca="false">Assumptions!$B$3/'Income Statement'!C15</f>
        <v>12.6495575221239</v>
      </c>
      <c r="D5" s="33" t="n">
        <f aca="false">Assumptions!$B$3/'Income Statement'!D15</f>
        <v>11.5834683954619</v>
      </c>
      <c r="E5" s="33" t="n">
        <f aca="false">Assumptions!$B$3/'Income Statement'!E15</f>
        <v>8.79968105822158</v>
      </c>
      <c r="F5" s="33" t="n">
        <f aca="false">Assumptions!$B$3/'Income Statement'!F15</f>
        <v>9.98952598121339</v>
      </c>
      <c r="G5" s="33" t="n">
        <f aca="false">Assumptions!$B$3/'Income Statement'!G15</f>
        <v>9.24546721383785</v>
      </c>
      <c r="H5" s="33" t="n">
        <f aca="false">Assumptions!$B$3/'Income Statement'!H15</f>
        <v>8.44640423228213</v>
      </c>
      <c r="I5" s="33" t="n">
        <f aca="false">Assumptions!$B$3/'Income Statement'!I15</f>
        <v>7.78461477770169</v>
      </c>
      <c r="J5" s="33" t="n">
        <f aca="false">Assumptions!$B$3/'Income Statement'!J15</f>
        <v>7.16354685167832</v>
      </c>
    </row>
    <row r="6" customFormat="false" ht="15" hidden="false" customHeight="false" outlineLevel="0" collapsed="false">
      <c r="A6" s="16" t="s">
        <v>203</v>
      </c>
      <c r="B6" s="33" t="n">
        <f aca="false">(Assumptions!$B$3*Assumptions!$B$4-'Balance Sheet'!B15)/'Income Statement'!B9</f>
        <v>21.0419472247498</v>
      </c>
      <c r="C6" s="33" t="n">
        <f aca="false">(Assumptions!$B$3*Assumptions!$B$4-'Balance Sheet'!C15)/'Income Statement'!C9</f>
        <v>11.7392054364872</v>
      </c>
      <c r="D6" s="33" t="n">
        <f aca="false">(Assumptions!$B$3*Assumptions!$B$4-'Balance Sheet'!D15)/'Income Statement'!D9</f>
        <v>9.12273869346734</v>
      </c>
      <c r="E6" s="33" t="n">
        <f aca="false">(Assumptions!$B$3*Assumptions!$B$4-'Balance Sheet'!E15)/'Income Statement'!E9</f>
        <v>6.37764710244733</v>
      </c>
      <c r="F6" s="33" t="n">
        <f aca="false">(Assumptions!$B$3*Assumptions!$B$4-'Balance Sheet'!F15)/'Income Statement'!F9</f>
        <v>6.83373512134501</v>
      </c>
      <c r="G6" s="33" t="n">
        <f aca="false">(Assumptions!$B$3*Assumptions!$B$4-'Balance Sheet'!G15)/'Income Statement'!G9</f>
        <v>5.81295617177161</v>
      </c>
      <c r="H6" s="33" t="n">
        <f aca="false">(Assumptions!$B$3*Assumptions!$B$4-'Balance Sheet'!H15)/'Income Statement'!H9</f>
        <v>4.87469147623839</v>
      </c>
      <c r="I6" s="33" t="n">
        <f aca="false">(Assumptions!$B$3*Assumptions!$B$4-'Balance Sheet'!I15)/'Income Statement'!I9</f>
        <v>4.10296766618499</v>
      </c>
      <c r="J6" s="33" t="n">
        <f aca="false">(Assumptions!$B$3*Assumptions!$B$4-'Balance Sheet'!J15)/'Income Statement'!J9</f>
        <v>3.40326545986472</v>
      </c>
    </row>
    <row r="7" customFormat="false" ht="15" hidden="false" customHeight="false" outlineLevel="0" collapsed="false">
      <c r="A7" s="16" t="s">
        <v>204</v>
      </c>
      <c r="B7" s="31" t="n">
        <f aca="false">B4/Assumptions!$B$3</f>
        <v>0.00874492794179376</v>
      </c>
      <c r="C7" s="31" t="n">
        <f aca="false">C4/Assumptions!$B$3</f>
        <v>0.0104939135301525</v>
      </c>
      <c r="D7" s="31" t="n">
        <f aca="false">D4/Assumptions!$B$3</f>
        <v>0.02798376941374</v>
      </c>
      <c r="E7" s="31" t="n">
        <f aca="false">E4/Assumptions!$B$3</f>
        <v>0.034979711767175</v>
      </c>
    </row>
    <row r="8" customFormat="false" ht="15" hidden="false" customHeight="false" outlineLevel="0" collapsed="false">
      <c r="A8" s="16" t="s">
        <v>205</v>
      </c>
      <c r="C8" s="31" t="n">
        <f aca="false">'Income Statement'!C14/AVERAGE('Balance Sheet'!B11:C11)</f>
        <v>0.645572249532646</v>
      </c>
      <c r="D8" s="31" t="n">
        <f aca="false">'Income Statement'!D14/AVERAGE('Balance Sheet'!C11:D11)</f>
        <v>0.464288971996716</v>
      </c>
      <c r="E8" s="31" t="n">
        <f aca="false">'Income Statement'!E14/AVERAGE('Balance Sheet'!D11:E11)</f>
        <v>0.446627683686593</v>
      </c>
      <c r="F8" s="31" t="n">
        <f aca="false">'Income Statement'!F14/AVERAGE('Balance Sheet'!E11:F11)</f>
        <v>0.314534198454466</v>
      </c>
      <c r="G8" s="31" t="n">
        <f aca="false">'Income Statement'!G14/AVERAGE('Balance Sheet'!F11:G11)</f>
        <v>0.288965884533456</v>
      </c>
      <c r="H8" s="31" t="n">
        <f aca="false">'Income Statement'!H14/AVERAGE('Balance Sheet'!G11:H11)</f>
        <v>0.268635755281986</v>
      </c>
      <c r="I8" s="31" t="n">
        <f aca="false">'Income Statement'!I14/AVERAGE('Balance Sheet'!H11:I11)</f>
        <v>0.25032211843256</v>
      </c>
      <c r="J8" s="31" t="n">
        <f aca="false">'Income Statement'!J14/AVERAGE('Balance Sheet'!I11:J11)</f>
        <v>0.23593969741727</v>
      </c>
    </row>
    <row r="9" customFormat="false" ht="15" hidden="false" customHeight="false" outlineLevel="0" collapsed="false">
      <c r="A9" s="16" t="s">
        <v>206</v>
      </c>
      <c r="B9" s="31" t="n">
        <f aca="false">'Income Statement'!B14/'Income Statement'!B3</f>
        <v>0.167475618053981</v>
      </c>
      <c r="C9" s="31" t="n">
        <f aca="false">'Income Statement'!C14/'Income Statement'!C3</f>
        <v>0.284138351363706</v>
      </c>
      <c r="D9" s="31" t="n">
        <f aca="false">'Income Statement'!D14/'Income Statement'!D3</f>
        <v>0.235740916564389</v>
      </c>
      <c r="E9" s="31" t="n">
        <f aca="false">'Income Statement'!E14/'Income Statement'!E3</f>
        <v>0.271745199351775</v>
      </c>
      <c r="F9" s="31" t="n">
        <f aca="false">'Income Statement'!F14/'Income Statement'!F3</f>
        <v>0.223926878514479</v>
      </c>
      <c r="G9" s="31" t="n">
        <f aca="false">'Income Statement'!G14/'Income Statement'!G3</f>
        <v>0.220152971485925</v>
      </c>
      <c r="H9" s="31" t="n">
        <f aca="false">'Income Statement'!H14/'Income Statement'!H3</f>
        <v>0.219073005821249</v>
      </c>
      <c r="I9" s="31" t="n">
        <f aca="false">'Income Statement'!I14/'Income Statement'!I3</f>
        <v>0.216088133322993</v>
      </c>
      <c r="J9" s="31" t="n">
        <f aca="false">'Income Statement'!J14/'Income Statement'!J3</f>
        <v>0.213475113627551</v>
      </c>
    </row>
    <row r="10" customFormat="false" ht="15" hidden="false" customHeight="false" outlineLevel="0" collapsed="false">
      <c r="A10" s="16" t="s">
        <v>207</v>
      </c>
      <c r="B10" s="31" t="n">
        <f aca="false">'Cash Flow'!B8/(Assumptions!$B$3*Assumptions!$B$4)</f>
        <v>0.0249479544288555</v>
      </c>
      <c r="C10" s="31" t="n">
        <f aca="false">'Cash Flow'!C8/(Assumptions!$B$3*Assumptions!$B$4)</f>
        <v>0.06634697330094</v>
      </c>
      <c r="D10" s="31" t="n">
        <f aca="false">'Cash Flow'!D8/(Assumptions!$B$3*Assumptions!$B$4)</f>
        <v>0.0730121983794854</v>
      </c>
      <c r="E10" s="31" t="n">
        <f aca="false">'Cash Flow'!E8/(Assumptions!$B$3*Assumptions!$B$4)</f>
        <v>0.101888670233325</v>
      </c>
      <c r="F10" s="31" t="n">
        <f aca="false">'Cash Flow'!F8/(Assumptions!$B$3*Assumptions!$B$4)</f>
        <v>0.0860423437300147</v>
      </c>
      <c r="G10" s="31" t="n">
        <f aca="false">'Cash Flow'!G8/(Assumptions!$B$3*Assumptions!$B$4)</f>
        <v>0.0901303493330418</v>
      </c>
      <c r="H10" s="31" t="n">
        <f aca="false">'Cash Flow'!H8/(Assumptions!$B$3*Assumptions!$B$4)</f>
        <v>0.0993540865649377</v>
      </c>
      <c r="I10" s="31" t="n">
        <f aca="false">'Cash Flow'!I8/(Assumptions!$B$3*Assumptions!$B$4)</f>
        <v>0.107981465999592</v>
      </c>
      <c r="J10" s="31" t="n">
        <f aca="false">'Cash Flow'!J8/(Assumptions!$B$3*Assumptions!$B$4)</f>
        <v>0.117622102137438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208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209</v>
      </c>
      <c r="B2" s="4" t="s">
        <v>210</v>
      </c>
      <c r="C2" s="4" t="s">
        <v>211</v>
      </c>
      <c r="D2" s="4" t="s">
        <v>212</v>
      </c>
      <c r="E2" s="4" t="s">
        <v>213</v>
      </c>
      <c r="F2" s="4" t="s">
        <v>97</v>
      </c>
    </row>
    <row r="3" customFormat="false" ht="15" hidden="false" customHeight="false" outlineLevel="0" collapsed="false">
      <c r="A3" s="12" t="s">
        <v>214</v>
      </c>
      <c r="B3" s="15" t="n">
        <v>9.5</v>
      </c>
      <c r="C3" s="21" t="n">
        <v>13</v>
      </c>
      <c r="D3" s="21" t="n">
        <v>6</v>
      </c>
      <c r="E3" s="19" t="n">
        <v>2990</v>
      </c>
      <c r="F3" s="12" t="s">
        <v>215</v>
      </c>
    </row>
    <row r="4" customFormat="false" ht="15" hidden="false" customHeight="false" outlineLevel="0" collapsed="false">
      <c r="A4" s="12" t="s">
        <v>216</v>
      </c>
      <c r="B4" s="15" t="n">
        <v>14</v>
      </c>
      <c r="C4" s="21" t="n">
        <v>14.5</v>
      </c>
      <c r="D4" s="21" t="n">
        <v>6.5</v>
      </c>
      <c r="E4" s="19" t="n">
        <v>2300</v>
      </c>
      <c r="F4" s="12" t="s">
        <v>217</v>
      </c>
    </row>
    <row r="5" customFormat="false" ht="15" hidden="false" customHeight="false" outlineLevel="0" collapsed="false">
      <c r="A5" s="12" t="s">
        <v>218</v>
      </c>
      <c r="B5" s="15" t="n">
        <v>2.3</v>
      </c>
      <c r="C5" s="21" t="n">
        <v>15</v>
      </c>
      <c r="D5" s="21" t="n">
        <v>7</v>
      </c>
      <c r="E5" s="19" t="n">
        <v>1020</v>
      </c>
      <c r="F5" s="12" t="s">
        <v>219</v>
      </c>
    </row>
    <row r="6" customFormat="false" ht="15" hidden="false" customHeight="false" outlineLevel="0" collapsed="false">
      <c r="A6" s="12" t="s">
        <v>220</v>
      </c>
      <c r="B6" s="15" t="n">
        <v>18</v>
      </c>
      <c r="C6" s="21" t="n">
        <v>11</v>
      </c>
      <c r="D6" s="21" t="n">
        <v>6.5</v>
      </c>
      <c r="E6" s="19" t="n">
        <v>1300</v>
      </c>
      <c r="F6" s="12" t="s">
        <v>221</v>
      </c>
    </row>
    <row r="7" customFormat="false" ht="15" hidden="false" customHeight="false" outlineLevel="0" collapsed="false">
      <c r="A7" s="12" t="s">
        <v>222</v>
      </c>
      <c r="B7" s="15" t="n">
        <v>13.5</v>
      </c>
      <c r="C7" s="21" t="n">
        <v>7.5</v>
      </c>
      <c r="D7" s="21" t="n">
        <v>4.5</v>
      </c>
      <c r="E7" s="19" t="n">
        <v>6460</v>
      </c>
      <c r="F7" s="12" t="s">
        <v>223</v>
      </c>
    </row>
    <row r="8" customFormat="false" ht="15" hidden="false" customHeight="false" outlineLevel="0" collapsed="false">
      <c r="A8" s="12" t="s">
        <v>224</v>
      </c>
      <c r="B8" s="15" t="n">
        <v>4.5</v>
      </c>
      <c r="C8" s="21" t="n">
        <v>11</v>
      </c>
      <c r="D8" s="21" t="n">
        <v>7</v>
      </c>
      <c r="E8" s="19" t="n">
        <v>1620</v>
      </c>
      <c r="F8" s="12" t="s">
        <v>225</v>
      </c>
    </row>
    <row r="9" customFormat="false" ht="15" hidden="false" customHeight="false" outlineLevel="0" collapsed="false">
      <c r="A9" s="12" t="s">
        <v>226</v>
      </c>
      <c r="B9" s="15" t="n">
        <v>45</v>
      </c>
      <c r="C9" s="21" t="n">
        <v>25</v>
      </c>
      <c r="D9" s="21" t="n">
        <v>12</v>
      </c>
      <c r="E9" s="19" t="n">
        <v>780</v>
      </c>
      <c r="F9" s="12" t="s">
        <v>227</v>
      </c>
    </row>
    <row r="10" customFormat="false" ht="15" hidden="false" customHeight="false" outlineLevel="0" collapsed="false">
      <c r="A10" s="12" t="s">
        <v>228</v>
      </c>
      <c r="B10" s="15" t="n">
        <v>2.4</v>
      </c>
      <c r="C10" s="34" t="n">
        <f aca="false">Assumptions!$B$3/'Income Statement'!D15</f>
        <v>11.5834683954619</v>
      </c>
      <c r="D10" s="34" t="n">
        <f aca="false">(Assumptions!$B$3*Assumptions!$B$4-Assumptions!$B$5)/'Income Statement'!D9</f>
        <v>9.12273869346734</v>
      </c>
      <c r="E10" s="19" t="n">
        <v>320</v>
      </c>
      <c r="F10" s="12" t="s">
        <v>229</v>
      </c>
    </row>
    <row r="12" customFormat="false" ht="15" hidden="false" customHeight="false" outlineLevel="0" collapsed="false">
      <c r="A12" s="22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2026-07-03T03:19:33Z</dcterms:created>
  <dc:creator>openpyxl</dc:creator>
  <dc:description/>
  <dc:language>en-US</dc:language>
  <cp:lastModifiedBy/>
  <dcterms:modified xsi:type="dcterms:W3CDTF">2026-07-03T03:19:33Z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