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FIRST" sheetId="1" state="visible" r:id="rId3"/>
    <sheet name="Summary" sheetId="2" state="visible" r:id="rId4"/>
    <sheet name="Fundamental Valuation" sheetId="3" state="visible" r:id="rId5"/>
    <sheet name="Assumptions" sheetId="4" state="visible" r:id="rId6"/>
    <sheet name="RNAV" sheetId="5" state="visible" r:id="rId7"/>
    <sheet name="Segments" sheetId="6" state="visible" r:id="rId8"/>
    <sheet name="Relative &amp; Normalized" sheetId="7" state="visible" r:id="rId9"/>
    <sheet name="DCF" sheetId="8" state="visible" r:id="rId10"/>
    <sheet name="Income Statement" sheetId="9" state="visible" r:id="rId11"/>
    <sheet name="Balance Sheet" sheetId="10" state="visible" r:id="rId12"/>
    <sheet name="Cash Flow" sheetId="11" state="visible" r:id="rId13"/>
    <sheet name="Summary Financials" sheetId="12" state="visible" r:id="rId14"/>
    <sheet name="Monte Carlo" sheetId="13" state="visible" r:id="rId15"/>
    <sheet name="Sensitivity" sheetId="14" state="visible" r:id="rId16"/>
    <sheet name="Per-Share &amp; Ratios" sheetId="15" state="visible" r:id="rId17"/>
    <sheet name="Peer &amp; Sector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<sst xmlns="http://schemas.openxmlformats.org/spreadsheetml/2006/main" count="352" uniqueCount="279">
  <si>
    <t xml:space="preserve">Testahil — Independent Valuation Study — Educational Analysis</t>
  </si>
  <si>
    <t xml:space="preserve">El Nasr Clothing &amp; Textiles Co. (Kabo) · EGX: KABO · Valuation model · edition 06-07-2026</t>
  </si>
  <si>
    <t xml:space="preserve">NOT INVESTMENT ADVICE. This workbook is an educational valuation exercise, published free of charge. It is not, and must not be relied upon as,</t>
  </si>
  <si>
    <t xml:space="preserve">investment, financial, legal or tax advice, nor an offer or recommendation to buy, sell or hold any security. It contains no price target and no rating.</t>
  </si>
  <si>
    <t xml:space="preserve">The preparer is not licensed by any securities regulator, holds no brokerage authorisation, and manages no money. All values are model outputs</t>
  </si>
  <si>
    <t xml:space="preserve">presented as ranges. KABO is a thinly-covered small-cap: the share count is derived from market capitalisation, and several historical line items and</t>
  </si>
  <si>
    <t xml:space="preserve">the balance-sheet split are reconstructed on a fiscal-year (July-June) basis and flagged as estimates. The land-and-buildings re-mark that drives the</t>
  </si>
  <si>
    <t xml:space="preserve">primary (RNAV) lens is the preparer's own judgment, not a disclosed figure, and is sensitised rather than asserted.</t>
  </si>
  <si>
    <t xml:space="preserve">PRIMARY LENS: revalued net asset value (RNAV), going-concern. Cross-checked by a going-concern DCF, a price-to-book relative read, and a</t>
  </si>
  <si>
    <t xml:space="preserve">normalized-earnings read. Every downstream sheet links to the Assumptions tab — change one input there and the whole model reprices.</t>
  </si>
  <si>
    <t xml:space="preserve">MONTE CARLO: the engine FAILED its Step 0 calibration on KABO (CRPS skill -0.010 vs a zero-drift random-walk cone; interval skill -0.055).</t>
  </si>
  <si>
    <t xml:space="preserve">No probabilistic price forecast is published; the Monte Carlo tab is an ILLUSTRATIVE volatility map only. See the Monte Carlo tab and the study Appendix B.</t>
  </si>
  <si>
    <t xml:space="preserve">HOLDINGS DISCLOSURE. The preparer may hold, and may in future take or dispose of, a position in the security discussed, and may transact at any</t>
  </si>
  <si>
    <t xml:space="preserve">time without notice. Figures in EGP; m = million. Spot and market data as of 06 July 2026 and change continuously.</t>
  </si>
  <si>
    <t xml:space="preserve">Valuation summary — every read at a glance</t>
  </si>
  <si>
    <t xml:space="preserve">Lens / read</t>
  </si>
  <si>
    <t xml:space="preserve">Output (EGP/sh)</t>
  </si>
  <si>
    <t xml:space="preserve">vs spot</t>
  </si>
  <si>
    <t xml:space="preserve">Note</t>
  </si>
  <si>
    <t xml:space="preserve">FUNDAMENTAL — what the business is worth</t>
  </si>
  <si>
    <t xml:space="preserve">RNAV (primary)</t>
  </si>
  <si>
    <t xml:space="preserve">the anchor</t>
  </si>
  <si>
    <t xml:space="preserve">Going-concern DCF</t>
  </si>
  <si>
    <t xml:space="preserve">floor of operations</t>
  </si>
  <si>
    <t xml:space="preserve">Relative (price-to-book)</t>
  </si>
  <si>
    <t xml:space="preserve">Normalized earnings</t>
  </si>
  <si>
    <t xml:space="preserve">Weighted central</t>
  </si>
  <si>
    <t xml:space="preserve">blend 45/15/25/15</t>
  </si>
  <si>
    <t xml:space="preserve">TECHNICAL</t>
  </si>
  <si>
    <t xml:space="preserve">Trend / momentum</t>
  </si>
  <si>
    <t xml:space="preserve">Above all MAs</t>
  </si>
  <si>
    <t xml:space="preserve">RSI 78</t>
  </si>
  <si>
    <t xml:space="preserve">overbought, all-time high</t>
  </si>
  <si>
    <t xml:space="preserve">MONTE CARLO — ILLUSTRATIVE ONLY (failed Step 0)</t>
  </si>
  <si>
    <t xml:space="preserve">CRPS skill vs random-walk</t>
  </si>
  <si>
    <t xml:space="preserve">fails &gt;0</t>
  </si>
  <si>
    <t xml:space="preserve">no forecast published</t>
  </si>
  <si>
    <t xml:space="preserve">Illustrative T+60 median (EGP)</t>
  </si>
  <si>
    <t xml:space="preserve">volatility map only</t>
  </si>
  <si>
    <t xml:space="preserve">EXPERT PANEL (closing appendix)</t>
  </si>
  <si>
    <t xml:space="preserve">Expert 1 — RNAV</t>
  </si>
  <si>
    <t xml:space="preserve">anchor</t>
  </si>
  <si>
    <t xml:space="preserve">Expert 2 — normalized earnings</t>
  </si>
  <si>
    <t xml:space="preserve">conservative on ops</t>
  </si>
  <si>
    <t xml:space="preserve">Expert 3 — scenario/policy</t>
  </si>
  <si>
    <t xml:space="preserve">catalyst bet</t>
  </si>
  <si>
    <t xml:space="preserve">Fundamental valuation - four lenses, weighted</t>
  </si>
  <si>
    <t xml:space="preserve">Lens</t>
  </si>
  <si>
    <t xml:space="preserve">Base (EGP/sh)</t>
  </si>
  <si>
    <t xml:space="preserve">Weight</t>
  </si>
  <si>
    <t xml:space="preserve">Weighted (EGP/sh)</t>
  </si>
  <si>
    <t xml:space="preserve">Weighted central fair value (EGP/sh)</t>
  </si>
  <si>
    <t xml:space="preserve">KABO — Assumptions (single input layer)</t>
  </si>
  <si>
    <t xml:space="preserve">Blue = hardcoded input · Black = formula · Green = cross-sheet link. Change an input here to reprice the whole model.</t>
  </si>
  <si>
    <t xml:space="preserve">Market &amp; capital</t>
  </si>
  <si>
    <t xml:space="preserve">Spot price (EGP)</t>
  </si>
  <si>
    <t xml:space="preserve">EGX close, 06 Jul 2026</t>
  </si>
  <si>
    <t xml:space="preserve">Shares outstanding (m)</t>
  </si>
  <si>
    <t xml:space="preserve">mkt-cap-derived, flagged</t>
  </si>
  <si>
    <t xml:space="preserve">Book equity — net assets (EGP m)</t>
  </si>
  <si>
    <t xml:space="preserve">reviewed, ~Mar 2025</t>
  </si>
  <si>
    <t xml:space="preserve">Interest-bearing debt (EGP m)</t>
  </si>
  <si>
    <t xml:space="preserve">D/E ~48.6%</t>
  </si>
  <si>
    <t xml:space="preserve">Cash &amp; equivalents (EGP m)</t>
  </si>
  <si>
    <t xml:space="preserve">estimate, flagged</t>
  </si>
  <si>
    <t xml:space="preserve">RNAV — primary lens</t>
  </si>
  <si>
    <t xml:space="preserve">Land &amp; buildings re-mark, base (EGP m)</t>
  </si>
  <si>
    <t xml:space="preserve">preparer estimate — the swing</t>
  </si>
  <si>
    <t xml:space="preserve">Brand value, off-B/S (EGP m)</t>
  </si>
  <si>
    <t xml:space="preserve">conservative</t>
  </si>
  <si>
    <t xml:space="preserve">Working-capital realizability haircut (EGP m)</t>
  </si>
  <si>
    <t xml:space="preserve">Relative &amp; normalized lenses</t>
  </si>
  <si>
    <t xml:space="preserve">Justified price-to-book (base)</t>
  </si>
  <si>
    <t xml:space="preserve">vs distressed textile peers</t>
  </si>
  <si>
    <t xml:space="preserve">Mid-cycle net income (EGP m)</t>
  </si>
  <si>
    <t xml:space="preserve">through-cycle, ex FX windfall</t>
  </si>
  <si>
    <t xml:space="preserve">Justified through-cycle P/E</t>
  </si>
  <si>
    <t xml:space="preserve">Lens weights (synthesis)</t>
  </si>
  <si>
    <t xml:space="preserve">RNAV weight</t>
  </si>
  <si>
    <t xml:space="preserve">Going-concern DCF weight</t>
  </si>
  <si>
    <t xml:space="preserve">Relative weight</t>
  </si>
  <si>
    <t xml:space="preserve">Normalized-earnings weight</t>
  </si>
  <si>
    <t xml:space="preserve">Cost of capital (Ke = rf + beta x ERP)</t>
  </si>
  <si>
    <t xml:space="preserve">Risk-free rate (EGP)</t>
  </si>
  <si>
    <t xml:space="preserve">Equity risk premium</t>
  </si>
  <si>
    <t xml:space="preserve">Beta (per-name, 0.8-1.3 band)</t>
  </si>
  <si>
    <t xml:space="preserve">Pre-tax cost of debt</t>
  </si>
  <si>
    <t xml:space="preserve">Tax rate</t>
  </si>
  <si>
    <t xml:space="preserve">Equity weight</t>
  </si>
  <si>
    <t xml:space="preserve">Debt weight</t>
  </si>
  <si>
    <t xml:space="preserve">Terminal growth (nominal EGP)</t>
  </si>
  <si>
    <t xml:space="preserve">WACC used for discounting (rounded)</t>
  </si>
  <si>
    <t xml:space="preserve">component WACC rounds to ~22%</t>
  </si>
  <si>
    <t xml:space="preserve">Operating forecast (FY26-30, EGP m)</t>
  </si>
  <si>
    <t xml:space="preserve">(FY26-30 schedules →)</t>
  </si>
  <si>
    <t xml:space="preserve">FY26e</t>
  </si>
  <si>
    <t xml:space="preserve">FY27e</t>
  </si>
  <si>
    <t xml:space="preserve">FY28e</t>
  </si>
  <si>
    <t xml:space="preserve">FY29e</t>
  </si>
  <si>
    <t xml:space="preserve">FY30e</t>
  </si>
  <si>
    <t xml:space="preserve">Revenue</t>
  </si>
  <si>
    <t xml:space="preserve">D&amp;A</t>
  </si>
  <si>
    <t xml:space="preserve">Capex</t>
  </si>
  <si>
    <t xml:space="preserve">Change in working capital</t>
  </si>
  <si>
    <t xml:space="preserve">Net finance cost (IS)</t>
  </si>
  <si>
    <t xml:space="preserve">Derived (formulas)</t>
  </si>
  <si>
    <t xml:space="preserve">Cost of equity Ke = rf + beta x ERP</t>
  </si>
  <si>
    <t xml:space="preserve">Component WACC = we*Ke + wd*Kd*(1-t)</t>
  </si>
  <si>
    <t xml:space="preserve">Market capitalisation (EGP m)</t>
  </si>
  <si>
    <t xml:space="preserve">Net debt (EGP m)</t>
  </si>
  <si>
    <t xml:space="preserve">Book value per share (EGP)</t>
  </si>
  <si>
    <t xml:space="preserve">RNAV — revalued net asset value (primary lens)</t>
  </si>
  <si>
    <t xml:space="preserve">Component (base)</t>
  </si>
  <si>
    <t xml:space="preserve">EGP m</t>
  </si>
  <si>
    <t xml:space="preserve">EGP/share</t>
  </si>
  <si>
    <t xml:space="preserve">Audited book equity (net assets)</t>
  </si>
  <si>
    <t xml:space="preserve">+ Land &amp; buildings re-mark (estimate)</t>
  </si>
  <si>
    <t xml:space="preserve">+ Brand value (off-B/S, estimate)</t>
  </si>
  <si>
    <t xml:space="preserve">- Working-capital realizability haircut</t>
  </si>
  <si>
    <t xml:space="preserve">RNAV equity (base)</t>
  </si>
  <si>
    <t xml:space="preserve">Memo: price-implied land re-mark (EGP m)</t>
  </si>
  <si>
    <t xml:space="preserve">Memo: P/B at spot</t>
  </si>
  <si>
    <t xml:space="preserve">Asset / segment scorecard</t>
  </si>
  <si>
    <t xml:space="preserve">Asset / segment</t>
  </si>
  <si>
    <t xml:space="preserve">Realizability</t>
  </si>
  <si>
    <t xml:space="preserve">Carrying vs market</t>
  </si>
  <si>
    <t xml:space="preserve">Role</t>
  </si>
  <si>
    <t xml:space="preserve">Land &amp; buildings (Alexandria)</t>
  </si>
  <si>
    <t xml:space="preserve">Low — owner-occupied</t>
  </si>
  <si>
    <t xml:space="preserve">Likely well below market</t>
  </si>
  <si>
    <t xml:space="preserve">The entire swing</t>
  </si>
  <si>
    <t xml:space="preserve">Plant &amp; machinery</t>
  </si>
  <si>
    <t xml:space="preserve">Low — specialised</t>
  </si>
  <si>
    <t xml:space="preserve">Near/below book</t>
  </si>
  <si>
    <t xml:space="preserve">Operating base</t>
  </si>
  <si>
    <t xml:space="preserve">Inventory &amp; receivables</t>
  </si>
  <si>
    <t xml:space="preserve">Moderate</t>
  </si>
  <si>
    <t xml:space="preserve">Near book</t>
  </si>
  <si>
    <t xml:space="preserve">Working capital</t>
  </si>
  <si>
    <t xml:space="preserve">Brand (Kabo/Jil/Super Kabo)</t>
  </si>
  <si>
    <t xml:space="preserve">Low — not separable</t>
  </si>
  <si>
    <t xml:space="preserve">Off balance sheet</t>
  </si>
  <si>
    <t xml:space="preserve">Optionality</t>
  </si>
  <si>
    <t xml:space="preserve">Relative (price-to-book) &amp; normalized-earnings lenses</t>
  </si>
  <si>
    <t xml:space="preserve">Relative — price-to-book</t>
  </si>
  <si>
    <t xml:space="preserve">Basis</t>
  </si>
  <si>
    <t xml:space="preserve">Bear</t>
  </si>
  <si>
    <t xml:space="preserve">Base</t>
  </si>
  <si>
    <t xml:space="preserve">Bull</t>
  </si>
  <si>
    <t xml:space="preserve">Justified price-to-book</t>
  </si>
  <si>
    <t xml:space="preserve">Fair value = P/B x BVPS (EGP/sh)</t>
  </si>
  <si>
    <t xml:space="preserve">Normalized earnings power</t>
  </si>
  <si>
    <t xml:space="preserve">Justified P/E</t>
  </si>
  <si>
    <t xml:space="preserve">Fair value = NI x P/E / shares (EGP/sh)</t>
  </si>
  <si>
    <t xml:space="preserve">Going-concern DCF — full waterfall</t>
  </si>
  <si>
    <t xml:space="preserve">Ke = rf + beta x ERP (shown on Assumptions). WACC used for discounting is rounded to ~22%.</t>
  </si>
  <si>
    <t xml:space="preserve">EBITDA</t>
  </si>
  <si>
    <t xml:space="preserve">- D&amp;A</t>
  </si>
  <si>
    <t xml:space="preserve">EBIT</t>
  </si>
  <si>
    <t xml:space="preserve">NOPAT = EBIT x (1 - t)</t>
  </si>
  <si>
    <t xml:space="preserve">+ D&amp;A</t>
  </si>
  <si>
    <t xml:space="preserve">- Capex</t>
  </si>
  <si>
    <t xml:space="preserve">- Change in working capital</t>
  </si>
  <si>
    <t xml:space="preserve">Free cash flow to firm</t>
  </si>
  <si>
    <t xml:space="preserve">Discount factor @ WACC</t>
  </si>
  <si>
    <t xml:space="preserve">PV of FCFF</t>
  </si>
  <si>
    <t xml:space="preserve">Sum PV of explicit FCFF (EGP m)</t>
  </si>
  <si>
    <t xml:space="preserve">Terminal value = FCFF5 x (1+g)/(WACC-g)</t>
  </si>
  <si>
    <t xml:space="preserve">PV of terminal value</t>
  </si>
  <si>
    <t xml:space="preserve">Enterprise value</t>
  </si>
  <si>
    <t xml:space="preserve">Terminal value as % of EV</t>
  </si>
  <si>
    <t xml:space="preserve">- Net debt</t>
  </si>
  <si>
    <t xml:space="preserve">Equity value per share (EGP)</t>
  </si>
  <si>
    <t xml:space="preserve">Equity value (EGP m)</t>
  </si>
  <si>
    <t xml:space="preserve">Income statement (consolidated, EGP m) — 3y history + 5y forecast</t>
  </si>
  <si>
    <t xml:space="preserve">History (FY23-25) = disclosure/reconstructed inputs; forecast (FY26-30) links to Assumptions.</t>
  </si>
  <si>
    <t xml:space="preserve">Line</t>
  </si>
  <si>
    <t xml:space="preserve">FY23</t>
  </si>
  <si>
    <t xml:space="preserve">FY24</t>
  </si>
  <si>
    <t xml:space="preserve">FY25e</t>
  </si>
  <si>
    <t xml:space="preserve">Gross profit</t>
  </si>
  <si>
    <t xml:space="preserve">Net finance cost</t>
  </si>
  <si>
    <t xml:space="preserve">Net FX / one-off</t>
  </si>
  <si>
    <t xml:space="preserve">PBT</t>
  </si>
  <si>
    <t xml:space="preserve">Tax</t>
  </si>
  <si>
    <t xml:space="preserve">Net income (attributable)</t>
  </si>
  <si>
    <t xml:space="preserve">Balance sheet (consolidated, EGP m) — 3y history + 5y forecast</t>
  </si>
  <si>
    <t xml:space="preserve">FY25 ties to reviewed accounts; PP&amp;E rolls (capex-D&amp;A), equity rolls (retained earnings, no dividend), other-liabilities is the balancing plug.</t>
  </si>
  <si>
    <t xml:space="preserve">FY25</t>
  </si>
  <si>
    <t xml:space="preserve">Property, plant &amp; equipment (net)</t>
  </si>
  <si>
    <t xml:space="preserve">Inventory</t>
  </si>
  <si>
    <t xml:space="preserve">Trade &amp; other receivables</t>
  </si>
  <si>
    <t xml:space="preserve">Cash &amp; equivalents</t>
  </si>
  <si>
    <t xml:space="preserve">Other assets</t>
  </si>
  <si>
    <t xml:space="preserve">Total assets</t>
  </si>
  <si>
    <t xml:space="preserve">Interest-bearing debt</t>
  </si>
  <si>
    <t xml:space="preserve">Total equity (attributable)</t>
  </si>
  <si>
    <t xml:space="preserve">Payables &amp; other liabilities</t>
  </si>
  <si>
    <t xml:space="preserve">Total liabilities</t>
  </si>
  <si>
    <t xml:space="preserve">Check: assets - liab - equity</t>
  </si>
  <si>
    <t xml:space="preserve">Cash flow (consolidated, EGP m) — 3y history + 5y forecast</t>
  </si>
  <si>
    <t xml:space="preserve">Net income</t>
  </si>
  <si>
    <t xml:space="preserve">Operating cash flow</t>
  </si>
  <si>
    <t xml:space="preserve">Free cash flow</t>
  </si>
  <si>
    <t xml:space="preserve">Change in debt / financing</t>
  </si>
  <si>
    <t xml:space="preserve">Net change in cash</t>
  </si>
  <si>
    <t xml:space="preserve">Ending cash</t>
  </si>
  <si>
    <t xml:space="preserve">Summary financials (links to statement sheets)</t>
  </si>
  <si>
    <t xml:space="preserve">Total equity</t>
  </si>
  <si>
    <t xml:space="preserve">Net debt (debt - cash)</t>
  </si>
  <si>
    <t xml:space="preserve">EBITDA margin</t>
  </si>
  <si>
    <t xml:space="preserve">Net margin</t>
  </si>
  <si>
    <t xml:space="preserve">Monte Carlo — ILLUSTRATIVE ONLY (failed Step 0; no forecast published)</t>
  </si>
  <si>
    <t xml:space="preserve">CRPS skill -0.010 vs a zero-drift random-walk cone (best config -0.007); interval (Winkler) skill -0.055; PIT mean 0.573. Under the house rule a forecast</t>
  </si>
  <si>
    <t xml:space="preserve">is published only if it beats the random-walk cone on CRPS with a roughly uniform PIT. KABO fails, so the numbers below describe dispersion only.</t>
  </si>
  <si>
    <t xml:space="preserve">Probability read (illustrative, T+60)</t>
  </si>
  <si>
    <t xml:space="preserve">P(price above spot)</t>
  </si>
  <si>
    <t xml:space="preserve">53%</t>
  </si>
  <si>
    <t xml:space="preserve">P(+10%) vs P(-10%) · odds</t>
  </si>
  <si>
    <t xml:space="preserve">36% vs 29% · 1.22x</t>
  </si>
  <si>
    <t xml:space="preserve">Median level · % move</t>
  </si>
  <si>
    <t xml:space="preserve">EGP 7.12 · +1.7%</t>
  </si>
  <si>
    <t xml:space="preserve">50% band (25th-75th) · % of spot</t>
  </si>
  <si>
    <t xml:space="preserve">EGP 6.12-8.28 · ~31%</t>
  </si>
  <si>
    <t xml:space="preserve">Touch +10% / -10% by T+60</t>
  </si>
  <si>
    <t xml:space="preserve">63% / 55%</t>
  </si>
  <si>
    <t xml:space="preserve">Percentile map (illustrative, EGP/share)</t>
  </si>
  <si>
    <t xml:space="preserve">Horizon</t>
  </si>
  <si>
    <t xml:space="preserve">p5</t>
  </si>
  <si>
    <t xml:space="preserve">p25</t>
  </si>
  <si>
    <t xml:space="preserve">p50</t>
  </si>
  <si>
    <t xml:space="preserve">p75</t>
  </si>
  <si>
    <t xml:space="preserve">p95</t>
  </si>
  <si>
    <t xml:space="preserve">T+20 sessions</t>
  </si>
  <si>
    <t xml:space="preserve">T+60 sessions</t>
  </si>
  <si>
    <t xml:space="preserve">These figures summarise the same 50,000 illustrative paths; they are presentation-only and are NOT a probability forecast for KABO.</t>
  </si>
  <si>
    <t xml:space="preserve">Sensitivity</t>
  </si>
  <si>
    <t xml:space="preserve">RNAV per share — land re-mark (rows) x applied discount (cols)</t>
  </si>
  <si>
    <t xml:space="preserve">Land re-mark (EGP m) / discount</t>
  </si>
  <si>
    <t xml:space="preserve">Par (0%)</t>
  </si>
  <si>
    <t xml:space="preserve">-20%</t>
  </si>
  <si>
    <t xml:space="preserve">-40%</t>
  </si>
  <si>
    <t xml:space="preserve">0</t>
  </si>
  <si>
    <t xml:space="preserve">700  (base)</t>
  </si>
  <si>
    <t xml:space="preserve">1,400</t>
  </si>
  <si>
    <t xml:space="preserve">2,100</t>
  </si>
  <si>
    <t xml:space="preserve">2,800  (~price-implied)</t>
  </si>
  <si>
    <t xml:space="preserve">Going-concern DCF per share — WACC (rows) x terminal g (cols)</t>
  </si>
  <si>
    <t xml:space="preserve">WACC / terminal g</t>
  </si>
  <si>
    <t xml:space="preserve">12.5%</t>
  </si>
  <si>
    <t xml:space="preserve">13.5%</t>
  </si>
  <si>
    <t xml:space="preserve">14.5%</t>
  </si>
  <si>
    <t xml:space="preserve">20%</t>
  </si>
  <si>
    <t xml:space="preserve">22%</t>
  </si>
  <si>
    <t xml:space="preserve">24%</t>
  </si>
  <si>
    <t xml:space="preserve">Per-share &amp; ratios (standardized dashboard)</t>
  </si>
  <si>
    <t xml:space="preserve">Metric</t>
  </si>
  <si>
    <t xml:space="preserve">EPS (EGP)</t>
  </si>
  <si>
    <t xml:space="preserve">BVPS (EGP)</t>
  </si>
  <si>
    <t xml:space="preserve">DPS (EGP)</t>
  </si>
  <si>
    <t xml:space="preserve">P/E (x, at spot)</t>
  </si>
  <si>
    <t xml:space="preserve">P/B (x, at spot)</t>
  </si>
  <si>
    <t xml:space="preserve">EV/EBITDA (x)</t>
  </si>
  <si>
    <t xml:space="preserve">ROE</t>
  </si>
  <si>
    <t xml:space="preserve">Net debt / EBITDA (x)</t>
  </si>
  <si>
    <t xml:space="preserve">FCF yield (at mkt cap)</t>
  </si>
  <si>
    <t xml:space="preserve">Peer set &amp; sector</t>
  </si>
  <si>
    <t xml:space="preserve">Peer / comparator</t>
  </si>
  <si>
    <t xml:space="preserve">Market</t>
  </si>
  <si>
    <t xml:space="preserve">Oriental Weavers (ORWE)</t>
  </si>
  <si>
    <t xml:space="preserve">EGX</t>
  </si>
  <si>
    <t xml:space="preserve">Carpets; scaled exporter; ~1.0-1.6x book; dividend-paying</t>
  </si>
  <si>
    <t xml:space="preserve">Arab Cotton Ginning (ACGC)</t>
  </si>
  <si>
    <t xml:space="preserve">Cotton processing; asset-heavy; cyclical</t>
  </si>
  <si>
    <t xml:space="preserve">Nile Cotton Ginning / spinning</t>
  </si>
  <si>
    <t xml:space="preserve">Legacy textile; asset value vs weak earnings</t>
  </si>
  <si>
    <t xml:space="preserve">Distressed EM knitwear / apparel</t>
  </si>
  <si>
    <t xml:space="preserve">Global</t>
  </si>
  <si>
    <t xml:space="preserve">Typically 0.5-1.2x book on thin margins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</si>
</sst>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;\(#,##0.00\);\-"/>
    <numFmt numFmtId="166" formatCode="0.0%"/>
    <numFmt numFmtId="167" formatCode="0.000"/>
    <numFmt numFmtId="168" formatCode="#,##0;\(#,##0\);\-"/>
    <numFmt numFmtId="169" formatCode="#,##0.0;\(#,##0.0\);\-"/>
    <numFmt numFmtId="170" formatCode="0.0\x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1B5E5E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3"/>
      <color rgb="FF1B5E5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B5E5E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B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4"/>
      <color rgb="FF1B5E5E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.5"/>
      <color rgb="FF777777"/>
      <name val="Arial"/>
      <family val="0"/>
      <charset val="1"/>
    </font>
    <font>
      <b val="true"/>
      <sz val="11"/>
      <color rgb="FF2A8F8F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2"/>
      <color rgb="FF1B5E5E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8.5"/>
      <color rgb="FF000000"/>
      <name val="Arial"/>
      <family val="0"/>
      <charset val="1"/>
    </font>
    <font>
      <sz val="10"/>
      <color rgb="FF777777"/>
      <name val="Arial"/>
      <family val="0"/>
      <charset val="1"/>
    </font>
    <font>
      <b val="true"/>
      <sz val="12"/>
      <color rgb="FFB00000"/>
      <name val="Arial"/>
      <family val="0"/>
      <charset val="1"/>
    </font>
    <font>
      <i val="true"/>
      <sz val="8.5"/>
      <color rgb="FF555555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5E5E"/>
        <bgColor rgb="FF008080"/>
      </patternFill>
    </fill>
    <fill>
      <patternFill patternType="solid">
        <fgColor rgb="FFE3ECEC"/>
        <bgColor rgb="FFEFF4F4"/>
      </patternFill>
    </fill>
    <fill>
      <patternFill patternType="solid">
        <fgColor rgb="FFEFF4F4"/>
        <bgColor rgb="FFF3F7F7"/>
      </patternFill>
    </fill>
    <fill>
      <patternFill patternType="solid">
        <fgColor rgb="FF2A8F8F"/>
        <bgColor rgb="FF008080"/>
      </patternFill>
    </fill>
    <fill>
      <patternFill patternType="solid">
        <fgColor rgb="FFF3F7F7"/>
        <bgColor rgb="FFEFF4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6D6"/>
      </left>
      <right style="thin">
        <color rgb="FFC9D6D6"/>
      </right>
      <top style="thin">
        <color rgb="FFC9D6D6"/>
      </top>
      <bottom style="thin">
        <color rgb="FFC9D6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2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00"/>
      <rgbColor rgb="FF008000"/>
      <rgbColor rgb="FF000080"/>
      <rgbColor rgb="FF808000"/>
      <rgbColor rgb="FF800080"/>
      <rgbColor rgb="FF1B5E5E"/>
      <rgbColor rgb="FFC0C0C0"/>
      <rgbColor rgb="FF777777"/>
      <rgbColor rgb="FF9999FF"/>
      <rgbColor rgb="FF993366"/>
      <rgbColor rgb="FFF3F7F7"/>
      <rgbColor rgb="FFE3ECEC"/>
      <rgbColor rgb="FF660066"/>
      <rgbColor rgb="FFFF8080"/>
      <rgbColor rgb="FF0066CC"/>
      <rgbColor rgb="FFC9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4F4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2A8F8F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3" t="s">
        <v>10</v>
      </c>
    </row>
    <row r="16" customFormat="false" ht="15" hidden="false" customHeight="false" outlineLevel="0" collapsed="false">
      <c r="A16" s="3" t="s">
        <v>11</v>
      </c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A18" s="3" t="s">
        <v>12</v>
      </c>
    </row>
    <row r="19" customFormat="false" ht="15" hidden="false" customHeight="false" outlineLevel="0" collapsed="false">
      <c r="A19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6"/>
    <col collapsed="false" customWidth="true" hidden="false" outlineLevel="0" max="4" min="4" style="0" width="26"/>
  </cols>
  <sheetData>
    <row r="1" customFormat="false" ht="16.15" hidden="false" customHeight="false" outlineLevel="0" collapsed="false">
      <c r="A1" s="4" t="s">
        <v>14</v>
      </c>
    </row>
    <row r="3" customFormat="false" ht="15" hidden="false" customHeight="false" outlineLevel="0" collapsed="false">
      <c r="A3" s="5" t="s">
        <v>15</v>
      </c>
      <c r="B3" s="6" t="s">
        <v>16</v>
      </c>
      <c r="C3" s="6" t="s">
        <v>17</v>
      </c>
      <c r="D3" s="6" t="s">
        <v>18</v>
      </c>
    </row>
    <row r="4" customFormat="false" ht="15" hidden="false" customHeight="false" outlineLevel="0" collapsed="false">
      <c r="A4" s="7" t="s">
        <v>19</v>
      </c>
      <c r="B4" s="7"/>
      <c r="C4" s="7"/>
      <c r="D4" s="7"/>
    </row>
    <row r="5" customFormat="false" ht="15" hidden="false" customHeight="false" outlineLevel="0" collapsed="false">
      <c r="A5" s="8" t="s">
        <v>20</v>
      </c>
      <c r="B5" s="9" t="n">
        <f aca="false">'Fundamental Valuation'!B4</f>
        <v>3.27709734513274</v>
      </c>
      <c r="C5" s="10" t="n">
        <f aca="false">'Fundamental Valuation'!B4/Assumptions!$B$5-1</f>
        <v>-0.531843236409608</v>
      </c>
      <c r="D5" s="11" t="s">
        <v>21</v>
      </c>
    </row>
    <row r="6" customFormat="false" ht="15" hidden="false" customHeight="false" outlineLevel="0" collapsed="false">
      <c r="A6" s="8" t="s">
        <v>22</v>
      </c>
      <c r="B6" s="9" t="n">
        <f aca="false">'Fundamental Valuation'!B5</f>
        <v>0.541427254693962</v>
      </c>
      <c r="C6" s="10" t="n">
        <f aca="false">'Fundamental Valuation'!B5/Assumptions!$B$5-1</f>
        <v>-0.922653249329434</v>
      </c>
      <c r="D6" s="11" t="s">
        <v>23</v>
      </c>
    </row>
    <row r="7" customFormat="false" ht="15" hidden="false" customHeight="false" outlineLevel="0" collapsed="false">
      <c r="A7" s="8" t="s">
        <v>24</v>
      </c>
      <c r="B7" s="9" t="n">
        <f aca="false">'Fundamental Valuation'!B6</f>
        <v>2.64960707964602</v>
      </c>
      <c r="C7" s="10" t="n">
        <f aca="false">'Fundamental Valuation'!B6/Assumptions!$B$5-1</f>
        <v>-0.621484702907712</v>
      </c>
      <c r="D7" s="11"/>
    </row>
    <row r="8" customFormat="false" ht="15" hidden="false" customHeight="false" outlineLevel="0" collapsed="false">
      <c r="A8" s="8" t="s">
        <v>25</v>
      </c>
      <c r="B8" s="9" t="n">
        <f aca="false">'Fundamental Valuation'!B7</f>
        <v>1.23893805309735</v>
      </c>
      <c r="C8" s="10" t="n">
        <f aca="false">'Fundamental Valuation'!B7/Assumptions!$B$5-1</f>
        <v>-0.823008849557522</v>
      </c>
      <c r="D8" s="11"/>
    </row>
    <row r="9" customFormat="false" ht="15" hidden="false" customHeight="false" outlineLevel="0" collapsed="false">
      <c r="A9" s="12" t="s">
        <v>26</v>
      </c>
      <c r="B9" s="13" t="n">
        <f aca="false">'Fundamental Valuation'!D9</f>
        <v>2.40415037138994</v>
      </c>
      <c r="C9" s="14" t="n">
        <f aca="false">'Fundamental Valuation'!D9/Assumptions!$B$5-1</f>
        <v>-0.656549946944295</v>
      </c>
      <c r="D9" s="11" t="s">
        <v>27</v>
      </c>
    </row>
    <row r="10" customFormat="false" ht="15" hidden="false" customHeight="false" outlineLevel="0" collapsed="false">
      <c r="A10" s="7" t="s">
        <v>28</v>
      </c>
      <c r="B10" s="7"/>
      <c r="C10" s="7"/>
      <c r="D10" s="7"/>
    </row>
    <row r="11" customFormat="false" ht="15" hidden="false" customHeight="false" outlineLevel="0" collapsed="false">
      <c r="A11" s="8" t="s">
        <v>29</v>
      </c>
      <c r="B11" s="15" t="s">
        <v>30</v>
      </c>
      <c r="C11" s="15" t="s">
        <v>31</v>
      </c>
      <c r="D11" s="11" t="s">
        <v>32</v>
      </c>
    </row>
    <row r="12" customFormat="false" ht="15" hidden="false" customHeight="false" outlineLevel="0" collapsed="false">
      <c r="A12" s="7" t="s">
        <v>33</v>
      </c>
      <c r="B12" s="7"/>
      <c r="C12" s="7"/>
      <c r="D12" s="7"/>
    </row>
    <row r="13" customFormat="false" ht="15" hidden="false" customHeight="false" outlineLevel="0" collapsed="false">
      <c r="A13" s="8" t="s">
        <v>34</v>
      </c>
      <c r="B13" s="16" t="n">
        <v>-0.01</v>
      </c>
      <c r="C13" s="17" t="s">
        <v>35</v>
      </c>
      <c r="D13" s="11" t="s">
        <v>36</v>
      </c>
    </row>
    <row r="14" customFormat="false" ht="15" hidden="false" customHeight="false" outlineLevel="0" collapsed="false">
      <c r="A14" s="8" t="s">
        <v>37</v>
      </c>
      <c r="B14" s="9" t="n">
        <v>7.12</v>
      </c>
      <c r="C14" s="15"/>
      <c r="D14" s="11" t="s">
        <v>38</v>
      </c>
    </row>
    <row r="15" customFormat="false" ht="15" hidden="false" customHeight="false" outlineLevel="0" collapsed="false">
      <c r="A15" s="7" t="s">
        <v>39</v>
      </c>
      <c r="B15" s="7"/>
      <c r="C15" s="7"/>
      <c r="D15" s="7"/>
    </row>
    <row r="16" customFormat="false" ht="15" hidden="false" customHeight="false" outlineLevel="0" collapsed="false">
      <c r="A16" s="8" t="s">
        <v>40</v>
      </c>
      <c r="B16" s="18" t="n">
        <v>3.1</v>
      </c>
      <c r="C16" s="10" t="n">
        <f aca="false">B16/Assumptions!$B$5-1</f>
        <v>-0.557142857142857</v>
      </c>
      <c r="D16" s="11" t="s">
        <v>41</v>
      </c>
    </row>
    <row r="17" customFormat="false" ht="15" hidden="false" customHeight="false" outlineLevel="0" collapsed="false">
      <c r="A17" s="8" t="s">
        <v>42</v>
      </c>
      <c r="B17" s="18" t="n">
        <v>1.3</v>
      </c>
      <c r="C17" s="10" t="n">
        <f aca="false">B17/Assumptions!$B$5-1</f>
        <v>-0.814285714285714</v>
      </c>
      <c r="D17" s="11" t="s">
        <v>43</v>
      </c>
    </row>
    <row r="18" customFormat="false" ht="15" hidden="false" customHeight="false" outlineLevel="0" collapsed="false">
      <c r="A18" s="8" t="s">
        <v>44</v>
      </c>
      <c r="B18" s="18" t="n">
        <v>2.4</v>
      </c>
      <c r="C18" s="10" t="n">
        <f aca="false">B18/Assumptions!$B$5-1</f>
        <v>-0.657142857142857</v>
      </c>
      <c r="D18" s="11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8"/>
  </cols>
  <sheetData>
    <row r="1" customFormat="false" ht="16.15" hidden="false" customHeight="false" outlineLevel="0" collapsed="false">
      <c r="A1" s="4" t="s">
        <v>46</v>
      </c>
    </row>
    <row r="3" customFormat="false" ht="15" hidden="false" customHeight="false" outlineLevel="0" collapsed="false">
      <c r="A3" s="5" t="s">
        <v>47</v>
      </c>
      <c r="B3" s="6" t="s">
        <v>48</v>
      </c>
      <c r="C3" s="6" t="s">
        <v>49</v>
      </c>
      <c r="D3" s="6" t="s">
        <v>50</v>
      </c>
    </row>
    <row r="4" customFormat="false" ht="15" hidden="false" customHeight="false" outlineLevel="0" collapsed="false">
      <c r="A4" s="8" t="s">
        <v>20</v>
      </c>
      <c r="B4" s="9" t="n">
        <f aca="false">RNAV!B8/Assumptions!$B$6</f>
        <v>3.27709734513274</v>
      </c>
      <c r="C4" s="19" t="n">
        <f aca="false">Assumptions!$B$19</f>
        <v>0.45</v>
      </c>
      <c r="D4" s="18" t="n">
        <f aca="false">B4*C4</f>
        <v>1.47469380530973</v>
      </c>
    </row>
    <row r="5" customFormat="false" ht="15" hidden="false" customHeight="false" outlineLevel="0" collapsed="false">
      <c r="A5" s="8" t="s">
        <v>22</v>
      </c>
      <c r="B5" s="9" t="n">
        <f aca="false">DCF!B22</f>
        <v>0.541427254693962</v>
      </c>
      <c r="C5" s="19" t="n">
        <f aca="false">Assumptions!$B$20</f>
        <v>0.15</v>
      </c>
      <c r="D5" s="18" t="n">
        <f aca="false">B5*C5</f>
        <v>0.0812140882040942</v>
      </c>
    </row>
    <row r="6" customFormat="false" ht="15" hidden="false" customHeight="false" outlineLevel="0" collapsed="false">
      <c r="A6" s="8" t="s">
        <v>24</v>
      </c>
      <c r="B6" s="9" t="n">
        <f aca="false">'Relative &amp; Normalized'!C6</f>
        <v>2.64960707964602</v>
      </c>
      <c r="C6" s="19" t="n">
        <f aca="false">Assumptions!$B$21</f>
        <v>0.25</v>
      </c>
      <c r="D6" s="18" t="n">
        <f aca="false">B6*C6</f>
        <v>0.662401769911504</v>
      </c>
    </row>
    <row r="7" customFormat="false" ht="15" hidden="false" customHeight="false" outlineLevel="0" collapsed="false">
      <c r="A7" s="8" t="s">
        <v>25</v>
      </c>
      <c r="B7" s="9" t="n">
        <f aca="false">'Relative &amp; Normalized'!C12</f>
        <v>1.23893805309735</v>
      </c>
      <c r="C7" s="19" t="n">
        <f aca="false">Assumptions!$B$22</f>
        <v>0.15</v>
      </c>
      <c r="D7" s="18" t="n">
        <f aca="false">B7*C7</f>
        <v>0.185840707964602</v>
      </c>
    </row>
    <row r="9" customFormat="false" ht="15" hidden="false" customHeight="false" outlineLevel="0" collapsed="false">
      <c r="A9" s="20" t="s">
        <v>51</v>
      </c>
      <c r="B9" s="21" t="n">
        <f aca="false">B4*C4+B5*C5+B6*C6+B7*C7</f>
        <v>2.40415037138994</v>
      </c>
      <c r="D9" s="21" t="n">
        <f aca="false">SUM(D4:D7)</f>
        <v>2.40415037138994</v>
      </c>
    </row>
    <row r="10" customFormat="false" ht="15" hidden="false" customHeight="false" outlineLevel="0" collapsed="false">
      <c r="A10" s="22" t="s">
        <v>17</v>
      </c>
      <c r="D10" s="10" t="n">
        <f aca="false">D9/Assumptions!$B$5-1</f>
        <v>-0.656549946944295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23" t="s">
        <v>52</v>
      </c>
    </row>
    <row r="2" customFormat="false" ht="15" hidden="false" customHeight="false" outlineLevel="0" collapsed="false">
      <c r="A2" s="24" t="s">
        <v>53</v>
      </c>
    </row>
    <row r="4" customFormat="false" ht="15" hidden="false" customHeight="false" outlineLevel="0" collapsed="false">
      <c r="A4" s="7" t="s">
        <v>54</v>
      </c>
      <c r="B4" s="7"/>
      <c r="C4" s="7"/>
    </row>
    <row r="5" customFormat="false" ht="15" hidden="false" customHeight="false" outlineLevel="0" collapsed="false">
      <c r="A5" s="8" t="s">
        <v>55</v>
      </c>
      <c r="B5" s="25" t="n">
        <v>7</v>
      </c>
      <c r="C5" s="26" t="s">
        <v>56</v>
      </c>
    </row>
    <row r="6" customFormat="false" ht="15" hidden="false" customHeight="false" outlineLevel="0" collapsed="false">
      <c r="A6" s="8" t="s">
        <v>57</v>
      </c>
      <c r="B6" s="27" t="n">
        <v>565</v>
      </c>
      <c r="C6" s="26" t="s">
        <v>58</v>
      </c>
    </row>
    <row r="7" customFormat="false" ht="15" hidden="false" customHeight="false" outlineLevel="0" collapsed="false">
      <c r="A7" s="8" t="s">
        <v>59</v>
      </c>
      <c r="B7" s="28" t="n">
        <v>1151.56</v>
      </c>
      <c r="C7" s="26" t="s">
        <v>60</v>
      </c>
    </row>
    <row r="8" customFormat="false" ht="15" hidden="false" customHeight="false" outlineLevel="0" collapsed="false">
      <c r="A8" s="8" t="s">
        <v>61</v>
      </c>
      <c r="B8" s="28" t="n">
        <v>559</v>
      </c>
      <c r="C8" s="26" t="s">
        <v>62</v>
      </c>
    </row>
    <row r="9" customFormat="false" ht="15" hidden="false" customHeight="false" outlineLevel="0" collapsed="false">
      <c r="A9" s="8" t="s">
        <v>63</v>
      </c>
      <c r="B9" s="28" t="n">
        <v>189</v>
      </c>
      <c r="C9" s="26" t="s">
        <v>64</v>
      </c>
    </row>
    <row r="10" customFormat="false" ht="15" hidden="false" customHeight="false" outlineLevel="0" collapsed="false">
      <c r="A10" s="7" t="s">
        <v>65</v>
      </c>
      <c r="B10" s="7"/>
      <c r="C10" s="7"/>
    </row>
    <row r="11" customFormat="false" ht="15" hidden="false" customHeight="false" outlineLevel="0" collapsed="false">
      <c r="A11" s="8" t="s">
        <v>66</v>
      </c>
      <c r="B11" s="28" t="n">
        <v>700</v>
      </c>
      <c r="C11" s="26" t="s">
        <v>67</v>
      </c>
    </row>
    <row r="12" customFormat="false" ht="15" hidden="false" customHeight="false" outlineLevel="0" collapsed="false">
      <c r="A12" s="8" t="s">
        <v>68</v>
      </c>
      <c r="B12" s="28" t="n">
        <v>50</v>
      </c>
      <c r="C12" s="26" t="s">
        <v>69</v>
      </c>
    </row>
    <row r="13" customFormat="false" ht="15" hidden="false" customHeight="false" outlineLevel="0" collapsed="false">
      <c r="A13" s="8" t="s">
        <v>70</v>
      </c>
      <c r="B13" s="28" t="n">
        <v>50</v>
      </c>
    </row>
    <row r="14" customFormat="false" ht="15" hidden="false" customHeight="false" outlineLevel="0" collapsed="false">
      <c r="A14" s="7" t="s">
        <v>71</v>
      </c>
      <c r="B14" s="7"/>
      <c r="C14" s="7"/>
    </row>
    <row r="15" customFormat="false" ht="15" hidden="false" customHeight="false" outlineLevel="0" collapsed="false">
      <c r="A15" s="8" t="s">
        <v>72</v>
      </c>
      <c r="B15" s="29" t="n">
        <v>1.3</v>
      </c>
      <c r="C15" s="26" t="s">
        <v>73</v>
      </c>
    </row>
    <row r="16" customFormat="false" ht="15" hidden="false" customHeight="false" outlineLevel="0" collapsed="false">
      <c r="A16" s="8" t="s">
        <v>74</v>
      </c>
      <c r="B16" s="28" t="n">
        <v>70</v>
      </c>
      <c r="C16" s="26" t="s">
        <v>75</v>
      </c>
    </row>
    <row r="17" customFormat="false" ht="15" hidden="false" customHeight="false" outlineLevel="0" collapsed="false">
      <c r="A17" s="8" t="s">
        <v>76</v>
      </c>
      <c r="B17" s="29" t="n">
        <v>10</v>
      </c>
    </row>
    <row r="18" customFormat="false" ht="15" hidden="false" customHeight="false" outlineLevel="0" collapsed="false">
      <c r="A18" s="7" t="s">
        <v>77</v>
      </c>
      <c r="B18" s="7"/>
      <c r="C18" s="7"/>
    </row>
    <row r="19" customFormat="false" ht="15" hidden="false" customHeight="false" outlineLevel="0" collapsed="false">
      <c r="A19" s="8" t="s">
        <v>78</v>
      </c>
      <c r="B19" s="30" t="n">
        <v>0.45</v>
      </c>
    </row>
    <row r="20" customFormat="false" ht="15" hidden="false" customHeight="false" outlineLevel="0" collapsed="false">
      <c r="A20" s="8" t="s">
        <v>79</v>
      </c>
      <c r="B20" s="30" t="n">
        <v>0.15</v>
      </c>
    </row>
    <row r="21" customFormat="false" ht="15" hidden="false" customHeight="false" outlineLevel="0" collapsed="false">
      <c r="A21" s="8" t="s">
        <v>80</v>
      </c>
      <c r="B21" s="30" t="n">
        <v>0.25</v>
      </c>
    </row>
    <row r="22" customFormat="false" ht="15" hidden="false" customHeight="false" outlineLevel="0" collapsed="false">
      <c r="A22" s="8" t="s">
        <v>81</v>
      </c>
      <c r="B22" s="30" t="n">
        <v>0.15</v>
      </c>
    </row>
    <row r="23" customFormat="false" ht="15" hidden="false" customHeight="false" outlineLevel="0" collapsed="false">
      <c r="A23" s="7" t="s">
        <v>82</v>
      </c>
      <c r="B23" s="7"/>
      <c r="C23" s="7"/>
    </row>
    <row r="24" customFormat="false" ht="15" hidden="false" customHeight="false" outlineLevel="0" collapsed="false">
      <c r="A24" s="8" t="s">
        <v>83</v>
      </c>
      <c r="B24" s="30" t="n">
        <v>0.175</v>
      </c>
    </row>
    <row r="25" customFormat="false" ht="15" hidden="false" customHeight="false" outlineLevel="0" collapsed="false">
      <c r="A25" s="8" t="s">
        <v>84</v>
      </c>
      <c r="B25" s="30" t="n">
        <v>0.06</v>
      </c>
    </row>
    <row r="26" customFormat="false" ht="15" hidden="false" customHeight="false" outlineLevel="0" collapsed="false">
      <c r="A26" s="8" t="s">
        <v>85</v>
      </c>
      <c r="B26" s="29" t="n">
        <v>0.95</v>
      </c>
    </row>
    <row r="27" customFormat="false" ht="15" hidden="false" customHeight="false" outlineLevel="0" collapsed="false">
      <c r="A27" s="8" t="s">
        <v>86</v>
      </c>
      <c r="B27" s="30" t="n">
        <v>0.2</v>
      </c>
    </row>
    <row r="28" customFormat="false" ht="15" hidden="false" customHeight="false" outlineLevel="0" collapsed="false">
      <c r="A28" s="8" t="s">
        <v>87</v>
      </c>
      <c r="B28" s="30" t="n">
        <v>0.225</v>
      </c>
    </row>
    <row r="29" customFormat="false" ht="15" hidden="false" customHeight="false" outlineLevel="0" collapsed="false">
      <c r="A29" s="8" t="s">
        <v>88</v>
      </c>
      <c r="B29" s="30" t="n">
        <v>0.88</v>
      </c>
    </row>
    <row r="30" customFormat="false" ht="15" hidden="false" customHeight="false" outlineLevel="0" collapsed="false">
      <c r="A30" s="8" t="s">
        <v>89</v>
      </c>
      <c r="B30" s="30" t="n">
        <v>0.12</v>
      </c>
    </row>
    <row r="31" customFormat="false" ht="15" hidden="false" customHeight="false" outlineLevel="0" collapsed="false">
      <c r="A31" s="8" t="s">
        <v>90</v>
      </c>
      <c r="B31" s="30" t="n">
        <v>0.135</v>
      </c>
    </row>
    <row r="32" customFormat="false" ht="15" hidden="false" customHeight="false" outlineLevel="0" collapsed="false">
      <c r="A32" s="8" t="s">
        <v>91</v>
      </c>
      <c r="B32" s="30" t="n">
        <v>0.22</v>
      </c>
      <c r="C32" s="26" t="s">
        <v>92</v>
      </c>
    </row>
    <row r="33" customFormat="false" ht="15" hidden="false" customHeight="false" outlineLevel="0" collapsed="false">
      <c r="A33" s="7" t="s">
        <v>93</v>
      </c>
      <c r="B33" s="7"/>
      <c r="C33" s="7"/>
    </row>
    <row r="34" customFormat="false" ht="15" hidden="false" customHeight="false" outlineLevel="0" collapsed="false">
      <c r="A34" s="26" t="s">
        <v>94</v>
      </c>
      <c r="B34" s="30" t="n">
        <v>0.135</v>
      </c>
      <c r="C34" s="31" t="s">
        <v>95</v>
      </c>
      <c r="D34" s="31" t="s">
        <v>96</v>
      </c>
      <c r="E34" s="31" t="s">
        <v>97</v>
      </c>
      <c r="F34" s="31" t="s">
        <v>98</v>
      </c>
      <c r="G34" s="31" t="s">
        <v>99</v>
      </c>
    </row>
    <row r="35" customFormat="false" ht="15" hidden="false" customHeight="false" outlineLevel="0" collapsed="false">
      <c r="A35" s="8" t="s">
        <v>100</v>
      </c>
      <c r="C35" s="28" t="n">
        <v>1180</v>
      </c>
      <c r="D35" s="28" t="n">
        <v>1320</v>
      </c>
      <c r="E35" s="28" t="n">
        <v>1470</v>
      </c>
      <c r="F35" s="28" t="n">
        <v>1630</v>
      </c>
      <c r="G35" s="28" t="n">
        <v>1800</v>
      </c>
    </row>
    <row r="36" customFormat="false" ht="15" hidden="false" customHeight="false" outlineLevel="0" collapsed="false">
      <c r="A36" s="8" t="s">
        <v>101</v>
      </c>
      <c r="C36" s="28" t="n">
        <v>45</v>
      </c>
      <c r="D36" s="28" t="n">
        <v>48</v>
      </c>
      <c r="E36" s="28" t="n">
        <v>51</v>
      </c>
      <c r="F36" s="28" t="n">
        <v>54</v>
      </c>
      <c r="G36" s="28" t="n">
        <v>57</v>
      </c>
    </row>
    <row r="37" customFormat="false" ht="15" hidden="false" customHeight="false" outlineLevel="0" collapsed="false">
      <c r="A37" s="8" t="s">
        <v>102</v>
      </c>
      <c r="C37" s="28" t="n">
        <v>55</v>
      </c>
      <c r="D37" s="28" t="n">
        <v>58</v>
      </c>
      <c r="E37" s="28" t="n">
        <v>61</v>
      </c>
      <c r="F37" s="28" t="n">
        <v>64</v>
      </c>
      <c r="G37" s="28" t="n">
        <v>67</v>
      </c>
    </row>
    <row r="38" customFormat="false" ht="15" hidden="false" customHeight="false" outlineLevel="0" collapsed="false">
      <c r="A38" s="8" t="s">
        <v>103</v>
      </c>
      <c r="C38" s="28" t="n">
        <v>35</v>
      </c>
      <c r="D38" s="28" t="n">
        <v>30</v>
      </c>
      <c r="E38" s="28" t="n">
        <v>32</v>
      </c>
      <c r="F38" s="28" t="n">
        <v>34</v>
      </c>
      <c r="G38" s="28" t="n">
        <v>36</v>
      </c>
    </row>
    <row r="39" customFormat="false" ht="15" hidden="false" customHeight="false" outlineLevel="0" collapsed="false">
      <c r="A39" s="8" t="s">
        <v>104</v>
      </c>
      <c r="C39" s="28" t="n">
        <v>48</v>
      </c>
      <c r="D39" s="28" t="n">
        <v>44</v>
      </c>
      <c r="E39" s="28" t="n">
        <v>40</v>
      </c>
      <c r="F39" s="28" t="n">
        <v>36</v>
      </c>
      <c r="G39" s="28" t="n">
        <v>33</v>
      </c>
    </row>
    <row r="40" customFormat="false" ht="15" hidden="false" customHeight="false" outlineLevel="0" collapsed="false">
      <c r="A40" s="7" t="s">
        <v>105</v>
      </c>
      <c r="B40" s="7"/>
      <c r="C40" s="7"/>
    </row>
    <row r="41" customFormat="false" ht="15" hidden="false" customHeight="false" outlineLevel="0" collapsed="false">
      <c r="A41" s="8" t="s">
        <v>106</v>
      </c>
      <c r="B41" s="14" t="n">
        <f aca="false">B24+B26*B25</f>
        <v>0.232</v>
      </c>
    </row>
    <row r="42" customFormat="false" ht="15" hidden="false" customHeight="false" outlineLevel="0" collapsed="false">
      <c r="A42" s="8" t="s">
        <v>107</v>
      </c>
      <c r="B42" s="14" t="n">
        <f aca="false">B29*B41+B30*B27*(1-B28)</f>
        <v>0.22276</v>
      </c>
    </row>
    <row r="43" customFormat="false" ht="15" hidden="false" customHeight="false" outlineLevel="0" collapsed="false">
      <c r="A43" s="8" t="s">
        <v>108</v>
      </c>
      <c r="B43" s="32" t="n">
        <f aca="false">B5*B6</f>
        <v>3955</v>
      </c>
    </row>
    <row r="44" customFormat="false" ht="15" hidden="false" customHeight="false" outlineLevel="0" collapsed="false">
      <c r="A44" s="8" t="s">
        <v>109</v>
      </c>
      <c r="B44" s="32" t="n">
        <f aca="false">B8-B9</f>
        <v>370</v>
      </c>
    </row>
    <row r="45" customFormat="false" ht="15" hidden="false" customHeight="false" outlineLevel="0" collapsed="false">
      <c r="A45" s="8" t="s">
        <v>110</v>
      </c>
      <c r="B45" s="33" t="n">
        <f aca="false">B7/B6</f>
        <v>2.0381592920354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6"/>
  </cols>
  <sheetData>
    <row r="1" customFormat="false" ht="16.15" hidden="false" customHeight="false" outlineLevel="0" collapsed="false">
      <c r="A1" s="4" t="s">
        <v>111</v>
      </c>
    </row>
    <row r="3" customFormat="false" ht="15" hidden="false" customHeight="false" outlineLevel="0" collapsed="false">
      <c r="A3" s="5" t="s">
        <v>112</v>
      </c>
      <c r="B3" s="6" t="s">
        <v>113</v>
      </c>
      <c r="C3" s="6" t="s">
        <v>114</v>
      </c>
    </row>
    <row r="4" customFormat="false" ht="15" hidden="false" customHeight="false" outlineLevel="0" collapsed="false">
      <c r="A4" s="8" t="s">
        <v>115</v>
      </c>
      <c r="B4" s="34" t="n">
        <f aca="false">Assumptions!$B$7</f>
        <v>1151.56</v>
      </c>
      <c r="C4" s="18" t="n">
        <f aca="false">B4/Assumptions!$B$6</f>
        <v>2.0381592920354</v>
      </c>
    </row>
    <row r="5" customFormat="false" ht="15" hidden="false" customHeight="false" outlineLevel="0" collapsed="false">
      <c r="A5" s="8" t="s">
        <v>116</v>
      </c>
      <c r="B5" s="34" t="n">
        <f aca="false">Assumptions!$B$11</f>
        <v>700</v>
      </c>
      <c r="C5" s="18" t="n">
        <f aca="false">B5/Assumptions!$B$6</f>
        <v>1.23893805309735</v>
      </c>
    </row>
    <row r="6" customFormat="false" ht="15" hidden="false" customHeight="false" outlineLevel="0" collapsed="false">
      <c r="A6" s="8" t="s">
        <v>117</v>
      </c>
      <c r="B6" s="34" t="n">
        <f aca="false">Assumptions!$B$12</f>
        <v>50</v>
      </c>
      <c r="C6" s="18" t="n">
        <f aca="false">B6/Assumptions!$B$6</f>
        <v>0.0884955752212389</v>
      </c>
    </row>
    <row r="7" customFormat="false" ht="15" hidden="false" customHeight="false" outlineLevel="0" collapsed="false">
      <c r="A7" s="8" t="s">
        <v>118</v>
      </c>
      <c r="B7" s="34" t="n">
        <f aca="false">-Assumptions!$B$13</f>
        <v>-50</v>
      </c>
      <c r="C7" s="18" t="n">
        <f aca="false">B7/Assumptions!$B$6</f>
        <v>-0.0884955752212389</v>
      </c>
    </row>
    <row r="8" customFormat="false" ht="15" hidden="false" customHeight="false" outlineLevel="0" collapsed="false">
      <c r="A8" s="20" t="s">
        <v>119</v>
      </c>
      <c r="B8" s="35" t="n">
        <f aca="false">SUM(B4:B7)</f>
        <v>1851.56</v>
      </c>
      <c r="C8" s="21" t="n">
        <f aca="false">B8/Assumptions!$B$6</f>
        <v>3.27709734513274</v>
      </c>
    </row>
    <row r="10" customFormat="false" ht="15" hidden="false" customHeight="false" outlineLevel="0" collapsed="false">
      <c r="A10" s="8" t="s">
        <v>120</v>
      </c>
      <c r="B10" s="36" t="n">
        <f aca="false">Assumptions!$B$43-Assumptions!$B$7-Assumptions!$B$12+Assumptions!$B$13</f>
        <v>2803.44</v>
      </c>
    </row>
    <row r="11" customFormat="false" ht="15" hidden="false" customHeight="false" outlineLevel="0" collapsed="false">
      <c r="A11" s="8" t="s">
        <v>121</v>
      </c>
      <c r="B11" s="37" t="n">
        <f aca="false">Assumptions!$B$5/Assumptions!$B$45</f>
        <v>3.43447149953107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20"/>
  </cols>
  <sheetData>
    <row r="1" customFormat="false" ht="16.15" hidden="false" customHeight="false" outlineLevel="0" collapsed="false">
      <c r="A1" s="4" t="s">
        <v>122</v>
      </c>
    </row>
    <row r="3" customFormat="false" ht="15" hidden="false" customHeight="false" outlineLevel="0" collapsed="false">
      <c r="A3" s="5" t="s">
        <v>123</v>
      </c>
      <c r="B3" s="6" t="s">
        <v>124</v>
      </c>
      <c r="C3" s="6" t="s">
        <v>125</v>
      </c>
      <c r="D3" s="6" t="s">
        <v>126</v>
      </c>
    </row>
    <row r="4" customFormat="false" ht="15" hidden="false" customHeight="false" outlineLevel="0" collapsed="false">
      <c r="A4" s="38" t="s">
        <v>127</v>
      </c>
      <c r="B4" s="38" t="s">
        <v>128</v>
      </c>
      <c r="C4" s="38" t="s">
        <v>129</v>
      </c>
      <c r="D4" s="38" t="s">
        <v>130</v>
      </c>
    </row>
    <row r="5" customFormat="false" ht="15" hidden="false" customHeight="false" outlineLevel="0" collapsed="false">
      <c r="A5" s="11" t="s">
        <v>131</v>
      </c>
      <c r="B5" s="11" t="s">
        <v>132</v>
      </c>
      <c r="C5" s="11" t="s">
        <v>133</v>
      </c>
      <c r="D5" s="11" t="s">
        <v>134</v>
      </c>
    </row>
    <row r="6" customFormat="false" ht="15" hidden="false" customHeight="false" outlineLevel="0" collapsed="false">
      <c r="A6" s="38" t="s">
        <v>135</v>
      </c>
      <c r="B6" s="38" t="s">
        <v>136</v>
      </c>
      <c r="C6" s="38" t="s">
        <v>137</v>
      </c>
      <c r="D6" s="38" t="s">
        <v>138</v>
      </c>
    </row>
    <row r="7" customFormat="false" ht="15" hidden="false" customHeight="false" outlineLevel="0" collapsed="false">
      <c r="A7" s="11" t="s">
        <v>139</v>
      </c>
      <c r="B7" s="11" t="s">
        <v>140</v>
      </c>
      <c r="C7" s="11" t="s">
        <v>141</v>
      </c>
      <c r="D7" s="11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6"/>
  </cols>
  <sheetData>
    <row r="1" customFormat="false" ht="16.15" hidden="false" customHeight="false" outlineLevel="0" collapsed="false">
      <c r="A1" s="4" t="s">
        <v>143</v>
      </c>
    </row>
    <row r="3" customFormat="false" ht="15" hidden="false" customHeight="false" outlineLevel="0" collapsed="false">
      <c r="A3" s="39" t="s">
        <v>144</v>
      </c>
    </row>
    <row r="4" customFormat="false" ht="15" hidden="false" customHeight="false" outlineLevel="0" collapsed="false">
      <c r="A4" s="5" t="s">
        <v>145</v>
      </c>
      <c r="B4" s="6" t="s">
        <v>146</v>
      </c>
      <c r="C4" s="6" t="s">
        <v>147</v>
      </c>
      <c r="D4" s="6" t="s">
        <v>148</v>
      </c>
    </row>
    <row r="5" customFormat="false" ht="15" hidden="false" customHeight="false" outlineLevel="0" collapsed="false">
      <c r="A5" s="8" t="s">
        <v>149</v>
      </c>
      <c r="B5" s="29" t="n">
        <v>0.8</v>
      </c>
      <c r="C5" s="40" t="n">
        <f aca="false">Assumptions!$B$15</f>
        <v>1.3</v>
      </c>
      <c r="D5" s="29" t="n">
        <v>2</v>
      </c>
    </row>
    <row r="6" customFormat="false" ht="15" hidden="false" customHeight="false" outlineLevel="0" collapsed="false">
      <c r="A6" s="20" t="s">
        <v>150</v>
      </c>
      <c r="B6" s="41" t="n">
        <f aca="false">B5*Assumptions!$B$45</f>
        <v>1.63052743362832</v>
      </c>
      <c r="C6" s="21" t="n">
        <f aca="false">C5*Assumptions!$B$45</f>
        <v>2.64960707964602</v>
      </c>
      <c r="D6" s="41" t="n">
        <f aca="false">D5*Assumptions!$B$45</f>
        <v>4.0763185840708</v>
      </c>
    </row>
    <row r="8" customFormat="false" ht="15" hidden="false" customHeight="false" outlineLevel="0" collapsed="false">
      <c r="A8" s="39" t="s">
        <v>151</v>
      </c>
    </row>
    <row r="9" customFormat="false" ht="15" hidden="false" customHeight="false" outlineLevel="0" collapsed="false">
      <c r="A9" s="5" t="s">
        <v>145</v>
      </c>
      <c r="B9" s="6" t="s">
        <v>146</v>
      </c>
      <c r="C9" s="6" t="s">
        <v>147</v>
      </c>
      <c r="D9" s="6" t="s">
        <v>148</v>
      </c>
    </row>
    <row r="10" customFormat="false" ht="15" hidden="false" customHeight="false" outlineLevel="0" collapsed="false">
      <c r="A10" s="8" t="s">
        <v>74</v>
      </c>
      <c r="B10" s="28" t="n">
        <v>55</v>
      </c>
      <c r="C10" s="34" t="n">
        <f aca="false">Assumptions!$B$16</f>
        <v>70</v>
      </c>
      <c r="D10" s="28" t="n">
        <v>96</v>
      </c>
    </row>
    <row r="11" customFormat="false" ht="15" hidden="false" customHeight="false" outlineLevel="0" collapsed="false">
      <c r="A11" s="8" t="s">
        <v>152</v>
      </c>
      <c r="B11" s="29" t="n">
        <v>8</v>
      </c>
      <c r="C11" s="40" t="n">
        <f aca="false">Assumptions!$B$17</f>
        <v>10</v>
      </c>
      <c r="D11" s="29" t="n">
        <v>12</v>
      </c>
    </row>
    <row r="12" customFormat="false" ht="15" hidden="false" customHeight="false" outlineLevel="0" collapsed="false">
      <c r="A12" s="20" t="s">
        <v>153</v>
      </c>
      <c r="B12" s="41" t="n">
        <f aca="false">B10*B11/Assumptions!$B$6</f>
        <v>0.778761061946903</v>
      </c>
      <c r="C12" s="21" t="n">
        <f aca="false">C10*C11/Assumptions!$B$6</f>
        <v>1.23893805309735</v>
      </c>
      <c r="D12" s="41" t="n">
        <f aca="false">D10*D11/Assumptions!$B$6</f>
        <v>2.03893805309735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4"/>
  </cols>
  <sheetData>
    <row r="1" customFormat="false" ht="16.15" hidden="false" customHeight="false" outlineLevel="0" collapsed="false">
      <c r="A1" s="4" t="s">
        <v>154</v>
      </c>
    </row>
    <row r="2" customFormat="false" ht="15" hidden="false" customHeight="false" outlineLevel="0" collapsed="false">
      <c r="A2" s="42" t="s">
        <v>155</v>
      </c>
    </row>
    <row r="3" customFormat="false" ht="15" hidden="false" customHeight="false" outlineLevel="0" collapsed="false">
      <c r="A3" s="5" t="s">
        <v>113</v>
      </c>
      <c r="B3" s="6" t="s">
        <v>95</v>
      </c>
      <c r="C3" s="6" t="s">
        <v>96</v>
      </c>
      <c r="D3" s="6" t="s">
        <v>97</v>
      </c>
      <c r="E3" s="6" t="s">
        <v>98</v>
      </c>
      <c r="F3" s="6" t="s">
        <v>99</v>
      </c>
    </row>
    <row r="4" customFormat="false" ht="15" hidden="false" customHeight="false" outlineLevel="0" collapsed="false">
      <c r="A4" s="11" t="s">
        <v>100</v>
      </c>
      <c r="B4" s="34" t="n">
        <f aca="false">Assumptions!$C$35</f>
        <v>1180</v>
      </c>
      <c r="C4" s="34" t="n">
        <f aca="false">Assumptions!$D$35</f>
        <v>1320</v>
      </c>
      <c r="D4" s="34" t="n">
        <f aca="false">Assumptions!$E$35</f>
        <v>1470</v>
      </c>
      <c r="E4" s="34" t="n">
        <f aca="false">Assumptions!$F$35</f>
        <v>1630</v>
      </c>
      <c r="F4" s="34" t="n">
        <f aca="false">Assumptions!$G$35</f>
        <v>1800</v>
      </c>
    </row>
    <row r="5" customFormat="false" ht="15" hidden="false" customHeight="false" outlineLevel="0" collapsed="false">
      <c r="A5" s="11" t="s">
        <v>156</v>
      </c>
      <c r="B5" s="34" t="n">
        <f aca="false">B4*Assumptions!$B$34</f>
        <v>159.3</v>
      </c>
      <c r="C5" s="34" t="n">
        <f aca="false">C4*Assumptions!$B$34</f>
        <v>178.2</v>
      </c>
      <c r="D5" s="34" t="n">
        <f aca="false">D4*Assumptions!$B$34</f>
        <v>198.45</v>
      </c>
      <c r="E5" s="34" t="n">
        <f aca="false">E4*Assumptions!$B$34</f>
        <v>220.05</v>
      </c>
      <c r="F5" s="34" t="n">
        <f aca="false">F4*Assumptions!$B$34</f>
        <v>243</v>
      </c>
    </row>
    <row r="6" customFormat="false" ht="15" hidden="false" customHeight="false" outlineLevel="0" collapsed="false">
      <c r="A6" s="11" t="s">
        <v>157</v>
      </c>
      <c r="B6" s="34" t="n">
        <f aca="false">-Assumptions!$C$36</f>
        <v>-45</v>
      </c>
      <c r="C6" s="34" t="n">
        <f aca="false">-Assumptions!$D$36</f>
        <v>-48</v>
      </c>
      <c r="D6" s="34" t="n">
        <f aca="false">-Assumptions!$E$36</f>
        <v>-51</v>
      </c>
      <c r="E6" s="34" t="n">
        <f aca="false">-Assumptions!$F$36</f>
        <v>-54</v>
      </c>
      <c r="F6" s="34" t="n">
        <f aca="false">-Assumptions!$G$36</f>
        <v>-57</v>
      </c>
    </row>
    <row r="7" customFormat="false" ht="15" hidden="false" customHeight="false" outlineLevel="0" collapsed="false">
      <c r="A7" s="43" t="s">
        <v>158</v>
      </c>
      <c r="B7" s="32" t="n">
        <f aca="false">B5+B6</f>
        <v>114.3</v>
      </c>
      <c r="C7" s="32" t="n">
        <f aca="false">C5+C6</f>
        <v>130.2</v>
      </c>
      <c r="D7" s="32" t="n">
        <f aca="false">D5+D6</f>
        <v>147.45</v>
      </c>
      <c r="E7" s="32" t="n">
        <f aca="false">E5+E6</f>
        <v>166.05</v>
      </c>
      <c r="F7" s="32" t="n">
        <f aca="false">F5+F6</f>
        <v>186</v>
      </c>
    </row>
    <row r="8" customFormat="false" ht="15" hidden="false" customHeight="false" outlineLevel="0" collapsed="false">
      <c r="A8" s="11" t="s">
        <v>159</v>
      </c>
      <c r="B8" s="34" t="n">
        <f aca="false">B7*(1-Assumptions!$B$28)</f>
        <v>88.5825</v>
      </c>
      <c r="C8" s="34" t="n">
        <f aca="false">C7*(1-Assumptions!$B$28)</f>
        <v>100.905</v>
      </c>
      <c r="D8" s="34" t="n">
        <f aca="false">D7*(1-Assumptions!$B$28)</f>
        <v>114.27375</v>
      </c>
      <c r="E8" s="34" t="n">
        <f aca="false">E7*(1-Assumptions!$B$28)</f>
        <v>128.68875</v>
      </c>
      <c r="F8" s="34" t="n">
        <f aca="false">F7*(1-Assumptions!$B$28)</f>
        <v>144.15</v>
      </c>
    </row>
    <row r="9" customFormat="false" ht="15" hidden="false" customHeight="false" outlineLevel="0" collapsed="false">
      <c r="A9" s="11" t="s">
        <v>160</v>
      </c>
      <c r="B9" s="34" t="n">
        <f aca="false">Assumptions!$C$36</f>
        <v>45</v>
      </c>
      <c r="C9" s="34" t="n">
        <f aca="false">Assumptions!$D$36</f>
        <v>48</v>
      </c>
      <c r="D9" s="34" t="n">
        <f aca="false">Assumptions!$E$36</f>
        <v>51</v>
      </c>
      <c r="E9" s="34" t="n">
        <f aca="false">Assumptions!$F$36</f>
        <v>54</v>
      </c>
      <c r="F9" s="34" t="n">
        <f aca="false">Assumptions!$G$36</f>
        <v>57</v>
      </c>
    </row>
    <row r="10" customFormat="false" ht="15" hidden="false" customHeight="false" outlineLevel="0" collapsed="false">
      <c r="A10" s="11" t="s">
        <v>161</v>
      </c>
      <c r="B10" s="34" t="n">
        <f aca="false">-Assumptions!$C$37</f>
        <v>-55</v>
      </c>
      <c r="C10" s="34" t="n">
        <f aca="false">-Assumptions!$D$37</f>
        <v>-58</v>
      </c>
      <c r="D10" s="34" t="n">
        <f aca="false">-Assumptions!$E$37</f>
        <v>-61</v>
      </c>
      <c r="E10" s="34" t="n">
        <f aca="false">-Assumptions!$F$37</f>
        <v>-64</v>
      </c>
      <c r="F10" s="34" t="n">
        <f aca="false">-Assumptions!$G$37</f>
        <v>-67</v>
      </c>
    </row>
    <row r="11" customFormat="false" ht="15" hidden="false" customHeight="false" outlineLevel="0" collapsed="false">
      <c r="A11" s="11" t="s">
        <v>162</v>
      </c>
      <c r="B11" s="34" t="n">
        <f aca="false">-Assumptions!$C$38</f>
        <v>-35</v>
      </c>
      <c r="C11" s="34" t="n">
        <f aca="false">-Assumptions!$D$38</f>
        <v>-30</v>
      </c>
      <c r="D11" s="34" t="n">
        <f aca="false">-Assumptions!$E$38</f>
        <v>-32</v>
      </c>
      <c r="E11" s="34" t="n">
        <f aca="false">-Assumptions!$F$38</f>
        <v>-34</v>
      </c>
      <c r="F11" s="34" t="n">
        <f aca="false">-Assumptions!$G$38</f>
        <v>-36</v>
      </c>
    </row>
    <row r="12" customFormat="false" ht="15" hidden="false" customHeight="false" outlineLevel="0" collapsed="false">
      <c r="A12" s="44" t="s">
        <v>163</v>
      </c>
      <c r="B12" s="35" t="n">
        <f aca="false">B8+B9+B10+B11</f>
        <v>43.5825</v>
      </c>
      <c r="C12" s="35" t="n">
        <f aca="false">C8+C9+C10+C11</f>
        <v>60.905</v>
      </c>
      <c r="D12" s="35" t="n">
        <f aca="false">D8+D9+D10+D11</f>
        <v>72.27375</v>
      </c>
      <c r="E12" s="35" t="n">
        <f aca="false">E8+E9+E10+E11</f>
        <v>84.68875</v>
      </c>
      <c r="F12" s="35" t="n">
        <f aca="false">F8+F9+F10+F11</f>
        <v>98.15</v>
      </c>
    </row>
    <row r="13" customFormat="false" ht="15" hidden="false" customHeight="false" outlineLevel="0" collapsed="false">
      <c r="A13" s="11" t="s">
        <v>164</v>
      </c>
      <c r="B13" s="45" t="n">
        <f aca="false">1/(1+Assumptions!$B$32)^1</f>
        <v>0.819672131147541</v>
      </c>
      <c r="C13" s="45" t="n">
        <f aca="false">1/(1+Assumptions!$B$32)^2</f>
        <v>0.671862402579952</v>
      </c>
      <c r="D13" s="45" t="n">
        <f aca="false">1/(1+Assumptions!$B$32)^3</f>
        <v>0.550706887360616</v>
      </c>
      <c r="E13" s="45" t="n">
        <f aca="false">1/(1+Assumptions!$B$32)^4</f>
        <v>0.451399088000505</v>
      </c>
      <c r="F13" s="45" t="n">
        <f aca="false">1/(1+Assumptions!$B$32)^5</f>
        <v>0.36999925245943</v>
      </c>
    </row>
    <row r="14" customFormat="false" ht="15" hidden="false" customHeight="false" outlineLevel="0" collapsed="false">
      <c r="A14" s="43" t="s">
        <v>165</v>
      </c>
      <c r="B14" s="32" t="n">
        <f aca="false">B12*B13</f>
        <v>35.7233606557377</v>
      </c>
      <c r="C14" s="32" t="n">
        <f aca="false">C12*C13</f>
        <v>40.919779629132</v>
      </c>
      <c r="D14" s="32" t="n">
        <f aca="false">D12*D13</f>
        <v>39.8016519003793</v>
      </c>
      <c r="E14" s="32" t="n">
        <f aca="false">E12*E13</f>
        <v>38.2284245139028</v>
      </c>
      <c r="F14" s="32" t="n">
        <f aca="false">F12*F13</f>
        <v>36.3154266288931</v>
      </c>
    </row>
    <row r="16" customFormat="false" ht="15" hidden="false" customHeight="false" outlineLevel="0" collapsed="false">
      <c r="A16" s="8" t="s">
        <v>166</v>
      </c>
      <c r="B16" s="32" t="n">
        <f aca="false">SUM(B14:F14)</f>
        <v>190.988643328045</v>
      </c>
    </row>
    <row r="17" customFormat="false" ht="15" hidden="false" customHeight="false" outlineLevel="0" collapsed="false">
      <c r="A17" s="8" t="s">
        <v>167</v>
      </c>
      <c r="B17" s="36" t="n">
        <f aca="false">F12*(1+Assumptions!$B$31)/(Assumptions!$B$32-Assumptions!$B$31)</f>
        <v>1310.59117647059</v>
      </c>
    </row>
    <row r="18" customFormat="false" ht="15" hidden="false" customHeight="false" outlineLevel="0" collapsed="false">
      <c r="A18" s="8" t="s">
        <v>168</v>
      </c>
      <c r="B18" s="36" t="n">
        <f aca="false">B17*F13</f>
        <v>484.917755574043</v>
      </c>
    </row>
    <row r="19" customFormat="false" ht="15" hidden="false" customHeight="false" outlineLevel="0" collapsed="false">
      <c r="A19" s="12" t="s">
        <v>169</v>
      </c>
      <c r="B19" s="35" t="n">
        <f aca="false">B16+B18</f>
        <v>675.906398902088</v>
      </c>
    </row>
    <row r="20" customFormat="false" ht="15" hidden="false" customHeight="false" outlineLevel="0" collapsed="false">
      <c r="A20" s="8" t="s">
        <v>170</v>
      </c>
      <c r="B20" s="10" t="n">
        <f aca="false">B18/B19</f>
        <v>0.717433296032885</v>
      </c>
    </row>
    <row r="21" customFormat="false" ht="15" hidden="false" customHeight="false" outlineLevel="0" collapsed="false">
      <c r="A21" s="8" t="s">
        <v>171</v>
      </c>
      <c r="B21" s="34" t="n">
        <f aca="false">-Assumptions!$B$44</f>
        <v>-370</v>
      </c>
    </row>
    <row r="22" customFormat="false" ht="15" hidden="false" customHeight="false" outlineLevel="0" collapsed="false">
      <c r="A22" s="12" t="s">
        <v>172</v>
      </c>
      <c r="B22" s="21" t="n">
        <f aca="false">(B19+B21)/Assumptions!$B$6</f>
        <v>0.541427254693962</v>
      </c>
    </row>
    <row r="23" customFormat="false" ht="15" hidden="false" customHeight="false" outlineLevel="0" collapsed="false">
      <c r="A23" s="8" t="s">
        <v>173</v>
      </c>
      <c r="B23" s="36" t="n">
        <f aca="false">B22*Assumptions!$B$6</f>
        <v>305.906398902088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1"/>
  </cols>
  <sheetData>
    <row r="1" customFormat="false" ht="15" hidden="false" customHeight="false" outlineLevel="0" collapsed="false">
      <c r="A1" s="46" t="s">
        <v>174</v>
      </c>
    </row>
    <row r="2" customFormat="false" ht="15" hidden="false" customHeight="false" outlineLevel="0" collapsed="false">
      <c r="A2" s="47" t="s">
        <v>175</v>
      </c>
    </row>
    <row r="3" customFormat="false" ht="15" hidden="false" customHeight="false" outlineLevel="0" collapsed="false">
      <c r="A3" s="5" t="s">
        <v>176</v>
      </c>
      <c r="B3" s="6" t="s">
        <v>177</v>
      </c>
      <c r="C3" s="6" t="s">
        <v>178</v>
      </c>
      <c r="D3" s="6" t="s">
        <v>179</v>
      </c>
      <c r="E3" s="6" t="s">
        <v>95</v>
      </c>
      <c r="F3" s="6" t="s">
        <v>96</v>
      </c>
      <c r="G3" s="6" t="s">
        <v>97</v>
      </c>
      <c r="H3" s="6" t="s">
        <v>98</v>
      </c>
      <c r="I3" s="6" t="s">
        <v>99</v>
      </c>
    </row>
    <row r="4" customFormat="false" ht="15" hidden="false" customHeight="false" outlineLevel="0" collapsed="false">
      <c r="A4" s="11" t="s">
        <v>100</v>
      </c>
      <c r="B4" s="28" t="n">
        <v>593</v>
      </c>
      <c r="C4" s="28" t="n">
        <v>1020</v>
      </c>
      <c r="D4" s="28" t="n">
        <v>1050</v>
      </c>
      <c r="E4" s="34" t="n">
        <f aca="false">Assumptions!$C$35</f>
        <v>1180</v>
      </c>
      <c r="F4" s="34" t="n">
        <f aca="false">Assumptions!$D$35</f>
        <v>1320</v>
      </c>
      <c r="G4" s="34" t="n">
        <f aca="false">Assumptions!$E$35</f>
        <v>1470</v>
      </c>
      <c r="H4" s="34" t="n">
        <f aca="false">Assumptions!$F$35</f>
        <v>1630</v>
      </c>
      <c r="I4" s="34" t="n">
        <f aca="false">Assumptions!$G$35</f>
        <v>1800</v>
      </c>
    </row>
    <row r="5" customFormat="false" ht="15" hidden="false" customHeight="false" outlineLevel="0" collapsed="false">
      <c r="A5" s="11" t="s">
        <v>180</v>
      </c>
      <c r="B5" s="28" t="n">
        <v>95</v>
      </c>
      <c r="C5" s="28" t="n">
        <v>194</v>
      </c>
      <c r="D5" s="28" t="n">
        <v>145</v>
      </c>
      <c r="E5" s="36" t="n">
        <f aca="false">E4*0.16</f>
        <v>188.8</v>
      </c>
      <c r="F5" s="36" t="n">
        <f aca="false">F4*0.16</f>
        <v>211.2</v>
      </c>
      <c r="G5" s="36" t="n">
        <f aca="false">G4*0.16</f>
        <v>235.2</v>
      </c>
      <c r="H5" s="36" t="n">
        <f aca="false">H4*0.16</f>
        <v>260.8</v>
      </c>
      <c r="I5" s="36" t="n">
        <f aca="false">I4*0.16</f>
        <v>288</v>
      </c>
    </row>
    <row r="6" customFormat="false" ht="15" hidden="false" customHeight="false" outlineLevel="0" collapsed="false">
      <c r="A6" s="11" t="s">
        <v>156</v>
      </c>
      <c r="B6" s="28" t="n">
        <v>88</v>
      </c>
      <c r="C6" s="28" t="n">
        <v>180</v>
      </c>
      <c r="D6" s="28" t="n">
        <v>120</v>
      </c>
      <c r="E6" s="34" t="n">
        <f aca="false">E4*Assumptions!$B$34</f>
        <v>159.3</v>
      </c>
      <c r="F6" s="34" t="n">
        <f aca="false">F4*Assumptions!$B$34</f>
        <v>178.2</v>
      </c>
      <c r="G6" s="34" t="n">
        <f aca="false">G4*Assumptions!$B$34</f>
        <v>198.45</v>
      </c>
      <c r="H6" s="34" t="n">
        <f aca="false">H4*Assumptions!$B$34</f>
        <v>220.05</v>
      </c>
      <c r="I6" s="34" t="n">
        <f aca="false">I4*Assumptions!$B$34</f>
        <v>243</v>
      </c>
    </row>
    <row r="7" customFormat="false" ht="15" hidden="false" customHeight="false" outlineLevel="0" collapsed="false">
      <c r="A7" s="11" t="s">
        <v>157</v>
      </c>
      <c r="B7" s="28" t="n">
        <v>-36</v>
      </c>
      <c r="C7" s="28" t="n">
        <v>-40</v>
      </c>
      <c r="D7" s="28" t="n">
        <v>-42</v>
      </c>
      <c r="E7" s="34" t="n">
        <f aca="false">-Assumptions!$C$36</f>
        <v>-45</v>
      </c>
      <c r="F7" s="34" t="n">
        <f aca="false">-Assumptions!$D$36</f>
        <v>-48</v>
      </c>
      <c r="G7" s="34" t="n">
        <f aca="false">-Assumptions!$E$36</f>
        <v>-51</v>
      </c>
      <c r="H7" s="34" t="n">
        <f aca="false">-Assumptions!$F$36</f>
        <v>-54</v>
      </c>
      <c r="I7" s="34" t="n">
        <f aca="false">-Assumptions!$G$36</f>
        <v>-57</v>
      </c>
    </row>
    <row r="8" customFormat="false" ht="15" hidden="false" customHeight="false" outlineLevel="0" collapsed="false">
      <c r="A8" s="43" t="s">
        <v>158</v>
      </c>
      <c r="B8" s="48" t="n">
        <v>52</v>
      </c>
      <c r="C8" s="48" t="n">
        <v>140</v>
      </c>
      <c r="D8" s="48" t="n">
        <v>78</v>
      </c>
      <c r="E8" s="32" t="n">
        <f aca="false">E6+E7</f>
        <v>114.3</v>
      </c>
      <c r="F8" s="32" t="n">
        <f aca="false">F6+F7</f>
        <v>130.2</v>
      </c>
      <c r="G8" s="32" t="n">
        <f aca="false">G6+G7</f>
        <v>147.45</v>
      </c>
      <c r="H8" s="32" t="n">
        <f aca="false">H6+H7</f>
        <v>166.05</v>
      </c>
      <c r="I8" s="32" t="n">
        <f aca="false">I6+I7</f>
        <v>186</v>
      </c>
    </row>
    <row r="9" customFormat="false" ht="15" hidden="false" customHeight="false" outlineLevel="0" collapsed="false">
      <c r="A9" s="11" t="s">
        <v>181</v>
      </c>
      <c r="B9" s="28" t="n">
        <v>-8</v>
      </c>
      <c r="C9" s="28" t="n">
        <v>-18</v>
      </c>
      <c r="D9" s="28" t="n">
        <v>-55</v>
      </c>
      <c r="E9" s="34" t="n">
        <f aca="false">-Assumptions!$C$39</f>
        <v>-48</v>
      </c>
      <c r="F9" s="34" t="n">
        <f aca="false">-Assumptions!$D$39</f>
        <v>-44</v>
      </c>
      <c r="G9" s="34" t="n">
        <f aca="false">-Assumptions!$E$39</f>
        <v>-40</v>
      </c>
      <c r="H9" s="34" t="n">
        <f aca="false">-Assumptions!$F$39</f>
        <v>-36</v>
      </c>
      <c r="I9" s="34" t="n">
        <f aca="false">-Assumptions!$G$39</f>
        <v>-33</v>
      </c>
    </row>
    <row r="10" customFormat="false" ht="15" hidden="false" customHeight="false" outlineLevel="0" collapsed="false">
      <c r="A10" s="11" t="s">
        <v>182</v>
      </c>
      <c r="B10" s="28" t="n">
        <v>12</v>
      </c>
      <c r="C10" s="28" t="n">
        <v>45</v>
      </c>
      <c r="D10" s="28" t="n">
        <v>-5</v>
      </c>
      <c r="E10" s="36" t="n">
        <f aca="false">0</f>
        <v>0</v>
      </c>
      <c r="F10" s="36" t="n">
        <f aca="false">0</f>
        <v>0</v>
      </c>
      <c r="G10" s="36" t="n">
        <f aca="false">0</f>
        <v>0</v>
      </c>
      <c r="H10" s="36" t="n">
        <f aca="false">0</f>
        <v>0</v>
      </c>
      <c r="I10" s="36" t="n">
        <f aca="false">0</f>
        <v>0</v>
      </c>
    </row>
    <row r="11" customFormat="false" ht="15" hidden="false" customHeight="false" outlineLevel="0" collapsed="false">
      <c r="A11" s="43" t="s">
        <v>183</v>
      </c>
      <c r="B11" s="48" t="n">
        <v>56</v>
      </c>
      <c r="C11" s="48" t="n">
        <v>167</v>
      </c>
      <c r="D11" s="48" t="n">
        <v>18</v>
      </c>
      <c r="E11" s="32" t="n">
        <f aca="false">E8+E9+E10</f>
        <v>66.3</v>
      </c>
      <c r="F11" s="32" t="n">
        <f aca="false">F8+F9+F10</f>
        <v>86.2</v>
      </c>
      <c r="G11" s="32" t="n">
        <f aca="false">G8+G9+G10</f>
        <v>107.45</v>
      </c>
      <c r="H11" s="32" t="n">
        <f aca="false">H8+H9+H10</f>
        <v>130.05</v>
      </c>
      <c r="I11" s="32" t="n">
        <f aca="false">I8+I9+I10</f>
        <v>153</v>
      </c>
    </row>
    <row r="12" customFormat="false" ht="15" hidden="false" customHeight="false" outlineLevel="0" collapsed="false">
      <c r="A12" s="11" t="s">
        <v>184</v>
      </c>
      <c r="B12" s="28" t="n">
        <v>-4</v>
      </c>
      <c r="C12" s="28" t="n">
        <v>-38</v>
      </c>
      <c r="D12" s="28" t="n">
        <v>-2</v>
      </c>
      <c r="E12" s="34" t="n">
        <f aca="false">-E11*Assumptions!$B$28</f>
        <v>-14.9175</v>
      </c>
      <c r="F12" s="34" t="n">
        <f aca="false">-F11*Assumptions!$B$28</f>
        <v>-19.395</v>
      </c>
      <c r="G12" s="34" t="n">
        <f aca="false">-G11*Assumptions!$B$28</f>
        <v>-24.17625</v>
      </c>
      <c r="H12" s="34" t="n">
        <f aca="false">-H11*Assumptions!$B$28</f>
        <v>-29.26125</v>
      </c>
      <c r="I12" s="34" t="n">
        <f aca="false">-I11*Assumptions!$B$28</f>
        <v>-34.425</v>
      </c>
    </row>
    <row r="13" customFormat="false" ht="15" hidden="false" customHeight="false" outlineLevel="0" collapsed="false">
      <c r="A13" s="44" t="s">
        <v>185</v>
      </c>
      <c r="B13" s="49" t="n">
        <v>52</v>
      </c>
      <c r="C13" s="49" t="n">
        <v>129</v>
      </c>
      <c r="D13" s="49" t="n">
        <v>16</v>
      </c>
      <c r="E13" s="35" t="n">
        <f aca="false">E11+E12</f>
        <v>51.3825</v>
      </c>
      <c r="F13" s="35" t="n">
        <f aca="false">F11+F12</f>
        <v>66.805</v>
      </c>
      <c r="G13" s="35" t="n">
        <f aca="false">G11+G12</f>
        <v>83.27375</v>
      </c>
      <c r="H13" s="35" t="n">
        <f aca="false">H11+H12</f>
        <v>100.78875</v>
      </c>
      <c r="I13" s="35" t="n">
        <f aca="false">I11+I12</f>
        <v>118.575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9" min="2" style="0" width="11"/>
  </cols>
  <sheetData>
    <row r="1" customFormat="false" ht="15" hidden="false" customHeight="false" outlineLevel="0" collapsed="false">
      <c r="A1" s="46" t="s">
        <v>186</v>
      </c>
    </row>
    <row r="2" customFormat="false" ht="15" hidden="false" customHeight="false" outlineLevel="0" collapsed="false">
      <c r="A2" s="47" t="s">
        <v>187</v>
      </c>
    </row>
    <row r="3" customFormat="false" ht="15" hidden="false" customHeight="false" outlineLevel="0" collapsed="false">
      <c r="A3" s="5" t="s">
        <v>176</v>
      </c>
      <c r="B3" s="6" t="s">
        <v>177</v>
      </c>
      <c r="C3" s="6" t="s">
        <v>178</v>
      </c>
      <c r="D3" s="6" t="s">
        <v>188</v>
      </c>
      <c r="E3" s="6" t="s">
        <v>95</v>
      </c>
      <c r="F3" s="6" t="s">
        <v>96</v>
      </c>
      <c r="G3" s="6" t="s">
        <v>97</v>
      </c>
      <c r="H3" s="6" t="s">
        <v>98</v>
      </c>
      <c r="I3" s="6" t="s">
        <v>99</v>
      </c>
    </row>
    <row r="4" customFormat="false" ht="15" hidden="false" customHeight="false" outlineLevel="0" collapsed="false">
      <c r="A4" s="11" t="s">
        <v>189</v>
      </c>
      <c r="B4" s="28" t="n">
        <v>600</v>
      </c>
      <c r="C4" s="28" t="n">
        <v>720</v>
      </c>
      <c r="D4" s="28" t="n">
        <v>780</v>
      </c>
      <c r="E4" s="36" t="n">
        <f aca="false">D4+Assumptions!$C$37-Assumptions!$C$36</f>
        <v>790</v>
      </c>
      <c r="F4" s="36" t="n">
        <f aca="false">E4+Assumptions!$D$37-Assumptions!$D$36</f>
        <v>800</v>
      </c>
      <c r="G4" s="36" t="n">
        <f aca="false">F4+Assumptions!$E$37-Assumptions!$E$36</f>
        <v>810</v>
      </c>
      <c r="H4" s="36" t="n">
        <f aca="false">G4+Assumptions!$F$37-Assumptions!$F$36</f>
        <v>820</v>
      </c>
      <c r="I4" s="36" t="n">
        <f aca="false">H4+Assumptions!$G$37-Assumptions!$G$36</f>
        <v>830</v>
      </c>
    </row>
    <row r="5" customFormat="false" ht="15" hidden="false" customHeight="false" outlineLevel="0" collapsed="false">
      <c r="A5" s="11" t="s">
        <v>190</v>
      </c>
      <c r="B5" s="28" t="n">
        <v>350</v>
      </c>
      <c r="C5" s="28" t="n">
        <v>480</v>
      </c>
      <c r="D5" s="28" t="n">
        <v>500</v>
      </c>
      <c r="E5" s="28" t="n">
        <v>540</v>
      </c>
      <c r="F5" s="28" t="n">
        <v>585</v>
      </c>
      <c r="G5" s="28" t="n">
        <v>630</v>
      </c>
      <c r="H5" s="28" t="n">
        <v>680</v>
      </c>
      <c r="I5" s="28" t="n">
        <v>730</v>
      </c>
    </row>
    <row r="6" customFormat="false" ht="15" hidden="false" customHeight="false" outlineLevel="0" collapsed="false">
      <c r="A6" s="11" t="s">
        <v>191</v>
      </c>
      <c r="B6" s="28" t="n">
        <v>250</v>
      </c>
      <c r="C6" s="28" t="n">
        <v>340</v>
      </c>
      <c r="D6" s="28" t="n">
        <v>360</v>
      </c>
      <c r="E6" s="28" t="n">
        <v>390</v>
      </c>
      <c r="F6" s="28" t="n">
        <v>425</v>
      </c>
      <c r="G6" s="28" t="n">
        <v>460</v>
      </c>
      <c r="H6" s="28" t="n">
        <v>500</v>
      </c>
      <c r="I6" s="28" t="n">
        <v>540</v>
      </c>
    </row>
    <row r="7" customFormat="false" ht="15" hidden="false" customHeight="false" outlineLevel="0" collapsed="false">
      <c r="A7" s="11" t="s">
        <v>192</v>
      </c>
      <c r="B7" s="28" t="n">
        <v>90</v>
      </c>
      <c r="C7" s="28" t="n">
        <v>140</v>
      </c>
      <c r="D7" s="28" t="n">
        <v>150</v>
      </c>
      <c r="E7" s="34" t="n">
        <f aca="false">'Cash Flow'!E12</f>
        <v>137.3825</v>
      </c>
      <c r="F7" s="34" t="n">
        <f aca="false">'Cash Flow'!F12</f>
        <v>144.1875</v>
      </c>
      <c r="G7" s="34" t="n">
        <f aca="false">'Cash Flow'!G12</f>
        <v>165.46125</v>
      </c>
      <c r="H7" s="34" t="n">
        <f aca="false">'Cash Flow'!H12</f>
        <v>202.25</v>
      </c>
      <c r="I7" s="34" t="n">
        <f aca="false">'Cash Flow'!I12</f>
        <v>254.825</v>
      </c>
    </row>
    <row r="8" customFormat="false" ht="15" hidden="false" customHeight="false" outlineLevel="0" collapsed="false">
      <c r="A8" s="11" t="s">
        <v>193</v>
      </c>
      <c r="B8" s="28" t="n">
        <v>60</v>
      </c>
      <c r="C8" s="28" t="n">
        <v>80</v>
      </c>
      <c r="D8" s="28" t="n">
        <v>44</v>
      </c>
      <c r="E8" s="28" t="n">
        <v>45</v>
      </c>
      <c r="F8" s="28" t="n">
        <v>46</v>
      </c>
      <c r="G8" s="28" t="n">
        <v>47</v>
      </c>
      <c r="H8" s="28" t="n">
        <v>48</v>
      </c>
      <c r="I8" s="28" t="n">
        <v>49</v>
      </c>
    </row>
    <row r="9" customFormat="false" ht="15" hidden="false" customHeight="false" outlineLevel="0" collapsed="false">
      <c r="A9" s="44" t="s">
        <v>194</v>
      </c>
      <c r="B9" s="35" t="n">
        <f aca="false">SUM(B4:B8)</f>
        <v>1350</v>
      </c>
      <c r="C9" s="35" t="n">
        <f aca="false">SUM(C4:C8)</f>
        <v>1760</v>
      </c>
      <c r="D9" s="35" t="n">
        <f aca="false">SUM(D4:D8)</f>
        <v>1834</v>
      </c>
      <c r="E9" s="35" t="n">
        <f aca="false">SUM(E4:E8)</f>
        <v>1902.3825</v>
      </c>
      <c r="F9" s="35" t="n">
        <f aca="false">SUM(F4:F8)</f>
        <v>2000.1875</v>
      </c>
      <c r="G9" s="35" t="n">
        <f aca="false">SUM(G4:G8)</f>
        <v>2112.46125</v>
      </c>
      <c r="H9" s="35" t="n">
        <f aca="false">SUM(H4:H8)</f>
        <v>2250.25</v>
      </c>
      <c r="I9" s="35" t="n">
        <f aca="false">SUM(I4:I8)</f>
        <v>2403.825</v>
      </c>
    </row>
    <row r="10" customFormat="false" ht="15" hidden="false" customHeight="false" outlineLevel="0" collapsed="false">
      <c r="A10" s="11" t="s">
        <v>195</v>
      </c>
      <c r="B10" s="28" t="n">
        <v>380</v>
      </c>
      <c r="C10" s="28" t="n">
        <v>520</v>
      </c>
      <c r="D10" s="28" t="n">
        <v>559</v>
      </c>
      <c r="E10" s="28" t="n">
        <v>540</v>
      </c>
      <c r="F10" s="28" t="n">
        <v>520</v>
      </c>
      <c r="G10" s="28" t="n">
        <v>500</v>
      </c>
      <c r="H10" s="28" t="n">
        <v>480</v>
      </c>
      <c r="I10" s="28" t="n">
        <v>460</v>
      </c>
    </row>
    <row r="11" customFormat="false" ht="15" hidden="false" customHeight="false" outlineLevel="0" collapsed="false">
      <c r="A11" s="43" t="s">
        <v>196</v>
      </c>
      <c r="B11" s="48" t="n">
        <v>850</v>
      </c>
      <c r="C11" s="48" t="n">
        <v>1090</v>
      </c>
      <c r="D11" s="48" t="n">
        <v>1152</v>
      </c>
      <c r="E11" s="32" t="n">
        <f aca="false">D11+'Income Statement'!E13</f>
        <v>1203.3825</v>
      </c>
      <c r="F11" s="32" t="n">
        <f aca="false">E11+'Income Statement'!F13</f>
        <v>1270.1875</v>
      </c>
      <c r="G11" s="32" t="n">
        <f aca="false">F11+'Income Statement'!G13</f>
        <v>1353.46125</v>
      </c>
      <c r="H11" s="32" t="n">
        <f aca="false">G11+'Income Statement'!H13</f>
        <v>1454.25</v>
      </c>
      <c r="I11" s="32" t="n">
        <f aca="false">H11+'Income Statement'!I13</f>
        <v>1572.825</v>
      </c>
    </row>
    <row r="12" customFormat="false" ht="15" hidden="false" customHeight="false" outlineLevel="0" collapsed="false">
      <c r="A12" s="11" t="s">
        <v>197</v>
      </c>
      <c r="B12" s="36" t="n">
        <f aca="false">B9-B10-B11</f>
        <v>120</v>
      </c>
      <c r="C12" s="36" t="n">
        <f aca="false">C9-C10-C11</f>
        <v>150</v>
      </c>
      <c r="D12" s="36" t="n">
        <f aca="false">D9-D10-D11</f>
        <v>123</v>
      </c>
      <c r="E12" s="36" t="n">
        <f aca="false">E9-E10-E11</f>
        <v>159</v>
      </c>
      <c r="F12" s="36" t="n">
        <f aca="false">F9-F10-F11</f>
        <v>210</v>
      </c>
      <c r="G12" s="36" t="n">
        <f aca="false">G9-G10-G11</f>
        <v>259</v>
      </c>
      <c r="H12" s="36" t="n">
        <f aca="false">H9-H10-H11</f>
        <v>316</v>
      </c>
      <c r="I12" s="36" t="n">
        <f aca="false">I9-I10-I11</f>
        <v>371</v>
      </c>
    </row>
    <row r="13" customFormat="false" ht="15" hidden="false" customHeight="false" outlineLevel="0" collapsed="false">
      <c r="A13" s="44" t="s">
        <v>198</v>
      </c>
      <c r="B13" s="35" t="n">
        <f aca="false">B10+B12</f>
        <v>500</v>
      </c>
      <c r="C13" s="35" t="n">
        <f aca="false">C10+C12</f>
        <v>670</v>
      </c>
      <c r="D13" s="35" t="n">
        <f aca="false">D10+D12</f>
        <v>682</v>
      </c>
      <c r="E13" s="35" t="n">
        <f aca="false">E10+E12</f>
        <v>699</v>
      </c>
      <c r="F13" s="35" t="n">
        <f aca="false">F10+F12</f>
        <v>730</v>
      </c>
      <c r="G13" s="35" t="n">
        <f aca="false">G10+G12</f>
        <v>759</v>
      </c>
      <c r="H13" s="35" t="n">
        <f aca="false">H10+H12</f>
        <v>796</v>
      </c>
      <c r="I13" s="35" t="n">
        <f aca="false">I10+I12</f>
        <v>831</v>
      </c>
    </row>
    <row r="14" customFormat="false" ht="15" hidden="false" customHeight="false" outlineLevel="0" collapsed="false">
      <c r="A14" s="50" t="s">
        <v>199</v>
      </c>
      <c r="B14" s="51" t="n">
        <f aca="false">B9-B13-B11</f>
        <v>0</v>
      </c>
      <c r="C14" s="51" t="n">
        <f aca="false">C9-C13-C11</f>
        <v>0</v>
      </c>
      <c r="D14" s="51" t="n">
        <f aca="false">D9-D13-D11</f>
        <v>0</v>
      </c>
      <c r="E14" s="51" t="n">
        <f aca="false">E9-E13-E11</f>
        <v>0</v>
      </c>
      <c r="F14" s="51" t="n">
        <f aca="false">F9-F13-F11</f>
        <v>0</v>
      </c>
      <c r="G14" s="51" t="n">
        <f aca="false">G9-G13-G11</f>
        <v>0</v>
      </c>
      <c r="H14" s="51" t="n">
        <f aca="false">H9-H13-H11</f>
        <v>0</v>
      </c>
      <c r="I14" s="51" t="n">
        <f aca="false">I9-I13-I11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9" min="2" style="0" width="11"/>
  </cols>
  <sheetData>
    <row r="1" customFormat="false" ht="15" hidden="false" customHeight="false" outlineLevel="0" collapsed="false">
      <c r="A1" s="46" t="s">
        <v>200</v>
      </c>
    </row>
    <row r="3" customFormat="false" ht="15" hidden="false" customHeight="false" outlineLevel="0" collapsed="false">
      <c r="A3" s="5" t="s">
        <v>176</v>
      </c>
      <c r="B3" s="6" t="s">
        <v>177</v>
      </c>
      <c r="C3" s="6" t="s">
        <v>178</v>
      </c>
      <c r="D3" s="6" t="s">
        <v>188</v>
      </c>
      <c r="E3" s="6" t="s">
        <v>95</v>
      </c>
      <c r="F3" s="6" t="s">
        <v>96</v>
      </c>
      <c r="G3" s="6" t="s">
        <v>97</v>
      </c>
      <c r="H3" s="6" t="s">
        <v>98</v>
      </c>
      <c r="I3" s="6" t="s">
        <v>99</v>
      </c>
    </row>
    <row r="4" customFormat="false" ht="15" hidden="false" customHeight="false" outlineLevel="0" collapsed="false">
      <c r="A4" s="11" t="s">
        <v>201</v>
      </c>
      <c r="B4" s="28" t="n">
        <v>52</v>
      </c>
      <c r="C4" s="28" t="n">
        <v>129</v>
      </c>
      <c r="D4" s="28" t="n">
        <v>16</v>
      </c>
      <c r="E4" s="34" t="n">
        <f aca="false">'Income Statement'!E13</f>
        <v>51.3825</v>
      </c>
      <c r="F4" s="34" t="n">
        <f aca="false">'Income Statement'!F13</f>
        <v>66.805</v>
      </c>
      <c r="G4" s="34" t="n">
        <f aca="false">'Income Statement'!G13</f>
        <v>83.27375</v>
      </c>
      <c r="H4" s="34" t="n">
        <f aca="false">'Income Statement'!H13</f>
        <v>100.78875</v>
      </c>
      <c r="I4" s="34" t="n">
        <f aca="false">'Income Statement'!I13</f>
        <v>118.575</v>
      </c>
    </row>
    <row r="5" customFormat="false" ht="15" hidden="false" customHeight="false" outlineLevel="0" collapsed="false">
      <c r="A5" s="11" t="s">
        <v>160</v>
      </c>
      <c r="B5" s="28" t="n">
        <v>36</v>
      </c>
      <c r="C5" s="28" t="n">
        <v>40</v>
      </c>
      <c r="D5" s="28" t="n">
        <v>42</v>
      </c>
      <c r="E5" s="34" t="n">
        <f aca="false">Assumptions!$C$36</f>
        <v>45</v>
      </c>
      <c r="F5" s="34" t="n">
        <f aca="false">Assumptions!$D$36</f>
        <v>48</v>
      </c>
      <c r="G5" s="34" t="n">
        <f aca="false">Assumptions!$E$36</f>
        <v>51</v>
      </c>
      <c r="H5" s="34" t="n">
        <f aca="false">Assumptions!$F$36</f>
        <v>54</v>
      </c>
      <c r="I5" s="34" t="n">
        <f aca="false">Assumptions!$G$36</f>
        <v>57</v>
      </c>
    </row>
    <row r="6" customFormat="false" ht="15" hidden="false" customHeight="false" outlineLevel="0" collapsed="false">
      <c r="A6" s="11" t="s">
        <v>162</v>
      </c>
      <c r="B6" s="28" t="n">
        <v>-40</v>
      </c>
      <c r="C6" s="28" t="n">
        <v>-90</v>
      </c>
      <c r="D6" s="28" t="n">
        <v>-35</v>
      </c>
      <c r="E6" s="34" t="n">
        <f aca="false">-Assumptions!$C$38</f>
        <v>-35</v>
      </c>
      <c r="F6" s="34" t="n">
        <f aca="false">-Assumptions!$D$38</f>
        <v>-30</v>
      </c>
      <c r="G6" s="34" t="n">
        <f aca="false">-Assumptions!$E$38</f>
        <v>-32</v>
      </c>
      <c r="H6" s="34" t="n">
        <f aca="false">-Assumptions!$F$38</f>
        <v>-34</v>
      </c>
      <c r="I6" s="34" t="n">
        <f aca="false">-Assumptions!$G$38</f>
        <v>-36</v>
      </c>
    </row>
    <row r="7" customFormat="false" ht="15" hidden="false" customHeight="false" outlineLevel="0" collapsed="false">
      <c r="A7" s="44" t="s">
        <v>202</v>
      </c>
      <c r="B7" s="35" t="n">
        <f aca="false">B4+B5+B6</f>
        <v>48</v>
      </c>
      <c r="C7" s="35" t="n">
        <f aca="false">C4+C5+C6</f>
        <v>79</v>
      </c>
      <c r="D7" s="35" t="n">
        <f aca="false">D4+D5+D6</f>
        <v>23</v>
      </c>
      <c r="E7" s="35" t="n">
        <f aca="false">E4+E5+E6</f>
        <v>61.3825</v>
      </c>
      <c r="F7" s="35" t="n">
        <f aca="false">F4+F5+F6</f>
        <v>84.805</v>
      </c>
      <c r="G7" s="35" t="n">
        <f aca="false">G4+G5+G6</f>
        <v>102.27375</v>
      </c>
      <c r="H7" s="35" t="n">
        <f aca="false">H4+H5+H6</f>
        <v>120.78875</v>
      </c>
      <c r="I7" s="35" t="n">
        <f aca="false">I4+I5+I6</f>
        <v>139.575</v>
      </c>
    </row>
    <row r="8" customFormat="false" ht="15" hidden="false" customHeight="false" outlineLevel="0" collapsed="false">
      <c r="A8" s="11" t="s">
        <v>161</v>
      </c>
      <c r="B8" s="28" t="n">
        <v>-45</v>
      </c>
      <c r="C8" s="28" t="n">
        <v>-60</v>
      </c>
      <c r="D8" s="28" t="n">
        <v>-55</v>
      </c>
      <c r="E8" s="34" t="n">
        <f aca="false">-Assumptions!$C$37</f>
        <v>-55</v>
      </c>
      <c r="F8" s="34" t="n">
        <f aca="false">-Assumptions!$D$37</f>
        <v>-58</v>
      </c>
      <c r="G8" s="34" t="n">
        <f aca="false">-Assumptions!$E$37</f>
        <v>-61</v>
      </c>
      <c r="H8" s="34" t="n">
        <f aca="false">-Assumptions!$F$37</f>
        <v>-64</v>
      </c>
      <c r="I8" s="34" t="n">
        <f aca="false">-Assumptions!$G$37</f>
        <v>-67</v>
      </c>
    </row>
    <row r="9" customFormat="false" ht="15" hidden="false" customHeight="false" outlineLevel="0" collapsed="false">
      <c r="A9" s="43" t="s">
        <v>203</v>
      </c>
      <c r="B9" s="32" t="n">
        <f aca="false">B7+B8</f>
        <v>3</v>
      </c>
      <c r="C9" s="32" t="n">
        <f aca="false">C7+C8</f>
        <v>19</v>
      </c>
      <c r="D9" s="32" t="n">
        <f aca="false">D7+D8</f>
        <v>-32</v>
      </c>
      <c r="E9" s="32" t="n">
        <f aca="false">E7+E8</f>
        <v>6.38250000000001</v>
      </c>
      <c r="F9" s="32" t="n">
        <f aca="false">F7+F8</f>
        <v>26.805</v>
      </c>
      <c r="G9" s="32" t="n">
        <f aca="false">G7+G8</f>
        <v>41.27375</v>
      </c>
      <c r="H9" s="32" t="n">
        <f aca="false">H7+H8</f>
        <v>56.78875</v>
      </c>
      <c r="I9" s="32" t="n">
        <f aca="false">I7+I8</f>
        <v>72.575</v>
      </c>
    </row>
    <row r="10" customFormat="false" ht="15" hidden="false" customHeight="false" outlineLevel="0" collapsed="false">
      <c r="A10" s="11" t="s">
        <v>204</v>
      </c>
      <c r="B10" s="28" t="n">
        <v>10</v>
      </c>
      <c r="C10" s="28" t="n">
        <v>31</v>
      </c>
      <c r="D10" s="28" t="n">
        <v>41</v>
      </c>
      <c r="E10" s="34" t="n">
        <f aca="false">'Balance Sheet'!E10-'Balance Sheet'!D10</f>
        <v>-19</v>
      </c>
      <c r="F10" s="34" t="n">
        <f aca="false">'Balance Sheet'!F10-'Balance Sheet'!E10</f>
        <v>-20</v>
      </c>
      <c r="G10" s="34" t="n">
        <f aca="false">'Balance Sheet'!G10-'Balance Sheet'!F10</f>
        <v>-20</v>
      </c>
      <c r="H10" s="34" t="n">
        <f aca="false">'Balance Sheet'!H10-'Balance Sheet'!G10</f>
        <v>-20</v>
      </c>
      <c r="I10" s="34" t="n">
        <f aca="false">'Balance Sheet'!I10-'Balance Sheet'!H10</f>
        <v>-20</v>
      </c>
    </row>
    <row r="11" customFormat="false" ht="15" hidden="false" customHeight="false" outlineLevel="0" collapsed="false">
      <c r="A11" s="43" t="s">
        <v>205</v>
      </c>
      <c r="B11" s="32" t="n">
        <f aca="false">B9+B10</f>
        <v>13</v>
      </c>
      <c r="C11" s="32" t="n">
        <f aca="false">C9+C10</f>
        <v>50</v>
      </c>
      <c r="D11" s="32" t="n">
        <f aca="false">D9+D10</f>
        <v>9</v>
      </c>
      <c r="E11" s="32" t="n">
        <f aca="false">E9+E10</f>
        <v>-12.6175</v>
      </c>
      <c r="F11" s="32" t="n">
        <f aca="false">F9+F10</f>
        <v>6.80500000000001</v>
      </c>
      <c r="G11" s="32" t="n">
        <f aca="false">G9+G10</f>
        <v>21.27375</v>
      </c>
      <c r="H11" s="32" t="n">
        <f aca="false">H9+H10</f>
        <v>36.78875</v>
      </c>
      <c r="I11" s="32" t="n">
        <f aca="false">I9+I10</f>
        <v>52.575</v>
      </c>
    </row>
    <row r="12" customFormat="false" ht="15" hidden="false" customHeight="false" outlineLevel="0" collapsed="false">
      <c r="A12" s="44" t="s">
        <v>206</v>
      </c>
      <c r="B12" s="52" t="n">
        <v>90</v>
      </c>
      <c r="C12" s="52" t="n">
        <v>140</v>
      </c>
      <c r="D12" s="52" t="n">
        <v>150</v>
      </c>
      <c r="E12" s="35" t="n">
        <f aca="false">D12+E11</f>
        <v>137.3825</v>
      </c>
      <c r="F12" s="35" t="n">
        <f aca="false">E12+F11</f>
        <v>144.1875</v>
      </c>
      <c r="G12" s="35" t="n">
        <f aca="false">F12+G11</f>
        <v>165.46125</v>
      </c>
      <c r="H12" s="35" t="n">
        <f aca="false">G12+H11</f>
        <v>202.25</v>
      </c>
      <c r="I12" s="35" t="n">
        <f aca="false">H12+I11</f>
        <v>254.825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1"/>
  </cols>
  <sheetData>
    <row r="1" customFormat="false" ht="15" hidden="false" customHeight="false" outlineLevel="0" collapsed="false">
      <c r="A1" s="46" t="s">
        <v>207</v>
      </c>
    </row>
    <row r="3" customFormat="false" ht="15" hidden="false" customHeight="false" outlineLevel="0" collapsed="false">
      <c r="A3" s="5" t="s">
        <v>176</v>
      </c>
      <c r="B3" s="6" t="s">
        <v>177</v>
      </c>
      <c r="C3" s="6" t="s">
        <v>178</v>
      </c>
      <c r="D3" s="6" t="s">
        <v>188</v>
      </c>
      <c r="E3" s="6" t="s">
        <v>95</v>
      </c>
      <c r="F3" s="6" t="s">
        <v>96</v>
      </c>
      <c r="G3" s="6" t="s">
        <v>97</v>
      </c>
      <c r="H3" s="6" t="s">
        <v>98</v>
      </c>
      <c r="I3" s="6" t="s">
        <v>99</v>
      </c>
    </row>
    <row r="4" customFormat="false" ht="15" hidden="false" customHeight="false" outlineLevel="0" collapsed="false">
      <c r="A4" s="11" t="s">
        <v>100</v>
      </c>
      <c r="B4" s="34" t="n">
        <f aca="false">'Income Statement'!B4</f>
        <v>593</v>
      </c>
      <c r="C4" s="34" t="n">
        <f aca="false">'Income Statement'!C4</f>
        <v>1020</v>
      </c>
      <c r="D4" s="34" t="n">
        <f aca="false">'Income Statement'!D4</f>
        <v>1050</v>
      </c>
      <c r="E4" s="34" t="n">
        <f aca="false">'Income Statement'!E4</f>
        <v>1180</v>
      </c>
      <c r="F4" s="34" t="n">
        <f aca="false">'Income Statement'!F4</f>
        <v>1320</v>
      </c>
      <c r="G4" s="34" t="n">
        <f aca="false">'Income Statement'!G4</f>
        <v>1470</v>
      </c>
      <c r="H4" s="34" t="n">
        <f aca="false">'Income Statement'!H4</f>
        <v>1630</v>
      </c>
      <c r="I4" s="34" t="n">
        <f aca="false">'Income Statement'!I4</f>
        <v>1800</v>
      </c>
    </row>
    <row r="5" customFormat="false" ht="15" hidden="false" customHeight="false" outlineLevel="0" collapsed="false">
      <c r="A5" s="11" t="s">
        <v>156</v>
      </c>
      <c r="B5" s="34" t="n">
        <f aca="false">'Income Statement'!B6</f>
        <v>88</v>
      </c>
      <c r="C5" s="34" t="n">
        <f aca="false">'Income Statement'!C6</f>
        <v>180</v>
      </c>
      <c r="D5" s="34" t="n">
        <f aca="false">'Income Statement'!D6</f>
        <v>120</v>
      </c>
      <c r="E5" s="34" t="n">
        <f aca="false">'Income Statement'!E6</f>
        <v>159.3</v>
      </c>
      <c r="F5" s="34" t="n">
        <f aca="false">'Income Statement'!F6</f>
        <v>178.2</v>
      </c>
      <c r="G5" s="34" t="n">
        <f aca="false">'Income Statement'!G6</f>
        <v>198.45</v>
      </c>
      <c r="H5" s="34" t="n">
        <f aca="false">'Income Statement'!H6</f>
        <v>220.05</v>
      </c>
      <c r="I5" s="34" t="n">
        <f aca="false">'Income Statement'!I6</f>
        <v>243</v>
      </c>
    </row>
    <row r="6" customFormat="false" ht="15" hidden="false" customHeight="false" outlineLevel="0" collapsed="false">
      <c r="A6" s="11" t="s">
        <v>158</v>
      </c>
      <c r="B6" s="34" t="n">
        <f aca="false">'Income Statement'!B8</f>
        <v>52</v>
      </c>
      <c r="C6" s="34" t="n">
        <f aca="false">'Income Statement'!C8</f>
        <v>140</v>
      </c>
      <c r="D6" s="34" t="n">
        <f aca="false">'Income Statement'!D8</f>
        <v>78</v>
      </c>
      <c r="E6" s="34" t="n">
        <f aca="false">'Income Statement'!E8</f>
        <v>114.3</v>
      </c>
      <c r="F6" s="34" t="n">
        <f aca="false">'Income Statement'!F8</f>
        <v>130.2</v>
      </c>
      <c r="G6" s="34" t="n">
        <f aca="false">'Income Statement'!G8</f>
        <v>147.45</v>
      </c>
      <c r="H6" s="34" t="n">
        <f aca="false">'Income Statement'!H8</f>
        <v>166.05</v>
      </c>
      <c r="I6" s="34" t="n">
        <f aca="false">'Income Statement'!I8</f>
        <v>186</v>
      </c>
    </row>
    <row r="7" customFormat="false" ht="15" hidden="false" customHeight="false" outlineLevel="0" collapsed="false">
      <c r="A7" s="11" t="s">
        <v>201</v>
      </c>
      <c r="B7" s="34" t="n">
        <f aca="false">'Income Statement'!B13</f>
        <v>52</v>
      </c>
      <c r="C7" s="34" t="n">
        <f aca="false">'Income Statement'!C13</f>
        <v>129</v>
      </c>
      <c r="D7" s="34" t="n">
        <f aca="false">'Income Statement'!D13</f>
        <v>16</v>
      </c>
      <c r="E7" s="34" t="n">
        <f aca="false">'Income Statement'!E13</f>
        <v>51.3825</v>
      </c>
      <c r="F7" s="34" t="n">
        <f aca="false">'Income Statement'!F13</f>
        <v>66.805</v>
      </c>
      <c r="G7" s="34" t="n">
        <f aca="false">'Income Statement'!G13</f>
        <v>83.27375</v>
      </c>
      <c r="H7" s="34" t="n">
        <f aca="false">'Income Statement'!H13</f>
        <v>100.78875</v>
      </c>
      <c r="I7" s="34" t="n">
        <f aca="false">'Income Statement'!I13</f>
        <v>118.575</v>
      </c>
    </row>
    <row r="8" customFormat="false" ht="15" hidden="false" customHeight="false" outlineLevel="0" collapsed="false">
      <c r="A8" s="11" t="s">
        <v>194</v>
      </c>
      <c r="B8" s="34" t="n">
        <f aca="false">'Balance Sheet'!B9</f>
        <v>1350</v>
      </c>
      <c r="C8" s="34" t="n">
        <f aca="false">'Balance Sheet'!C9</f>
        <v>1760</v>
      </c>
      <c r="D8" s="34" t="n">
        <f aca="false">'Balance Sheet'!D9</f>
        <v>1834</v>
      </c>
      <c r="E8" s="34" t="n">
        <f aca="false">'Balance Sheet'!E9</f>
        <v>1902.3825</v>
      </c>
      <c r="F8" s="34" t="n">
        <f aca="false">'Balance Sheet'!F9</f>
        <v>2000.1875</v>
      </c>
      <c r="G8" s="34" t="n">
        <f aca="false">'Balance Sheet'!G9</f>
        <v>2112.46125</v>
      </c>
      <c r="H8" s="34" t="n">
        <f aca="false">'Balance Sheet'!H9</f>
        <v>2250.25</v>
      </c>
      <c r="I8" s="34" t="n">
        <f aca="false">'Balance Sheet'!I9</f>
        <v>2403.825</v>
      </c>
    </row>
    <row r="9" customFormat="false" ht="15" hidden="false" customHeight="false" outlineLevel="0" collapsed="false">
      <c r="A9" s="11" t="s">
        <v>208</v>
      </c>
      <c r="B9" s="34" t="n">
        <f aca="false">'Balance Sheet'!B11</f>
        <v>850</v>
      </c>
      <c r="C9" s="34" t="n">
        <f aca="false">'Balance Sheet'!C11</f>
        <v>1090</v>
      </c>
      <c r="D9" s="34" t="n">
        <f aca="false">'Balance Sheet'!D11</f>
        <v>1152</v>
      </c>
      <c r="E9" s="34" t="n">
        <f aca="false">'Balance Sheet'!E11</f>
        <v>1203.3825</v>
      </c>
      <c r="F9" s="34" t="n">
        <f aca="false">'Balance Sheet'!F11</f>
        <v>1270.1875</v>
      </c>
      <c r="G9" s="34" t="n">
        <f aca="false">'Balance Sheet'!G11</f>
        <v>1353.46125</v>
      </c>
      <c r="H9" s="34" t="n">
        <f aca="false">'Balance Sheet'!H11</f>
        <v>1454.25</v>
      </c>
      <c r="I9" s="34" t="n">
        <f aca="false">'Balance Sheet'!I11</f>
        <v>1572.825</v>
      </c>
    </row>
    <row r="10" customFormat="false" ht="15" hidden="false" customHeight="false" outlineLevel="0" collapsed="false">
      <c r="A10" s="11" t="s">
        <v>209</v>
      </c>
      <c r="B10" s="34" t="n">
        <f aca="false">'Balance Sheet'!B10</f>
        <v>380</v>
      </c>
      <c r="C10" s="34" t="n">
        <f aca="false">'Balance Sheet'!C10</f>
        <v>520</v>
      </c>
      <c r="D10" s="34" t="n">
        <f aca="false">'Balance Sheet'!D10</f>
        <v>559</v>
      </c>
      <c r="E10" s="34" t="n">
        <f aca="false">'Balance Sheet'!E10</f>
        <v>540</v>
      </c>
      <c r="F10" s="34" t="n">
        <f aca="false">'Balance Sheet'!F10</f>
        <v>520</v>
      </c>
      <c r="G10" s="34" t="n">
        <f aca="false">'Balance Sheet'!G10</f>
        <v>500</v>
      </c>
      <c r="H10" s="34" t="n">
        <f aca="false">'Balance Sheet'!H10</f>
        <v>480</v>
      </c>
      <c r="I10" s="34" t="n">
        <f aca="false">'Balance Sheet'!I10</f>
        <v>460</v>
      </c>
    </row>
    <row r="11" customFormat="false" ht="15" hidden="false" customHeight="false" outlineLevel="0" collapsed="false">
      <c r="A11" s="11" t="s">
        <v>203</v>
      </c>
      <c r="B11" s="34" t="n">
        <f aca="false">'Cash Flow'!B9</f>
        <v>3</v>
      </c>
      <c r="C11" s="34" t="n">
        <f aca="false">'Cash Flow'!C9</f>
        <v>19</v>
      </c>
      <c r="D11" s="34" t="n">
        <f aca="false">'Cash Flow'!D9</f>
        <v>-32</v>
      </c>
      <c r="E11" s="34" t="n">
        <f aca="false">'Cash Flow'!E9</f>
        <v>6.38250000000001</v>
      </c>
      <c r="F11" s="34" t="n">
        <f aca="false">'Cash Flow'!F9</f>
        <v>26.805</v>
      </c>
      <c r="G11" s="34" t="n">
        <f aca="false">'Cash Flow'!G9</f>
        <v>41.27375</v>
      </c>
      <c r="H11" s="34" t="n">
        <f aca="false">'Cash Flow'!H9</f>
        <v>56.78875</v>
      </c>
      <c r="I11" s="34" t="n">
        <f aca="false">'Cash Flow'!I9</f>
        <v>72.575</v>
      </c>
    </row>
    <row r="13" customFormat="false" ht="15" hidden="false" customHeight="false" outlineLevel="0" collapsed="false">
      <c r="A13" s="11" t="s">
        <v>210</v>
      </c>
      <c r="B13" s="10" t="n">
        <f aca="false">B5/B4</f>
        <v>0.148397976391231</v>
      </c>
      <c r="C13" s="10" t="n">
        <f aca="false">C5/C4</f>
        <v>0.176470588235294</v>
      </c>
      <c r="D13" s="10" t="n">
        <f aca="false">D5/D4</f>
        <v>0.114285714285714</v>
      </c>
      <c r="E13" s="10" t="n">
        <f aca="false">E5/E4</f>
        <v>0.135</v>
      </c>
      <c r="F13" s="10" t="n">
        <f aca="false">F5/F4</f>
        <v>0.135</v>
      </c>
      <c r="G13" s="10" t="n">
        <f aca="false">G5/G4</f>
        <v>0.135</v>
      </c>
      <c r="H13" s="10" t="n">
        <f aca="false">H5/H4</f>
        <v>0.135</v>
      </c>
      <c r="I13" s="10" t="n">
        <f aca="false">I5/I4</f>
        <v>0.135</v>
      </c>
    </row>
    <row r="14" customFormat="false" ht="15" hidden="false" customHeight="false" outlineLevel="0" collapsed="false">
      <c r="A14" s="11" t="s">
        <v>211</v>
      </c>
      <c r="B14" s="10" t="n">
        <f aca="false">B7/B4</f>
        <v>0.0876897133220911</v>
      </c>
      <c r="C14" s="10" t="n">
        <f aca="false">C7/C4</f>
        <v>0.126470588235294</v>
      </c>
      <c r="D14" s="10" t="n">
        <f aca="false">D7/D4</f>
        <v>0.0152380952380952</v>
      </c>
      <c r="E14" s="10" t="n">
        <f aca="false">E7/E4</f>
        <v>0.0435444915254237</v>
      </c>
      <c r="F14" s="10" t="n">
        <f aca="false">F7/F4</f>
        <v>0.0506098484848485</v>
      </c>
      <c r="G14" s="10" t="n">
        <f aca="false">G7/G4</f>
        <v>0.0566488095238095</v>
      </c>
      <c r="H14" s="10" t="n">
        <f aca="false">H7/H4</f>
        <v>0.0618335889570552</v>
      </c>
      <c r="I14" s="10" t="n">
        <f aca="false">I7/I4</f>
        <v>0.065875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6"/>
  </cols>
  <sheetData>
    <row r="1" customFormat="false" ht="15" hidden="false" customHeight="false" outlineLevel="0" collapsed="false">
      <c r="A1" s="53" t="s">
        <v>212</v>
      </c>
    </row>
    <row r="2" customFormat="false" ht="15" hidden="false" customHeight="false" outlineLevel="0" collapsed="false">
      <c r="A2" s="54" t="s">
        <v>213</v>
      </c>
    </row>
    <row r="3" customFormat="false" ht="15" hidden="false" customHeight="false" outlineLevel="0" collapsed="false">
      <c r="A3" s="54" t="s">
        <v>214</v>
      </c>
    </row>
    <row r="5" customFormat="false" ht="15" hidden="false" customHeight="false" outlineLevel="0" collapsed="false">
      <c r="A5" s="39" t="s">
        <v>215</v>
      </c>
    </row>
    <row r="6" customFormat="false" ht="15" hidden="false" customHeight="false" outlineLevel="0" collapsed="false">
      <c r="A6" s="8" t="s">
        <v>216</v>
      </c>
      <c r="B6" s="15" t="s">
        <v>217</v>
      </c>
    </row>
    <row r="7" customFormat="false" ht="15" hidden="false" customHeight="false" outlineLevel="0" collapsed="false">
      <c r="A7" s="8" t="s">
        <v>218</v>
      </c>
      <c r="B7" s="15" t="s">
        <v>219</v>
      </c>
    </row>
    <row r="8" customFormat="false" ht="15" hidden="false" customHeight="false" outlineLevel="0" collapsed="false">
      <c r="A8" s="8" t="s">
        <v>220</v>
      </c>
      <c r="B8" s="15" t="s">
        <v>221</v>
      </c>
    </row>
    <row r="9" customFormat="false" ht="15" hidden="false" customHeight="false" outlineLevel="0" collapsed="false">
      <c r="A9" s="8" t="s">
        <v>222</v>
      </c>
      <c r="B9" s="15" t="s">
        <v>223</v>
      </c>
    </row>
    <row r="10" customFormat="false" ht="15" hidden="false" customHeight="false" outlineLevel="0" collapsed="false">
      <c r="A10" s="8" t="s">
        <v>224</v>
      </c>
      <c r="B10" s="15" t="s">
        <v>225</v>
      </c>
    </row>
    <row r="12" customFormat="false" ht="15" hidden="false" customHeight="false" outlineLevel="0" collapsed="false">
      <c r="A12" s="39" t="s">
        <v>226</v>
      </c>
    </row>
    <row r="13" customFormat="false" ht="15" hidden="false" customHeight="false" outlineLevel="0" collapsed="false">
      <c r="A13" s="5" t="s">
        <v>227</v>
      </c>
      <c r="B13" s="6" t="s">
        <v>228</v>
      </c>
      <c r="C13" s="6" t="s">
        <v>229</v>
      </c>
      <c r="D13" s="6" t="s">
        <v>230</v>
      </c>
      <c r="E13" s="6" t="s">
        <v>231</v>
      </c>
      <c r="F13" s="6" t="s">
        <v>232</v>
      </c>
    </row>
    <row r="14" customFormat="false" ht="15" hidden="false" customHeight="false" outlineLevel="0" collapsed="false">
      <c r="A14" s="8" t="s">
        <v>233</v>
      </c>
      <c r="B14" s="18" t="n">
        <v>5.58</v>
      </c>
      <c r="C14" s="18" t="n">
        <v>6.46</v>
      </c>
      <c r="D14" s="18" t="n">
        <v>7.03</v>
      </c>
      <c r="E14" s="18" t="n">
        <v>7.67</v>
      </c>
      <c r="F14" s="18" t="n">
        <v>8.92</v>
      </c>
    </row>
    <row r="15" customFormat="false" ht="15" hidden="false" customHeight="false" outlineLevel="0" collapsed="false">
      <c r="A15" s="8" t="s">
        <v>234</v>
      </c>
      <c r="B15" s="18" t="n">
        <v>4.79</v>
      </c>
      <c r="C15" s="18" t="n">
        <v>6.12</v>
      </c>
      <c r="D15" s="18" t="n">
        <v>7.12</v>
      </c>
      <c r="E15" s="18" t="n">
        <v>8.28</v>
      </c>
      <c r="F15" s="18" t="n">
        <v>10.68</v>
      </c>
    </row>
    <row r="17" customFormat="false" ht="15" hidden="false" customHeight="false" outlineLevel="0" collapsed="false">
      <c r="A17" s="54" t="s">
        <v>235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4"/>
  </cols>
  <sheetData>
    <row r="1" customFormat="false" ht="16.15" hidden="false" customHeight="false" outlineLevel="0" collapsed="false">
      <c r="A1" s="4" t="s">
        <v>236</v>
      </c>
    </row>
    <row r="3" customFormat="false" ht="15" hidden="false" customHeight="false" outlineLevel="0" collapsed="false">
      <c r="A3" s="39" t="s">
        <v>237</v>
      </c>
    </row>
    <row r="4" customFormat="false" ht="15" hidden="false" customHeight="false" outlineLevel="0" collapsed="false">
      <c r="A4" s="5" t="s">
        <v>238</v>
      </c>
      <c r="B4" s="6" t="s">
        <v>239</v>
      </c>
      <c r="C4" s="6" t="s">
        <v>240</v>
      </c>
      <c r="D4" s="6" t="s">
        <v>241</v>
      </c>
    </row>
    <row r="5" customFormat="false" ht="15" hidden="false" customHeight="false" outlineLevel="0" collapsed="false">
      <c r="A5" s="8" t="s">
        <v>242</v>
      </c>
      <c r="B5" s="18" t="n">
        <f aca="false">(Assumptions!$B$7+0+Assumptions!$B$12-Assumptions!$B$13)/Assumptions!$B$6</f>
        <v>2.0381592920354</v>
      </c>
      <c r="C5" s="18" t="n">
        <f aca="false">(Assumptions!$B$7+0+Assumptions!$B$12-Assumptions!$B$13)/Assumptions!$B$6*0.8</f>
        <v>1.63052743362832</v>
      </c>
      <c r="D5" s="18" t="n">
        <f aca="false">(Assumptions!$B$7+0+Assumptions!$B$12-Assumptions!$B$13)/Assumptions!$B$6*0.6</f>
        <v>1.22289557522124</v>
      </c>
    </row>
    <row r="6" customFormat="false" ht="15" hidden="false" customHeight="false" outlineLevel="0" collapsed="false">
      <c r="A6" s="8" t="s">
        <v>243</v>
      </c>
      <c r="B6" s="18" t="n">
        <f aca="false">(Assumptions!$B$7+700+Assumptions!$B$12-Assumptions!$B$13)/Assumptions!$B$6</f>
        <v>3.27709734513274</v>
      </c>
      <c r="C6" s="18" t="n">
        <f aca="false">(Assumptions!$B$7+700+Assumptions!$B$12-Assumptions!$B$13)/Assumptions!$B$6*0.8</f>
        <v>2.62167787610619</v>
      </c>
      <c r="D6" s="18" t="n">
        <f aca="false">(Assumptions!$B$7+700+Assumptions!$B$12-Assumptions!$B$13)/Assumptions!$B$6*0.6</f>
        <v>1.96625840707965</v>
      </c>
    </row>
    <row r="7" customFormat="false" ht="15" hidden="false" customHeight="false" outlineLevel="0" collapsed="false">
      <c r="A7" s="8" t="s">
        <v>244</v>
      </c>
      <c r="B7" s="18" t="n">
        <f aca="false">(Assumptions!$B$7+1400+Assumptions!$B$12-Assumptions!$B$13)/Assumptions!$B$6</f>
        <v>4.51603539823009</v>
      </c>
      <c r="C7" s="18" t="n">
        <f aca="false">(Assumptions!$B$7+1400+Assumptions!$B$12-Assumptions!$B$13)/Assumptions!$B$6*0.8</f>
        <v>3.61282831858407</v>
      </c>
      <c r="D7" s="18" t="n">
        <f aca="false">(Assumptions!$B$7+1400+Assumptions!$B$12-Assumptions!$B$13)/Assumptions!$B$6*0.6</f>
        <v>2.70962123893805</v>
      </c>
    </row>
    <row r="8" customFormat="false" ht="15" hidden="false" customHeight="false" outlineLevel="0" collapsed="false">
      <c r="A8" s="8" t="s">
        <v>245</v>
      </c>
      <c r="B8" s="18" t="n">
        <f aca="false">(Assumptions!$B$7+2100+Assumptions!$B$12-Assumptions!$B$13)/Assumptions!$B$6</f>
        <v>5.75497345132743</v>
      </c>
      <c r="C8" s="18" t="n">
        <f aca="false">(Assumptions!$B$7+2100+Assumptions!$B$12-Assumptions!$B$13)/Assumptions!$B$6*0.8</f>
        <v>4.60397876106195</v>
      </c>
      <c r="D8" s="18" t="n">
        <f aca="false">(Assumptions!$B$7+2100+Assumptions!$B$12-Assumptions!$B$13)/Assumptions!$B$6*0.6</f>
        <v>3.45298407079646</v>
      </c>
    </row>
    <row r="9" customFormat="false" ht="15" hidden="false" customHeight="false" outlineLevel="0" collapsed="false">
      <c r="A9" s="8" t="s">
        <v>246</v>
      </c>
      <c r="B9" s="18" t="n">
        <f aca="false">(Assumptions!$B$7+2800+Assumptions!$B$12-Assumptions!$B$13)/Assumptions!$B$6</f>
        <v>6.99391150442478</v>
      </c>
      <c r="C9" s="18" t="n">
        <f aca="false">(Assumptions!$B$7+2800+Assumptions!$B$12-Assumptions!$B$13)/Assumptions!$B$6*0.8</f>
        <v>5.59512920353982</v>
      </c>
      <c r="D9" s="18" t="n">
        <f aca="false">(Assumptions!$B$7+2800+Assumptions!$B$12-Assumptions!$B$13)/Assumptions!$B$6*0.6</f>
        <v>4.19634690265487</v>
      </c>
    </row>
    <row r="11" customFormat="false" ht="15" hidden="false" customHeight="false" outlineLevel="0" collapsed="false">
      <c r="A11" s="39" t="s">
        <v>247</v>
      </c>
    </row>
    <row r="12" customFormat="false" ht="15" hidden="false" customHeight="false" outlineLevel="0" collapsed="false">
      <c r="A12" s="5" t="s">
        <v>248</v>
      </c>
      <c r="B12" s="6" t="s">
        <v>249</v>
      </c>
      <c r="C12" s="6" t="s">
        <v>250</v>
      </c>
      <c r="D12" s="6" t="s">
        <v>251</v>
      </c>
    </row>
    <row r="13" customFormat="false" ht="15" hidden="false" customHeight="false" outlineLevel="0" collapsed="false">
      <c r="A13" s="8" t="s">
        <v>252</v>
      </c>
      <c r="B13" s="18" t="n">
        <f aca="false">((DCF!B12/(1+0.2)^1+DCF!C12/(1+0.2)^2+DCF!D12/(1+0.2)^3+DCF!E12/(1+0.2)^4+DCF!F12/(1+0.2)^5)+((DCF!F12*(1+0.125)/(0.2-0.125))/(1+0.2)^5)-Assumptions!$B$44)/Assumptions!$B$6</f>
        <v>0.747591019224117</v>
      </c>
      <c r="C13" s="18" t="n">
        <f aca="false">((DCF!B12/(1+0.2)^1+DCF!C12/(1+0.2)^2+DCF!D12/(1+0.2)^3+DCF!E12/(1+0.2)^4+DCF!F12/(1+0.2)^5)+((DCF!F12*(1+0.135)/(0.2-0.135))/(1+0.2)^5)-Assumptions!$B$44)/Assumptions!$B$6</f>
        <v>0.919438136744784</v>
      </c>
      <c r="D13" s="18" t="n">
        <f aca="false">((DCF!B12/(1+0.2)^1+DCF!C12/(1+0.2)^2+DCF!D12/(1+0.2)^3+DCF!E12/(1+0.2)^4+DCF!F12/(1+0.2)^5)+((DCF!F12*(1+0.145)/(0.2-0.145))/(1+0.2)^5)-Assumptions!$B$44)/Assumptions!$B$6</f>
        <v>1.15377511518206</v>
      </c>
    </row>
    <row r="14" customFormat="false" ht="15" hidden="false" customHeight="false" outlineLevel="0" collapsed="false">
      <c r="A14" s="8" t="s">
        <v>253</v>
      </c>
      <c r="B14" s="18" t="n">
        <f aca="false">((DCF!B12/(1+0.22)^1+DCF!C12/(1+0.22)^2+DCF!D12/(1+0.22)^3+DCF!E12/(1+0.22)^4+DCF!F12/(1+0.22)^5)+((DCF!F12*(1+0.125)/(0.22-0.125))/(1+0.22)^5)-Assumptions!$B$44)/Assumptions!$B$6</f>
        <v>0.44431813830776</v>
      </c>
      <c r="C14" s="18" t="n">
        <f aca="false">((DCF!B12/(1+0.22)^1+DCF!C12/(1+0.22)^2+DCF!D12/(1+0.22)^3+DCF!E12/(1+0.22)^4+DCF!F12/(1+0.22)^5)+((DCF!F12*(1+0.135)/(0.22-0.135))/(1+0.22)^5)-Assumptions!$B$44)/Assumptions!$B$6</f>
        <v>0.541427254693962</v>
      </c>
      <c r="D14" s="18" t="n">
        <f aca="false">((DCF!B12/(1+0.22)^1+DCF!C12/(1+0.22)^2+DCF!D12/(1+0.22)^3+DCF!E12/(1+0.22)^4+DCF!F12/(1+0.22)^5)+((DCF!F12*(1+0.145)/(0.22-0.145))/(1+0.22)^5)-Assumptions!$B$44)/Assumptions!$B$6</f>
        <v>0.664432135449816</v>
      </c>
    </row>
    <row r="15" customFormat="false" ht="15" hidden="false" customHeight="false" outlineLevel="0" collapsed="false">
      <c r="A15" s="8" t="s">
        <v>254</v>
      </c>
      <c r="B15" s="18" t="n">
        <f aca="false">((DCF!B12/(1+0.24)^1+DCF!C12/(1+0.24)^2+DCF!D12/(1+0.24)^3+DCF!E12/(1+0.24)^4+DCF!F12/(1+0.24)^5)+((DCF!F12*(1+0.125)/(0.24-0.125))/(1+0.24)^5)-Assumptions!$B$44)/Assumptions!$B$6</f>
        <v>0.246874595344951</v>
      </c>
      <c r="C15" s="18" t="n">
        <f aca="false">((DCF!B12/(1+0.24)^1+DCF!C12/(1+0.24)^2+DCF!D12/(1+0.24)^3+DCF!E12/(1+0.24)^4+DCF!F12/(1+0.24)^5)+((DCF!F12*(1+0.135)/(0.24-0.135))/(1+0.24)^5)-Assumptions!$B$44)/Assumptions!$B$6</f>
        <v>0.307725631271</v>
      </c>
      <c r="D15" s="18" t="n">
        <f aca="false">((DCF!B12/(1+0.24)^1+DCF!C12/(1+0.24)^2+DCF!D12/(1+0.24)^3+DCF!E12/(1+0.24)^4+DCF!F12/(1+0.24)^5)+((DCF!F12*(1+0.145)/(0.24-0.145))/(1+0.24)^5)-Assumptions!$B$44)/Assumptions!$B$6</f>
        <v>0.381387411602533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1"/>
  </cols>
  <sheetData>
    <row r="1" customFormat="false" ht="15" hidden="false" customHeight="false" outlineLevel="0" collapsed="false">
      <c r="A1" s="46" t="s">
        <v>255</v>
      </c>
    </row>
    <row r="3" customFormat="false" ht="15" hidden="false" customHeight="false" outlineLevel="0" collapsed="false">
      <c r="A3" s="5" t="s">
        <v>256</v>
      </c>
      <c r="B3" s="6" t="s">
        <v>177</v>
      </c>
      <c r="C3" s="6" t="s">
        <v>178</v>
      </c>
      <c r="D3" s="6" t="s">
        <v>188</v>
      </c>
      <c r="E3" s="6" t="s">
        <v>95</v>
      </c>
      <c r="F3" s="6" t="s">
        <v>96</v>
      </c>
      <c r="G3" s="6" t="s">
        <v>97</v>
      </c>
      <c r="H3" s="6" t="s">
        <v>98</v>
      </c>
      <c r="I3" s="6" t="s">
        <v>99</v>
      </c>
    </row>
    <row r="4" customFormat="false" ht="15" hidden="false" customHeight="false" outlineLevel="0" collapsed="false">
      <c r="A4" s="11" t="s">
        <v>257</v>
      </c>
      <c r="B4" s="9" t="n">
        <f aca="false">'Income Statement'!B13/Assumptions!$B$6</f>
        <v>0.0920353982300885</v>
      </c>
      <c r="C4" s="9" t="n">
        <f aca="false">'Income Statement'!C13/Assumptions!$B$6</f>
        <v>0.228318584070796</v>
      </c>
      <c r="D4" s="9" t="n">
        <f aca="false">'Income Statement'!D13/Assumptions!$B$6</f>
        <v>0.0283185840707965</v>
      </c>
      <c r="E4" s="9" t="n">
        <f aca="false">'Income Statement'!E13/Assumptions!$B$6</f>
        <v>0.0909424778761062</v>
      </c>
      <c r="F4" s="9" t="n">
        <f aca="false">'Income Statement'!F13/Assumptions!$B$6</f>
        <v>0.118238938053097</v>
      </c>
      <c r="G4" s="9" t="n">
        <f aca="false">'Income Statement'!G13/Assumptions!$B$6</f>
        <v>0.147387168141593</v>
      </c>
      <c r="H4" s="9" t="n">
        <f aca="false">'Income Statement'!H13/Assumptions!$B$6</f>
        <v>0.178387168141593</v>
      </c>
      <c r="I4" s="9" t="n">
        <f aca="false">'Income Statement'!I13/Assumptions!$B$6</f>
        <v>0.209867256637168</v>
      </c>
    </row>
    <row r="5" customFormat="false" ht="15" hidden="false" customHeight="false" outlineLevel="0" collapsed="false">
      <c r="A5" s="11" t="s">
        <v>258</v>
      </c>
      <c r="B5" s="9" t="n">
        <f aca="false">'Balance Sheet'!B11/Assumptions!$B$6</f>
        <v>1.50442477876106</v>
      </c>
      <c r="C5" s="9" t="n">
        <f aca="false">'Balance Sheet'!C11/Assumptions!$B$6</f>
        <v>1.92920353982301</v>
      </c>
      <c r="D5" s="9" t="n">
        <f aca="false">'Balance Sheet'!D11/Assumptions!$B$6</f>
        <v>2.03893805309735</v>
      </c>
      <c r="E5" s="9" t="n">
        <f aca="false">'Balance Sheet'!E11/Assumptions!$B$6</f>
        <v>2.12988053097345</v>
      </c>
      <c r="F5" s="9" t="n">
        <f aca="false">'Balance Sheet'!F11/Assumptions!$B$6</f>
        <v>2.24811946902655</v>
      </c>
      <c r="G5" s="9" t="n">
        <f aca="false">'Balance Sheet'!G11/Assumptions!$B$6</f>
        <v>2.39550663716814</v>
      </c>
      <c r="H5" s="9" t="n">
        <f aca="false">'Balance Sheet'!H11/Assumptions!$B$6</f>
        <v>2.57389380530973</v>
      </c>
      <c r="I5" s="9" t="n">
        <f aca="false">'Balance Sheet'!I11/Assumptions!$B$6</f>
        <v>2.7837610619469</v>
      </c>
    </row>
    <row r="6" customFormat="false" ht="15" hidden="false" customHeight="false" outlineLevel="0" collapsed="false">
      <c r="A6" s="11" t="s">
        <v>259</v>
      </c>
      <c r="B6" s="25" t="n">
        <v>0</v>
      </c>
      <c r="C6" s="25" t="n">
        <v>0</v>
      </c>
      <c r="D6" s="25" t="n">
        <v>0</v>
      </c>
      <c r="E6" s="25" t="n">
        <v>0</v>
      </c>
      <c r="F6" s="25" t="n">
        <v>0</v>
      </c>
      <c r="G6" s="25" t="n">
        <v>0</v>
      </c>
      <c r="H6" s="25" t="n">
        <v>0</v>
      </c>
      <c r="I6" s="25" t="n">
        <v>0</v>
      </c>
    </row>
    <row r="7" customFormat="false" ht="15" hidden="false" customHeight="false" outlineLevel="0" collapsed="false">
      <c r="A7" s="11" t="s">
        <v>260</v>
      </c>
      <c r="B7" s="37" t="n">
        <f aca="false">Assumptions!$B$5/B4</f>
        <v>76.0576923076923</v>
      </c>
      <c r="C7" s="37" t="n">
        <f aca="false">Assumptions!$B$5/C4</f>
        <v>30.6589147286822</v>
      </c>
      <c r="D7" s="37" t="n">
        <f aca="false">Assumptions!$B$5/D4</f>
        <v>247.1875</v>
      </c>
      <c r="E7" s="37" t="n">
        <f aca="false">Assumptions!$B$5/E4</f>
        <v>76.971731620688</v>
      </c>
      <c r="F7" s="37" t="n">
        <f aca="false">Assumptions!$B$5/F4</f>
        <v>59.2021555272809</v>
      </c>
      <c r="G7" s="37" t="n">
        <f aca="false">Assumptions!$B$5/G4</f>
        <v>47.4939581800988</v>
      </c>
      <c r="H7" s="37" t="n">
        <f aca="false">Assumptions!$B$5/H4</f>
        <v>39.2404906301547</v>
      </c>
      <c r="I7" s="37" t="n">
        <f aca="false">Assumptions!$B$5/I4</f>
        <v>33.3544170356315</v>
      </c>
    </row>
    <row r="8" customFormat="false" ht="15" hidden="false" customHeight="false" outlineLevel="0" collapsed="false">
      <c r="A8" s="11" t="s">
        <v>261</v>
      </c>
      <c r="B8" s="37" t="n">
        <f aca="false">Assumptions!$B$5/B5</f>
        <v>4.65294117647059</v>
      </c>
      <c r="C8" s="37" t="n">
        <f aca="false">Assumptions!$B$5/C5</f>
        <v>3.62844036697248</v>
      </c>
      <c r="D8" s="37" t="n">
        <f aca="false">Assumptions!$B$5/D5</f>
        <v>3.43315972222222</v>
      </c>
      <c r="E8" s="37" t="n">
        <f aca="false">Assumptions!$B$5/E5</f>
        <v>3.28656931607365</v>
      </c>
      <c r="F8" s="37" t="n">
        <f aca="false">Assumptions!$B$5/F5</f>
        <v>3.11371352654628</v>
      </c>
      <c r="G8" s="37" t="n">
        <f aca="false">Assumptions!$B$5/G5</f>
        <v>2.92213759352179</v>
      </c>
      <c r="H8" s="37" t="n">
        <f aca="false">Assumptions!$B$5/H5</f>
        <v>2.71961492178099</v>
      </c>
      <c r="I8" s="37" t="n">
        <f aca="false">Assumptions!$B$5/I5</f>
        <v>2.51458363136395</v>
      </c>
    </row>
    <row r="9" customFormat="false" ht="15" hidden="false" customHeight="false" outlineLevel="0" collapsed="false">
      <c r="A9" s="11" t="s">
        <v>262</v>
      </c>
      <c r="B9" s="37" t="n">
        <f aca="false">(Assumptions!$B$43+'Balance Sheet'!B10-'Balance Sheet'!B7)/'Income Statement'!B6</f>
        <v>48.2386363636364</v>
      </c>
      <c r="C9" s="37" t="n">
        <f aca="false">(Assumptions!$B$43+'Balance Sheet'!C10-'Balance Sheet'!C7)/'Income Statement'!C6</f>
        <v>24.0833333333333</v>
      </c>
      <c r="D9" s="37" t="n">
        <f aca="false">(Assumptions!$B$43+'Balance Sheet'!D10-'Balance Sheet'!D7)/'Income Statement'!D6</f>
        <v>36.3666666666667</v>
      </c>
      <c r="E9" s="37" t="n">
        <f aca="false">(Assumptions!$B$43+'Balance Sheet'!E10-'Balance Sheet'!E7)/'Income Statement'!E6</f>
        <v>27.3547865662272</v>
      </c>
      <c r="F9" s="37" t="n">
        <f aca="false">(Assumptions!$B$43+'Balance Sheet'!F10-'Balance Sheet'!F7)/'Income Statement'!F6</f>
        <v>24.3031004489338</v>
      </c>
      <c r="G9" s="37" t="n">
        <f aca="false">(Assumptions!$B$43+'Balance Sheet'!G10-'Balance Sheet'!G7)/'Income Statement'!G6</f>
        <v>21.6152116402116</v>
      </c>
      <c r="H9" s="37" t="n">
        <f aca="false">(Assumptions!$B$43+'Balance Sheet'!H10-'Balance Sheet'!H7)/'Income Statement'!H6</f>
        <v>19.235401045217</v>
      </c>
      <c r="I9" s="37" t="n">
        <f aca="false">(Assumptions!$B$43+'Balance Sheet'!I10-'Balance Sheet'!I7)/'Income Statement'!I6</f>
        <v>17.1200617283951</v>
      </c>
    </row>
    <row r="10" customFormat="false" ht="15" hidden="false" customHeight="false" outlineLevel="0" collapsed="false">
      <c r="A10" s="11" t="s">
        <v>211</v>
      </c>
      <c r="B10" s="10" t="n">
        <f aca="false">'Income Statement'!B13/'Income Statement'!B4</f>
        <v>0.0876897133220911</v>
      </c>
      <c r="C10" s="10" t="n">
        <f aca="false">'Income Statement'!C13/'Income Statement'!C4</f>
        <v>0.126470588235294</v>
      </c>
      <c r="D10" s="10" t="n">
        <f aca="false">'Income Statement'!D13/'Income Statement'!D4</f>
        <v>0.0152380952380952</v>
      </c>
      <c r="E10" s="10" t="n">
        <f aca="false">'Income Statement'!E13/'Income Statement'!E4</f>
        <v>0.0435444915254237</v>
      </c>
      <c r="F10" s="10" t="n">
        <f aca="false">'Income Statement'!F13/'Income Statement'!F4</f>
        <v>0.0506098484848485</v>
      </c>
      <c r="G10" s="10" t="n">
        <f aca="false">'Income Statement'!G13/'Income Statement'!G4</f>
        <v>0.0566488095238095</v>
      </c>
      <c r="H10" s="10" t="n">
        <f aca="false">'Income Statement'!H13/'Income Statement'!H4</f>
        <v>0.0618335889570552</v>
      </c>
      <c r="I10" s="10" t="n">
        <f aca="false">'Income Statement'!I13/'Income Statement'!I4</f>
        <v>0.065875</v>
      </c>
    </row>
    <row r="11" customFormat="false" ht="15" hidden="false" customHeight="false" outlineLevel="0" collapsed="false">
      <c r="A11" s="11" t="s">
        <v>263</v>
      </c>
      <c r="B11" s="10" t="n">
        <f aca="false">'Income Statement'!B13/'Balance Sheet'!B11</f>
        <v>0.0611764705882353</v>
      </c>
      <c r="C11" s="10" t="n">
        <f aca="false">'Income Statement'!C13/'Balance Sheet'!C11</f>
        <v>0.118348623853211</v>
      </c>
      <c r="D11" s="10" t="n">
        <f aca="false">'Income Statement'!D13/'Balance Sheet'!D11</f>
        <v>0.0138888888888889</v>
      </c>
      <c r="E11" s="10" t="n">
        <f aca="false">'Income Statement'!E13/'Balance Sheet'!E11</f>
        <v>0.0426983939021882</v>
      </c>
      <c r="F11" s="10" t="n">
        <f aca="false">'Income Statement'!F13/'Balance Sheet'!F11</f>
        <v>0.0525945972543424</v>
      </c>
      <c r="G11" s="10" t="n">
        <f aca="false">'Income Statement'!G13/'Balance Sheet'!G11</f>
        <v>0.0615265121184666</v>
      </c>
      <c r="H11" s="10" t="n">
        <f aca="false">'Income Statement'!H13/'Balance Sheet'!H11</f>
        <v>0.0693063434760186</v>
      </c>
      <c r="I11" s="10" t="n">
        <f aca="false">'Income Statement'!I13/'Balance Sheet'!I11</f>
        <v>0.0753898240427257</v>
      </c>
    </row>
    <row r="12" customFormat="false" ht="15" hidden="false" customHeight="false" outlineLevel="0" collapsed="false">
      <c r="A12" s="11" t="s">
        <v>264</v>
      </c>
      <c r="B12" s="37" t="n">
        <f aca="false">('Balance Sheet'!B10-'Balance Sheet'!B7)/'Income Statement'!B6</f>
        <v>3.29545454545455</v>
      </c>
      <c r="C12" s="37" t="n">
        <f aca="false">('Balance Sheet'!C10-'Balance Sheet'!C7)/'Income Statement'!C6</f>
        <v>2.11111111111111</v>
      </c>
      <c r="D12" s="37" t="n">
        <f aca="false">('Balance Sheet'!D10-'Balance Sheet'!D7)/'Income Statement'!D6</f>
        <v>3.40833333333333</v>
      </c>
      <c r="E12" s="37" t="n">
        <f aca="false">('Balance Sheet'!E10-'Balance Sheet'!E7)/'Income Statement'!E6</f>
        <v>2.52741682360326</v>
      </c>
      <c r="F12" s="37" t="n">
        <f aca="false">('Balance Sheet'!F10-'Balance Sheet'!F7)/'Income Statement'!F6</f>
        <v>2.10893658810325</v>
      </c>
      <c r="G12" s="37" t="n">
        <f aca="false">('Balance Sheet'!G10-'Balance Sheet'!G7)/'Income Statement'!G6</f>
        <v>1.68575837742504</v>
      </c>
      <c r="H12" s="37" t="n">
        <f aca="false">('Balance Sheet'!H10-'Balance Sheet'!H7)/'Income Statement'!H6</f>
        <v>1.26221313337878</v>
      </c>
      <c r="I12" s="37" t="n">
        <f aca="false">('Balance Sheet'!I10-'Balance Sheet'!I7)/'Income Statement'!I6</f>
        <v>0.844341563786008</v>
      </c>
    </row>
    <row r="13" customFormat="false" ht="15" hidden="false" customHeight="false" outlineLevel="0" collapsed="false">
      <c r="A13" s="11" t="s">
        <v>265</v>
      </c>
      <c r="B13" s="10" t="n">
        <f aca="false">'Cash Flow'!B9/Assumptions!$B$43</f>
        <v>0.000758533501896334</v>
      </c>
      <c r="C13" s="10" t="n">
        <f aca="false">'Cash Flow'!C9/Assumptions!$B$43</f>
        <v>0.00480404551201011</v>
      </c>
      <c r="D13" s="10" t="n">
        <f aca="false">'Cash Flow'!D9/Assumptions!$B$43</f>
        <v>-0.00809102402022756</v>
      </c>
      <c r="E13" s="10" t="n">
        <f aca="false">'Cash Flow'!E9/Assumptions!$B$43</f>
        <v>0.00161378002528445</v>
      </c>
      <c r="F13" s="10" t="n">
        <f aca="false">'Cash Flow'!F9/Assumptions!$B$43</f>
        <v>0.00677749683944374</v>
      </c>
      <c r="G13" s="10" t="n">
        <f aca="false">'Cash Flow'!G9/Assumptions!$B$43</f>
        <v>0.0104358407079646</v>
      </c>
      <c r="H13" s="10" t="n">
        <f aca="false">'Cash Flow'!H9/Assumptions!$B$43</f>
        <v>0.0143587231352718</v>
      </c>
      <c r="I13" s="10" t="n">
        <f aca="false">'Cash Flow'!I9/Assumptions!$B$43</f>
        <v>0.0183501896333755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44"/>
  </cols>
  <sheetData>
    <row r="1" customFormat="false" ht="16.15" hidden="false" customHeight="false" outlineLevel="0" collapsed="false">
      <c r="A1" s="4" t="s">
        <v>266</v>
      </c>
    </row>
    <row r="3" customFormat="false" ht="15" hidden="false" customHeight="false" outlineLevel="0" collapsed="false">
      <c r="A3" s="5" t="s">
        <v>267</v>
      </c>
      <c r="B3" s="6" t="s">
        <v>268</v>
      </c>
      <c r="C3" s="6" t="s">
        <v>18</v>
      </c>
    </row>
    <row r="4" customFormat="false" ht="15" hidden="false" customHeight="false" outlineLevel="0" collapsed="false">
      <c r="A4" s="38" t="s">
        <v>269</v>
      </c>
      <c r="B4" s="38" t="s">
        <v>270</v>
      </c>
      <c r="C4" s="38" t="s">
        <v>271</v>
      </c>
    </row>
    <row r="5" customFormat="false" ht="15" hidden="false" customHeight="false" outlineLevel="0" collapsed="false">
      <c r="A5" s="11" t="s">
        <v>272</v>
      </c>
      <c r="B5" s="11" t="s">
        <v>270</v>
      </c>
      <c r="C5" s="11" t="s">
        <v>273</v>
      </c>
    </row>
    <row r="6" customFormat="false" ht="15" hidden="false" customHeight="false" outlineLevel="0" collapsed="false">
      <c r="A6" s="38" t="s">
        <v>274</v>
      </c>
      <c r="B6" s="38" t="s">
        <v>270</v>
      </c>
      <c r="C6" s="38" t="s">
        <v>275</v>
      </c>
    </row>
    <row r="7" customFormat="false" ht="15" hidden="false" customHeight="false" outlineLevel="0" collapsed="false">
      <c r="A7" s="11" t="s">
        <v>276</v>
      </c>
      <c r="B7" s="11" t="s">
        <v>277</v>
      </c>
      <c r="C7" s="11" t="s">
        <v>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2026-07-06T11:24:41Z</dcterms:created>
  <dc:creator>openpyxl</dc:creator>
  <dc:description/>
  <dc:language>en-US</dc:language>
  <cp:lastModifiedBy/>
  <dcterms:modified xsi:type="dcterms:W3CDTF">2026-07-06T11:24:41Z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