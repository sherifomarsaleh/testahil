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FIRST" sheetId="1" state="visible" r:id="rId3"/>
    <sheet name="Summary" sheetId="2" state="visible" r:id="rId4"/>
    <sheet name="Fundamental Valuation" sheetId="3" state="visible" r:id="rId5"/>
    <sheet name="Assumptions" sheetId="4" state="visible" r:id="rId6"/>
    <sheet name="DDM" sheetId="5" state="visible" r:id="rId7"/>
    <sheet name="Segments" sheetId="6" state="visible" r:id="rId8"/>
    <sheet name="Relative &amp; Normalized" sheetId="7" state="visible" r:id="rId9"/>
    <sheet name="DCF" sheetId="8" state="visible" r:id="rId10"/>
    <sheet name="Income Statement" sheetId="9" state="visible" r:id="rId11"/>
    <sheet name="Balance Sheet" sheetId="10" state="visible" r:id="rId12"/>
    <sheet name="Cash Flow" sheetId="11" state="visible" r:id="rId13"/>
    <sheet name="Summary Financials" sheetId="12" state="visible" r:id="rId14"/>
    <sheet name="Monte Carlo" sheetId="13" state="visible" r:id="rId15"/>
    <sheet name="Sensitivity" sheetId="14" state="visible" r:id="rId16"/>
    <sheet name="Per-Share &amp; Ratios" sheetId="15" state="visible" r:id="rId17"/>
    <sheet name="Peer &amp; Sector" sheetId="16" state="visible" r:id="rId1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<sst xmlns="http://schemas.openxmlformats.org/spreadsheetml/2006/main" count="322" uniqueCount="246">
  <si>
    <t xml:space="preserve">READ FIRST — what this model is, and is not</t>
  </si>
  <si>
    <t xml:space="preserve">This workbook is the companion model to the Testahil QNB Group valuation study — educational analysis, NOT investment advice, NOT a recommendation, and NOT directed at any reader's circumstances. It contains no price target and no rating. The preparer is not licensed by any securities regulator, manages no money and accepts no clients. All outputs are ranges and distributions; no single number should be relied on. Blue cells are inputs — edit them and the model reprices. Reported financials are QNB Group's own disclosure (FY23/24/25); forward inputs (growth, payout, RWA, marks, Ke, factor probabilities) are the preparer's flagged judgments. The preparer may hold, and may in the future take or dispose of, a position in the security discussed. Consult a licensed professional before any decision. Currency: QAR (QAR mn or per-share). Spot &amp; market data as of 05 Jul 2026 and change continuously.</t>
  </si>
  <si>
    <t xml:space="preserve">Valuation summary — every read at a glance</t>
  </si>
  <si>
    <t xml:space="preserve">Lens</t>
  </si>
  <si>
    <t xml:space="preserve">Bear</t>
  </si>
  <si>
    <t xml:space="preserve">Base</t>
  </si>
  <si>
    <t xml:space="preserve">Bull</t>
  </si>
  <si>
    <t xml:space="preserve">vs spot</t>
  </si>
  <si>
    <t xml:space="preserve">DDM (primary)</t>
  </si>
  <si>
    <t xml:space="preserve">FCFE / capital DCF</t>
  </si>
  <si>
    <t xml:space="preserve">Relative (P/B–RoTE)</t>
  </si>
  <si>
    <t xml:space="preserve">Normalized earnings</t>
  </si>
  <si>
    <t xml:space="preserve">Weighted central</t>
  </si>
  <si>
    <t xml:space="preserve">Spot (QAR)</t>
  </si>
  <si>
    <t xml:space="preserve">MC median T+60</t>
  </si>
  <si>
    <t xml:space="preserve">Fundamental central ≈ QAR 18.8 (~+7% vs spot); the Monte Carlo median sits at spot because §3 maps price, not value. Base column links live to the lens sheets.</t>
  </si>
  <si>
    <t xml:space="preserve">Fundamental valuation — lens roll-up</t>
  </si>
  <si>
    <t xml:space="preserve">Weight</t>
  </si>
  <si>
    <t xml:space="preserve">Base value</t>
  </si>
  <si>
    <t xml:space="preserve">Contribution</t>
  </si>
  <si>
    <t xml:space="preserve">DDM</t>
  </si>
  <si>
    <t xml:space="preserve">FCFE/DCF</t>
  </si>
  <si>
    <t xml:space="preserve">Relative</t>
  </si>
  <si>
    <t xml:space="preserve">Normalized</t>
  </si>
  <si>
    <t xml:space="preserve">Weighted central fair value</t>
  </si>
  <si>
    <t xml:space="preserve">Upside vs spot</t>
  </si>
  <si>
    <t xml:space="preserve">QNB Group (QSE: QNBK) — Assumptions  ·  the single blue-cell input layer</t>
  </si>
  <si>
    <t xml:space="preserve">Market anchor (05 Jul 2026)</t>
  </si>
  <si>
    <t xml:space="preserve">Spot price (QAR/share)</t>
  </si>
  <si>
    <t xml:space="preserve">Shares outstanding (mn)</t>
  </si>
  <si>
    <t xml:space="preserve">USD/QAR (peg)</t>
  </si>
  <si>
    <t xml:space="preserve">Cost of equity  (Ke = rf + β·ERP)</t>
  </si>
  <si>
    <t xml:space="preserve">Risk-free rate rf</t>
  </si>
  <si>
    <t xml:space="preserve">Equity risk premium ERP</t>
  </si>
  <si>
    <t xml:space="preserve">Beta (EM-adjusted, 0.8–1.3 band)</t>
  </si>
  <si>
    <t xml:space="preserve">Cost of equity Ke</t>
  </si>
  <si>
    <t xml:space="preserve">Terminal growth g</t>
  </si>
  <si>
    <t xml:space="preserve">Through-cycle RoTE</t>
  </si>
  <si>
    <t xml:space="preserve">Terminal payout ratio</t>
  </si>
  <si>
    <t xml:space="preserve">FY25 actuals (base)</t>
  </si>
  <si>
    <t xml:space="preserve">EPS FY25 (QAR)</t>
  </si>
  <si>
    <t xml:space="preserve">DPS FY25 (QAR)</t>
  </si>
  <si>
    <t xml:space="preserve">Ordinary equity FY25 (QAR mn)</t>
  </si>
  <si>
    <t xml:space="preserve">Tangible BVPS FY25 (QAR)</t>
  </si>
  <si>
    <t xml:space="preserve">Ordinary BVPS FY25 (QAR)</t>
  </si>
  <si>
    <t xml:space="preserve">RWA FY25 (QAR mn)</t>
  </si>
  <si>
    <t xml:space="preserve">CET1 target on RWA</t>
  </si>
  <si>
    <t xml:space="preserve">Forecast drivers  FY26E–FY30E</t>
  </si>
  <si>
    <t xml:space="preserve">FY26E</t>
  </si>
  <si>
    <t xml:space="preserve">FY27E</t>
  </si>
  <si>
    <t xml:space="preserve">FY28E</t>
  </si>
  <si>
    <t xml:space="preserve">FY29E</t>
  </si>
  <si>
    <t xml:space="preserve">FY30E</t>
  </si>
  <si>
    <t xml:space="preserve">EPS growth (FY26–30)</t>
  </si>
  <si>
    <t xml:space="preserve">Payout ratio (FY26–30)</t>
  </si>
  <si>
    <t xml:space="preserve">RWA growth (FY26–30)</t>
  </si>
  <si>
    <t xml:space="preserve">Relative &amp; weights</t>
  </si>
  <si>
    <t xml:space="preserve">Peer / market P/B (dated, indicative)</t>
  </si>
  <si>
    <t xml:space="preserve">Peer P/E (dated, indicative)</t>
  </si>
  <si>
    <t xml:space="preserve">Weight — DDM</t>
  </si>
  <si>
    <t xml:space="preserve">Weight — FCFE/DCF</t>
  </si>
  <si>
    <t xml:space="preserve">Weight — Relative</t>
  </si>
  <si>
    <t xml:space="preserve">Weight — Normalized</t>
  </si>
  <si>
    <t xml:space="preserve">Blue = input (edit these). Black = formula. Green = cross-sheet link. Every other sheet references this layer; change one cell here and the model reprices. Source: QNB Group FY23/24/25 disclosures (qnb.com); forward inputs are the preparer's flagged judgments.</t>
  </si>
  <si>
    <t xml:space="preserve">Primary lens — Two-stage Dividend Discount Model</t>
  </si>
  <si>
    <t xml:space="preserve">Terminal payout</t>
  </si>
  <si>
    <t xml:space="preserve">Line</t>
  </si>
  <si>
    <t xml:space="preserve">FY25</t>
  </si>
  <si>
    <t xml:space="preserve">EPS (QAR)</t>
  </si>
  <si>
    <t xml:space="preserve">Payout ratio</t>
  </si>
  <si>
    <t xml:space="preserve">DPS (QAR)</t>
  </si>
  <si>
    <t xml:space="preserve">Discount factor 1/(1+Ke)^t</t>
  </si>
  <si>
    <t xml:space="preserve">PV of dividend</t>
  </si>
  <si>
    <t xml:space="preserve">Σ PV of explicit dividends (FY26–30)</t>
  </si>
  <si>
    <t xml:space="preserve">Terminal value = EPS30·(1+g)·payout/(Ke−g)</t>
  </si>
  <si>
    <t xml:space="preserve">PV of terminal value</t>
  </si>
  <si>
    <t xml:space="preserve">DDM fair value (QAR/share)</t>
  </si>
  <si>
    <t xml:space="preserve">TV as % of value  (disclose — high-terminal)</t>
  </si>
  <si>
    <t xml:space="preserve">Implied upside vs spot</t>
  </si>
  <si>
    <t xml:space="preserve">Two clocks kept separate: this is the ~12-month risk-adjusted anchor on the ACTUAL dividend policy. The gap to full distributable capacity (the excess-capital return case) is on the DCF sheet and in §1.7. Ke published as rf+ERP; sensitized on the Sensitivity sheet.</t>
  </si>
  <si>
    <t xml:space="preserve">Segments — earnings contribution by geography (indicative)</t>
  </si>
  <si>
    <t xml:space="preserve">Segment</t>
  </si>
  <si>
    <t xml:space="preserve">Net profit share</t>
  </si>
  <si>
    <t xml:space="preserve">Assets share</t>
  </si>
  <si>
    <t xml:space="preserve">RoTE</t>
  </si>
  <si>
    <t xml:space="preserve">Note</t>
  </si>
  <si>
    <t xml:space="preserve">Qatar (domestic)</t>
  </si>
  <si>
    <t xml:space="preserve">Core; sovereign &amp; corporate</t>
  </si>
  <si>
    <t xml:space="preserve">Türkiye (QNB Finansbank)</t>
  </si>
  <si>
    <t xml:space="preserve">Hyperinflation accounting; lira drag</t>
  </si>
  <si>
    <t xml:space="preserve">Egypt (QNB Alahli)</t>
  </si>
  <si>
    <t xml:space="preserve">High nominal RoE, EGP translation</t>
  </si>
  <si>
    <t xml:space="preserve">Other intl network</t>
  </si>
  <si>
    <t xml:space="preserve">GCC, Asia, Europe branches</t>
  </si>
  <si>
    <t xml:space="preserve">Total</t>
  </si>
  <si>
    <t xml:space="preserve">Shares are the preparer's estimates from segment disclosure; Egypt/Türkiye reported under hyperinflation (IAS 29) so nominal RoE overstates real returns. Group RoTE is the blend, tax-adjusted for Pillar Two.</t>
  </si>
  <si>
    <t xml:space="preserve">Relative multiples &amp; normalized earnings power</t>
  </si>
  <si>
    <t xml:space="preserve">P/B–RoTE (Gordon justified) + peer</t>
  </si>
  <si>
    <t xml:space="preserve">Ke</t>
  </si>
  <si>
    <t xml:space="preserve">g</t>
  </si>
  <si>
    <t xml:space="preserve">Justified P/B = (RoTE−g)/(Ke−g)</t>
  </si>
  <si>
    <t xml:space="preserve">Tangible BVPS (QAR)</t>
  </si>
  <si>
    <t xml:space="preserve">Gordon fair value = justified P/B · TBVPS</t>
  </si>
  <si>
    <t xml:space="preserve">Peer / market P/B</t>
  </si>
  <si>
    <t xml:space="preserve">Peer-based value = peer P/B · ordinary BVPS</t>
  </si>
  <si>
    <t xml:space="preserve">Relative fair value (50/50 blend)</t>
  </si>
  <si>
    <t xml:space="preserve">Normalized earnings power (through-cycle)</t>
  </si>
  <si>
    <t xml:space="preserve">Normalized EPS = RoTE · TBVPS</t>
  </si>
  <si>
    <t xml:space="preserve">RoE-consistent payout = 1 − g/RoTE</t>
  </si>
  <si>
    <t xml:space="preserve">Justified P/E (on terminal payout)</t>
  </si>
  <si>
    <t xml:space="preserve">Normalized fair value = EPS · justified P/E</t>
  </si>
  <si>
    <t xml:space="preserve">Peer P/E cross-read · EPS FY25</t>
  </si>
  <si>
    <t xml:space="preserve">For banks the P/B–RoTE lens dominates a raw P/E because low payout understates value (retained earnings compound at RoTE&gt;Ke). Justified P/E shown on the conservative terminal payout for coherence with the DDM.</t>
  </si>
  <si>
    <t xml:space="preserve">Cash-flow cross-check — FCFE / distributable-capital DCF (bank equity DCF)</t>
  </si>
  <si>
    <t xml:space="preserve">Line (QAR mn)</t>
  </si>
  <si>
    <t xml:space="preserve">Net income (EPS·shares)</t>
  </si>
  <si>
    <t xml:space="preserve">Risk-weighted assets (RWA)</t>
  </si>
  <si>
    <t xml:space="preserve">Required CET1 capital = RWA·target</t>
  </si>
  <si>
    <t xml:space="preserve">Δ required capital</t>
  </si>
  <si>
    <t xml:space="preserve">FCFE = NI − Δ required capital</t>
  </si>
  <si>
    <t xml:space="preserve">FCFE per share (QAR)</t>
  </si>
  <si>
    <t xml:space="preserve">Discount factor</t>
  </si>
  <si>
    <t xml:space="preserve">PV of FCFE per share</t>
  </si>
  <si>
    <t xml:space="preserve">Σ PV explicit FCFE/sh</t>
  </si>
  <si>
    <t xml:space="preserve">Terminal FCFE/sh = EPS30·(1+g)·term-payout</t>
  </si>
  <si>
    <t xml:space="preserve">Terminal value/sh = /(Ke−g)</t>
  </si>
  <si>
    <t xml:space="preserve">PV of terminal value/sh</t>
  </si>
  <si>
    <t xml:space="preserve">FCFE-DCF fair value (QAR/share)</t>
  </si>
  <si>
    <t xml:space="preserve">TV as % of value  (disclose)</t>
  </si>
  <si>
    <t xml:space="preserve">Bank equity-DCF: free cash flow to equity = earnings less the capital that must be retained to fund RWA growth at the CET1 target. Above the actual-policy DDM because it distributes full capacity. The excess-capital ceiling (RoE-consistent payout) is reported in §1.7 as the crux upper bound.</t>
  </si>
  <si>
    <t xml:space="preserve">Appendix A.1 — Income statement (consolidated, QAR mn) · 3y actual + 5y forecast</t>
  </si>
  <si>
    <t xml:space="preserve">QAR mn</t>
  </si>
  <si>
    <t xml:space="preserve">FY23</t>
  </si>
  <si>
    <t xml:space="preserve">FY24</t>
  </si>
  <si>
    <t xml:space="preserve">Operating income</t>
  </si>
  <si>
    <t xml:space="preserve">Operating expenses (= −C/I·OpInc)</t>
  </si>
  <si>
    <t xml:space="preserve">Pre-provision operating profit</t>
  </si>
  <si>
    <t xml:space="preserve">Net loan-loss / ECL charge</t>
  </si>
  <si>
    <t xml:space="preserve">Profit before tax</t>
  </si>
  <si>
    <t xml:space="preserve">Tax (incl. Pillar Two from FY25)</t>
  </si>
  <si>
    <t xml:space="preserve">Net profit (incl. NCI &amp; AT1)</t>
  </si>
  <si>
    <t xml:space="preserve">Attributable EPS (QAR)</t>
  </si>
  <si>
    <t xml:space="preserve">Actuals from QNB Group FY23/24/25 results (qnb.com). FY25 net profit +1.7% vs +10% pre-tax reflects Pillar Two (15% global minimum tax). Forecast opex modelled at ~24% C/I and ECL at ~19% of operating income; every forecast EPS links to the DDM sheet.</t>
  </si>
  <si>
    <t xml:space="preserve">Appendix A.2 — Balance sheet (consolidated, QAR mn) · 3y actual + 5y forecast</t>
  </si>
  <si>
    <t xml:space="preserve">Loans &amp; advances</t>
  </si>
  <si>
    <t xml:space="preserve">Investment &amp; other assets</t>
  </si>
  <si>
    <t xml:space="preserve">Total assets</t>
  </si>
  <si>
    <t xml:space="preserve">Customer deposits</t>
  </si>
  <si>
    <t xml:space="preserve">Other liabilities &amp; debt (plug)</t>
  </si>
  <si>
    <t xml:space="preserve">Total equity</t>
  </si>
  <si>
    <t xml:space="preserve">Check: A = L + E</t>
  </si>
  <si>
    <t xml:space="preserve">CET1 / CAR (%)</t>
  </si>
  <si>
    <t xml:space="preserve">Total assets = loans + investments; equity rolls forward as prior equity + retained earnings (net profit × [1 − payout]). Deposits/assets grow with the RWA-growth driver on Assumptions. FY25: assets QAR 1,391bn, loans 1,018bn, deposits 955bn, equity 125bn.</t>
  </si>
  <si>
    <t xml:space="preserve">Appendix A.3 — Capital generation &amp; distribution (QAR mn) · 3y actual + 5y forecast</t>
  </si>
  <si>
    <t xml:space="preserve">Net profit</t>
  </si>
  <si>
    <t xml:space="preserve">Less: capital retained for RWA growth</t>
  </si>
  <si>
    <t xml:space="preserve">Distributable capital (FCFE)</t>
  </si>
  <si>
    <t xml:space="preserve">Cash dividends paid</t>
  </si>
  <si>
    <t xml:space="preserve">Share buyback (actual FY25)</t>
  </si>
  <si>
    <t xml:space="preserve">Retained / excess capital build</t>
  </si>
  <si>
    <t xml:space="preserve">Bank cash-flow analogue: distributable capital = net profit less the capital retained to fund RWA growth at the CET1 target. FY25 buyback QAR 2.1bn (123.1mn shares). The gap between FCFE and dividends is the excess-capital build — the crux for the DDM-vs-FCFE spread.</t>
  </si>
  <si>
    <t xml:space="preserve">Summary financials (every cell links to the statement sheets)</t>
  </si>
  <si>
    <t xml:space="preserve">Pre-provision profit</t>
  </si>
  <si>
    <t xml:space="preserve">Dividends paid</t>
  </si>
  <si>
    <t xml:space="preserve">All green — pure cross-sheet links to the Income Statement, Balance Sheet and Cash Flow sheets. No hard-coded duplicates.</t>
  </si>
  <si>
    <t xml:space="preserve">Monte Carlo — YZ-HAR width · t5 shape · zero secular drift (non-EGX) · 16 factors</t>
  </si>
  <si>
    <t xml:space="preserve">Engine</t>
  </si>
  <si>
    <t xml:space="preserve">Anchor spot (QAR)</t>
  </si>
  <si>
    <t xml:space="preserve">Forecast ann. vol (HAR)</t>
  </si>
  <si>
    <t xml:space="preserve">Paths</t>
  </si>
  <si>
    <t xml:space="preserve">Seed</t>
  </si>
  <si>
    <t xml:space="preserve">Secular drift (non-EGX)</t>
  </si>
  <si>
    <t xml:space="preserve">Net continuous drift (3m)</t>
  </si>
  <si>
    <t xml:space="preserve">Net event contribution (3m)</t>
  </si>
  <si>
    <t xml:space="preserve">Net total 3m contribution</t>
  </si>
  <si>
    <t xml:space="preserve">Percentile map (QAR/share)</t>
  </si>
  <si>
    <t xml:space="preserve">Horizon</t>
  </si>
  <si>
    <t xml:space="preserve">p5</t>
  </si>
  <si>
    <t xml:space="preserve">p25</t>
  </si>
  <si>
    <t xml:space="preserve">p50</t>
  </si>
  <si>
    <t xml:space="preserve">p75</t>
  </si>
  <si>
    <t xml:space="preserve">p95</t>
  </si>
  <si>
    <t xml:space="preserve">T+20 sessions</t>
  </si>
  <si>
    <t xml:space="preserve">T+60 sessions</t>
  </si>
  <si>
    <t xml:space="preserve">Factor stack (7 continuous + 9 discrete)</t>
  </si>
  <si>
    <t xml:space="preserve">Continuous factor</t>
  </si>
  <si>
    <t xml:space="preserve">Dir.</t>
  </si>
  <si>
    <t xml:space="preserve">Discrete event</t>
  </si>
  <si>
    <t xml:space="preserve">Prob.</t>
  </si>
  <si>
    <t xml:space="preserve">Mean</t>
  </si>
  <si>
    <t xml:space="preserve">QCB policy-rate path (Fed-linked)</t>
  </si>
  <si>
    <t xml:space="preserve">-</t>
  </si>
  <si>
    <t xml:space="preserve">Regional geopolitical / Gulf-security shock</t>
  </si>
  <si>
    <t xml:space="preserve">Hydrocarbon / Qatar sovereign liquidity</t>
  </si>
  <si>
    <t xml:space="preserve">+</t>
  </si>
  <si>
    <t xml:space="preserve">Oil-price regime shift (Brent)</t>
  </si>
  <si>
    <t xml:space="preserve">QAR peg stability (USD peg)</t>
  </si>
  <si>
    <t xml:space="preserve">0</t>
  </si>
  <si>
    <t xml:space="preserve">Sovereign rating / QAR-peg action</t>
  </si>
  <si>
    <t xml:space="preserve">QE Index &amp; foreign / MSCI flows</t>
  </si>
  <si>
    <t xml:space="preserve">Global rate-path surprise (Fed pivot)</t>
  </si>
  <si>
    <t xml:space="preserve">Regional private-sector credit growth</t>
  </si>
  <si>
    <t xml:space="preserve">Quarterly earnings surprise (NIM/fees/tax)</t>
  </si>
  <si>
    <t xml:space="preserve">Turkey / Egypt EM translation</t>
  </si>
  <si>
    <t xml:space="preserve">Asset-quality / ECL shift (EM exposure)</t>
  </si>
  <si>
    <t xml:space="preserve">Global-minimum-tax (Pillar Two) drift</t>
  </si>
  <si>
    <t xml:space="preserve">Capital action / dividend-policy change</t>
  </si>
  <si>
    <t xml:space="preserve">MSCI / index reweighting or large flow</t>
  </si>
  <si>
    <t xml:space="preserve">Pillar-Two / tax-regime step</t>
  </si>
  <si>
    <t xml:space="preserve">Paths diffuse from spot; the §1 value gap is kept out of the drift (lens independence). Width from the pooled log-HAR cascade on a gap-aware Yang-Zhang proxy; shape unit-variance Student-t(5) via a per-path chi-square mixture; zero secular drift for a non-EGX name.</t>
  </si>
  <si>
    <t xml:space="preserve">Sensitivity — DDM fair value across Ke × terminal-g  (§3.5-G grid)</t>
  </si>
  <si>
    <t xml:space="preserve">Ke  \  g</t>
  </si>
  <si>
    <t xml:space="preserve">Two-stage DDM re-priced across cost of equity and terminal growth. Base = Ke 10.5% / g 4.75% (shaded band near spot). The high terminal-value share makes the valuation a Ke-minus-g bet — this grid is the disclosure (device A-7 / §3.5-G).</t>
  </si>
  <si>
    <t xml:space="preserve">Per-share &amp; ratios — the standardized dashboard</t>
  </si>
  <si>
    <t xml:space="preserve">P/E (× on spot)</t>
  </si>
  <si>
    <t xml:space="preserve">Dividend yield (on spot)</t>
  </si>
  <si>
    <t xml:space="preserve">BVPS (ordinary, QAR)</t>
  </si>
  <si>
    <t xml:space="preserve">P/B (× on spot)</t>
  </si>
  <si>
    <t xml:space="preserve">Net interest margin</t>
  </si>
  <si>
    <t xml:space="preserve">Cost/income</t>
  </si>
  <si>
    <t xml:space="preserve">NPL ratio</t>
  </si>
  <si>
    <t xml:space="preserve">Cost of risk</t>
  </si>
  <si>
    <t xml:space="preserve">CAR</t>
  </si>
  <si>
    <t xml:space="preserve">The fixed per-name panel (EFG 'Data Miner' analogue). Ratios on spot QAR 17.54. NIM, cost-of-risk and CAR forecasts are the preparer's flagged estimates consistent with FY25 guidance (NIM 260–265bps, CoR 85–90bps).</t>
  </si>
  <si>
    <t xml:space="preserve">Peer set &amp; sector — GCC banks (dated, indicative)</t>
  </si>
  <si>
    <t xml:space="preserve">Bank</t>
  </si>
  <si>
    <t xml:space="preserve">P/B (×)</t>
  </si>
  <si>
    <t xml:space="preserve">P/E (×)</t>
  </si>
  <si>
    <t xml:space="preserve">RoE</t>
  </si>
  <si>
    <t xml:space="preserve">Div yld</t>
  </si>
  <si>
    <t xml:space="preserve">QNB Group (QNBK)</t>
  </si>
  <si>
    <t xml:space="preserve">This study</t>
  </si>
  <si>
    <t xml:space="preserve">Al Rajhi (1120)</t>
  </si>
  <si>
    <t xml:space="preserve">Islamic premium</t>
  </si>
  <si>
    <t xml:space="preserve">First Abu Dhabi (FAB)</t>
  </si>
  <si>
    <t xml:space="preserve">Largest UAE</t>
  </si>
  <si>
    <t xml:space="preserve">Emirates NBD</t>
  </si>
  <si>
    <t xml:space="preserve">Turkey/EM drag</t>
  </si>
  <si>
    <t xml:space="preserve">Saudi National Bank</t>
  </si>
  <si>
    <t xml:space="preserve">Biggest by equity</t>
  </si>
  <si>
    <t xml:space="preserve">Commercial Bank of Qatar</t>
  </si>
  <si>
    <t xml:space="preserve">Cheapest Qatari</t>
  </si>
  <si>
    <t xml:space="preserve">Qatar Islamic Bank</t>
  </si>
  <si>
    <t xml:space="preserve">Qatar Islamic</t>
  </si>
  <si>
    <t xml:space="preserve">Peer median (ex-Rajhi)</t>
  </si>
  <si>
    <t xml:space="preserve">Multiples are indicative and dated (mid-2025 to mid-2026 range); they move continuously. QNB at ~1.48× P/B on ~15% RoE sits a premium to CBQ/SAB (0.7–0.9×) and far below Al Rajhi (~4×). Source: AGBI, Bloomberg Intelligence, exchange data.</t>
  </si>
</sst>
</file>

<file path=xl/styles.xml><?xml version="1.0" encoding="utf-8"?>
<styleSheet xmlns="http://schemas.openxmlformats.org/spreadsheetml/2006/main">
  <numFmts count="9">
    <numFmt numFmtId="164" formatCode="General"/>
    <numFmt numFmtId="165" formatCode="#,##0.00"/>
    <numFmt numFmtId="166" formatCode="0.0%"/>
    <numFmt numFmtId="167" formatCode="#,##0;\(#,##0\);\-"/>
    <numFmt numFmtId="168" formatCode="0.00"/>
    <numFmt numFmtId="169" formatCode="0.00%"/>
    <numFmt numFmtId="170" formatCode="0.00\x"/>
    <numFmt numFmtId="171" formatCode="0.0000"/>
    <numFmt numFmtId="172" formatCode="0"/>
  </numFmts>
  <fonts count="12">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sz val="10"/>
      <color rgb="FF000000"/>
      <name val="Arial"/>
      <family val="0"/>
      <charset val="1"/>
    </font>
    <font>
      <b val="true"/>
      <sz val="10"/>
      <color rgb="FF000000"/>
      <name val="Arial"/>
      <family val="0"/>
      <charset val="1"/>
    </font>
    <font>
      <sz val="10"/>
      <color rgb="FF0000CC"/>
      <name val="Arial"/>
      <family val="0"/>
      <charset val="1"/>
    </font>
    <font>
      <sz val="10"/>
      <color rgb="FF127A2E"/>
      <name val="Arial"/>
      <family val="0"/>
      <charset val="1"/>
    </font>
    <font>
      <b val="true"/>
      <sz val="11"/>
      <name val="Arial"/>
      <family val="0"/>
      <charset val="1"/>
    </font>
    <font>
      <i val="true"/>
      <sz val="8"/>
      <color rgb="FF667070"/>
      <name val="Arial"/>
      <family val="0"/>
      <charset val="1"/>
    </font>
    <font>
      <b val="true"/>
      <sz val="11"/>
      <color rgb="FF2E6E68"/>
      <name val="Arial"/>
      <family val="0"/>
      <charset val="1"/>
    </font>
  </fonts>
  <fills count="5">
    <fill>
      <patternFill patternType="none"/>
    </fill>
    <fill>
      <patternFill patternType="gray125"/>
    </fill>
    <fill>
      <patternFill patternType="solid">
        <fgColor rgb="FF1C3A36"/>
        <bgColor rgb="FF333300"/>
      </patternFill>
    </fill>
    <fill>
      <patternFill patternType="solid">
        <fgColor rgb="FFF2ECDD"/>
        <bgColor rgb="FFDCEAE8"/>
      </patternFill>
    </fill>
    <fill>
      <patternFill patternType="solid">
        <fgColor rgb="FFDCEAE8"/>
        <bgColor rgb="FFF2ECDD"/>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5" fontId="7" fillId="3" borderId="0" xfId="0" applyFont="true" applyBorder="false" applyAlignment="false" applyProtection="false">
      <alignment horizontal="general" vertical="bottom" textRotation="0" wrapText="false" indent="0" shrinkToFit="false"/>
      <protection locked="true" hidden="false"/>
    </xf>
    <xf numFmtId="165" fontId="9" fillId="3" borderId="0" xfId="0" applyFont="true" applyBorder="false" applyAlignment="false" applyProtection="false">
      <alignment horizontal="general" vertical="bottom" textRotation="0" wrapText="false" indent="0" shrinkToFit="false"/>
      <protection locked="true" hidden="false"/>
    </xf>
    <xf numFmtId="166" fontId="5" fillId="3"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left" vertical="top" textRotation="0" wrapText="tru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11"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right" vertical="bottom" textRotation="0" wrapText="false" indent="0" shrinkToFit="false"/>
      <protection locked="true" hidden="false"/>
    </xf>
    <xf numFmtId="167" fontId="7" fillId="0" borderId="0" xfId="0" applyFont="true" applyBorder="false" applyAlignment="true" applyProtection="false">
      <alignment horizontal="right" vertical="bottom" textRotation="0" wrapText="false" indent="0" shrinkToFit="false"/>
      <protection locked="true" hidden="false"/>
    </xf>
    <xf numFmtId="168" fontId="7" fillId="0" borderId="0" xfId="0" applyFont="true" applyBorder="false" applyAlignment="true" applyProtection="false">
      <alignment horizontal="right" vertical="bottom" textRotation="0" wrapText="false" indent="0" shrinkToFit="false"/>
      <protection locked="true" hidden="false"/>
    </xf>
    <xf numFmtId="169" fontId="7" fillId="0" borderId="0" xfId="0" applyFont="true" applyBorder="false" applyAlignment="true" applyProtection="false">
      <alignment horizontal="righ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true" applyProtection="false">
      <alignment horizontal="right" vertical="bottom" textRotation="0" wrapText="false" indent="0" shrinkToFit="false"/>
      <protection locked="true" hidden="false"/>
    </xf>
    <xf numFmtId="166" fontId="7" fillId="0" borderId="0" xfId="0" applyFont="true" applyBorder="false" applyAlignment="true" applyProtection="false">
      <alignment horizontal="right" vertical="bottom" textRotation="0" wrapText="fals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true" applyProtection="false">
      <alignment horizontal="right"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left" vertical="bottom" textRotation="0" wrapText="false" indent="0" shrinkToFit="false"/>
      <protection locked="true" hidden="false"/>
    </xf>
    <xf numFmtId="164" fontId="6" fillId="3" borderId="0" xfId="0" applyFont="true" applyBorder="false" applyAlignment="true" applyProtection="false">
      <alignment horizontal="right" vertical="bottom" textRotation="0" wrapText="fals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right" vertical="bottom" textRotation="0" wrapText="false" indent="0" shrinkToFit="false"/>
      <protection locked="true" hidden="false"/>
    </xf>
    <xf numFmtId="169" fontId="8" fillId="0" borderId="0" xfId="0" applyFont="true" applyBorder="false" applyAlignment="true" applyProtection="false">
      <alignment horizontal="right" vertical="bottom" textRotation="0" wrapText="false" indent="0" shrinkToFit="false"/>
      <protection locked="true" hidden="false"/>
    </xf>
    <xf numFmtId="170" fontId="5" fillId="0" borderId="0" xfId="0" applyFont="true" applyBorder="false" applyAlignment="true" applyProtection="false">
      <alignment horizontal="right" vertical="bottom" textRotation="0" wrapText="false" indent="0" shrinkToFit="false"/>
      <protection locked="true" hidden="false"/>
    </xf>
    <xf numFmtId="165" fontId="8" fillId="0" borderId="0" xfId="0" applyFont="true" applyBorder="false" applyAlignment="true" applyProtection="false">
      <alignment horizontal="right" vertical="bottom" textRotation="0" wrapText="false" indent="0" shrinkToFit="false"/>
      <protection locked="true" hidden="false"/>
    </xf>
    <xf numFmtId="165" fontId="5" fillId="0" borderId="0" xfId="0" applyFont="true" applyBorder="false" applyAlignment="true" applyProtection="false">
      <alignment horizontal="right" vertical="bottom" textRotation="0" wrapText="false" indent="0" shrinkToFit="false"/>
      <protection locked="true" hidden="false"/>
    </xf>
    <xf numFmtId="170" fontId="8" fillId="0" borderId="0" xfId="0" applyFont="true" applyBorder="false" applyAlignment="true" applyProtection="false">
      <alignment horizontal="right" vertical="bottom" textRotation="0" wrapText="false" indent="0" shrinkToFit="false"/>
      <protection locked="true" hidden="false"/>
    </xf>
    <xf numFmtId="166" fontId="5" fillId="0" borderId="0" xfId="0" applyFont="true" applyBorder="false" applyAlignment="true" applyProtection="false">
      <alignment horizontal="right"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72" fontId="7" fillId="0" borderId="0" xfId="0" applyFont="true" applyBorder="false" applyAlignment="true" applyProtection="false">
      <alignment horizontal="right" vertical="bottom" textRotation="0" wrapText="false" indent="0" shrinkToFit="false"/>
      <protection locked="true" hidden="false"/>
    </xf>
    <xf numFmtId="169" fontId="6" fillId="3" borderId="0" xfId="0" applyFont="true" applyBorder="false" applyAlignment="true" applyProtection="false">
      <alignment horizontal="right"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65" fontId="5" fillId="3"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CC"/>
      <rgbColor rgb="FFFFFF00"/>
      <rgbColor rgb="FFFF00FF"/>
      <rgbColor rgb="FF00FFFF"/>
      <rgbColor rgb="FF800000"/>
      <rgbColor rgb="FF127A2E"/>
      <rgbColor rgb="FF000080"/>
      <rgbColor rgb="FF808000"/>
      <rgbColor rgb="FF800080"/>
      <rgbColor rgb="FF2E6E68"/>
      <rgbColor rgb="FFC0C0C0"/>
      <rgbColor rgb="FF808080"/>
      <rgbColor rgb="FF9999FF"/>
      <rgbColor rgb="FF993366"/>
      <rgbColor rgb="FFF2ECDD"/>
      <rgbColor rgb="FFDCEAE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7070"/>
      <rgbColor rgb="FF969696"/>
      <rgbColor rgb="FF003366"/>
      <rgbColor rgb="FF339966"/>
      <rgbColor rgb="FF003300"/>
      <rgbColor rgb="FF333300"/>
      <rgbColor rgb="FF993300"/>
      <rgbColor rgb="FF993366"/>
      <rgbColor rgb="FF333399"/>
      <rgbColor rgb="FF1C3A3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24" hidden="false" customHeight="true" outlineLevel="0" collapsed="false">
      <c r="A1" s="1" t="s">
        <v>0</v>
      </c>
      <c r="B1" s="1"/>
      <c r="C1" s="1"/>
      <c r="D1" s="1"/>
      <c r="E1" s="1"/>
      <c r="F1" s="1"/>
      <c r="G1" s="1"/>
      <c r="H1" s="1"/>
    </row>
    <row r="3" customFormat="false" ht="15" hidden="false" customHeight="true" outlineLevel="0" collapsed="false">
      <c r="A3" s="2" t="s">
        <v>1</v>
      </c>
    </row>
    <row r="4" customFormat="false" ht="15" hidden="false" customHeight="false" outlineLevel="0" collapsed="false">
      <c r="A4" s="2"/>
    </row>
    <row r="5" customFormat="false" ht="15" hidden="false" customHeight="false" outlineLevel="0" collapsed="false">
      <c r="A5" s="2"/>
    </row>
    <row r="6" customFormat="false" ht="15" hidden="false" customHeight="false" outlineLevel="0" collapsed="false">
      <c r="A6" s="2"/>
    </row>
    <row r="7" customFormat="false" ht="15" hidden="false" customHeight="false" outlineLevel="0" collapsed="false">
      <c r="A7" s="2"/>
    </row>
    <row r="8" customFormat="false" ht="15" hidden="false" customHeight="false" outlineLevel="0" collapsed="false">
      <c r="A8" s="2"/>
    </row>
    <row r="9" customFormat="false" ht="15" hidden="false" customHeight="false" outlineLevel="0" collapsed="false">
      <c r="A9" s="2"/>
    </row>
    <row r="10" customFormat="false" ht="15" hidden="false" customHeight="false" outlineLevel="0" collapsed="false">
      <c r="A10" s="2"/>
    </row>
    <row r="11" customFormat="false" ht="15" hidden="false" customHeight="false" outlineLevel="0" collapsed="false">
      <c r="A11" s="2"/>
    </row>
    <row r="12" customFormat="false" ht="15" hidden="false" customHeight="false" outlineLevel="0" collapsed="false">
      <c r="A12" s="2"/>
    </row>
  </sheetData>
  <mergeCells count="2">
    <mergeCell ref="A1:H1"/>
    <mergeCell ref="A3:A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5" min="2" style="0" width="14"/>
  </cols>
  <sheetData>
    <row r="1" customFormat="false" ht="24" hidden="false" customHeight="true" outlineLevel="0" collapsed="false">
      <c r="A1" s="1" t="s">
        <v>2</v>
      </c>
      <c r="B1" s="1"/>
      <c r="C1" s="1"/>
      <c r="D1" s="1"/>
      <c r="E1" s="1"/>
      <c r="F1" s="1"/>
      <c r="G1" s="1"/>
      <c r="H1" s="1"/>
    </row>
    <row r="3" customFormat="false" ht="15" hidden="false" customHeight="false" outlineLevel="0" collapsed="false">
      <c r="A3" s="3" t="s">
        <v>3</v>
      </c>
      <c r="B3" s="3" t="s">
        <v>4</v>
      </c>
      <c r="C3" s="3" t="s">
        <v>5</v>
      </c>
      <c r="D3" s="3" t="s">
        <v>6</v>
      </c>
      <c r="E3" s="3" t="s">
        <v>7</v>
      </c>
    </row>
    <row r="4" customFormat="false" ht="15" hidden="false" customHeight="false" outlineLevel="0" collapsed="false">
      <c r="A4" s="4" t="s">
        <v>8</v>
      </c>
      <c r="B4" s="5" t="n">
        <v>13.21</v>
      </c>
      <c r="C4" s="6" t="n">
        <f aca="false">DDM!$B$17</f>
        <v>18.6779652311178</v>
      </c>
      <c r="D4" s="5" t="n">
        <v>29.25</v>
      </c>
      <c r="E4" s="7" t="n">
        <f aca="false">C4/Assumptions!$B$4-1</f>
        <v>0.0648782913978239</v>
      </c>
    </row>
    <row r="5" customFormat="false" ht="15" hidden="false" customHeight="false" outlineLevel="0" collapsed="false">
      <c r="A5" s="4" t="s">
        <v>9</v>
      </c>
      <c r="B5" s="5" t="n">
        <v>14.91</v>
      </c>
      <c r="C5" s="6" t="n">
        <f aca="false">DCF!$B$21</f>
        <v>20.1854863316083</v>
      </c>
      <c r="D5" s="5" t="n">
        <v>28.79</v>
      </c>
      <c r="E5" s="7" t="n">
        <f aca="false">C5/Assumptions!$B$4-1</f>
        <v>0.150825902600247</v>
      </c>
    </row>
    <row r="6" customFormat="false" ht="15" hidden="false" customHeight="false" outlineLevel="0" collapsed="false">
      <c r="A6" s="4" t="s">
        <v>10</v>
      </c>
      <c r="B6" s="5" t="n">
        <v>14.42</v>
      </c>
      <c r="C6" s="6" t="n">
        <f aca="false">'Relative &amp; Normalized'!$B$12</f>
        <v>18.1743879310345</v>
      </c>
      <c r="D6" s="5" t="n">
        <v>24.53</v>
      </c>
      <c r="E6" s="7" t="n">
        <f aca="false">C6/Assumptions!$B$4-1</f>
        <v>0.0361680690441553</v>
      </c>
    </row>
    <row r="7" customFormat="false" ht="15" hidden="false" customHeight="false" outlineLevel="0" collapsed="false">
      <c r="A7" s="4" t="s">
        <v>11</v>
      </c>
      <c r="B7" s="5" t="n">
        <v>13.97</v>
      </c>
      <c r="C7" s="6" t="n">
        <f aca="false">'Relative &amp; Normalized'!$B$18</f>
        <v>17.5822875</v>
      </c>
      <c r="D7" s="5" t="n">
        <v>29.8</v>
      </c>
      <c r="E7" s="7" t="n">
        <f aca="false">C7/Assumptions!$B$4-1</f>
        <v>0.00241091790193804</v>
      </c>
    </row>
    <row r="8" customFormat="false" ht="15" hidden="false" customHeight="false" outlineLevel="0" collapsed="false">
      <c r="A8" s="3" t="s">
        <v>12</v>
      </c>
      <c r="B8" s="8" t="n">
        <v>13.97</v>
      </c>
      <c r="C8" s="9" t="n">
        <f aca="false">DDM!$B$17*Assumptions!$B$30+DCF!$B$21*Assumptions!$B$31+'Relative &amp; Normalized'!$B$12*Assumptions!$B$32+'Relative &amp; Normalized'!$B$18*Assumptions!$B$33</f>
        <v>18.7601733650044</v>
      </c>
      <c r="D8" s="8" t="n">
        <v>28.54</v>
      </c>
      <c r="E8" s="10" t="n">
        <f aca="false">C8/Assumptions!$B$4-1</f>
        <v>0.0695651861462023</v>
      </c>
    </row>
    <row r="10" customFormat="false" ht="15" hidden="false" customHeight="false" outlineLevel="0" collapsed="false">
      <c r="A10" s="4" t="s">
        <v>13</v>
      </c>
      <c r="B10" s="6" t="n">
        <f aca="false">Assumptions!$B$4</f>
        <v>17.54</v>
      </c>
    </row>
    <row r="11" customFormat="false" ht="15" hidden="false" customHeight="false" outlineLevel="0" collapsed="false">
      <c r="A11" s="4" t="s">
        <v>14</v>
      </c>
      <c r="B11" s="5" t="n">
        <v>17.24</v>
      </c>
    </row>
    <row r="13" customFormat="false" ht="15" hidden="false" customHeight="true" outlineLevel="0" collapsed="false">
      <c r="A13" s="11" t="s">
        <v>15</v>
      </c>
      <c r="B13" s="11"/>
      <c r="C13" s="11"/>
      <c r="D13" s="11"/>
      <c r="E13" s="11"/>
      <c r="F13" s="11"/>
      <c r="G13" s="11"/>
      <c r="H13" s="11"/>
    </row>
  </sheetData>
  <mergeCells count="2">
    <mergeCell ref="A1:H1"/>
    <mergeCell ref="A13:H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4" min="2" style="0" width="14"/>
  </cols>
  <sheetData>
    <row r="1" customFormat="false" ht="24" hidden="false" customHeight="true" outlineLevel="0" collapsed="false">
      <c r="A1" s="1" t="s">
        <v>16</v>
      </c>
      <c r="B1" s="1"/>
      <c r="C1" s="1"/>
      <c r="D1" s="1"/>
      <c r="E1" s="1"/>
      <c r="F1" s="1"/>
      <c r="G1" s="1"/>
      <c r="H1" s="1"/>
    </row>
    <row r="3" customFormat="false" ht="15" hidden="false" customHeight="false" outlineLevel="0" collapsed="false">
      <c r="A3" s="3" t="s">
        <v>3</v>
      </c>
      <c r="B3" s="3" t="s">
        <v>17</v>
      </c>
      <c r="C3" s="3" t="s">
        <v>18</v>
      </c>
      <c r="D3" s="3" t="s">
        <v>19</v>
      </c>
    </row>
    <row r="4" customFormat="false" ht="15" hidden="false" customHeight="false" outlineLevel="0" collapsed="false">
      <c r="A4" s="4" t="s">
        <v>20</v>
      </c>
      <c r="B4" s="12" t="n">
        <f aca="false">Assumptions!$B$30</f>
        <v>0.4</v>
      </c>
      <c r="C4" s="6" t="n">
        <f aca="false">DDM!$B$17</f>
        <v>18.6779652311178</v>
      </c>
      <c r="D4" s="13" t="n">
        <f aca="false">B4*C4</f>
        <v>7.47118609244713</v>
      </c>
    </row>
    <row r="5" customFormat="false" ht="15" hidden="false" customHeight="false" outlineLevel="0" collapsed="false">
      <c r="A5" s="4" t="s">
        <v>21</v>
      </c>
      <c r="B5" s="12" t="n">
        <f aca="false">Assumptions!$B$31</f>
        <v>0.25</v>
      </c>
      <c r="C5" s="6" t="n">
        <f aca="false">DCF!$B$21</f>
        <v>20.1854863316083</v>
      </c>
      <c r="D5" s="13" t="n">
        <f aca="false">B5*C5</f>
        <v>5.04637158290208</v>
      </c>
    </row>
    <row r="6" customFormat="false" ht="15" hidden="false" customHeight="false" outlineLevel="0" collapsed="false">
      <c r="A6" s="4" t="s">
        <v>22</v>
      </c>
      <c r="B6" s="12" t="n">
        <f aca="false">Assumptions!$B$32</f>
        <v>0.15</v>
      </c>
      <c r="C6" s="6" t="n">
        <f aca="false">'Relative &amp; Normalized'!$B$12</f>
        <v>18.1743879310345</v>
      </c>
      <c r="D6" s="13" t="n">
        <f aca="false">B6*C6</f>
        <v>2.72615818965517</v>
      </c>
    </row>
    <row r="7" customFormat="false" ht="15" hidden="false" customHeight="false" outlineLevel="0" collapsed="false">
      <c r="A7" s="4" t="s">
        <v>23</v>
      </c>
      <c r="B7" s="12" t="n">
        <f aca="false">Assumptions!$B$33</f>
        <v>0.2</v>
      </c>
      <c r="C7" s="6" t="n">
        <f aca="false">'Relative &amp; Normalized'!$B$18</f>
        <v>17.5822875</v>
      </c>
      <c r="D7" s="13" t="n">
        <f aca="false">B7*C7</f>
        <v>3.5164575</v>
      </c>
    </row>
    <row r="8" customFormat="false" ht="15" hidden="false" customHeight="false" outlineLevel="0" collapsed="false">
      <c r="A8" s="3" t="s">
        <v>24</v>
      </c>
      <c r="D8" s="9" t="n">
        <f aca="false">SUM(D4:D7)</f>
        <v>18.7601733650044</v>
      </c>
    </row>
    <row r="9" customFormat="false" ht="15" hidden="false" customHeight="false" outlineLevel="0" collapsed="false">
      <c r="A9" s="4" t="s">
        <v>25</v>
      </c>
      <c r="D9" s="7" t="n">
        <f aca="false">D8/Assumptions!$B$4-1</f>
        <v>0.0695651861462023</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3"/>
    <col collapsed="false" customWidth="true" hidden="false" outlineLevel="0" max="8" min="3" style="0" width="11"/>
  </cols>
  <sheetData>
    <row r="1" customFormat="false" ht="24" hidden="false" customHeight="true" outlineLevel="0" collapsed="false">
      <c r="A1" s="1" t="s">
        <v>26</v>
      </c>
      <c r="B1" s="1"/>
      <c r="C1" s="1"/>
      <c r="D1" s="1"/>
      <c r="E1" s="1"/>
      <c r="F1" s="1"/>
      <c r="G1" s="1"/>
      <c r="H1" s="1"/>
    </row>
    <row r="3" customFormat="false" ht="15" hidden="false" customHeight="false" outlineLevel="0" collapsed="false">
      <c r="A3" s="14" t="s">
        <v>27</v>
      </c>
      <c r="B3" s="15"/>
      <c r="C3" s="15"/>
      <c r="D3" s="15"/>
      <c r="E3" s="15"/>
      <c r="F3" s="15"/>
      <c r="G3" s="15"/>
      <c r="H3" s="15"/>
    </row>
    <row r="4" customFormat="false" ht="15" hidden="false" customHeight="false" outlineLevel="0" collapsed="false">
      <c r="A4" s="4" t="s">
        <v>28</v>
      </c>
      <c r="B4" s="16" t="n">
        <v>17.54</v>
      </c>
    </row>
    <row r="5" customFormat="false" ht="15" hidden="false" customHeight="false" outlineLevel="0" collapsed="false">
      <c r="A5" s="4" t="s">
        <v>29</v>
      </c>
      <c r="B5" s="17" t="n">
        <v>9113</v>
      </c>
    </row>
    <row r="6" customFormat="false" ht="15" hidden="false" customHeight="false" outlineLevel="0" collapsed="false">
      <c r="A6" s="4" t="s">
        <v>30</v>
      </c>
      <c r="B6" s="18" t="n">
        <v>3.64</v>
      </c>
    </row>
    <row r="7" customFormat="false" ht="15" hidden="false" customHeight="false" outlineLevel="0" collapsed="false">
      <c r="A7" s="14" t="s">
        <v>31</v>
      </c>
      <c r="B7" s="15"/>
      <c r="C7" s="15"/>
      <c r="D7" s="15"/>
      <c r="E7" s="15"/>
      <c r="F7" s="15"/>
      <c r="G7" s="15"/>
      <c r="H7" s="15"/>
    </row>
    <row r="8" customFormat="false" ht="15" hidden="false" customHeight="false" outlineLevel="0" collapsed="false">
      <c r="A8" s="4" t="s">
        <v>32</v>
      </c>
      <c r="B8" s="19" t="n">
        <v>0.045</v>
      </c>
    </row>
    <row r="9" customFormat="false" ht="15" hidden="false" customHeight="false" outlineLevel="0" collapsed="false">
      <c r="A9" s="4" t="s">
        <v>33</v>
      </c>
      <c r="B9" s="19" t="n">
        <v>0.055</v>
      </c>
    </row>
    <row r="10" customFormat="false" ht="15" hidden="false" customHeight="false" outlineLevel="0" collapsed="false">
      <c r="A10" s="4" t="s">
        <v>34</v>
      </c>
      <c r="B10" s="18" t="n">
        <v>1.1</v>
      </c>
    </row>
    <row r="11" customFormat="false" ht="15" hidden="false" customHeight="false" outlineLevel="0" collapsed="false">
      <c r="A11" s="20" t="s">
        <v>35</v>
      </c>
      <c r="B11" s="21" t="n">
        <f aca="false">Assumptions!$B$8+Assumptions!$B$10*Assumptions!$B$9</f>
        <v>0.1055</v>
      </c>
    </row>
    <row r="12" customFormat="false" ht="15" hidden="false" customHeight="false" outlineLevel="0" collapsed="false">
      <c r="A12" s="4" t="s">
        <v>36</v>
      </c>
      <c r="B12" s="19" t="n">
        <v>0.0475</v>
      </c>
    </row>
    <row r="13" customFormat="false" ht="15" hidden="false" customHeight="false" outlineLevel="0" collapsed="false">
      <c r="A13" s="4" t="s">
        <v>37</v>
      </c>
      <c r="B13" s="22" t="n">
        <v>0.145</v>
      </c>
    </row>
    <row r="14" customFormat="false" ht="15" hidden="false" customHeight="false" outlineLevel="0" collapsed="false">
      <c r="A14" s="4" t="s">
        <v>38</v>
      </c>
      <c r="B14" s="22" t="n">
        <v>0.6</v>
      </c>
    </row>
    <row r="15" customFormat="false" ht="15" hidden="false" customHeight="false" outlineLevel="0" collapsed="false">
      <c r="A15" s="14" t="s">
        <v>39</v>
      </c>
      <c r="B15" s="15"/>
      <c r="C15" s="15"/>
      <c r="D15" s="15"/>
      <c r="E15" s="15"/>
      <c r="F15" s="15"/>
      <c r="G15" s="15"/>
      <c r="H15" s="15"/>
    </row>
    <row r="16" customFormat="false" ht="15" hidden="false" customHeight="false" outlineLevel="0" collapsed="false">
      <c r="A16" s="4" t="s">
        <v>40</v>
      </c>
      <c r="B16" s="16" t="n">
        <v>1.74</v>
      </c>
    </row>
    <row r="17" customFormat="false" ht="15" hidden="false" customHeight="false" outlineLevel="0" collapsed="false">
      <c r="A17" s="4" t="s">
        <v>41</v>
      </c>
      <c r="B17" s="16" t="n">
        <v>0.725</v>
      </c>
    </row>
    <row r="18" customFormat="false" ht="15" hidden="false" customHeight="false" outlineLevel="0" collapsed="false">
      <c r="A18" s="4" t="s">
        <v>42</v>
      </c>
      <c r="B18" s="17" t="n">
        <v>108000</v>
      </c>
    </row>
    <row r="19" customFormat="false" ht="15" hidden="false" customHeight="false" outlineLevel="0" collapsed="false">
      <c r="A19" s="4" t="s">
        <v>43</v>
      </c>
      <c r="B19" s="16" t="n">
        <v>11.19</v>
      </c>
    </row>
    <row r="20" customFormat="false" ht="15" hidden="false" customHeight="false" outlineLevel="0" collapsed="false">
      <c r="A20" s="4" t="s">
        <v>44</v>
      </c>
      <c r="B20" s="16" t="n">
        <v>11.85</v>
      </c>
    </row>
    <row r="21" customFormat="false" ht="15" hidden="false" customHeight="false" outlineLevel="0" collapsed="false">
      <c r="A21" s="4" t="s">
        <v>45</v>
      </c>
      <c r="B21" s="17" t="n">
        <v>700000</v>
      </c>
    </row>
    <row r="22" customFormat="false" ht="15" hidden="false" customHeight="false" outlineLevel="0" collapsed="false">
      <c r="A22" s="4" t="s">
        <v>46</v>
      </c>
      <c r="B22" s="22" t="n">
        <v>0.125</v>
      </c>
    </row>
    <row r="23" customFormat="false" ht="15" hidden="false" customHeight="false" outlineLevel="0" collapsed="false">
      <c r="A23" s="14" t="s">
        <v>47</v>
      </c>
      <c r="B23" s="15"/>
      <c r="C23" s="23" t="s">
        <v>48</v>
      </c>
      <c r="D23" s="23" t="s">
        <v>49</v>
      </c>
      <c r="E23" s="23" t="s">
        <v>50</v>
      </c>
      <c r="F23" s="23" t="s">
        <v>51</v>
      </c>
      <c r="G23" s="23" t="s">
        <v>52</v>
      </c>
      <c r="H23" s="15"/>
    </row>
    <row r="24" customFormat="false" ht="15" hidden="false" customHeight="false" outlineLevel="0" collapsed="false">
      <c r="A24" s="4" t="s">
        <v>53</v>
      </c>
      <c r="C24" s="22" t="n">
        <v>0.04</v>
      </c>
      <c r="D24" s="22" t="n">
        <v>0.055</v>
      </c>
      <c r="E24" s="22" t="n">
        <v>0.065</v>
      </c>
      <c r="F24" s="22" t="n">
        <v>0.07</v>
      </c>
      <c r="G24" s="22" t="n">
        <v>0.07</v>
      </c>
    </row>
    <row r="25" customFormat="false" ht="15" hidden="false" customHeight="false" outlineLevel="0" collapsed="false">
      <c r="A25" s="4" t="s">
        <v>54</v>
      </c>
      <c r="C25" s="22" t="n">
        <v>0.43</v>
      </c>
      <c r="D25" s="22" t="n">
        <v>0.44</v>
      </c>
      <c r="E25" s="22" t="n">
        <v>0.45</v>
      </c>
      <c r="F25" s="22" t="n">
        <v>0.46</v>
      </c>
      <c r="G25" s="22" t="n">
        <v>0.47</v>
      </c>
    </row>
    <row r="26" customFormat="false" ht="15" hidden="false" customHeight="false" outlineLevel="0" collapsed="false">
      <c r="A26" s="4" t="s">
        <v>55</v>
      </c>
      <c r="C26" s="22" t="n">
        <v>0.075</v>
      </c>
      <c r="D26" s="22" t="n">
        <v>0.07</v>
      </c>
      <c r="E26" s="22" t="n">
        <v>0.065</v>
      </c>
      <c r="F26" s="22" t="n">
        <v>0.06</v>
      </c>
      <c r="G26" s="22" t="n">
        <v>0.055</v>
      </c>
    </row>
    <row r="27" customFormat="false" ht="15" hidden="false" customHeight="false" outlineLevel="0" collapsed="false">
      <c r="A27" s="14" t="s">
        <v>56</v>
      </c>
      <c r="B27" s="15"/>
      <c r="C27" s="15"/>
      <c r="D27" s="15"/>
      <c r="E27" s="15"/>
      <c r="F27" s="15"/>
      <c r="G27" s="15"/>
      <c r="H27" s="15"/>
    </row>
    <row r="28" customFormat="false" ht="15" hidden="false" customHeight="false" outlineLevel="0" collapsed="false">
      <c r="A28" s="4" t="s">
        <v>57</v>
      </c>
      <c r="B28" s="24" t="n">
        <v>1.48</v>
      </c>
    </row>
    <row r="29" customFormat="false" ht="15" hidden="false" customHeight="false" outlineLevel="0" collapsed="false">
      <c r="A29" s="4" t="s">
        <v>58</v>
      </c>
      <c r="B29" s="24" t="n">
        <v>10.5</v>
      </c>
    </row>
    <row r="30" customFormat="false" ht="15" hidden="false" customHeight="false" outlineLevel="0" collapsed="false">
      <c r="A30" s="4" t="s">
        <v>59</v>
      </c>
      <c r="B30" s="22" t="n">
        <v>0.4</v>
      </c>
    </row>
    <row r="31" customFormat="false" ht="15" hidden="false" customHeight="false" outlineLevel="0" collapsed="false">
      <c r="A31" s="4" t="s">
        <v>60</v>
      </c>
      <c r="B31" s="22" t="n">
        <v>0.25</v>
      </c>
    </row>
    <row r="32" customFormat="false" ht="15" hidden="false" customHeight="false" outlineLevel="0" collapsed="false">
      <c r="A32" s="4" t="s">
        <v>61</v>
      </c>
      <c r="B32" s="22" t="n">
        <v>0.15</v>
      </c>
    </row>
    <row r="33" customFormat="false" ht="15" hidden="false" customHeight="false" outlineLevel="0" collapsed="false">
      <c r="A33" s="4" t="s">
        <v>62</v>
      </c>
      <c r="B33" s="22" t="n">
        <v>0.2</v>
      </c>
    </row>
    <row r="34" customFormat="false" ht="19.4" hidden="false" customHeight="true" outlineLevel="0" collapsed="false">
      <c r="A34" s="11" t="s">
        <v>63</v>
      </c>
      <c r="B34" s="11"/>
      <c r="C34" s="11"/>
      <c r="D34" s="11"/>
      <c r="E34" s="11"/>
      <c r="F34" s="11"/>
      <c r="G34" s="11"/>
      <c r="H34" s="11"/>
    </row>
  </sheetData>
  <mergeCells count="2">
    <mergeCell ref="A1:H1"/>
    <mergeCell ref="A34:H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7" min="2" style="0" width="12"/>
  </cols>
  <sheetData>
    <row r="1" customFormat="false" ht="24" hidden="false" customHeight="true" outlineLevel="0" collapsed="false">
      <c r="A1" s="1" t="s">
        <v>64</v>
      </c>
      <c r="B1" s="1"/>
      <c r="C1" s="1"/>
      <c r="D1" s="1"/>
      <c r="E1" s="1"/>
      <c r="F1" s="1"/>
      <c r="G1" s="1"/>
      <c r="H1" s="1"/>
    </row>
    <row r="3" customFormat="false" ht="15" hidden="false" customHeight="false" outlineLevel="0" collapsed="false">
      <c r="A3" s="4" t="s">
        <v>35</v>
      </c>
      <c r="B3" s="25" t="n">
        <f aca="false">Assumptions!$B$11</f>
        <v>0.1055</v>
      </c>
    </row>
    <row r="4" customFormat="false" ht="15" hidden="false" customHeight="false" outlineLevel="0" collapsed="false">
      <c r="A4" s="4" t="s">
        <v>36</v>
      </c>
      <c r="B4" s="25" t="n">
        <f aca="false">Assumptions!$B$12</f>
        <v>0.0475</v>
      </c>
    </row>
    <row r="5" customFormat="false" ht="15" hidden="false" customHeight="false" outlineLevel="0" collapsed="false">
      <c r="A5" s="4" t="s">
        <v>65</v>
      </c>
      <c r="B5" s="12" t="n">
        <f aca="false">Assumptions!$B$14</f>
        <v>0.6</v>
      </c>
    </row>
    <row r="7" customFormat="false" ht="15" hidden="false" customHeight="false" outlineLevel="0" collapsed="false">
      <c r="A7" s="26" t="s">
        <v>66</v>
      </c>
      <c r="B7" s="27" t="s">
        <v>67</v>
      </c>
      <c r="C7" s="27" t="s">
        <v>48</v>
      </c>
      <c r="D7" s="27" t="s">
        <v>49</v>
      </c>
      <c r="E7" s="27" t="s">
        <v>50</v>
      </c>
      <c r="F7" s="27" t="s">
        <v>51</v>
      </c>
      <c r="G7" s="27" t="s">
        <v>52</v>
      </c>
    </row>
    <row r="8" customFormat="false" ht="15" hidden="false" customHeight="false" outlineLevel="0" collapsed="false">
      <c r="A8" s="4" t="s">
        <v>68</v>
      </c>
      <c r="B8" s="6" t="n">
        <f aca="false">Assumptions!$B$16</f>
        <v>1.74</v>
      </c>
      <c r="C8" s="13" t="n">
        <f aca="false">B8*(1+Assumptions!$C$24)</f>
        <v>1.8096</v>
      </c>
      <c r="D8" s="13" t="n">
        <f aca="false">C8*(1+Assumptions!$D$24)</f>
        <v>1.909128</v>
      </c>
      <c r="E8" s="13" t="n">
        <f aca="false">D8*(1+Assumptions!$E$24)</f>
        <v>2.03322132</v>
      </c>
      <c r="F8" s="13" t="n">
        <f aca="false">E8*(1+Assumptions!$F$24)</f>
        <v>2.1755468124</v>
      </c>
      <c r="G8" s="13" t="n">
        <f aca="false">F8*(1+Assumptions!$G$24)</f>
        <v>2.327835089268</v>
      </c>
    </row>
    <row r="9" customFormat="false" ht="15" hidden="false" customHeight="false" outlineLevel="0" collapsed="false">
      <c r="A9" s="4" t="s">
        <v>69</v>
      </c>
      <c r="C9" s="12" t="n">
        <f aca="false">Assumptions!$C$25</f>
        <v>0.43</v>
      </c>
      <c r="D9" s="12" t="n">
        <f aca="false">Assumptions!$D$25</f>
        <v>0.44</v>
      </c>
      <c r="E9" s="12" t="n">
        <f aca="false">Assumptions!$E$25</f>
        <v>0.45</v>
      </c>
      <c r="F9" s="12" t="n">
        <f aca="false">Assumptions!$F$25</f>
        <v>0.46</v>
      </c>
      <c r="G9" s="12" t="n">
        <f aca="false">Assumptions!$G$25</f>
        <v>0.47</v>
      </c>
    </row>
    <row r="10" customFormat="false" ht="15" hidden="false" customHeight="false" outlineLevel="0" collapsed="false">
      <c r="A10" s="4" t="s">
        <v>70</v>
      </c>
      <c r="C10" s="13" t="n">
        <f aca="false">C8*C9</f>
        <v>0.778128</v>
      </c>
      <c r="D10" s="13" t="n">
        <f aca="false">D8*D9</f>
        <v>0.84001632</v>
      </c>
      <c r="E10" s="13" t="n">
        <f aca="false">E8*E9</f>
        <v>0.914949594</v>
      </c>
      <c r="F10" s="13" t="n">
        <f aca="false">F8*F9</f>
        <v>1.000751533704</v>
      </c>
      <c r="G10" s="13" t="n">
        <f aca="false">G8*G9</f>
        <v>1.09408249195596</v>
      </c>
    </row>
    <row r="11" customFormat="false" ht="15" hidden="false" customHeight="false" outlineLevel="0" collapsed="false">
      <c r="A11" s="4" t="s">
        <v>71</v>
      </c>
      <c r="C11" s="28" t="n">
        <f aca="false">1/(1+$B$3)^1</f>
        <v>0.904568068747173</v>
      </c>
      <c r="D11" s="28" t="n">
        <f aca="false">1/(1+$B$3)^2</f>
        <v>0.818243390996991</v>
      </c>
      <c r="E11" s="28" t="n">
        <f aca="false">1/(1+$B$3)^3</f>
        <v>0.740156843959286</v>
      </c>
      <c r="F11" s="28" t="n">
        <f aca="false">1/(1+$B$3)^4</f>
        <v>0.669522246910254</v>
      </c>
      <c r="G11" s="28" t="n">
        <f aca="false">1/(1+$B$3)^5</f>
        <v>0.605628445870877</v>
      </c>
    </row>
    <row r="12" customFormat="false" ht="15" hidden="false" customHeight="false" outlineLevel="0" collapsed="false">
      <c r="A12" s="20" t="s">
        <v>72</v>
      </c>
      <c r="C12" s="13" t="n">
        <f aca="false">C10*C11</f>
        <v>0.703869742198101</v>
      </c>
      <c r="D12" s="13" t="n">
        <f aca="false">D10*D11</f>
        <v>0.687337802169613</v>
      </c>
      <c r="E12" s="13" t="n">
        <f aca="false">E10*E11</f>
        <v>0.67720620387687</v>
      </c>
      <c r="F12" s="13" t="n">
        <f aca="false">F10*F11</f>
        <v>0.670025415444385</v>
      </c>
      <c r="G12" s="13" t="n">
        <f aca="false">G10*G11</f>
        <v>0.662607479257824</v>
      </c>
    </row>
    <row r="14" customFormat="false" ht="15" hidden="false" customHeight="false" outlineLevel="0" collapsed="false">
      <c r="A14" s="20" t="s">
        <v>73</v>
      </c>
      <c r="B14" s="13" t="n">
        <f aca="false">SUM(C12:G12)</f>
        <v>3.40104664294679</v>
      </c>
    </row>
    <row r="15" customFormat="false" ht="15" hidden="false" customHeight="false" outlineLevel="0" collapsed="false">
      <c r="A15" s="4" t="s">
        <v>74</v>
      </c>
      <c r="B15" s="13" t="n">
        <f aca="false">G8*(1+$B$4)*$B$5/($B$3-$B$4)</f>
        <v>25.224902648361</v>
      </c>
    </row>
    <row r="16" customFormat="false" ht="15" hidden="false" customHeight="false" outlineLevel="0" collapsed="false">
      <c r="A16" s="20" t="s">
        <v>75</v>
      </c>
      <c r="B16" s="13" t="n">
        <f aca="false">B15*G11</f>
        <v>15.276918588171</v>
      </c>
    </row>
    <row r="17" customFormat="false" ht="15" hidden="false" customHeight="false" outlineLevel="0" collapsed="false">
      <c r="A17" s="3" t="s">
        <v>76</v>
      </c>
      <c r="B17" s="9" t="n">
        <f aca="false">B14+B16</f>
        <v>18.6779652311178</v>
      </c>
    </row>
    <row r="18" customFormat="false" ht="15" hidden="false" customHeight="false" outlineLevel="0" collapsed="false">
      <c r="A18" s="4" t="s">
        <v>77</v>
      </c>
      <c r="B18" s="7" t="n">
        <f aca="false">B16/B17</f>
        <v>0.817911287398662</v>
      </c>
    </row>
    <row r="19" customFormat="false" ht="15" hidden="false" customHeight="false" outlineLevel="0" collapsed="false">
      <c r="A19" s="4" t="s">
        <v>78</v>
      </c>
      <c r="B19" s="7" t="n">
        <f aca="false">B17/Assumptions!$B$4-1</f>
        <v>0.0648782913978239</v>
      </c>
    </row>
    <row r="21" customFormat="false" ht="19.4" hidden="false" customHeight="true" outlineLevel="0" collapsed="false">
      <c r="A21" s="11" t="s">
        <v>79</v>
      </c>
      <c r="B21" s="11"/>
      <c r="C21" s="11"/>
      <c r="D21" s="11"/>
      <c r="E21" s="11"/>
      <c r="F21" s="11"/>
      <c r="G21" s="11"/>
      <c r="H21" s="11"/>
    </row>
  </sheetData>
  <mergeCells count="2">
    <mergeCell ref="A1:H1"/>
    <mergeCell ref="A21:H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5"/>
  </cols>
  <sheetData>
    <row r="1" customFormat="false" ht="24" hidden="false" customHeight="true" outlineLevel="0" collapsed="false">
      <c r="A1" s="1" t="s">
        <v>80</v>
      </c>
      <c r="B1" s="1"/>
      <c r="C1" s="1"/>
      <c r="D1" s="1"/>
      <c r="E1" s="1"/>
      <c r="F1" s="1"/>
      <c r="G1" s="1"/>
      <c r="H1" s="1"/>
    </row>
    <row r="3" customFormat="false" ht="15" hidden="false" customHeight="false" outlineLevel="0" collapsed="false">
      <c r="A3" s="3" t="s">
        <v>81</v>
      </c>
      <c r="B3" s="3" t="s">
        <v>82</v>
      </c>
      <c r="C3" s="3" t="s">
        <v>83</v>
      </c>
      <c r="D3" s="3" t="s">
        <v>84</v>
      </c>
      <c r="E3" s="3" t="s">
        <v>85</v>
      </c>
    </row>
    <row r="4" customFormat="false" ht="15" hidden="false" customHeight="false" outlineLevel="0" collapsed="false">
      <c r="A4" s="4" t="s">
        <v>86</v>
      </c>
      <c r="B4" s="29" t="n">
        <v>0.62</v>
      </c>
      <c r="C4" s="29" t="n">
        <v>0.58</v>
      </c>
      <c r="D4" s="29" t="n">
        <v>0.18</v>
      </c>
      <c r="E4" s="30" t="s">
        <v>87</v>
      </c>
    </row>
    <row r="5" customFormat="false" ht="15" hidden="false" customHeight="false" outlineLevel="0" collapsed="false">
      <c r="A5" s="4" t="s">
        <v>88</v>
      </c>
      <c r="B5" s="29" t="n">
        <v>0.14</v>
      </c>
      <c r="C5" s="29" t="n">
        <v>0.16</v>
      </c>
      <c r="D5" s="29" t="n">
        <v>0.14</v>
      </c>
      <c r="E5" s="30" t="s">
        <v>89</v>
      </c>
    </row>
    <row r="6" customFormat="false" ht="15" hidden="false" customHeight="false" outlineLevel="0" collapsed="false">
      <c r="A6" s="4" t="s">
        <v>90</v>
      </c>
      <c r="B6" s="29" t="n">
        <v>0.1</v>
      </c>
      <c r="C6" s="29" t="n">
        <v>0.07</v>
      </c>
      <c r="D6" s="29" t="n">
        <v>0.28</v>
      </c>
      <c r="E6" s="30" t="s">
        <v>91</v>
      </c>
    </row>
    <row r="7" customFormat="false" ht="15" hidden="false" customHeight="false" outlineLevel="0" collapsed="false">
      <c r="A7" s="4" t="s">
        <v>92</v>
      </c>
      <c r="B7" s="29" t="n">
        <v>0.14</v>
      </c>
      <c r="C7" s="29" t="n">
        <v>0.19</v>
      </c>
      <c r="D7" s="29" t="n">
        <v>0.12</v>
      </c>
      <c r="E7" s="30" t="s">
        <v>93</v>
      </c>
    </row>
    <row r="8" customFormat="false" ht="15" hidden="false" customHeight="false" outlineLevel="0" collapsed="false">
      <c r="A8" s="20" t="s">
        <v>94</v>
      </c>
      <c r="B8" s="7" t="n">
        <f aca="false">SUM(B4:B7)</f>
        <v>1</v>
      </c>
      <c r="C8" s="7" t="n">
        <f aca="false">SUM(C4:C7)</f>
        <v>1</v>
      </c>
    </row>
    <row r="10" customFormat="false" ht="19.4" hidden="false" customHeight="true" outlineLevel="0" collapsed="false">
      <c r="A10" s="11" t="s">
        <v>95</v>
      </c>
      <c r="B10" s="11"/>
      <c r="C10" s="11"/>
      <c r="D10" s="11"/>
      <c r="E10" s="11"/>
      <c r="F10" s="11"/>
      <c r="G10" s="11"/>
      <c r="H10" s="11"/>
    </row>
  </sheetData>
  <mergeCells count="2">
    <mergeCell ref="A1:H1"/>
    <mergeCell ref="A10:H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4" min="2" style="0" width="14"/>
  </cols>
  <sheetData>
    <row r="1" customFormat="false" ht="24" hidden="false" customHeight="true" outlineLevel="0" collapsed="false">
      <c r="A1" s="1" t="s">
        <v>96</v>
      </c>
      <c r="B1" s="1"/>
      <c r="C1" s="1"/>
      <c r="D1" s="1"/>
      <c r="E1" s="1"/>
      <c r="F1" s="1"/>
      <c r="G1" s="1"/>
      <c r="H1" s="1"/>
    </row>
    <row r="3" customFormat="false" ht="15" hidden="false" customHeight="false" outlineLevel="0" collapsed="false">
      <c r="A3" s="14" t="s">
        <v>97</v>
      </c>
      <c r="B3" s="15"/>
      <c r="C3" s="15"/>
      <c r="D3" s="15"/>
      <c r="E3" s="15"/>
      <c r="F3" s="15"/>
      <c r="G3" s="15"/>
      <c r="H3" s="15"/>
    </row>
    <row r="4" customFormat="false" ht="15" hidden="false" customHeight="false" outlineLevel="0" collapsed="false">
      <c r="A4" s="4" t="s">
        <v>37</v>
      </c>
      <c r="B4" s="31" t="n">
        <f aca="false">Assumptions!$B$13</f>
        <v>0.145</v>
      </c>
    </row>
    <row r="5" customFormat="false" ht="15" hidden="false" customHeight="false" outlineLevel="0" collapsed="false">
      <c r="A5" s="4" t="s">
        <v>98</v>
      </c>
      <c r="B5" s="32" t="n">
        <f aca="false">Assumptions!$B$11</f>
        <v>0.1055</v>
      </c>
    </row>
    <row r="6" customFormat="false" ht="15" hidden="false" customHeight="false" outlineLevel="0" collapsed="false">
      <c r="A6" s="4" t="s">
        <v>99</v>
      </c>
      <c r="B6" s="32" t="n">
        <f aca="false">Assumptions!$B$12</f>
        <v>0.0475</v>
      </c>
    </row>
    <row r="7" customFormat="false" ht="15" hidden="false" customHeight="false" outlineLevel="0" collapsed="false">
      <c r="A7" s="4" t="s">
        <v>100</v>
      </c>
      <c r="B7" s="33" t="n">
        <f aca="false">(B4-B6)/(B5-B6)</f>
        <v>1.68103448275862</v>
      </c>
    </row>
    <row r="8" customFormat="false" ht="15" hidden="false" customHeight="false" outlineLevel="0" collapsed="false">
      <c r="A8" s="4" t="s">
        <v>101</v>
      </c>
      <c r="B8" s="34" t="n">
        <f aca="false">Assumptions!$B$19</f>
        <v>11.19</v>
      </c>
    </row>
    <row r="9" customFormat="false" ht="15" hidden="false" customHeight="false" outlineLevel="0" collapsed="false">
      <c r="A9" s="20" t="s">
        <v>102</v>
      </c>
      <c r="B9" s="35" t="n">
        <f aca="false">B7*B8</f>
        <v>18.810775862069</v>
      </c>
    </row>
    <row r="10" customFormat="false" ht="15" hidden="false" customHeight="false" outlineLevel="0" collapsed="false">
      <c r="A10" s="4" t="s">
        <v>103</v>
      </c>
      <c r="B10" s="36" t="n">
        <f aca="false">Assumptions!$B$28</f>
        <v>1.48</v>
      </c>
    </row>
    <row r="11" customFormat="false" ht="15" hidden="false" customHeight="false" outlineLevel="0" collapsed="false">
      <c r="A11" s="4" t="s">
        <v>104</v>
      </c>
      <c r="B11" s="35" t="n">
        <f aca="false">B10*Assumptions!$B$20</f>
        <v>17.538</v>
      </c>
    </row>
    <row r="12" customFormat="false" ht="15" hidden="false" customHeight="false" outlineLevel="0" collapsed="false">
      <c r="A12" s="20" t="s">
        <v>105</v>
      </c>
      <c r="B12" s="35" t="n">
        <f aca="false">0.5*B9+0.5*B11</f>
        <v>18.1743879310345</v>
      </c>
    </row>
    <row r="14" customFormat="false" ht="15" hidden="false" customHeight="false" outlineLevel="0" collapsed="false">
      <c r="A14" s="14" t="s">
        <v>106</v>
      </c>
      <c r="B14" s="15"/>
      <c r="C14" s="15"/>
      <c r="D14" s="15"/>
      <c r="E14" s="15"/>
      <c r="F14" s="15"/>
      <c r="G14" s="15"/>
      <c r="H14" s="15"/>
    </row>
    <row r="15" customFormat="false" ht="15" hidden="false" customHeight="false" outlineLevel="0" collapsed="false">
      <c r="A15" s="4" t="s">
        <v>107</v>
      </c>
      <c r="B15" s="35" t="n">
        <f aca="false">B4*B8</f>
        <v>1.62255</v>
      </c>
    </row>
    <row r="16" customFormat="false" ht="15" hidden="false" customHeight="false" outlineLevel="0" collapsed="false">
      <c r="A16" s="4" t="s">
        <v>108</v>
      </c>
      <c r="B16" s="37" t="n">
        <f aca="false">1-B6/B4</f>
        <v>0.672413793103448</v>
      </c>
    </row>
    <row r="17" customFormat="false" ht="15" hidden="false" customHeight="false" outlineLevel="0" collapsed="false">
      <c r="A17" s="4" t="s">
        <v>109</v>
      </c>
      <c r="B17" s="36" t="n">
        <f aca="false">Assumptions!$B$14*(1+B6)/(B5-B6)</f>
        <v>10.8362068965517</v>
      </c>
    </row>
    <row r="18" customFormat="false" ht="15" hidden="false" customHeight="false" outlineLevel="0" collapsed="false">
      <c r="A18" s="20" t="s">
        <v>110</v>
      </c>
      <c r="B18" s="35" t="n">
        <f aca="false">B15*B17</f>
        <v>17.5822875</v>
      </c>
    </row>
    <row r="19" customFormat="false" ht="15" hidden="false" customHeight="false" outlineLevel="0" collapsed="false">
      <c r="A19" s="4" t="s">
        <v>111</v>
      </c>
      <c r="B19" s="34" t="n">
        <f aca="false">Assumptions!$B$29*Assumptions!$B$16</f>
        <v>18.27</v>
      </c>
    </row>
    <row r="21" customFormat="false" ht="19.4" hidden="false" customHeight="true" outlineLevel="0" collapsed="false">
      <c r="A21" s="11" t="s">
        <v>112</v>
      </c>
      <c r="B21" s="11"/>
      <c r="C21" s="11"/>
      <c r="D21" s="11"/>
      <c r="E21" s="11"/>
      <c r="F21" s="11"/>
      <c r="G21" s="11"/>
      <c r="H21" s="11"/>
    </row>
  </sheetData>
  <mergeCells count="2">
    <mergeCell ref="A1:H1"/>
    <mergeCell ref="A21:H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7" min="2" style="0" width="12"/>
  </cols>
  <sheetData>
    <row r="1" customFormat="false" ht="24" hidden="false" customHeight="true" outlineLevel="0" collapsed="false">
      <c r="A1" s="1" t="s">
        <v>113</v>
      </c>
      <c r="B1" s="1"/>
      <c r="C1" s="1"/>
      <c r="D1" s="1"/>
      <c r="E1" s="1"/>
      <c r="F1" s="1"/>
      <c r="G1" s="1"/>
      <c r="H1" s="1"/>
    </row>
    <row r="3" customFormat="false" ht="15" hidden="false" customHeight="false" outlineLevel="0" collapsed="false">
      <c r="A3" s="4" t="s">
        <v>98</v>
      </c>
      <c r="B3" s="25" t="n">
        <f aca="false">Assumptions!$B$11</f>
        <v>0.1055</v>
      </c>
    </row>
    <row r="4" customFormat="false" ht="15" hidden="false" customHeight="false" outlineLevel="0" collapsed="false">
      <c r="A4" s="4" t="s">
        <v>99</v>
      </c>
      <c r="B4" s="25" t="n">
        <f aca="false">Assumptions!$B$12</f>
        <v>0.0475</v>
      </c>
    </row>
    <row r="5" customFormat="false" ht="15" hidden="false" customHeight="false" outlineLevel="0" collapsed="false">
      <c r="A5" s="4" t="s">
        <v>46</v>
      </c>
      <c r="B5" s="12" t="n">
        <f aca="false">Assumptions!$B$22</f>
        <v>0.125</v>
      </c>
    </row>
    <row r="7" customFormat="false" ht="15" hidden="false" customHeight="false" outlineLevel="0" collapsed="false">
      <c r="A7" s="26" t="s">
        <v>114</v>
      </c>
      <c r="B7" s="27" t="s">
        <v>67</v>
      </c>
      <c r="C7" s="27" t="s">
        <v>48</v>
      </c>
      <c r="D7" s="27" t="s">
        <v>49</v>
      </c>
      <c r="E7" s="27" t="s">
        <v>50</v>
      </c>
      <c r="F7" s="27" t="s">
        <v>51</v>
      </c>
      <c r="G7" s="27" t="s">
        <v>52</v>
      </c>
    </row>
    <row r="8" customFormat="false" ht="15" hidden="false" customHeight="false" outlineLevel="0" collapsed="false">
      <c r="A8" s="4" t="s">
        <v>115</v>
      </c>
      <c r="B8" s="38" t="n">
        <f aca="false">Assumptions!$B$16*Assumptions!$B$5</f>
        <v>15856.62</v>
      </c>
      <c r="C8" s="38" t="n">
        <f aca="false">DDM!C8*Assumptions!$B$5</f>
        <v>16490.8848</v>
      </c>
      <c r="D8" s="38" t="n">
        <f aca="false">DDM!D8*Assumptions!$B$5</f>
        <v>17397.883464</v>
      </c>
      <c r="E8" s="38" t="n">
        <f aca="false">DDM!E8*Assumptions!$B$5</f>
        <v>18528.74588916</v>
      </c>
      <c r="F8" s="38" t="n">
        <f aca="false">DDM!F8*Assumptions!$B$5</f>
        <v>19825.7581014012</v>
      </c>
      <c r="G8" s="38" t="n">
        <f aca="false">DDM!G8*Assumptions!$B$5</f>
        <v>21213.5611684993</v>
      </c>
    </row>
    <row r="9" customFormat="false" ht="15" hidden="false" customHeight="false" outlineLevel="0" collapsed="false">
      <c r="A9" s="4" t="s">
        <v>116</v>
      </c>
      <c r="B9" s="39" t="n">
        <f aca="false">Assumptions!$B$21</f>
        <v>700000</v>
      </c>
      <c r="C9" s="38" t="n">
        <f aca="false">B9*(1+Assumptions!$C$26)</f>
        <v>752500</v>
      </c>
      <c r="D9" s="38" t="n">
        <f aca="false">C9*(1+Assumptions!$D$26)</f>
        <v>805175</v>
      </c>
      <c r="E9" s="38" t="n">
        <f aca="false">D9*(1+Assumptions!$E$26)</f>
        <v>857511.375</v>
      </c>
      <c r="F9" s="38" t="n">
        <f aca="false">E9*(1+Assumptions!$F$26)</f>
        <v>908962.0575</v>
      </c>
      <c r="G9" s="38" t="n">
        <f aca="false">F9*(1+Assumptions!$G$26)</f>
        <v>958954.9706625</v>
      </c>
    </row>
    <row r="10" customFormat="false" ht="15" hidden="false" customHeight="false" outlineLevel="0" collapsed="false">
      <c r="A10" s="4" t="s">
        <v>117</v>
      </c>
      <c r="B10" s="38" t="n">
        <f aca="false">B9*$B$5</f>
        <v>87500</v>
      </c>
      <c r="C10" s="38" t="n">
        <f aca="false">C9*$B$5</f>
        <v>94062.5</v>
      </c>
      <c r="D10" s="38" t="n">
        <f aca="false">D9*$B$5</f>
        <v>100646.875</v>
      </c>
      <c r="E10" s="38" t="n">
        <f aca="false">E9*$B$5</f>
        <v>107188.921875</v>
      </c>
      <c r="F10" s="38" t="n">
        <f aca="false">F9*$B$5</f>
        <v>113620.2571875</v>
      </c>
      <c r="G10" s="38" t="n">
        <f aca="false">G9*$B$5</f>
        <v>119869.371332812</v>
      </c>
    </row>
    <row r="11" customFormat="false" ht="15" hidden="false" customHeight="false" outlineLevel="0" collapsed="false">
      <c r="A11" s="4" t="s">
        <v>118</v>
      </c>
      <c r="C11" s="38" t="n">
        <f aca="false">C10-B10</f>
        <v>6562.5</v>
      </c>
      <c r="D11" s="38" t="n">
        <f aca="false">D10-C10</f>
        <v>6584.375</v>
      </c>
      <c r="E11" s="38" t="n">
        <f aca="false">E10-D10</f>
        <v>6542.046875</v>
      </c>
      <c r="F11" s="38" t="n">
        <f aca="false">F10-E10</f>
        <v>6431.3353125</v>
      </c>
      <c r="G11" s="38" t="n">
        <f aca="false">G10-F10</f>
        <v>6249.11414531249</v>
      </c>
    </row>
    <row r="12" customFormat="false" ht="15" hidden="false" customHeight="false" outlineLevel="0" collapsed="false">
      <c r="A12" s="20" t="s">
        <v>119</v>
      </c>
      <c r="C12" s="38" t="n">
        <f aca="false">C8-C11</f>
        <v>9928.3848</v>
      </c>
      <c r="D12" s="38" t="n">
        <f aca="false">D8-D11</f>
        <v>10813.508464</v>
      </c>
      <c r="E12" s="38" t="n">
        <f aca="false">E8-E11</f>
        <v>11986.69901416</v>
      </c>
      <c r="F12" s="38" t="n">
        <f aca="false">F8-F11</f>
        <v>13394.4227889012</v>
      </c>
      <c r="G12" s="38" t="n">
        <f aca="false">G8-G11</f>
        <v>14964.4470231868</v>
      </c>
    </row>
    <row r="13" customFormat="false" ht="15" hidden="false" customHeight="false" outlineLevel="0" collapsed="false">
      <c r="A13" s="4" t="s">
        <v>120</v>
      </c>
      <c r="C13" s="13" t="n">
        <f aca="false">C12/Assumptions!$B$5</f>
        <v>1.08947490398332</v>
      </c>
      <c r="D13" s="13" t="n">
        <f aca="false">D12/Assumptions!$B$5</f>
        <v>1.1866024869966</v>
      </c>
      <c r="E13" s="13" t="n">
        <f aca="false">E12/Assumptions!$B$5</f>
        <v>1.31534061386591</v>
      </c>
      <c r="F13" s="13" t="n">
        <f aca="false">F12/Assumptions!$B$5</f>
        <v>1.46981485667741</v>
      </c>
      <c r="G13" s="13" t="n">
        <f aca="false">G12/Assumptions!$B$5</f>
        <v>1.64209887229088</v>
      </c>
    </row>
    <row r="14" customFormat="false" ht="15" hidden="false" customHeight="false" outlineLevel="0" collapsed="false">
      <c r="A14" s="4" t="s">
        <v>121</v>
      </c>
      <c r="C14" s="28" t="n">
        <f aca="false">1/(1+$B$3)^1</f>
        <v>0.904568068747173</v>
      </c>
      <c r="D14" s="28" t="n">
        <f aca="false">1/(1+$B$3)^2</f>
        <v>0.818243390996991</v>
      </c>
      <c r="E14" s="28" t="n">
        <f aca="false">1/(1+$B$3)^3</f>
        <v>0.740156843959286</v>
      </c>
      <c r="F14" s="28" t="n">
        <f aca="false">1/(1+$B$3)^4</f>
        <v>0.669522246910254</v>
      </c>
      <c r="G14" s="28" t="n">
        <f aca="false">1/(1+$B$3)^5</f>
        <v>0.605628445870877</v>
      </c>
    </row>
    <row r="15" customFormat="false" ht="15" hidden="false" customHeight="false" outlineLevel="0" collapsed="false">
      <c r="A15" s="20" t="s">
        <v>122</v>
      </c>
      <c r="C15" s="13" t="n">
        <f aca="false">C13*C14</f>
        <v>0.985504209844704</v>
      </c>
      <c r="D15" s="13" t="n">
        <f aca="false">D13*D14</f>
        <v>0.970929642725559</v>
      </c>
      <c r="E15" s="13" t="n">
        <f aca="false">E13*E14</f>
        <v>0.973558357490459</v>
      </c>
      <c r="F15" s="13" t="n">
        <f aca="false">F13*F14</f>
        <v>0.98407374538473</v>
      </c>
      <c r="G15" s="13" t="n">
        <f aca="false">G13*G14</f>
        <v>0.994501787991846</v>
      </c>
    </row>
    <row r="17" customFormat="false" ht="15" hidden="false" customHeight="false" outlineLevel="0" collapsed="false">
      <c r="A17" s="20" t="s">
        <v>123</v>
      </c>
      <c r="B17" s="13" t="n">
        <f aca="false">SUM(C15:G15)</f>
        <v>4.9085677434373</v>
      </c>
    </row>
    <row r="18" customFormat="false" ht="15" hidden="false" customHeight="false" outlineLevel="0" collapsed="false">
      <c r="A18" s="4" t="s">
        <v>124</v>
      </c>
      <c r="B18" s="13" t="n">
        <f aca="false">DDM!G8*(1+$B$4)*Assumptions!$B$14</f>
        <v>1.46304435360494</v>
      </c>
    </row>
    <row r="19" customFormat="false" ht="15" hidden="false" customHeight="false" outlineLevel="0" collapsed="false">
      <c r="A19" s="4" t="s">
        <v>125</v>
      </c>
      <c r="B19" s="13" t="n">
        <f aca="false">B18/($B$3-$B$4)</f>
        <v>25.224902648361</v>
      </c>
    </row>
    <row r="20" customFormat="false" ht="15" hidden="false" customHeight="false" outlineLevel="0" collapsed="false">
      <c r="A20" s="20" t="s">
        <v>126</v>
      </c>
      <c r="B20" s="13" t="n">
        <f aca="false">B19*G14</f>
        <v>15.276918588171</v>
      </c>
    </row>
    <row r="21" customFormat="false" ht="15" hidden="false" customHeight="false" outlineLevel="0" collapsed="false">
      <c r="A21" s="3" t="s">
        <v>127</v>
      </c>
      <c r="B21" s="9" t="n">
        <f aca="false">B17+B20</f>
        <v>20.1854863316083</v>
      </c>
    </row>
    <row r="22" customFormat="false" ht="15" hidden="false" customHeight="false" outlineLevel="0" collapsed="false">
      <c r="A22" s="4" t="s">
        <v>128</v>
      </c>
      <c r="B22" s="7" t="n">
        <f aca="false">B20/B21</f>
        <v>0.756826877351427</v>
      </c>
    </row>
    <row r="24" customFormat="false" ht="19.4" hidden="false" customHeight="true" outlineLevel="0" collapsed="false">
      <c r="A24" s="11" t="s">
        <v>129</v>
      </c>
      <c r="B24" s="11"/>
      <c r="C24" s="11"/>
      <c r="D24" s="11"/>
      <c r="E24" s="11"/>
      <c r="F24" s="11"/>
      <c r="G24" s="11"/>
      <c r="H24" s="11"/>
    </row>
  </sheetData>
  <mergeCells count="2">
    <mergeCell ref="A1:H1"/>
    <mergeCell ref="A24:H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9" min="2" style="0" width="12"/>
  </cols>
  <sheetData>
    <row r="1" customFormat="false" ht="24" hidden="false" customHeight="true" outlineLevel="0" collapsed="false">
      <c r="A1" s="1" t="s">
        <v>130</v>
      </c>
      <c r="B1" s="1"/>
      <c r="C1" s="1"/>
      <c r="D1" s="1"/>
      <c r="E1" s="1"/>
      <c r="F1" s="1"/>
      <c r="G1" s="1"/>
      <c r="H1" s="1"/>
    </row>
    <row r="3" customFormat="false" ht="15" hidden="false" customHeight="false" outlineLevel="0" collapsed="false">
      <c r="A3" s="26" t="s">
        <v>131</v>
      </c>
      <c r="B3" s="27" t="s">
        <v>132</v>
      </c>
      <c r="C3" s="27" t="s">
        <v>133</v>
      </c>
      <c r="D3" s="27" t="s">
        <v>67</v>
      </c>
      <c r="E3" s="27" t="s">
        <v>48</v>
      </c>
      <c r="F3" s="27" t="s">
        <v>49</v>
      </c>
      <c r="G3" s="27" t="s">
        <v>50</v>
      </c>
      <c r="H3" s="27" t="s">
        <v>51</v>
      </c>
      <c r="I3" s="27" t="s">
        <v>52</v>
      </c>
    </row>
    <row r="4" customFormat="false" ht="15" hidden="false" customHeight="false" outlineLevel="0" collapsed="false">
      <c r="A4" s="4" t="s">
        <v>134</v>
      </c>
      <c r="B4" s="40" t="n">
        <v>38960</v>
      </c>
      <c r="C4" s="40" t="n">
        <v>41300</v>
      </c>
      <c r="D4" s="40" t="n">
        <v>44800</v>
      </c>
      <c r="E4" s="38" t="n">
        <f aca="false">D4*(1+Assumptions!$C$24+0.01)</f>
        <v>47040</v>
      </c>
      <c r="F4" s="38" t="n">
        <f aca="false">E4*(1+Assumptions!$D$24+0.01)</f>
        <v>50097.6</v>
      </c>
      <c r="G4" s="38" t="n">
        <f aca="false">F4*(1+Assumptions!$E$24+0.01)</f>
        <v>53854.92</v>
      </c>
      <c r="H4" s="38" t="n">
        <f aca="false">G4*(1+Assumptions!$F$24+0.01)</f>
        <v>58163.3136</v>
      </c>
      <c r="I4" s="38" t="n">
        <f aca="false">H4*(1+Assumptions!$G$24+0.01)</f>
        <v>62816.378688</v>
      </c>
    </row>
    <row r="5" customFormat="false" ht="15" hidden="false" customHeight="false" outlineLevel="0" collapsed="false">
      <c r="A5" s="4" t="s">
        <v>135</v>
      </c>
      <c r="B5" s="40" t="n">
        <v>-8804.96</v>
      </c>
      <c r="C5" s="40" t="n">
        <v>-9209.9</v>
      </c>
      <c r="D5" s="40" t="n">
        <v>-10438.4</v>
      </c>
      <c r="E5" s="38" t="n">
        <f aca="false">-E4*0.24</f>
        <v>-11289.6</v>
      </c>
      <c r="F5" s="38" t="n">
        <f aca="false">-F4*0.24</f>
        <v>-12023.424</v>
      </c>
      <c r="G5" s="38" t="n">
        <f aca="false">-G4*0.24</f>
        <v>-12925.1808</v>
      </c>
      <c r="H5" s="38" t="n">
        <f aca="false">-H4*0.24</f>
        <v>-13959.195264</v>
      </c>
      <c r="I5" s="38" t="n">
        <f aca="false">-I4*0.24</f>
        <v>-15075.93088512</v>
      </c>
    </row>
    <row r="6" customFormat="false" ht="15" hidden="false" customHeight="false" outlineLevel="0" collapsed="false">
      <c r="A6" s="20" t="s">
        <v>136</v>
      </c>
      <c r="B6" s="38" t="n">
        <f aca="false">B4+B5</f>
        <v>30155.04</v>
      </c>
      <c r="C6" s="38" t="n">
        <f aca="false">C4+C5</f>
        <v>32090.1</v>
      </c>
      <c r="D6" s="38" t="n">
        <f aca="false">D4+D5</f>
        <v>34361.6</v>
      </c>
      <c r="E6" s="38" t="n">
        <f aca="false">E4+E5</f>
        <v>35750.4</v>
      </c>
      <c r="F6" s="38" t="n">
        <f aca="false">F4+F5</f>
        <v>38074.176</v>
      </c>
      <c r="G6" s="38" t="n">
        <f aca="false">G4+G5</f>
        <v>40929.7392</v>
      </c>
      <c r="H6" s="38" t="n">
        <f aca="false">H4+H5</f>
        <v>44204.118336</v>
      </c>
      <c r="I6" s="38" t="n">
        <f aca="false">I4+I5</f>
        <v>47740.44780288</v>
      </c>
    </row>
    <row r="7" customFormat="false" ht="15" hidden="false" customHeight="false" outlineLevel="0" collapsed="false">
      <c r="A7" s="4" t="s">
        <v>137</v>
      </c>
      <c r="B7" s="40" t="n">
        <v>-8600</v>
      </c>
      <c r="C7" s="40" t="n">
        <v>-8100</v>
      </c>
      <c r="D7" s="40" t="n">
        <v>-8500</v>
      </c>
      <c r="E7" s="38" t="n">
        <f aca="false">-E4*0.19</f>
        <v>-8937.6</v>
      </c>
      <c r="F7" s="38" t="n">
        <f aca="false">-F4*0.19</f>
        <v>-9518.544</v>
      </c>
      <c r="G7" s="38" t="n">
        <f aca="false">-G4*0.19</f>
        <v>-10232.4348</v>
      </c>
      <c r="H7" s="38" t="n">
        <f aca="false">-H4*0.19</f>
        <v>-11051.029584</v>
      </c>
      <c r="I7" s="38" t="n">
        <f aca="false">-I4*0.19</f>
        <v>-11935.11195072</v>
      </c>
    </row>
    <row r="8" customFormat="false" ht="15" hidden="false" customHeight="false" outlineLevel="0" collapsed="false">
      <c r="A8" s="20" t="s">
        <v>138</v>
      </c>
      <c r="B8" s="38" t="n">
        <f aca="false">B6+B7</f>
        <v>21555.04</v>
      </c>
      <c r="C8" s="38" t="n">
        <f aca="false">C6+C7</f>
        <v>23990.1</v>
      </c>
      <c r="D8" s="38" t="n">
        <f aca="false">D6+D7</f>
        <v>25861.6</v>
      </c>
      <c r="E8" s="38" t="n">
        <f aca="false">E6+E7</f>
        <v>26812.8</v>
      </c>
      <c r="F8" s="38" t="n">
        <f aca="false">F6+F7</f>
        <v>28555.632</v>
      </c>
      <c r="G8" s="38" t="n">
        <f aca="false">G6+G7</f>
        <v>30697.3044</v>
      </c>
      <c r="H8" s="38" t="n">
        <f aca="false">H6+H7</f>
        <v>33153.088752</v>
      </c>
      <c r="I8" s="38" t="n">
        <f aca="false">I6+I7</f>
        <v>35805.33585216</v>
      </c>
    </row>
    <row r="9" customFormat="false" ht="15" hidden="false" customHeight="false" outlineLevel="0" collapsed="false">
      <c r="A9" s="4" t="s">
        <v>139</v>
      </c>
      <c r="B9" s="38" t="n">
        <f aca="false">-B8*0.03</f>
        <v>-646.6512</v>
      </c>
      <c r="C9" s="38" t="n">
        <f aca="false">-C8*0.03</f>
        <v>-719.703</v>
      </c>
      <c r="D9" s="38" t="n">
        <f aca="false">-D8*0.135</f>
        <v>-3491.316</v>
      </c>
      <c r="E9" s="38" t="n">
        <f aca="false">-E8*0.15</f>
        <v>-4021.92</v>
      </c>
      <c r="F9" s="38" t="n">
        <f aca="false">-F8*0.15</f>
        <v>-4283.3448</v>
      </c>
      <c r="G9" s="38" t="n">
        <f aca="false">-G8*0.15</f>
        <v>-4604.59566</v>
      </c>
      <c r="H9" s="38" t="n">
        <f aca="false">-H8*0.15</f>
        <v>-4972.9633128</v>
      </c>
      <c r="I9" s="38" t="n">
        <f aca="false">-I8*0.15</f>
        <v>-5370.800377824</v>
      </c>
    </row>
    <row r="10" customFormat="false" ht="15" hidden="false" customHeight="false" outlineLevel="0" collapsed="false">
      <c r="A10" s="20" t="s">
        <v>140</v>
      </c>
      <c r="B10" s="40" t="n">
        <v>15500</v>
      </c>
      <c r="C10" s="40" t="n">
        <v>16720</v>
      </c>
      <c r="D10" s="40" t="n">
        <v>17000</v>
      </c>
      <c r="E10" s="38" t="n">
        <f aca="false">DDM!C8*Assumptions!$B$5/0.91</f>
        <v>18121.8514285714</v>
      </c>
      <c r="F10" s="38" t="n">
        <f aca="false">DDM!D8*Assumptions!$B$5/0.91</f>
        <v>19118.5532571429</v>
      </c>
      <c r="G10" s="38" t="n">
        <f aca="false">DDM!E8*Assumptions!$B$5/0.91</f>
        <v>20361.2592188571</v>
      </c>
      <c r="H10" s="38" t="n">
        <f aca="false">DDM!F8*Assumptions!$B$5/0.91</f>
        <v>21786.5473641771</v>
      </c>
      <c r="I10" s="38" t="n">
        <f aca="false">DDM!G8*Assumptions!$B$5/0.91</f>
        <v>23311.6056796695</v>
      </c>
    </row>
    <row r="11" customFormat="false" ht="15" hidden="false" customHeight="false" outlineLevel="0" collapsed="false">
      <c r="A11" s="4" t="s">
        <v>141</v>
      </c>
      <c r="B11" s="5" t="n">
        <v>1.55</v>
      </c>
      <c r="C11" s="5" t="n">
        <v>1.69</v>
      </c>
      <c r="D11" s="5" t="n">
        <v>1.74</v>
      </c>
      <c r="E11" s="6" t="n">
        <f aca="false">DDM!C8</f>
        <v>1.8096</v>
      </c>
      <c r="F11" s="6" t="n">
        <f aca="false">DDM!D8</f>
        <v>1.909128</v>
      </c>
      <c r="G11" s="6" t="n">
        <f aca="false">DDM!E8</f>
        <v>2.03322132</v>
      </c>
      <c r="H11" s="6" t="n">
        <f aca="false">DDM!F8</f>
        <v>2.1755468124</v>
      </c>
      <c r="I11" s="6" t="n">
        <f aca="false">DDM!G8</f>
        <v>2.327835089268</v>
      </c>
    </row>
    <row r="13" customFormat="false" ht="19.4" hidden="false" customHeight="true" outlineLevel="0" collapsed="false">
      <c r="A13" s="11" t="s">
        <v>142</v>
      </c>
      <c r="B13" s="11"/>
      <c r="C13" s="11"/>
      <c r="D13" s="11"/>
      <c r="E13" s="11"/>
      <c r="F13" s="11"/>
      <c r="G13" s="11"/>
      <c r="H13" s="11"/>
    </row>
  </sheetData>
  <mergeCells count="2">
    <mergeCell ref="A1:H1"/>
    <mergeCell ref="A13:H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9" min="2" style="0" width="12"/>
  </cols>
  <sheetData>
    <row r="1" customFormat="false" ht="24" hidden="false" customHeight="true" outlineLevel="0" collapsed="false">
      <c r="A1" s="1" t="s">
        <v>143</v>
      </c>
      <c r="B1" s="1"/>
      <c r="C1" s="1"/>
      <c r="D1" s="1"/>
      <c r="E1" s="1"/>
      <c r="F1" s="1"/>
      <c r="G1" s="1"/>
      <c r="H1" s="1"/>
    </row>
    <row r="3" customFormat="false" ht="15" hidden="false" customHeight="false" outlineLevel="0" collapsed="false">
      <c r="A3" s="26" t="s">
        <v>131</v>
      </c>
      <c r="B3" s="27" t="s">
        <v>132</v>
      </c>
      <c r="C3" s="27" t="s">
        <v>133</v>
      </c>
      <c r="D3" s="27" t="s">
        <v>67</v>
      </c>
      <c r="E3" s="27" t="s">
        <v>48</v>
      </c>
      <c r="F3" s="27" t="s">
        <v>49</v>
      </c>
      <c r="G3" s="27" t="s">
        <v>50</v>
      </c>
      <c r="H3" s="27" t="s">
        <v>51</v>
      </c>
      <c r="I3" s="27" t="s">
        <v>52</v>
      </c>
    </row>
    <row r="4" customFormat="false" ht="15" hidden="false" customHeight="false" outlineLevel="0" collapsed="false">
      <c r="A4" s="4" t="s">
        <v>144</v>
      </c>
      <c r="B4" s="40" t="n">
        <v>851000</v>
      </c>
      <c r="C4" s="40" t="n">
        <v>911000</v>
      </c>
      <c r="D4" s="40" t="n">
        <v>1018000</v>
      </c>
      <c r="E4" s="38" t="n">
        <f aca="false">D4*(1+Assumptions!$C$26+0.02)</f>
        <v>1114710</v>
      </c>
      <c r="F4" s="38" t="n">
        <f aca="false">E4*(1+Assumptions!$D$26+0.02)</f>
        <v>1215033.9</v>
      </c>
      <c r="G4" s="38" t="n">
        <f aca="false">F4*(1+Assumptions!$E$26+0.02)</f>
        <v>1318311.7815</v>
      </c>
      <c r="H4" s="38" t="n">
        <f aca="false">G4*(1+Assumptions!$F$26+0.02)</f>
        <v>1423776.72402</v>
      </c>
      <c r="I4" s="38" t="n">
        <f aca="false">H4*(1+Assumptions!$G$26+0.02)</f>
        <v>1530559.9783215</v>
      </c>
    </row>
    <row r="5" customFormat="false" ht="15" hidden="false" customHeight="false" outlineLevel="0" collapsed="false">
      <c r="A5" s="4" t="s">
        <v>145</v>
      </c>
      <c r="B5" s="40" t="n">
        <v>385000</v>
      </c>
      <c r="C5" s="40" t="n">
        <v>387000</v>
      </c>
      <c r="D5" s="40" t="n">
        <v>373000</v>
      </c>
      <c r="E5" s="38" t="n">
        <f aca="false">D5*(1+Assumptions!$C$26)</f>
        <v>400975</v>
      </c>
      <c r="F5" s="38" t="n">
        <f aca="false">E5*(1+Assumptions!$D$26)</f>
        <v>429043.25</v>
      </c>
      <c r="G5" s="38" t="n">
        <f aca="false">F5*(1+Assumptions!$E$26)</f>
        <v>456931.06125</v>
      </c>
      <c r="H5" s="38" t="n">
        <f aca="false">G5*(1+Assumptions!$F$26)</f>
        <v>484346.924925</v>
      </c>
      <c r="I5" s="38" t="n">
        <f aca="false">H5*(1+Assumptions!$G$26)</f>
        <v>510986.005795875</v>
      </c>
    </row>
    <row r="6" customFormat="false" ht="15" hidden="false" customHeight="false" outlineLevel="0" collapsed="false">
      <c r="A6" s="20" t="s">
        <v>146</v>
      </c>
      <c r="B6" s="38" t="n">
        <f aca="false">B4+B5</f>
        <v>1236000</v>
      </c>
      <c r="C6" s="38" t="n">
        <f aca="false">C4+C5</f>
        <v>1298000</v>
      </c>
      <c r="D6" s="38" t="n">
        <f aca="false">D4+D5</f>
        <v>1391000</v>
      </c>
      <c r="E6" s="38" t="n">
        <f aca="false">E4+E5</f>
        <v>1515685</v>
      </c>
      <c r="F6" s="38" t="n">
        <f aca="false">F4+F5</f>
        <v>1644077.15</v>
      </c>
      <c r="G6" s="38" t="n">
        <f aca="false">G4+G5</f>
        <v>1775242.84275</v>
      </c>
      <c r="H6" s="38" t="n">
        <f aca="false">H4+H5</f>
        <v>1908123.648945</v>
      </c>
      <c r="I6" s="38" t="n">
        <f aca="false">I4+I5</f>
        <v>2041545.98411738</v>
      </c>
    </row>
    <row r="7" customFormat="false" ht="15" hidden="false" customHeight="false" outlineLevel="0" collapsed="false">
      <c r="A7" s="4" t="s">
        <v>147</v>
      </c>
      <c r="B7" s="40" t="n">
        <v>861000</v>
      </c>
      <c r="C7" s="40" t="n">
        <v>887000</v>
      </c>
      <c r="D7" s="40" t="n">
        <v>955000</v>
      </c>
      <c r="E7" s="38" t="n">
        <f aca="false">D7*(1+Assumptions!$C$26)</f>
        <v>1026625</v>
      </c>
      <c r="F7" s="38" t="n">
        <f aca="false">E7*(1+Assumptions!$D$26)</f>
        <v>1098488.75</v>
      </c>
      <c r="G7" s="38" t="n">
        <f aca="false">F7*(1+Assumptions!$E$26)</f>
        <v>1169890.51875</v>
      </c>
      <c r="H7" s="38" t="n">
        <f aca="false">G7*(1+Assumptions!$F$26)</f>
        <v>1240083.949875</v>
      </c>
      <c r="I7" s="38" t="n">
        <f aca="false">H7*(1+Assumptions!$G$26)</f>
        <v>1308288.56711813</v>
      </c>
    </row>
    <row r="8" customFormat="false" ht="15" hidden="false" customHeight="false" outlineLevel="0" collapsed="false">
      <c r="A8" s="4" t="s">
        <v>148</v>
      </c>
      <c r="B8" s="40" t="n">
        <v>264000</v>
      </c>
      <c r="C8" s="40" t="n">
        <v>297000</v>
      </c>
      <c r="D8" s="40" t="n">
        <v>311000</v>
      </c>
      <c r="E8" s="38" t="n">
        <f aca="false">E6-E7-E9</f>
        <v>353730.544685714</v>
      </c>
      <c r="F8" s="38" t="n">
        <f aca="false">F6-F7-F9</f>
        <v>399552.554861714</v>
      </c>
      <c r="G8" s="38" t="n">
        <f aca="false">G6-G7-G9</f>
        <v>448117.786291343</v>
      </c>
      <c r="H8" s="38" t="n">
        <f aca="false">H6-H7-H9</f>
        <v>499040.425784687</v>
      </c>
      <c r="I8" s="38" t="n">
        <f aca="false">I6-I7-I9</f>
        <v>551902.992703713</v>
      </c>
    </row>
    <row r="9" customFormat="false" ht="15" hidden="false" customHeight="false" outlineLevel="0" collapsed="false">
      <c r="A9" s="20" t="s">
        <v>149</v>
      </c>
      <c r="B9" s="40" t="n">
        <v>111000</v>
      </c>
      <c r="C9" s="40" t="n">
        <v>114000</v>
      </c>
      <c r="D9" s="40" t="n">
        <v>125000</v>
      </c>
      <c r="E9" s="38" t="n">
        <f aca="false">D9+'Income Statement'!E10*(1-DDM!C9)</f>
        <v>135329.455314286</v>
      </c>
      <c r="F9" s="38" t="n">
        <f aca="false">E9+'Income Statement'!F10*(1-DDM!D9)</f>
        <v>146035.845138286</v>
      </c>
      <c r="G9" s="38" t="n">
        <f aca="false">F9+'Income Statement'!G10*(1-DDM!E9)</f>
        <v>157234.537708657</v>
      </c>
      <c r="H9" s="38" t="n">
        <f aca="false">G9+'Income Statement'!H10*(1-DDM!F9)</f>
        <v>168999.273285313</v>
      </c>
      <c r="I9" s="38" t="n">
        <f aca="false">H9+'Income Statement'!I10*(1-DDM!G9)</f>
        <v>181354.424295538</v>
      </c>
    </row>
    <row r="10" customFormat="false" ht="15" hidden="false" customHeight="false" outlineLevel="0" collapsed="false">
      <c r="A10" s="30" t="s">
        <v>150</v>
      </c>
      <c r="B10" s="41" t="n">
        <f aca="false">B6-B7-B8-B9</f>
        <v>0</v>
      </c>
      <c r="C10" s="41" t="n">
        <f aca="false">C6-C7-C8-C9</f>
        <v>0</v>
      </c>
      <c r="D10" s="41" t="n">
        <f aca="false">D6-D7-D8-D9</f>
        <v>0</v>
      </c>
      <c r="E10" s="41" t="n">
        <f aca="false">E6-E7-E8-E9</f>
        <v>0</v>
      </c>
      <c r="F10" s="41" t="n">
        <f aca="false">F6-F7-F8-F9</f>
        <v>0</v>
      </c>
      <c r="G10" s="41" t="n">
        <f aca="false">G6-G7-G8-G9</f>
        <v>0</v>
      </c>
      <c r="H10" s="41" t="n">
        <f aca="false">H6-H7-H8-H9</f>
        <v>0</v>
      </c>
      <c r="I10" s="41" t="n">
        <f aca="false">I6-I7-I8-I9</f>
        <v>0</v>
      </c>
    </row>
    <row r="11" customFormat="false" ht="15" hidden="false" customHeight="false" outlineLevel="0" collapsed="false">
      <c r="A11" s="4" t="s">
        <v>151</v>
      </c>
      <c r="B11" s="29" t="n">
        <v>0.194</v>
      </c>
      <c r="C11" s="29" t="n">
        <v>0.192</v>
      </c>
      <c r="D11" s="29" t="n">
        <v>0.193</v>
      </c>
      <c r="E11" s="29" t="n">
        <v>0.194</v>
      </c>
      <c r="F11" s="29" t="n">
        <v>0.195</v>
      </c>
      <c r="G11" s="29" t="n">
        <v>0.196</v>
      </c>
      <c r="H11" s="29" t="n">
        <v>0.197</v>
      </c>
      <c r="I11" s="29" t="n">
        <v>0.198</v>
      </c>
    </row>
    <row r="13" customFormat="false" ht="19.4" hidden="false" customHeight="true" outlineLevel="0" collapsed="false">
      <c r="A13" s="11" t="s">
        <v>152</v>
      </c>
      <c r="B13" s="11"/>
      <c r="C13" s="11"/>
      <c r="D13" s="11"/>
      <c r="E13" s="11"/>
      <c r="F13" s="11"/>
      <c r="G13" s="11"/>
      <c r="H13" s="11"/>
    </row>
  </sheetData>
  <mergeCells count="2">
    <mergeCell ref="A1:H1"/>
    <mergeCell ref="A13:H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9" min="2" style="0" width="12"/>
  </cols>
  <sheetData>
    <row r="1" customFormat="false" ht="24" hidden="false" customHeight="true" outlineLevel="0" collapsed="false">
      <c r="A1" s="1" t="s">
        <v>153</v>
      </c>
      <c r="B1" s="1"/>
      <c r="C1" s="1"/>
      <c r="D1" s="1"/>
      <c r="E1" s="1"/>
      <c r="F1" s="1"/>
      <c r="G1" s="1"/>
      <c r="H1" s="1"/>
    </row>
    <row r="3" customFormat="false" ht="15" hidden="false" customHeight="false" outlineLevel="0" collapsed="false">
      <c r="A3" s="26" t="s">
        <v>131</v>
      </c>
      <c r="B3" s="27" t="s">
        <v>132</v>
      </c>
      <c r="C3" s="27" t="s">
        <v>133</v>
      </c>
      <c r="D3" s="27" t="s">
        <v>67</v>
      </c>
      <c r="E3" s="27" t="s">
        <v>48</v>
      </c>
      <c r="F3" s="27" t="s">
        <v>49</v>
      </c>
      <c r="G3" s="27" t="s">
        <v>50</v>
      </c>
      <c r="H3" s="27" t="s">
        <v>51</v>
      </c>
      <c r="I3" s="27" t="s">
        <v>52</v>
      </c>
    </row>
    <row r="4" customFormat="false" ht="15" hidden="false" customHeight="false" outlineLevel="0" collapsed="false">
      <c r="A4" s="4" t="s">
        <v>154</v>
      </c>
      <c r="B4" s="40" t="n">
        <v>15500</v>
      </c>
      <c r="C4" s="40" t="n">
        <v>16720</v>
      </c>
      <c r="D4" s="40" t="n">
        <v>17000</v>
      </c>
      <c r="E4" s="39" t="n">
        <f aca="false">'Income Statement'!E10</f>
        <v>18121.8514285714</v>
      </c>
      <c r="F4" s="39" t="n">
        <f aca="false">'Income Statement'!F10</f>
        <v>19118.5532571429</v>
      </c>
      <c r="G4" s="39" t="n">
        <f aca="false">'Income Statement'!G10</f>
        <v>20361.2592188571</v>
      </c>
      <c r="H4" s="39" t="n">
        <f aca="false">'Income Statement'!H10</f>
        <v>21786.5473641771</v>
      </c>
      <c r="I4" s="39" t="n">
        <f aca="false">'Income Statement'!I10</f>
        <v>23311.6056796695</v>
      </c>
    </row>
    <row r="5" customFormat="false" ht="15" hidden="false" customHeight="false" outlineLevel="0" collapsed="false">
      <c r="A5" s="4" t="s">
        <v>155</v>
      </c>
      <c r="B5" s="40" t="n">
        <v>-8525</v>
      </c>
      <c r="C5" s="40" t="n">
        <v>-9196</v>
      </c>
      <c r="D5" s="40" t="n">
        <v>-9350</v>
      </c>
      <c r="E5" s="39" t="n">
        <f aca="false">-DCF!C11</f>
        <v>-6562.5</v>
      </c>
      <c r="F5" s="39" t="n">
        <f aca="false">-DCF!D11</f>
        <v>-6584.375</v>
      </c>
      <c r="G5" s="39" t="n">
        <f aca="false">-DCF!E11</f>
        <v>-6542.046875</v>
      </c>
      <c r="H5" s="39" t="n">
        <f aca="false">-DCF!F11</f>
        <v>-6431.3353125</v>
      </c>
      <c r="I5" s="39" t="n">
        <f aca="false">-DCF!G11</f>
        <v>-6249.11414531249</v>
      </c>
    </row>
    <row r="6" customFormat="false" ht="15" hidden="false" customHeight="false" outlineLevel="0" collapsed="false">
      <c r="A6" s="20" t="s">
        <v>156</v>
      </c>
      <c r="B6" s="38" t="n">
        <f aca="false">B4+B5</f>
        <v>6975</v>
      </c>
      <c r="C6" s="38" t="n">
        <f aca="false">C4+C5</f>
        <v>7524</v>
      </c>
      <c r="D6" s="38" t="n">
        <f aca="false">D4+D5</f>
        <v>7650</v>
      </c>
      <c r="E6" s="38" t="n">
        <f aca="false">E4+E5</f>
        <v>11559.3514285714</v>
      </c>
      <c r="F6" s="38" t="n">
        <f aca="false">F4+F5</f>
        <v>12534.1782571429</v>
      </c>
      <c r="G6" s="38" t="n">
        <f aca="false">G4+G5</f>
        <v>13819.2123438571</v>
      </c>
      <c r="H6" s="38" t="n">
        <f aca="false">H4+H5</f>
        <v>15355.2120516771</v>
      </c>
      <c r="I6" s="38" t="n">
        <f aca="false">I4+I5</f>
        <v>17062.4915343571</v>
      </c>
    </row>
    <row r="7" customFormat="false" ht="15" hidden="false" customHeight="false" outlineLevel="0" collapsed="false">
      <c r="A7" s="4" t="s">
        <v>157</v>
      </c>
      <c r="B7" s="38" t="n">
        <f aca="false">-0.65*Assumptions!$B$5</f>
        <v>-5923.45</v>
      </c>
      <c r="C7" s="38" t="n">
        <f aca="false">-0.7*Assumptions!$B$5</f>
        <v>-6379.1</v>
      </c>
      <c r="D7" s="38" t="n">
        <f aca="false">-0.725*Assumptions!$B$5</f>
        <v>-6606.925</v>
      </c>
      <c r="E7" s="38" t="n">
        <f aca="false">-DDM!C10*Assumptions!$B$5</f>
        <v>-7091.080464</v>
      </c>
      <c r="F7" s="38" t="n">
        <f aca="false">-DDM!D10*Assumptions!$B$5</f>
        <v>-7655.06872416</v>
      </c>
      <c r="G7" s="38" t="n">
        <f aca="false">-DDM!E10*Assumptions!$B$5</f>
        <v>-8337.935650122</v>
      </c>
      <c r="H7" s="38" t="n">
        <f aca="false">-DDM!F10*Assumptions!$B$5</f>
        <v>-9119.84872664455</v>
      </c>
      <c r="I7" s="38" t="n">
        <f aca="false">-DDM!G10*Assumptions!$B$5</f>
        <v>-9970.37374919466</v>
      </c>
    </row>
    <row r="8" customFormat="false" ht="15" hidden="false" customHeight="false" outlineLevel="0" collapsed="false">
      <c r="A8" s="4" t="s">
        <v>158</v>
      </c>
      <c r="D8" s="40" t="n">
        <v>-2100</v>
      </c>
    </row>
    <row r="9" customFormat="false" ht="15" hidden="false" customHeight="false" outlineLevel="0" collapsed="false">
      <c r="A9" s="20" t="s">
        <v>159</v>
      </c>
      <c r="B9" s="38" t="n">
        <f aca="false">B6+B7+IF(B8="",0,B8)</f>
        <v>1051.55</v>
      </c>
      <c r="C9" s="38" t="n">
        <f aca="false">C6+C7+IF(C8="",0,C8)</f>
        <v>1144.9</v>
      </c>
      <c r="D9" s="38" t="n">
        <f aca="false">D6+D7+IF(D8="",0,D8)</f>
        <v>-1056.925</v>
      </c>
      <c r="E9" s="38" t="n">
        <f aca="false">E6+E7+IF(E8="",0,E8)</f>
        <v>4468.27096457143</v>
      </c>
      <c r="F9" s="38" t="n">
        <f aca="false">F6+F7+IF(F8="",0,F8)</f>
        <v>4879.10953298286</v>
      </c>
      <c r="G9" s="38" t="n">
        <f aca="false">G6+G7+IF(G8="",0,G8)</f>
        <v>5481.27669373514</v>
      </c>
      <c r="H9" s="38" t="n">
        <f aca="false">H6+H7+IF(H8="",0,H8)</f>
        <v>6235.36332503259</v>
      </c>
      <c r="I9" s="38" t="n">
        <f aca="false">I6+I7+IF(I8="",0,I8)</f>
        <v>7092.11778516239</v>
      </c>
    </row>
    <row r="11" customFormat="false" ht="19.4" hidden="false" customHeight="true" outlineLevel="0" collapsed="false">
      <c r="A11" s="11" t="s">
        <v>160</v>
      </c>
      <c r="B11" s="11"/>
      <c r="C11" s="11"/>
      <c r="D11" s="11"/>
      <c r="E11" s="11"/>
      <c r="F11" s="11"/>
      <c r="G11" s="11"/>
      <c r="H11" s="11"/>
    </row>
  </sheetData>
  <mergeCells count="2">
    <mergeCell ref="A1:H1"/>
    <mergeCell ref="A11:H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9" min="2" style="0" width="12"/>
  </cols>
  <sheetData>
    <row r="1" customFormat="false" ht="24" hidden="false" customHeight="true" outlineLevel="0" collapsed="false">
      <c r="A1" s="1" t="s">
        <v>161</v>
      </c>
      <c r="B1" s="1"/>
      <c r="C1" s="1"/>
      <c r="D1" s="1"/>
      <c r="E1" s="1"/>
      <c r="F1" s="1"/>
      <c r="G1" s="1"/>
      <c r="H1" s="1"/>
    </row>
    <row r="3" customFormat="false" ht="15" hidden="false" customHeight="false" outlineLevel="0" collapsed="false">
      <c r="A3" s="26" t="s">
        <v>131</v>
      </c>
      <c r="B3" s="27" t="s">
        <v>132</v>
      </c>
      <c r="C3" s="27" t="s">
        <v>133</v>
      </c>
      <c r="D3" s="27" t="s">
        <v>67</v>
      </c>
      <c r="E3" s="27" t="s">
        <v>48</v>
      </c>
      <c r="F3" s="27" t="s">
        <v>49</v>
      </c>
      <c r="G3" s="27" t="s">
        <v>50</v>
      </c>
      <c r="H3" s="27" t="s">
        <v>51</v>
      </c>
      <c r="I3" s="27" t="s">
        <v>52</v>
      </c>
    </row>
    <row r="4" customFormat="false" ht="15" hidden="false" customHeight="false" outlineLevel="0" collapsed="false">
      <c r="A4" s="4" t="s">
        <v>134</v>
      </c>
      <c r="B4" s="39" t="n">
        <f aca="false">'Income Statement'!B4</f>
        <v>38960</v>
      </c>
      <c r="C4" s="39" t="n">
        <f aca="false">'Income Statement'!C4</f>
        <v>41300</v>
      </c>
      <c r="D4" s="39" t="n">
        <f aca="false">'Income Statement'!D4</f>
        <v>44800</v>
      </c>
      <c r="E4" s="39" t="n">
        <f aca="false">'Income Statement'!E4</f>
        <v>47040</v>
      </c>
      <c r="F4" s="39" t="n">
        <f aca="false">'Income Statement'!F4</f>
        <v>50097.6</v>
      </c>
      <c r="G4" s="39" t="n">
        <f aca="false">'Income Statement'!G4</f>
        <v>53854.92</v>
      </c>
      <c r="H4" s="39" t="n">
        <f aca="false">'Income Statement'!H4</f>
        <v>58163.3136</v>
      </c>
      <c r="I4" s="39" t="n">
        <f aca="false">'Income Statement'!I4</f>
        <v>62816.378688</v>
      </c>
    </row>
    <row r="5" customFormat="false" ht="15" hidden="false" customHeight="false" outlineLevel="0" collapsed="false">
      <c r="A5" s="4" t="s">
        <v>162</v>
      </c>
      <c r="B5" s="39" t="n">
        <f aca="false">'Income Statement'!B6</f>
        <v>30155.04</v>
      </c>
      <c r="C5" s="39" t="n">
        <f aca="false">'Income Statement'!C6</f>
        <v>32090.1</v>
      </c>
      <c r="D5" s="39" t="n">
        <f aca="false">'Income Statement'!D6</f>
        <v>34361.6</v>
      </c>
      <c r="E5" s="39" t="n">
        <f aca="false">'Income Statement'!E6</f>
        <v>35750.4</v>
      </c>
      <c r="F5" s="39" t="n">
        <f aca="false">'Income Statement'!F6</f>
        <v>38074.176</v>
      </c>
      <c r="G5" s="39" t="n">
        <f aca="false">'Income Statement'!G6</f>
        <v>40929.7392</v>
      </c>
      <c r="H5" s="39" t="n">
        <f aca="false">'Income Statement'!H6</f>
        <v>44204.118336</v>
      </c>
      <c r="I5" s="39" t="n">
        <f aca="false">'Income Statement'!I6</f>
        <v>47740.44780288</v>
      </c>
    </row>
    <row r="6" customFormat="false" ht="15" hidden="false" customHeight="false" outlineLevel="0" collapsed="false">
      <c r="A6" s="4" t="s">
        <v>154</v>
      </c>
      <c r="B6" s="39" t="n">
        <f aca="false">'Income Statement'!B10</f>
        <v>15500</v>
      </c>
      <c r="C6" s="39" t="n">
        <f aca="false">'Income Statement'!C10</f>
        <v>16720</v>
      </c>
      <c r="D6" s="39" t="n">
        <f aca="false">'Income Statement'!D10</f>
        <v>17000</v>
      </c>
      <c r="E6" s="39" t="n">
        <f aca="false">'Income Statement'!E10</f>
        <v>18121.8514285714</v>
      </c>
      <c r="F6" s="39" t="n">
        <f aca="false">'Income Statement'!F10</f>
        <v>19118.5532571429</v>
      </c>
      <c r="G6" s="39" t="n">
        <f aca="false">'Income Statement'!G10</f>
        <v>20361.2592188571</v>
      </c>
      <c r="H6" s="39" t="n">
        <f aca="false">'Income Statement'!H10</f>
        <v>21786.5473641771</v>
      </c>
      <c r="I6" s="39" t="n">
        <f aca="false">'Income Statement'!I10</f>
        <v>23311.6056796695</v>
      </c>
    </row>
    <row r="7" customFormat="false" ht="15" hidden="false" customHeight="false" outlineLevel="0" collapsed="false">
      <c r="A7" s="4" t="s">
        <v>68</v>
      </c>
      <c r="B7" s="6" t="n">
        <f aca="false">'Income Statement'!B11</f>
        <v>1.55</v>
      </c>
      <c r="C7" s="6" t="n">
        <f aca="false">'Income Statement'!C11</f>
        <v>1.69</v>
      </c>
      <c r="D7" s="6" t="n">
        <f aca="false">'Income Statement'!D11</f>
        <v>1.74</v>
      </c>
      <c r="E7" s="6" t="n">
        <f aca="false">'Income Statement'!E11</f>
        <v>1.8096</v>
      </c>
      <c r="F7" s="6" t="n">
        <f aca="false">'Income Statement'!F11</f>
        <v>1.909128</v>
      </c>
      <c r="G7" s="6" t="n">
        <f aca="false">'Income Statement'!G11</f>
        <v>2.03322132</v>
      </c>
      <c r="H7" s="6" t="n">
        <f aca="false">'Income Statement'!H11</f>
        <v>2.1755468124</v>
      </c>
      <c r="I7" s="6" t="n">
        <f aca="false">'Income Statement'!I11</f>
        <v>2.327835089268</v>
      </c>
    </row>
    <row r="8" customFormat="false" ht="15" hidden="false" customHeight="false" outlineLevel="0" collapsed="false">
      <c r="A8" s="4" t="s">
        <v>146</v>
      </c>
      <c r="B8" s="39" t="n">
        <f aca="false">'Balance Sheet'!B6</f>
        <v>1236000</v>
      </c>
      <c r="C8" s="39" t="n">
        <f aca="false">'Balance Sheet'!C6</f>
        <v>1298000</v>
      </c>
      <c r="D8" s="39" t="n">
        <f aca="false">'Balance Sheet'!D6</f>
        <v>1391000</v>
      </c>
      <c r="E8" s="39" t="n">
        <f aca="false">'Balance Sheet'!E6</f>
        <v>1515685</v>
      </c>
      <c r="F8" s="39" t="n">
        <f aca="false">'Balance Sheet'!F6</f>
        <v>1644077.15</v>
      </c>
      <c r="G8" s="39" t="n">
        <f aca="false">'Balance Sheet'!G6</f>
        <v>1775242.84275</v>
      </c>
      <c r="H8" s="39" t="n">
        <f aca="false">'Balance Sheet'!H6</f>
        <v>1908123.648945</v>
      </c>
      <c r="I8" s="39" t="n">
        <f aca="false">'Balance Sheet'!I6</f>
        <v>2041545.98411738</v>
      </c>
    </row>
    <row r="9" customFormat="false" ht="15" hidden="false" customHeight="false" outlineLevel="0" collapsed="false">
      <c r="A9" s="4" t="s">
        <v>144</v>
      </c>
      <c r="B9" s="39" t="n">
        <f aca="false">'Balance Sheet'!B4</f>
        <v>851000</v>
      </c>
      <c r="C9" s="39" t="n">
        <f aca="false">'Balance Sheet'!C4</f>
        <v>911000</v>
      </c>
      <c r="D9" s="39" t="n">
        <f aca="false">'Balance Sheet'!D4</f>
        <v>1018000</v>
      </c>
      <c r="E9" s="39" t="n">
        <f aca="false">'Balance Sheet'!E4</f>
        <v>1114710</v>
      </c>
      <c r="F9" s="39" t="n">
        <f aca="false">'Balance Sheet'!F4</f>
        <v>1215033.9</v>
      </c>
      <c r="G9" s="39" t="n">
        <f aca="false">'Balance Sheet'!G4</f>
        <v>1318311.7815</v>
      </c>
      <c r="H9" s="39" t="n">
        <f aca="false">'Balance Sheet'!H4</f>
        <v>1423776.72402</v>
      </c>
      <c r="I9" s="39" t="n">
        <f aca="false">'Balance Sheet'!I4</f>
        <v>1530559.9783215</v>
      </c>
    </row>
    <row r="10" customFormat="false" ht="15" hidden="false" customHeight="false" outlineLevel="0" collapsed="false">
      <c r="A10" s="4" t="s">
        <v>147</v>
      </c>
      <c r="B10" s="39" t="n">
        <f aca="false">'Balance Sheet'!B7</f>
        <v>861000</v>
      </c>
      <c r="C10" s="39" t="n">
        <f aca="false">'Balance Sheet'!C7</f>
        <v>887000</v>
      </c>
      <c r="D10" s="39" t="n">
        <f aca="false">'Balance Sheet'!D7</f>
        <v>955000</v>
      </c>
      <c r="E10" s="39" t="n">
        <f aca="false">'Balance Sheet'!E7</f>
        <v>1026625</v>
      </c>
      <c r="F10" s="39" t="n">
        <f aca="false">'Balance Sheet'!F7</f>
        <v>1098488.75</v>
      </c>
      <c r="G10" s="39" t="n">
        <f aca="false">'Balance Sheet'!G7</f>
        <v>1169890.51875</v>
      </c>
      <c r="H10" s="39" t="n">
        <f aca="false">'Balance Sheet'!H7</f>
        <v>1240083.949875</v>
      </c>
      <c r="I10" s="39" t="n">
        <f aca="false">'Balance Sheet'!I7</f>
        <v>1308288.56711813</v>
      </c>
    </row>
    <row r="11" customFormat="false" ht="15" hidden="false" customHeight="false" outlineLevel="0" collapsed="false">
      <c r="A11" s="4" t="s">
        <v>149</v>
      </c>
      <c r="B11" s="39" t="n">
        <f aca="false">'Balance Sheet'!B9</f>
        <v>111000</v>
      </c>
      <c r="C11" s="39" t="n">
        <f aca="false">'Balance Sheet'!C9</f>
        <v>114000</v>
      </c>
      <c r="D11" s="39" t="n">
        <f aca="false">'Balance Sheet'!D9</f>
        <v>125000</v>
      </c>
      <c r="E11" s="39" t="n">
        <f aca="false">'Balance Sheet'!E9</f>
        <v>135329.455314286</v>
      </c>
      <c r="F11" s="39" t="n">
        <f aca="false">'Balance Sheet'!F9</f>
        <v>146035.845138286</v>
      </c>
      <c r="G11" s="39" t="n">
        <f aca="false">'Balance Sheet'!G9</f>
        <v>157234.537708657</v>
      </c>
      <c r="H11" s="39" t="n">
        <f aca="false">'Balance Sheet'!H9</f>
        <v>168999.273285313</v>
      </c>
      <c r="I11" s="39" t="n">
        <f aca="false">'Balance Sheet'!I9</f>
        <v>181354.424295538</v>
      </c>
    </row>
    <row r="12" customFormat="false" ht="15" hidden="false" customHeight="false" outlineLevel="0" collapsed="false">
      <c r="A12" s="4" t="s">
        <v>156</v>
      </c>
      <c r="B12" s="39" t="n">
        <f aca="false">'Cash Flow'!B6</f>
        <v>6975</v>
      </c>
      <c r="C12" s="39" t="n">
        <f aca="false">'Cash Flow'!C6</f>
        <v>7524</v>
      </c>
      <c r="D12" s="39" t="n">
        <f aca="false">'Cash Flow'!D6</f>
        <v>7650</v>
      </c>
      <c r="E12" s="39" t="n">
        <f aca="false">'Cash Flow'!E6</f>
        <v>11559.3514285714</v>
      </c>
      <c r="F12" s="39" t="n">
        <f aca="false">'Cash Flow'!F6</f>
        <v>12534.1782571429</v>
      </c>
      <c r="G12" s="39" t="n">
        <f aca="false">'Cash Flow'!G6</f>
        <v>13819.2123438571</v>
      </c>
      <c r="H12" s="39" t="n">
        <f aca="false">'Cash Flow'!H6</f>
        <v>15355.2120516771</v>
      </c>
      <c r="I12" s="39" t="n">
        <f aca="false">'Cash Flow'!I6</f>
        <v>17062.4915343571</v>
      </c>
    </row>
    <row r="13" customFormat="false" ht="15" hidden="false" customHeight="false" outlineLevel="0" collapsed="false">
      <c r="A13" s="4" t="s">
        <v>163</v>
      </c>
      <c r="B13" s="39" t="n">
        <f aca="false">'Cash Flow'!B7</f>
        <v>-5923.45</v>
      </c>
      <c r="C13" s="39" t="n">
        <f aca="false">'Cash Flow'!C7</f>
        <v>-6379.1</v>
      </c>
      <c r="D13" s="39" t="n">
        <f aca="false">'Cash Flow'!D7</f>
        <v>-6606.925</v>
      </c>
      <c r="E13" s="39" t="n">
        <f aca="false">'Cash Flow'!E7</f>
        <v>-7091.080464</v>
      </c>
      <c r="F13" s="39" t="n">
        <f aca="false">'Cash Flow'!F7</f>
        <v>-7655.06872416</v>
      </c>
      <c r="G13" s="39" t="n">
        <f aca="false">'Cash Flow'!G7</f>
        <v>-8337.935650122</v>
      </c>
      <c r="H13" s="39" t="n">
        <f aca="false">'Cash Flow'!H7</f>
        <v>-9119.84872664455</v>
      </c>
      <c r="I13" s="39" t="n">
        <f aca="false">'Cash Flow'!I7</f>
        <v>-9970.37374919466</v>
      </c>
    </row>
    <row r="15" customFormat="false" ht="15" hidden="false" customHeight="true" outlineLevel="0" collapsed="false">
      <c r="A15" s="11" t="s">
        <v>164</v>
      </c>
      <c r="B15" s="11"/>
      <c r="C15" s="11"/>
      <c r="D15" s="11"/>
      <c r="E15" s="11"/>
      <c r="F15" s="11"/>
      <c r="G15" s="11"/>
      <c r="H15" s="11"/>
    </row>
  </sheetData>
  <mergeCells count="2">
    <mergeCell ref="A1:H1"/>
    <mergeCell ref="A15:H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6" min="2" style="0" width="12"/>
  </cols>
  <sheetData>
    <row r="1" customFormat="false" ht="24" hidden="false" customHeight="true" outlineLevel="0" collapsed="false">
      <c r="A1" s="1" t="s">
        <v>165</v>
      </c>
      <c r="B1" s="1"/>
      <c r="C1" s="1"/>
      <c r="D1" s="1"/>
      <c r="E1" s="1"/>
      <c r="F1" s="1"/>
      <c r="G1" s="1"/>
      <c r="H1" s="1"/>
    </row>
    <row r="3" customFormat="false" ht="15" hidden="false" customHeight="false" outlineLevel="0" collapsed="false">
      <c r="A3" s="20" t="s">
        <v>166</v>
      </c>
    </row>
    <row r="4" customFormat="false" ht="15" hidden="false" customHeight="false" outlineLevel="0" collapsed="false">
      <c r="A4" s="4" t="s">
        <v>167</v>
      </c>
      <c r="B4" s="16" t="n">
        <v>17.54</v>
      </c>
    </row>
    <row r="5" customFormat="false" ht="15" hidden="false" customHeight="false" outlineLevel="0" collapsed="false">
      <c r="A5" s="4" t="s">
        <v>168</v>
      </c>
      <c r="B5" s="22" t="n">
        <v>0.1805</v>
      </c>
    </row>
    <row r="6" customFormat="false" ht="15" hidden="false" customHeight="false" outlineLevel="0" collapsed="false">
      <c r="A6" s="4" t="s">
        <v>169</v>
      </c>
      <c r="B6" s="17" t="n">
        <v>50000</v>
      </c>
    </row>
    <row r="7" customFormat="false" ht="15" hidden="false" customHeight="false" outlineLevel="0" collapsed="false">
      <c r="A7" s="4" t="s">
        <v>170</v>
      </c>
      <c r="B7" s="42" t="n">
        <v>42</v>
      </c>
    </row>
    <row r="8" customFormat="false" ht="15" hidden="false" customHeight="false" outlineLevel="0" collapsed="false">
      <c r="A8" s="4" t="s">
        <v>171</v>
      </c>
      <c r="B8" s="22" t="n">
        <v>0</v>
      </c>
    </row>
    <row r="9" customFormat="false" ht="15" hidden="false" customHeight="false" outlineLevel="0" collapsed="false">
      <c r="A9" s="4" t="s">
        <v>172</v>
      </c>
      <c r="B9" s="37" t="n">
        <v>0.003</v>
      </c>
    </row>
    <row r="10" customFormat="false" ht="15" hidden="false" customHeight="false" outlineLevel="0" collapsed="false">
      <c r="A10" s="4" t="s">
        <v>173</v>
      </c>
      <c r="B10" s="37" t="n">
        <v>-0.0155</v>
      </c>
    </row>
    <row r="11" customFormat="false" ht="15" hidden="false" customHeight="false" outlineLevel="0" collapsed="false">
      <c r="A11" s="4" t="s">
        <v>174</v>
      </c>
      <c r="B11" s="37" t="n">
        <v>-0.0125</v>
      </c>
    </row>
    <row r="13" customFormat="false" ht="15" hidden="false" customHeight="false" outlineLevel="0" collapsed="false">
      <c r="A13" s="20" t="s">
        <v>175</v>
      </c>
    </row>
    <row r="14" customFormat="false" ht="15" hidden="false" customHeight="false" outlineLevel="0" collapsed="false">
      <c r="A14" s="26" t="s">
        <v>176</v>
      </c>
      <c r="B14" s="27" t="s">
        <v>177</v>
      </c>
      <c r="C14" s="27" t="s">
        <v>178</v>
      </c>
      <c r="D14" s="27" t="s">
        <v>179</v>
      </c>
      <c r="E14" s="27" t="s">
        <v>180</v>
      </c>
      <c r="F14" s="27" t="s">
        <v>181</v>
      </c>
    </row>
    <row r="15" customFormat="false" ht="15" hidden="false" customHeight="false" outlineLevel="0" collapsed="false">
      <c r="A15" s="4" t="s">
        <v>182</v>
      </c>
      <c r="B15" s="5" t="n">
        <v>15.35</v>
      </c>
      <c r="C15" s="5" t="n">
        <v>16.74</v>
      </c>
      <c r="D15" s="5" t="n">
        <v>17.48</v>
      </c>
      <c r="E15" s="5" t="n">
        <v>18.19</v>
      </c>
      <c r="F15" s="5" t="n">
        <v>19.55</v>
      </c>
    </row>
    <row r="16" customFormat="false" ht="15" hidden="false" customHeight="false" outlineLevel="0" collapsed="false">
      <c r="A16" s="4" t="s">
        <v>183</v>
      </c>
      <c r="B16" s="5" t="n">
        <v>13.96</v>
      </c>
      <c r="C16" s="5" t="n">
        <v>15.91</v>
      </c>
      <c r="D16" s="5" t="n">
        <v>17.24</v>
      </c>
      <c r="E16" s="5" t="n">
        <v>18.6</v>
      </c>
      <c r="F16" s="5" t="n">
        <v>20.91</v>
      </c>
    </row>
    <row r="19" customFormat="false" ht="15" hidden="false" customHeight="false" outlineLevel="0" collapsed="false">
      <c r="A19" s="20" t="s">
        <v>184</v>
      </c>
    </row>
    <row r="20" customFormat="false" ht="15" hidden="false" customHeight="false" outlineLevel="0" collapsed="false">
      <c r="A20" s="20" t="s">
        <v>185</v>
      </c>
      <c r="B20" s="20" t="s">
        <v>186</v>
      </c>
      <c r="C20" s="20"/>
      <c r="D20" s="20" t="s">
        <v>187</v>
      </c>
      <c r="E20" s="20" t="s">
        <v>188</v>
      </c>
      <c r="F20" s="20" t="s">
        <v>189</v>
      </c>
    </row>
    <row r="21" customFormat="false" ht="15" hidden="false" customHeight="false" outlineLevel="0" collapsed="false">
      <c r="A21" s="4" t="s">
        <v>190</v>
      </c>
      <c r="B21" s="4" t="s">
        <v>191</v>
      </c>
      <c r="D21" s="4" t="s">
        <v>192</v>
      </c>
      <c r="E21" s="29" t="n">
        <v>0.25</v>
      </c>
      <c r="F21" s="29" t="n">
        <v>-0.08</v>
      </c>
    </row>
    <row r="22" customFormat="false" ht="15" hidden="false" customHeight="false" outlineLevel="0" collapsed="false">
      <c r="A22" s="4" t="s">
        <v>193</v>
      </c>
      <c r="B22" s="4" t="s">
        <v>194</v>
      </c>
      <c r="D22" s="4" t="s">
        <v>195</v>
      </c>
      <c r="E22" s="29" t="n">
        <v>0.3</v>
      </c>
      <c r="F22" s="29" t="n">
        <v>0.02</v>
      </c>
    </row>
    <row r="23" customFormat="false" ht="15" hidden="false" customHeight="false" outlineLevel="0" collapsed="false">
      <c r="A23" s="4" t="s">
        <v>196</v>
      </c>
      <c r="B23" s="4" t="s">
        <v>197</v>
      </c>
      <c r="D23" s="4" t="s">
        <v>198</v>
      </c>
      <c r="E23" s="29" t="n">
        <v>0.2</v>
      </c>
      <c r="F23" s="29" t="n">
        <v>0.01</v>
      </c>
    </row>
    <row r="24" customFormat="false" ht="15" hidden="false" customHeight="false" outlineLevel="0" collapsed="false">
      <c r="A24" s="4" t="s">
        <v>199</v>
      </c>
      <c r="B24" s="4" t="s">
        <v>194</v>
      </c>
      <c r="D24" s="4" t="s">
        <v>200</v>
      </c>
      <c r="E24" s="29" t="n">
        <v>0.3</v>
      </c>
      <c r="F24" s="29" t="n">
        <v>0.01</v>
      </c>
    </row>
    <row r="25" customFormat="false" ht="15" hidden="false" customHeight="false" outlineLevel="0" collapsed="false">
      <c r="A25" s="4" t="s">
        <v>201</v>
      </c>
      <c r="B25" s="4" t="s">
        <v>194</v>
      </c>
      <c r="D25" s="4" t="s">
        <v>202</v>
      </c>
      <c r="E25" s="29" t="n">
        <v>0.5</v>
      </c>
      <c r="F25" s="29" t="n">
        <v>0.01</v>
      </c>
    </row>
    <row r="26" customFormat="false" ht="15" hidden="false" customHeight="false" outlineLevel="0" collapsed="false">
      <c r="A26" s="4" t="s">
        <v>203</v>
      </c>
      <c r="B26" s="4" t="s">
        <v>191</v>
      </c>
      <c r="D26" s="4" t="s">
        <v>204</v>
      </c>
      <c r="E26" s="29" t="n">
        <v>0.25</v>
      </c>
      <c r="F26" s="29" t="n">
        <v>-0.05</v>
      </c>
    </row>
    <row r="27" customFormat="false" ht="15" hidden="false" customHeight="false" outlineLevel="0" collapsed="false">
      <c r="A27" s="4" t="s">
        <v>205</v>
      </c>
      <c r="B27" s="4" t="s">
        <v>191</v>
      </c>
      <c r="D27" s="4" t="s">
        <v>206</v>
      </c>
      <c r="E27" s="29" t="n">
        <v>0.3</v>
      </c>
      <c r="F27" s="29" t="n">
        <v>0.02</v>
      </c>
    </row>
    <row r="28" customFormat="false" ht="15" hidden="false" customHeight="false" outlineLevel="0" collapsed="false">
      <c r="D28" s="4" t="s">
        <v>207</v>
      </c>
      <c r="E28" s="29" t="n">
        <v>0.25</v>
      </c>
      <c r="F28" s="29" t="n">
        <v>0.01</v>
      </c>
    </row>
    <row r="29" customFormat="false" ht="15" hidden="false" customHeight="false" outlineLevel="0" collapsed="false">
      <c r="D29" s="4" t="s">
        <v>208</v>
      </c>
      <c r="E29" s="29" t="n">
        <v>0.25</v>
      </c>
      <c r="F29" s="29" t="n">
        <v>-0.03</v>
      </c>
    </row>
    <row r="31" customFormat="false" ht="19.4" hidden="false" customHeight="true" outlineLevel="0" collapsed="false">
      <c r="A31" s="11" t="s">
        <v>209</v>
      </c>
      <c r="B31" s="11"/>
      <c r="C31" s="11"/>
      <c r="D31" s="11"/>
      <c r="E31" s="11"/>
      <c r="F31" s="11"/>
      <c r="G31" s="11"/>
      <c r="H31" s="11"/>
    </row>
  </sheetData>
  <mergeCells count="2">
    <mergeCell ref="A1:H1"/>
    <mergeCell ref="A31:H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6" min="2" style="0" width="12"/>
  </cols>
  <sheetData>
    <row r="1" customFormat="false" ht="24" hidden="false" customHeight="true" outlineLevel="0" collapsed="false">
      <c r="A1" s="1" t="s">
        <v>210</v>
      </c>
      <c r="B1" s="1"/>
      <c r="C1" s="1"/>
      <c r="D1" s="1"/>
      <c r="E1" s="1"/>
      <c r="F1" s="1"/>
      <c r="G1" s="1"/>
      <c r="H1" s="1"/>
    </row>
    <row r="3" customFormat="false" ht="15" hidden="false" customHeight="false" outlineLevel="0" collapsed="false">
      <c r="A3" s="3" t="s">
        <v>211</v>
      </c>
      <c r="B3" s="43" t="n">
        <v>0.04</v>
      </c>
      <c r="C3" s="43" t="n">
        <v>0.045</v>
      </c>
      <c r="D3" s="43" t="n">
        <v>0.0475</v>
      </c>
      <c r="E3" s="43" t="n">
        <v>0.05</v>
      </c>
      <c r="F3" s="43" t="n">
        <v>0.0525</v>
      </c>
    </row>
    <row r="4" customFormat="false" ht="15" hidden="false" customHeight="false" outlineLevel="0" collapsed="false">
      <c r="A4" s="44" t="n">
        <v>0.095</v>
      </c>
      <c r="B4" s="13" t="n">
        <v>20.28</v>
      </c>
      <c r="C4" s="13" t="n">
        <v>22.04</v>
      </c>
      <c r="D4" s="13" t="n">
        <v>23.06</v>
      </c>
      <c r="E4" s="13" t="n">
        <v>24.2</v>
      </c>
      <c r="F4" s="13" t="n">
        <v>25.47</v>
      </c>
    </row>
    <row r="5" customFormat="false" ht="15" hidden="false" customHeight="false" outlineLevel="0" collapsed="false">
      <c r="A5" s="44" t="n">
        <v>0.1</v>
      </c>
      <c r="B5" s="45" t="n">
        <v>18.48</v>
      </c>
      <c r="C5" s="13" t="n">
        <v>19.93</v>
      </c>
      <c r="D5" s="13" t="n">
        <v>20.76</v>
      </c>
      <c r="E5" s="13" t="n">
        <v>21.66</v>
      </c>
      <c r="F5" s="13" t="n">
        <v>22.67</v>
      </c>
    </row>
    <row r="6" customFormat="false" ht="15" hidden="false" customHeight="false" outlineLevel="0" collapsed="false">
      <c r="A6" s="44" t="n">
        <v>0.105</v>
      </c>
      <c r="B6" s="45" t="n">
        <v>16.97</v>
      </c>
      <c r="C6" s="45" t="n">
        <v>18.17</v>
      </c>
      <c r="D6" s="13" t="n">
        <v>18.85</v>
      </c>
      <c r="E6" s="13" t="n">
        <v>19.59</v>
      </c>
      <c r="F6" s="13" t="n">
        <v>20.4</v>
      </c>
    </row>
    <row r="7" customFormat="false" ht="15" hidden="false" customHeight="false" outlineLevel="0" collapsed="false">
      <c r="A7" s="44" t="n">
        <v>0.11</v>
      </c>
      <c r="B7" s="13" t="n">
        <v>15.68</v>
      </c>
      <c r="C7" s="45" t="n">
        <v>16.69</v>
      </c>
      <c r="D7" s="45" t="n">
        <v>17.25</v>
      </c>
      <c r="E7" s="45" t="n">
        <v>17.87</v>
      </c>
      <c r="F7" s="45" t="n">
        <v>18.53</v>
      </c>
    </row>
    <row r="8" customFormat="false" ht="15" hidden="false" customHeight="false" outlineLevel="0" collapsed="false">
      <c r="A8" s="44" t="n">
        <v>0.115</v>
      </c>
      <c r="B8" s="13" t="n">
        <v>14.55</v>
      </c>
      <c r="C8" s="13" t="n">
        <v>15.41</v>
      </c>
      <c r="D8" s="13" t="n">
        <v>15.89</v>
      </c>
      <c r="E8" s="13" t="n">
        <v>16.41</v>
      </c>
      <c r="F8" s="45" t="n">
        <v>16.96</v>
      </c>
    </row>
    <row r="10" customFormat="false" ht="19.4" hidden="false" customHeight="true" outlineLevel="0" collapsed="false">
      <c r="A10" s="11" t="s">
        <v>212</v>
      </c>
      <c r="B10" s="11"/>
      <c r="C10" s="11"/>
      <c r="D10" s="11"/>
      <c r="E10" s="11"/>
      <c r="F10" s="11"/>
      <c r="G10" s="11"/>
      <c r="H10" s="11"/>
    </row>
  </sheetData>
  <mergeCells count="2">
    <mergeCell ref="A1:H1"/>
    <mergeCell ref="A10:H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9" min="2" style="0" width="11"/>
  </cols>
  <sheetData>
    <row r="1" customFormat="false" ht="24" hidden="false" customHeight="true" outlineLevel="0" collapsed="false">
      <c r="A1" s="1" t="s">
        <v>213</v>
      </c>
      <c r="B1" s="1"/>
      <c r="C1" s="1"/>
      <c r="D1" s="1"/>
      <c r="E1" s="1"/>
      <c r="F1" s="1"/>
      <c r="G1" s="1"/>
      <c r="H1" s="1"/>
    </row>
    <row r="3" customFormat="false" ht="15" hidden="false" customHeight="false" outlineLevel="0" collapsed="false">
      <c r="A3" s="26"/>
      <c r="B3" s="27" t="s">
        <v>132</v>
      </c>
      <c r="C3" s="27" t="s">
        <v>133</v>
      </c>
      <c r="D3" s="27" t="s">
        <v>67</v>
      </c>
      <c r="E3" s="27" t="s">
        <v>48</v>
      </c>
      <c r="F3" s="27" t="s">
        <v>49</v>
      </c>
      <c r="G3" s="27" t="s">
        <v>50</v>
      </c>
      <c r="H3" s="27" t="s">
        <v>51</v>
      </c>
      <c r="I3" s="27" t="s">
        <v>52</v>
      </c>
    </row>
    <row r="4" customFormat="false" ht="15" hidden="false" customHeight="false" outlineLevel="0" collapsed="false">
      <c r="A4" s="4" t="s">
        <v>68</v>
      </c>
      <c r="B4" s="5" t="n">
        <v>1.55</v>
      </c>
      <c r="C4" s="5" t="n">
        <v>1.69</v>
      </c>
      <c r="D4" s="5" t="n">
        <v>1.74</v>
      </c>
      <c r="E4" s="5" t="n">
        <v>1.81</v>
      </c>
      <c r="F4" s="5" t="n">
        <v>1.909</v>
      </c>
      <c r="G4" s="5" t="n">
        <v>2.033</v>
      </c>
      <c r="H4" s="5" t="n">
        <v>2.176</v>
      </c>
      <c r="I4" s="5" t="n">
        <v>2.328</v>
      </c>
    </row>
    <row r="5" customFormat="false" ht="15" hidden="false" customHeight="false" outlineLevel="0" collapsed="false">
      <c r="A5" s="4" t="s">
        <v>70</v>
      </c>
      <c r="B5" s="5" t="n">
        <v>0.65</v>
      </c>
      <c r="C5" s="5" t="n">
        <v>0.7</v>
      </c>
      <c r="D5" s="5" t="n">
        <v>0.725</v>
      </c>
      <c r="E5" s="5" t="n">
        <v>0.778</v>
      </c>
      <c r="F5" s="5" t="n">
        <v>0.84</v>
      </c>
      <c r="G5" s="5" t="n">
        <v>0.915</v>
      </c>
      <c r="H5" s="5" t="n">
        <v>1.001</v>
      </c>
      <c r="I5" s="5" t="n">
        <v>1.094</v>
      </c>
    </row>
    <row r="6" customFormat="false" ht="15" hidden="false" customHeight="false" outlineLevel="0" collapsed="false">
      <c r="A6" s="4" t="s">
        <v>69</v>
      </c>
      <c r="B6" s="7" t="n">
        <f aca="false">B5/B4</f>
        <v>0.419354838709677</v>
      </c>
      <c r="C6" s="7" t="n">
        <f aca="false">C5/C4</f>
        <v>0.414201183431953</v>
      </c>
      <c r="D6" s="7" t="n">
        <f aca="false">D5/D4</f>
        <v>0.416666666666667</v>
      </c>
      <c r="E6" s="7" t="n">
        <f aca="false">E5/E4</f>
        <v>0.429834254143646</v>
      </c>
      <c r="F6" s="7" t="n">
        <f aca="false">F5/F4</f>
        <v>0.440020953378732</v>
      </c>
      <c r="G6" s="7" t="n">
        <f aca="false">G5/G4</f>
        <v>0.450073782587309</v>
      </c>
      <c r="H6" s="7" t="n">
        <f aca="false">H5/H4</f>
        <v>0.460018382352941</v>
      </c>
      <c r="I6" s="7" t="n">
        <f aca="false">I5/I4</f>
        <v>0.469931271477663</v>
      </c>
    </row>
    <row r="7" customFormat="false" ht="15" hidden="false" customHeight="false" outlineLevel="0" collapsed="false">
      <c r="A7" s="4" t="s">
        <v>214</v>
      </c>
      <c r="B7" s="46" t="n">
        <f aca="false">Assumptions!$B$4/B4</f>
        <v>11.3161290322581</v>
      </c>
      <c r="C7" s="46" t="n">
        <f aca="false">Assumptions!$B$4/C4</f>
        <v>10.3786982248521</v>
      </c>
      <c r="D7" s="46" t="n">
        <f aca="false">Assumptions!$B$4/D4</f>
        <v>10.0804597701149</v>
      </c>
      <c r="E7" s="46" t="n">
        <f aca="false">Assumptions!$B$4/E4</f>
        <v>9.69060773480663</v>
      </c>
      <c r="F7" s="46" t="n">
        <f aca="false">Assumptions!$B$4/F4</f>
        <v>9.18805657412258</v>
      </c>
      <c r="G7" s="46" t="n">
        <f aca="false">Assumptions!$B$4/G4</f>
        <v>8.62764387604525</v>
      </c>
      <c r="H7" s="46" t="n">
        <f aca="false">Assumptions!$B$4/H4</f>
        <v>8.06066176470588</v>
      </c>
      <c r="I7" s="46" t="n">
        <f aca="false">Assumptions!$B$4/I4</f>
        <v>7.53436426116839</v>
      </c>
    </row>
    <row r="8" customFormat="false" ht="15" hidden="false" customHeight="false" outlineLevel="0" collapsed="false">
      <c r="A8" s="4" t="s">
        <v>215</v>
      </c>
      <c r="B8" s="7" t="n">
        <f aca="false">B5/Assumptions!$B$4</f>
        <v>0.0370581527936146</v>
      </c>
      <c r="C8" s="7" t="n">
        <f aca="false">C5/Assumptions!$B$4</f>
        <v>0.0399087799315849</v>
      </c>
      <c r="D8" s="7" t="n">
        <f aca="false">D5/Assumptions!$B$4</f>
        <v>0.0413340935005701</v>
      </c>
      <c r="E8" s="7" t="n">
        <f aca="false">E5/Assumptions!$B$4</f>
        <v>0.0443557582668187</v>
      </c>
      <c r="F8" s="7" t="n">
        <f aca="false">F5/Assumptions!$B$4</f>
        <v>0.0478905359179019</v>
      </c>
      <c r="G8" s="7" t="n">
        <f aca="false">G5/Assumptions!$B$4</f>
        <v>0.0521664766248575</v>
      </c>
      <c r="H8" s="7" t="n">
        <f aca="false">H5/Assumptions!$B$4</f>
        <v>0.0570695553021665</v>
      </c>
      <c r="I8" s="7" t="n">
        <f aca="false">I5/Assumptions!$B$4</f>
        <v>0.0623717217787913</v>
      </c>
    </row>
    <row r="9" customFormat="false" ht="15" hidden="false" customHeight="false" outlineLevel="0" collapsed="false">
      <c r="A9" s="4" t="s">
        <v>216</v>
      </c>
      <c r="B9" s="5" t="n">
        <v>9.9</v>
      </c>
      <c r="C9" s="5" t="n">
        <v>10.9</v>
      </c>
      <c r="D9" s="5" t="n">
        <v>11.85</v>
      </c>
      <c r="E9" s="5" t="n">
        <v>12.92</v>
      </c>
      <c r="F9" s="5" t="n">
        <v>14.08</v>
      </c>
      <c r="G9" s="5" t="n">
        <v>15.35</v>
      </c>
      <c r="H9" s="5" t="n">
        <v>16.73</v>
      </c>
      <c r="I9" s="5" t="n">
        <v>18.23</v>
      </c>
    </row>
    <row r="10" customFormat="false" ht="15" hidden="false" customHeight="false" outlineLevel="0" collapsed="false">
      <c r="A10" s="4" t="s">
        <v>217</v>
      </c>
      <c r="B10" s="46" t="n">
        <f aca="false">Assumptions!$B$4/B9</f>
        <v>1.77171717171717</v>
      </c>
      <c r="C10" s="46" t="n">
        <f aca="false">Assumptions!$B$4/C9</f>
        <v>1.60917431192661</v>
      </c>
      <c r="D10" s="46" t="n">
        <f aca="false">Assumptions!$B$4/D9</f>
        <v>1.48016877637131</v>
      </c>
      <c r="E10" s="46" t="n">
        <f aca="false">Assumptions!$B$4/E9</f>
        <v>1.35758513931889</v>
      </c>
      <c r="F10" s="46" t="n">
        <f aca="false">Assumptions!$B$4/F9</f>
        <v>1.24573863636364</v>
      </c>
      <c r="G10" s="46" t="n">
        <f aca="false">Assumptions!$B$4/G9</f>
        <v>1.14267100977199</v>
      </c>
      <c r="H10" s="46" t="n">
        <f aca="false">Assumptions!$B$4/H9</f>
        <v>1.04841601912732</v>
      </c>
      <c r="I10" s="46" t="n">
        <f aca="false">Assumptions!$B$4/I9</f>
        <v>0.962150301700494</v>
      </c>
    </row>
    <row r="11" customFormat="false" ht="15" hidden="false" customHeight="false" outlineLevel="0" collapsed="false">
      <c r="A11" s="4" t="s">
        <v>84</v>
      </c>
      <c r="B11" s="29" t="n">
        <v>0.159</v>
      </c>
      <c r="C11" s="29" t="n">
        <v>0.157</v>
      </c>
      <c r="D11" s="29" t="n">
        <v>0.155</v>
      </c>
      <c r="E11" s="29" t="n">
        <v>0.148</v>
      </c>
      <c r="F11" s="29" t="n">
        <v>0.146</v>
      </c>
      <c r="G11" s="29" t="n">
        <v>0.147</v>
      </c>
      <c r="H11" s="29" t="n">
        <v>0.149</v>
      </c>
      <c r="I11" s="29" t="n">
        <v>0.15</v>
      </c>
    </row>
    <row r="12" customFormat="false" ht="15" hidden="false" customHeight="false" outlineLevel="0" collapsed="false">
      <c r="A12" s="4" t="s">
        <v>218</v>
      </c>
      <c r="B12" s="47" t="n">
        <v>0.027</v>
      </c>
      <c r="C12" s="47" t="n">
        <v>0.0265</v>
      </c>
      <c r="D12" s="47" t="n">
        <v>0.0262</v>
      </c>
      <c r="E12" s="47" t="n">
        <v>0.0258</v>
      </c>
      <c r="F12" s="47" t="n">
        <v>0.0255</v>
      </c>
      <c r="G12" s="47" t="n">
        <v>0.0258</v>
      </c>
      <c r="H12" s="47" t="n">
        <v>0.026</v>
      </c>
      <c r="I12" s="47" t="n">
        <v>0.0262</v>
      </c>
    </row>
    <row r="13" customFormat="false" ht="15" hidden="false" customHeight="false" outlineLevel="0" collapsed="false">
      <c r="A13" s="4" t="s">
        <v>219</v>
      </c>
      <c r="B13" s="29" t="n">
        <v>0.226</v>
      </c>
      <c r="C13" s="29" t="n">
        <v>0.223</v>
      </c>
      <c r="D13" s="29" t="n">
        <v>0.233</v>
      </c>
      <c r="E13" s="29" t="n">
        <v>0.235</v>
      </c>
      <c r="F13" s="29" t="n">
        <v>0.235</v>
      </c>
      <c r="G13" s="29" t="n">
        <v>0.234</v>
      </c>
      <c r="H13" s="29" t="n">
        <v>0.233</v>
      </c>
      <c r="I13" s="29" t="n">
        <v>0.232</v>
      </c>
    </row>
    <row r="14" customFormat="false" ht="15" hidden="false" customHeight="false" outlineLevel="0" collapsed="false">
      <c r="A14" s="4" t="s">
        <v>220</v>
      </c>
      <c r="B14" s="29" t="n">
        <v>0.03</v>
      </c>
      <c r="C14" s="29" t="n">
        <v>0.028</v>
      </c>
      <c r="D14" s="29" t="n">
        <v>0.026</v>
      </c>
      <c r="E14" s="29" t="n">
        <v>0.026</v>
      </c>
      <c r="F14" s="29" t="n">
        <v>0.026</v>
      </c>
      <c r="G14" s="29" t="n">
        <v>0.025</v>
      </c>
      <c r="H14" s="29" t="n">
        <v>0.025</v>
      </c>
      <c r="I14" s="29" t="n">
        <v>0.024</v>
      </c>
    </row>
    <row r="15" customFormat="false" ht="15" hidden="false" customHeight="false" outlineLevel="0" collapsed="false">
      <c r="A15" s="4" t="s">
        <v>221</v>
      </c>
      <c r="B15" s="47" t="n">
        <v>0.009</v>
      </c>
      <c r="C15" s="47" t="n">
        <v>0.0085</v>
      </c>
      <c r="D15" s="47" t="n">
        <v>0.009</v>
      </c>
      <c r="E15" s="47" t="n">
        <v>0.0088</v>
      </c>
      <c r="F15" s="47" t="n">
        <v>0.0085</v>
      </c>
      <c r="G15" s="47" t="n">
        <v>0.0083</v>
      </c>
      <c r="H15" s="47" t="n">
        <v>0.008</v>
      </c>
      <c r="I15" s="47" t="n">
        <v>0.008</v>
      </c>
    </row>
    <row r="16" customFormat="false" ht="15" hidden="false" customHeight="false" outlineLevel="0" collapsed="false">
      <c r="A16" s="4" t="s">
        <v>222</v>
      </c>
      <c r="B16" s="29" t="n">
        <v>0.194</v>
      </c>
      <c r="C16" s="29" t="n">
        <v>0.192</v>
      </c>
      <c r="D16" s="29" t="n">
        <v>0.193</v>
      </c>
      <c r="E16" s="29" t="n">
        <v>0.194</v>
      </c>
      <c r="F16" s="29" t="n">
        <v>0.195</v>
      </c>
      <c r="G16" s="29" t="n">
        <v>0.196</v>
      </c>
      <c r="H16" s="29" t="n">
        <v>0.197</v>
      </c>
      <c r="I16" s="29" t="n">
        <v>0.198</v>
      </c>
    </row>
    <row r="18" customFormat="false" ht="19.4" hidden="false" customHeight="true" outlineLevel="0" collapsed="false">
      <c r="A18" s="11" t="s">
        <v>223</v>
      </c>
      <c r="B18" s="11"/>
      <c r="C18" s="11"/>
      <c r="D18" s="11"/>
      <c r="E18" s="11"/>
      <c r="F18" s="11"/>
      <c r="G18" s="11"/>
      <c r="H18" s="11"/>
    </row>
  </sheetData>
  <mergeCells count="2">
    <mergeCell ref="A1:H1"/>
    <mergeCell ref="A18:H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6" min="2" style="0" width="13"/>
  </cols>
  <sheetData>
    <row r="1" customFormat="false" ht="24" hidden="false" customHeight="true" outlineLevel="0" collapsed="false">
      <c r="A1" s="1" t="s">
        <v>224</v>
      </c>
      <c r="B1" s="1"/>
      <c r="C1" s="1"/>
      <c r="D1" s="1"/>
      <c r="E1" s="1"/>
      <c r="F1" s="1"/>
      <c r="G1" s="1"/>
      <c r="H1" s="1"/>
    </row>
    <row r="3" customFormat="false" ht="15" hidden="false" customHeight="false" outlineLevel="0" collapsed="false">
      <c r="A3" s="3" t="s">
        <v>225</v>
      </c>
      <c r="B3" s="3" t="s">
        <v>226</v>
      </c>
      <c r="C3" s="3" t="s">
        <v>227</v>
      </c>
      <c r="D3" s="3" t="s">
        <v>228</v>
      </c>
      <c r="E3" s="3" t="s">
        <v>229</v>
      </c>
      <c r="F3" s="3" t="s">
        <v>85</v>
      </c>
    </row>
    <row r="4" customFormat="false" ht="15" hidden="false" customHeight="false" outlineLevel="0" collapsed="false">
      <c r="A4" s="20" t="s">
        <v>230</v>
      </c>
      <c r="B4" s="48" t="n">
        <v>1.48</v>
      </c>
      <c r="C4" s="48" t="n">
        <v>10.1</v>
      </c>
      <c r="D4" s="29" t="n">
        <v>0.15</v>
      </c>
      <c r="E4" s="29" t="n">
        <v>0.041</v>
      </c>
      <c r="F4" s="30" t="s">
        <v>231</v>
      </c>
    </row>
    <row r="5" customFormat="false" ht="15" hidden="false" customHeight="false" outlineLevel="0" collapsed="false">
      <c r="A5" s="4" t="s">
        <v>232</v>
      </c>
      <c r="B5" s="48" t="n">
        <v>4</v>
      </c>
      <c r="C5" s="48" t="n">
        <v>19</v>
      </c>
      <c r="D5" s="29" t="n">
        <v>0.2</v>
      </c>
      <c r="E5" s="29" t="n">
        <v>0.021</v>
      </c>
      <c r="F5" s="30" t="s">
        <v>233</v>
      </c>
    </row>
    <row r="6" customFormat="false" ht="15" hidden="false" customHeight="false" outlineLevel="0" collapsed="false">
      <c r="A6" s="4" t="s">
        <v>234</v>
      </c>
      <c r="B6" s="48" t="n">
        <v>1.5</v>
      </c>
      <c r="C6" s="48" t="n">
        <v>10.5</v>
      </c>
      <c r="D6" s="29" t="n">
        <v>0.16</v>
      </c>
      <c r="E6" s="29" t="n">
        <v>0.045</v>
      </c>
      <c r="F6" s="30" t="s">
        <v>235</v>
      </c>
    </row>
    <row r="7" customFormat="false" ht="15" hidden="false" customHeight="false" outlineLevel="0" collapsed="false">
      <c r="A7" s="4" t="s">
        <v>236</v>
      </c>
      <c r="B7" s="48" t="n">
        <v>1.3</v>
      </c>
      <c r="C7" s="48" t="n">
        <v>7</v>
      </c>
      <c r="D7" s="29" t="n">
        <v>0.19</v>
      </c>
      <c r="E7" s="29" t="n">
        <v>0.04</v>
      </c>
      <c r="F7" s="30" t="s">
        <v>237</v>
      </c>
    </row>
    <row r="8" customFormat="false" ht="15" hidden="false" customHeight="false" outlineLevel="0" collapsed="false">
      <c r="A8" s="4" t="s">
        <v>238</v>
      </c>
      <c r="B8" s="48" t="n">
        <v>1.4</v>
      </c>
      <c r="C8" s="48" t="n">
        <v>11.5</v>
      </c>
      <c r="D8" s="29" t="n">
        <v>0.13</v>
      </c>
      <c r="E8" s="29" t="n">
        <v>0.035</v>
      </c>
      <c r="F8" s="30" t="s">
        <v>239</v>
      </c>
    </row>
    <row r="9" customFormat="false" ht="15" hidden="false" customHeight="false" outlineLevel="0" collapsed="false">
      <c r="A9" s="4" t="s">
        <v>240</v>
      </c>
      <c r="B9" s="48" t="n">
        <v>0.7</v>
      </c>
      <c r="C9" s="48" t="n">
        <v>7.5</v>
      </c>
      <c r="D9" s="29" t="n">
        <v>0.11</v>
      </c>
      <c r="E9" s="29" t="n">
        <v>0.045</v>
      </c>
      <c r="F9" s="30" t="s">
        <v>241</v>
      </c>
    </row>
    <row r="10" customFormat="false" ht="15" hidden="false" customHeight="false" outlineLevel="0" collapsed="false">
      <c r="A10" s="4" t="s">
        <v>242</v>
      </c>
      <c r="B10" s="48" t="n">
        <v>1.8</v>
      </c>
      <c r="C10" s="48" t="n">
        <v>11</v>
      </c>
      <c r="D10" s="29" t="n">
        <v>0.17</v>
      </c>
      <c r="E10" s="29" t="n">
        <v>0.037</v>
      </c>
      <c r="F10" s="30" t="s">
        <v>243</v>
      </c>
    </row>
    <row r="12" customFormat="false" ht="15" hidden="false" customHeight="false" outlineLevel="0" collapsed="false">
      <c r="A12" s="20" t="s">
        <v>244</v>
      </c>
      <c r="B12" s="46" t="n">
        <f aca="false">MEDIAN(B5:B10)</f>
        <v>1.45</v>
      </c>
      <c r="C12" s="46" t="n">
        <f aca="false">MEDIAN(C5:C10)</f>
        <v>10.75</v>
      </c>
      <c r="D12" s="7" t="n">
        <f aca="false">MEDIAN(D5:D10)</f>
        <v>0.165</v>
      </c>
    </row>
    <row r="14" customFormat="false" ht="19.4" hidden="false" customHeight="true" outlineLevel="0" collapsed="false">
      <c r="A14" s="11" t="s">
        <v>245</v>
      </c>
      <c r="B14" s="11"/>
      <c r="C14" s="11"/>
      <c r="D14" s="11"/>
      <c r="E14" s="11"/>
      <c r="F14" s="11"/>
      <c r="G14" s="11"/>
      <c r="H14" s="11"/>
    </row>
  </sheetData>
  <mergeCells count="2">
    <mergeCell ref="A1:H1"/>
    <mergeCell ref="A14:H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2026-07-05T14:18:32Z</dcterms:created>
  <dc:creator>openpyxl</dc:creator>
  <dc:description/>
  <dc:language>en-US</dc:language>
  <cp:lastModifiedBy/>
  <dcterms:modified xsi:type="dcterms:W3CDTF">2026-07-05T14:18:32Z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