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<sst xmlns="http://schemas.openxmlformats.org/spreadsheetml/2006/main" count="293" uniqueCount="223">
  <si>
    <t xml:space="preserve">Testahil — Saudi Arabian Mining Company (Maaden)  ·  Tadawul: 1211</t>
  </si>
  <si>
    <t xml:space="preserve">Companion model · Independent Valuation Study — Educational Analysis · Not investment advice</t>
  </si>
  <si>
    <t xml:space="preserve">What this workbook is. A transparent companion to the Maaden study. Blue cells on the Assumptions sheet are the only inputs; every</t>
  </si>
  <si>
    <t xml:space="preserve">other cell is a formula that links back to them, so changing one input (a commodity price, a segment multiple, the WACC) reprices the</t>
  </si>
  <si>
    <t xml:space="preserve">whole model. Black = formula; green = link to another sheet; blue = input you can change.</t>
  </si>
  <si>
    <t xml:space="preserve">What it is not. It is not investment advice, a recommendation, or a price target. Outputs are fair-value ranges and probability</t>
  </si>
  <si>
    <t xml:space="preserve">distributions, presented as ranges because no single number should be relied on. The preparer is not licensed by any securities</t>
  </si>
  <si>
    <t xml:space="preserve">regulator and may hold a position in the security. See the study's Disclosure &amp; Disclaimer.</t>
  </si>
  <si>
    <t xml:space="preserve">Currency note. Maaden reports in Saudi riyals (SAR). The riyal is pegged to the US dollar at 3.75, so — unlike a rupee or pound</t>
  </si>
  <si>
    <t xml:space="preserve">name — there is no material FX-translation swing in this model; commodity prices (in USD) convert at the peg.</t>
  </si>
  <si>
    <t xml:space="preserve">Calibration note (see study Appendix B). The Monte-Carlo engine was backtested five years on Maaden and did NOT beat a plain</t>
  </si>
  <si>
    <t xml:space="preserve">zero-drift random-walk cone on CRPS skill. Section 3 is therefore presented as an honest regime-conditional probability map, not a</t>
  </si>
  <si>
    <t xml:space="preserve">skill-validated forecast. Coverage/PIT diagnostics are shown for completeness only.</t>
  </si>
  <si>
    <t xml:space="preserve">Valuation summary — Saudi Arabian Mining Company (Maaden)</t>
  </si>
  <si>
    <t xml:space="preserve">Four-lens fair value vs spot. Bear/base/bull; weighted central.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</si>
  <si>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</si>
  <si>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</si>
  <si>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</si>
  <si>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</si>
  <si>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</si>
  <si>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Sum-of-the-parts</t>
  </si>
  <si>
    <t xml:space="preserve">Consolidated DCF</t>
  </si>
  <si>
    <t xml:space="preserve">Relative multiples</t>
  </si>
  <si>
    <t xml:space="preserve">Mid-cycle earnings</t>
  </si>
  <si>
    <t xml:space="preserve">Weighted central</t>
  </si>
  <si>
    <t xml:space="preserve">Spot price (SAR)</t>
  </si>
  <si>
    <t xml:space="preserve">Central vs spot</t>
  </si>
  <si>
    <t xml:space="preserve">Read: richly valued — spot embeds a large Vision-2030 growth/sovereign premium over fundamental central.</t>
  </si>
  <si>
    <t xml:space="preserve">Fundamental valuation — four lenses</t>
  </si>
  <si>
    <t xml:space="preserve">Bear/base/bull per lens (links to Summary).</t>
  </si>
  <si>
    <t xml:space="preserve">Spot</t>
  </si>
  <si>
    <t xml:space="preserve">Assumptions — the single input layer</t>
  </si>
  <si>
    <t xml:space="preserve">All blue cells are inputs. Every other sheet links here. SAR bn unless noted.</t>
  </si>
  <si>
    <t xml:space="preserve">ANCHORS</t>
  </si>
  <si>
    <t xml:space="preserve">Spot price (SAR/share)</t>
  </si>
  <si>
    <t xml:space="preserve">Shares outstanding (bn)</t>
  </si>
  <si>
    <t xml:space="preserve">Consolidated net debt (SAR bn)</t>
  </si>
  <si>
    <t xml:space="preserve">WACC</t>
  </si>
  <si>
    <t xml:space="preserve">Risk-free rate (rf)</t>
  </si>
  <si>
    <t xml:space="preserve">Saudi 10-yr / USD-pegged</t>
  </si>
  <si>
    <t xml:space="preserve">Equity risk premium (ERP)</t>
  </si>
  <si>
    <t xml:space="preserve">Beta (house band 0.8-1.3)</t>
  </si>
  <si>
    <t xml:space="preserve">realized 0.46; floored to house band</t>
  </si>
  <si>
    <t xml:space="preserve">Cost of equity Ke = rf + beta*ERP</t>
  </si>
  <si>
    <t xml:space="preserve">Terminal growth</t>
  </si>
  <si>
    <t xml:space="preserve">Effective tax / zakat rate</t>
  </si>
  <si>
    <t xml:space="preserve">Saudi zakat + partial income tax</t>
  </si>
  <si>
    <t xml:space="preserve">SOTP — segment marks (base)</t>
  </si>
  <si>
    <t xml:space="preserve">Phosphate normalized EBITDA</t>
  </si>
  <si>
    <t xml:space="preserve">FY27E mid-cycle, DAP ~$650/t</t>
  </si>
  <si>
    <t xml:space="preserve">Phosphate EV/EBITDA</t>
  </si>
  <si>
    <t xml:space="preserve">premium: tier-1 gas-cost + Phosphate 3</t>
  </si>
  <si>
    <t xml:space="preserve">Aluminium normalized EBITDA</t>
  </si>
  <si>
    <t xml:space="preserve">fully consolidated (Alba/Alcoa)</t>
  </si>
  <si>
    <t xml:space="preserve">Aluminium EV/EBITDA</t>
  </si>
  <si>
    <t xml:space="preserve">Base Metals &amp; New Minerals EBITDA</t>
  </si>
  <si>
    <t xml:space="preserve">gold + copper; Ar Rjum ramp</t>
  </si>
  <si>
    <t xml:space="preserve">Base Metals &amp; New Minerals EV/EBITDA</t>
  </si>
  <si>
    <t xml:space="preserve">New minerals / exploration / Manara mark</t>
  </si>
  <si>
    <t xml:space="preserve">option value; Vale/FQM stakes (Maaden share)</t>
  </si>
  <si>
    <t xml:space="preserve">RELATIVE &amp; NORMALIZED</t>
  </si>
  <si>
    <t xml:space="preserve">Relative: normalized group EBITDA</t>
  </si>
  <si>
    <t xml:space="preserve">Relative: peer EV/EBITDA multiple</t>
  </si>
  <si>
    <t xml:space="preserve">diversified-miner blend, quality premium</t>
  </si>
  <si>
    <t xml:space="preserve">Mid-cycle net income</t>
  </si>
  <si>
    <t xml:space="preserve">mid-cycle commodity prices</t>
  </si>
  <si>
    <t xml:space="preserve">Mid-cycle justified P/E</t>
  </si>
  <si>
    <t xml:space="preserve">through-cycle, growth + sovereign</t>
  </si>
  <si>
    <t xml:space="preserve">DCF drivers (FY26E-FY30E)</t>
  </si>
  <si>
    <t xml:space="preserve">Revenue growth FY26E-FY30E</t>
  </si>
  <si>
    <t xml:space="preserve">per-year below (row E..I)</t>
  </si>
  <si>
    <t xml:space="preserve">  Revenue growth (%)</t>
  </si>
  <si>
    <t xml:space="preserve">  EBITDA margin (%)</t>
  </si>
  <si>
    <t xml:space="preserve">  D&amp;A (% of revenue)</t>
  </si>
  <si>
    <t xml:space="preserve">  Capex (SAR bn)</t>
  </si>
  <si>
    <t xml:space="preserve">  Increase in net working capital (SAR bn)</t>
  </si>
  <si>
    <t xml:space="preserve">MONTE CARLO (from analytics)</t>
  </si>
  <si>
    <t xml:space="preserve">Realized vol 252d (annualized)</t>
  </si>
  <si>
    <t xml:space="preserve">Net 3-month factor drift</t>
  </si>
  <si>
    <t xml:space="preserve">Paths / seed</t>
  </si>
  <si>
    <t xml:space="preserve">50,000 · seed 42</t>
  </si>
  <si>
    <t xml:space="preserve">Sum-of-the-parts (primary lens)</t>
  </si>
  <si>
    <t xml:space="preserve">Each commodity segment marked on a normalized EBITDA × a peer-plus EV/EBITDA multiple; less net debt. Marks link to Assumptions.</t>
  </si>
  <si>
    <t xml:space="preserve">Part</t>
  </si>
  <si>
    <t xml:space="preserve">Basis</t>
  </si>
  <si>
    <t xml:space="preserve">Value (SAR bn)</t>
  </si>
  <si>
    <t xml:space="preserve">Phosphate</t>
  </si>
  <si>
    <t xml:space="preserve">Norm. EBITDA × EV/EBITDA</t>
  </si>
  <si>
    <t xml:space="preserve">Aluminium</t>
  </si>
  <si>
    <t xml:space="preserve">Base Metals &amp; New Minerals (gold/copper)</t>
  </si>
  <si>
    <t xml:space="preserve">New minerals / exploration / Manara</t>
  </si>
  <si>
    <t xml:space="preserve">Option-value mark</t>
  </si>
  <si>
    <t xml:space="preserve">Σ Enterprise value</t>
  </si>
  <si>
    <t xml:space="preserve">less: consolidated net debt</t>
  </si>
  <si>
    <t xml:space="preserve">Equity value</t>
  </si>
  <si>
    <t xml:space="preserve">  per share (SAR)</t>
  </si>
  <si>
    <t xml:space="preserve">Segment view (SAR bn)</t>
  </si>
  <si>
    <t xml:space="preserve">Revenue and EBITDA by business unit, FY25 disclosed. Source: Maaden FY25 results.</t>
  </si>
  <si>
    <t xml:space="preserve">Segment</t>
  </si>
  <si>
    <t xml:space="preserve">Revenue FY25</t>
  </si>
  <si>
    <t xml:space="preserve">EBITDA FY25</t>
  </si>
  <si>
    <t xml:space="preserve">EBITDA margin</t>
  </si>
  <si>
    <t xml:space="preserve">% of EBITDA</t>
  </si>
  <si>
    <t xml:space="preserve">Base Metals &amp; New Minerals</t>
  </si>
  <si>
    <t xml:space="preserve">Corporate / other</t>
  </si>
  <si>
    <t xml:space="preserve">Total</t>
  </si>
  <si>
    <t xml:space="preserve">Relative &amp; normalized-earnings lenses</t>
  </si>
  <si>
    <t xml:space="preserve">Links to Assumptions.</t>
  </si>
  <si>
    <t xml:space="preserve">Workings</t>
  </si>
  <si>
    <t xml:space="preserve">SAR/share</t>
  </si>
  <si>
    <t xml:space="preserve">Relative EV/EBITDA</t>
  </si>
  <si>
    <t xml:space="preserve">Norm EBITDA × mult − net debt, /sh</t>
  </si>
  <si>
    <t xml:space="preserve">  implied EV (SAR bn)</t>
  </si>
  <si>
    <t xml:space="preserve">Mid-cycle NI × justified P/E, /sh</t>
  </si>
  <si>
    <t xml:space="preserve">  mid-cycle EPS (SAR)</t>
  </si>
  <si>
    <t xml:space="preserve">Discounted cash flow — explicit 5-year FCFF</t>
  </si>
  <si>
    <t xml:space="preserve">NOPAT + D&amp;A − capex − ΔWC, discounted at WACC (Ke = rf + beta·ERP). Free cash flow to the firm, five-year explicit forecast. Every input links to Assumptions.</t>
  </si>
  <si>
    <t xml:space="preserve">Line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</si>
  <si>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</si>
  <si>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</si>
  <si>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</si>
  <si>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</si>
  <si>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</si>
  <si>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EBIT</t>
  </si>
  <si>
    <t xml:space="preserve">NOPAT = EBIT × (1 − tax)</t>
  </si>
  <si>
    <t xml:space="preserve">+ D&amp;A</t>
  </si>
  <si>
    <t xml:space="preserve">− Capex</t>
  </si>
  <si>
    <t xml:space="preserve">− Increase in net working capital</t>
  </si>
  <si>
    <t xml:space="preserve">Free cash flow to firm (FCFF)</t>
  </si>
  <si>
    <t xml:space="preserve">Discount factor</t>
  </si>
  <si>
    <t xml:space="preserve">PV of FCFF</t>
  </si>
  <si>
    <t xml:space="preserve">Σ PV of explicit FCFF (FY26E-FY30E)</t>
  </si>
  <si>
    <t xml:space="preserve">Terminal value (Gordon) = FCFF_FY30 × (1+g)/(WACC−g)</t>
  </si>
  <si>
    <t xml:space="preserve">PV of terminal value</t>
  </si>
  <si>
    <t xml:space="preserve">Enterprise value</t>
  </si>
  <si>
    <t xml:space="preserve">TV as % of EV (device A-7 disclosure)</t>
  </si>
  <si>
    <t xml:space="preserve">less: net debt</t>
  </si>
  <si>
    <t xml:space="preserve">DCF fair value per share (SAR)</t>
  </si>
  <si>
    <t xml:space="preserve">Income statement (SAR bn, consolidated)</t>
  </si>
  <si>
    <t xml:space="preserve">FY23-FY25 disclosed (blue); FY26E-FY30E forecast (formulas). Source: Maaden FY25 results (5 Mar 2026), quarterly filings.</t>
  </si>
  <si>
    <t xml:space="preserve">FY23</t>
  </si>
  <si>
    <t xml:space="preserve">FY24</t>
  </si>
  <si>
    <t xml:space="preserve">FY25</t>
  </si>
  <si>
    <t xml:space="preserve">Total revenue</t>
  </si>
  <si>
    <t xml:space="preserve">EBITDA</t>
  </si>
  <si>
    <t xml:space="preserve">Depreciation &amp; amortization (D&amp;A)</t>
  </si>
  <si>
    <t xml:space="preserve">Net finance cost</t>
  </si>
  <si>
    <t xml:space="preserve">Share of JV/associates + other</t>
  </si>
  <si>
    <t xml:space="preserve">Profit before zakat &amp; tax</t>
  </si>
  <si>
    <t xml:space="preserve">Zakat &amp; income tax</t>
  </si>
  <si>
    <t xml:space="preserve">Non-controlling interests</t>
  </si>
  <si>
    <t xml:space="preserve">Net profit (attributable)</t>
  </si>
  <si>
    <t xml:space="preserve">Net margin</t>
  </si>
  <si>
    <t xml:space="preserve">Note: FY23 revenue and weak-year figures approximate (post-2022 peak). FY24/FY25 per company disclosure.</t>
  </si>
  <si>
    <t xml:space="preserve">Balance sheet (SAR bn, consolidated)</t>
  </si>
  <si>
    <t xml:space="preserve">FY23-FY25 anchored to disclosure; FY26E-FY30E rolled forward. Equity per company (FY25 SAR 61.6bn).</t>
  </si>
  <si>
    <t xml:space="preserve">PP&amp;E + intangibles</t>
  </si>
  <si>
    <t xml:space="preserve">Inventory + receivables + other CA</t>
  </si>
  <si>
    <t xml:space="preserve">Cash &amp; equivalents</t>
  </si>
  <si>
    <t xml:space="preserve">Total assets</t>
  </si>
  <si>
    <t xml:space="preserve">Borrowings (gross debt)</t>
  </si>
  <si>
    <t xml:space="preserve">Payables + provisions + other</t>
  </si>
  <si>
    <t xml:space="preserve">Equity (attributable)</t>
  </si>
  <si>
    <t xml:space="preserve">Net debt = borrowings − cash</t>
  </si>
  <si>
    <t xml:space="preserve">Check: assets − liabilities − equity − NCI (≈0)</t>
  </si>
  <si>
    <t xml:space="preserve">Cash flow (SAR bn, forecast)</t>
  </si>
  <si>
    <t xml:space="preserve">Derived from the Income Statement and Assumptions. FY26E-FY30E.</t>
  </si>
  <si>
    <t xml:space="preserve">+ Non-controlling interests</t>
  </si>
  <si>
    <t xml:space="preserve">Operating cash flow</t>
  </si>
  <si>
    <t xml:space="preserve">Free cash flow (to equity, pre-financing)</t>
  </si>
  <si>
    <t xml:space="preserve">− Net debt change / dividends (balancing)</t>
  </si>
  <si>
    <t xml:space="preserve">Net change in cash</t>
  </si>
  <si>
    <t xml:space="preserve">Summary financials (SAR bn)</t>
  </si>
  <si>
    <t xml:space="preserve">Every cell links to the statement sheets.</t>
  </si>
  <si>
    <t xml:space="preserve">Revenue</t>
  </si>
  <si>
    <t xml:space="preserve">Net debt</t>
  </si>
  <si>
    <t xml:space="preserve">Net debt / EBITDA</t>
  </si>
  <si>
    <t xml:space="preserve">Monte Carlo — engine output</t>
  </si>
  <si>
    <t xml:space="preserve">50,000 paths · 16 factors · seed 42. Honest regime-conditional cone (no CRPS skill vs RW; see Appendix B). SAR/share.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</si>
  <si>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</si>
  <si>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</si>
  <si>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</si>
  <si>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</si>
  <si>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</si>
  <si>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</si>
  <si>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</si>
  <si>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</si>
  <si>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Inputs (from Assumptions):</t>
  </si>
  <si>
    <t xml:space="preserve">net 3-month factor drift</t>
  </si>
  <si>
    <t xml:space="preserve">Level-touch ladder</t>
  </si>
  <si>
    <t xml:space="preserve">Level</t>
  </si>
  <si>
    <t xml:space="preserve">T+20</t>
  </si>
  <si>
    <t xml:space="preserve">T+60</t>
  </si>
  <si>
    <t xml:space="preserve">SOTP sensitivity — DAP price × phosphate multiple</t>
  </si>
  <si>
    <t xml:space="preserve">Fair value (SAR/share). Other segments held at base. DAP is 55% price-geared into phosphate EBITDA.</t>
  </si>
  <si>
    <t xml:space="preserve">mult \ DAP $/t</t>
  </si>
  <si>
    <t xml:space="preserve">Cells near spot (SAR 58.8) indicate the DAP/multiple the market is implying.</t>
  </si>
  <si>
    <t xml:space="preserve">Per-share &amp; ratios</t>
  </si>
  <si>
    <t xml:space="preserve">Links to statements / Assumptions. The standing ratio dashboard (device A-5).</t>
  </si>
  <si>
    <t xml:space="preserve">Metric</t>
  </si>
  <si>
    <t xml:space="preserve">EPS (SAR)</t>
  </si>
  <si>
    <t xml:space="preserve">Book value/share (SAR)</t>
  </si>
  <si>
    <t xml:space="preserve">ROE (attributable)</t>
  </si>
  <si>
    <t xml:space="preserve">P/E (on spot)</t>
  </si>
  <si>
    <t xml:space="preserve">EV/EBITDA (on spot mktcap+netdebt)</t>
  </si>
  <si>
    <t xml:space="preserve">Dividend / share (SAR)</t>
  </si>
  <si>
    <t xml:space="preserve">Note: Maaden pays no dividend (growth phase); capex-funded. Capital trajectory is the future-payout thesis.</t>
  </si>
  <si>
    <t xml:space="preserve">Peer set &amp; sector</t>
  </si>
  <si>
    <t xml:space="preserve">No single clean comparable — split by commodity. Typical multiples are context, not targets.</t>
  </si>
  <si>
    <t xml:space="preserve">Closest peers</t>
  </si>
  <si>
    <t xml:space="preserve">Typical valuation</t>
  </si>
  <si>
    <t xml:space="preserve">Phosphate / fertilizer</t>
  </si>
  <si>
    <t xml:space="preserve">Mosaic, Nutrien, OCP, ICL</t>
  </si>
  <si>
    <t xml:space="preserve">EV/EBITDA ~5–8x; cyclical</t>
  </si>
  <si>
    <t xml:space="preserve">Alcoa, Norsk Hydro, Alba, EGA</t>
  </si>
  <si>
    <t xml:space="preserve">EV/EBITDA ~4–6x</t>
  </si>
  <si>
    <t xml:space="preserve">Gold / base metals</t>
  </si>
  <si>
    <t xml:space="preserve">Barrick, Newmont, AngloGold</t>
  </si>
  <si>
    <t xml:space="preserve">EV/EBITDA ~6–9x</t>
  </si>
  <si>
    <t xml:space="preserve">Diversified majors</t>
  </si>
  <si>
    <t xml:space="preserve">BHP, Rio Tinto, Vale, Anglo</t>
  </si>
  <si>
    <t xml:space="preserve">EV/EBITDA ~5–7x; P/E ~8–14x</t>
  </si>
  <si>
    <t xml:space="preserve">Maaden trades ~15x EV/EBITDA and ~31x P/E — a large premium to all peer groups; the premium is the Vision-2030 growth thesis.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</si>
</sst>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%"/>
    <numFmt numFmtId="167" formatCode="#,##0.0;\(#,##0.0\);\-"/>
    <numFmt numFmtId="168" formatCode="0.0\x"/>
    <numFmt numFmtId="169" formatCode="@"/>
    <numFmt numFmtId="170" formatCode="0.000"/>
    <numFmt numFmtId="171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5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B5E5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1"/>
  </cols>
  <sheetData>
    <row r="1" customFormat="false" ht="16.15" hidden="false" customHeight="false" outlineLevel="0" collapsed="false">
      <c r="A1" s="4" t="s">
        <v>13</v>
      </c>
      <c r="B1" s="4"/>
      <c r="C1" s="4"/>
      <c r="D1" s="4"/>
      <c r="E1" s="4"/>
    </row>
    <row r="2" customFormat="false" ht="15" hidden="false" customHeight="false" outlineLevel="0" collapsed="false">
      <c r="A2" s="5" t="s">
        <v>14</v>
      </c>
      <c r="B2" s="5"/>
      <c r="C2" s="5"/>
      <c r="D2" s="5"/>
      <c r="E2" s="5"/>
    </row>
    <row r="3" customFormat="false" ht="15" hidden="false" customHeight="false" outlineLevel="0" collapsed="false">
      <c r="A3" s="6" t="s">
        <v>15</v>
      </c>
      <c r="B3" s="7" t="s">
        <v>16</v>
      </c>
      <c r="C3" s="7" t="s">
        <v>17</v>
      </c>
      <c r="D3" s="7" t="s">
        <v>18</v>
      </c>
      <c r="E3" s="7" t="s">
        <v>19</v>
      </c>
    </row>
    <row r="4" customFormat="false" ht="15" hidden="false" customHeight="false" outlineLevel="0" collapsed="false">
      <c r="A4" s="3" t="s">
        <v>20</v>
      </c>
      <c r="B4" s="8" t="n">
        <v>28</v>
      </c>
      <c r="C4" s="9" t="n">
        <f aca="false">SOTP!$C$11</f>
        <v>44.2010309278351</v>
      </c>
      <c r="D4" s="8" t="n">
        <v>60</v>
      </c>
      <c r="E4" s="10" t="n">
        <v>0.4</v>
      </c>
    </row>
    <row r="5" customFormat="false" ht="15" hidden="false" customHeight="false" outlineLevel="0" collapsed="false">
      <c r="A5" s="3" t="s">
        <v>21</v>
      </c>
      <c r="B5" s="8" t="n">
        <v>30</v>
      </c>
      <c r="C5" s="9" t="n">
        <f aca="false">DCF!$E$20</f>
        <v>47.446339507228</v>
      </c>
      <c r="D5" s="8" t="n">
        <v>62</v>
      </c>
      <c r="E5" s="10" t="n">
        <v>0.2</v>
      </c>
    </row>
    <row r="6" customFormat="false" ht="15" hidden="false" customHeight="false" outlineLevel="0" collapsed="false">
      <c r="A6" s="3" t="s">
        <v>22</v>
      </c>
      <c r="B6" s="8" t="n">
        <v>20</v>
      </c>
      <c r="C6" s="9" t="n">
        <f aca="false">'Relative &amp; Normalized'!$C$4</f>
        <v>25.7087628865979</v>
      </c>
      <c r="D6" s="8" t="n">
        <v>38</v>
      </c>
      <c r="E6" s="10" t="n">
        <v>0.15</v>
      </c>
    </row>
    <row r="7" customFormat="false" ht="15" hidden="false" customHeight="false" outlineLevel="0" collapsed="false">
      <c r="A7" s="3" t="s">
        <v>23</v>
      </c>
      <c r="B7" s="8" t="n">
        <v>28</v>
      </c>
      <c r="C7" s="9" t="n">
        <f aca="false">'Relative &amp; Normalized'!$C$6</f>
        <v>42.2164948453608</v>
      </c>
      <c r="D7" s="8" t="n">
        <v>58</v>
      </c>
      <c r="E7" s="10" t="n">
        <v>0.25</v>
      </c>
    </row>
    <row r="8" customFormat="false" ht="15" hidden="false" customHeight="false" outlineLevel="0" collapsed="false">
      <c r="A8" s="11" t="s">
        <v>24</v>
      </c>
      <c r="B8" s="12" t="n">
        <f aca="false">SUMPRODUCT(B4:B7,$E$4:$E$7)</f>
        <v>27.2</v>
      </c>
      <c r="C8" s="12" t="n">
        <f aca="false">SUMPRODUCT(C4:C7,$E$4:$E$7)</f>
        <v>41.5801184169095</v>
      </c>
      <c r="D8" s="12" t="n">
        <f aca="false">SUMPRODUCT(D4:D7,$E$4:$E$7)</f>
        <v>56.6</v>
      </c>
    </row>
    <row r="9" customFormat="false" ht="15" hidden="false" customHeight="false" outlineLevel="0" collapsed="false">
      <c r="A9" s="3" t="s">
        <v>25</v>
      </c>
      <c r="C9" s="9" t="n">
        <f aca="false">Assumptions!$B$5</f>
        <v>58.8</v>
      </c>
    </row>
    <row r="10" customFormat="false" ht="15" hidden="false" customHeight="false" outlineLevel="0" collapsed="false">
      <c r="A10" s="11" t="s">
        <v>26</v>
      </c>
      <c r="C10" s="13" t="n">
        <f aca="false">C8/C9-1</f>
        <v>-0.292855128964124</v>
      </c>
    </row>
    <row r="12" customFormat="false" ht="15" hidden="false" customHeight="false" outlineLevel="0" collapsed="false">
      <c r="A12" s="2" t="s">
        <v>27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1"/>
  </cols>
  <sheetData>
    <row r="1" customFormat="false" ht="16.15" hidden="false" customHeight="false" outlineLevel="0" collapsed="false">
      <c r="A1" s="4" t="s">
        <v>28</v>
      </c>
      <c r="B1" s="4"/>
      <c r="C1" s="4"/>
      <c r="D1" s="4"/>
    </row>
    <row r="2" customFormat="false" ht="15" hidden="false" customHeight="false" outlineLevel="0" collapsed="false">
      <c r="A2" s="5" t="s">
        <v>29</v>
      </c>
      <c r="B2" s="5"/>
      <c r="C2" s="5"/>
      <c r="D2" s="5"/>
    </row>
    <row r="3" customFormat="false" ht="15" hidden="false" customHeight="false" outlineLevel="0" collapsed="false">
      <c r="A3" s="6" t="s">
        <v>15</v>
      </c>
      <c r="B3" s="7" t="s">
        <v>16</v>
      </c>
      <c r="C3" s="7" t="s">
        <v>17</v>
      </c>
      <c r="D3" s="7" t="s">
        <v>18</v>
      </c>
    </row>
    <row r="4" customFormat="false" ht="15" hidden="false" customHeight="false" outlineLevel="0" collapsed="false">
      <c r="A4" s="3" t="s">
        <v>20</v>
      </c>
      <c r="B4" s="9" t="n">
        <f aca="false">Summary!B4</f>
        <v>28</v>
      </c>
      <c r="C4" s="9" t="n">
        <f aca="false">Summary!C4</f>
        <v>44.2010309278351</v>
      </c>
      <c r="D4" s="9" t="n">
        <f aca="false">Summary!D4</f>
        <v>60</v>
      </c>
    </row>
    <row r="5" customFormat="false" ht="15" hidden="false" customHeight="false" outlineLevel="0" collapsed="false">
      <c r="A5" s="3" t="s">
        <v>21</v>
      </c>
      <c r="B5" s="9" t="n">
        <f aca="false">Summary!B5</f>
        <v>30</v>
      </c>
      <c r="C5" s="9" t="n">
        <f aca="false">Summary!C5</f>
        <v>47.446339507228</v>
      </c>
      <c r="D5" s="9" t="n">
        <f aca="false">Summary!D5</f>
        <v>62</v>
      </c>
    </row>
    <row r="6" customFormat="false" ht="15" hidden="false" customHeight="false" outlineLevel="0" collapsed="false">
      <c r="A6" s="3" t="s">
        <v>22</v>
      </c>
      <c r="B6" s="9" t="n">
        <f aca="false">Summary!B6</f>
        <v>20</v>
      </c>
      <c r="C6" s="9" t="n">
        <f aca="false">Summary!C6</f>
        <v>25.7087628865979</v>
      </c>
      <c r="D6" s="9" t="n">
        <f aca="false">Summary!D6</f>
        <v>38</v>
      </c>
    </row>
    <row r="7" customFormat="false" ht="15" hidden="false" customHeight="false" outlineLevel="0" collapsed="false">
      <c r="A7" s="3" t="s">
        <v>23</v>
      </c>
      <c r="B7" s="9" t="n">
        <f aca="false">Summary!B7</f>
        <v>28</v>
      </c>
      <c r="C7" s="9" t="n">
        <f aca="false">Summary!C7</f>
        <v>42.2164948453608</v>
      </c>
      <c r="D7" s="9" t="n">
        <f aca="false">Summary!D7</f>
        <v>58</v>
      </c>
    </row>
    <row r="8" customFormat="false" ht="15" hidden="false" customHeight="false" outlineLevel="0" collapsed="false">
      <c r="A8" s="11" t="s">
        <v>24</v>
      </c>
      <c r="B8" s="9" t="n">
        <f aca="false">Summary!B8</f>
        <v>27.2</v>
      </c>
      <c r="C8" s="9" t="n">
        <f aca="false">Summary!C8</f>
        <v>41.5801184169095</v>
      </c>
      <c r="D8" s="9" t="n">
        <f aca="false">Summary!D8</f>
        <v>56.6</v>
      </c>
    </row>
    <row r="9" customFormat="false" ht="15" hidden="false" customHeight="false" outlineLevel="0" collapsed="false">
      <c r="A9" s="3" t="s">
        <v>30</v>
      </c>
      <c r="C9" s="9" t="n">
        <f aca="false">Assumptions!$B$5</f>
        <v>58.8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9" min="3" style="0" width="12"/>
  </cols>
  <sheetData>
    <row r="1" customFormat="false" ht="16.15" hidden="false" customHeight="false" outlineLevel="0" collapsed="false">
      <c r="A1" s="4" t="s">
        <v>31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32</v>
      </c>
      <c r="B2" s="5"/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A4" s="14" t="s">
        <v>33</v>
      </c>
    </row>
    <row r="5" customFormat="false" ht="15" hidden="false" customHeight="false" outlineLevel="0" collapsed="false">
      <c r="A5" s="3" t="s">
        <v>34</v>
      </c>
      <c r="B5" s="8" t="n">
        <v>58.8</v>
      </c>
    </row>
    <row r="6" customFormat="false" ht="15" hidden="false" customHeight="false" outlineLevel="0" collapsed="false">
      <c r="A6" s="3" t="s">
        <v>35</v>
      </c>
      <c r="B6" s="8" t="n">
        <v>3.88</v>
      </c>
    </row>
    <row r="7" customFormat="false" ht="15" hidden="false" customHeight="false" outlineLevel="0" collapsed="false">
      <c r="A7" s="3" t="s">
        <v>36</v>
      </c>
      <c r="B7" s="15" t="n">
        <v>24</v>
      </c>
    </row>
    <row r="8" customFormat="false" ht="15" hidden="false" customHeight="false" outlineLevel="0" collapsed="false">
      <c r="A8" s="3" t="s">
        <v>37</v>
      </c>
      <c r="B8" s="10" t="n">
        <v>0.093</v>
      </c>
    </row>
    <row r="9" customFormat="false" ht="15" hidden="false" customHeight="false" outlineLevel="0" collapsed="false">
      <c r="A9" s="3" t="s">
        <v>38</v>
      </c>
      <c r="B9" s="10" t="n">
        <v>0.045</v>
      </c>
      <c r="C9" s="2" t="s">
        <v>39</v>
      </c>
    </row>
    <row r="10" customFormat="false" ht="15" hidden="false" customHeight="false" outlineLevel="0" collapsed="false">
      <c r="A10" s="3" t="s">
        <v>40</v>
      </c>
      <c r="B10" s="10" t="n">
        <v>0.055</v>
      </c>
    </row>
    <row r="11" customFormat="false" ht="15" hidden="false" customHeight="false" outlineLevel="0" collapsed="false">
      <c r="A11" s="3" t="s">
        <v>41</v>
      </c>
      <c r="B11" s="8" t="n">
        <v>0.95</v>
      </c>
      <c r="C11" s="2" t="s">
        <v>42</v>
      </c>
    </row>
    <row r="12" customFormat="false" ht="15" hidden="false" customHeight="false" outlineLevel="0" collapsed="false">
      <c r="A12" s="3" t="s">
        <v>43</v>
      </c>
      <c r="B12" s="16" t="n">
        <f aca="false">B9+B11*B10</f>
        <v>0.09725</v>
      </c>
    </row>
    <row r="13" customFormat="false" ht="15" hidden="false" customHeight="false" outlineLevel="0" collapsed="false">
      <c r="A13" s="3" t="s">
        <v>44</v>
      </c>
      <c r="B13" s="10" t="n">
        <v>0.035</v>
      </c>
    </row>
    <row r="14" customFormat="false" ht="15" hidden="false" customHeight="false" outlineLevel="0" collapsed="false">
      <c r="A14" s="3" t="s">
        <v>45</v>
      </c>
      <c r="B14" s="10" t="n">
        <v>0.08</v>
      </c>
      <c r="C14" s="2" t="s">
        <v>46</v>
      </c>
    </row>
    <row r="15" customFormat="false" ht="15" hidden="false" customHeight="false" outlineLevel="0" collapsed="false">
      <c r="A15" s="14" t="s">
        <v>47</v>
      </c>
    </row>
    <row r="16" customFormat="false" ht="15" hidden="false" customHeight="false" outlineLevel="0" collapsed="false">
      <c r="A16" s="3" t="s">
        <v>48</v>
      </c>
      <c r="B16" s="15" t="n">
        <v>11</v>
      </c>
      <c r="C16" s="2" t="s">
        <v>49</v>
      </c>
    </row>
    <row r="17" customFormat="false" ht="15" hidden="false" customHeight="false" outlineLevel="0" collapsed="false">
      <c r="A17" s="3" t="s">
        <v>50</v>
      </c>
      <c r="B17" s="17" t="n">
        <v>10.5</v>
      </c>
      <c r="C17" s="2" t="s">
        <v>51</v>
      </c>
    </row>
    <row r="18" customFormat="false" ht="15" hidden="false" customHeight="false" outlineLevel="0" collapsed="false">
      <c r="A18" s="3" t="s">
        <v>52</v>
      </c>
      <c r="B18" s="15" t="n">
        <v>3</v>
      </c>
      <c r="C18" s="2" t="s">
        <v>53</v>
      </c>
    </row>
    <row r="19" customFormat="false" ht="15" hidden="false" customHeight="false" outlineLevel="0" collapsed="false">
      <c r="A19" s="3" t="s">
        <v>54</v>
      </c>
      <c r="B19" s="17" t="n">
        <v>7</v>
      </c>
    </row>
    <row r="20" customFormat="false" ht="15" hidden="false" customHeight="false" outlineLevel="0" collapsed="false">
      <c r="A20" s="3" t="s">
        <v>55</v>
      </c>
      <c r="B20" s="15" t="n">
        <v>4.5</v>
      </c>
      <c r="C20" s="2" t="s">
        <v>56</v>
      </c>
    </row>
    <row r="21" customFormat="false" ht="15" hidden="false" customHeight="false" outlineLevel="0" collapsed="false">
      <c r="A21" s="3" t="s">
        <v>57</v>
      </c>
      <c r="B21" s="17" t="n">
        <v>10</v>
      </c>
    </row>
    <row r="22" customFormat="false" ht="15" hidden="false" customHeight="false" outlineLevel="0" collapsed="false">
      <c r="A22" s="3" t="s">
        <v>58</v>
      </c>
      <c r="B22" s="15" t="n">
        <v>14</v>
      </c>
      <c r="C22" s="2" t="s">
        <v>59</v>
      </c>
    </row>
    <row r="23" customFormat="false" ht="15" hidden="false" customHeight="false" outlineLevel="0" collapsed="false">
      <c r="A23" s="14" t="s">
        <v>60</v>
      </c>
    </row>
    <row r="24" customFormat="false" ht="15" hidden="false" customHeight="false" outlineLevel="0" collapsed="false">
      <c r="A24" s="3" t="s">
        <v>61</v>
      </c>
      <c r="B24" s="15" t="n">
        <v>16.5</v>
      </c>
    </row>
    <row r="25" customFormat="false" ht="15" hidden="false" customHeight="false" outlineLevel="0" collapsed="false">
      <c r="A25" s="3" t="s">
        <v>62</v>
      </c>
      <c r="B25" s="17" t="n">
        <v>7.5</v>
      </c>
      <c r="C25" s="2" t="s">
        <v>63</v>
      </c>
    </row>
    <row r="26" customFormat="false" ht="15" hidden="false" customHeight="false" outlineLevel="0" collapsed="false">
      <c r="A26" s="3" t="s">
        <v>64</v>
      </c>
      <c r="B26" s="15" t="n">
        <v>6.3</v>
      </c>
      <c r="C26" s="2" t="s">
        <v>65</v>
      </c>
    </row>
    <row r="27" customFormat="false" ht="15" hidden="false" customHeight="false" outlineLevel="0" collapsed="false">
      <c r="A27" s="3" t="s">
        <v>66</v>
      </c>
      <c r="B27" s="17" t="n">
        <v>26</v>
      </c>
      <c r="C27" s="2" t="s">
        <v>67</v>
      </c>
    </row>
    <row r="28" customFormat="false" ht="15" hidden="false" customHeight="false" outlineLevel="0" collapsed="false">
      <c r="A28" s="14" t="s">
        <v>68</v>
      </c>
    </row>
    <row r="29" customFormat="false" ht="15" hidden="false" customHeight="false" outlineLevel="0" collapsed="false">
      <c r="A29" s="11" t="s">
        <v>69</v>
      </c>
      <c r="C29" s="2" t="s">
        <v>70</v>
      </c>
    </row>
    <row r="30" customFormat="false" ht="15" hidden="false" customHeight="false" outlineLevel="0" collapsed="false">
      <c r="A30" s="3" t="s">
        <v>71</v>
      </c>
      <c r="E30" s="10" t="n">
        <v>0.075</v>
      </c>
      <c r="F30" s="10" t="n">
        <v>0.096</v>
      </c>
      <c r="G30" s="10" t="n">
        <v>0.077</v>
      </c>
      <c r="H30" s="10" t="n">
        <v>0.071</v>
      </c>
      <c r="I30" s="10" t="n">
        <v>0.067</v>
      </c>
    </row>
    <row r="31" customFormat="false" ht="15" hidden="false" customHeight="false" outlineLevel="0" collapsed="false">
      <c r="A31" s="3" t="s">
        <v>72</v>
      </c>
      <c r="E31" s="10" t="n">
        <v>0.405</v>
      </c>
      <c r="F31" s="10" t="n">
        <v>0.415</v>
      </c>
      <c r="G31" s="10" t="n">
        <v>0.42</v>
      </c>
      <c r="H31" s="10" t="n">
        <v>0.425</v>
      </c>
      <c r="I31" s="10" t="n">
        <v>0.428</v>
      </c>
    </row>
    <row r="32" customFormat="false" ht="15" hidden="false" customHeight="false" outlineLevel="0" collapsed="false">
      <c r="A32" s="3" t="s">
        <v>73</v>
      </c>
      <c r="E32" s="10" t="n">
        <v>0.14</v>
      </c>
      <c r="F32" s="10" t="n">
        <v>0.14</v>
      </c>
      <c r="G32" s="10" t="n">
        <v>0.14</v>
      </c>
      <c r="H32" s="10" t="n">
        <v>0.14</v>
      </c>
      <c r="I32" s="10" t="n">
        <v>0.14</v>
      </c>
    </row>
    <row r="33" customFormat="false" ht="15" hidden="false" customHeight="false" outlineLevel="0" collapsed="false">
      <c r="A33" s="3" t="s">
        <v>74</v>
      </c>
      <c r="E33" s="15" t="n">
        <v>9</v>
      </c>
      <c r="F33" s="15" t="n">
        <v>9</v>
      </c>
      <c r="G33" s="15" t="n">
        <v>8</v>
      </c>
      <c r="H33" s="15" t="n">
        <v>7.5</v>
      </c>
      <c r="I33" s="15" t="n">
        <v>7</v>
      </c>
    </row>
    <row r="34" customFormat="false" ht="15" hidden="false" customHeight="false" outlineLevel="0" collapsed="false">
      <c r="A34" s="3" t="s">
        <v>75</v>
      </c>
      <c r="E34" s="15" t="n">
        <v>1.2</v>
      </c>
      <c r="F34" s="15" t="n">
        <v>1.1</v>
      </c>
      <c r="G34" s="15" t="n">
        <v>1</v>
      </c>
      <c r="H34" s="15" t="n">
        <v>0.9</v>
      </c>
      <c r="I34" s="15" t="n">
        <v>0.8</v>
      </c>
    </row>
    <row r="35" customFormat="false" ht="15" hidden="false" customHeight="false" outlineLevel="0" collapsed="false">
      <c r="A35" s="14" t="s">
        <v>76</v>
      </c>
    </row>
    <row r="36" customFormat="false" ht="15" hidden="false" customHeight="false" outlineLevel="0" collapsed="false">
      <c r="A36" s="3" t="s">
        <v>77</v>
      </c>
      <c r="B36" s="10" t="n">
        <v>0.324</v>
      </c>
    </row>
    <row r="37" customFormat="false" ht="15" hidden="false" customHeight="false" outlineLevel="0" collapsed="false">
      <c r="A37" s="3" t="s">
        <v>78</v>
      </c>
      <c r="B37" s="10" t="n">
        <v>0.022</v>
      </c>
    </row>
    <row r="38" customFormat="false" ht="15" hidden="false" customHeight="false" outlineLevel="0" collapsed="false">
      <c r="A38" s="3" t="s">
        <v>79</v>
      </c>
      <c r="B38" s="18" t="s">
        <v>80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4" t="s">
        <v>81</v>
      </c>
      <c r="B1" s="4"/>
      <c r="C1" s="4"/>
    </row>
    <row r="2" customFormat="false" ht="15" hidden="false" customHeight="false" outlineLevel="0" collapsed="false">
      <c r="A2" s="5" t="s">
        <v>82</v>
      </c>
      <c r="B2" s="5"/>
      <c r="C2" s="5"/>
    </row>
    <row r="3" customFormat="false" ht="15" hidden="false" customHeight="false" outlineLevel="0" collapsed="false">
      <c r="A3" s="6" t="s">
        <v>83</v>
      </c>
      <c r="B3" s="7" t="s">
        <v>84</v>
      </c>
      <c r="C3" s="7" t="s">
        <v>85</v>
      </c>
    </row>
    <row r="4" customFormat="false" ht="15" hidden="false" customHeight="false" outlineLevel="0" collapsed="false">
      <c r="A4" s="3" t="s">
        <v>86</v>
      </c>
      <c r="B4" s="3" t="s">
        <v>87</v>
      </c>
      <c r="C4" s="19" t="n">
        <f aca="false">Assumptions!$B$16*Assumptions!$B$17</f>
        <v>115.5</v>
      </c>
    </row>
    <row r="5" customFormat="false" ht="15" hidden="false" customHeight="false" outlineLevel="0" collapsed="false">
      <c r="A5" s="3" t="s">
        <v>88</v>
      </c>
      <c r="B5" s="3" t="s">
        <v>87</v>
      </c>
      <c r="C5" s="19" t="n">
        <f aca="false">Assumptions!$B$18*Assumptions!$B$19</f>
        <v>21</v>
      </c>
    </row>
    <row r="6" customFormat="false" ht="15" hidden="false" customHeight="false" outlineLevel="0" collapsed="false">
      <c r="A6" s="3" t="s">
        <v>89</v>
      </c>
      <c r="B6" s="3" t="s">
        <v>87</v>
      </c>
      <c r="C6" s="19" t="n">
        <f aca="false">Assumptions!$B$20*Assumptions!$B$21</f>
        <v>45</v>
      </c>
    </row>
    <row r="7" customFormat="false" ht="15" hidden="false" customHeight="false" outlineLevel="0" collapsed="false">
      <c r="A7" s="3" t="s">
        <v>90</v>
      </c>
      <c r="B7" s="3" t="s">
        <v>91</v>
      </c>
      <c r="C7" s="19" t="n">
        <f aca="false">Assumptions!$B$22</f>
        <v>14</v>
      </c>
    </row>
    <row r="8" customFormat="false" ht="15" hidden="false" customHeight="false" outlineLevel="0" collapsed="false">
      <c r="A8" s="11" t="s">
        <v>92</v>
      </c>
      <c r="B8" s="3"/>
      <c r="C8" s="20" t="n">
        <f aca="false">SUM(C4:C7)</f>
        <v>195.5</v>
      </c>
    </row>
    <row r="9" customFormat="false" ht="15" hidden="false" customHeight="false" outlineLevel="0" collapsed="false">
      <c r="A9" s="3" t="s">
        <v>93</v>
      </c>
      <c r="B9" s="3"/>
      <c r="C9" s="19" t="n">
        <f aca="false">-Assumptions!$B$7</f>
        <v>-24</v>
      </c>
    </row>
    <row r="10" customFormat="false" ht="15" hidden="false" customHeight="false" outlineLevel="0" collapsed="false">
      <c r="A10" s="11" t="s">
        <v>94</v>
      </c>
      <c r="B10" s="3"/>
      <c r="C10" s="20" t="n">
        <f aca="false">C8+C9</f>
        <v>171.5</v>
      </c>
    </row>
    <row r="11" customFormat="false" ht="15" hidden="false" customHeight="false" outlineLevel="0" collapsed="false">
      <c r="A11" s="3" t="s">
        <v>95</v>
      </c>
      <c r="C11" s="12" t="n">
        <f aca="false">C10/Assumptions!$B$6</f>
        <v>44.2010309278351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1"/>
  </cols>
  <sheetData>
    <row r="1" customFormat="false" ht="16.15" hidden="false" customHeight="false" outlineLevel="0" collapsed="false">
      <c r="A1" s="4" t="s">
        <v>96</v>
      </c>
      <c r="B1" s="4"/>
      <c r="C1" s="4"/>
      <c r="D1" s="4"/>
      <c r="E1" s="4"/>
    </row>
    <row r="2" customFormat="false" ht="15" hidden="false" customHeight="false" outlineLevel="0" collapsed="false">
      <c r="A2" s="5" t="s">
        <v>97</v>
      </c>
      <c r="B2" s="5"/>
      <c r="C2" s="5"/>
      <c r="D2" s="5"/>
      <c r="E2" s="5"/>
    </row>
    <row r="3" customFormat="false" ht="15" hidden="false" customHeight="false" outlineLevel="0" collapsed="false">
      <c r="A3" s="6" t="s">
        <v>98</v>
      </c>
      <c r="B3" s="7" t="s">
        <v>99</v>
      </c>
      <c r="C3" s="7" t="s">
        <v>100</v>
      </c>
      <c r="D3" s="7" t="s">
        <v>101</v>
      </c>
      <c r="E3" s="7" t="s">
        <v>102</v>
      </c>
    </row>
    <row r="4" customFormat="false" ht="15" hidden="false" customHeight="false" outlineLevel="0" collapsed="false">
      <c r="A4" s="3" t="s">
        <v>86</v>
      </c>
      <c r="B4" s="15" t="n">
        <v>20.77</v>
      </c>
      <c r="C4" s="15" t="n">
        <v>9.76</v>
      </c>
      <c r="D4" s="16" t="n">
        <f aca="false">IF(B4=0,"n/m",C4/B4)</f>
        <v>0.469908521906596</v>
      </c>
      <c r="E4" s="16" t="n">
        <f aca="false">C4/$C$8</f>
        <v>0.61</v>
      </c>
    </row>
    <row r="5" customFormat="false" ht="15" hidden="false" customHeight="false" outlineLevel="0" collapsed="false">
      <c r="A5" s="3" t="s">
        <v>88</v>
      </c>
      <c r="B5" s="15" t="n">
        <v>10.99</v>
      </c>
      <c r="C5" s="15" t="n">
        <v>2.6</v>
      </c>
      <c r="D5" s="16" t="n">
        <f aca="false">IF(B5=0,"n/m",C5/B5)</f>
        <v>0.236578707916288</v>
      </c>
      <c r="E5" s="16" t="n">
        <f aca="false">C5/$C$8</f>
        <v>0.1625</v>
      </c>
    </row>
    <row r="6" customFormat="false" ht="15" hidden="false" customHeight="false" outlineLevel="0" collapsed="false">
      <c r="A6" s="3" t="s">
        <v>103</v>
      </c>
      <c r="B6" s="15" t="n">
        <v>6.82</v>
      </c>
      <c r="C6" s="15" t="n">
        <v>3.54</v>
      </c>
      <c r="D6" s="16" t="n">
        <f aca="false">IF(B6=0,"n/m",C6/B6)</f>
        <v>0.519061583577713</v>
      </c>
      <c r="E6" s="16" t="n">
        <f aca="false">C6/$C$8</f>
        <v>0.22125</v>
      </c>
    </row>
    <row r="7" customFormat="false" ht="15" hidden="false" customHeight="false" outlineLevel="0" collapsed="false">
      <c r="A7" s="3" t="s">
        <v>104</v>
      </c>
      <c r="B7" s="15" t="n">
        <v>0</v>
      </c>
      <c r="C7" s="15" t="n">
        <v>0.1</v>
      </c>
      <c r="D7" s="16" t="str">
        <f aca="false">IF(B7=0,"n/m",C7/B7)</f>
        <v>n/m</v>
      </c>
      <c r="E7" s="16" t="n">
        <f aca="false">C7/$C$8</f>
        <v>0.00625</v>
      </c>
    </row>
    <row r="8" customFormat="false" ht="15" hidden="false" customHeight="false" outlineLevel="0" collapsed="false">
      <c r="A8" s="11" t="s">
        <v>105</v>
      </c>
      <c r="B8" s="20" t="n">
        <f aca="false">SUM(B4:B7)</f>
        <v>38.58</v>
      </c>
      <c r="C8" s="20" t="n">
        <f aca="false">SUM(C4:C7)</f>
        <v>16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4" t="s">
        <v>106</v>
      </c>
      <c r="B1" s="4"/>
      <c r="C1" s="4"/>
    </row>
    <row r="2" customFormat="false" ht="15" hidden="false" customHeight="false" outlineLevel="0" collapsed="false">
      <c r="A2" s="5" t="s">
        <v>107</v>
      </c>
      <c r="B2" s="5"/>
      <c r="C2" s="5"/>
    </row>
    <row r="3" customFormat="false" ht="15" hidden="false" customHeight="false" outlineLevel="0" collapsed="false">
      <c r="A3" s="6" t="s">
        <v>15</v>
      </c>
      <c r="B3" s="7" t="s">
        <v>108</v>
      </c>
      <c r="C3" s="7" t="s">
        <v>109</v>
      </c>
    </row>
    <row r="4" customFormat="false" ht="15" hidden="false" customHeight="false" outlineLevel="0" collapsed="false">
      <c r="A4" s="3" t="s">
        <v>110</v>
      </c>
      <c r="B4" s="3" t="s">
        <v>111</v>
      </c>
      <c r="C4" s="12" t="n">
        <f aca="false">(Assumptions!$B$24*Assumptions!$B$25-Assumptions!$B$7)/Assumptions!$B$6</f>
        <v>25.7087628865979</v>
      </c>
    </row>
    <row r="5" customFormat="false" ht="15" hidden="false" customHeight="false" outlineLevel="0" collapsed="false">
      <c r="A5" s="3" t="s">
        <v>112</v>
      </c>
      <c r="C5" s="19" t="n">
        <f aca="false">Assumptions!$B$24*Assumptions!$B$25</f>
        <v>123.75</v>
      </c>
    </row>
    <row r="6" customFormat="false" ht="15" hidden="false" customHeight="false" outlineLevel="0" collapsed="false">
      <c r="A6" s="3" t="s">
        <v>23</v>
      </c>
      <c r="B6" s="3" t="s">
        <v>113</v>
      </c>
      <c r="C6" s="12" t="n">
        <f aca="false">Assumptions!$B$26*Assumptions!$B$27/Assumptions!$B$6</f>
        <v>42.2164948453608</v>
      </c>
    </row>
    <row r="7" customFormat="false" ht="15" hidden="false" customHeight="false" outlineLevel="0" collapsed="false">
      <c r="A7" s="3" t="s">
        <v>114</v>
      </c>
      <c r="C7" s="21" t="n">
        <f aca="false">Assumptions!$B$26/Assumptions!$B$6</f>
        <v>1.62371134020619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9" min="5" style="0" width="11"/>
  </cols>
  <sheetData>
    <row r="1" customFormat="false" ht="16.15" hidden="false" customHeight="false" outlineLevel="0" collapsed="false">
      <c r="A1" s="4" t="s">
        <v>115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116</v>
      </c>
      <c r="B2" s="5"/>
      <c r="C2" s="5"/>
      <c r="D2" s="5"/>
      <c r="E2" s="5"/>
      <c r="F2" s="5"/>
      <c r="G2" s="5"/>
      <c r="H2" s="5"/>
      <c r="I2" s="5"/>
    </row>
    <row r="3" customFormat="false" ht="15" hidden="false" customHeight="false" outlineLevel="0" collapsed="false">
      <c r="A3" s="6" t="s">
        <v>117</v>
      </c>
      <c r="B3" s="7"/>
      <c r="C3" s="7"/>
      <c r="D3" s="7"/>
      <c r="E3" s="7" t="s">
        <v>118</v>
      </c>
      <c r="F3" s="7" t="s">
        <v>119</v>
      </c>
      <c r="G3" s="7" t="s">
        <v>120</v>
      </c>
      <c r="H3" s="7" t="s">
        <v>121</v>
      </c>
      <c r="I3" s="7" t="s">
        <v>122</v>
      </c>
    </row>
    <row r="4" customFormat="false" ht="15" hidden="false" customHeight="false" outlineLevel="0" collapsed="false">
      <c r="A4" s="3" t="s">
        <v>123</v>
      </c>
      <c r="E4" s="19" t="n">
        <f aca="false">'Income Statement'!E$7</f>
        <v>10.9904775</v>
      </c>
      <c r="F4" s="19" t="n">
        <f aca="false">'Income Statement'!F$7</f>
        <v>12.5001129</v>
      </c>
      <c r="G4" s="19" t="n">
        <f aca="false">'Income Statement'!G$7</f>
        <v>13.70739653136</v>
      </c>
      <c r="H4" s="19" t="n">
        <f aca="false">'Income Statement'!H$7</f>
        <v>14.9427756437488</v>
      </c>
      <c r="I4" s="19" t="n">
        <f aca="false">'Income Statement'!I$7</f>
        <v>16.1117725762156</v>
      </c>
    </row>
    <row r="5" customFormat="false" ht="15" hidden="false" customHeight="false" outlineLevel="0" collapsed="false">
      <c r="A5" s="11" t="s">
        <v>124</v>
      </c>
      <c r="E5" s="20" t="n">
        <f aca="false">E4*(1-Assumptions!$B$14)</f>
        <v>10.1112393</v>
      </c>
      <c r="F5" s="20" t="n">
        <f aca="false">F4*(1-Assumptions!$B$14)</f>
        <v>11.500103868</v>
      </c>
      <c r="G5" s="20" t="n">
        <f aca="false">G4*(1-Assumptions!$B$14)</f>
        <v>12.6108048088512</v>
      </c>
      <c r="H5" s="20" t="n">
        <f aca="false">H4*(1-Assumptions!$B$14)</f>
        <v>13.7473535922489</v>
      </c>
      <c r="I5" s="20" t="n">
        <f aca="false">I4*(1-Assumptions!$B$14)</f>
        <v>14.8228307701183</v>
      </c>
    </row>
    <row r="6" customFormat="false" ht="15" hidden="false" customHeight="false" outlineLevel="0" collapsed="false">
      <c r="A6" s="3" t="s">
        <v>125</v>
      </c>
      <c r="E6" s="19" t="n">
        <f aca="false">'Income Statement'!E$6</f>
        <v>5.80629</v>
      </c>
      <c r="F6" s="19" t="n">
        <f aca="false">'Income Statement'!F$6</f>
        <v>6.36369384</v>
      </c>
      <c r="G6" s="19" t="n">
        <f aca="false">'Income Statement'!G$6</f>
        <v>6.85369826568</v>
      </c>
      <c r="H6" s="19" t="n">
        <f aca="false">'Income Statement'!H$6</f>
        <v>7.34031084254328</v>
      </c>
      <c r="I6" s="19" t="n">
        <f aca="false">'Income Statement'!I$6</f>
        <v>7.83211166899368</v>
      </c>
    </row>
    <row r="7" customFormat="false" ht="15" hidden="false" customHeight="false" outlineLevel="0" collapsed="false">
      <c r="A7" s="3" t="s">
        <v>126</v>
      </c>
      <c r="E7" s="19" t="n">
        <f aca="false">-Assumptions!E$33</f>
        <v>-9</v>
      </c>
      <c r="F7" s="19" t="n">
        <f aca="false">-Assumptions!F$33</f>
        <v>-9</v>
      </c>
      <c r="G7" s="19" t="n">
        <f aca="false">-Assumptions!G$33</f>
        <v>-8</v>
      </c>
      <c r="H7" s="19" t="n">
        <f aca="false">-Assumptions!H$33</f>
        <v>-7.5</v>
      </c>
      <c r="I7" s="19" t="n">
        <f aca="false">-Assumptions!I$33</f>
        <v>-7</v>
      </c>
    </row>
    <row r="8" customFormat="false" ht="15" hidden="false" customHeight="false" outlineLevel="0" collapsed="false">
      <c r="A8" s="3" t="s">
        <v>127</v>
      </c>
      <c r="E8" s="19" t="n">
        <f aca="false">-Assumptions!E$34</f>
        <v>-1.2</v>
      </c>
      <c r="F8" s="19" t="n">
        <f aca="false">-Assumptions!F$34</f>
        <v>-1.1</v>
      </c>
      <c r="G8" s="19" t="n">
        <f aca="false">-Assumptions!G$34</f>
        <v>-1</v>
      </c>
      <c r="H8" s="19" t="n">
        <f aca="false">-Assumptions!H$34</f>
        <v>-0.9</v>
      </c>
      <c r="I8" s="19" t="n">
        <f aca="false">-Assumptions!I$34</f>
        <v>-0.8</v>
      </c>
    </row>
    <row r="9" customFormat="false" ht="15" hidden="false" customHeight="false" outlineLevel="0" collapsed="false">
      <c r="A9" s="11" t="s">
        <v>128</v>
      </c>
      <c r="E9" s="20" t="n">
        <f aca="false">E5+E6+E7+E8</f>
        <v>5.7175293</v>
      </c>
      <c r="F9" s="20" t="n">
        <f aca="false">F5+F6+F7+F8</f>
        <v>7.763797708</v>
      </c>
      <c r="G9" s="20" t="n">
        <f aca="false">G5+G6+G7+G8</f>
        <v>10.4645030745312</v>
      </c>
      <c r="H9" s="20" t="n">
        <f aca="false">H5+H6+H7+H8</f>
        <v>12.6876644347922</v>
      </c>
      <c r="I9" s="20" t="n">
        <f aca="false">I5+I6+I7+I8</f>
        <v>14.854942439112</v>
      </c>
    </row>
    <row r="10" customFormat="false" ht="15" hidden="false" customHeight="false" outlineLevel="0" collapsed="false">
      <c r="A10" s="3" t="s">
        <v>129</v>
      </c>
      <c r="E10" s="22" t="n">
        <f aca="false">1/(1+Assumptions!$B$8)^1</f>
        <v>0.914913083257091</v>
      </c>
      <c r="F10" s="22" t="n">
        <f aca="false">1/(1+Assumptions!$B$8)^2</f>
        <v>0.837065949914996</v>
      </c>
      <c r="G10" s="22" t="n">
        <f aca="false">1/(1+Assumptions!$B$8)^3</f>
        <v>0.765842589126254</v>
      </c>
      <c r="H10" s="22" t="n">
        <f aca="false">1/(1+Assumptions!$B$8)^4</f>
        <v>0.700679404507095</v>
      </c>
      <c r="I10" s="22" t="n">
        <f aca="false">1/(1+Assumptions!$B$8)^5</f>
        <v>0.641060754352328</v>
      </c>
    </row>
    <row r="11" customFormat="false" ht="15" hidden="false" customHeight="false" outlineLevel="0" collapsed="false">
      <c r="A11" s="11" t="s">
        <v>130</v>
      </c>
      <c r="E11" s="20" t="n">
        <f aca="false">E9*E10</f>
        <v>5.23104236047575</v>
      </c>
      <c r="F11" s="20" t="n">
        <f aca="false">F9*F10</f>
        <v>6.49881070339489</v>
      </c>
      <c r="G11" s="20" t="n">
        <f aca="false">G9*G10</f>
        <v>8.01416212851862</v>
      </c>
      <c r="H11" s="20" t="n">
        <f aca="false">H9*H10</f>
        <v>8.88998516075603</v>
      </c>
      <c r="I11" s="20" t="n">
        <f aca="false">I9*I10</f>
        <v>9.52292060587755</v>
      </c>
    </row>
    <row r="13" customFormat="false" ht="15" hidden="false" customHeight="false" outlineLevel="0" collapsed="false">
      <c r="A13" s="11" t="s">
        <v>131</v>
      </c>
      <c r="E13" s="23" t="n">
        <f aca="false">SUM(E11:I11)</f>
        <v>38.1569209590229</v>
      </c>
    </row>
    <row r="14" customFormat="false" ht="15" hidden="false" customHeight="false" outlineLevel="0" collapsed="false">
      <c r="A14" s="3" t="s">
        <v>132</v>
      </c>
      <c r="E14" s="24" t="n">
        <f aca="false">I9*(1+Assumptions!$B$13)/(Assumptions!$B$8-Assumptions!$B$13)</f>
        <v>265.083886628981</v>
      </c>
    </row>
    <row r="15" customFormat="false" ht="15" hidden="false" customHeight="false" outlineLevel="0" collapsed="false">
      <c r="A15" s="3" t="s">
        <v>133</v>
      </c>
      <c r="E15" s="24" t="n">
        <f aca="false">E14*I10</f>
        <v>169.934876329022</v>
      </c>
    </row>
    <row r="16" customFormat="false" ht="15" hidden="false" customHeight="false" outlineLevel="0" collapsed="false">
      <c r="A16" s="11" t="s">
        <v>134</v>
      </c>
      <c r="E16" s="23" t="n">
        <f aca="false">E13+E15</f>
        <v>208.091797288045</v>
      </c>
    </row>
    <row r="17" customFormat="false" ht="15" hidden="false" customHeight="false" outlineLevel="0" collapsed="false">
      <c r="A17" s="3" t="s">
        <v>135</v>
      </c>
      <c r="E17" s="25" t="n">
        <f aca="false">E15/E16</f>
        <v>0.816634190024294</v>
      </c>
    </row>
    <row r="18" customFormat="false" ht="15" hidden="false" customHeight="false" outlineLevel="0" collapsed="false">
      <c r="A18" s="3" t="s">
        <v>136</v>
      </c>
      <c r="E18" s="24" t="n">
        <f aca="false">-Assumptions!$B$7</f>
        <v>-24</v>
      </c>
    </row>
    <row r="19" customFormat="false" ht="15" hidden="false" customHeight="false" outlineLevel="0" collapsed="false">
      <c r="A19" s="11" t="s">
        <v>94</v>
      </c>
      <c r="E19" s="23" t="n">
        <f aca="false">E16+E18</f>
        <v>184.091797288045</v>
      </c>
    </row>
    <row r="20" customFormat="false" ht="15" hidden="false" customHeight="false" outlineLevel="0" collapsed="false">
      <c r="A20" s="11" t="s">
        <v>137</v>
      </c>
      <c r="E20" s="26" t="n">
        <f aca="false">E19/Assumptions!$B$6</f>
        <v>47.446339507228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4" t="s">
        <v>138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139</v>
      </c>
      <c r="B2" s="5"/>
      <c r="C2" s="5"/>
      <c r="D2" s="5"/>
      <c r="E2" s="5"/>
      <c r="F2" s="5"/>
      <c r="G2" s="5"/>
      <c r="H2" s="5"/>
      <c r="I2" s="5"/>
    </row>
    <row r="3" customFormat="false" ht="15" hidden="false" customHeight="false" outlineLevel="0" collapsed="false">
      <c r="A3" s="6" t="s">
        <v>117</v>
      </c>
      <c r="B3" s="7" t="s">
        <v>140</v>
      </c>
      <c r="C3" s="7" t="s">
        <v>141</v>
      </c>
      <c r="D3" s="7" t="s">
        <v>142</v>
      </c>
      <c r="E3" s="7" t="s">
        <v>118</v>
      </c>
      <c r="F3" s="7" t="s">
        <v>119</v>
      </c>
      <c r="G3" s="7" t="s">
        <v>120</v>
      </c>
      <c r="H3" s="7" t="s">
        <v>121</v>
      </c>
      <c r="I3" s="7" t="s">
        <v>122</v>
      </c>
    </row>
    <row r="4" customFormat="false" ht="15" hidden="false" customHeight="false" outlineLevel="0" collapsed="false">
      <c r="A4" s="11" t="s">
        <v>143</v>
      </c>
      <c r="B4" s="15" t="n">
        <v>27.9</v>
      </c>
      <c r="C4" s="15" t="n">
        <v>32.55</v>
      </c>
      <c r="D4" s="15" t="n">
        <v>38.58</v>
      </c>
      <c r="E4" s="19" t="n">
        <f aca="false">D4*(1+Assumptions!E$30)</f>
        <v>41.4735</v>
      </c>
      <c r="F4" s="19" t="n">
        <f aca="false">E4*(1+Assumptions!F$30)</f>
        <v>45.454956</v>
      </c>
      <c r="G4" s="19" t="n">
        <f aca="false">F4*(1+Assumptions!G$30)</f>
        <v>48.954987612</v>
      </c>
      <c r="H4" s="19" t="n">
        <f aca="false">G4*(1+Assumptions!H$30)</f>
        <v>52.430791732452</v>
      </c>
      <c r="I4" s="19" t="n">
        <f aca="false">H4*(1+Assumptions!I$30)</f>
        <v>55.9436547785263</v>
      </c>
    </row>
    <row r="5" customFormat="false" ht="15" hidden="false" customHeight="false" outlineLevel="0" collapsed="false">
      <c r="A5" s="3" t="s">
        <v>144</v>
      </c>
      <c r="B5" s="15" t="n">
        <v>9.5</v>
      </c>
      <c r="C5" s="15" t="n">
        <v>12.3</v>
      </c>
      <c r="D5" s="15" t="n">
        <v>16.1</v>
      </c>
      <c r="E5" s="19" t="n">
        <f aca="false">E4*Assumptions!E$31</f>
        <v>16.7967675</v>
      </c>
      <c r="F5" s="19" t="n">
        <f aca="false">F4*Assumptions!F$31</f>
        <v>18.86380674</v>
      </c>
      <c r="G5" s="19" t="n">
        <f aca="false">G4*Assumptions!G$31</f>
        <v>20.56109479704</v>
      </c>
      <c r="H5" s="19" t="n">
        <f aca="false">H4*Assumptions!H$31</f>
        <v>22.2830864862921</v>
      </c>
      <c r="I5" s="19" t="n">
        <f aca="false">I4*Assumptions!I$31</f>
        <v>23.9438842452092</v>
      </c>
    </row>
    <row r="6" customFormat="false" ht="15" hidden="false" customHeight="false" outlineLevel="0" collapsed="false">
      <c r="A6" s="3" t="s">
        <v>145</v>
      </c>
      <c r="B6" s="15" t="n">
        <v>5.5</v>
      </c>
      <c r="C6" s="15" t="n">
        <v>6</v>
      </c>
      <c r="D6" s="15" t="n">
        <v>6.6</v>
      </c>
      <c r="E6" s="19" t="n">
        <f aca="false">E4*Assumptions!E$32</f>
        <v>5.80629</v>
      </c>
      <c r="F6" s="19" t="n">
        <f aca="false">F4*Assumptions!F$32</f>
        <v>6.36369384</v>
      </c>
      <c r="G6" s="19" t="n">
        <f aca="false">G4*Assumptions!G$32</f>
        <v>6.85369826568</v>
      </c>
      <c r="H6" s="19" t="n">
        <f aca="false">H4*Assumptions!H$32</f>
        <v>7.34031084254328</v>
      </c>
      <c r="I6" s="19" t="n">
        <f aca="false">I4*Assumptions!I$32</f>
        <v>7.83211166899368</v>
      </c>
    </row>
    <row r="7" customFormat="false" ht="15" hidden="false" customHeight="false" outlineLevel="0" collapsed="false">
      <c r="A7" s="11" t="s">
        <v>123</v>
      </c>
      <c r="B7" s="20" t="n">
        <f aca="false">B5-B6</f>
        <v>4</v>
      </c>
      <c r="C7" s="20" t="n">
        <f aca="false">C5-C6</f>
        <v>6.3</v>
      </c>
      <c r="D7" s="20" t="n">
        <f aca="false">D5-D6</f>
        <v>9.5</v>
      </c>
      <c r="E7" s="20" t="n">
        <f aca="false">E5-E6</f>
        <v>10.9904775</v>
      </c>
      <c r="F7" s="20" t="n">
        <f aca="false">F5-F6</f>
        <v>12.5001129</v>
      </c>
      <c r="G7" s="20" t="n">
        <f aca="false">G5-G6</f>
        <v>13.70739653136</v>
      </c>
      <c r="H7" s="20" t="n">
        <f aca="false">H5-H6</f>
        <v>14.9427756437488</v>
      </c>
      <c r="I7" s="20" t="n">
        <f aca="false">I5-I6</f>
        <v>16.1117725762156</v>
      </c>
    </row>
    <row r="8" customFormat="false" ht="15" hidden="false" customHeight="false" outlineLevel="0" collapsed="false">
      <c r="A8" s="3" t="s">
        <v>146</v>
      </c>
      <c r="B8" s="15" t="n">
        <v>-2.1</v>
      </c>
      <c r="C8" s="15" t="n">
        <v>-1.9</v>
      </c>
      <c r="D8" s="15" t="n">
        <v>-1.9</v>
      </c>
      <c r="E8" s="19" t="n">
        <v>-1.5</v>
      </c>
      <c r="F8" s="19" t="n">
        <v>-1.4</v>
      </c>
      <c r="G8" s="19" t="n">
        <v>-1.3</v>
      </c>
      <c r="H8" s="19" t="n">
        <v>-1.2</v>
      </c>
      <c r="I8" s="19" t="n">
        <v>-1.1</v>
      </c>
    </row>
    <row r="9" customFormat="false" ht="15" hidden="false" customHeight="false" outlineLevel="0" collapsed="false">
      <c r="A9" s="3" t="s">
        <v>147</v>
      </c>
      <c r="B9" s="15" t="n">
        <v>0.3</v>
      </c>
      <c r="C9" s="15" t="n">
        <v>0.3</v>
      </c>
      <c r="D9" s="15" t="n">
        <v>0.7</v>
      </c>
      <c r="E9" s="19" t="n">
        <v>0.5</v>
      </c>
      <c r="F9" s="19" t="n">
        <v>0.5</v>
      </c>
      <c r="G9" s="19" t="n">
        <v>0.6</v>
      </c>
      <c r="H9" s="19" t="n">
        <v>0.6</v>
      </c>
      <c r="I9" s="19" t="n">
        <v>0.7</v>
      </c>
    </row>
    <row r="10" customFormat="false" ht="15" hidden="false" customHeight="false" outlineLevel="0" collapsed="false">
      <c r="A10" s="11" t="s">
        <v>148</v>
      </c>
      <c r="B10" s="20" t="n">
        <f aca="false">B7+B8+B9</f>
        <v>2.2</v>
      </c>
      <c r="C10" s="20" t="n">
        <f aca="false">C7+C8+C9</f>
        <v>4.7</v>
      </c>
      <c r="D10" s="20" t="n">
        <f aca="false">D7+D8+D9</f>
        <v>8.3</v>
      </c>
      <c r="E10" s="20" t="n">
        <f aca="false">E7+E8+E9</f>
        <v>9.9904775</v>
      </c>
      <c r="F10" s="20" t="n">
        <f aca="false">F7+F8+F9</f>
        <v>11.6001129</v>
      </c>
      <c r="G10" s="20" t="n">
        <f aca="false">G7+G8+G9</f>
        <v>13.00739653136</v>
      </c>
      <c r="H10" s="20" t="n">
        <f aca="false">H7+H8+H9</f>
        <v>14.3427756437488</v>
      </c>
      <c r="I10" s="20" t="n">
        <f aca="false">I7+I8+I9</f>
        <v>15.7117725762156</v>
      </c>
    </row>
    <row r="11" customFormat="false" ht="15" hidden="false" customHeight="false" outlineLevel="0" collapsed="false">
      <c r="A11" s="3" t="s">
        <v>149</v>
      </c>
      <c r="B11" s="19" t="n">
        <f aca="false">-B10*Assumptions!$B$14</f>
        <v>-0.176</v>
      </c>
      <c r="C11" s="19" t="n">
        <f aca="false">-C10*Assumptions!$B$14</f>
        <v>-0.376</v>
      </c>
      <c r="D11" s="19" t="n">
        <f aca="false">-D10*Assumptions!$B$14</f>
        <v>-0.664</v>
      </c>
      <c r="E11" s="19" t="n">
        <f aca="false">-E10*Assumptions!$B$14</f>
        <v>-0.7992382</v>
      </c>
      <c r="F11" s="19" t="n">
        <f aca="false">-F10*Assumptions!$B$14</f>
        <v>-0.928009032</v>
      </c>
      <c r="G11" s="19" t="n">
        <f aca="false">-G10*Assumptions!$B$14</f>
        <v>-1.0405917225088</v>
      </c>
      <c r="H11" s="19" t="n">
        <f aca="false">-H10*Assumptions!$B$14</f>
        <v>-1.14742205149991</v>
      </c>
      <c r="I11" s="19" t="n">
        <f aca="false">-I10*Assumptions!$B$14</f>
        <v>-1.25694180609725</v>
      </c>
    </row>
    <row r="12" customFormat="false" ht="15" hidden="false" customHeight="false" outlineLevel="0" collapsed="false">
      <c r="A12" s="3" t="s">
        <v>150</v>
      </c>
      <c r="B12" s="15" t="n">
        <v>-0.444</v>
      </c>
      <c r="C12" s="15" t="n">
        <v>-1.454</v>
      </c>
      <c r="D12" s="15" t="n">
        <v>-0.286</v>
      </c>
      <c r="E12" s="19" t="n">
        <v>-0.6</v>
      </c>
      <c r="F12" s="19" t="n">
        <v>-0.6</v>
      </c>
      <c r="G12" s="19" t="n">
        <v>-0.7</v>
      </c>
      <c r="H12" s="19" t="n">
        <v>-0.7</v>
      </c>
      <c r="I12" s="19" t="n">
        <v>-0.8</v>
      </c>
    </row>
    <row r="13" customFormat="false" ht="15" hidden="false" customHeight="false" outlineLevel="0" collapsed="false">
      <c r="A13" s="11" t="s">
        <v>151</v>
      </c>
      <c r="B13" s="20" t="n">
        <f aca="false">B10+B11+B12</f>
        <v>1.58</v>
      </c>
      <c r="C13" s="20" t="n">
        <f aca="false">C10+C11+C12</f>
        <v>2.87</v>
      </c>
      <c r="D13" s="20" t="n">
        <f aca="false">D10+D11+D12</f>
        <v>7.35</v>
      </c>
      <c r="E13" s="20" t="n">
        <f aca="false">E10+E11+E12</f>
        <v>8.5912393</v>
      </c>
      <c r="F13" s="20" t="n">
        <f aca="false">F10+F11+F12</f>
        <v>10.072103868</v>
      </c>
      <c r="G13" s="20" t="n">
        <f aca="false">G10+G11+G12</f>
        <v>11.2668048088512</v>
      </c>
      <c r="H13" s="20" t="n">
        <f aca="false">H10+H11+H12</f>
        <v>12.4953535922489</v>
      </c>
      <c r="I13" s="20" t="n">
        <f aca="false">I10+I11+I12</f>
        <v>13.6548307701183</v>
      </c>
    </row>
    <row r="14" customFormat="false" ht="15" hidden="false" customHeight="false" outlineLevel="0" collapsed="false">
      <c r="A14" s="3" t="s">
        <v>101</v>
      </c>
      <c r="B14" s="16" t="n">
        <f aca="false">B5/B4</f>
        <v>0.340501792114695</v>
      </c>
      <c r="C14" s="16" t="n">
        <f aca="false">C5/C4</f>
        <v>0.377880184331797</v>
      </c>
      <c r="D14" s="16" t="n">
        <f aca="false">D5/D4</f>
        <v>0.417314670813893</v>
      </c>
      <c r="E14" s="16" t="n">
        <f aca="false">E5/E4</f>
        <v>0.405</v>
      </c>
      <c r="F14" s="16" t="n">
        <f aca="false">F5/F4</f>
        <v>0.415</v>
      </c>
      <c r="G14" s="16" t="n">
        <f aca="false">G5/G4</f>
        <v>0.42</v>
      </c>
      <c r="H14" s="16" t="n">
        <f aca="false">H5/H4</f>
        <v>0.425</v>
      </c>
      <c r="I14" s="16" t="n">
        <f aca="false">I5/I4</f>
        <v>0.428</v>
      </c>
    </row>
    <row r="15" customFormat="false" ht="15" hidden="false" customHeight="false" outlineLevel="0" collapsed="false">
      <c r="A15" s="3" t="s">
        <v>152</v>
      </c>
      <c r="B15" s="16" t="n">
        <f aca="false">B13/B4</f>
        <v>0.0566308243727599</v>
      </c>
      <c r="C15" s="16" t="n">
        <f aca="false">C13/C4</f>
        <v>0.0881720430107527</v>
      </c>
      <c r="D15" s="16" t="n">
        <f aca="false">D13/D4</f>
        <v>0.190513219284603</v>
      </c>
      <c r="E15" s="16" t="n">
        <f aca="false">E13/E4</f>
        <v>0.207150091021978</v>
      </c>
      <c r="F15" s="16" t="n">
        <f aca="false">F13/F4</f>
        <v>0.221584283746749</v>
      </c>
      <c r="G15" s="16" t="n">
        <f aca="false">G13/G4</f>
        <v>0.230146208965426</v>
      </c>
      <c r="H15" s="16" t="n">
        <f aca="false">H13/H4</f>
        <v>0.238320902266958</v>
      </c>
      <c r="I15" s="16" t="n">
        <f aca="false">I13/I4</f>
        <v>0.244081850286257</v>
      </c>
    </row>
    <row r="17" customFormat="false" ht="15" hidden="false" customHeight="false" outlineLevel="0" collapsed="false">
      <c r="A17" s="2" t="s">
        <v>153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4" t="s">
        <v>154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155</v>
      </c>
      <c r="B2" s="5"/>
      <c r="C2" s="5"/>
      <c r="D2" s="5"/>
      <c r="E2" s="5"/>
      <c r="F2" s="5"/>
      <c r="G2" s="5"/>
      <c r="H2" s="5"/>
      <c r="I2" s="5"/>
    </row>
    <row r="3" customFormat="false" ht="15" hidden="false" customHeight="false" outlineLevel="0" collapsed="false">
      <c r="A3" s="6" t="s">
        <v>117</v>
      </c>
      <c r="B3" s="7" t="s">
        <v>140</v>
      </c>
      <c r="C3" s="7" t="s">
        <v>141</v>
      </c>
      <c r="D3" s="7" t="s">
        <v>142</v>
      </c>
      <c r="E3" s="7" t="s">
        <v>118</v>
      </c>
      <c r="F3" s="7" t="s">
        <v>119</v>
      </c>
      <c r="G3" s="7" t="s">
        <v>120</v>
      </c>
      <c r="H3" s="7" t="s">
        <v>121</v>
      </c>
      <c r="I3" s="7" t="s">
        <v>122</v>
      </c>
    </row>
    <row r="4" customFormat="false" ht="15" hidden="false" customHeight="false" outlineLevel="0" collapsed="false">
      <c r="A4" s="3" t="s">
        <v>156</v>
      </c>
      <c r="B4" s="15" t="n">
        <v>92</v>
      </c>
      <c r="C4" s="15" t="n">
        <v>101</v>
      </c>
      <c r="D4" s="15" t="n">
        <v>108</v>
      </c>
      <c r="E4" s="19" t="n">
        <f aca="false">D4+Assumptions!E$33-'Income Statement'!E$6</f>
        <v>111.19371</v>
      </c>
      <c r="F4" s="19" t="n">
        <f aca="false">E4+Assumptions!F$33-'Income Statement'!F$6</f>
        <v>113.83001616</v>
      </c>
      <c r="G4" s="19" t="n">
        <f aca="false">F4+Assumptions!G$33-'Income Statement'!G$6</f>
        <v>114.97631789432</v>
      </c>
      <c r="H4" s="19" t="n">
        <f aca="false">G4+Assumptions!H$33-'Income Statement'!H$6</f>
        <v>115.136007051777</v>
      </c>
      <c r="I4" s="19" t="n">
        <f aca="false">H4+Assumptions!I$33-'Income Statement'!I$6</f>
        <v>114.303895382783</v>
      </c>
    </row>
    <row r="5" customFormat="false" ht="15" hidden="false" customHeight="false" outlineLevel="0" collapsed="false">
      <c r="A5" s="3" t="s">
        <v>157</v>
      </c>
      <c r="B5" s="15" t="n">
        <v>18</v>
      </c>
      <c r="C5" s="15" t="n">
        <v>19.5</v>
      </c>
      <c r="D5" s="15" t="n">
        <v>21.5</v>
      </c>
      <c r="E5" s="19" t="n">
        <f aca="false">'Income Statement'!E$4*0.55</f>
        <v>22.810425</v>
      </c>
      <c r="F5" s="19" t="n">
        <f aca="false">'Income Statement'!F$4*0.55</f>
        <v>25.0002258</v>
      </c>
      <c r="G5" s="19" t="n">
        <f aca="false">'Income Statement'!G$4*0.55</f>
        <v>26.9252431866</v>
      </c>
      <c r="H5" s="19" t="n">
        <f aca="false">'Income Statement'!H$4*0.55</f>
        <v>28.8369354528486</v>
      </c>
      <c r="I5" s="19" t="n">
        <f aca="false">'Income Statement'!I$4*0.55</f>
        <v>30.7690101281895</v>
      </c>
    </row>
    <row r="6" customFormat="false" ht="15" hidden="false" customHeight="false" outlineLevel="0" collapsed="false">
      <c r="A6" s="3" t="s">
        <v>158</v>
      </c>
      <c r="B6" s="15" t="n">
        <v>8.5</v>
      </c>
      <c r="C6" s="15" t="n">
        <v>9</v>
      </c>
      <c r="D6" s="15" t="n">
        <v>11</v>
      </c>
      <c r="E6" s="19" t="n">
        <f aca="false">D6+'Cash Flow'!E$12</f>
        <v>15.7975293</v>
      </c>
      <c r="F6" s="19" t="n">
        <f aca="false">E6+'Cash Flow'!F$12</f>
        <v>22.733327008</v>
      </c>
      <c r="G6" s="19" t="n">
        <f aca="false">F6+'Cash Flow'!G$12</f>
        <v>32.5538300825312</v>
      </c>
      <c r="H6" s="19" t="n">
        <f aca="false">G6+'Cash Flow'!H$12</f>
        <v>44.6894945173234</v>
      </c>
      <c r="I6" s="19" t="n">
        <f aca="false">H6+'Cash Flow'!I$12</f>
        <v>59.1764369564354</v>
      </c>
    </row>
    <row r="7" customFormat="false" ht="15" hidden="false" customHeight="false" outlineLevel="0" collapsed="false">
      <c r="A7" s="11" t="s">
        <v>159</v>
      </c>
      <c r="B7" s="15" t="n">
        <v>118.5</v>
      </c>
      <c r="C7" s="15" t="n">
        <v>129.5</v>
      </c>
      <c r="D7" s="15" t="n">
        <v>140.5</v>
      </c>
      <c r="E7" s="20" t="n">
        <f aca="false">E4+E5+E6</f>
        <v>149.8016643</v>
      </c>
      <c r="F7" s="20" t="n">
        <f aca="false">F4+F5+F6</f>
        <v>161.563568968</v>
      </c>
      <c r="G7" s="20" t="n">
        <f aca="false">G4+G5+G6</f>
        <v>174.455391163451</v>
      </c>
      <c r="H7" s="20" t="n">
        <f aca="false">H4+H5+H6</f>
        <v>188.662437021949</v>
      </c>
      <c r="I7" s="20" t="n">
        <f aca="false">I4+I5+I6</f>
        <v>204.249342467408</v>
      </c>
    </row>
    <row r="8" customFormat="false" ht="15" hidden="false" customHeight="false" outlineLevel="0" collapsed="false">
      <c r="A8" s="3" t="s">
        <v>160</v>
      </c>
      <c r="B8" s="15" t="n">
        <v>30</v>
      </c>
      <c r="C8" s="15" t="n">
        <v>31</v>
      </c>
      <c r="D8" s="15" t="n">
        <v>35</v>
      </c>
      <c r="E8" s="19" t="n">
        <f aca="false">D8</f>
        <v>35</v>
      </c>
      <c r="F8" s="19" t="n">
        <f aca="false">E8</f>
        <v>35</v>
      </c>
      <c r="G8" s="19" t="n">
        <f aca="false">F8</f>
        <v>35</v>
      </c>
      <c r="H8" s="19" t="n">
        <f aca="false">G8</f>
        <v>35</v>
      </c>
      <c r="I8" s="19" t="n">
        <f aca="false">H8</f>
        <v>35</v>
      </c>
    </row>
    <row r="9" customFormat="false" ht="15" hidden="false" customHeight="false" outlineLevel="0" collapsed="false">
      <c r="A9" s="3" t="s">
        <v>161</v>
      </c>
      <c r="B9" s="15" t="n">
        <v>25.5</v>
      </c>
      <c r="C9" s="15" t="n">
        <v>30.6</v>
      </c>
      <c r="D9" s="15" t="n">
        <v>26.9</v>
      </c>
      <c r="E9" s="19" t="n">
        <f aca="false">D9*1.03</f>
        <v>27.707</v>
      </c>
      <c r="F9" s="19" t="n">
        <f aca="false">E9*1.03</f>
        <v>28.53821</v>
      </c>
      <c r="G9" s="19" t="n">
        <f aca="false">F9*1.03</f>
        <v>29.3943563</v>
      </c>
      <c r="H9" s="19" t="n">
        <f aca="false">G9*1.03</f>
        <v>30.276186989</v>
      </c>
      <c r="I9" s="19" t="n">
        <f aca="false">H9*1.03</f>
        <v>31.18447259867</v>
      </c>
    </row>
    <row r="10" customFormat="false" ht="15" hidden="false" customHeight="false" outlineLevel="0" collapsed="false">
      <c r="A10" s="3" t="s">
        <v>150</v>
      </c>
      <c r="B10" s="15" t="n">
        <v>15</v>
      </c>
      <c r="C10" s="15" t="n">
        <v>16</v>
      </c>
      <c r="D10" s="15" t="n">
        <v>17</v>
      </c>
      <c r="E10" s="19" t="n">
        <f aca="false">D10+'Income Statement'!E$12*-1</f>
        <v>17.6</v>
      </c>
      <c r="F10" s="19" t="n">
        <f aca="false">E10+'Income Statement'!F$12*-1</f>
        <v>18.2</v>
      </c>
      <c r="G10" s="19" t="n">
        <f aca="false">F10+'Income Statement'!G$12*-1</f>
        <v>18.9</v>
      </c>
      <c r="H10" s="19" t="n">
        <f aca="false">G10+'Income Statement'!H$12*-1</f>
        <v>19.6</v>
      </c>
      <c r="I10" s="19" t="n">
        <f aca="false">H10+'Income Statement'!I$12*-1</f>
        <v>20.4</v>
      </c>
    </row>
    <row r="11" customFormat="false" ht="15" hidden="false" customHeight="false" outlineLevel="0" collapsed="false">
      <c r="A11" s="11" t="s">
        <v>162</v>
      </c>
      <c r="B11" s="15" t="n">
        <v>48</v>
      </c>
      <c r="C11" s="15" t="n">
        <v>51.89</v>
      </c>
      <c r="D11" s="15" t="n">
        <v>61.59</v>
      </c>
      <c r="E11" s="20" t="n">
        <f aca="false">D11+'Income Statement'!E$13</f>
        <v>70.1812393</v>
      </c>
      <c r="F11" s="20" t="n">
        <f aca="false">E11+'Income Statement'!F$13</f>
        <v>80.253343168</v>
      </c>
      <c r="G11" s="20" t="n">
        <f aca="false">F11+'Income Statement'!G$13</f>
        <v>91.5201479768512</v>
      </c>
      <c r="H11" s="20" t="n">
        <f aca="false">G11+'Income Statement'!H$13</f>
        <v>104.0155015691</v>
      </c>
      <c r="I11" s="20" t="n">
        <f aca="false">H11+'Income Statement'!I$13</f>
        <v>117.670332339218</v>
      </c>
    </row>
    <row r="12" customFormat="false" ht="15" hidden="false" customHeight="false" outlineLevel="0" collapsed="false">
      <c r="A12" s="11" t="s">
        <v>163</v>
      </c>
      <c r="B12" s="20" t="n">
        <f aca="false">B8-B6</f>
        <v>21.5</v>
      </c>
      <c r="C12" s="20" t="n">
        <f aca="false">C8-C6</f>
        <v>22</v>
      </c>
      <c r="D12" s="20" t="n">
        <f aca="false">D8-D6</f>
        <v>24</v>
      </c>
      <c r="E12" s="20" t="n">
        <f aca="false">E8-E6</f>
        <v>19.2024707</v>
      </c>
      <c r="F12" s="20" t="n">
        <f aca="false">F8-F6</f>
        <v>12.266672992</v>
      </c>
      <c r="G12" s="20" t="n">
        <f aca="false">G8-G6</f>
        <v>2.44616991746881</v>
      </c>
      <c r="H12" s="20" t="n">
        <f aca="false">H8-H6</f>
        <v>-9.68949451732338</v>
      </c>
      <c r="I12" s="20" t="n">
        <f aca="false">I8-I6</f>
        <v>-24.1764369564354</v>
      </c>
    </row>
    <row r="13" customFormat="false" ht="15" hidden="false" customHeight="false" outlineLevel="0" collapsed="false">
      <c r="A13" s="2" t="s">
        <v>164</v>
      </c>
      <c r="B13" s="27" t="n">
        <f aca="false">B7-B8-B9-B11-B10</f>
        <v>0</v>
      </c>
      <c r="C13" s="27" t="n">
        <f aca="false">C7-C8-C9-C11-C10</f>
        <v>0.0100000000000051</v>
      </c>
      <c r="D13" s="27" t="n">
        <f aca="false">D7-D8-D9-D11-D10</f>
        <v>0.00999999999999091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9" min="5" style="0" width="11"/>
  </cols>
  <sheetData>
    <row r="1" customFormat="false" ht="16.15" hidden="false" customHeight="false" outlineLevel="0" collapsed="false">
      <c r="A1" s="4" t="s">
        <v>165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166</v>
      </c>
      <c r="B2" s="5"/>
      <c r="C2" s="5"/>
      <c r="D2" s="5"/>
      <c r="E2" s="5"/>
      <c r="F2" s="5"/>
      <c r="G2" s="5"/>
      <c r="H2" s="5"/>
      <c r="I2" s="5"/>
    </row>
    <row r="3" customFormat="false" ht="15" hidden="false" customHeight="false" outlineLevel="0" collapsed="false">
      <c r="A3" s="6" t="s">
        <v>117</v>
      </c>
      <c r="B3" s="7"/>
      <c r="C3" s="7"/>
      <c r="D3" s="7"/>
      <c r="E3" s="7" t="s">
        <v>118</v>
      </c>
      <c r="F3" s="7" t="s">
        <v>119</v>
      </c>
      <c r="G3" s="7" t="s">
        <v>120</v>
      </c>
      <c r="H3" s="7" t="s">
        <v>121</v>
      </c>
      <c r="I3" s="7" t="s">
        <v>122</v>
      </c>
    </row>
    <row r="4" customFormat="false" ht="15" hidden="false" customHeight="false" outlineLevel="0" collapsed="false">
      <c r="A4" s="3" t="s">
        <v>151</v>
      </c>
      <c r="E4" s="19" t="n">
        <f aca="false">'Income Statement'!E$13</f>
        <v>8.5912393</v>
      </c>
      <c r="F4" s="19" t="n">
        <f aca="false">'Income Statement'!F$13</f>
        <v>10.072103868</v>
      </c>
      <c r="G4" s="19" t="n">
        <f aca="false">'Income Statement'!G$13</f>
        <v>11.2668048088512</v>
      </c>
      <c r="H4" s="19" t="n">
        <f aca="false">'Income Statement'!H$13</f>
        <v>12.4953535922489</v>
      </c>
      <c r="I4" s="19" t="n">
        <f aca="false">'Income Statement'!I$13</f>
        <v>13.6548307701183</v>
      </c>
    </row>
    <row r="5" customFormat="false" ht="15" hidden="false" customHeight="false" outlineLevel="0" collapsed="false">
      <c r="A5" s="3" t="s">
        <v>167</v>
      </c>
      <c r="E5" s="19" t="n">
        <f aca="false">-'Income Statement'!E$12</f>
        <v>0.6</v>
      </c>
      <c r="F5" s="19" t="n">
        <f aca="false">-'Income Statement'!F$12</f>
        <v>0.6</v>
      </c>
      <c r="G5" s="19" t="n">
        <f aca="false">-'Income Statement'!G$12</f>
        <v>0.7</v>
      </c>
      <c r="H5" s="19" t="n">
        <f aca="false">-'Income Statement'!H$12</f>
        <v>0.7</v>
      </c>
      <c r="I5" s="19" t="n">
        <f aca="false">-'Income Statement'!I$12</f>
        <v>0.8</v>
      </c>
    </row>
    <row r="6" customFormat="false" ht="15" hidden="false" customHeight="false" outlineLevel="0" collapsed="false">
      <c r="A6" s="3" t="s">
        <v>125</v>
      </c>
      <c r="E6" s="19" t="n">
        <f aca="false">'Income Statement'!E$6</f>
        <v>5.80629</v>
      </c>
      <c r="F6" s="19" t="n">
        <f aca="false">'Income Statement'!F$6</f>
        <v>6.36369384</v>
      </c>
      <c r="G6" s="19" t="n">
        <f aca="false">'Income Statement'!G$6</f>
        <v>6.85369826568</v>
      </c>
      <c r="H6" s="19" t="n">
        <f aca="false">'Income Statement'!H$6</f>
        <v>7.34031084254328</v>
      </c>
      <c r="I6" s="19" t="n">
        <f aca="false">'Income Statement'!I$6</f>
        <v>7.83211166899368</v>
      </c>
    </row>
    <row r="7" customFormat="false" ht="15" hidden="false" customHeight="false" outlineLevel="0" collapsed="false">
      <c r="A7" s="3" t="s">
        <v>127</v>
      </c>
      <c r="E7" s="19" t="n">
        <f aca="false">-Assumptions!E$34</f>
        <v>-1.2</v>
      </c>
      <c r="F7" s="19" t="n">
        <f aca="false">-Assumptions!F$34</f>
        <v>-1.1</v>
      </c>
      <c r="G7" s="19" t="n">
        <f aca="false">-Assumptions!G$34</f>
        <v>-1</v>
      </c>
      <c r="H7" s="19" t="n">
        <f aca="false">-Assumptions!H$34</f>
        <v>-0.9</v>
      </c>
      <c r="I7" s="19" t="n">
        <f aca="false">-Assumptions!I$34</f>
        <v>-0.8</v>
      </c>
    </row>
    <row r="8" customFormat="false" ht="15" hidden="false" customHeight="false" outlineLevel="0" collapsed="false">
      <c r="A8" s="11" t="s">
        <v>168</v>
      </c>
      <c r="E8" s="20" t="n">
        <f aca="false">E4+E5+E6+E7</f>
        <v>13.7975293</v>
      </c>
      <c r="F8" s="20" t="n">
        <f aca="false">F4+F5+F6+F7</f>
        <v>15.935797708</v>
      </c>
      <c r="G8" s="20" t="n">
        <f aca="false">G4+G5+G6+G7</f>
        <v>17.8205030745312</v>
      </c>
      <c r="H8" s="20" t="n">
        <f aca="false">H4+H5+H6+H7</f>
        <v>19.6356644347922</v>
      </c>
      <c r="I8" s="20" t="n">
        <f aca="false">I4+I5+I6+I7</f>
        <v>21.486942439112</v>
      </c>
    </row>
    <row r="9" customFormat="false" ht="15" hidden="false" customHeight="false" outlineLevel="0" collapsed="false">
      <c r="A9" s="3" t="s">
        <v>126</v>
      </c>
      <c r="E9" s="19" t="n">
        <f aca="false">-Assumptions!E$33</f>
        <v>-9</v>
      </c>
      <c r="F9" s="19" t="n">
        <f aca="false">-Assumptions!F$33</f>
        <v>-9</v>
      </c>
      <c r="G9" s="19" t="n">
        <f aca="false">-Assumptions!G$33</f>
        <v>-8</v>
      </c>
      <c r="H9" s="19" t="n">
        <f aca="false">-Assumptions!H$33</f>
        <v>-7.5</v>
      </c>
      <c r="I9" s="19" t="n">
        <f aca="false">-Assumptions!I$33</f>
        <v>-7</v>
      </c>
    </row>
    <row r="10" customFormat="false" ht="15" hidden="false" customHeight="false" outlineLevel="0" collapsed="false">
      <c r="A10" s="11" t="s">
        <v>169</v>
      </c>
      <c r="E10" s="20" t="n">
        <f aca="false">E8+E9</f>
        <v>4.7975293</v>
      </c>
      <c r="F10" s="20" t="n">
        <f aca="false">F8+F9</f>
        <v>6.935797708</v>
      </c>
      <c r="G10" s="20" t="n">
        <f aca="false">G8+G9</f>
        <v>9.8205030745312</v>
      </c>
      <c r="H10" s="20" t="n">
        <f aca="false">H8+H9</f>
        <v>12.1356644347922</v>
      </c>
      <c r="I10" s="20" t="n">
        <f aca="false">I8+I9</f>
        <v>14.486942439112</v>
      </c>
    </row>
    <row r="11" customFormat="false" ht="15" hidden="false" customHeight="false" outlineLevel="0" collapsed="false">
      <c r="A11" s="3" t="s">
        <v>170</v>
      </c>
      <c r="E11" s="19" t="n">
        <f aca="false">0</f>
        <v>0</v>
      </c>
      <c r="F11" s="19" t="n">
        <f aca="false">0</f>
        <v>0</v>
      </c>
      <c r="G11" s="19" t="n">
        <f aca="false">0</f>
        <v>0</v>
      </c>
      <c r="H11" s="19" t="n">
        <f aca="false">0</f>
        <v>0</v>
      </c>
      <c r="I11" s="19" t="n">
        <f aca="false">0</f>
        <v>0</v>
      </c>
    </row>
    <row r="12" customFormat="false" ht="15" hidden="false" customHeight="false" outlineLevel="0" collapsed="false">
      <c r="A12" s="11" t="s">
        <v>171</v>
      </c>
      <c r="E12" s="20" t="n">
        <f aca="false">E10+E11</f>
        <v>4.7975293</v>
      </c>
      <c r="F12" s="20" t="n">
        <f aca="false">F10+F11</f>
        <v>6.935797708</v>
      </c>
      <c r="G12" s="20" t="n">
        <f aca="false">G10+G11</f>
        <v>9.8205030745312</v>
      </c>
      <c r="H12" s="20" t="n">
        <f aca="false">H10+H11</f>
        <v>12.1356644347922</v>
      </c>
      <c r="I12" s="20" t="n">
        <f aca="false">I10+I11</f>
        <v>14.486942439112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4" t="s">
        <v>172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173</v>
      </c>
      <c r="B2" s="5"/>
      <c r="C2" s="5"/>
      <c r="D2" s="5"/>
      <c r="E2" s="5"/>
      <c r="F2" s="5"/>
      <c r="G2" s="5"/>
      <c r="H2" s="5"/>
      <c r="I2" s="5"/>
    </row>
    <row r="3" customFormat="false" ht="15" hidden="false" customHeight="false" outlineLevel="0" collapsed="false">
      <c r="A3" s="6" t="s">
        <v>117</v>
      </c>
      <c r="B3" s="7" t="s">
        <v>140</v>
      </c>
      <c r="C3" s="7" t="s">
        <v>141</v>
      </c>
      <c r="D3" s="7" t="s">
        <v>142</v>
      </c>
      <c r="E3" s="7" t="s">
        <v>118</v>
      </c>
      <c r="F3" s="7" t="s">
        <v>119</v>
      </c>
      <c r="G3" s="7" t="s">
        <v>120</v>
      </c>
      <c r="H3" s="7" t="s">
        <v>121</v>
      </c>
      <c r="I3" s="7" t="s">
        <v>122</v>
      </c>
    </row>
    <row r="4" customFormat="false" ht="15" hidden="false" customHeight="false" outlineLevel="0" collapsed="false">
      <c r="A4" s="3" t="s">
        <v>174</v>
      </c>
      <c r="B4" s="28" t="n">
        <f aca="false">'Income Statement'!B4</f>
        <v>27.9</v>
      </c>
      <c r="C4" s="28" t="n">
        <f aca="false">'Income Statement'!C4</f>
        <v>32.55</v>
      </c>
      <c r="D4" s="28" t="n">
        <f aca="false">'Income Statement'!D4</f>
        <v>38.58</v>
      </c>
      <c r="E4" s="28" t="n">
        <f aca="false">'Income Statement'!E4</f>
        <v>41.4735</v>
      </c>
      <c r="F4" s="28" t="n">
        <f aca="false">'Income Statement'!F4</f>
        <v>45.454956</v>
      </c>
      <c r="G4" s="28" t="n">
        <f aca="false">'Income Statement'!G4</f>
        <v>48.954987612</v>
      </c>
      <c r="H4" s="28" t="n">
        <f aca="false">'Income Statement'!H4</f>
        <v>52.430791732452</v>
      </c>
      <c r="I4" s="28" t="n">
        <f aca="false">'Income Statement'!I4</f>
        <v>55.9436547785263</v>
      </c>
    </row>
    <row r="5" customFormat="false" ht="15" hidden="false" customHeight="false" outlineLevel="0" collapsed="false">
      <c r="A5" s="3" t="s">
        <v>144</v>
      </c>
      <c r="B5" s="28" t="n">
        <f aca="false">'Income Statement'!B5</f>
        <v>9.5</v>
      </c>
      <c r="C5" s="28" t="n">
        <f aca="false">'Income Statement'!C5</f>
        <v>12.3</v>
      </c>
      <c r="D5" s="28" t="n">
        <f aca="false">'Income Statement'!D5</f>
        <v>16.1</v>
      </c>
      <c r="E5" s="28" t="n">
        <f aca="false">'Income Statement'!E5</f>
        <v>16.7967675</v>
      </c>
      <c r="F5" s="28" t="n">
        <f aca="false">'Income Statement'!F5</f>
        <v>18.86380674</v>
      </c>
      <c r="G5" s="28" t="n">
        <f aca="false">'Income Statement'!G5</f>
        <v>20.56109479704</v>
      </c>
      <c r="H5" s="28" t="n">
        <f aca="false">'Income Statement'!H5</f>
        <v>22.2830864862921</v>
      </c>
      <c r="I5" s="28" t="n">
        <f aca="false">'Income Statement'!I5</f>
        <v>23.9438842452092</v>
      </c>
    </row>
    <row r="6" customFormat="false" ht="15" hidden="false" customHeight="false" outlineLevel="0" collapsed="false">
      <c r="A6" s="3" t="s">
        <v>123</v>
      </c>
      <c r="B6" s="28" t="n">
        <f aca="false">'Income Statement'!B7</f>
        <v>4</v>
      </c>
      <c r="C6" s="28" t="n">
        <f aca="false">'Income Statement'!C7</f>
        <v>6.3</v>
      </c>
      <c r="D6" s="28" t="n">
        <f aca="false">'Income Statement'!D7</f>
        <v>9.5</v>
      </c>
      <c r="E6" s="28" t="n">
        <f aca="false">'Income Statement'!E7</f>
        <v>10.9904775</v>
      </c>
      <c r="F6" s="28" t="n">
        <f aca="false">'Income Statement'!F7</f>
        <v>12.5001129</v>
      </c>
      <c r="G6" s="28" t="n">
        <f aca="false">'Income Statement'!G7</f>
        <v>13.70739653136</v>
      </c>
      <c r="H6" s="28" t="n">
        <f aca="false">'Income Statement'!H7</f>
        <v>14.9427756437488</v>
      </c>
      <c r="I6" s="28" t="n">
        <f aca="false">'Income Statement'!I7</f>
        <v>16.1117725762156</v>
      </c>
    </row>
    <row r="7" customFormat="false" ht="15" hidden="false" customHeight="false" outlineLevel="0" collapsed="false">
      <c r="A7" s="3" t="s">
        <v>151</v>
      </c>
      <c r="B7" s="28" t="n">
        <f aca="false">'Income Statement'!B13</f>
        <v>1.58</v>
      </c>
      <c r="C7" s="28" t="n">
        <f aca="false">'Income Statement'!C13</f>
        <v>2.87</v>
      </c>
      <c r="D7" s="28" t="n">
        <f aca="false">'Income Statement'!D13</f>
        <v>7.35</v>
      </c>
      <c r="E7" s="28" t="n">
        <f aca="false">'Income Statement'!E13</f>
        <v>8.5912393</v>
      </c>
      <c r="F7" s="28" t="n">
        <f aca="false">'Income Statement'!F13</f>
        <v>10.072103868</v>
      </c>
      <c r="G7" s="28" t="n">
        <f aca="false">'Income Statement'!G13</f>
        <v>11.2668048088512</v>
      </c>
      <c r="H7" s="28" t="n">
        <f aca="false">'Income Statement'!H13</f>
        <v>12.4953535922489</v>
      </c>
      <c r="I7" s="28" t="n">
        <f aca="false">'Income Statement'!I13</f>
        <v>13.6548307701183</v>
      </c>
    </row>
    <row r="8" customFormat="false" ht="15" hidden="false" customHeight="false" outlineLevel="0" collapsed="false">
      <c r="A8" s="3" t="s">
        <v>162</v>
      </c>
      <c r="B8" s="28" t="n">
        <f aca="false">'Balance Sheet'!B11</f>
        <v>48</v>
      </c>
      <c r="C8" s="28" t="n">
        <f aca="false">'Balance Sheet'!C11</f>
        <v>51.89</v>
      </c>
      <c r="D8" s="28" t="n">
        <f aca="false">'Balance Sheet'!D11</f>
        <v>61.59</v>
      </c>
      <c r="E8" s="28" t="n">
        <f aca="false">'Balance Sheet'!E11</f>
        <v>70.1812393</v>
      </c>
      <c r="F8" s="28" t="n">
        <f aca="false">'Balance Sheet'!F11</f>
        <v>80.253343168</v>
      </c>
      <c r="G8" s="28" t="n">
        <f aca="false">'Balance Sheet'!G11</f>
        <v>91.5201479768512</v>
      </c>
      <c r="H8" s="28" t="n">
        <f aca="false">'Balance Sheet'!H11</f>
        <v>104.0155015691</v>
      </c>
      <c r="I8" s="28" t="n">
        <f aca="false">'Balance Sheet'!I11</f>
        <v>117.670332339218</v>
      </c>
    </row>
    <row r="9" customFormat="false" ht="15" hidden="false" customHeight="false" outlineLevel="0" collapsed="false">
      <c r="A9" s="3" t="s">
        <v>175</v>
      </c>
      <c r="B9" s="28" t="n">
        <f aca="false">'Balance Sheet'!B12</f>
        <v>21.5</v>
      </c>
      <c r="C9" s="28" t="n">
        <f aca="false">'Balance Sheet'!C12</f>
        <v>22</v>
      </c>
      <c r="D9" s="28" t="n">
        <f aca="false">'Balance Sheet'!D12</f>
        <v>24</v>
      </c>
      <c r="E9" s="28" t="n">
        <f aca="false">'Balance Sheet'!E12</f>
        <v>19.2024707</v>
      </c>
      <c r="F9" s="28" t="n">
        <f aca="false">'Balance Sheet'!F12</f>
        <v>12.266672992</v>
      </c>
      <c r="G9" s="28" t="n">
        <f aca="false">'Balance Sheet'!G12</f>
        <v>2.44616991746881</v>
      </c>
      <c r="H9" s="28" t="n">
        <f aca="false">'Balance Sheet'!H12</f>
        <v>-9.68949451732338</v>
      </c>
      <c r="I9" s="28" t="n">
        <f aca="false">'Balance Sheet'!I12</f>
        <v>-24.1764369564354</v>
      </c>
    </row>
    <row r="10" customFormat="false" ht="15" hidden="false" customHeight="false" outlineLevel="0" collapsed="false">
      <c r="A10" s="3" t="s">
        <v>176</v>
      </c>
      <c r="B10" s="29" t="n">
        <f aca="false">'Balance Sheet'!B12/'Income Statement'!B5</f>
        <v>2.26315789473684</v>
      </c>
      <c r="C10" s="29" t="n">
        <f aca="false">'Balance Sheet'!C12/'Income Statement'!C5</f>
        <v>1.78861788617886</v>
      </c>
      <c r="D10" s="29" t="n">
        <f aca="false">'Balance Sheet'!D12/'Income Statement'!D5</f>
        <v>1.49068322981366</v>
      </c>
      <c r="E10" s="29" t="n">
        <f aca="false">'Balance Sheet'!E12/'Income Statement'!E5</f>
        <v>1.1432241769138</v>
      </c>
      <c r="F10" s="29" t="n">
        <f aca="false">'Balance Sheet'!F12/'Income Statement'!F5</f>
        <v>0.65027558652777</v>
      </c>
      <c r="G10" s="29" t="n">
        <f aca="false">'Balance Sheet'!G12/'Income Statement'!G5</f>
        <v>0.118970801001363</v>
      </c>
      <c r="H10" s="29" t="n">
        <f aca="false">'Balance Sheet'!H12/'Income Statement'!H5</f>
        <v>-0.434836283711598</v>
      </c>
      <c r="I10" s="29" t="n">
        <f aca="false">'Balance Sheet'!I12/'Income Statement'!I5</f>
        <v>-1.00971240542447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6.15" hidden="false" customHeight="false" outlineLevel="0" collapsed="false">
      <c r="A1" s="4" t="s">
        <v>177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178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6" t="s">
        <v>179</v>
      </c>
      <c r="B4" s="7" t="s">
        <v>180</v>
      </c>
      <c r="C4" s="7" t="s">
        <v>181</v>
      </c>
      <c r="D4" s="7" t="s">
        <v>182</v>
      </c>
      <c r="E4" s="7" t="s">
        <v>183</v>
      </c>
      <c r="F4" s="7" t="s">
        <v>184</v>
      </c>
    </row>
    <row r="5" customFormat="false" ht="15" hidden="false" customHeight="false" outlineLevel="0" collapsed="false">
      <c r="A5" s="3" t="s">
        <v>185</v>
      </c>
      <c r="B5" s="8" t="n">
        <v>50.7</v>
      </c>
      <c r="C5" s="8" t="n">
        <v>55.6</v>
      </c>
      <c r="D5" s="8" t="n">
        <v>59.2</v>
      </c>
      <c r="E5" s="8" t="n">
        <v>63.1</v>
      </c>
      <c r="F5" s="8" t="n">
        <v>69.1</v>
      </c>
    </row>
    <row r="6" customFormat="false" ht="15" hidden="false" customHeight="false" outlineLevel="0" collapsed="false">
      <c r="A6" s="3" t="s">
        <v>186</v>
      </c>
      <c r="B6" s="8" t="n">
        <v>46.1</v>
      </c>
      <c r="C6" s="8" t="n">
        <v>53.9</v>
      </c>
      <c r="D6" s="8" t="n">
        <v>60.1</v>
      </c>
      <c r="E6" s="8" t="n">
        <v>67.1</v>
      </c>
      <c r="F6" s="8" t="n">
        <v>78.4</v>
      </c>
    </row>
    <row r="8" customFormat="false" ht="15" hidden="false" customHeight="false" outlineLevel="0" collapsed="false">
      <c r="A8" s="3" t="s">
        <v>187</v>
      </c>
      <c r="B8" s="30" t="n">
        <f aca="false">Assumptions!$B$36</f>
        <v>0.324</v>
      </c>
    </row>
    <row r="9" customFormat="false" ht="15" hidden="false" customHeight="false" outlineLevel="0" collapsed="false">
      <c r="A9" s="3" t="s">
        <v>188</v>
      </c>
      <c r="B9" s="30" t="n">
        <f aca="false">Assumptions!$B$37</f>
        <v>0.022</v>
      </c>
    </row>
    <row r="11" customFormat="false" ht="15" hidden="false" customHeight="false" outlineLevel="0" collapsed="false">
      <c r="A11" s="11" t="s">
        <v>189</v>
      </c>
    </row>
    <row r="12" customFormat="false" ht="15" hidden="false" customHeight="false" outlineLevel="0" collapsed="false">
      <c r="A12" s="6" t="s">
        <v>190</v>
      </c>
      <c r="B12" s="7" t="s">
        <v>191</v>
      </c>
      <c r="C12" s="7" t="s">
        <v>192</v>
      </c>
    </row>
    <row r="13" customFormat="false" ht="15" hidden="false" customHeight="false" outlineLevel="0" collapsed="false">
      <c r="A13" s="3" t="n">
        <v>80</v>
      </c>
      <c r="B13" s="10" t="n">
        <v>0.001</v>
      </c>
      <c r="C13" s="10" t="n">
        <v>0.064</v>
      </c>
    </row>
    <row r="14" customFormat="false" ht="15" hidden="false" customHeight="false" outlineLevel="0" collapsed="false">
      <c r="A14" s="3" t="n">
        <v>72</v>
      </c>
      <c r="B14" s="10" t="n">
        <v>0.028</v>
      </c>
      <c r="C14" s="10" t="n">
        <v>0.223</v>
      </c>
    </row>
    <row r="15" customFormat="false" ht="15" hidden="false" customHeight="false" outlineLevel="0" collapsed="false">
      <c r="A15" s="3" t="n">
        <v>66</v>
      </c>
      <c r="B15" s="10" t="n">
        <v>0.199</v>
      </c>
      <c r="C15" s="10" t="n">
        <v>0.481</v>
      </c>
    </row>
    <row r="16" customFormat="false" ht="15" hidden="false" customHeight="false" outlineLevel="0" collapsed="false">
      <c r="A16" s="3" t="n">
        <v>62</v>
      </c>
      <c r="B16" s="10" t="n">
        <v>0.516</v>
      </c>
      <c r="C16" s="10" t="n">
        <v>0.727</v>
      </c>
    </row>
    <row r="17" customFormat="false" ht="15" hidden="false" customHeight="false" outlineLevel="0" collapsed="false">
      <c r="A17" s="3" t="n">
        <v>58</v>
      </c>
      <c r="B17" s="10" t="n">
        <v>0.76</v>
      </c>
      <c r="C17" s="10" t="n">
        <v>0.851</v>
      </c>
    </row>
    <row r="18" customFormat="false" ht="15" hidden="false" customHeight="false" outlineLevel="0" collapsed="false">
      <c r="A18" s="3" t="n">
        <v>54</v>
      </c>
      <c r="B18" s="10" t="n">
        <v>0.279</v>
      </c>
      <c r="C18" s="10" t="n">
        <v>0.511</v>
      </c>
    </row>
    <row r="19" customFormat="false" ht="15" hidden="false" customHeight="false" outlineLevel="0" collapsed="false">
      <c r="A19" s="3" t="n">
        <v>50</v>
      </c>
      <c r="B19" s="10" t="n">
        <v>0.058</v>
      </c>
      <c r="C19" s="10" t="n">
        <v>0.246</v>
      </c>
    </row>
    <row r="20" customFormat="false" ht="15" hidden="false" customHeight="false" outlineLevel="0" collapsed="false">
      <c r="A20" s="3" t="n">
        <v>46</v>
      </c>
      <c r="B20" s="10" t="n">
        <v>0.006</v>
      </c>
      <c r="C20" s="10" t="n">
        <v>0.091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0"/>
  </cols>
  <sheetData>
    <row r="1" customFormat="false" ht="16.15" hidden="false" customHeight="false" outlineLevel="0" collapsed="false">
      <c r="A1" s="4" t="s">
        <v>193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194</v>
      </c>
      <c r="B2" s="5"/>
      <c r="C2" s="5"/>
      <c r="D2" s="5"/>
      <c r="E2" s="5"/>
      <c r="F2" s="5"/>
      <c r="G2" s="5"/>
    </row>
    <row r="3" customFormat="false" ht="15" hidden="false" customHeight="false" outlineLevel="0" collapsed="false">
      <c r="A3" s="11" t="s">
        <v>195</v>
      </c>
      <c r="B3" s="7" t="n">
        <v>500</v>
      </c>
      <c r="C3" s="7" t="n">
        <v>575</v>
      </c>
      <c r="D3" s="7" t="n">
        <v>650</v>
      </c>
      <c r="E3" s="7" t="n">
        <v>725</v>
      </c>
      <c r="F3" s="7" t="n">
        <v>800</v>
      </c>
    </row>
    <row r="4" customFormat="false" ht="15" hidden="false" customHeight="false" outlineLevel="0" collapsed="false">
      <c r="A4" s="31" t="n">
        <v>7.5</v>
      </c>
      <c r="B4" s="32" t="n">
        <f aca="false">((Assumptions!$B$16*(0.45+0.55*500/650)*$A4)+(Assumptions!$B$18*Assumptions!$B$19)+(Assumptions!$B$20*Assumptions!$B$21)+Assumptions!$B$22-Assumptions!$B$7)/Assumptions!$B$6</f>
        <v>32.997125297383</v>
      </c>
      <c r="C4" s="32" t="n">
        <f aca="false">((Assumptions!$B$16*(0.45+0.55*575/650)*$A4)+(Assumptions!$B$18*Assumptions!$B$19)+(Assumptions!$B$20*Assumptions!$B$21)+Assumptions!$B$22-Assumptions!$B$7)/Assumptions!$B$6</f>
        <v>34.3465007930214</v>
      </c>
      <c r="D4" s="32" t="n">
        <f aca="false">((Assumptions!$B$16*(0.45+0.55*650/650)*$A4)+(Assumptions!$B$18*Assumptions!$B$19)+(Assumptions!$B$20*Assumptions!$B$21)+Assumptions!$B$22-Assumptions!$B$7)/Assumptions!$B$6</f>
        <v>35.6958762886598</v>
      </c>
      <c r="E4" s="32" t="n">
        <f aca="false">((Assumptions!$B$16*(0.45+0.55*725/650)*$A4)+(Assumptions!$B$18*Assumptions!$B$19)+(Assumptions!$B$20*Assumptions!$B$21)+Assumptions!$B$22-Assumptions!$B$7)/Assumptions!$B$6</f>
        <v>37.0452517842982</v>
      </c>
      <c r="F4" s="32" t="n">
        <f aca="false">((Assumptions!$B$16*(0.45+0.55*800/650)*$A4)+(Assumptions!$B$18*Assumptions!$B$19)+(Assumptions!$B$20*Assumptions!$B$21)+Assumptions!$B$22-Assumptions!$B$7)/Assumptions!$B$6</f>
        <v>38.3946272799366</v>
      </c>
    </row>
    <row r="5" customFormat="false" ht="15" hidden="false" customHeight="false" outlineLevel="0" collapsed="false">
      <c r="A5" s="31" t="n">
        <v>8.5</v>
      </c>
      <c r="B5" s="32" t="n">
        <f aca="false">((Assumptions!$B$16*(0.45+0.55*500/650)*$A5)+(Assumptions!$B$18*Assumptions!$B$19)+(Assumptions!$B$20*Assumptions!$B$21)+Assumptions!$B$22-Assumptions!$B$7)/Assumptions!$B$6</f>
        <v>35.4723433782712</v>
      </c>
      <c r="C5" s="32" t="n">
        <f aca="false">((Assumptions!$B$16*(0.45+0.55*575/650)*$A5)+(Assumptions!$B$18*Assumptions!$B$19)+(Assumptions!$B$20*Assumptions!$B$21)+Assumptions!$B$22-Assumptions!$B$7)/Assumptions!$B$6</f>
        <v>37.0016356066614</v>
      </c>
      <c r="D5" s="32" t="n">
        <f aca="false">((Assumptions!$B$16*(0.45+0.55*650/650)*$A5)+(Assumptions!$B$18*Assumptions!$B$19)+(Assumptions!$B$20*Assumptions!$B$21)+Assumptions!$B$22-Assumptions!$B$7)/Assumptions!$B$6</f>
        <v>38.5309278350516</v>
      </c>
      <c r="E5" s="32" t="n">
        <f aca="false">((Assumptions!$B$16*(0.45+0.55*725/650)*$A5)+(Assumptions!$B$18*Assumptions!$B$19)+(Assumptions!$B$20*Assumptions!$B$21)+Assumptions!$B$22-Assumptions!$B$7)/Assumptions!$B$6</f>
        <v>40.0602200634417</v>
      </c>
      <c r="F5" s="32" t="n">
        <f aca="false">((Assumptions!$B$16*(0.45+0.55*800/650)*$A5)+(Assumptions!$B$18*Assumptions!$B$19)+(Assumptions!$B$20*Assumptions!$B$21)+Assumptions!$B$22-Assumptions!$B$7)/Assumptions!$B$6</f>
        <v>41.5895122918319</v>
      </c>
    </row>
    <row r="6" customFormat="false" ht="15" hidden="false" customHeight="false" outlineLevel="0" collapsed="false">
      <c r="A6" s="31" t="n">
        <v>9.5</v>
      </c>
      <c r="B6" s="32" t="n">
        <f aca="false">((Assumptions!$B$16*(0.45+0.55*500/650)*$A6)+(Assumptions!$B$18*Assumptions!$B$19)+(Assumptions!$B$20*Assumptions!$B$21)+Assumptions!$B$22-Assumptions!$B$7)/Assumptions!$B$6</f>
        <v>37.9475614591594</v>
      </c>
      <c r="C6" s="32" t="n">
        <f aca="false">((Assumptions!$B$16*(0.45+0.55*575/650)*$A6)+(Assumptions!$B$18*Assumptions!$B$19)+(Assumptions!$B$20*Assumptions!$B$21)+Assumptions!$B$22-Assumptions!$B$7)/Assumptions!$B$6</f>
        <v>39.6567704203013</v>
      </c>
      <c r="D6" s="32" t="n">
        <f aca="false">((Assumptions!$B$16*(0.45+0.55*650/650)*$A6)+(Assumptions!$B$18*Assumptions!$B$19)+(Assumptions!$B$20*Assumptions!$B$21)+Assumptions!$B$22-Assumptions!$B$7)/Assumptions!$B$6</f>
        <v>41.3659793814433</v>
      </c>
      <c r="E6" s="32" t="n">
        <f aca="false">((Assumptions!$B$16*(0.45+0.55*725/650)*$A6)+(Assumptions!$B$18*Assumptions!$B$19)+(Assumptions!$B$20*Assumptions!$B$21)+Assumptions!$B$22-Assumptions!$B$7)/Assumptions!$B$6</f>
        <v>43.0751883425853</v>
      </c>
      <c r="F6" s="32" t="n">
        <f aca="false">((Assumptions!$B$16*(0.45+0.55*800/650)*$A6)+(Assumptions!$B$18*Assumptions!$B$19)+(Assumptions!$B$20*Assumptions!$B$21)+Assumptions!$B$22-Assumptions!$B$7)/Assumptions!$B$6</f>
        <v>44.7843973037272</v>
      </c>
    </row>
    <row r="7" customFormat="false" ht="15" hidden="false" customHeight="false" outlineLevel="0" collapsed="false">
      <c r="A7" s="31" t="n">
        <v>10.5</v>
      </c>
      <c r="B7" s="32" t="n">
        <f aca="false">((Assumptions!$B$16*(0.45+0.55*500/650)*$A7)+(Assumptions!$B$18*Assumptions!$B$19)+(Assumptions!$B$20*Assumptions!$B$21)+Assumptions!$B$22-Assumptions!$B$7)/Assumptions!$B$6</f>
        <v>40.4227795400476</v>
      </c>
      <c r="C7" s="32" t="n">
        <f aca="false">((Assumptions!$B$16*(0.45+0.55*575/650)*$A7)+(Assumptions!$B$18*Assumptions!$B$19)+(Assumptions!$B$20*Assumptions!$B$21)+Assumptions!$B$22-Assumptions!$B$7)/Assumptions!$B$6</f>
        <v>42.3119052339413</v>
      </c>
      <c r="D7" s="32" t="n">
        <f aca="false">((Assumptions!$B$16*(0.45+0.55*650/650)*$A7)+(Assumptions!$B$18*Assumptions!$B$19)+(Assumptions!$B$20*Assumptions!$B$21)+Assumptions!$B$22-Assumptions!$B$7)/Assumptions!$B$6</f>
        <v>44.2010309278351</v>
      </c>
      <c r="E7" s="32" t="n">
        <f aca="false">((Assumptions!$B$16*(0.45+0.55*725/650)*$A7)+(Assumptions!$B$18*Assumptions!$B$19)+(Assumptions!$B$20*Assumptions!$B$21)+Assumptions!$B$22-Assumptions!$B$7)/Assumptions!$B$6</f>
        <v>46.0901566217288</v>
      </c>
      <c r="F7" s="32" t="n">
        <f aca="false">((Assumptions!$B$16*(0.45+0.55*800/650)*$A7)+(Assumptions!$B$18*Assumptions!$B$19)+(Assumptions!$B$20*Assumptions!$B$21)+Assumptions!$B$22-Assumptions!$B$7)/Assumptions!$B$6</f>
        <v>47.9792823156225</v>
      </c>
    </row>
    <row r="8" customFormat="false" ht="15" hidden="false" customHeight="false" outlineLevel="0" collapsed="false">
      <c r="A8" s="31" t="n">
        <v>11.5</v>
      </c>
      <c r="B8" s="32" t="n">
        <f aca="false">((Assumptions!$B$16*(0.45+0.55*500/650)*$A8)+(Assumptions!$B$18*Assumptions!$B$19)+(Assumptions!$B$20*Assumptions!$B$21)+Assumptions!$B$22-Assumptions!$B$7)/Assumptions!$B$6</f>
        <v>42.8979976209358</v>
      </c>
      <c r="C8" s="32" t="n">
        <f aca="false">((Assumptions!$B$16*(0.45+0.55*575/650)*$A8)+(Assumptions!$B$18*Assumptions!$B$19)+(Assumptions!$B$20*Assumptions!$B$21)+Assumptions!$B$22-Assumptions!$B$7)/Assumptions!$B$6</f>
        <v>44.9670400475813</v>
      </c>
      <c r="D8" s="32" t="n">
        <f aca="false">((Assumptions!$B$16*(0.45+0.55*650/650)*$A8)+(Assumptions!$B$18*Assumptions!$B$19)+(Assumptions!$B$20*Assumptions!$B$21)+Assumptions!$B$22-Assumptions!$B$7)/Assumptions!$B$6</f>
        <v>47.0360824742268</v>
      </c>
      <c r="E8" s="32" t="n">
        <f aca="false">((Assumptions!$B$16*(0.45+0.55*725/650)*$A8)+(Assumptions!$B$18*Assumptions!$B$19)+(Assumptions!$B$20*Assumptions!$B$21)+Assumptions!$B$22-Assumptions!$B$7)/Assumptions!$B$6</f>
        <v>49.1051249008723</v>
      </c>
      <c r="F8" s="32" t="n">
        <f aca="false">((Assumptions!$B$16*(0.45+0.55*800/650)*$A8)+(Assumptions!$B$18*Assumptions!$B$19)+(Assumptions!$B$20*Assumptions!$B$21)+Assumptions!$B$22-Assumptions!$B$7)/Assumptions!$B$6</f>
        <v>51.1741673275178</v>
      </c>
    </row>
    <row r="10" customFormat="false" ht="15" hidden="false" customHeight="false" outlineLevel="0" collapsed="false">
      <c r="A10" s="2" t="s">
        <v>196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4" t="s">
        <v>197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198</v>
      </c>
      <c r="B2" s="5"/>
      <c r="C2" s="5"/>
      <c r="D2" s="5"/>
      <c r="E2" s="5"/>
      <c r="F2" s="5"/>
      <c r="G2" s="5"/>
      <c r="H2" s="5"/>
      <c r="I2" s="5"/>
    </row>
    <row r="3" customFormat="false" ht="15" hidden="false" customHeight="false" outlineLevel="0" collapsed="false">
      <c r="A3" s="6" t="s">
        <v>199</v>
      </c>
      <c r="B3" s="7" t="s">
        <v>140</v>
      </c>
      <c r="C3" s="7" t="s">
        <v>141</v>
      </c>
      <c r="D3" s="7" t="s">
        <v>142</v>
      </c>
      <c r="E3" s="7" t="s">
        <v>118</v>
      </c>
      <c r="F3" s="7" t="s">
        <v>119</v>
      </c>
      <c r="G3" s="7" t="s">
        <v>120</v>
      </c>
      <c r="H3" s="7" t="s">
        <v>121</v>
      </c>
      <c r="I3" s="7" t="s">
        <v>122</v>
      </c>
    </row>
    <row r="4" customFormat="false" ht="15" hidden="false" customHeight="false" outlineLevel="0" collapsed="false">
      <c r="A4" s="3" t="s">
        <v>200</v>
      </c>
      <c r="B4" s="21" t="n">
        <f aca="false">'Income Statement'!B13/Assumptions!$B$6</f>
        <v>0.407216494845361</v>
      </c>
      <c r="C4" s="21" t="n">
        <f aca="false">'Income Statement'!C13/Assumptions!$B$6</f>
        <v>0.739690721649485</v>
      </c>
      <c r="D4" s="21" t="n">
        <f aca="false">'Income Statement'!D13/Assumptions!$B$6</f>
        <v>1.89432989690722</v>
      </c>
      <c r="E4" s="21" t="n">
        <f aca="false">'Income Statement'!E13/Assumptions!$B$6</f>
        <v>2.21423693298969</v>
      </c>
      <c r="F4" s="21" t="n">
        <f aca="false">'Income Statement'!F13/Assumptions!$B$6</f>
        <v>2.59590305876289</v>
      </c>
      <c r="G4" s="21" t="n">
        <f aca="false">'Income Statement'!G13/Assumptions!$B$6</f>
        <v>2.90381567238433</v>
      </c>
      <c r="H4" s="21" t="n">
        <f aca="false">'Income Statement'!H13/Assumptions!$B$6</f>
        <v>3.22045195676518</v>
      </c>
      <c r="I4" s="21" t="n">
        <f aca="false">'Income Statement'!I13/Assumptions!$B$6</f>
        <v>3.51928628095833</v>
      </c>
    </row>
    <row r="5" customFormat="false" ht="15" hidden="false" customHeight="false" outlineLevel="0" collapsed="false">
      <c r="A5" s="3" t="s">
        <v>201</v>
      </c>
      <c r="B5" s="21" t="n">
        <f aca="false">'Balance Sheet'!B11/Assumptions!$B$6</f>
        <v>12.3711340206186</v>
      </c>
      <c r="C5" s="21" t="n">
        <f aca="false">'Balance Sheet'!C11/Assumptions!$B$6</f>
        <v>13.3737113402062</v>
      </c>
      <c r="D5" s="21" t="n">
        <f aca="false">'Balance Sheet'!D11/Assumptions!$B$6</f>
        <v>15.8737113402062</v>
      </c>
      <c r="E5" s="21" t="n">
        <f aca="false">'Balance Sheet'!E11/Assumptions!$B$6</f>
        <v>18.0879482731959</v>
      </c>
      <c r="F5" s="21" t="n">
        <f aca="false">'Balance Sheet'!F11/Assumptions!$B$6</f>
        <v>20.6838513319588</v>
      </c>
      <c r="G5" s="21" t="n">
        <f aca="false">'Balance Sheet'!G11/Assumptions!$B$6</f>
        <v>23.5876670043431</v>
      </c>
      <c r="H5" s="21" t="n">
        <f aca="false">'Balance Sheet'!H11/Assumptions!$B$6</f>
        <v>26.8081189611083</v>
      </c>
      <c r="I5" s="21" t="n">
        <f aca="false">'Balance Sheet'!I11/Assumptions!$B$6</f>
        <v>30.3274052420666</v>
      </c>
    </row>
    <row r="6" customFormat="false" ht="15" hidden="false" customHeight="false" outlineLevel="0" collapsed="false">
      <c r="A6" s="3" t="s">
        <v>101</v>
      </c>
      <c r="B6" s="16" t="n">
        <f aca="false">'Income Statement'!B5/'Income Statement'!B4</f>
        <v>0.340501792114695</v>
      </c>
      <c r="C6" s="16" t="n">
        <f aca="false">'Income Statement'!C5/'Income Statement'!C4</f>
        <v>0.377880184331797</v>
      </c>
      <c r="D6" s="16" t="n">
        <f aca="false">'Income Statement'!D5/'Income Statement'!D4</f>
        <v>0.417314670813893</v>
      </c>
      <c r="E6" s="16" t="n">
        <f aca="false">'Income Statement'!E5/'Income Statement'!E4</f>
        <v>0.405</v>
      </c>
      <c r="F6" s="16" t="n">
        <f aca="false">'Income Statement'!F5/'Income Statement'!F4</f>
        <v>0.415</v>
      </c>
      <c r="G6" s="16" t="n">
        <f aca="false">'Income Statement'!G5/'Income Statement'!G4</f>
        <v>0.42</v>
      </c>
      <c r="H6" s="16" t="n">
        <f aca="false">'Income Statement'!H5/'Income Statement'!H4</f>
        <v>0.425</v>
      </c>
      <c r="I6" s="16" t="n">
        <f aca="false">'Income Statement'!I5/'Income Statement'!I4</f>
        <v>0.428</v>
      </c>
    </row>
    <row r="7" customFormat="false" ht="15" hidden="false" customHeight="false" outlineLevel="0" collapsed="false">
      <c r="A7" s="3" t="s">
        <v>152</v>
      </c>
      <c r="B7" s="16" t="n">
        <f aca="false">'Income Statement'!B13/'Income Statement'!B4</f>
        <v>0.0566308243727599</v>
      </c>
      <c r="C7" s="16" t="n">
        <f aca="false">'Income Statement'!C13/'Income Statement'!C4</f>
        <v>0.0881720430107527</v>
      </c>
      <c r="D7" s="16" t="n">
        <f aca="false">'Income Statement'!D13/'Income Statement'!D4</f>
        <v>0.190513219284603</v>
      </c>
      <c r="E7" s="16" t="n">
        <f aca="false">'Income Statement'!E13/'Income Statement'!E4</f>
        <v>0.207150091021978</v>
      </c>
      <c r="F7" s="16" t="n">
        <f aca="false">'Income Statement'!F13/'Income Statement'!F4</f>
        <v>0.221584283746749</v>
      </c>
      <c r="G7" s="16" t="n">
        <f aca="false">'Income Statement'!G13/'Income Statement'!G4</f>
        <v>0.230146208965426</v>
      </c>
      <c r="H7" s="16" t="n">
        <f aca="false">'Income Statement'!H13/'Income Statement'!H4</f>
        <v>0.238320902266958</v>
      </c>
      <c r="I7" s="16" t="n">
        <f aca="false">'Income Statement'!I13/'Income Statement'!I4</f>
        <v>0.244081850286257</v>
      </c>
    </row>
    <row r="8" customFormat="false" ht="15" hidden="false" customHeight="false" outlineLevel="0" collapsed="false">
      <c r="A8" s="3" t="s">
        <v>176</v>
      </c>
      <c r="B8" s="29" t="n">
        <f aca="false">'Balance Sheet'!B12/'Income Statement'!B5</f>
        <v>2.26315789473684</v>
      </c>
      <c r="C8" s="29" t="n">
        <f aca="false">'Balance Sheet'!C12/'Income Statement'!C5</f>
        <v>1.78861788617886</v>
      </c>
      <c r="D8" s="29" t="n">
        <f aca="false">'Balance Sheet'!D12/'Income Statement'!D5</f>
        <v>1.49068322981366</v>
      </c>
      <c r="E8" s="29" t="n">
        <f aca="false">'Balance Sheet'!E12/'Income Statement'!E5</f>
        <v>1.1432241769138</v>
      </c>
      <c r="F8" s="29" t="n">
        <f aca="false">'Balance Sheet'!F12/'Income Statement'!F5</f>
        <v>0.65027558652777</v>
      </c>
      <c r="G8" s="29" t="n">
        <f aca="false">'Balance Sheet'!G12/'Income Statement'!G5</f>
        <v>0.118970801001363</v>
      </c>
      <c r="H8" s="29" t="n">
        <f aca="false">'Balance Sheet'!H12/'Income Statement'!H5</f>
        <v>-0.434836283711598</v>
      </c>
      <c r="I8" s="29" t="n">
        <f aca="false">'Balance Sheet'!I12/'Income Statement'!I5</f>
        <v>-1.00971240542447</v>
      </c>
    </row>
    <row r="9" customFormat="false" ht="15" hidden="false" customHeight="false" outlineLevel="0" collapsed="false">
      <c r="A9" s="3" t="s">
        <v>202</v>
      </c>
      <c r="B9" s="16" t="n">
        <f aca="false">'Income Statement'!B13/'Balance Sheet'!B11</f>
        <v>0.0329166666666667</v>
      </c>
      <c r="C9" s="16" t="n">
        <f aca="false">'Income Statement'!C13/'Balance Sheet'!C11</f>
        <v>0.0553093081518597</v>
      </c>
      <c r="D9" s="16" t="n">
        <f aca="false">'Income Statement'!D13/'Balance Sheet'!D11</f>
        <v>0.119337554797857</v>
      </c>
      <c r="E9" s="16" t="n">
        <f aca="false">'Income Statement'!E13/'Balance Sheet'!E11</f>
        <v>0.122415041194634</v>
      </c>
      <c r="F9" s="16" t="n">
        <f aca="false">'Income Statement'!F13/'Balance Sheet'!F11</f>
        <v>0.125503854050234</v>
      </c>
      <c r="G9" s="16" t="n">
        <f aca="false">'Income Statement'!G13/'Balance Sheet'!G11</f>
        <v>0.123107370976946</v>
      </c>
      <c r="H9" s="16" t="n">
        <f aca="false">'Income Statement'!H13/'Balance Sheet'!H11</f>
        <v>0.120129724932855</v>
      </c>
      <c r="I9" s="16" t="n">
        <f aca="false">'Income Statement'!I13/'Balance Sheet'!I11</f>
        <v>0.116043105332229</v>
      </c>
    </row>
    <row r="10" customFormat="false" ht="15" hidden="false" customHeight="false" outlineLevel="0" collapsed="false">
      <c r="A10" s="3" t="s">
        <v>203</v>
      </c>
      <c r="B10" s="29" t="n">
        <f aca="false">Assumptions!$B$5/('Income Statement'!B13/Assumptions!$B$6)</f>
        <v>144.394936708861</v>
      </c>
      <c r="C10" s="29" t="n">
        <f aca="false">Assumptions!$B$5/('Income Statement'!C13/Assumptions!$B$6)</f>
        <v>79.4926829268293</v>
      </c>
      <c r="D10" s="29" t="n">
        <f aca="false">Assumptions!$B$5/('Income Statement'!D13/Assumptions!$B$6)</f>
        <v>31.04</v>
      </c>
      <c r="E10" s="29" t="n">
        <f aca="false">Assumptions!$B$5/('Income Statement'!E13/Assumptions!$B$6)</f>
        <v>26.5554237326389</v>
      </c>
      <c r="F10" s="29" t="n">
        <f aca="false">Assumptions!$B$5/('Income Statement'!F13/Assumptions!$B$6)</f>
        <v>22.6510769735839</v>
      </c>
      <c r="G10" s="29" t="n">
        <f aca="false">Assumptions!$B$5/('Income Statement'!G13/Assumptions!$B$6)</f>
        <v>20.2492191770971</v>
      </c>
      <c r="H10" s="29" t="n">
        <f aca="false">Assumptions!$B$5/('Income Statement'!H13/Assumptions!$B$6)</f>
        <v>18.258306843075</v>
      </c>
      <c r="I10" s="29" t="n">
        <f aca="false">Assumptions!$B$5/('Income Statement'!I13/Assumptions!$B$6)</f>
        <v>16.7079331733104</v>
      </c>
    </row>
    <row r="11" customFormat="false" ht="15" hidden="false" customHeight="false" outlineLevel="0" collapsed="false">
      <c r="A11" s="3" t="s">
        <v>204</v>
      </c>
      <c r="B11" s="29" t="n">
        <f aca="false">(Assumptions!$B$5*Assumptions!$B$6+'Balance Sheet'!B12)/'Income Statement'!B5</f>
        <v>26.2783157894737</v>
      </c>
      <c r="C11" s="29" t="n">
        <f aca="false">(Assumptions!$B$5*Assumptions!$B$6+'Balance Sheet'!C12)/'Income Statement'!C5</f>
        <v>20.3369105691057</v>
      </c>
      <c r="D11" s="29" t="n">
        <f aca="false">(Assumptions!$B$5*Assumptions!$B$6+'Balance Sheet'!D12)/'Income Statement'!D5</f>
        <v>15.6611180124224</v>
      </c>
      <c r="E11" s="29" t="n">
        <f aca="false">(Assumptions!$B$5*Assumptions!$B$6+'Balance Sheet'!E12)/'Income Statement'!E5</f>
        <v>14.7258376172677</v>
      </c>
      <c r="F11" s="29" t="n">
        <f aca="false">(Assumptions!$B$5*Assumptions!$B$6+'Balance Sheet'!F12)/'Income Statement'!F5</f>
        <v>12.7445470739593</v>
      </c>
      <c r="G11" s="29" t="n">
        <f aca="false">(Assumptions!$B$5*Assumptions!$B$6+'Balance Sheet'!G12)/'Income Statement'!G5</f>
        <v>11.2148780108083</v>
      </c>
      <c r="H11" s="29" t="n">
        <f aca="false">(Assumptions!$B$5*Assumptions!$B$6+'Balance Sheet'!H12)/'Income Statement'!H5</f>
        <v>9.80360174148511</v>
      </c>
      <c r="I11" s="29" t="n">
        <f aca="false">(Assumptions!$B$5*Assumptions!$B$6+'Balance Sheet'!I12)/'Income Statement'!I5</f>
        <v>8.51856620065205</v>
      </c>
    </row>
    <row r="12" customFormat="false" ht="15" hidden="false" customHeight="false" outlineLevel="0" collapsed="false">
      <c r="A12" s="3" t="s">
        <v>205</v>
      </c>
      <c r="B12" s="21" t="n">
        <f aca="false">0</f>
        <v>0</v>
      </c>
      <c r="C12" s="21" t="n">
        <f aca="false">0</f>
        <v>0</v>
      </c>
      <c r="D12" s="21" t="n">
        <f aca="false">0</f>
        <v>0</v>
      </c>
      <c r="E12" s="21" t="n">
        <f aca="false">0</f>
        <v>0</v>
      </c>
      <c r="F12" s="21" t="n">
        <f aca="false">0</f>
        <v>0</v>
      </c>
      <c r="G12" s="21" t="n">
        <f aca="false">0</f>
        <v>0</v>
      </c>
      <c r="H12" s="21" t="n">
        <f aca="false">0</f>
        <v>0</v>
      </c>
      <c r="I12" s="21" t="n">
        <f aca="false">0</f>
        <v>0</v>
      </c>
    </row>
    <row r="13" customFormat="false" ht="15" hidden="false" customHeight="false" outlineLevel="0" collapsed="false">
      <c r="A13" s="2" t="s">
        <v>206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4" t="s">
        <v>207</v>
      </c>
      <c r="B1" s="4"/>
      <c r="C1" s="4"/>
    </row>
    <row r="2" customFormat="false" ht="15" hidden="false" customHeight="false" outlineLevel="0" collapsed="false">
      <c r="A2" s="5" t="s">
        <v>208</v>
      </c>
      <c r="B2" s="5"/>
      <c r="C2" s="5"/>
    </row>
    <row r="3" customFormat="false" ht="15" hidden="false" customHeight="false" outlineLevel="0" collapsed="false">
      <c r="A3" s="6" t="s">
        <v>98</v>
      </c>
      <c r="B3" s="7" t="s">
        <v>209</v>
      </c>
      <c r="C3" s="7" t="s">
        <v>210</v>
      </c>
    </row>
    <row r="4" customFormat="false" ht="15" hidden="false" customHeight="false" outlineLevel="0" collapsed="false">
      <c r="A4" s="3" t="s">
        <v>211</v>
      </c>
      <c r="B4" s="3" t="s">
        <v>212</v>
      </c>
      <c r="C4" s="3" t="s">
        <v>213</v>
      </c>
    </row>
    <row r="5" customFormat="false" ht="15" hidden="false" customHeight="false" outlineLevel="0" collapsed="false">
      <c r="A5" s="3" t="s">
        <v>88</v>
      </c>
      <c r="B5" s="3" t="s">
        <v>214</v>
      </c>
      <c r="C5" s="3" t="s">
        <v>215</v>
      </c>
    </row>
    <row r="6" customFormat="false" ht="15" hidden="false" customHeight="false" outlineLevel="0" collapsed="false">
      <c r="A6" s="3" t="s">
        <v>216</v>
      </c>
      <c r="B6" s="3" t="s">
        <v>217</v>
      </c>
      <c r="C6" s="3" t="s">
        <v>218</v>
      </c>
    </row>
    <row r="7" customFormat="false" ht="15" hidden="false" customHeight="false" outlineLevel="0" collapsed="false">
      <c r="A7" s="3" t="s">
        <v>219</v>
      </c>
      <c r="B7" s="3" t="s">
        <v>220</v>
      </c>
      <c r="C7" s="3" t="s">
        <v>221</v>
      </c>
    </row>
    <row r="9" customFormat="false" ht="15" hidden="false" customHeight="false" outlineLevel="0" collapsed="false">
      <c r="A9" s="2" t="s">
        <v>222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2026-07-05T10:27:09Z</dcterms:created>
  <dc:creator>openpyxl</dc:creator>
  <dc:description/>
  <dc:language>en-US</dc:language>
  <cp:lastModifiedBy/>
  <dcterms:modified xsi:type="dcterms:W3CDTF">2026-07-05T10:27:09Z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