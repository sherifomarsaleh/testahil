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<sst xmlns="http://schemas.openxmlformats.org/spreadsheetml/2006/main" count="312" uniqueCount="232">
  <si>
    <t xml:space="preserve">Testahil · Industries Qatar (QSE: IQCD) — Valuation Model</t>
  </si>
  <si>
    <t xml:space="preserve">What this workbook is</t>
  </si>
  <si>
    <t xml:space="preserve">An educational valuation model for Industries Qatar Q.P.S.C. (QSE: IQCD). It is not investment advice, not a recommendation, and carries no rating or price target.</t>
  </si>
  <si>
    <t xml:space="preserve">Reporting currency</t>
  </si>
  <si>
    <t xml:space="preserve">Qatari riyal (QR), pegged at USD/QR 3.64. Figures in QR billion unless a cell header states otherwise.</t>
  </si>
  <si>
    <t xml:space="preserve">The one input layer</t>
  </si>
  <si>
    <t xml:space="preserve">Every number a reader might change lives on the Assumptions sheet in blue. Every other cell is a black formula or a green cross-sheet link. Change one blue input and the whole model reprices.</t>
  </si>
  <si>
    <t xml:space="preserve">Primary lens</t>
  </si>
  <si>
    <t xml:space="preserve">Holding-company sum-of-the-parts (SOTP): each segment valued on normalized mid-cycle earnings × a justified multiple, plus net cash, less a holdco discount. Cross-checked by a consolidated FCFF DCF, relative multiples, normalized earnings power and a dividend-discount model.</t>
  </si>
  <si>
    <t xml:space="preserve">Two clocks</t>
  </si>
  <si>
    <t xml:space="preserve">(1) risk-adjusted fair value — the ~12-month anchor the five lenses trıangulate; (2) full-execution value — a multi-year ceiling if petrochemical normalization and the Ammonia-7 / Ras Laffan pipeline all land. Only the Monte Carlo percentiles are genuine three-month figures.</t>
  </si>
  <si>
    <t xml:space="preserve">Anchor</t>
  </si>
  <si>
    <t xml:space="preserve">Spot QR 11.07 at close on 05 Jul 2026 · 6.05bn shares · market cap ≈ QR 67.0bn.</t>
  </si>
  <si>
    <t xml:space="preserve">Disclosure</t>
  </si>
  <si>
    <t xml:space="preserve">The preparer may hold, and may in the future take or dispose of, a position in the security discussed in this report. Full disclaimer in the Word study.</t>
  </si>
  <si>
    <t xml:space="preserve">Summary — Industries Qatar (QSE: IQCD)</t>
  </si>
  <si>
    <t xml:space="preserve">Spot (QR)</t>
  </si>
  <si>
    <t xml:space="preserve">Shares (bn)</t>
  </si>
  <si>
    <t xml:space="preserve">Market cap (QRbn)</t>
  </si>
  <si>
    <t xml:space="preserve">Net cash (QRbn)</t>
  </si>
  <si>
    <t xml:space="preserve">SOTP fair value (QR)</t>
  </si>
  <si>
    <t xml:space="preserve">DCF fair value (QR)</t>
  </si>
  <si>
    <t xml:space="preserve">Relative fair value (QR)</t>
  </si>
  <si>
    <t xml:space="preserve">Dividend yield (FY25)</t>
  </si>
  <si>
    <t xml:space="preserve">Projected 3m annualized vol</t>
  </si>
  <si>
    <t xml:space="preserve">Blended central fair value (QR)</t>
  </si>
  <si>
    <t xml:space="preserve">Central vs spot</t>
  </si>
  <si>
    <t xml:space="preserve">Fairly valued: five lenses cluster near spot; the swing is petrochemical normalization plus Ammonia-7 / Ras Laffan delivery.</t>
  </si>
  <si>
    <t xml:space="preserve">Fundamental valuation — five lenses and blended central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</si>
  <si>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</si>
  <si>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</si>
  <si>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</si>
  <si>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</si>
  <si>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</si>
  <si>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Contribution</t>
  </si>
  <si>
    <t xml:space="preserve">Sum-of-the-parts</t>
  </si>
  <si>
    <t xml:space="preserve">Consolidated DCF</t>
  </si>
  <si>
    <t xml:space="preserve">Relative multiples</t>
  </si>
  <si>
    <t xml:space="preserve">Normalized earnings</t>
  </si>
  <si>
    <t xml:space="preserve">Dividend discount</t>
  </si>
  <si>
    <t xml:space="preserve">Blended central (base)</t>
  </si>
  <si>
    <t xml:space="preserve">Football-field, not a blended point: the range is shown; the weighted central is a reference, not a target (device A-8).</t>
  </si>
  <si>
    <t xml:space="preserve">Assumptions — the single blue-cell input layer</t>
  </si>
  <si>
    <t xml:space="preserve">Market &amp; structure</t>
  </si>
  <si>
    <t xml:space="preserve">Spot price</t>
  </si>
  <si>
    <t xml:space="preserve">QR/sh</t>
  </si>
  <si>
    <t xml:space="preserve">QSE close 05-Jul-2026</t>
  </si>
  <si>
    <t xml:space="preserve">Shares outstanding</t>
  </si>
  <si>
    <t xml:space="preserve">bn</t>
  </si>
  <si>
    <t xml:space="preserve">IQ FY2025</t>
  </si>
  <si>
    <t xml:space="preserve">Net cash (debt-free)</t>
  </si>
  <si>
    <t xml:space="preserve">QR bn</t>
  </si>
  <si>
    <t xml:space="preserve">Q1-2026, no LT debt</t>
  </si>
  <si>
    <t xml:space="preserve">Holdco discount (base)</t>
  </si>
  <si>
    <t xml:space="preserve">clean 3-seg, 100% payout</t>
  </si>
  <si>
    <t xml:space="preserve">Segment normalized earnings (QR bn, proportionate)</t>
  </si>
  <si>
    <t xml:space="preserve">Fertilizers (QAFCO 100%) — norm. NI</t>
  </si>
  <si>
    <t xml:space="preserve">mid-cycle urea/ammonia</t>
  </si>
  <si>
    <t xml:space="preserve">Petrochemicals (QAPCO/QAFAC) — norm. NI</t>
  </si>
  <si>
    <t xml:space="preserve">recovery from trough</t>
  </si>
  <si>
    <t xml:space="preserve">Steel (100%) — norm. NI</t>
  </si>
  <si>
    <t xml:space="preserve">ex one-off reversal</t>
  </si>
  <si>
    <t xml:space="preserve">Segment justified P/E (×)</t>
  </si>
  <si>
    <t xml:space="preserve">Fertilizers P/E</t>
  </si>
  <si>
    <t xml:space="preserve">x</t>
  </si>
  <si>
    <t xml:space="preserve">Petrochemicals P/E</t>
  </si>
  <si>
    <t xml:space="preserve">Steel P/E</t>
  </si>
  <si>
    <t xml:space="preserve">Cost of equity &amp; DCF</t>
  </si>
  <si>
    <t xml:space="preserve">Risk-free rate (QAR, pegged)</t>
  </si>
  <si>
    <t xml:space="preserve">Qatar 10y</t>
  </si>
  <si>
    <t xml:space="preserve">Equity risk premium</t>
  </si>
  <si>
    <t xml:space="preserve">Beta</t>
  </si>
  <si>
    <t xml:space="preserve">defensive quasi-sovereign</t>
  </si>
  <si>
    <t xml:space="preserve">Cost of equity Ke = rf + β×ERP</t>
  </si>
  <si>
    <t xml:space="preserve">WACC (≈ Ke, net cash / unlevered)</t>
  </si>
  <si>
    <t xml:space="preserve">Terminal growth g</t>
  </si>
  <si>
    <t xml:space="preserve">mature + pipeline</t>
  </si>
  <si>
    <t xml:space="preserve">Effective tax rate</t>
  </si>
  <si>
    <t xml:space="preserve">low Qatari tax</t>
  </si>
  <si>
    <t xml:space="preserve">Interest income on cash</t>
  </si>
  <si>
    <t xml:space="preserve">on net cash</t>
  </si>
  <si>
    <t xml:space="preserve">DCF drivers — proportionate (QR bn), FY26E–FY30E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</si>
  <si>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</si>
  <si>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</si>
  <si>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</si>
  <si>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</si>
  <si>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</si>
  <si>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EBITDA</t>
  </si>
  <si>
    <t xml:space="preserve">Depreciation &amp; amortization</t>
  </si>
  <si>
    <t xml:space="preserve">Capital expenditure</t>
  </si>
  <si>
    <t xml:space="preserve">Change in working capital</t>
  </si>
  <si>
    <t xml:space="preserve">Relative &amp; DDM</t>
  </si>
  <si>
    <t xml:space="preserve">Normalized group NI (relative lens)</t>
  </si>
  <si>
    <t xml:space="preserve">Justified P/E (vs 16.3x history)</t>
  </si>
  <si>
    <t xml:space="preserve">Next-12m DPS (DDM)</t>
  </si>
  <si>
    <t xml:space="preserve">100% payout</t>
  </si>
  <si>
    <t xml:space="preserve">DDM stage-1 growth (5y)</t>
  </si>
  <si>
    <t xml:space="preserve">Ammonia-7/Ras Laffan</t>
  </si>
  <si>
    <t xml:space="preserve">DDM terminal growth</t>
  </si>
  <si>
    <t xml:space="preserve">Blue = input · black = formula · green (other sheets) = link to Assumptions</t>
  </si>
  <si>
    <t xml:space="preserve">Sum-of-the-parts (primary lens) — base case</t>
  </si>
  <si>
    <t xml:space="preserve">Segment</t>
  </si>
  <si>
    <t xml:space="preserve">Norm. NI (QRbn)</t>
  </si>
  <si>
    <t xml:space="preserve">P/E (x)</t>
  </si>
  <si>
    <t xml:space="preserve">EV (QRbn)</t>
  </si>
  <si>
    <t xml:space="preserve">% of segment EV</t>
  </si>
  <si>
    <t xml:space="preserve">Fertilizers (QAFCO 100%)</t>
  </si>
  <si>
    <t xml:space="preserve">Petrochemicals (QAPCO/QAFAC)</t>
  </si>
  <si>
    <t xml:space="preserve">Steel (100%)</t>
  </si>
  <si>
    <t xml:space="preserve">Segment EV (sum)</t>
  </si>
  <si>
    <t xml:space="preserve">Add: net cash</t>
  </si>
  <si>
    <t xml:space="preserve">Gross asset value</t>
  </si>
  <si>
    <t xml:space="preserve">Less: holdco discount</t>
  </si>
  <si>
    <t xml:space="preserve">Equity value</t>
  </si>
  <si>
    <t xml:space="preserve">Fair value per share (QR)</t>
  </si>
  <si>
    <t xml:space="preserve">Segment marks are normalized mid-cycle earnings; petrochemicals is the swing leg (FY2025 trough QR0.7bn, Q1-2026 ≈ QR4mn).</t>
  </si>
  <si>
    <t xml:space="preserve">Segment detail — FY2025 actual and normalization</t>
  </si>
  <si>
    <t xml:space="preserve">FY25 NI</t>
  </si>
  <si>
    <t xml:space="preserve">FY25 EBITDA mgn</t>
  </si>
  <si>
    <t xml:space="preserve">Q1-26 NI</t>
  </si>
  <si>
    <t xml:space="preserve">Norm. NI</t>
  </si>
  <si>
    <t xml:space="preserve">Basis</t>
  </si>
  <si>
    <t xml:space="preserve">World-scale, low-cost gas; +Ammonia-7 Q2-26</t>
  </si>
  <si>
    <t xml:space="preserve">Petrochemicals (QAPCO 80% / QAFAC 50%)</t>
  </si>
  <si>
    <t xml:space="preserve">Trough; China oversupply; Ras Laffan ramp</t>
  </si>
  <si>
    <t xml:space="preserve">Restarted DRI; ex QR0.222bn reversal</t>
  </si>
  <si>
    <t xml:space="preserve">Group</t>
  </si>
  <si>
    <t xml:space="preserve">Source: IQ FY2025 annual report; Q1-2026 press release (30-Apr-2026). Segment revenue/EBITDA on IQ's proportionate basis.</t>
  </si>
  <si>
    <t xml:space="preserve">Relative multiples &amp; normalized earnings power</t>
  </si>
  <si>
    <t xml:space="preserve">Normalized group net income (QRbn)</t>
  </si>
  <si>
    <t xml:space="preserve">Justified P/E (vs 16.3x 10y median) (x)</t>
  </si>
  <si>
    <t xml:space="preserve">Implied equity value (QRbn)</t>
  </si>
  <si>
    <t xml:space="preserve">Normalized earnings power</t>
  </si>
  <si>
    <t xml:space="preserve">Fertilizers norm. NI</t>
  </si>
  <si>
    <t xml:space="preserve">Petrochemicals norm. NI</t>
  </si>
  <si>
    <t xml:space="preserve">Steel norm. NI</t>
  </si>
  <si>
    <t xml:space="preserve">Mid-cycle group NI (QRbn)</t>
  </si>
  <si>
    <t xml:space="preserve">Justified P/E (x)</t>
  </si>
  <si>
    <t xml:space="preserve">Consolidated DCF — proportionate FCFF, five-year explicit forecast</t>
  </si>
  <si>
    <t xml:space="preserve">Less: D&amp;A</t>
  </si>
  <si>
    <t xml:space="preserve">EBIT</t>
  </si>
  <si>
    <t xml:space="preserve">Less: tax on EBIT</t>
  </si>
  <si>
    <t xml:space="preserve">NOPAT (EBIT×(1−t))</t>
  </si>
  <si>
    <t xml:space="preserve">Add back: D&amp;A</t>
  </si>
  <si>
    <t xml:space="preserve">Less: capex</t>
  </si>
  <si>
    <t xml:space="preserve">Less: Δ working capital</t>
  </si>
  <si>
    <t xml:space="preserve">Free cash flow to firm</t>
  </si>
  <si>
    <t xml:space="preserve">Discount factor</t>
  </si>
  <si>
    <t xml:space="preserve">PV of FCFF</t>
  </si>
  <si>
    <t xml:space="preserve">Sum of PV (explicit)</t>
  </si>
  <si>
    <t xml:space="preserve">Terminal value (Gordon)</t>
  </si>
  <si>
    <t xml:space="preserve">PV of terminal value</t>
  </si>
  <si>
    <t xml:space="preserve">Enterprise value</t>
  </si>
  <si>
    <t xml:space="preserve">TV as % of EV</t>
  </si>
  <si>
    <t xml:space="preserve">WACC = Ke = rf + β×ERP (Assumptions). TV disclosed as % of EV (device A-7) and sensitized on the Sensitivity sheet. FCFF terminal ≈ net income (maintenance capex ≈ D&amp;A).</t>
  </si>
  <si>
    <t xml:space="preserve">Appendix A.1 — Income statement (proportionate basis)</t>
  </si>
  <si>
    <t xml:space="preserve">FY23</t>
  </si>
  <si>
    <t xml:space="preserve">FY24</t>
  </si>
  <si>
    <t xml:space="preserve">FY25</t>
  </si>
  <si>
    <t xml:space="preserve">Revenue</t>
  </si>
  <si>
    <t xml:space="preserve">EBITDA margin</t>
  </si>
  <si>
    <t xml:space="preserve">Net interest income</t>
  </si>
  <si>
    <t xml:space="preserve">Pre-tax profit</t>
  </si>
  <si>
    <t xml:space="preserve">Tax</t>
  </si>
  <si>
    <t xml:space="preserve">Net profit</t>
  </si>
  <si>
    <t xml:space="preserve">EPS (QR)</t>
  </si>
  <si>
    <t xml:space="preserve">DPS (QR, 100% payout)</t>
  </si>
  <si>
    <t xml:space="preserve">Historicals: IQ FY2023–FY2025 reported (proportionate). Forecast net profit computed from EBITDA→EBIT→pre-tax→tax; historicals shown as reported.</t>
  </si>
  <si>
    <t xml:space="preserve">Appendix A.2 — Balance sheet (summary, IFRS)</t>
  </si>
  <si>
    <t xml:space="preserve">Cash &amp; bank balances</t>
  </si>
  <si>
    <t xml:space="preserve">Other current assets</t>
  </si>
  <si>
    <t xml:space="preserve">PP&amp;E and projects</t>
  </si>
  <si>
    <t xml:space="preserve">Investments &amp; other</t>
  </si>
  <si>
    <t xml:space="preserve">Total assets</t>
  </si>
  <si>
    <t xml:space="preserve">Total liabilities (no LT debt)</t>
  </si>
  <si>
    <t xml:space="preserve">Total equity</t>
  </si>
  <si>
    <t xml:space="preserve">Source: IQ FY2025 annual report &amp; Q1-2026 release. Debt-free; net cash ≈ QR8.5bn. Forecast balances held broadly flat (100% payout).</t>
  </si>
  <si>
    <t xml:space="preserve">Appendix A.3 — Cash flow (summary)</t>
  </si>
  <si>
    <t xml:space="preserve">Operating cash flow</t>
  </si>
  <si>
    <t xml:space="preserve">Free cash flow</t>
  </si>
  <si>
    <t xml:space="preserve">Dividends paid</t>
  </si>
  <si>
    <t xml:space="preserve">100% dividend payout; capex elevated in FY23–26 (Ammonia-7) then normalizing toward maintenance ≈ D&amp;A.</t>
  </si>
  <si>
    <t xml:space="preserve">Summary financials (every cell links to the statement sheets)</t>
  </si>
  <si>
    <t xml:space="preserve">Monte Carlo — YZ-HAR engine, Student-t(5), 50,000 paths, seed 42</t>
  </si>
  <si>
    <t xml:space="preserve">Engine diagnostics</t>
  </si>
  <si>
    <t xml:space="preserve">Projected annualized vol</t>
  </si>
  <si>
    <t xml:space="preserve">Variance ratio (60d)</t>
  </si>
  <si>
    <t xml:space="preserve">HAR persistence (β1+β5+β22)</t>
  </si>
  <si>
    <t xml:space="preserve">Net factor drift (3m)</t>
  </si>
  <si>
    <t xml:space="preserve">Secular own-history drift</t>
  </si>
  <si>
    <t xml:space="preserve">OFF (non-EGX)</t>
  </si>
  <si>
    <t xml:space="preserve">Percentile table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</si>
  <si>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</si>
  <si>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</si>
  <si>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</si>
  <si>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</si>
  <si>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</si>
  <si>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</si>
  <si>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</si>
  <si>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</si>
  <si>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Touch-probability ladder (T+60)</t>
  </si>
  <si>
    <t xml:space="preserve">Level (QR)</t>
  </si>
  <si>
    <t xml:space="preserve">P(touch by T+60)</t>
  </si>
  <si>
    <t xml:space="preserve">Width from the YZ-HAR variance cascade; shape unit-variance t(5); drift OFF plus small net factor tilt. Value gap kept out of the drift.</t>
  </si>
  <si>
    <t xml:space="preserve">Sensitivity — DCF fair value on WACC × terminal-g</t>
  </si>
  <si>
    <t xml:space="preserve">WACC \ g</t>
  </si>
  <si>
    <t xml:space="preserve">Grid reprices the DCF FCFF path (DCF sheet) at each WACC × g. Base case shaded on the DCF sheet; TV% of EV disclosed there.</t>
  </si>
  <si>
    <t xml:space="preserve">Per-share &amp; ratio dashboard</t>
  </si>
  <si>
    <t xml:space="preserve">Metric</t>
  </si>
  <si>
    <t xml:space="preserve">DPS (QR)</t>
  </si>
  <si>
    <t xml:space="preserve">Dividend yield</t>
  </si>
  <si>
    <t xml:space="preserve">Net profit (QRbn)</t>
  </si>
  <si>
    <t xml:space="preserve">Payout ratio</t>
  </si>
  <si>
    <t xml:space="preserve">Identical panel across every Testahil study (device A-5). Spot-based multiples use the anchor price.</t>
  </si>
  <si>
    <t xml:space="preserve">Peer set &amp; sector structure</t>
  </si>
  <si>
    <t xml:space="preserve">Peer</t>
  </si>
  <si>
    <t xml:space="preserve">EV/EBITDA</t>
  </si>
  <si>
    <t xml:space="preserve">Div yield</t>
  </si>
  <si>
    <t xml:space="preserve">Note</t>
  </si>
  <si>
    <t xml:space="preserve">SABIC (Saudi)</t>
  </si>
  <si>
    <t xml:space="preserve">Global chemicals bellwether</t>
  </si>
  <si>
    <t xml:space="preserve">Sipchem / Advanced (Saudi)</t>
  </si>
  <si>
    <t xml:space="preserve">GCC petrochemicals</t>
  </si>
  <si>
    <t xml:space="preserve">CF Industries (US)</t>
  </si>
  <si>
    <t xml:space="preserve">Pure-play nitrogen</t>
  </si>
  <si>
    <t xml:space="preserve">Nutrien / Yara</t>
  </si>
  <si>
    <t xml:space="preserve">Global fertilizer majors</t>
  </si>
  <si>
    <t xml:space="preserve">QSE large-cap median</t>
  </si>
  <si>
    <t xml:space="preserve">Local quasi-sovereign premium</t>
  </si>
  <si>
    <t xml:space="preserve">Industries Qatar (IQCD)</t>
  </si>
  <si>
    <t xml:space="preserve">Spot; ~16.3x 10y median</t>
  </si>
  <si>
    <t xml:space="preserve">Peer multiples indicative (regional/aggregator sources). On global sector peers the parts screen fairly-to-fully valued; the QSE quasi-sovereign premium supports the group multiple.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</si>
</sst>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#,##0.0"/>
    <numFmt numFmtId="167" formatCode="0.0%"/>
    <numFmt numFmtId="168" formatCode="0.0"/>
    <numFmt numFmtId="169" formatCode="0.00"/>
    <numFmt numFmtId="170" formatCode="#,##0.000"/>
    <numFmt numFmtId="171" formatCode="0.000"/>
    <numFmt numFmtId="172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5E5E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B5E5E"/>
      <name val="Arial"/>
      <family val="0"/>
      <charset val="1"/>
    </font>
    <font>
      <i val="true"/>
      <sz val="8"/>
      <color rgb="FF6B6B6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F3ECDD"/>
        <bgColor rgb="FFE4EEEE"/>
      </patternFill>
    </fill>
    <fill>
      <patternFill patternType="solid">
        <fgColor rgb="FFE4EEEE"/>
        <bgColor rgb="FFF3EC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3ECDD"/>
      <rgbColor rgb="FFE4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6" min="3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3" t="s"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6" min="4" style="0" width="4"/>
  </cols>
  <sheetData>
    <row r="1" customFormat="false" ht="24" hidden="false" customHeight="true" outlineLevel="0" collapsed="false">
      <c r="A1" s="1" t="s">
        <v>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16</v>
      </c>
      <c r="B3" s="5" t="n">
        <f aca="false">Assumptions!B4</f>
        <v>11.07</v>
      </c>
    </row>
    <row r="4" customFormat="false" ht="15" hidden="false" customHeight="false" outlineLevel="0" collapsed="false">
      <c r="A4" s="4" t="s">
        <v>17</v>
      </c>
      <c r="B4" s="5" t="n">
        <f aca="false">Assumptions!B5</f>
        <v>6.05</v>
      </c>
    </row>
    <row r="5" customFormat="false" ht="15" hidden="false" customHeight="false" outlineLevel="0" collapsed="false">
      <c r="A5" s="4" t="s">
        <v>18</v>
      </c>
      <c r="B5" s="6" t="n">
        <f aca="false">Assumptions!B4*Assumptions!B5</f>
        <v>66.9735</v>
      </c>
    </row>
    <row r="6" customFormat="false" ht="15" hidden="false" customHeight="false" outlineLevel="0" collapsed="false">
      <c r="A6" s="4" t="s">
        <v>19</v>
      </c>
      <c r="B6" s="6" t="n">
        <f aca="false">Assumptions!B6</f>
        <v>8.5</v>
      </c>
    </row>
    <row r="7" customFormat="false" ht="15" hidden="false" customHeight="false" outlineLevel="0" collapsed="false">
      <c r="A7" s="4" t="s">
        <v>20</v>
      </c>
      <c r="B7" s="5" t="n">
        <f aca="false">SOTP!D11/Assumptions!B5</f>
        <v>10.377520661157</v>
      </c>
    </row>
    <row r="8" customFormat="false" ht="15" hidden="false" customHeight="false" outlineLevel="0" collapsed="false">
      <c r="A8" s="4" t="s">
        <v>21</v>
      </c>
      <c r="B8" s="5" t="n">
        <f aca="false">DCF!B23</f>
        <v>11.3938847100214</v>
      </c>
    </row>
    <row r="9" customFormat="false" ht="15" hidden="false" customHeight="false" outlineLevel="0" collapsed="false">
      <c r="A9" s="4" t="s">
        <v>22</v>
      </c>
      <c r="B9" s="5" t="n">
        <f aca="false">Assumptions!B36*Assumptions!B37/Assumptions!B5</f>
        <v>11.0165289256198</v>
      </c>
    </row>
    <row r="10" customFormat="false" ht="15" hidden="false" customHeight="false" outlineLevel="0" collapsed="false">
      <c r="A10" s="4" t="s">
        <v>23</v>
      </c>
      <c r="B10" s="7" t="n">
        <f aca="false">'Income Statement'!D13/Assumptions!B4</f>
        <v>0.0642044987942992</v>
      </c>
    </row>
    <row r="11" customFormat="false" ht="15" hidden="false" customHeight="false" outlineLevel="0" collapsed="false">
      <c r="A11" s="4" t="s">
        <v>24</v>
      </c>
      <c r="B11" s="7" t="n">
        <f aca="false">'Monte Carlo'!B5</f>
        <v>0.217774979385484</v>
      </c>
    </row>
    <row r="12" customFormat="false" ht="15" hidden="false" customHeight="false" outlineLevel="0" collapsed="false">
      <c r="A12" s="8" t="s">
        <v>25</v>
      </c>
      <c r="B12" s="9" t="n">
        <f aca="false">'Fundamental Valuation'!F9</f>
        <v>10.8763678510952</v>
      </c>
    </row>
    <row r="13" customFormat="false" ht="15" hidden="false" customHeight="false" outlineLevel="0" collapsed="false">
      <c r="A13" s="4" t="s">
        <v>26</v>
      </c>
      <c r="B13" s="7" t="n">
        <f aca="false">'Fundamental Valuation'!F9/Assumptions!B4-1</f>
        <v>-0.017491612367192</v>
      </c>
    </row>
    <row r="15" customFormat="false" ht="15" hidden="false" customHeight="false" outlineLevel="0" collapsed="false">
      <c r="A15" s="10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7" min="7" style="0" width="4"/>
  </cols>
  <sheetData>
    <row r="1" customFormat="false" ht="24" hidden="false" customHeight="true" outlineLevel="0" collapsed="false">
      <c r="A1" s="1" t="s">
        <v>28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/>
    </row>
    <row r="4" customFormat="false" ht="15" hidden="false" customHeight="false" outlineLevel="0" collapsed="false">
      <c r="A4" s="4" t="s">
        <v>35</v>
      </c>
      <c r="B4" s="12" t="n">
        <v>5.87</v>
      </c>
      <c r="C4" s="5" t="n">
        <f aca="false">SOTP!D11/Assumptions!B5</f>
        <v>10.377520661157</v>
      </c>
      <c r="D4" s="12" t="n">
        <v>15.96</v>
      </c>
      <c r="E4" s="13" t="n">
        <v>0.35</v>
      </c>
      <c r="F4" s="14" t="n">
        <f aca="false">C4*E4</f>
        <v>3.63213223140496</v>
      </c>
    </row>
    <row r="5" customFormat="false" ht="15" hidden="false" customHeight="false" outlineLevel="0" collapsed="false">
      <c r="A5" s="4" t="s">
        <v>36</v>
      </c>
      <c r="B5" s="12" t="n">
        <v>7.7</v>
      </c>
      <c r="C5" s="5" t="n">
        <f aca="false">DCF!B23</f>
        <v>11.3938847100214</v>
      </c>
      <c r="D5" s="12" t="n">
        <v>14.86</v>
      </c>
      <c r="E5" s="13" t="n">
        <v>0.2</v>
      </c>
      <c r="F5" s="14" t="n">
        <f aca="false">C5*E5</f>
        <v>2.27877694200428</v>
      </c>
    </row>
    <row r="6" customFormat="false" ht="15" hidden="false" customHeight="false" outlineLevel="0" collapsed="false">
      <c r="A6" s="4" t="s">
        <v>37</v>
      </c>
      <c r="B6" s="12" t="n">
        <v>7.74</v>
      </c>
      <c r="C6" s="14" t="n">
        <f aca="false">Assumptions!B36*Assumptions!B37/Assumptions!B5</f>
        <v>11.0165289256198</v>
      </c>
      <c r="D6" s="12" t="n">
        <v>13.49</v>
      </c>
      <c r="E6" s="13" t="n">
        <v>0.15</v>
      </c>
      <c r="F6" s="14" t="n">
        <f aca="false">C6*E6</f>
        <v>1.65247933884298</v>
      </c>
    </row>
    <row r="7" customFormat="false" ht="15" hidden="false" customHeight="false" outlineLevel="0" collapsed="false">
      <c r="A7" s="4" t="s">
        <v>38</v>
      </c>
      <c r="B7" s="12" t="n">
        <v>7.36</v>
      </c>
      <c r="C7" s="14" t="n">
        <f aca="false">(Assumptions!B10+Assumptions!B11+Assumptions!B12)*Assumptions!B37/Assumptions!B5</f>
        <v>11.0165289256198</v>
      </c>
      <c r="D7" s="12" t="n">
        <v>14.18</v>
      </c>
      <c r="E7" s="13" t="n">
        <v>0.15</v>
      </c>
      <c r="F7" s="14" t="n">
        <f aca="false">C7*E7</f>
        <v>1.65247933884298</v>
      </c>
    </row>
    <row r="8" customFormat="false" ht="15" hidden="false" customHeight="false" outlineLevel="0" collapsed="false">
      <c r="A8" s="4" t="s">
        <v>39</v>
      </c>
      <c r="B8" s="12" t="n">
        <v>7.15</v>
      </c>
      <c r="C8" s="12" t="n">
        <v>11.07</v>
      </c>
      <c r="D8" s="12" t="n">
        <v>15.39</v>
      </c>
      <c r="E8" s="13" t="n">
        <v>0.15</v>
      </c>
      <c r="F8" s="14" t="n">
        <f aca="false">C8*E8</f>
        <v>1.6605</v>
      </c>
    </row>
    <row r="9" customFormat="false" ht="15" hidden="false" customHeight="false" outlineLevel="0" collapsed="false">
      <c r="A9" s="8" t="s">
        <v>40</v>
      </c>
      <c r="F9" s="9" t="n">
        <f aca="false">SUM(F4:F8)</f>
        <v>10.8763678510952</v>
      </c>
    </row>
    <row r="10" customFormat="false" ht="15" hidden="false" customHeight="false" outlineLevel="0" collapsed="false">
      <c r="A10" s="4" t="s">
        <v>16</v>
      </c>
      <c r="F10" s="5" t="n">
        <f aca="false">Assumptions!B4</f>
        <v>11.07</v>
      </c>
    </row>
    <row r="11" customFormat="false" ht="15" hidden="false" customHeight="false" outlineLevel="0" collapsed="false">
      <c r="A11" s="4" t="s">
        <v>26</v>
      </c>
      <c r="F11" s="15" t="n">
        <f aca="false">F9/F10-1</f>
        <v>-0.017491612367192</v>
      </c>
    </row>
    <row r="13" customFormat="false" ht="15" hidden="false" customHeight="false" outlineLevel="0" collapsed="false">
      <c r="A13" s="10" t="s">
        <v>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"/>
  </cols>
  <sheetData>
    <row r="1" customFormat="false" ht="24" hidden="false" customHeight="true" outlineLevel="0" collapsed="false">
      <c r="A1" s="1" t="s">
        <v>42</v>
      </c>
      <c r="B1" s="1"/>
      <c r="C1" s="1"/>
      <c r="D1" s="1"/>
      <c r="E1" s="1"/>
    </row>
    <row r="3" customFormat="false" ht="15" hidden="false" customHeight="false" outlineLevel="0" collapsed="false">
      <c r="A3" s="2" t="s">
        <v>43</v>
      </c>
    </row>
    <row r="4" customFormat="false" ht="15" hidden="false" customHeight="false" outlineLevel="0" collapsed="false">
      <c r="A4" s="4" t="s">
        <v>44</v>
      </c>
      <c r="B4" s="16" t="n">
        <v>11.07</v>
      </c>
      <c r="C4" s="10" t="s">
        <v>45</v>
      </c>
      <c r="D4" s="10" t="s">
        <v>46</v>
      </c>
    </row>
    <row r="5" customFormat="false" ht="15" hidden="false" customHeight="false" outlineLevel="0" collapsed="false">
      <c r="A5" s="4" t="s">
        <v>47</v>
      </c>
      <c r="B5" s="16" t="n">
        <v>6.05</v>
      </c>
      <c r="C5" s="10" t="s">
        <v>48</v>
      </c>
      <c r="D5" s="10" t="s">
        <v>49</v>
      </c>
    </row>
    <row r="6" customFormat="false" ht="15" hidden="false" customHeight="false" outlineLevel="0" collapsed="false">
      <c r="A6" s="4" t="s">
        <v>50</v>
      </c>
      <c r="B6" s="16" t="n">
        <v>8.5</v>
      </c>
      <c r="C6" s="10" t="s">
        <v>51</v>
      </c>
      <c r="D6" s="10" t="s">
        <v>52</v>
      </c>
    </row>
    <row r="7" customFormat="false" ht="15" hidden="false" customHeight="false" outlineLevel="0" collapsed="false">
      <c r="A7" s="4" t="s">
        <v>53</v>
      </c>
      <c r="B7" s="17" t="n">
        <v>0.04</v>
      </c>
      <c r="C7" s="10"/>
      <c r="D7" s="10" t="s">
        <v>54</v>
      </c>
    </row>
    <row r="9" customFormat="false" ht="15" hidden="false" customHeight="false" outlineLevel="0" collapsed="false">
      <c r="A9" s="2" t="s">
        <v>55</v>
      </c>
    </row>
    <row r="10" customFormat="false" ht="15" hidden="false" customHeight="false" outlineLevel="0" collapsed="false">
      <c r="A10" s="4" t="s">
        <v>56</v>
      </c>
      <c r="B10" s="16" t="n">
        <v>2.5</v>
      </c>
      <c r="C10" s="10" t="s">
        <v>51</v>
      </c>
      <c r="D10" s="10" t="s">
        <v>57</v>
      </c>
    </row>
    <row r="11" customFormat="false" ht="15" hidden="false" customHeight="false" outlineLevel="0" collapsed="false">
      <c r="A11" s="4" t="s">
        <v>58</v>
      </c>
      <c r="B11" s="16" t="n">
        <v>1.3</v>
      </c>
      <c r="C11" s="10" t="s">
        <v>51</v>
      </c>
      <c r="D11" s="10" t="s">
        <v>59</v>
      </c>
    </row>
    <row r="12" customFormat="false" ht="15" hidden="false" customHeight="false" outlineLevel="0" collapsed="false">
      <c r="A12" s="4" t="s">
        <v>60</v>
      </c>
      <c r="B12" s="16" t="n">
        <v>0.5</v>
      </c>
      <c r="C12" s="10" t="s">
        <v>51</v>
      </c>
      <c r="D12" s="10" t="s">
        <v>61</v>
      </c>
    </row>
    <row r="13" customFormat="false" ht="15" hidden="false" customHeight="false" outlineLevel="0" collapsed="false">
      <c r="A13" s="2" t="s">
        <v>62</v>
      </c>
    </row>
    <row r="14" customFormat="false" ht="15" hidden="false" customHeight="false" outlineLevel="0" collapsed="false">
      <c r="A14" s="4" t="s">
        <v>63</v>
      </c>
      <c r="B14" s="18" t="n">
        <v>14.5</v>
      </c>
      <c r="C14" s="10" t="s">
        <v>64</v>
      </c>
    </row>
    <row r="15" customFormat="false" ht="15" hidden="false" customHeight="false" outlineLevel="0" collapsed="false">
      <c r="A15" s="4" t="s">
        <v>65</v>
      </c>
      <c r="B15" s="18" t="n">
        <v>13</v>
      </c>
      <c r="C15" s="10" t="s">
        <v>64</v>
      </c>
    </row>
    <row r="16" customFormat="false" ht="15" hidden="false" customHeight="false" outlineLevel="0" collapsed="false">
      <c r="A16" s="4" t="s">
        <v>66</v>
      </c>
      <c r="B16" s="18" t="n">
        <v>7.5</v>
      </c>
      <c r="C16" s="10" t="s">
        <v>64</v>
      </c>
    </row>
    <row r="18" customFormat="false" ht="15" hidden="false" customHeight="false" outlineLevel="0" collapsed="false">
      <c r="A18" s="2" t="s">
        <v>67</v>
      </c>
    </row>
    <row r="19" customFormat="false" ht="15" hidden="false" customHeight="false" outlineLevel="0" collapsed="false">
      <c r="A19" s="4" t="s">
        <v>68</v>
      </c>
      <c r="B19" s="17" t="n">
        <v>0.045</v>
      </c>
      <c r="C19" s="10"/>
      <c r="D19" s="10" t="s">
        <v>69</v>
      </c>
    </row>
    <row r="20" customFormat="false" ht="15" hidden="false" customHeight="false" outlineLevel="0" collapsed="false">
      <c r="A20" s="4" t="s">
        <v>70</v>
      </c>
      <c r="B20" s="17" t="n">
        <v>0.055</v>
      </c>
      <c r="C20" s="10"/>
    </row>
    <row r="21" customFormat="false" ht="15" hidden="false" customHeight="false" outlineLevel="0" collapsed="false">
      <c r="A21" s="4" t="s">
        <v>71</v>
      </c>
      <c r="B21" s="19" t="n">
        <v>0.95</v>
      </c>
      <c r="C21" s="10"/>
      <c r="D21" s="10" t="s">
        <v>72</v>
      </c>
    </row>
    <row r="22" customFormat="false" ht="15" hidden="false" customHeight="false" outlineLevel="0" collapsed="false">
      <c r="A22" s="4" t="s">
        <v>73</v>
      </c>
      <c r="B22" s="20" t="n">
        <f aca="false">B19+B21*B20</f>
        <v>0.09725</v>
      </c>
    </row>
    <row r="23" customFormat="false" ht="15" hidden="false" customHeight="false" outlineLevel="0" collapsed="false">
      <c r="A23" s="4" t="s">
        <v>74</v>
      </c>
      <c r="B23" s="20" t="n">
        <f aca="false">B22</f>
        <v>0.09725</v>
      </c>
    </row>
    <row r="24" customFormat="false" ht="15" hidden="false" customHeight="false" outlineLevel="0" collapsed="false">
      <c r="A24" s="4" t="s">
        <v>75</v>
      </c>
      <c r="B24" s="17" t="n">
        <v>0.03</v>
      </c>
      <c r="C24" s="10"/>
      <c r="D24" s="10" t="s">
        <v>76</v>
      </c>
    </row>
    <row r="25" customFormat="false" ht="15" hidden="false" customHeight="false" outlineLevel="0" collapsed="false">
      <c r="A25" s="4" t="s">
        <v>77</v>
      </c>
      <c r="B25" s="17" t="n">
        <v>0.03</v>
      </c>
      <c r="C25" s="10"/>
      <c r="D25" s="10" t="s">
        <v>78</v>
      </c>
    </row>
    <row r="26" customFormat="false" ht="15" hidden="false" customHeight="false" outlineLevel="0" collapsed="false">
      <c r="A26" s="4" t="s">
        <v>79</v>
      </c>
      <c r="B26" s="17" t="n">
        <v>0.04</v>
      </c>
      <c r="C26" s="10"/>
      <c r="D26" s="10" t="s">
        <v>80</v>
      </c>
    </row>
    <row r="28" customFormat="false" ht="15" hidden="false" customHeight="false" outlineLevel="0" collapsed="false">
      <c r="A28" s="2" t="s">
        <v>81</v>
      </c>
    </row>
    <row r="29" customFormat="false" ht="15" hidden="false" customHeight="false" outlineLevel="0" collapsed="false">
      <c r="B29" s="2" t="s">
        <v>82</v>
      </c>
      <c r="C29" s="2" t="s">
        <v>83</v>
      </c>
      <c r="D29" s="2" t="s">
        <v>84</v>
      </c>
      <c r="E29" s="2" t="s">
        <v>85</v>
      </c>
      <c r="F29" s="2" t="s">
        <v>86</v>
      </c>
    </row>
    <row r="30" customFormat="false" ht="15" hidden="false" customHeight="false" outlineLevel="0" collapsed="false">
      <c r="A30" s="4" t="s">
        <v>87</v>
      </c>
      <c r="B30" s="12" t="n">
        <v>5.7</v>
      </c>
      <c r="C30" s="12" t="n">
        <v>6.3</v>
      </c>
      <c r="D30" s="12" t="n">
        <v>6.6</v>
      </c>
      <c r="E30" s="12" t="n">
        <v>6.9</v>
      </c>
      <c r="F30" s="12" t="n">
        <v>7.1</v>
      </c>
    </row>
    <row r="31" customFormat="false" ht="15" hidden="false" customHeight="false" outlineLevel="0" collapsed="false">
      <c r="A31" s="4" t="s">
        <v>88</v>
      </c>
      <c r="B31" s="12" t="n">
        <v>1.8</v>
      </c>
      <c r="C31" s="12" t="n">
        <v>1.9</v>
      </c>
      <c r="D31" s="12" t="n">
        <v>2</v>
      </c>
      <c r="E31" s="12" t="n">
        <v>2</v>
      </c>
      <c r="F31" s="12" t="n">
        <v>2.1</v>
      </c>
    </row>
    <row r="32" customFormat="false" ht="15" hidden="false" customHeight="false" outlineLevel="0" collapsed="false">
      <c r="A32" s="4" t="s">
        <v>89</v>
      </c>
      <c r="B32" s="12" t="n">
        <v>2</v>
      </c>
      <c r="C32" s="12" t="n">
        <v>1.9</v>
      </c>
      <c r="D32" s="12" t="n">
        <v>1.9</v>
      </c>
      <c r="E32" s="12" t="n">
        <v>2</v>
      </c>
      <c r="F32" s="12" t="n">
        <v>2.1</v>
      </c>
    </row>
    <row r="33" customFormat="false" ht="15" hidden="false" customHeight="false" outlineLevel="0" collapsed="false">
      <c r="A33" s="4" t="s">
        <v>90</v>
      </c>
      <c r="B33" s="12" t="n">
        <v>0.3</v>
      </c>
      <c r="C33" s="12" t="n">
        <v>0.3</v>
      </c>
      <c r="D33" s="12" t="n">
        <v>0.2</v>
      </c>
      <c r="E33" s="12" t="n">
        <v>0.2</v>
      </c>
      <c r="F33" s="12" t="n">
        <v>0.2</v>
      </c>
    </row>
    <row r="35" customFormat="false" ht="15" hidden="false" customHeight="false" outlineLevel="0" collapsed="false">
      <c r="A35" s="2" t="s">
        <v>91</v>
      </c>
    </row>
    <row r="36" customFormat="false" ht="15" hidden="false" customHeight="false" outlineLevel="0" collapsed="false">
      <c r="A36" s="4" t="s">
        <v>92</v>
      </c>
      <c r="B36" s="16" t="n">
        <v>4.3</v>
      </c>
      <c r="C36" s="10" t="s">
        <v>51</v>
      </c>
    </row>
    <row r="37" customFormat="false" ht="15" hidden="false" customHeight="false" outlineLevel="0" collapsed="false">
      <c r="A37" s="4" t="s">
        <v>93</v>
      </c>
      <c r="B37" s="18" t="n">
        <v>15.5</v>
      </c>
      <c r="C37" s="10" t="s">
        <v>64</v>
      </c>
    </row>
    <row r="38" customFormat="false" ht="15" hidden="false" customHeight="false" outlineLevel="0" collapsed="false">
      <c r="A38" s="4" t="s">
        <v>94</v>
      </c>
      <c r="B38" s="16" t="n">
        <v>0.68</v>
      </c>
      <c r="C38" s="10" t="s">
        <v>45</v>
      </c>
      <c r="D38" s="10" t="s">
        <v>95</v>
      </c>
    </row>
    <row r="39" customFormat="false" ht="15" hidden="false" customHeight="false" outlineLevel="0" collapsed="false">
      <c r="A39" s="4" t="s">
        <v>96</v>
      </c>
      <c r="B39" s="17" t="n">
        <v>0.05</v>
      </c>
      <c r="C39" s="10"/>
      <c r="D39" s="10" t="s">
        <v>97</v>
      </c>
    </row>
    <row r="40" customFormat="false" ht="15" hidden="false" customHeight="false" outlineLevel="0" collapsed="false">
      <c r="A40" s="4" t="s">
        <v>98</v>
      </c>
      <c r="B40" s="17" t="n">
        <v>0.03</v>
      </c>
      <c r="C40" s="10"/>
    </row>
    <row r="42" customFormat="false" ht="15" hidden="false" customHeight="false" outlineLevel="0" collapsed="false">
      <c r="A42" s="10" t="s">
        <v>99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4"/>
  </cols>
  <sheetData>
    <row r="1" customFormat="false" ht="24" hidden="false" customHeight="true" outlineLevel="0" collapsed="false">
      <c r="A1" s="1" t="s">
        <v>100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1" t="s">
        <v>101</v>
      </c>
      <c r="B3" s="11" t="s">
        <v>102</v>
      </c>
      <c r="C3" s="11" t="s">
        <v>103</v>
      </c>
      <c r="D3" s="11" t="s">
        <v>104</v>
      </c>
      <c r="E3" s="11" t="s">
        <v>105</v>
      </c>
      <c r="F3" s="11"/>
    </row>
    <row r="4" customFormat="false" ht="15" hidden="false" customHeight="false" outlineLevel="0" collapsed="false">
      <c r="A4" s="4" t="s">
        <v>106</v>
      </c>
      <c r="B4" s="5" t="n">
        <f aca="false">Assumptions!B10</f>
        <v>2.5</v>
      </c>
      <c r="C4" s="21" t="n">
        <f aca="false">Assumptions!B14</f>
        <v>14.5</v>
      </c>
      <c r="D4" s="14" t="n">
        <f aca="false">B4*C4</f>
        <v>36.25</v>
      </c>
      <c r="E4" s="15" t="n">
        <f aca="false">D4/$D$7</f>
        <v>0.637082601054481</v>
      </c>
    </row>
    <row r="5" customFormat="false" ht="15" hidden="false" customHeight="false" outlineLevel="0" collapsed="false">
      <c r="A5" s="4" t="s">
        <v>107</v>
      </c>
      <c r="B5" s="5" t="n">
        <f aca="false">Assumptions!B11</f>
        <v>1.3</v>
      </c>
      <c r="C5" s="21" t="n">
        <f aca="false">Assumptions!B15</f>
        <v>13</v>
      </c>
      <c r="D5" s="14" t="n">
        <f aca="false">B5*C5</f>
        <v>16.9</v>
      </c>
      <c r="E5" s="15" t="n">
        <f aca="false">D5/$D$7</f>
        <v>0.29701230228471</v>
      </c>
    </row>
    <row r="6" customFormat="false" ht="15" hidden="false" customHeight="false" outlineLevel="0" collapsed="false">
      <c r="A6" s="4" t="s">
        <v>108</v>
      </c>
      <c r="B6" s="5" t="n">
        <f aca="false">Assumptions!B12</f>
        <v>0.5</v>
      </c>
      <c r="C6" s="21" t="n">
        <f aca="false">Assumptions!B16</f>
        <v>7.5</v>
      </c>
      <c r="D6" s="14" t="n">
        <f aca="false">B6*C6</f>
        <v>3.75</v>
      </c>
      <c r="E6" s="15" t="n">
        <f aca="false">D6/$D$7</f>
        <v>0.0659050966608084</v>
      </c>
    </row>
    <row r="7" customFormat="false" ht="15" hidden="false" customHeight="false" outlineLevel="0" collapsed="false">
      <c r="A7" s="2" t="s">
        <v>109</v>
      </c>
      <c r="D7" s="22" t="n">
        <f aca="false">SUM(D4:D6)</f>
        <v>56.9</v>
      </c>
    </row>
    <row r="8" customFormat="false" ht="15" hidden="false" customHeight="false" outlineLevel="0" collapsed="false">
      <c r="A8" s="4" t="s">
        <v>110</v>
      </c>
      <c r="D8" s="5" t="n">
        <f aca="false">Assumptions!B6</f>
        <v>8.5</v>
      </c>
    </row>
    <row r="9" customFormat="false" ht="15" hidden="false" customHeight="false" outlineLevel="0" collapsed="false">
      <c r="A9" s="4" t="s">
        <v>111</v>
      </c>
      <c r="D9" s="14" t="n">
        <f aca="false">D7+D8</f>
        <v>65.4</v>
      </c>
    </row>
    <row r="10" customFormat="false" ht="15" hidden="false" customHeight="false" outlineLevel="0" collapsed="false">
      <c r="A10" s="4" t="s">
        <v>112</v>
      </c>
      <c r="C10" s="7" t="n">
        <f aca="false">Assumptions!B7</f>
        <v>0.04</v>
      </c>
      <c r="D10" s="14" t="n">
        <f aca="false">-D9*C10</f>
        <v>-2.616</v>
      </c>
    </row>
    <row r="11" customFormat="false" ht="15" hidden="false" customHeight="false" outlineLevel="0" collapsed="false">
      <c r="A11" s="2" t="s">
        <v>113</v>
      </c>
      <c r="D11" s="22" t="n">
        <f aca="false">D9+D10</f>
        <v>62.784</v>
      </c>
    </row>
    <row r="12" customFormat="false" ht="15" hidden="false" customHeight="false" outlineLevel="0" collapsed="false">
      <c r="A12" s="8" t="s">
        <v>114</v>
      </c>
      <c r="D12" s="9" t="n">
        <f aca="false">D11/Assumptions!B5</f>
        <v>10.377520661157</v>
      </c>
    </row>
    <row r="14" customFormat="false" ht="15" hidden="false" customHeight="false" outlineLevel="0" collapsed="false">
      <c r="A14" s="10" t="s">
        <v>115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20"/>
    <col collapsed="false" customWidth="true" hidden="false" outlineLevel="0" max="7" min="7" style="0" width="4"/>
  </cols>
  <sheetData>
    <row r="1" customFormat="false" ht="24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101</v>
      </c>
      <c r="B3" s="11" t="s">
        <v>117</v>
      </c>
      <c r="C3" s="11" t="s">
        <v>118</v>
      </c>
      <c r="D3" s="11" t="s">
        <v>119</v>
      </c>
      <c r="E3" s="11" t="s">
        <v>120</v>
      </c>
      <c r="F3" s="11" t="s">
        <v>121</v>
      </c>
      <c r="G3" s="11"/>
    </row>
    <row r="4" customFormat="false" ht="15" hidden="false" customHeight="false" outlineLevel="0" collapsed="false">
      <c r="A4" s="4" t="s">
        <v>106</v>
      </c>
      <c r="B4" s="12" t="n">
        <v>2.7</v>
      </c>
      <c r="C4" s="13" t="n">
        <v>0.46</v>
      </c>
      <c r="D4" s="23" t="n">
        <v>0.495</v>
      </c>
      <c r="E4" s="5" t="n">
        <f aca="false">Assumptions!B10</f>
        <v>2.5</v>
      </c>
      <c r="F4" s="10" t="s">
        <v>122</v>
      </c>
    </row>
    <row r="5" customFormat="false" ht="15" hidden="false" customHeight="false" outlineLevel="0" collapsed="false">
      <c r="A5" s="4" t="s">
        <v>123</v>
      </c>
      <c r="B5" s="12" t="n">
        <v>0.7</v>
      </c>
      <c r="D5" s="23" t="n">
        <v>0.004</v>
      </c>
      <c r="E5" s="5" t="n">
        <f aca="false">Assumptions!B11</f>
        <v>1.3</v>
      </c>
      <c r="F5" s="10" t="s">
        <v>124</v>
      </c>
    </row>
    <row r="6" customFormat="false" ht="15" hidden="false" customHeight="false" outlineLevel="0" collapsed="false">
      <c r="A6" s="4" t="s">
        <v>108</v>
      </c>
      <c r="B6" s="12" t="n">
        <v>0.713</v>
      </c>
      <c r="D6" s="23" t="n">
        <v>0.196</v>
      </c>
      <c r="E6" s="5" t="n">
        <f aca="false">Assumptions!B12</f>
        <v>0.5</v>
      </c>
      <c r="F6" s="10" t="s">
        <v>125</v>
      </c>
    </row>
    <row r="7" customFormat="false" ht="15" hidden="false" customHeight="false" outlineLevel="0" collapsed="false">
      <c r="A7" s="2" t="s">
        <v>126</v>
      </c>
      <c r="B7" s="14" t="n">
        <f aca="false">SUM(B4:B6)</f>
        <v>4.113</v>
      </c>
      <c r="D7" s="24" t="n">
        <f aca="false">SUM(D4:D6)</f>
        <v>0.695</v>
      </c>
      <c r="E7" s="14" t="n">
        <f aca="false">SUM(E4:E6)</f>
        <v>4.3</v>
      </c>
    </row>
    <row r="9" customFormat="false" ht="15" hidden="false" customHeight="false" outlineLevel="0" collapsed="false">
      <c r="A9" s="10" t="s">
        <v>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6" min="5" style="0" width="4"/>
  </cols>
  <sheetData>
    <row r="1" customFormat="false" ht="24" hidden="false" customHeight="true" outlineLevel="0" collapsed="false">
      <c r="A1" s="1" t="s">
        <v>128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4" t="s">
        <v>129</v>
      </c>
      <c r="B5" s="5" t="n">
        <f aca="false">Assumptions!B36</f>
        <v>4.3</v>
      </c>
    </row>
    <row r="6" customFormat="false" ht="15" hidden="false" customHeight="false" outlineLevel="0" collapsed="false">
      <c r="A6" s="4" t="s">
        <v>130</v>
      </c>
      <c r="B6" s="21" t="n">
        <f aca="false">Assumptions!B37</f>
        <v>15.5</v>
      </c>
    </row>
    <row r="7" customFormat="false" ht="15" hidden="false" customHeight="false" outlineLevel="0" collapsed="false">
      <c r="A7" s="4" t="s">
        <v>131</v>
      </c>
      <c r="B7" s="14" t="n">
        <f aca="false">B5*B6</f>
        <v>66.65</v>
      </c>
    </row>
    <row r="8" customFormat="false" ht="15" hidden="false" customHeight="false" outlineLevel="0" collapsed="false">
      <c r="A8" s="4" t="s">
        <v>114</v>
      </c>
      <c r="B8" s="5" t="n">
        <f aca="false">B7/Assumptions!B5</f>
        <v>11.0165289256198</v>
      </c>
    </row>
    <row r="10" customFormat="false" ht="15" hidden="false" customHeight="false" outlineLevel="0" collapsed="false">
      <c r="A10" s="2" t="s">
        <v>132</v>
      </c>
    </row>
    <row r="12" customFormat="false" ht="15" hidden="false" customHeight="false" outlineLevel="0" collapsed="false">
      <c r="A12" s="4" t="s">
        <v>133</v>
      </c>
      <c r="B12" s="5" t="n">
        <f aca="false">Assumptions!B10</f>
        <v>2.5</v>
      </c>
    </row>
    <row r="13" customFormat="false" ht="15" hidden="false" customHeight="false" outlineLevel="0" collapsed="false">
      <c r="A13" s="4" t="s">
        <v>134</v>
      </c>
      <c r="B13" s="5" t="n">
        <f aca="false">Assumptions!B11</f>
        <v>1.3</v>
      </c>
    </row>
    <row r="14" customFormat="false" ht="15" hidden="false" customHeight="false" outlineLevel="0" collapsed="false">
      <c r="A14" s="4" t="s">
        <v>135</v>
      </c>
      <c r="B14" s="5" t="n">
        <f aca="false">Assumptions!B12</f>
        <v>0.5</v>
      </c>
    </row>
    <row r="15" customFormat="false" ht="15" hidden="false" customHeight="false" outlineLevel="0" collapsed="false">
      <c r="A15" s="4" t="s">
        <v>136</v>
      </c>
      <c r="B15" s="14" t="n">
        <f aca="false">B12+B13+B14</f>
        <v>4.3</v>
      </c>
    </row>
    <row r="16" customFormat="false" ht="15" hidden="false" customHeight="false" outlineLevel="0" collapsed="false">
      <c r="A16" s="4" t="s">
        <v>137</v>
      </c>
      <c r="B16" s="21" t="n">
        <f aca="false">Assumptions!B37</f>
        <v>15.5</v>
      </c>
    </row>
    <row r="17" customFormat="false" ht="15" hidden="false" customHeight="false" outlineLevel="0" collapsed="false">
      <c r="A17" s="4" t="s">
        <v>114</v>
      </c>
      <c r="B17" s="5" t="n">
        <f aca="false">B15*B16/Assumptions!B5</f>
        <v>11.0165289256198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8" min="7" style="0" width="4"/>
  </cols>
  <sheetData>
    <row r="1" customFormat="false" ht="24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51</v>
      </c>
      <c r="B3" s="11" t="s">
        <v>82</v>
      </c>
      <c r="C3" s="11" t="s">
        <v>83</v>
      </c>
      <c r="D3" s="11" t="s">
        <v>84</v>
      </c>
      <c r="E3" s="11" t="s">
        <v>85</v>
      </c>
      <c r="F3" s="11" t="s">
        <v>86</v>
      </c>
    </row>
    <row r="4" customFormat="false" ht="15" hidden="false" customHeight="false" outlineLevel="0" collapsed="false">
      <c r="A4" s="4" t="s">
        <v>87</v>
      </c>
      <c r="B4" s="5" t="n">
        <f aca="false">Assumptions!B30</f>
        <v>5.7</v>
      </c>
      <c r="C4" s="5" t="n">
        <f aca="false">Assumptions!C30</f>
        <v>6.3</v>
      </c>
      <c r="D4" s="5" t="n">
        <f aca="false">Assumptions!D30</f>
        <v>6.6</v>
      </c>
      <c r="E4" s="5" t="n">
        <f aca="false">Assumptions!E30</f>
        <v>6.9</v>
      </c>
      <c r="F4" s="5" t="n">
        <f aca="false">Assumptions!F30</f>
        <v>7.1</v>
      </c>
    </row>
    <row r="5" customFormat="false" ht="15" hidden="false" customHeight="false" outlineLevel="0" collapsed="false">
      <c r="A5" s="4" t="s">
        <v>139</v>
      </c>
      <c r="B5" s="5" t="n">
        <f aca="false">-Assumptions!B31</f>
        <v>-1.8</v>
      </c>
      <c r="C5" s="5" t="n">
        <f aca="false">-Assumptions!C31</f>
        <v>-1.9</v>
      </c>
      <c r="D5" s="5" t="n">
        <f aca="false">-Assumptions!D31</f>
        <v>-2</v>
      </c>
      <c r="E5" s="5" t="n">
        <f aca="false">-Assumptions!E31</f>
        <v>-2</v>
      </c>
      <c r="F5" s="5" t="n">
        <f aca="false">-Assumptions!F31</f>
        <v>-2.1</v>
      </c>
    </row>
    <row r="6" customFormat="false" ht="15" hidden="false" customHeight="false" outlineLevel="0" collapsed="false">
      <c r="A6" s="4" t="s">
        <v>140</v>
      </c>
      <c r="B6" s="14" t="n">
        <f aca="false">B4+B5</f>
        <v>3.9</v>
      </c>
      <c r="C6" s="14" t="n">
        <f aca="false">C4+C5</f>
        <v>4.4</v>
      </c>
      <c r="D6" s="14" t="n">
        <f aca="false">D4+D5</f>
        <v>4.6</v>
      </c>
      <c r="E6" s="14" t="n">
        <f aca="false">E4+E5</f>
        <v>4.9</v>
      </c>
      <c r="F6" s="14" t="n">
        <f aca="false">F4+F5</f>
        <v>5</v>
      </c>
    </row>
    <row r="7" customFormat="false" ht="15" hidden="false" customHeight="false" outlineLevel="0" collapsed="false">
      <c r="A7" s="4" t="s">
        <v>141</v>
      </c>
      <c r="B7" s="14" t="n">
        <f aca="false">-B6*Assumptions!$B$25</f>
        <v>-0.117</v>
      </c>
      <c r="C7" s="14" t="n">
        <f aca="false">-C6*Assumptions!$B$25</f>
        <v>-0.132</v>
      </c>
      <c r="D7" s="14" t="n">
        <f aca="false">-D6*Assumptions!$B$25</f>
        <v>-0.138</v>
      </c>
      <c r="E7" s="14" t="n">
        <f aca="false">-E6*Assumptions!$B$25</f>
        <v>-0.147</v>
      </c>
      <c r="F7" s="14" t="n">
        <f aca="false">-F6*Assumptions!$B$25</f>
        <v>-0.15</v>
      </c>
    </row>
    <row r="8" customFormat="false" ht="15" hidden="false" customHeight="false" outlineLevel="0" collapsed="false">
      <c r="A8" s="4" t="s">
        <v>142</v>
      </c>
      <c r="B8" s="14" t="n">
        <f aca="false">B6+B7</f>
        <v>3.783</v>
      </c>
      <c r="C8" s="14" t="n">
        <f aca="false">C6+C7</f>
        <v>4.268</v>
      </c>
      <c r="D8" s="14" t="n">
        <f aca="false">D6+D7</f>
        <v>4.462</v>
      </c>
      <c r="E8" s="14" t="n">
        <f aca="false">E6+E7</f>
        <v>4.753</v>
      </c>
      <c r="F8" s="14" t="n">
        <f aca="false">F6+F7</f>
        <v>4.85</v>
      </c>
    </row>
    <row r="9" customFormat="false" ht="15" hidden="false" customHeight="false" outlineLevel="0" collapsed="false">
      <c r="A9" s="4" t="s">
        <v>143</v>
      </c>
      <c r="B9" s="5" t="n">
        <f aca="false">Assumptions!B31</f>
        <v>1.8</v>
      </c>
      <c r="C9" s="5" t="n">
        <f aca="false">Assumptions!C31</f>
        <v>1.9</v>
      </c>
      <c r="D9" s="5" t="n">
        <f aca="false">Assumptions!D31</f>
        <v>2</v>
      </c>
      <c r="E9" s="5" t="n">
        <f aca="false">Assumptions!E31</f>
        <v>2</v>
      </c>
      <c r="F9" s="5" t="n">
        <f aca="false">Assumptions!F31</f>
        <v>2.1</v>
      </c>
    </row>
    <row r="10" customFormat="false" ht="15" hidden="false" customHeight="false" outlineLevel="0" collapsed="false">
      <c r="A10" s="4" t="s">
        <v>144</v>
      </c>
      <c r="B10" s="5" t="n">
        <f aca="false">-Assumptions!B32</f>
        <v>-2</v>
      </c>
      <c r="C10" s="5" t="n">
        <f aca="false">-Assumptions!C32</f>
        <v>-1.9</v>
      </c>
      <c r="D10" s="5" t="n">
        <f aca="false">-Assumptions!D32</f>
        <v>-1.9</v>
      </c>
      <c r="E10" s="5" t="n">
        <f aca="false">-Assumptions!E32</f>
        <v>-2</v>
      </c>
      <c r="F10" s="5" t="n">
        <f aca="false">-Assumptions!F32</f>
        <v>-2.1</v>
      </c>
    </row>
    <row r="11" customFormat="false" ht="15" hidden="false" customHeight="false" outlineLevel="0" collapsed="false">
      <c r="A11" s="4" t="s">
        <v>145</v>
      </c>
      <c r="B11" s="5" t="n">
        <f aca="false">-Assumptions!B33</f>
        <v>-0.3</v>
      </c>
      <c r="C11" s="5" t="n">
        <f aca="false">-Assumptions!C33</f>
        <v>-0.3</v>
      </c>
      <c r="D11" s="5" t="n">
        <f aca="false">-Assumptions!D33</f>
        <v>-0.2</v>
      </c>
      <c r="E11" s="5" t="n">
        <f aca="false">-Assumptions!E33</f>
        <v>-0.2</v>
      </c>
      <c r="F11" s="5" t="n">
        <f aca="false">-Assumptions!F33</f>
        <v>-0.2</v>
      </c>
    </row>
    <row r="12" customFormat="false" ht="15" hidden="false" customHeight="false" outlineLevel="0" collapsed="false">
      <c r="A12" s="4" t="s">
        <v>146</v>
      </c>
      <c r="B12" s="22" t="n">
        <f aca="false">B8+B9+B10+B11</f>
        <v>3.283</v>
      </c>
      <c r="C12" s="22" t="n">
        <f aca="false">C8+C9+C10+C11</f>
        <v>3.968</v>
      </c>
      <c r="D12" s="22" t="n">
        <f aca="false">D8+D9+D10+D11</f>
        <v>4.362</v>
      </c>
      <c r="E12" s="22" t="n">
        <f aca="false">E8+E9+E10+E11</f>
        <v>4.553</v>
      </c>
      <c r="F12" s="22" t="n">
        <f aca="false">F8+F9+F10+F11</f>
        <v>4.65</v>
      </c>
    </row>
    <row r="13" customFormat="false" ht="15" hidden="false" customHeight="false" outlineLevel="0" collapsed="false">
      <c r="A13" s="4" t="s">
        <v>147</v>
      </c>
      <c r="B13" s="25" t="n">
        <f aca="false">1/(1+Assumptions!$B$23)^1</f>
        <v>0.911369332421964</v>
      </c>
      <c r="C13" s="25" t="n">
        <f aca="false">1/(1+Assumptions!$B$23)^2</f>
        <v>0.830594060079256</v>
      </c>
      <c r="D13" s="25" t="n">
        <f aca="false">1/(1+Assumptions!$B$23)^3</f>
        <v>0.75697795404808</v>
      </c>
      <c r="E13" s="25" t="n">
        <f aca="false">1/(1+Assumptions!$B$23)^4</f>
        <v>0.689886492638943</v>
      </c>
      <c r="F13" s="25" t="n">
        <f aca="false">1/(1+Assumptions!$B$23)^5</f>
        <v>0.628741392243284</v>
      </c>
    </row>
    <row r="14" customFormat="false" ht="15" hidden="false" customHeight="false" outlineLevel="0" collapsed="false">
      <c r="A14" s="4" t="s">
        <v>148</v>
      </c>
      <c r="B14" s="22" t="n">
        <f aca="false">B12*B13</f>
        <v>2.99202551834131</v>
      </c>
      <c r="C14" s="22" t="n">
        <f aca="false">C12*C13</f>
        <v>3.29579723039449</v>
      </c>
      <c r="D14" s="22" t="n">
        <f aca="false">D12*D13</f>
        <v>3.30193783555773</v>
      </c>
      <c r="E14" s="22" t="n">
        <f aca="false">E12*E13</f>
        <v>3.14105320098511</v>
      </c>
      <c r="F14" s="22" t="n">
        <f aca="false">F12*F13</f>
        <v>2.92364747393127</v>
      </c>
    </row>
    <row r="16" customFormat="false" ht="15" hidden="false" customHeight="false" outlineLevel="0" collapsed="false">
      <c r="A16" s="2" t="s">
        <v>149</v>
      </c>
      <c r="B16" s="22" t="n">
        <f aca="false">SUM(B14:F14)</f>
        <v>15.6544612592099</v>
      </c>
    </row>
    <row r="17" customFormat="false" ht="15" hidden="false" customHeight="false" outlineLevel="0" collapsed="false">
      <c r="A17" s="4" t="s">
        <v>150</v>
      </c>
      <c r="B17" s="14" t="n">
        <f aca="false">F12*(1+Assumptions!$B$24)/(Assumptions!$B$23-Assumptions!$B$24)</f>
        <v>71.2193308550186</v>
      </c>
    </row>
    <row r="18" customFormat="false" ht="15" hidden="false" customHeight="false" outlineLevel="0" collapsed="false">
      <c r="A18" s="4" t="s">
        <v>151</v>
      </c>
      <c r="B18" s="14" t="n">
        <f aca="false">B17/(1+Assumptions!$B$23)^5</f>
        <v>44.7785412364194</v>
      </c>
    </row>
    <row r="19" customFormat="false" ht="15" hidden="false" customHeight="false" outlineLevel="0" collapsed="false">
      <c r="A19" s="2" t="s">
        <v>152</v>
      </c>
      <c r="B19" s="22" t="n">
        <f aca="false">B16+B18</f>
        <v>60.4330024956293</v>
      </c>
    </row>
    <row r="20" customFormat="false" ht="15" hidden="false" customHeight="false" outlineLevel="0" collapsed="false">
      <c r="A20" s="4" t="s">
        <v>153</v>
      </c>
      <c r="B20" s="15" t="n">
        <f aca="false">B18/B19</f>
        <v>0.740961716069923</v>
      </c>
    </row>
    <row r="21" customFormat="false" ht="15" hidden="false" customHeight="false" outlineLevel="0" collapsed="false">
      <c r="A21" s="4" t="s">
        <v>110</v>
      </c>
      <c r="B21" s="14" t="n">
        <f aca="false">Assumptions!B6</f>
        <v>8.5</v>
      </c>
    </row>
    <row r="22" customFormat="false" ht="15" hidden="false" customHeight="false" outlineLevel="0" collapsed="false">
      <c r="A22" s="2" t="s">
        <v>113</v>
      </c>
      <c r="B22" s="22" t="n">
        <f aca="false">B19+B21</f>
        <v>68.9330024956293</v>
      </c>
    </row>
    <row r="23" customFormat="false" ht="15" hidden="false" customHeight="false" outlineLevel="0" collapsed="false">
      <c r="A23" s="8" t="s">
        <v>114</v>
      </c>
      <c r="B23" s="9" t="n">
        <f aca="false">B22/Assumptions!B5</f>
        <v>11.3938847100214</v>
      </c>
    </row>
    <row r="25" customFormat="false" ht="15" hidden="false" customHeight="false" outlineLevel="0" collapsed="false">
      <c r="A25" s="10" t="s">
        <v>154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24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1" t="s">
        <v>51</v>
      </c>
      <c r="B3" s="11" t="s">
        <v>156</v>
      </c>
      <c r="C3" s="11" t="s">
        <v>157</v>
      </c>
      <c r="D3" s="11" t="s">
        <v>158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</row>
    <row r="4" customFormat="false" ht="15" hidden="false" customHeight="false" outlineLevel="0" collapsed="false">
      <c r="A4" s="4" t="s">
        <v>159</v>
      </c>
      <c r="B4" s="26" t="n">
        <v>17.9</v>
      </c>
      <c r="C4" s="26" t="n">
        <v>16.4</v>
      </c>
      <c r="D4" s="26" t="n">
        <v>16.5</v>
      </c>
      <c r="E4" s="26" t="n">
        <v>16</v>
      </c>
      <c r="F4" s="26" t="n">
        <v>17</v>
      </c>
      <c r="G4" s="26" t="n">
        <v>17.6</v>
      </c>
      <c r="H4" s="26" t="n">
        <v>18.1</v>
      </c>
      <c r="I4" s="26" t="n">
        <v>18.5</v>
      </c>
    </row>
    <row r="5" customFormat="false" ht="15" hidden="false" customHeight="false" outlineLevel="0" collapsed="false">
      <c r="A5" s="4" t="s">
        <v>87</v>
      </c>
      <c r="B5" s="26" t="n">
        <v>7</v>
      </c>
      <c r="C5" s="26" t="n">
        <v>6.6</v>
      </c>
      <c r="D5" s="26" t="n">
        <v>6.4</v>
      </c>
      <c r="E5" s="6" t="n">
        <f aca="false">Assumptions!B30</f>
        <v>5.7</v>
      </c>
      <c r="F5" s="6" t="n">
        <f aca="false">Assumptions!C30</f>
        <v>6.3</v>
      </c>
      <c r="G5" s="6" t="n">
        <f aca="false">Assumptions!D30</f>
        <v>6.6</v>
      </c>
      <c r="H5" s="6" t="n">
        <f aca="false">Assumptions!E30</f>
        <v>6.9</v>
      </c>
      <c r="I5" s="6" t="n">
        <f aca="false">Assumptions!F30</f>
        <v>7.1</v>
      </c>
    </row>
    <row r="6" customFormat="false" ht="15" hidden="false" customHeight="false" outlineLevel="0" collapsed="false">
      <c r="A6" s="10" t="s">
        <v>160</v>
      </c>
      <c r="B6" s="15" t="n">
        <f aca="false">B5/B4</f>
        <v>0.391061452513967</v>
      </c>
      <c r="C6" s="15" t="n">
        <f aca="false">C5/C4</f>
        <v>0.402439024390244</v>
      </c>
      <c r="D6" s="15" t="n">
        <f aca="false">D5/D4</f>
        <v>0.387878787878788</v>
      </c>
      <c r="E6" s="15" t="n">
        <f aca="false">E5/E4</f>
        <v>0.35625</v>
      </c>
      <c r="F6" s="15" t="n">
        <f aca="false">F5/F4</f>
        <v>0.370588235294118</v>
      </c>
      <c r="G6" s="15" t="n">
        <f aca="false">G5/G4</f>
        <v>0.375</v>
      </c>
      <c r="H6" s="15" t="n">
        <f aca="false">H5/H4</f>
        <v>0.38121546961326</v>
      </c>
      <c r="I6" s="15" t="n">
        <f aca="false">I5/I4</f>
        <v>0.383783783783784</v>
      </c>
    </row>
    <row r="7" customFormat="false" ht="15" hidden="false" customHeight="false" outlineLevel="0" collapsed="false">
      <c r="A7" s="4" t="s">
        <v>139</v>
      </c>
      <c r="B7" s="26" t="n">
        <v>-1.7</v>
      </c>
      <c r="C7" s="26" t="n">
        <v>-1.75</v>
      </c>
      <c r="D7" s="26" t="n">
        <v>-1.8</v>
      </c>
      <c r="E7" s="6" t="n">
        <f aca="false">-Assumptions!B31</f>
        <v>-1.8</v>
      </c>
      <c r="F7" s="6" t="n">
        <f aca="false">-Assumptions!C31</f>
        <v>-1.9</v>
      </c>
      <c r="G7" s="6" t="n">
        <f aca="false">-Assumptions!D31</f>
        <v>-2</v>
      </c>
      <c r="H7" s="6" t="n">
        <f aca="false">-Assumptions!E31</f>
        <v>-2</v>
      </c>
      <c r="I7" s="6" t="n">
        <f aca="false">-Assumptions!F31</f>
        <v>-2.1</v>
      </c>
    </row>
    <row r="8" customFormat="false" ht="15" hidden="false" customHeight="false" outlineLevel="0" collapsed="false">
      <c r="A8" s="4" t="s">
        <v>140</v>
      </c>
      <c r="B8" s="27" t="n">
        <f aca="false">B5+B7</f>
        <v>5.3</v>
      </c>
      <c r="C8" s="27" t="n">
        <f aca="false">C5+C7</f>
        <v>4.85</v>
      </c>
      <c r="D8" s="27" t="n">
        <f aca="false">D5+D7</f>
        <v>4.6</v>
      </c>
      <c r="E8" s="27" t="n">
        <f aca="false">E5+E7</f>
        <v>3.9</v>
      </c>
      <c r="F8" s="27" t="n">
        <f aca="false">F5+F7</f>
        <v>4.4</v>
      </c>
      <c r="G8" s="27" t="n">
        <f aca="false">G5+G7</f>
        <v>4.6</v>
      </c>
      <c r="H8" s="27" t="n">
        <f aca="false">H5+H7</f>
        <v>4.9</v>
      </c>
      <c r="I8" s="27" t="n">
        <f aca="false">I5+I7</f>
        <v>5</v>
      </c>
    </row>
    <row r="9" customFormat="false" ht="15" hidden="false" customHeight="false" outlineLevel="0" collapsed="false">
      <c r="A9" s="4" t="s">
        <v>161</v>
      </c>
      <c r="B9" s="26" t="n">
        <v>0.3</v>
      </c>
      <c r="C9" s="26" t="n">
        <v>0.3</v>
      </c>
      <c r="D9" s="26" t="n">
        <v>0.3</v>
      </c>
      <c r="E9" s="6" t="n">
        <f aca="false">Assumptions!$B$6*Assumptions!$B$26</f>
        <v>0.34</v>
      </c>
      <c r="F9" s="6" t="n">
        <f aca="false">Assumptions!$B$6*Assumptions!$B$26</f>
        <v>0.34</v>
      </c>
      <c r="G9" s="6" t="n">
        <f aca="false">Assumptions!$B$6*Assumptions!$B$26</f>
        <v>0.34</v>
      </c>
      <c r="H9" s="6" t="n">
        <f aca="false">Assumptions!$B$6*Assumptions!$B$26</f>
        <v>0.34</v>
      </c>
      <c r="I9" s="6" t="n">
        <f aca="false">Assumptions!$B$6*Assumptions!$B$26</f>
        <v>0.34</v>
      </c>
    </row>
    <row r="10" customFormat="false" ht="15" hidden="false" customHeight="false" outlineLevel="0" collapsed="false">
      <c r="A10" s="4" t="s">
        <v>162</v>
      </c>
      <c r="B10" s="27" t="n">
        <f aca="false">B8+B9</f>
        <v>5.6</v>
      </c>
      <c r="C10" s="27" t="n">
        <f aca="false">C8+C9</f>
        <v>5.15</v>
      </c>
      <c r="D10" s="27" t="n">
        <f aca="false">D8+D9</f>
        <v>4.9</v>
      </c>
      <c r="E10" s="27" t="n">
        <f aca="false">E8+E9</f>
        <v>4.24</v>
      </c>
      <c r="F10" s="27" t="n">
        <f aca="false">F8+F9</f>
        <v>4.74</v>
      </c>
      <c r="G10" s="27" t="n">
        <f aca="false">G8+G9</f>
        <v>4.94</v>
      </c>
      <c r="H10" s="27" t="n">
        <f aca="false">H8+H9</f>
        <v>5.24</v>
      </c>
      <c r="I10" s="27" t="n">
        <f aca="false">I8+I9</f>
        <v>5.34</v>
      </c>
    </row>
    <row r="11" customFormat="false" ht="15" hidden="false" customHeight="false" outlineLevel="0" collapsed="false">
      <c r="A11" s="4" t="s">
        <v>163</v>
      </c>
      <c r="B11" s="27" t="n">
        <f aca="false">-B10*Assumptions!$B$25</f>
        <v>-0.168</v>
      </c>
      <c r="C11" s="27" t="n">
        <f aca="false">-C10*Assumptions!$B$25</f>
        <v>-0.1545</v>
      </c>
      <c r="D11" s="27" t="n">
        <f aca="false">-D10*Assumptions!$B$25</f>
        <v>-0.147</v>
      </c>
      <c r="E11" s="27" t="n">
        <f aca="false">-E10*Assumptions!$B$25</f>
        <v>-0.1272</v>
      </c>
      <c r="F11" s="27" t="n">
        <f aca="false">-F10*Assumptions!$B$25</f>
        <v>-0.1422</v>
      </c>
      <c r="G11" s="27" t="n">
        <f aca="false">-G10*Assumptions!$B$25</f>
        <v>-0.1482</v>
      </c>
      <c r="H11" s="27" t="n">
        <f aca="false">-H10*Assumptions!$B$25</f>
        <v>-0.1572</v>
      </c>
      <c r="I11" s="27" t="n">
        <f aca="false">-I10*Assumptions!$B$25</f>
        <v>-0.1602</v>
      </c>
    </row>
    <row r="12" customFormat="false" ht="15" hidden="false" customHeight="false" outlineLevel="0" collapsed="false">
      <c r="A12" s="2" t="s">
        <v>164</v>
      </c>
      <c r="B12" s="26" t="n">
        <v>4.7</v>
      </c>
      <c r="C12" s="26" t="n">
        <v>4.5</v>
      </c>
      <c r="D12" s="26" t="n">
        <v>4.3</v>
      </c>
      <c r="E12" s="28" t="n">
        <f aca="false">E10+E11</f>
        <v>4.1128</v>
      </c>
      <c r="F12" s="28" t="n">
        <f aca="false">F10+F11</f>
        <v>4.5978</v>
      </c>
      <c r="G12" s="28" t="n">
        <f aca="false">G10+G11</f>
        <v>4.7918</v>
      </c>
      <c r="H12" s="28" t="n">
        <f aca="false">H10+H11</f>
        <v>5.0828</v>
      </c>
      <c r="I12" s="28" t="n">
        <f aca="false">I10+I11</f>
        <v>5.1798</v>
      </c>
    </row>
    <row r="13" customFormat="false" ht="15" hidden="false" customHeight="false" outlineLevel="0" collapsed="false">
      <c r="A13" s="4" t="s">
        <v>165</v>
      </c>
      <c r="B13" s="14" t="n">
        <f aca="false">B12/Assumptions!$B$5</f>
        <v>0.776859504132232</v>
      </c>
      <c r="C13" s="14" t="n">
        <f aca="false">C12/Assumptions!$B$5</f>
        <v>0.743801652892562</v>
      </c>
      <c r="D13" s="14" t="n">
        <f aca="false">D12/Assumptions!$B$5</f>
        <v>0.710743801652893</v>
      </c>
      <c r="E13" s="14" t="n">
        <f aca="false">E12/Assumptions!$B$5</f>
        <v>0.679801652892562</v>
      </c>
      <c r="F13" s="14" t="n">
        <f aca="false">F12/Assumptions!$B$5</f>
        <v>0.75996694214876</v>
      </c>
      <c r="G13" s="14" t="n">
        <f aca="false">G12/Assumptions!$B$5</f>
        <v>0.79203305785124</v>
      </c>
      <c r="H13" s="14" t="n">
        <f aca="false">H12/Assumptions!$B$5</f>
        <v>0.840132231404959</v>
      </c>
      <c r="I13" s="14" t="n">
        <f aca="false">I12/Assumptions!$B$5</f>
        <v>0.856165289256198</v>
      </c>
    </row>
    <row r="14" customFormat="false" ht="15" hidden="false" customHeight="false" outlineLevel="0" collapsed="false">
      <c r="A14" s="4" t="s">
        <v>166</v>
      </c>
      <c r="B14" s="14" t="n">
        <f aca="false">B13</f>
        <v>0.776859504132232</v>
      </c>
      <c r="C14" s="14" t="n">
        <f aca="false">C13</f>
        <v>0.743801652892562</v>
      </c>
      <c r="D14" s="14" t="n">
        <f aca="false">D13</f>
        <v>0.710743801652893</v>
      </c>
      <c r="E14" s="14" t="n">
        <f aca="false">E13</f>
        <v>0.679801652892562</v>
      </c>
      <c r="F14" s="14" t="n">
        <f aca="false">F13</f>
        <v>0.75996694214876</v>
      </c>
      <c r="G14" s="14" t="n">
        <f aca="false">G13</f>
        <v>0.79203305785124</v>
      </c>
      <c r="H14" s="14" t="n">
        <f aca="false">H13</f>
        <v>0.840132231404959</v>
      </c>
      <c r="I14" s="14" t="n">
        <f aca="false">I13</f>
        <v>0.856165289256198</v>
      </c>
    </row>
    <row r="16" customFormat="false" ht="15" hidden="false" customHeight="false" outlineLevel="0" collapsed="false">
      <c r="A16" s="10" t="s">
        <v>167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24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1" t="s">
        <v>51</v>
      </c>
      <c r="B3" s="11" t="s">
        <v>156</v>
      </c>
      <c r="C3" s="11" t="s">
        <v>157</v>
      </c>
      <c r="D3" s="11" t="s">
        <v>158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</row>
    <row r="4" customFormat="false" ht="15" hidden="false" customHeight="false" outlineLevel="0" collapsed="false">
      <c r="A4" s="4" t="s">
        <v>169</v>
      </c>
      <c r="B4" s="26" t="n">
        <v>9.9</v>
      </c>
      <c r="C4" s="26" t="n">
        <v>9.2</v>
      </c>
      <c r="D4" s="26" t="n">
        <v>8.5</v>
      </c>
      <c r="E4" s="27" t="n">
        <f aca="false">D4</f>
        <v>8.5</v>
      </c>
      <c r="F4" s="27" t="n">
        <f aca="false">E4</f>
        <v>8.5</v>
      </c>
      <c r="G4" s="27" t="n">
        <f aca="false">F4</f>
        <v>8.5</v>
      </c>
      <c r="H4" s="27" t="n">
        <f aca="false">G4</f>
        <v>8.5</v>
      </c>
      <c r="I4" s="27" t="n">
        <f aca="false">H4</f>
        <v>8.5</v>
      </c>
    </row>
    <row r="5" customFormat="false" ht="15" hidden="false" customHeight="false" outlineLevel="0" collapsed="false">
      <c r="A5" s="4" t="s">
        <v>170</v>
      </c>
      <c r="B5" s="26" t="n">
        <v>7.5</v>
      </c>
      <c r="C5" s="26" t="n">
        <v>7.6</v>
      </c>
      <c r="D5" s="26" t="n">
        <v>7.7</v>
      </c>
      <c r="E5" s="27" t="n">
        <f aca="false">D5</f>
        <v>7.7</v>
      </c>
      <c r="F5" s="27" t="n">
        <f aca="false">E5</f>
        <v>7.7</v>
      </c>
      <c r="G5" s="27" t="n">
        <f aca="false">F5</f>
        <v>7.7</v>
      </c>
      <c r="H5" s="27" t="n">
        <f aca="false">G5</f>
        <v>7.7</v>
      </c>
      <c r="I5" s="27" t="n">
        <f aca="false">H5</f>
        <v>7.7</v>
      </c>
    </row>
    <row r="6" customFormat="false" ht="15" hidden="false" customHeight="false" outlineLevel="0" collapsed="false">
      <c r="A6" s="4" t="s">
        <v>171</v>
      </c>
      <c r="B6" s="26" t="n">
        <v>19.5</v>
      </c>
      <c r="C6" s="26" t="n">
        <v>19.8</v>
      </c>
      <c r="D6" s="26" t="n">
        <v>20</v>
      </c>
      <c r="E6" s="27" t="n">
        <f aca="false">D6</f>
        <v>20</v>
      </c>
      <c r="F6" s="27" t="n">
        <f aca="false">E6</f>
        <v>20</v>
      </c>
      <c r="G6" s="27" t="n">
        <f aca="false">F6</f>
        <v>20</v>
      </c>
      <c r="H6" s="27" t="n">
        <f aca="false">G6</f>
        <v>20</v>
      </c>
      <c r="I6" s="27" t="n">
        <f aca="false">H6</f>
        <v>20</v>
      </c>
    </row>
    <row r="7" customFormat="false" ht="15" hidden="false" customHeight="false" outlineLevel="0" collapsed="false">
      <c r="A7" s="4" t="s">
        <v>172</v>
      </c>
      <c r="B7" s="26" t="n">
        <v>4.3</v>
      </c>
      <c r="C7" s="26" t="n">
        <v>4.4</v>
      </c>
      <c r="D7" s="26" t="n">
        <v>4.5</v>
      </c>
      <c r="E7" s="27" t="n">
        <f aca="false">D7</f>
        <v>4.5</v>
      </c>
      <c r="F7" s="27" t="n">
        <f aca="false">E7</f>
        <v>4.5</v>
      </c>
      <c r="G7" s="27" t="n">
        <f aca="false">F7</f>
        <v>4.5</v>
      </c>
      <c r="H7" s="27" t="n">
        <f aca="false">G7</f>
        <v>4.5</v>
      </c>
      <c r="I7" s="27" t="n">
        <f aca="false">H7</f>
        <v>4.5</v>
      </c>
    </row>
    <row r="8" customFormat="false" ht="15" hidden="false" customHeight="false" outlineLevel="0" collapsed="false">
      <c r="A8" s="2" t="s">
        <v>173</v>
      </c>
      <c r="B8" s="28" t="n">
        <f aca="false">SUM(B4:B7)</f>
        <v>41.2</v>
      </c>
      <c r="C8" s="28" t="n">
        <f aca="false">SUM(C4:C7)</f>
        <v>41</v>
      </c>
      <c r="D8" s="28" t="n">
        <f aca="false">SUM(D4:D7)</f>
        <v>40.7</v>
      </c>
      <c r="E8" s="28" t="n">
        <f aca="false">SUM(E4:E7)</f>
        <v>40.7</v>
      </c>
      <c r="F8" s="28" t="n">
        <f aca="false">SUM(F4:F7)</f>
        <v>40.7</v>
      </c>
      <c r="G8" s="28" t="n">
        <f aca="false">SUM(G4:G7)</f>
        <v>40.7</v>
      </c>
      <c r="H8" s="28" t="n">
        <f aca="false">SUM(H4:H7)</f>
        <v>40.7</v>
      </c>
      <c r="I8" s="28" t="n">
        <f aca="false">SUM(I4:I7)</f>
        <v>40.7</v>
      </c>
    </row>
    <row r="9" customFormat="false" ht="15" hidden="false" customHeight="false" outlineLevel="0" collapsed="false">
      <c r="A9" s="4" t="s">
        <v>174</v>
      </c>
      <c r="B9" s="26" t="n">
        <v>2.1</v>
      </c>
      <c r="C9" s="26" t="n">
        <v>2</v>
      </c>
      <c r="D9" s="26" t="n">
        <v>2</v>
      </c>
      <c r="E9" s="26" t="n">
        <v>2</v>
      </c>
      <c r="F9" s="26" t="n">
        <v>2</v>
      </c>
      <c r="G9" s="26" t="n">
        <v>2</v>
      </c>
      <c r="H9" s="26" t="n">
        <v>2</v>
      </c>
      <c r="I9" s="26" t="n">
        <v>2</v>
      </c>
    </row>
    <row r="10" customFormat="false" ht="15" hidden="false" customHeight="false" outlineLevel="0" collapsed="false">
      <c r="A10" s="2" t="s">
        <v>175</v>
      </c>
      <c r="B10" s="28" t="n">
        <f aca="false">B8-B9</f>
        <v>39.1</v>
      </c>
      <c r="C10" s="28" t="n">
        <f aca="false">C8-C9</f>
        <v>39</v>
      </c>
      <c r="D10" s="28" t="n">
        <f aca="false">D8-D9</f>
        <v>38.7</v>
      </c>
      <c r="E10" s="28" t="n">
        <f aca="false">E8-E9</f>
        <v>38.7</v>
      </c>
      <c r="F10" s="28" t="n">
        <f aca="false">F8-F9</f>
        <v>38.7</v>
      </c>
      <c r="G10" s="28" t="n">
        <f aca="false">G8-G9</f>
        <v>38.7</v>
      </c>
      <c r="H10" s="28" t="n">
        <f aca="false">H8-H9</f>
        <v>38.7</v>
      </c>
      <c r="I10" s="28" t="n">
        <f aca="false">I8-I9</f>
        <v>38.7</v>
      </c>
    </row>
    <row r="12" customFormat="false" ht="15" hidden="false" customHeight="false" outlineLevel="0" collapsed="false">
      <c r="A12" s="10" t="s">
        <v>176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24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1" t="s">
        <v>51</v>
      </c>
      <c r="B3" s="11" t="s">
        <v>156</v>
      </c>
      <c r="C3" s="11" t="s">
        <v>157</v>
      </c>
      <c r="D3" s="11" t="s">
        <v>158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</row>
    <row r="4" customFormat="false" ht="15" hidden="false" customHeight="false" outlineLevel="0" collapsed="false">
      <c r="A4" s="4" t="s">
        <v>178</v>
      </c>
      <c r="B4" s="26" t="n">
        <v>4.8</v>
      </c>
      <c r="C4" s="26" t="n">
        <v>4.6</v>
      </c>
      <c r="D4" s="26" t="n">
        <v>4.4</v>
      </c>
      <c r="E4" s="6" t="n">
        <f aca="false">'Income Statement'!E12+Assumptions!B31-Assumptions!B33</f>
        <v>5.6128</v>
      </c>
      <c r="F4" s="6" t="n">
        <f aca="false">'Income Statement'!F12+Assumptions!C31-Assumptions!C33</f>
        <v>6.1978</v>
      </c>
      <c r="G4" s="6" t="n">
        <f aca="false">'Income Statement'!G12+Assumptions!D31-Assumptions!D33</f>
        <v>6.5918</v>
      </c>
      <c r="H4" s="6" t="n">
        <f aca="false">'Income Statement'!H12+Assumptions!E31-Assumptions!E33</f>
        <v>6.8828</v>
      </c>
      <c r="I4" s="6" t="n">
        <f aca="false">'Income Statement'!I12+Assumptions!F31-Assumptions!F33</f>
        <v>7.0798</v>
      </c>
    </row>
    <row r="5" customFormat="false" ht="15" hidden="false" customHeight="false" outlineLevel="0" collapsed="false">
      <c r="A5" s="4" t="s">
        <v>144</v>
      </c>
      <c r="B5" s="26" t="n">
        <v>-2.4</v>
      </c>
      <c r="C5" s="26" t="n">
        <v>-2.3</v>
      </c>
      <c r="D5" s="26" t="n">
        <v>-2.2</v>
      </c>
      <c r="E5" s="6" t="n">
        <f aca="false">-Assumptions!B32</f>
        <v>-2</v>
      </c>
      <c r="F5" s="6" t="n">
        <f aca="false">-Assumptions!C32</f>
        <v>-1.9</v>
      </c>
      <c r="G5" s="6" t="n">
        <f aca="false">-Assumptions!D32</f>
        <v>-1.9</v>
      </c>
      <c r="H5" s="6" t="n">
        <f aca="false">-Assumptions!E32</f>
        <v>-2</v>
      </c>
      <c r="I5" s="6" t="n">
        <f aca="false">-Assumptions!F32</f>
        <v>-2.1</v>
      </c>
    </row>
    <row r="6" customFormat="false" ht="15" hidden="false" customHeight="false" outlineLevel="0" collapsed="false">
      <c r="A6" s="2" t="s">
        <v>179</v>
      </c>
      <c r="B6" s="28" t="n">
        <f aca="false">B4+B5</f>
        <v>2.4</v>
      </c>
      <c r="C6" s="28" t="n">
        <f aca="false">C4+C5</f>
        <v>2.3</v>
      </c>
      <c r="D6" s="28" t="n">
        <f aca="false">D4+D5</f>
        <v>2.2</v>
      </c>
      <c r="E6" s="28" t="n">
        <f aca="false">E4+E5</f>
        <v>3.6128</v>
      </c>
      <c r="F6" s="28" t="n">
        <f aca="false">F4+F5</f>
        <v>4.2978</v>
      </c>
      <c r="G6" s="28" t="n">
        <f aca="false">G4+G5</f>
        <v>4.6918</v>
      </c>
      <c r="H6" s="28" t="n">
        <f aca="false">H4+H5</f>
        <v>4.8828</v>
      </c>
      <c r="I6" s="28" t="n">
        <f aca="false">I4+I5</f>
        <v>4.9798</v>
      </c>
    </row>
    <row r="7" customFormat="false" ht="15" hidden="false" customHeight="false" outlineLevel="0" collapsed="false">
      <c r="A7" s="4" t="s">
        <v>180</v>
      </c>
      <c r="B7" s="26" t="n">
        <v>-4.7</v>
      </c>
      <c r="C7" s="26" t="n">
        <v>-4.5</v>
      </c>
      <c r="D7" s="26" t="n">
        <v>-4.3</v>
      </c>
      <c r="E7" s="6" t="n">
        <f aca="false">-'Income Statement'!E12</f>
        <v>-4.1128</v>
      </c>
      <c r="F7" s="6" t="n">
        <f aca="false">-'Income Statement'!F12</f>
        <v>-4.5978</v>
      </c>
      <c r="G7" s="6" t="n">
        <f aca="false">-'Income Statement'!G12</f>
        <v>-4.7918</v>
      </c>
      <c r="H7" s="6" t="n">
        <f aca="false">-'Income Statement'!H12</f>
        <v>-5.0828</v>
      </c>
      <c r="I7" s="6" t="n">
        <f aca="false">-'Income Statement'!I12</f>
        <v>-5.1798</v>
      </c>
    </row>
    <row r="9" customFormat="false" ht="15" hidden="false" customHeight="false" outlineLevel="0" collapsed="false">
      <c r="A9" s="10" t="s">
        <v>181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24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1" t="s">
        <v>51</v>
      </c>
      <c r="B3" s="11" t="s">
        <v>156</v>
      </c>
      <c r="C3" s="11" t="s">
        <v>157</v>
      </c>
      <c r="D3" s="11" t="s">
        <v>158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</row>
    <row r="4" customFormat="false" ht="15" hidden="false" customHeight="false" outlineLevel="0" collapsed="false">
      <c r="A4" s="4" t="s">
        <v>159</v>
      </c>
      <c r="B4" s="6" t="n">
        <f aca="false">'Income Statement'!B4</f>
        <v>17.9</v>
      </c>
      <c r="C4" s="6" t="n">
        <f aca="false">'Income Statement'!C4</f>
        <v>16.4</v>
      </c>
      <c r="D4" s="6" t="n">
        <f aca="false">'Income Statement'!D4</f>
        <v>16.5</v>
      </c>
      <c r="E4" s="6" t="n">
        <f aca="false">'Income Statement'!E4</f>
        <v>16</v>
      </c>
      <c r="F4" s="6" t="n">
        <f aca="false">'Income Statement'!F4</f>
        <v>17</v>
      </c>
      <c r="G4" s="6" t="n">
        <f aca="false">'Income Statement'!G4</f>
        <v>17.6</v>
      </c>
      <c r="H4" s="6" t="n">
        <f aca="false">'Income Statement'!H4</f>
        <v>18.1</v>
      </c>
      <c r="I4" s="6" t="n">
        <f aca="false">'Income Statement'!I4</f>
        <v>18.5</v>
      </c>
    </row>
    <row r="5" customFormat="false" ht="15" hidden="false" customHeight="false" outlineLevel="0" collapsed="false">
      <c r="A5" s="4" t="s">
        <v>87</v>
      </c>
      <c r="B5" s="6" t="n">
        <f aca="false">'Income Statement'!B5</f>
        <v>7</v>
      </c>
      <c r="C5" s="6" t="n">
        <f aca="false">'Income Statement'!C5</f>
        <v>6.6</v>
      </c>
      <c r="D5" s="6" t="n">
        <f aca="false">'Income Statement'!D5</f>
        <v>6.4</v>
      </c>
      <c r="E5" s="6" t="n">
        <f aca="false">'Income Statement'!E5</f>
        <v>5.7</v>
      </c>
      <c r="F5" s="6" t="n">
        <f aca="false">'Income Statement'!F5</f>
        <v>6.3</v>
      </c>
      <c r="G5" s="6" t="n">
        <f aca="false">'Income Statement'!G5</f>
        <v>6.6</v>
      </c>
      <c r="H5" s="6" t="n">
        <f aca="false">'Income Statement'!H5</f>
        <v>6.9</v>
      </c>
      <c r="I5" s="6" t="n">
        <f aca="false">'Income Statement'!I5</f>
        <v>7.1</v>
      </c>
    </row>
    <row r="6" customFormat="false" ht="15" hidden="false" customHeight="false" outlineLevel="0" collapsed="false">
      <c r="A6" s="4" t="s">
        <v>140</v>
      </c>
      <c r="B6" s="6" t="n">
        <f aca="false">'Income Statement'!B8</f>
        <v>5.3</v>
      </c>
      <c r="C6" s="6" t="n">
        <f aca="false">'Income Statement'!C8</f>
        <v>4.85</v>
      </c>
      <c r="D6" s="6" t="n">
        <f aca="false">'Income Statement'!D8</f>
        <v>4.6</v>
      </c>
      <c r="E6" s="6" t="n">
        <f aca="false">'Income Statement'!E8</f>
        <v>3.9</v>
      </c>
      <c r="F6" s="6" t="n">
        <f aca="false">'Income Statement'!F8</f>
        <v>4.4</v>
      </c>
      <c r="G6" s="6" t="n">
        <f aca="false">'Income Statement'!G8</f>
        <v>4.6</v>
      </c>
      <c r="H6" s="6" t="n">
        <f aca="false">'Income Statement'!H8</f>
        <v>4.9</v>
      </c>
      <c r="I6" s="6" t="n">
        <f aca="false">'Income Statement'!I8</f>
        <v>5</v>
      </c>
    </row>
    <row r="7" customFormat="false" ht="15" hidden="false" customHeight="false" outlineLevel="0" collapsed="false">
      <c r="A7" s="4" t="s">
        <v>164</v>
      </c>
      <c r="B7" s="6" t="n">
        <f aca="false">'Income Statement'!B12</f>
        <v>4.7</v>
      </c>
      <c r="C7" s="6" t="n">
        <f aca="false">'Income Statement'!C12</f>
        <v>4.5</v>
      </c>
      <c r="D7" s="6" t="n">
        <f aca="false">'Income Statement'!D12</f>
        <v>4.3</v>
      </c>
      <c r="E7" s="6" t="n">
        <f aca="false">'Income Statement'!E12</f>
        <v>4.1128</v>
      </c>
      <c r="F7" s="6" t="n">
        <f aca="false">'Income Statement'!F12</f>
        <v>4.5978</v>
      </c>
      <c r="G7" s="6" t="n">
        <f aca="false">'Income Statement'!G12</f>
        <v>4.7918</v>
      </c>
      <c r="H7" s="6" t="n">
        <f aca="false">'Income Statement'!H12</f>
        <v>5.0828</v>
      </c>
      <c r="I7" s="6" t="n">
        <f aca="false">'Income Statement'!I12</f>
        <v>5.1798</v>
      </c>
    </row>
    <row r="8" customFormat="false" ht="15" hidden="false" customHeight="false" outlineLevel="0" collapsed="false">
      <c r="A8" s="4" t="s">
        <v>165</v>
      </c>
      <c r="B8" s="5" t="n">
        <f aca="false">'Income Statement'!B13</f>
        <v>0.776859504132232</v>
      </c>
      <c r="C8" s="5" t="n">
        <f aca="false">'Income Statement'!C13</f>
        <v>0.743801652892562</v>
      </c>
      <c r="D8" s="5" t="n">
        <f aca="false">'Income Statement'!D13</f>
        <v>0.710743801652893</v>
      </c>
      <c r="E8" s="5" t="n">
        <f aca="false">'Income Statement'!E13</f>
        <v>0.679801652892562</v>
      </c>
      <c r="F8" s="5" t="n">
        <f aca="false">'Income Statement'!F13</f>
        <v>0.75996694214876</v>
      </c>
      <c r="G8" s="5" t="n">
        <f aca="false">'Income Statement'!G13</f>
        <v>0.79203305785124</v>
      </c>
      <c r="H8" s="5" t="n">
        <f aca="false">'Income Statement'!H13</f>
        <v>0.840132231404959</v>
      </c>
      <c r="I8" s="5" t="n">
        <f aca="false">'Income Statement'!I13</f>
        <v>0.856165289256198</v>
      </c>
    </row>
    <row r="9" customFormat="false" ht="15" hidden="false" customHeight="false" outlineLevel="0" collapsed="false">
      <c r="A9" s="4" t="s">
        <v>173</v>
      </c>
      <c r="B9" s="6" t="n">
        <f aca="false">'Balance Sheet'!B8</f>
        <v>41.2</v>
      </c>
      <c r="C9" s="6" t="n">
        <f aca="false">'Balance Sheet'!C8</f>
        <v>41</v>
      </c>
      <c r="D9" s="6" t="n">
        <f aca="false">'Balance Sheet'!D8</f>
        <v>40.7</v>
      </c>
      <c r="E9" s="6" t="n">
        <f aca="false">'Balance Sheet'!E8</f>
        <v>40.7</v>
      </c>
      <c r="F9" s="6" t="n">
        <f aca="false">'Balance Sheet'!F8</f>
        <v>40.7</v>
      </c>
      <c r="G9" s="6" t="n">
        <f aca="false">'Balance Sheet'!G8</f>
        <v>40.7</v>
      </c>
      <c r="H9" s="6" t="n">
        <f aca="false">'Balance Sheet'!H8</f>
        <v>40.7</v>
      </c>
      <c r="I9" s="6" t="n">
        <f aca="false">'Balance Sheet'!I8</f>
        <v>40.7</v>
      </c>
    </row>
    <row r="10" customFormat="false" ht="15" hidden="false" customHeight="false" outlineLevel="0" collapsed="false">
      <c r="A10" s="4" t="s">
        <v>175</v>
      </c>
      <c r="B10" s="6" t="n">
        <f aca="false">'Balance Sheet'!B10</f>
        <v>39.1</v>
      </c>
      <c r="C10" s="6" t="n">
        <f aca="false">'Balance Sheet'!C10</f>
        <v>39</v>
      </c>
      <c r="D10" s="6" t="n">
        <f aca="false">'Balance Sheet'!D10</f>
        <v>38.7</v>
      </c>
      <c r="E10" s="6" t="n">
        <f aca="false">'Balance Sheet'!E10</f>
        <v>38.7</v>
      </c>
      <c r="F10" s="6" t="n">
        <f aca="false">'Balance Sheet'!F10</f>
        <v>38.7</v>
      </c>
      <c r="G10" s="6" t="n">
        <f aca="false">'Balance Sheet'!G10</f>
        <v>38.7</v>
      </c>
      <c r="H10" s="6" t="n">
        <f aca="false">'Balance Sheet'!H10</f>
        <v>38.7</v>
      </c>
      <c r="I10" s="6" t="n">
        <f aca="false">'Balance Sheet'!I10</f>
        <v>38.7</v>
      </c>
    </row>
    <row r="11" customFormat="false" ht="15" hidden="false" customHeight="false" outlineLevel="0" collapsed="false">
      <c r="A11" s="4" t="s">
        <v>179</v>
      </c>
      <c r="B11" s="6" t="n">
        <f aca="false">'Cash Flow'!B6</f>
        <v>2.4</v>
      </c>
      <c r="C11" s="6" t="n">
        <f aca="false">'Cash Flow'!C6</f>
        <v>2.3</v>
      </c>
      <c r="D11" s="6" t="n">
        <f aca="false">'Cash Flow'!D6</f>
        <v>2.2</v>
      </c>
      <c r="E11" s="6" t="n">
        <f aca="false">'Cash Flow'!E6</f>
        <v>3.6128</v>
      </c>
      <c r="F11" s="6" t="n">
        <f aca="false">'Cash Flow'!F6</f>
        <v>4.2978</v>
      </c>
      <c r="G11" s="6" t="n">
        <f aca="false">'Cash Flow'!G6</f>
        <v>4.6918</v>
      </c>
      <c r="H11" s="6" t="n">
        <f aca="false">'Cash Flow'!H6</f>
        <v>4.8828</v>
      </c>
      <c r="I11" s="6" t="n">
        <f aca="false">'Cash Flow'!I6</f>
        <v>4.9798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4"/>
  </cols>
  <sheetData>
    <row r="1" customFormat="false" ht="24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184</v>
      </c>
    </row>
    <row r="4" customFormat="false" ht="15" hidden="false" customHeight="false" outlineLevel="0" collapsed="false">
      <c r="A4" s="4" t="s">
        <v>16</v>
      </c>
      <c r="B4" s="12" t="n">
        <v>11.07</v>
      </c>
    </row>
    <row r="5" customFormat="false" ht="15" hidden="false" customHeight="false" outlineLevel="0" collapsed="false">
      <c r="A5" s="4" t="s">
        <v>185</v>
      </c>
      <c r="B5" s="13" t="n">
        <v>0.217774979385484</v>
      </c>
    </row>
    <row r="6" customFormat="false" ht="15" hidden="false" customHeight="false" outlineLevel="0" collapsed="false">
      <c r="A6" s="4" t="s">
        <v>186</v>
      </c>
      <c r="B6" s="29" t="n">
        <v>0.864959560866642</v>
      </c>
    </row>
    <row r="7" customFormat="false" ht="15" hidden="false" customHeight="false" outlineLevel="0" collapsed="false">
      <c r="A7" s="4" t="s">
        <v>187</v>
      </c>
      <c r="B7" s="29" t="n">
        <v>0.322585469987922</v>
      </c>
    </row>
    <row r="8" customFormat="false" ht="15" hidden="false" customHeight="false" outlineLevel="0" collapsed="false">
      <c r="A8" s="4" t="s">
        <v>188</v>
      </c>
      <c r="B8" s="13" t="n">
        <v>0.006</v>
      </c>
    </row>
    <row r="9" customFormat="false" ht="15" hidden="false" customHeight="false" outlineLevel="0" collapsed="false">
      <c r="A9" s="4" t="s">
        <v>189</v>
      </c>
      <c r="B9" s="30" t="s">
        <v>190</v>
      </c>
    </row>
    <row r="11" customFormat="false" ht="15" hidden="false" customHeight="false" outlineLevel="0" collapsed="false">
      <c r="A11" s="2" t="s">
        <v>191</v>
      </c>
    </row>
    <row r="12" customFormat="false" ht="15" hidden="false" customHeight="false" outlineLevel="0" collapsed="false">
      <c r="A12" s="11" t="s">
        <v>192</v>
      </c>
      <c r="B12" s="11" t="s">
        <v>193</v>
      </c>
      <c r="C12" s="11" t="s">
        <v>194</v>
      </c>
      <c r="D12" s="11" t="s">
        <v>195</v>
      </c>
      <c r="E12" s="11" t="s">
        <v>196</v>
      </c>
      <c r="F12" s="11" t="s">
        <v>197</v>
      </c>
    </row>
    <row r="13" customFormat="false" ht="15" hidden="false" customHeight="false" outlineLevel="0" collapsed="false">
      <c r="A13" s="4" t="s">
        <v>198</v>
      </c>
      <c r="B13" s="12" t="n">
        <v>9.61898754433486</v>
      </c>
      <c r="C13" s="12" t="n">
        <v>10.6000082972393</v>
      </c>
      <c r="D13" s="12" t="n">
        <v>11.12945777837</v>
      </c>
      <c r="E13" s="12" t="n">
        <v>11.6749131222511</v>
      </c>
      <c r="F13" s="12" t="n">
        <v>12.7317073234938</v>
      </c>
    </row>
    <row r="14" customFormat="false" ht="15" hidden="false" customHeight="false" outlineLevel="0" collapsed="false">
      <c r="A14" s="4" t="s">
        <v>199</v>
      </c>
      <c r="B14" s="12" t="n">
        <v>8.83975335865494</v>
      </c>
      <c r="C14" s="12" t="n">
        <v>10.2392330094736</v>
      </c>
      <c r="D14" s="12" t="n">
        <v>11.2126743637445</v>
      </c>
      <c r="E14" s="12" t="n">
        <v>12.2463003240451</v>
      </c>
      <c r="F14" s="12" t="n">
        <v>14.0807953664436</v>
      </c>
    </row>
    <row r="16" customFormat="false" ht="15" hidden="false" customHeight="false" outlineLevel="0" collapsed="false">
      <c r="A16" s="2" t="s">
        <v>200</v>
      </c>
    </row>
    <row r="17" customFormat="false" ht="15" hidden="false" customHeight="false" outlineLevel="0" collapsed="false">
      <c r="A17" s="11" t="s">
        <v>201</v>
      </c>
      <c r="B17" s="11" t="s">
        <v>202</v>
      </c>
    </row>
    <row r="18" customFormat="false" ht="15" hidden="false" customHeight="false" outlineLevel="0" collapsed="false">
      <c r="A18" s="12" t="n">
        <v>13</v>
      </c>
      <c r="B18" s="31" t="n">
        <v>0.29</v>
      </c>
    </row>
    <row r="19" customFormat="false" ht="15" hidden="false" customHeight="false" outlineLevel="0" collapsed="false">
      <c r="A19" s="12" t="n">
        <v>12</v>
      </c>
      <c r="B19" s="31" t="n">
        <v>0.58</v>
      </c>
    </row>
    <row r="20" customFormat="false" ht="15" hidden="false" customHeight="false" outlineLevel="0" collapsed="false">
      <c r="A20" s="12" t="n">
        <v>11.5</v>
      </c>
      <c r="B20" s="31" t="n">
        <v>0.77</v>
      </c>
    </row>
    <row r="21" customFormat="false" ht="15" hidden="false" customHeight="false" outlineLevel="0" collapsed="false">
      <c r="A21" s="12" t="n">
        <v>10.5</v>
      </c>
      <c r="B21" s="31" t="n">
        <v>0.5</v>
      </c>
    </row>
    <row r="22" customFormat="false" ht="15" hidden="false" customHeight="false" outlineLevel="0" collapsed="false">
      <c r="A22" s="12" t="n">
        <v>10</v>
      </c>
      <c r="B22" s="31" t="n">
        <v>0.29</v>
      </c>
    </row>
    <row r="23" customFormat="false" ht="15" hidden="false" customHeight="false" outlineLevel="0" collapsed="false">
      <c r="A23" s="12" t="n">
        <v>9.5</v>
      </c>
      <c r="B23" s="31" t="n">
        <v>0.16</v>
      </c>
    </row>
    <row r="25" customFormat="false" ht="15" hidden="false" customHeight="false" outlineLevel="0" collapsed="false">
      <c r="A25" s="10" t="s">
        <v>203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2"/>
    <col collapsed="false" customWidth="true" hidden="false" outlineLevel="0" max="8" min="8" style="0" width="4"/>
  </cols>
  <sheetData>
    <row r="1" customFormat="false" ht="24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205</v>
      </c>
      <c r="B3" s="32" t="n">
        <v>0.02</v>
      </c>
      <c r="C3" s="32" t="n">
        <v>0.025</v>
      </c>
      <c r="D3" s="32" t="n">
        <v>0.03</v>
      </c>
      <c r="E3" s="32" t="n">
        <v>0.035</v>
      </c>
      <c r="F3" s="32" t="n">
        <v>0.04</v>
      </c>
    </row>
    <row r="4" customFormat="false" ht="15" hidden="false" customHeight="false" outlineLevel="0" collapsed="false">
      <c r="A4" s="32" t="n">
        <v>0.09</v>
      </c>
      <c r="B4" s="14" t="n">
        <f aca="false">((SUMPRODUCT(DCF!$B$12:$F$12,1/(1+0.09)^{1,2,3,4,5}))+ (DCF!$F$12*(1+0.02)/(0.09-0.02))/(1+0.09)^5 + Assumptions!$B$6)/Assumptions!$B$5</f>
        <v>11.3231589884029</v>
      </c>
      <c r="C4" s="14" t="n">
        <f aca="false">((SUMPRODUCT(DCF!$B$12:$F$12,1/(1+0.09)^{1,2,3,4,5}))+ (DCF!$F$12*(1+0.025)/(0.09-0.025))/(1+0.09)^5 + Assumptions!$B$6)/Assumptions!$B$5</f>
        <v>11.9215019602408</v>
      </c>
      <c r="D4" s="14" t="n">
        <f aca="false">((SUMPRODUCT(DCF!$B$12:$F$12,1/(1+0.09)^{1,2,3,4,5}))+ (DCF!$F$12*(1+0.03)/(0.09-0.03))/(1+0.09)^5 + Assumptions!$B$6)/Assumptions!$B$5</f>
        <v>12.6195687607182</v>
      </c>
      <c r="E4" s="14" t="n">
        <f aca="false">((SUMPRODUCT(DCF!$B$12:$F$12,1/(1+0.09)^{1,2,3,4,5}))+ (DCF!$F$12*(1+0.035)/(0.09-0.035))/(1+0.09)^5 + Assumptions!$B$6)/Assumptions!$B$5</f>
        <v>13.4445567976461</v>
      </c>
      <c r="F4" s="14" t="n">
        <f aca="false">((SUMPRODUCT(DCF!$B$12:$F$12,1/(1+0.09)^{1,2,3,4,5}))+ (DCF!$F$12*(1+0.04)/(0.09-0.04))/(1+0.09)^5 + Assumptions!$B$6)/Assumptions!$B$5</f>
        <v>14.4345424419596</v>
      </c>
    </row>
    <row r="5" customFormat="false" ht="15" hidden="false" customHeight="false" outlineLevel="0" collapsed="false">
      <c r="A5" s="32" t="n">
        <v>0.095</v>
      </c>
      <c r="B5" s="14" t="n">
        <f aca="false">((SUMPRODUCT(DCF!$B$12:$F$12,1/(1+0.095)^{1,2,3,4,5}))+ (DCF!$F$12*(1+0.02)/(0.095-0.02))/(1+0.095)^5 + Assumptions!$B$6)/Assumptions!$B$5</f>
        <v>10.6483337335332</v>
      </c>
      <c r="C5" s="14" t="n">
        <f aca="false">((SUMPRODUCT(DCF!$B$12:$F$12,1/(1+0.095)^{1,2,3,4,5}))+ (DCF!$F$12*(1+0.025)/(0.095-0.025))/(1+0.095)^5 + Assumptions!$B$6)/Assumptions!$B$5</f>
        <v>11.1574908314787</v>
      </c>
      <c r="D5" s="14" t="n">
        <f aca="false">((SUMPRODUCT(DCF!$B$12:$F$12,1/(1+0.095)^{1,2,3,4,5}))+ (DCF!$F$12*(1+0.03)/(0.095-0.03))/(1+0.095)^5 + Assumptions!$B$6)/Assumptions!$B$5</f>
        <v>11.7449797906466</v>
      </c>
      <c r="E5" s="14" t="n">
        <f aca="false">((SUMPRODUCT(DCF!$B$12:$F$12,1/(1+0.095)^{1,2,3,4,5}))+ (DCF!$F$12*(1+0.035)/(0.095-0.035))/(1+0.095)^5 + Assumptions!$B$6)/Assumptions!$B$5</f>
        <v>12.4303835763425</v>
      </c>
      <c r="F5" s="14" t="n">
        <f aca="false">((SUMPRODUCT(DCF!$B$12:$F$12,1/(1+0.095)^{1,2,3,4,5}))+ (DCF!$F$12*(1+0.04)/(0.095-0.04))/(1+0.095)^5 + Assumptions!$B$6)/Assumptions!$B$5</f>
        <v>13.2404062321649</v>
      </c>
    </row>
    <row r="6" customFormat="false" ht="15" hidden="false" customHeight="false" outlineLevel="0" collapsed="false">
      <c r="A6" s="32" t="n">
        <v>0.1</v>
      </c>
      <c r="B6" s="14" t="n">
        <f aca="false">((SUMPRODUCT(DCF!$B$12:$F$12,1/(1+0.1)^{1,2,3,4,5}))+ (DCF!$F$12*(1+0.02)/(0.1-0.02))/(1+0.1)^5 + Assumptions!$B$6)/Assumptions!$B$5</f>
        <v>10.0580226139546</v>
      </c>
      <c r="C6" s="14" t="n">
        <f aca="false">((SUMPRODUCT(DCF!$B$12:$F$12,1/(1+0.1)^{1,2,3,4,5}))+ (DCF!$F$12*(1+0.025)/(0.1-0.025))/(1+0.1)^5 + Assumptions!$B$6)/Assumptions!$B$5</f>
        <v>10.4954899097463</v>
      </c>
      <c r="D6" s="14" t="n">
        <f aca="false">((SUMPRODUCT(DCF!$B$12:$F$12,1/(1+0.1)^{1,2,3,4,5}))+ (DCF!$F$12*(1+0.03)/(0.1-0.03))/(1+0.1)^5 + Assumptions!$B$6)/Assumptions!$B$5</f>
        <v>10.9954525335082</v>
      </c>
      <c r="E6" s="14" t="n">
        <f aca="false">((SUMPRODUCT(DCF!$B$12:$F$12,1/(1+0.1)^{1,2,3,4,5}))+ (DCF!$F$12*(1+0.035)/(0.1-0.035))/(1+0.1)^5 + Assumptions!$B$6)/Assumptions!$B$5</f>
        <v>11.5723324840027</v>
      </c>
      <c r="F6" s="14" t="n">
        <f aca="false">((SUMPRODUCT(DCF!$B$12:$F$12,1/(1+0.1)^{1,2,3,4,5}))+ (DCF!$F$12*(1+0.04)/(0.1-0.04))/(1+0.1)^5 + Assumptions!$B$6)/Assumptions!$B$5</f>
        <v>12.245359092913</v>
      </c>
    </row>
    <row r="7" customFormat="false" ht="15" hidden="false" customHeight="false" outlineLevel="0" collapsed="false">
      <c r="A7" s="32" t="n">
        <v>0.105</v>
      </c>
      <c r="B7" s="14" t="n">
        <f aca="false">((SUMPRODUCT(DCF!$B$12:$F$12,1/(1+0.105)^{1,2,3,4,5}))+ (DCF!$F$12*(1+0.02)/(0.105-0.02))/(1+0.105)^5 + Assumptions!$B$6)/Assumptions!$B$5</f>
        <v>9.53730863864418</v>
      </c>
      <c r="C7" s="14" t="n">
        <f aca="false">((SUMPRODUCT(DCF!$B$12:$F$12,1/(1+0.105)^{1,2,3,4,5}))+ (DCF!$F$12*(1+0.025)/(0.105-0.025))/(1+0.105)^5 + Assumptions!$B$6)/Assumptions!$B$5</f>
        <v>9.91637003472991</v>
      </c>
      <c r="D7" s="14" t="n">
        <f aca="false">((SUMPRODUCT(DCF!$B$12:$F$12,1/(1+0.105)^{1,2,3,4,5}))+ (DCF!$F$12*(1+0.03)/(0.105-0.03))/(1+0.105)^5 + Assumptions!$B$6)/Assumptions!$B$5</f>
        <v>10.3459729502937</v>
      </c>
      <c r="E7" s="14" t="n">
        <f aca="false">((SUMPRODUCT(DCF!$B$12:$F$12,1/(1+0.105)^{1,2,3,4,5}))+ (DCF!$F$12*(1+0.035)/(0.105-0.035))/(1+0.105)^5 + Assumptions!$B$6)/Assumptions!$B$5</f>
        <v>10.8369477109381</v>
      </c>
      <c r="F7" s="14" t="n">
        <f aca="false">((SUMPRODUCT(DCF!$B$12:$F$12,1/(1+0.105)^{1,2,3,4,5}))+ (DCF!$F$12*(1+0.04)/(0.105-0.04))/(1+0.105)^5 + Assumptions!$B$6)/Assumptions!$B$5</f>
        <v>11.4034570501432</v>
      </c>
    </row>
    <row r="8" customFormat="false" ht="15" hidden="false" customHeight="false" outlineLevel="0" collapsed="false">
      <c r="A8" s="32" t="n">
        <v>0.11</v>
      </c>
      <c r="B8" s="14" t="n">
        <f aca="false">((SUMPRODUCT(DCF!$B$12:$F$12,1/(1+0.11)^{1,2,3,4,5}))+ (DCF!$F$12*(1+0.02)/(0.11-0.02))/(1+0.11)^5 + Assumptions!$B$6)/Assumptions!$B$5</f>
        <v>9.07458976321411</v>
      </c>
      <c r="C8" s="14" t="n">
        <f aca="false">((SUMPRODUCT(DCF!$B$12:$F$12,1/(1+0.11)^{1,2,3,4,5}))+ (DCF!$F$12*(1+0.025)/(0.11-0.025))/(1+0.11)^5 + Assumptions!$B$6)/Assumptions!$B$5</f>
        <v>9.40550307059532</v>
      </c>
      <c r="D8" s="14" t="n">
        <f aca="false">((SUMPRODUCT(DCF!$B$12:$F$12,1/(1+0.11)^{1,2,3,4,5}))+ (DCF!$F$12*(1+0.03)/(0.11-0.03))/(1+0.11)^5 + Assumptions!$B$6)/Assumptions!$B$5</f>
        <v>9.77778054139919</v>
      </c>
      <c r="E8" s="14" t="n">
        <f aca="false">((SUMPRODUCT(DCF!$B$12:$F$12,1/(1+0.11)^{1,2,3,4,5}))+ (DCF!$F$12*(1+0.035)/(0.11-0.035))/(1+0.11)^5 + Assumptions!$B$6)/Assumptions!$B$5</f>
        <v>10.1996950083102</v>
      </c>
      <c r="F8" s="14" t="n">
        <f aca="false">((SUMPRODUCT(DCF!$B$12:$F$12,1/(1+0.11)^{1,2,3,4,5}))+ (DCF!$F$12*(1+0.04)/(0.11-0.04))/(1+0.11)^5 + Assumptions!$B$6)/Assumptions!$B$5</f>
        <v>10.6818829704943</v>
      </c>
    </row>
    <row r="10" customFormat="false" ht="15" hidden="false" customHeight="false" outlineLevel="0" collapsed="false">
      <c r="A10" s="10" t="s">
        <v>206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7" min="5" style="0" width="4"/>
  </cols>
  <sheetData>
    <row r="1" customFormat="false" ht="24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208</v>
      </c>
      <c r="B3" s="11" t="s">
        <v>157</v>
      </c>
      <c r="C3" s="11" t="s">
        <v>158</v>
      </c>
      <c r="D3" s="11" t="s">
        <v>82</v>
      </c>
      <c r="E3" s="11"/>
      <c r="F3" s="11"/>
    </row>
    <row r="4" customFormat="false" ht="15" hidden="false" customHeight="false" outlineLevel="0" collapsed="false">
      <c r="A4" s="4" t="s">
        <v>165</v>
      </c>
      <c r="B4" s="5" t="n">
        <f aca="false">'Income Statement'!C13</f>
        <v>0.743801652892562</v>
      </c>
      <c r="C4" s="5" t="n">
        <f aca="false">'Income Statement'!D13</f>
        <v>0.710743801652893</v>
      </c>
      <c r="D4" s="5" t="n">
        <f aca="false">'Income Statement'!E13</f>
        <v>0.679801652892562</v>
      </c>
    </row>
    <row r="5" customFormat="false" ht="15" hidden="false" customHeight="false" outlineLevel="0" collapsed="false">
      <c r="A5" s="4" t="s">
        <v>209</v>
      </c>
      <c r="B5" s="5" t="n">
        <f aca="false">'Income Statement'!C13</f>
        <v>0.743801652892562</v>
      </c>
      <c r="C5" s="5" t="n">
        <f aca="false">'Income Statement'!D13</f>
        <v>0.710743801652893</v>
      </c>
      <c r="D5" s="5" t="n">
        <f aca="false">'Income Statement'!E13</f>
        <v>0.679801652892562</v>
      </c>
    </row>
    <row r="6" customFormat="false" ht="15" hidden="false" customHeight="false" outlineLevel="0" collapsed="false">
      <c r="A6" s="4" t="s">
        <v>103</v>
      </c>
      <c r="B6" s="21" t="n">
        <f aca="false">Assumptions!$B$4/'Income Statement'!C13</f>
        <v>14.883</v>
      </c>
      <c r="C6" s="21" t="n">
        <f aca="false">Assumptions!$B$4/'Income Statement'!D13</f>
        <v>15.5752325581395</v>
      </c>
      <c r="D6" s="21" t="n">
        <f aca="false">Assumptions!$B$4/'Income Statement'!E13</f>
        <v>16.284161641704</v>
      </c>
    </row>
    <row r="7" customFormat="false" ht="15" hidden="false" customHeight="false" outlineLevel="0" collapsed="false">
      <c r="A7" s="4" t="s">
        <v>210</v>
      </c>
      <c r="B7" s="7" t="n">
        <f aca="false">'Income Statement'!C13/Assumptions!$B$4</f>
        <v>0.0671907545521736</v>
      </c>
      <c r="C7" s="7" t="n">
        <f aca="false">'Income Statement'!D13/Assumptions!$B$4</f>
        <v>0.0642044987942992</v>
      </c>
      <c r="D7" s="7" t="n">
        <f aca="false">'Income Statement'!E13/Assumptions!$B$4</f>
        <v>0.0614093634049288</v>
      </c>
    </row>
    <row r="8" customFormat="false" ht="15" hidden="false" customHeight="false" outlineLevel="0" collapsed="false">
      <c r="A8" s="4" t="s">
        <v>211</v>
      </c>
      <c r="B8" s="5" t="n">
        <f aca="false">'Income Statement'!C12</f>
        <v>4.5</v>
      </c>
      <c r="C8" s="5" t="n">
        <f aca="false">'Income Statement'!D12</f>
        <v>4.3</v>
      </c>
      <c r="D8" s="5" t="n">
        <f aca="false">'Income Statement'!E12</f>
        <v>4.1128</v>
      </c>
    </row>
    <row r="9" customFormat="false" ht="15" hidden="false" customHeight="false" outlineLevel="0" collapsed="false">
      <c r="A9" s="4" t="s">
        <v>160</v>
      </c>
      <c r="B9" s="7" t="n">
        <f aca="false">'Income Statement'!C5/'Income Statement'!C4</f>
        <v>0.402439024390244</v>
      </c>
      <c r="C9" s="7" t="n">
        <f aca="false">'Income Statement'!D5/'Income Statement'!D4</f>
        <v>0.387878787878788</v>
      </c>
      <c r="D9" s="7" t="n">
        <f aca="false">'Income Statement'!E5/'Income Statement'!E4</f>
        <v>0.35625</v>
      </c>
    </row>
    <row r="10" customFormat="false" ht="15" hidden="false" customHeight="false" outlineLevel="0" collapsed="false">
      <c r="A10" s="4" t="s">
        <v>19</v>
      </c>
      <c r="B10" s="27" t="n">
        <f aca="false">Assumptions!$B$6</f>
        <v>8.5</v>
      </c>
      <c r="C10" s="27" t="n">
        <f aca="false">Assumptions!$B$6</f>
        <v>8.5</v>
      </c>
      <c r="D10" s="27" t="n">
        <f aca="false">Assumptions!$B$6</f>
        <v>8.5</v>
      </c>
    </row>
    <row r="11" customFormat="false" ht="15" hidden="false" customHeight="false" outlineLevel="0" collapsed="false">
      <c r="A11" s="4" t="s">
        <v>212</v>
      </c>
      <c r="B11" s="33" t="n">
        <f aca="false">1</f>
        <v>1</v>
      </c>
      <c r="C11" s="33" t="n">
        <f aca="false">1</f>
        <v>1</v>
      </c>
      <c r="D11" s="33" t="n">
        <f aca="false">1</f>
        <v>1</v>
      </c>
    </row>
    <row r="13" customFormat="false" ht="15" hidden="false" customHeight="false" outlineLevel="0" collapsed="false">
      <c r="A13" s="10" t="s">
        <v>213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4"/>
  </cols>
  <sheetData>
    <row r="1" customFormat="false" ht="24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215</v>
      </c>
      <c r="B3" s="11" t="s">
        <v>103</v>
      </c>
      <c r="C3" s="11" t="s">
        <v>216</v>
      </c>
      <c r="D3" s="11" t="s">
        <v>217</v>
      </c>
      <c r="E3" s="11" t="s">
        <v>218</v>
      </c>
      <c r="F3" s="11"/>
    </row>
    <row r="4" customFormat="false" ht="15" hidden="false" customHeight="false" outlineLevel="0" collapsed="false">
      <c r="A4" s="4" t="s">
        <v>219</v>
      </c>
      <c r="B4" s="34" t="n">
        <v>18</v>
      </c>
      <c r="C4" s="34" t="n">
        <v>8.5</v>
      </c>
      <c r="D4" s="13" t="n">
        <v>0.045</v>
      </c>
      <c r="E4" s="10" t="s">
        <v>220</v>
      </c>
    </row>
    <row r="5" customFormat="false" ht="15" hidden="false" customHeight="false" outlineLevel="0" collapsed="false">
      <c r="A5" s="4" t="s">
        <v>221</v>
      </c>
      <c r="B5" s="34" t="n">
        <v>15</v>
      </c>
      <c r="C5" s="34" t="n">
        <v>7.5</v>
      </c>
      <c r="D5" s="13" t="n">
        <v>0.05</v>
      </c>
      <c r="E5" s="10" t="s">
        <v>222</v>
      </c>
    </row>
    <row r="6" customFormat="false" ht="15" hidden="false" customHeight="false" outlineLevel="0" collapsed="false">
      <c r="A6" s="4" t="s">
        <v>223</v>
      </c>
      <c r="B6" s="34" t="n">
        <v>11</v>
      </c>
      <c r="C6" s="34" t="n">
        <v>6.5</v>
      </c>
      <c r="D6" s="13" t="n">
        <v>0.02</v>
      </c>
      <c r="E6" s="10" t="s">
        <v>224</v>
      </c>
    </row>
    <row r="7" customFormat="false" ht="15" hidden="false" customHeight="false" outlineLevel="0" collapsed="false">
      <c r="A7" s="4" t="s">
        <v>225</v>
      </c>
      <c r="B7" s="34" t="n">
        <v>12</v>
      </c>
      <c r="C7" s="34" t="n">
        <v>6</v>
      </c>
      <c r="D7" s="13" t="n">
        <v>0.05</v>
      </c>
      <c r="E7" s="10" t="s">
        <v>226</v>
      </c>
    </row>
    <row r="8" customFormat="false" ht="15" hidden="false" customHeight="false" outlineLevel="0" collapsed="false">
      <c r="A8" s="4" t="s">
        <v>227</v>
      </c>
      <c r="B8" s="34" t="n">
        <v>15.5</v>
      </c>
      <c r="C8" s="34" t="n">
        <v>9</v>
      </c>
      <c r="D8" s="13" t="n">
        <v>0.045</v>
      </c>
      <c r="E8" s="10" t="s">
        <v>228</v>
      </c>
    </row>
    <row r="9" customFormat="false" ht="15" hidden="false" customHeight="false" outlineLevel="0" collapsed="false">
      <c r="A9" s="2" t="s">
        <v>229</v>
      </c>
      <c r="B9" s="34" t="n">
        <v>15.6</v>
      </c>
      <c r="D9" s="13" t="n">
        <v>0.059</v>
      </c>
      <c r="E9" s="10" t="s">
        <v>230</v>
      </c>
    </row>
    <row r="11" customFormat="false" ht="15" hidden="false" customHeight="false" outlineLevel="0" collapsed="false">
      <c r="A11" s="10" t="s">
        <v>231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2026-07-05T14:27:39Z</dcterms:created>
  <dc:creator>openpyxl</dc:creator>
  <dc:description/>
  <dc:language>en-US</dc:language>
  <cp:lastModifiedBy/>
  <dcterms:modified xsi:type="dcterms:W3CDTF">2026-07-05T14:27:39Z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