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SOTP" sheetId="5" state="visible" r:id="rId7"/>
    <sheet name="Segments" sheetId="6" state="visible" r:id="rId8"/>
    <sheet name="Relative &amp; Normalized" sheetId="7" state="visible" r:id="rId9"/>
    <sheet name="DCF" sheetId="8" state="visible" r:id="rId10"/>
    <sheet name="Income Statement" sheetId="9" state="visible" r:id="rId11"/>
    <sheet name="Balance Sheet" sheetId="10" state="visible" r:id="rId12"/>
    <sheet name="Cash Flow" sheetId="11" state="visible" r:id="rId13"/>
    <sheet name="Summary Financials" sheetId="12" state="visible" r:id="rId14"/>
    <sheet name="Monte Carlo" sheetId="13" state="visible" r:id="rId15"/>
    <sheet name="Sensitivity" sheetId="14" state="visible" r:id="rId16"/>
    <sheet name="Per-Share &amp; Ratios" sheetId="15" state="visible" r:id="rId17"/>
    <sheet name="Peer &amp; Sector"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<sst xmlns="http://schemas.openxmlformats.org/spreadsheetml/2006/main" count="474" uniqueCount="399">
  <si>
    <t xml:space="preserve">READ FIRST — DISCLOSURE &amp; DISCLAIMER (educational valuation study; not investment advice)</t>
  </si>
  <si>
    <t xml:space="preserve">NATURE OF THIS WORKBOOK</t>
  </si>
  <si>
    <t xml:space="preserve">This workbook is an educational valuation exercise and an expression of the preparer's personal analytical opinion, based exclusively on publicly available information and on the assumptions stated in the text and this model. It is published free of charge to demonstrate methodology and to invite scrutiny of that methodology.</t>
  </si>
  <si>
    <t xml:space="preserve">NO ADVICE, NO RECOMMENDATION, NO SOLICITATION</t>
  </si>
  <si>
    <t xml:space="preserve">Nothing here constitutes investment advice, financial consultancy, securities analysis, a research recommendation, a rating, a price target, an offer, or a solicitation to buy, sell or hold any security. No statement is directed at the objectives, situation or needs of any person.</t>
  </si>
  <si>
    <t xml:space="preserve">NO LICENSED ACTIVITY</t>
  </si>
  <si>
    <t xml:space="preserve">The preparer is not licensed or registered with any securities regulator, carries on no regulated activity, manages no money, and accepts no clients, fees or funds.</t>
  </si>
  <si>
    <t xml:space="preserve">ESTIMATES AND UNCERTAINTY</t>
  </si>
  <si>
    <t xml:space="preserve">All values are model outputs resting on explicit, subjective assumptions; they are illustrative, highly uncertain and likely to prove wrong in material respects. Samsung's reported segment financials are disclosed by the company; the FORWARD assumptions — memory-cycle duration, normalized segment earnings, HBM share, foundry trajectory and the multiples applied — are the preparer's judgments. Presented as ranges and distributions because no single number should be relied on.</t>
  </si>
  <si>
    <t xml:space="preserve">NO LIABILITY / READER'S RESPONSIBILITY</t>
  </si>
  <si>
    <t xml:space="preserve">To the maximum extent permitted by law, the preparer accepts no liability for any decision, action or loss in reliance on this workbook. Any person considering an investment decision should conduct their own assessment and consult a licensed advisor.</t>
  </si>
  <si>
    <t xml:space="preserve">HOLDINGS DISCLOSURE</t>
  </si>
  <si>
    <t xml:space="preserve">The preparer may hold, and may in the future take or dispose of, a position in the security discussed in this report.</t>
  </si>
  <si>
    <t xml:space="preserve">HOW TO USE THIS MODEL</t>
  </si>
  <si>
    <t xml:space="preserve">Blue cells are hardcoded inputs (edit to your own view); black cells are formulas; green cells link across sheets. The valuation is a sum-of-the-parts on normalized segment earnings, cross-checked against relative multiples and through-cycle earnings power, with net cash added. Currency is KRW unless stated; valuation in KRW trillion, per-share in KRW.</t>
  </si>
  <si>
    <t xml:space="preserve">SAMSUNG ELECTRONICS (KRX: 005930) — VALUATION SUMMARY</t>
  </si>
  <si>
    <t xml:space="preserve">SOTP on normalized segment earnings + DCF + relative + through-cycle. Educational; not advice.</t>
  </si>
  <si>
    <t xml:space="preserve">HEADLINE — VALUE PER SHARE (KRW)</t>
  </si>
  <si>
    <t xml:space="preserve">Weighted central fundamental</t>
  </si>
  <si>
    <t xml:space="preserve">SOTP base (normalized)</t>
  </si>
  <si>
    <t xml:space="preserve">SOTP bull (supercycle)</t>
  </si>
  <si>
    <t xml:space="preserve">SOTP bear (cycle reversion)</t>
  </si>
  <si>
    <t xml:space="preserve">Consolidated DCF (FCFF)</t>
  </si>
  <si>
    <t xml:space="preserve">Market price (26-Jun-26)</t>
  </si>
  <si>
    <t xml:space="preserve">Spot premium to central</t>
  </si>
  <si>
    <t xml:space="preserve">WHAT THE NUMBER RESTS ON (edit on Assumptions)</t>
  </si>
  <si>
    <t xml:space="preserve">Memory normalized OP (KRW tn)</t>
  </si>
  <si>
    <t xml:space="preserve">Memory EV/OP multiple (×)</t>
  </si>
  <si>
    <t xml:space="preserve">DCF WACC</t>
  </si>
  <si>
    <t xml:space="preserve">Net cash (KRW tn)</t>
  </si>
  <si>
    <t xml:space="preserve">METHODOLOGY</t>
  </si>
  <si>
    <t xml:space="preserve">-  SOTP on NORMALIZED segment earnings (memory, System LSI, foundry, display, MX, VD/DA, Harman) + net cash — primary lens.</t>
  </si>
  <si>
    <t xml:space="preserve">-  Memory is ~94% of peak operating profit and the swing factor; normalized to mid-cycle, peak as the bull case.</t>
  </si>
  <si>
    <t xml:space="preserve">-  Consolidated DCF (FCFF) is a cross-check; it lands BELOW the SOTP because capex (~KRW 100tn/yr) consumes the supercycle cash.</t>
  </si>
  <si>
    <t xml:space="preserve">-  Relative multiples (cheap vs TSMC on peak EPS, not cheap on normalized) and through-cycle earnings power complete the picture.</t>
  </si>
  <si>
    <t xml:space="preserve">-  Spot trades above every fundamental lens except the supercycle case — the market prices the AI memory supercycle as durable.</t>
  </si>
  <si>
    <t xml:space="preserve">-  Reported segment financials are company disclosure (Samsung IR); forward inputs are the preparer's judgments.</t>
  </si>
  <si>
    <t xml:space="preserve">-  Monte Carlo (16 factors, 50k paths, seed 42) describes near-term PRICE, not value; net +5.4% 3M drift, right-skewed.</t>
  </si>
  <si>
    <t xml:space="preserve">FUNDAMENTAL VALUATION — FIVE METHODS</t>
  </si>
  <si>
    <t xml:space="preserve">SOTP (primary) + DCF cross-check + relative + normalized. Spot sits above every lens except the supercycle case.</t>
  </si>
  <si>
    <t xml:space="preserve">THE METHODS — value per share (KRW)</t>
  </si>
  <si>
    <t xml:space="preserve">Method</t>
  </si>
  <si>
    <t xml:space="preserve">KRW/sh</t>
  </si>
  <si>
    <t xml:space="preserve">vs spot</t>
  </si>
  <si>
    <t xml:space="preserve">Weight</t>
  </si>
  <si>
    <t xml:space="preserve">Note</t>
  </si>
  <si>
    <t xml:space="preserve">SOTP — normalized (base)</t>
  </si>
  <si>
    <t xml:space="preserve">primary lens</t>
  </si>
  <si>
    <t xml:space="preserve">SOTP — supercycle (bull)</t>
  </si>
  <si>
    <t xml:space="preserve">ceiling if cycle persists</t>
  </si>
  <si>
    <t xml:space="preserve">cash-flow cross-check (capex-heavy)</t>
  </si>
  <si>
    <t xml:space="preserve">Relative multiples (blended)</t>
  </si>
  <si>
    <t xml:space="preserve">vs TSMC/SK Hynix/Micron</t>
  </si>
  <si>
    <t xml:space="preserve">Normalized earnings power</t>
  </si>
  <si>
    <t xml:space="preserve">through-cycle discipline</t>
  </si>
  <si>
    <t xml:space="preserve">WEIGHTED CENTRAL FUNDAMENTAL VALUE</t>
  </si>
  <si>
    <t xml:space="preserve">Memo: spot price (26-Jun-26)</t>
  </si>
  <si>
    <t xml:space="preserve">market prices the supercycle as durable</t>
  </si>
  <si>
    <t xml:space="preserve">RANGE: bear (cycle reversion) → bull (supercycle)</t>
  </si>
  <si>
    <t xml:space="preserve">Bear / cycle-reversion floor</t>
  </si>
  <si>
    <t xml:space="preserve">Bull / supercycle ceiling</t>
  </si>
  <si>
    <t xml:space="preserve">SAMSUNG ELECTRONICS (KRX: 005930) — ASSUMPTIONS</t>
  </si>
  <si>
    <t xml:space="preserve">All blue cells are inputs. KRW trillion unless noted. Edit to your own view.</t>
  </si>
  <si>
    <t xml:space="preserve">GLOBAL &amp; CORPORATE</t>
  </si>
  <si>
    <t xml:space="preserve">Spot price (KRW, 26-Jun-26 close)</t>
  </si>
  <si>
    <t xml:space="preserve">Shares outstanding ex-treasury (bn)</t>
  </si>
  <si>
    <t xml:space="preserve">Net cash (KRW tn, Q1-2026)</t>
  </si>
  <si>
    <t xml:space="preserve">Listed stakes / other (KRW tn)</t>
  </si>
  <si>
    <t xml:space="preserve">BVPS (KRW, FY2025)</t>
  </si>
  <si>
    <t xml:space="preserve">Tax rate (effective)</t>
  </si>
  <si>
    <t xml:space="preserve">SOTP — SEGMENT NORMALIZED OP (KRW tn) &amp; EV/OP MULTIPLE (×)</t>
  </si>
  <si>
    <t xml:space="preserve">Segment</t>
  </si>
  <si>
    <t xml:space="preserve">Norm OP (base)</t>
  </si>
  <si>
    <t xml:space="preserve">Mult ×</t>
  </si>
  <si>
    <t xml:space="preserve">Bull OP</t>
  </si>
  <si>
    <t xml:space="preserve">Bull ×</t>
  </si>
  <si>
    <t xml:space="preserve">Bear OP</t>
  </si>
  <si>
    <t xml:space="preserve">Bear ×</t>
  </si>
  <si>
    <t xml:space="preserve">Memory (DRAM/NAND/HBM)</t>
  </si>
  <si>
    <t xml:space="preserve">System LSI</t>
  </si>
  <si>
    <t xml:space="preserve">Samsung Display (SDC stake)</t>
  </si>
  <si>
    <t xml:space="preserve">MX + Networks (handsets)</t>
  </si>
  <si>
    <t xml:space="preserve">VD + DA (TV/appliances)</t>
  </si>
  <si>
    <t xml:space="preserve">Harman (auto/audio)</t>
  </si>
  <si>
    <t xml:space="preserve">Foundry EV (KRW tn) — option value</t>
  </si>
  <si>
    <t xml:space="preserve">loss-making; 2027 break-even target → base 0, bull +60, bear -25</t>
  </si>
  <si>
    <t xml:space="preserve">RELATIVE &amp; NORMALIZED EARNINGS</t>
  </si>
  <si>
    <t xml:space="preserve">2026E net profit (KRW tn)</t>
  </si>
  <si>
    <t xml:space="preserve">2027E net profit (KRW tn)</t>
  </si>
  <si>
    <t xml:space="preserve">Normalized through-cycle net (KRW tn)</t>
  </si>
  <si>
    <t xml:space="preserve">Normalized justified P/E (×)</t>
  </si>
  <si>
    <t xml:space="preserve">Relative P/E low (×)</t>
  </si>
  <si>
    <t xml:space="preserve">Relative P/E high (×)</t>
  </si>
  <si>
    <t xml:space="preserve">FOUR-METHOD WEIGHTS</t>
  </si>
  <si>
    <t xml:space="preserve">FORECAST INPUTS (KRW tn) — illustrative operating build</t>
  </si>
  <si>
    <t xml:space="preserve">Year</t>
  </si>
  <si>
    <t xml:space="preserve">Revenue</t>
  </si>
  <si>
    <t xml:space="preserve">Op profit</t>
  </si>
  <si>
    <t xml:space="preserve">Fin inc</t>
  </si>
  <si>
    <t xml:space="preserve">Net profit</t>
  </si>
  <si>
    <t xml:space="preserve">2026</t>
  </si>
  <si>
    <t xml:space="preserve">2027</t>
  </si>
  <si>
    <t xml:space="preserve">2028</t>
  </si>
  <si>
    <t xml:space="preserve">2029</t>
  </si>
  <si>
    <t xml:space="preserve">2030</t>
  </si>
  <si>
    <t xml:space="preserve">DCF INPUTS</t>
  </si>
  <si>
    <t xml:space="preserve">WACC (KRW)</t>
  </si>
  <si>
    <t xml:space="preserve">Terminal growth g</t>
  </si>
  <si>
    <t xml:space="preserve">Normalized terminal FCFF (KRW tn)</t>
  </si>
  <si>
    <t xml:space="preserve">Tax rate (DCF)</t>
  </si>
  <si>
    <t xml:space="preserve">DCF FCFF COMPONENTS (KRW tn): D&amp;A, capex, ΔWC by year</t>
  </si>
  <si>
    <t xml:space="preserve">D&amp;A</t>
  </si>
  <si>
    <t xml:space="preserve">Capex</t>
  </si>
  <si>
    <t xml:space="preserve">Delta WC</t>
  </si>
  <si>
    <t xml:space="preserve">SUM-OF-THE-PARTS — segment EV build (base / bull / bear)</t>
  </si>
  <si>
    <t xml:space="preserve">Each segment: normalized OP × EV/OP multiple. Net cash added. KRW tn; per-share KRW.</t>
  </si>
  <si>
    <t xml:space="preserve">Base OP</t>
  </si>
  <si>
    <t xml:space="preserve">Base ×</t>
  </si>
  <si>
    <t xml:space="preserve">Base EV</t>
  </si>
  <si>
    <t xml:space="preserve">Bull EV</t>
  </si>
  <si>
    <t xml:space="preserve">Bear EV</t>
  </si>
  <si>
    <t xml:space="preserve">Basis</t>
  </si>
  <si>
    <t xml:space="preserve">primary driver; cyclical + HBM secular</t>
  </si>
  <si>
    <t xml:space="preserve">logic (Exynos, CIS)</t>
  </si>
  <si>
    <t xml:space="preserve">OLED panels, mature</t>
  </si>
  <si>
    <t xml:space="preserve">premium handsets, low growth</t>
  </si>
  <si>
    <t xml:space="preserve">competitive, low margin</t>
  </si>
  <si>
    <t xml:space="preserve">auto electronics, growing</t>
  </si>
  <si>
    <t xml:space="preserve">Foundry (option value)</t>
  </si>
  <si>
    <t xml:space="preserve">loss-making now; 2027 break-even target</t>
  </si>
  <si>
    <t xml:space="preserve">Operating EV</t>
  </si>
  <si>
    <t xml:space="preserve">(+) Net cash</t>
  </si>
  <si>
    <t xml:space="preserve">(+) Listed stakes / other</t>
  </si>
  <si>
    <t xml:space="preserve">Equity value (KRW tn)</t>
  </si>
  <si>
    <t xml:space="preserve">VALUE / SHARE (KRW)</t>
  </si>
  <si>
    <t xml:space="preserve">Base = normalized mid-cycle (AI-elevated floor). Bull = supercycle persists + HBM share gain + foundry break-even. Bear = 2027 oversupply, foundry burn, segments compress.</t>
  </si>
  <si>
    <t xml:space="preserve">OPERATING SEGMENTS — cyclicality &amp; multiple rationale</t>
  </si>
  <si>
    <t xml:space="preserve">Each segment valued on the multiple that fits its cyclicality. Source: Samsung IR segment disclosures (FY2025 / Q1-2026).</t>
  </si>
  <si>
    <t xml:space="preserve">Dimension</t>
  </si>
  <si>
    <t xml:space="preserve">Memory</t>
  </si>
  <si>
    <t xml:space="preserve">Foundry / System LSI</t>
  </si>
  <si>
    <t xml:space="preserve">MX + Networks</t>
  </si>
  <si>
    <t xml:space="preserve">VD+DA / Harman</t>
  </si>
  <si>
    <t xml:space="preserve">What it is</t>
  </si>
  <si>
    <t xml:space="preserve">DRAM, NAND, HBM</t>
  </si>
  <si>
    <t xml:space="preserve">Logic foundry + Exynos/CIS</t>
  </si>
  <si>
    <t xml:space="preserve">Galaxy handsets + networks</t>
  </si>
  <si>
    <t xml:space="preserve">TVs, appliances + auto</t>
  </si>
  <si>
    <t xml:space="preserve">Earnings driver</t>
  </si>
  <si>
    <t xml:space="preserve">Bit growth × ASP × HBM mix</t>
  </si>
  <si>
    <t xml:space="preserve">Wafer starts × node × yield</t>
  </si>
  <si>
    <t xml:space="preserve">Units × ASP × mix</t>
  </si>
  <si>
    <t xml:space="preserve">Units × ASP; auto design wins</t>
  </si>
  <si>
    <t xml:space="preserve">Cyclicality</t>
  </si>
  <si>
    <t xml:space="preserve">Extreme — full-loss to record in ~2yr</t>
  </si>
  <si>
    <t xml:space="preserve">High — utilization, yield ramp</t>
  </si>
  <si>
    <t xml:space="preserve">Moderate — premium cushions</t>
  </si>
  <si>
    <t xml:space="preserve">Low–moderate</t>
  </si>
  <si>
    <t xml:space="preserve">Currency</t>
  </si>
  <si>
    <t xml:space="preserve">Mostly USD-priced</t>
  </si>
  <si>
    <t xml:space="preserve">USD</t>
  </si>
  <si>
    <t xml:space="preserve">USD/global</t>
  </si>
  <si>
    <t xml:space="preserve">Global</t>
  </si>
  <si>
    <t xml:space="preserve">FY25→Q1-26 OP trend</t>
  </si>
  <si>
    <t xml:space="preserve">Trough '23 → record Q1-26</t>
  </si>
  <si>
    <t xml:space="preserve">Loss, narrowing to &lt;1tn/qtr</t>
  </si>
  <si>
    <t xml:space="preserve">Squeezed by memory input cost</t>
  </si>
  <si>
    <t xml:space="preserve">Thin, stable</t>
  </si>
  <si>
    <t xml:space="preserve">Norm OP (base, KRW tn)</t>
  </si>
  <si>
    <t xml:space="preserve">EV/OP multiple</t>
  </si>
  <si>
    <t xml:space="preserve">8.0x logic / option foundry</t>
  </si>
  <si>
    <t xml:space="preserve">5.0–8.0x</t>
  </si>
  <si>
    <t xml:space="preserve">Why the multiple</t>
  </si>
  <si>
    <t xml:space="preserve">8–10x: cyclical, HBM secular growth</t>
  </si>
  <si>
    <t xml:space="preserve">option value; 2027 B/E target</t>
  </si>
  <si>
    <t xml:space="preserve">6x: premium but low growth</t>
  </si>
  <si>
    <t xml:space="preserve">low: commoditised / small</t>
  </si>
  <si>
    <t xml:space="preserve">Memory is ~94% of group operating profit at the Q1-2026 peak (DS division) — the dominant and most cyclical driver; the SOTP normalizes it to mid-cycle. Foundry is loss-making (2027 break-even target) and carried at option value.</t>
  </si>
  <si>
    <t xml:space="preserve">RELATIVE MULTIPLES &amp; NORMALIZED EARNINGS POWER</t>
  </si>
  <si>
    <t xml:space="preserve">Spot earnings are at a cyclical PEAK (DS=94% of OP); relative lens on elevated EPS vs through-cycle discipline.</t>
  </si>
  <si>
    <t xml:space="preserve">RELATIVE MULTIPLES</t>
  </si>
  <si>
    <t xml:space="preserve">2026E EPS (KRW)</t>
  </si>
  <si>
    <t xml:space="preserve">2027E EPS (KRW)</t>
  </si>
  <si>
    <t xml:space="preserve">Spot P/E on 2026E (×)</t>
  </si>
  <si>
    <t xml:space="preserve">vs TSMC ~24x, SK Hynix ~7x fwd</t>
  </si>
  <si>
    <t xml:space="preserve">Spot P/E on 2027E (×)</t>
  </si>
  <si>
    <t xml:space="preserve">Implied value — P/E low × 2026E EPS</t>
  </si>
  <si>
    <t xml:space="preserve">Implied value — P/E high × 2026E EPS</t>
  </si>
  <si>
    <t xml:space="preserve">Spot P/B (BVPS-based) (×)</t>
  </si>
  <si>
    <t xml:space="preserve">~5x vs 1–1.5x historical — peak extreme</t>
  </si>
  <si>
    <t xml:space="preserve">RELATIVE BLENDED MIDPOINT (KRW)</t>
  </si>
  <si>
    <t xml:space="preserve">NORMALIZED THROUGH-CYCLE EARNINGS POWER</t>
  </si>
  <si>
    <t xml:space="preserve">Normalized net profit (KRW tn)</t>
  </si>
  <si>
    <t xml:space="preserve">Normalized EPS (KRW)</t>
  </si>
  <si>
    <t xml:space="preserve">Justified P/E (×)</t>
  </si>
  <si>
    <t xml:space="preserve">NORMALIZED VALUE / SHARE (KRW)</t>
  </si>
  <si>
    <t xml:space="preserve">Normalized P/E at spot (×)</t>
  </si>
  <si>
    <t xml:space="preserve">on through-cycle EPS, the stock is not cheap</t>
  </si>
  <si>
    <t xml:space="preserve">CONSOLIDATED DCF — unlevered FCFF (cross-check)</t>
  </si>
  <si>
    <t xml:space="preserve">FCFF = OP×(1−tax) + D&amp;A − capex − ΔWC, discounted at WACC; normalized terminal. A cross-check on the SOTP.</t>
  </si>
  <si>
    <t xml:space="preserve">KRW tn</t>
  </si>
  <si>
    <t xml:space="preserve">Operating profit</t>
  </si>
  <si>
    <t xml:space="preserve">NOPAT (×(1−tax))</t>
  </si>
  <si>
    <t xml:space="preserve">(+) D&amp;A</t>
  </si>
  <si>
    <t xml:space="preserve">(−) Capex</t>
  </si>
  <si>
    <t xml:space="preserve">(−) ΔWorking capital</t>
  </si>
  <si>
    <t xml:space="preserve">Unlevered FCFF</t>
  </si>
  <si>
    <t xml:space="preserve">Discount factor @ WACC</t>
  </si>
  <si>
    <t xml:space="preserve">PV of FCFF</t>
  </si>
  <si>
    <t xml:space="preserve">PV of explicit FCFF (Σ)</t>
  </si>
  <si>
    <t xml:space="preserve">Terminal value (normalized FCFF, Gordon)</t>
  </si>
  <si>
    <t xml:space="preserve">PV of terminal value</t>
  </si>
  <si>
    <t xml:space="preserve">Enterprise value</t>
  </si>
  <si>
    <t xml:space="preserve">The DCF lands below the SOTP because Samsung's enormous capex (~KRW 100tn/yr) consumes much of the supercycle's cash flow — on owned cash flow the stock looks even fuller. A cross-check, not the primary lens.</t>
  </si>
  <si>
    <t xml:space="preserve">CONSOLIDATED INCOME STATEMENT — KRW tn</t>
  </si>
  <si>
    <t xml:space="preserve">Actuals: Samsung IR (FY2023–FY2025). Forecast 2026e–2030e is an illustrative operating build; memory is the swing.</t>
  </si>
  <si>
    <t xml:space="preserve">2023a</t>
  </si>
  <si>
    <t xml:space="preserve">2024a</t>
  </si>
  <si>
    <t xml:space="preserve">2025a</t>
  </si>
  <si>
    <t xml:space="preserve">2026e</t>
  </si>
  <si>
    <t xml:space="preserve">2027e</t>
  </si>
  <si>
    <t xml:space="preserve">2028e</t>
  </si>
  <si>
    <t xml:space="preserve">2029e</t>
  </si>
  <si>
    <t xml:space="preserve">2030e</t>
  </si>
  <si>
    <t xml:space="preserve">  growth YoY</t>
  </si>
  <si>
    <t xml:space="preserve">  OP margin</t>
  </si>
  <si>
    <t xml:space="preserve">Net profit (attributable)</t>
  </si>
  <si>
    <t xml:space="preserve">  net margin</t>
  </si>
  <si>
    <t xml:space="preserve">EPS (KRW)</t>
  </si>
  <si>
    <t xml:space="preserve">Memory/DS OP — memo</t>
  </si>
  <si>
    <t xml:space="preserve">FY2023 = memory trough (DS recorded a record full-year loss). Q1-2026 alone produced KRW 57.2tn operating profit (DS 53.7tn). Forecast assumes the supercycle peaks 2026–27, then memory normalizes. Illustrative, not guidance.</t>
  </si>
  <si>
    <t xml:space="preserve">CONSOLIDATED BALANCE SHEET — KRW tn (simplified)</t>
  </si>
  <si>
    <t xml:space="preserve">Actuals approximate (Samsung IR). Forecast rolls equity by retained earnings; fortress net-cash balance sheet.</t>
  </si>
  <si>
    <t xml:space="preserve">Cash &amp; financial investments</t>
  </si>
  <si>
    <t xml:space="preserve">Receivables</t>
  </si>
  <si>
    <t xml:space="preserve">Inventory</t>
  </si>
  <si>
    <t xml:space="preserve">PP&amp;E (net)</t>
  </si>
  <si>
    <t xml:space="preserve">Other assets</t>
  </si>
  <si>
    <t xml:space="preserve">Total assets</t>
  </si>
  <si>
    <t xml:space="preserve">Debt</t>
  </si>
  <si>
    <t xml:space="preserve">Payables</t>
  </si>
  <si>
    <t xml:space="preserve">Other liabilities</t>
  </si>
  <si>
    <t xml:space="preserve">Total liabilities</t>
  </si>
  <si>
    <t xml:space="preserve">Total equity</t>
  </si>
  <si>
    <t xml:space="preserve">BVPS (KRW)</t>
  </si>
  <si>
    <t xml:space="preserve">Net cash (cash − debt)</t>
  </si>
  <si>
    <t xml:space="preserve">Simplified: working-capital lines held flat in the forecast; equity rolled at ~60% retention (the rest to dividends/buybacks/cancellations). Will not tie line-by-line to the reported balance sheet.</t>
  </si>
  <si>
    <t xml:space="preserve">CONSOLIDATED CASH FLOW — KRW tn (simplified)</t>
  </si>
  <si>
    <t xml:space="preserve">Actuals approximate. Forecast: OCF ≈ net + D&amp;A − ΔWC; investing = capex; financing = dividends/buybacks.</t>
  </si>
  <si>
    <t xml:space="preserve">Operating cash flow</t>
  </si>
  <si>
    <t xml:space="preserve">Capex (investing)</t>
  </si>
  <si>
    <t xml:space="preserve">Financing (div/buyback)</t>
  </si>
  <si>
    <t xml:space="preserve">Net change in cash</t>
  </si>
  <si>
    <t xml:space="preserve">Memo — free cash flow (OCF + capex)</t>
  </si>
  <si>
    <t xml:space="preserve">Memo — capex (positive)</t>
  </si>
  <si>
    <t xml:space="preserve">Memo — net change (for BS link)</t>
  </si>
  <si>
    <t xml:space="preserve">Samsung is a cash machine even mid-cycle, but capex is enormous — FCF is far below net income, which is precisely why the DCF lands below the SOTP.</t>
  </si>
  <si>
    <t xml:space="preserve">SAMSUNG ELECTRONICS — SUMMARY FINANCIALS (live links)</t>
  </si>
  <si>
    <t xml:space="preserve">Every cell links to the Income Statement / Balance Sheet / Cash Flow sheets.</t>
  </si>
  <si>
    <t xml:space="preserve">Net cash</t>
  </si>
  <si>
    <t xml:space="preserve">Free cash flow</t>
  </si>
  <si>
    <t xml:space="preserve">MONTE CARLO — ONE 16-FACTOR MODEL (50,000 paths, seed 42)</t>
  </si>
  <si>
    <t xml:space="preserve">Seven continuous factors compound daily; nine discrete events arrive as jumps. Idiosyncratic noise tops up to realized 3M vol.</t>
  </si>
  <si>
    <t xml:space="preserve">CORE INPUTS</t>
  </si>
  <si>
    <t xml:space="preserve">Anchor price (KRW, 26-Jun-26)</t>
  </si>
  <si>
    <t xml:space="preserve">Horizon T+20 (sessions)</t>
  </si>
  <si>
    <t xml:space="preserve">Horizon T+60 (sessions)</t>
  </si>
  <si>
    <t xml:space="preserve">Idiosyncratic 3M volatility</t>
  </si>
  <si>
    <t xml:space="preserve">ATH (close) reference (KRW)</t>
  </si>
  <si>
    <t xml:space="preserve">Round level (KRW)</t>
  </si>
  <si>
    <t xml:space="preserve">SMA50 / structure (KRW)</t>
  </si>
  <si>
    <t xml:space="preserve">Cycle-reversion zone (KRW)</t>
  </si>
  <si>
    <t xml:space="preserve">SEVEN CONTINUOUS FACTORS</t>
  </si>
  <si>
    <t xml:space="preserve">Factor</t>
  </si>
  <si>
    <t xml:space="preserve">3M drift</t>
  </si>
  <si>
    <t xml:space="preserve">3M vol</t>
  </si>
  <si>
    <t xml:space="preserve">Channel</t>
  </si>
  <si>
    <t xml:space="preserve">DRAM/NAND ASP trajectory</t>
  </si>
  <si>
    <t xml:space="preserve">master memory-price driver</t>
  </si>
  <si>
    <t xml:space="preserve">HBM share vs SK Hynix / Nvidia alloc</t>
  </si>
  <si>
    <t xml:space="preserve">high-margin AI memory</t>
  </si>
  <si>
    <t xml:space="preserve">USD/KRW translation</t>
  </si>
  <si>
    <t xml:space="preserve">weak won = tailwind</t>
  </si>
  <si>
    <t xml:space="preserve">Global AI / datacenter capex</t>
  </si>
  <si>
    <t xml:space="preserve">demand pull</t>
  </si>
  <si>
    <t xml:space="preserve">KOSPI / foreign flows beta</t>
  </si>
  <si>
    <t xml:space="preserve">market liquidity</t>
  </si>
  <si>
    <t xml:space="preserve">Smartphone / PC demand (DX)</t>
  </si>
  <si>
    <t xml:space="preserve">handset/PC softness</t>
  </si>
  <si>
    <t xml:space="preserve">Foundry utilization / loss trajectory</t>
  </si>
  <si>
    <t xml:space="preserve">narrowing losses</t>
  </si>
  <si>
    <t xml:space="preserve">NINE DISCRETE EVENTS</t>
  </si>
  <si>
    <t xml:space="preserve">Event</t>
  </si>
  <si>
    <t xml:space="preserve">Prob</t>
  </si>
  <si>
    <t xml:space="preserve">Impact μ</t>
  </si>
  <si>
    <t xml:space="preserve">Impact σ</t>
  </si>
  <si>
    <t xml:space="preserve">Nvidia HBM4 qualification / yield</t>
  </si>
  <si>
    <t xml:space="preserve">pivotal catalyst</t>
  </si>
  <si>
    <t xml:space="preserve">Memory oversupply / cycle inflection</t>
  </si>
  <si>
    <t xml:space="preserve">2027 capacity — left tail</t>
  </si>
  <si>
    <t xml:space="preserve">US tariff / Section 232 / export ctrl</t>
  </si>
  <si>
    <t xml:space="preserve">trade-policy shock</t>
  </si>
  <si>
    <t xml:space="preserve">Capital-return (buyback / cancellation)</t>
  </si>
  <si>
    <t xml:space="preserve">~KRW 90tn buyback decision</t>
  </si>
  <si>
    <t xml:space="preserve">Governance / Korea-discount compression</t>
  </si>
  <si>
    <t xml:space="preserve">Commercial Act reform</t>
  </si>
  <si>
    <t xml:space="preserve">Quarterly earnings surprise (DS margin)</t>
  </si>
  <si>
    <t xml:space="preserve">two-sided</t>
  </si>
  <si>
    <t xml:space="preserve">China demand / geopolitical shock</t>
  </si>
  <si>
    <t xml:space="preserve">demand/risk</t>
  </si>
  <si>
    <t xml:space="preserve">KRW 1,000tn capex-plan headline</t>
  </si>
  <si>
    <t xml:space="preserve">ambiguous: capex vs moat</t>
  </si>
  <si>
    <t xml:space="preserve">Labour / union disruption</t>
  </si>
  <si>
    <t xml:space="preserve">operations</t>
  </si>
  <si>
    <t xml:space="preserve">FACTOR MOMENTS (live)</t>
  </si>
  <si>
    <t xml:space="preserve">Expected 3M log-return μ</t>
  </si>
  <si>
    <t xml:space="preserve">3M variance</t>
  </si>
  <si>
    <t xml:space="preserve">3M volatility σ</t>
  </si>
  <si>
    <t xml:space="preserve">Annualized vol (×2)</t>
  </si>
  <si>
    <t xml:space="preserve">engine total 3M vol ~22.8% (ann ~46%)</t>
  </si>
  <si>
    <t xml:space="preserve">PERCENTILES (KRW/share)</t>
  </si>
  <si>
    <t xml:space="preserve">Horizon</t>
  </si>
  <si>
    <t xml:space="preserve">5%</t>
  </si>
  <si>
    <t xml:space="preserve">25%</t>
  </si>
  <si>
    <t xml:space="preserve">Median</t>
  </si>
  <si>
    <t xml:space="preserve">75%</t>
  </si>
  <si>
    <t xml:space="preserve">95%</t>
  </si>
  <si>
    <t xml:space="preserve">Source</t>
  </si>
  <si>
    <t xml:space="preserve">T+20 — engine (simulated)</t>
  </si>
  <si>
    <t xml:space="preserve">50k paths · seed 42</t>
  </si>
  <si>
    <t xml:space="preserve">T+20 — closed-form (live)</t>
  </si>
  <si>
    <t xml:space="preserve">T+60 — engine (simulated)</t>
  </si>
  <si>
    <t xml:space="preserve">T+60 — closed-form (live)</t>
  </si>
  <si>
    <t xml:space="preserve">LEVEL-TOUCH PROBABILITIES (engine)</t>
  </si>
  <si>
    <t xml:space="preserve">Level</t>
  </si>
  <si>
    <t xml:space="preserve">within T+20</t>
  </si>
  <si>
    <t xml:space="preserve">within T+60</t>
  </si>
  <si>
    <t xml:space="preserve">▲ 360,000</t>
  </si>
  <si>
    <t xml:space="preserve">▲ 380,000</t>
  </si>
  <si>
    <t xml:space="preserve">▲ 400,000</t>
  </si>
  <si>
    <t xml:space="preserve">▲ 420,000</t>
  </si>
  <si>
    <t xml:space="preserve">▲ 440,000</t>
  </si>
  <si>
    <t xml:space="preserve">▼ 320,000</t>
  </si>
  <si>
    <t xml:space="preserve">▼ 286,000</t>
  </si>
  <si>
    <t xml:space="preserve">▼ 250,000</t>
  </si>
  <si>
    <t xml:space="preserve">▼ 200,000</t>
  </si>
  <si>
    <t xml:space="preserve">▼ 170,000</t>
  </si>
  <si>
    <t xml:space="preserve">Engine values are the simulated 50k-path outputs (seed 42); closed-form rows are the live lognormal cross-check. Net drift +5.4% 3M; right-skewed by HBM/supercycle upside, left tail from cycle reversion. Paths describe near-term PRICE, not value.</t>
  </si>
  <si>
    <t xml:space="preserve">SENSITIVITY — value/share (KRW)</t>
  </si>
  <si>
    <t xml:space="preserve">Top: SOTP memory OP × multiple. Bottom: DCF WACC × terminal growth. Both computed live.</t>
  </si>
  <si>
    <t xml:space="preserve">SOTP: Memory norm OP (KRW tn) ↓  /  EV/OP multiple (×) →</t>
  </si>
  <si>
    <t xml:space="preserve">OP ↓ / × →</t>
  </si>
  <si>
    <t xml:space="preserve">DCF: WACC ↓  /  terminal growth g →</t>
  </si>
  <si>
    <t xml:space="preserve">WACC ↓ / g →</t>
  </si>
  <si>
    <t xml:space="preserve">DCF grid values are engine-computed (closed-form FCFF). Base ≈ WACC 8.5%, g 2.5%. The DCF stays below the SOTP across most of the grid — capex-heavy cash flows.</t>
  </si>
  <si>
    <t xml:space="preserve">PER-SHARE &amp; RATIOS (at spot)</t>
  </si>
  <si>
    <t xml:space="preserve">Drivers link to Income Statement / Assumptions. Multiples on elevated forward EPS vs through-cycle.</t>
  </si>
  <si>
    <t xml:space="preserve">Share price (KRW, 26-Jun-26)</t>
  </si>
  <si>
    <t xml:space="preserve">Shares outstanding (bn)</t>
  </si>
  <si>
    <t xml:space="preserve">Market cap (KRW tn)</t>
  </si>
  <si>
    <t xml:space="preserve">Net cash per share (KRW)</t>
  </si>
  <si>
    <t xml:space="preserve">P/E on 2026E (×)</t>
  </si>
  <si>
    <t xml:space="preserve">P/E normalized (×)</t>
  </si>
  <si>
    <t xml:space="preserve">P/B (×)</t>
  </si>
  <si>
    <t xml:space="preserve">Net cash as % of market cap</t>
  </si>
  <si>
    <t xml:space="preserve">Net cash (~KRW 119tn) is ~5–6% of market cap and ~KRW 18,000/share — a valuation floor. P/B ~5x sits far above Samsung's historical 1–1.5x, reflecting the AI re-rating on peak earnings.</t>
  </si>
  <si>
    <t xml:space="preserve">PEER &amp; SECTOR CONTEXT — memory / foundry</t>
  </si>
  <si>
    <t xml:space="preserve">External sourced data (not model outputs). Verify live before use. As of mid-2026.</t>
  </si>
  <si>
    <t xml:space="preserve">Metric</t>
  </si>
  <si>
    <t xml:space="preserve">Samsung (005930)</t>
  </si>
  <si>
    <t xml:space="preserve">SK Hynix</t>
  </si>
  <si>
    <t xml:space="preserve">TSMC / Micron</t>
  </si>
  <si>
    <t xml:space="preserve">Forward P/E (×)</t>
  </si>
  <si>
    <t xml:space="preserve">~10–12x (2026E)</t>
  </si>
  <si>
    <t xml:space="preserve">~6–7x</t>
  </si>
  <si>
    <t xml:space="preserve">TSMC ~24x</t>
  </si>
  <si>
    <t xml:space="preserve">HBM revenue share (Q1-26)</t>
  </si>
  <si>
    <t xml:space="preserve">~21%</t>
  </si>
  <si>
    <t xml:space="preserve">~58% (leader)</t>
  </si>
  <si>
    <t xml:space="preserve">Micron ~21%</t>
  </si>
  <si>
    <t xml:space="preserve">DRAM revenue share</t>
  </si>
  <si>
    <t xml:space="preserve">~38% (leader)</t>
  </si>
  <si>
    <t xml:space="preserve">~29%</t>
  </si>
  <si>
    <t xml:space="preserve">Micron ~22%</t>
  </si>
  <si>
    <t xml:space="preserve">NAND revenue share</t>
  </si>
  <si>
    <t xml:space="preserve">~29% (leader)</t>
  </si>
  <si>
    <t xml:space="preserve">~18%</t>
  </si>
  <si>
    <t xml:space="preserve">Kioxia ~14%</t>
  </si>
  <si>
    <t xml:space="preserve">Foundry share (2025)</t>
  </si>
  <si>
    <t xml:space="preserve">~7%</t>
  </si>
  <si>
    <t xml:space="preserve">—</t>
  </si>
  <si>
    <t xml:space="preserve">TSMC ~70%</t>
  </si>
  <si>
    <t xml:space="preserve">~KRW 119tn (large)</t>
  </si>
  <si>
    <t xml:space="preserve">net debt</t>
  </si>
  <si>
    <t xml:space="preserve">varies</t>
  </si>
  <si>
    <t xml:space="preserve">Q1-26 OP margin</t>
  </si>
  <si>
    <t xml:space="preserve">~43% group / &gt;70% chip</t>
  </si>
  <si>
    <t xml:space="preserve">~72%</t>
  </si>
  <si>
    <t xml:space="preserve">Samsung leads commodity DRAM/NAND on revenue but trails badly in high-margin HBM (SK Hynix ~58% vs Samsung ~21%) — the crux of the bull/bear debate. Sources: Counterpoint, TrendForce, Omdia (Q1-2026); verify live.</t>
  </si>
</sst>
</file>

<file path=xl/styles.xml><?xml version="1.0" encoding="utf-8"?>
<styleSheet xmlns="http://schemas.openxmlformats.org/spreadsheetml/2006/main">
  <numFmts count="11">
    <numFmt numFmtId="164" formatCode="General"/>
    <numFmt numFmtId="165" formatCode="#,##0"/>
    <numFmt numFmtId="166" formatCode="0.0%"/>
    <numFmt numFmtId="167" formatCode="#,##0.0"/>
    <numFmt numFmtId="168" formatCode="0.0\x"/>
    <numFmt numFmtId="169" formatCode="#,##0.00"/>
    <numFmt numFmtId="170" formatCode="@"/>
    <numFmt numFmtId="171" formatCode="0.000"/>
    <numFmt numFmtId="172" formatCode="0"/>
    <numFmt numFmtId="173" formatCode="0.0000"/>
    <numFmt numFmtId="174" formatCode="0%"/>
  </numFmts>
  <fonts count="18">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1C3A36"/>
      <name val="Arial"/>
      <family val="0"/>
      <charset val="1"/>
    </font>
    <font>
      <sz val="10"/>
      <color rgb="FF000000"/>
      <name val="Arial"/>
      <family val="0"/>
      <charset val="1"/>
    </font>
    <font>
      <i val="true"/>
      <sz val="8"/>
      <color rgb="FF666666"/>
      <name val="Arial"/>
      <family val="0"/>
      <charset val="1"/>
    </font>
    <font>
      <sz val="10"/>
      <color rgb="FF008000"/>
      <name val="Arial"/>
      <family val="0"/>
      <charset val="1"/>
    </font>
    <font>
      <b val="true"/>
      <sz val="10"/>
      <color rgb="FFFFFFFF"/>
      <name val="Arial"/>
      <family val="0"/>
      <charset val="1"/>
    </font>
    <font>
      <sz val="10"/>
      <color rgb="FF0000FF"/>
      <name val="Arial"/>
      <family val="0"/>
      <charset val="1"/>
    </font>
    <font>
      <b val="true"/>
      <sz val="10"/>
      <color rgb="FF000000"/>
      <name val="Arial"/>
      <family val="0"/>
      <charset val="1"/>
    </font>
    <font>
      <sz val="11"/>
      <name val="339500"/>
      <family val="0"/>
      <charset val="1"/>
    </font>
    <font>
      <sz val="11"/>
      <name val="6.63"/>
      <family val="0"/>
      <charset val="1"/>
    </font>
    <font>
      <sz val="11"/>
      <name val="119.2"/>
      <family val="0"/>
      <charset val="1"/>
    </font>
    <font>
      <sz val="11"/>
      <name val="25.0"/>
      <family val="0"/>
      <charset val="1"/>
    </font>
    <font>
      <sz val="11"/>
      <name val="64000"/>
      <family val="0"/>
      <charset val="1"/>
    </font>
    <font>
      <sz val="11"/>
      <name val="0.16"/>
      <family val="0"/>
      <charset val="1"/>
    </font>
  </fonts>
  <fills count="5">
    <fill>
      <patternFill patternType="none"/>
    </fill>
    <fill>
      <patternFill patternType="gray125"/>
    </fill>
    <fill>
      <patternFill patternType="solid">
        <fgColor rgb="FF1C3A36"/>
        <bgColor rgb="FF333300"/>
      </patternFill>
    </fill>
    <fill>
      <patternFill patternType="solid">
        <fgColor rgb="FFC0A45F"/>
        <bgColor rgb="FFC0C0C0"/>
      </patternFill>
    </fill>
    <fill>
      <patternFill patternType="solid">
        <fgColor rgb="FFF5F2EA"/>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7"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0" fontId="9"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8" fontId="9" fillId="2" borderId="0" xfId="0" applyFont="true" applyBorder="fals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2E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C0A45F"/>
      <rgbColor rgb="FF003366"/>
      <rgbColor rgb="FF339966"/>
      <rgbColor rgb="FF003300"/>
      <rgbColor rgb="FF333300"/>
      <rgbColor rgb="FF993300"/>
      <rgbColor rgb="FF993366"/>
      <rgbColor rgb="FF333399"/>
      <rgbColor rgb="FF1C3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4" hidden="false" customHeight="tru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57.75" hidden="false" customHeight="true" outlineLevel="0" collapsed="false">
      <c r="A4" s="4" t="s">
        <v>2</v>
      </c>
    </row>
    <row r="5" customFormat="false" ht="15" hidden="false" customHeight="false" outlineLevel="0" collapsed="false">
      <c r="A5" s="2"/>
    </row>
    <row r="6" customFormat="false" ht="15" hidden="false" customHeight="false" outlineLevel="0" collapsed="false">
      <c r="A6" s="3" t="s">
        <v>3</v>
      </c>
    </row>
    <row r="7" customFormat="false" ht="57.75" hidden="false" customHeight="true" outlineLevel="0" collapsed="false">
      <c r="A7" s="4" t="s">
        <v>4</v>
      </c>
    </row>
    <row r="8" customFormat="false" ht="15" hidden="false" customHeight="false" outlineLevel="0" collapsed="false">
      <c r="A8" s="2"/>
    </row>
    <row r="9" customFormat="false" ht="15" hidden="false" customHeight="false" outlineLevel="0" collapsed="false">
      <c r="A9" s="3" t="s">
        <v>5</v>
      </c>
    </row>
    <row r="10" customFormat="false" ht="57.75" hidden="false" customHeight="true" outlineLevel="0" collapsed="false">
      <c r="A10" s="4" t="s">
        <v>6</v>
      </c>
    </row>
    <row r="11" customFormat="false" ht="15" hidden="false" customHeight="false" outlineLevel="0" collapsed="false">
      <c r="A11" s="2"/>
    </row>
    <row r="12" customFormat="false" ht="15" hidden="false" customHeight="false" outlineLevel="0" collapsed="false">
      <c r="A12" s="3" t="s">
        <v>7</v>
      </c>
    </row>
    <row r="13" customFormat="false" ht="57.75" hidden="false" customHeight="true" outlineLevel="0" collapsed="false">
      <c r="A13" s="4" t="s">
        <v>8</v>
      </c>
    </row>
    <row r="14" customFormat="false" ht="15" hidden="false" customHeight="false" outlineLevel="0" collapsed="false">
      <c r="A14" s="2"/>
    </row>
    <row r="15" customFormat="false" ht="15" hidden="false" customHeight="false" outlineLevel="0" collapsed="false">
      <c r="A15" s="3" t="s">
        <v>9</v>
      </c>
    </row>
    <row r="16" customFormat="false" ht="57.75" hidden="false" customHeight="true" outlineLevel="0" collapsed="false">
      <c r="A16" s="4" t="s">
        <v>10</v>
      </c>
    </row>
    <row r="17" customFormat="false" ht="15" hidden="false" customHeight="false" outlineLevel="0" collapsed="false">
      <c r="A17" s="2"/>
    </row>
    <row r="18" customFormat="false" ht="15" hidden="false" customHeight="false" outlineLevel="0" collapsed="false">
      <c r="A18" s="3" t="s">
        <v>11</v>
      </c>
    </row>
    <row r="19" customFormat="false" ht="57.75" hidden="false" customHeight="true" outlineLevel="0" collapsed="false">
      <c r="A19" s="4" t="s">
        <v>12</v>
      </c>
    </row>
    <row r="20" customFormat="false" ht="15" hidden="false" customHeight="false" outlineLevel="0" collapsed="false">
      <c r="A20" s="2"/>
    </row>
    <row r="21" customFormat="false" ht="15" hidden="false" customHeight="false" outlineLevel="0" collapsed="false">
      <c r="A21" s="3" t="s">
        <v>13</v>
      </c>
    </row>
    <row r="22" customFormat="false" ht="57.75" hidden="false" customHeight="true" outlineLevel="0" collapsed="false">
      <c r="A22"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6"/>
  </cols>
  <sheetData>
    <row r="1" customFormat="false" ht="24" hidden="false" customHeight="true" outlineLevel="0" collapsed="false">
      <c r="A1" s="5" t="s">
        <v>15</v>
      </c>
      <c r="B1" s="5"/>
      <c r="C1" s="5"/>
    </row>
    <row r="2" customFormat="false" ht="15" hidden="false" customHeight="false" outlineLevel="0" collapsed="false">
      <c r="A2" s="6" t="s">
        <v>16</v>
      </c>
      <c r="B2" s="6"/>
      <c r="C2" s="6"/>
    </row>
    <row r="4" customFormat="false" ht="15" hidden="false" customHeight="false" outlineLevel="0" collapsed="false">
      <c r="A4" s="7" t="s">
        <v>17</v>
      </c>
    </row>
    <row r="5" customFormat="false" ht="15" hidden="false" customHeight="false" outlineLevel="0" collapsed="false">
      <c r="A5" s="8" t="s">
        <v>18</v>
      </c>
      <c r="B5" s="9" t="n">
        <f aca="false">'Fundamental Valuation'!B11</f>
        <v>296501.911110433</v>
      </c>
    </row>
    <row r="6" customFormat="false" ht="15" hidden="false" customHeight="false" outlineLevel="0" collapsed="false">
      <c r="A6" s="8" t="s">
        <v>19</v>
      </c>
      <c r="B6" s="9" t="n">
        <f aca="false">SOTP!D16</f>
        <v>283499.245852187</v>
      </c>
    </row>
    <row r="7" customFormat="false" ht="15" hidden="false" customHeight="false" outlineLevel="0" collapsed="false">
      <c r="A7" s="8" t="s">
        <v>20</v>
      </c>
      <c r="B7" s="9" t="n">
        <f aca="false">SOTP!E16</f>
        <v>410754.147812971</v>
      </c>
    </row>
    <row r="8" customFormat="false" ht="15" hidden="false" customHeight="false" outlineLevel="0" collapsed="false">
      <c r="A8" s="8" t="s">
        <v>21</v>
      </c>
      <c r="B8" s="9" t="n">
        <f aca="false">SOTP!F16</f>
        <v>95052.790346908</v>
      </c>
    </row>
    <row r="9" customFormat="false" ht="15" hidden="false" customHeight="false" outlineLevel="0" collapsed="false">
      <c r="A9" s="8" t="s">
        <v>22</v>
      </c>
      <c r="B9" s="9" t="n">
        <f aca="false">DCF!B21</f>
        <v>214800.408238565</v>
      </c>
    </row>
    <row r="10" customFormat="false" ht="15" hidden="false" customHeight="false" outlineLevel="0" collapsed="false">
      <c r="A10" s="8" t="s">
        <v>23</v>
      </c>
      <c r="B10" s="9" t="n">
        <f aca="false">Assumptions!B5</f>
        <v>339500</v>
      </c>
    </row>
    <row r="11" customFormat="false" ht="15" hidden="false" customHeight="false" outlineLevel="0" collapsed="false">
      <c r="A11" s="8" t="s">
        <v>24</v>
      </c>
      <c r="B11" s="10" t="n">
        <f aca="false">B10/B5-1</f>
        <v>0.145017914820632</v>
      </c>
    </row>
    <row r="13" customFormat="false" ht="15" hidden="false" customHeight="false" outlineLevel="0" collapsed="false">
      <c r="A13" s="7" t="s">
        <v>25</v>
      </c>
    </row>
    <row r="14" customFormat="false" ht="15" hidden="false" customHeight="false" outlineLevel="0" collapsed="false">
      <c r="A14" s="8" t="s">
        <v>26</v>
      </c>
      <c r="B14" s="11" t="n">
        <f aca="false">Assumptions!B14</f>
        <v>175</v>
      </c>
    </row>
    <row r="15" customFormat="false" ht="15" hidden="false" customHeight="false" outlineLevel="0" collapsed="false">
      <c r="A15" s="8" t="s">
        <v>27</v>
      </c>
      <c r="B15" s="12" t="n">
        <f aca="false">Assumptions!C14</f>
        <v>9</v>
      </c>
    </row>
    <row r="16" customFormat="false" ht="15" hidden="false" customHeight="false" outlineLevel="0" collapsed="false">
      <c r="A16" s="8" t="s">
        <v>28</v>
      </c>
      <c r="B16" s="13" t="n">
        <f aca="false">Assumptions!B46</f>
        <v>0.085</v>
      </c>
    </row>
    <row r="17" customFormat="false" ht="15" hidden="false" customHeight="false" outlineLevel="0" collapsed="false">
      <c r="A17" s="8" t="s">
        <v>29</v>
      </c>
      <c r="B17" s="11" t="n">
        <f aca="false">Assumptions!B7</f>
        <v>119.2</v>
      </c>
    </row>
    <row r="19" customFormat="false" ht="15" hidden="false" customHeight="false" outlineLevel="0" collapsed="false">
      <c r="A19" s="7" t="s">
        <v>30</v>
      </c>
    </row>
    <row r="20" customFormat="false" ht="27.75" hidden="false" customHeight="true" outlineLevel="0" collapsed="false">
      <c r="A20" s="14" t="s">
        <v>31</v>
      </c>
      <c r="B20" s="14"/>
      <c r="C20" s="14"/>
    </row>
    <row r="21" customFormat="false" ht="27.75" hidden="false" customHeight="true" outlineLevel="0" collapsed="false">
      <c r="A21" s="14" t="s">
        <v>32</v>
      </c>
      <c r="B21" s="14"/>
      <c r="C21" s="14"/>
    </row>
    <row r="22" customFormat="false" ht="27.75" hidden="false" customHeight="true" outlineLevel="0" collapsed="false">
      <c r="A22" s="14" t="s">
        <v>33</v>
      </c>
      <c r="B22" s="14"/>
      <c r="C22" s="14"/>
    </row>
    <row r="23" customFormat="false" ht="27.75" hidden="false" customHeight="true" outlineLevel="0" collapsed="false">
      <c r="A23" s="14" t="s">
        <v>34</v>
      </c>
      <c r="B23" s="14"/>
      <c r="C23" s="14"/>
    </row>
    <row r="24" customFormat="false" ht="27.75" hidden="false" customHeight="true" outlineLevel="0" collapsed="false">
      <c r="A24" s="14" t="s">
        <v>35</v>
      </c>
      <c r="B24" s="14"/>
      <c r="C24" s="14"/>
    </row>
    <row r="25" customFormat="false" ht="27.75" hidden="false" customHeight="true" outlineLevel="0" collapsed="false">
      <c r="A25" s="14" t="s">
        <v>36</v>
      </c>
      <c r="B25" s="14"/>
      <c r="C25" s="14"/>
    </row>
    <row r="26" customFormat="false" ht="27.75" hidden="false" customHeight="true" outlineLevel="0" collapsed="false">
      <c r="A26" s="14" t="s">
        <v>37</v>
      </c>
      <c r="B26" s="14"/>
      <c r="C26" s="14"/>
    </row>
  </sheetData>
  <mergeCells count="9">
    <mergeCell ref="A1:C1"/>
    <mergeCell ref="A2:C2"/>
    <mergeCell ref="A20:C20"/>
    <mergeCell ref="A21:C21"/>
    <mergeCell ref="A22:C22"/>
    <mergeCell ref="A23:C23"/>
    <mergeCell ref="A24:C24"/>
    <mergeCell ref="A25:C25"/>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4" min="3" style="0" width="12"/>
    <col collapsed="false" customWidth="true" hidden="false" outlineLevel="0" max="5" min="5" style="0" width="40"/>
  </cols>
  <sheetData>
    <row r="1" customFormat="false" ht="24" hidden="false" customHeight="true" outlineLevel="0" collapsed="false">
      <c r="A1" s="5" t="s">
        <v>38</v>
      </c>
      <c r="B1" s="5"/>
      <c r="C1" s="5"/>
      <c r="D1" s="5"/>
      <c r="E1" s="5"/>
    </row>
    <row r="2" customFormat="false" ht="15" hidden="false" customHeight="false" outlineLevel="0" collapsed="false">
      <c r="A2" s="6" t="s">
        <v>39</v>
      </c>
      <c r="B2" s="6"/>
      <c r="C2" s="6"/>
      <c r="D2" s="6"/>
      <c r="E2" s="6"/>
    </row>
    <row r="4" customFormat="false" ht="15" hidden="false" customHeight="false" outlineLevel="0" collapsed="false">
      <c r="A4" s="7" t="s">
        <v>40</v>
      </c>
    </row>
    <row r="5" customFormat="false" ht="15" hidden="false" customHeight="false" outlineLevel="0" collapsed="false">
      <c r="A5" s="15" t="s">
        <v>41</v>
      </c>
      <c r="B5" s="15" t="s">
        <v>42</v>
      </c>
      <c r="C5" s="15" t="s">
        <v>43</v>
      </c>
      <c r="D5" s="15" t="s">
        <v>44</v>
      </c>
      <c r="E5" s="15" t="s">
        <v>45</v>
      </c>
    </row>
    <row r="6" customFormat="false" ht="15" hidden="false" customHeight="false" outlineLevel="0" collapsed="false">
      <c r="A6" s="8" t="s">
        <v>46</v>
      </c>
      <c r="B6" s="9" t="n">
        <f aca="false">SOTP!D16</f>
        <v>283499.245852187</v>
      </c>
      <c r="C6" s="10" t="n">
        <f aca="false">B6/Assumptions!B5-1</f>
        <v>-0.164950674956739</v>
      </c>
      <c r="D6" s="16" t="n">
        <v>0.25</v>
      </c>
      <c r="E6" s="17" t="s">
        <v>47</v>
      </c>
    </row>
    <row r="7" customFormat="false" ht="15" hidden="false" customHeight="false" outlineLevel="0" collapsed="false">
      <c r="A7" s="8" t="s">
        <v>48</v>
      </c>
      <c r="B7" s="9" t="n">
        <f aca="false">SOTP!E16</f>
        <v>410754.147812971</v>
      </c>
      <c r="C7" s="10" t="n">
        <f aca="false">B7/Assumptions!B5-1</f>
        <v>0.209879669552198</v>
      </c>
      <c r="D7" s="16" t="n">
        <v>0.15</v>
      </c>
      <c r="E7" s="17" t="s">
        <v>49</v>
      </c>
    </row>
    <row r="8" customFormat="false" ht="15" hidden="false" customHeight="false" outlineLevel="0" collapsed="false">
      <c r="A8" s="8" t="s">
        <v>22</v>
      </c>
      <c r="B8" s="9" t="n">
        <f aca="false">DCF!B21</f>
        <v>214800.408238565</v>
      </c>
      <c r="C8" s="10" t="n">
        <f aca="false">B8/Assumptions!B5-1</f>
        <v>-0.367303657618365</v>
      </c>
      <c r="D8" s="16" t="n">
        <v>0.1</v>
      </c>
      <c r="E8" s="17" t="s">
        <v>50</v>
      </c>
    </row>
    <row r="9" customFormat="false" ht="15" hidden="false" customHeight="false" outlineLevel="0" collapsed="false">
      <c r="A9" s="8" t="s">
        <v>51</v>
      </c>
      <c r="B9" s="9" t="n">
        <f aca="false">'Relative &amp; Normalized'!B12</f>
        <v>316742.081447964</v>
      </c>
      <c r="C9" s="10" t="n">
        <f aca="false">B9/Assumptions!B5-1</f>
        <v>-0.0670336334375145</v>
      </c>
      <c r="D9" s="16" t="n">
        <v>0.25</v>
      </c>
      <c r="E9" s="17" t="s">
        <v>52</v>
      </c>
    </row>
    <row r="10" customFormat="false" ht="15" hidden="false" customHeight="false" outlineLevel="0" collapsed="false">
      <c r="A10" s="8" t="s">
        <v>53</v>
      </c>
      <c r="B10" s="9" t="n">
        <f aca="false">'Relative &amp; Normalized'!B19</f>
        <v>253393.665158371</v>
      </c>
      <c r="C10" s="10" t="n">
        <f aca="false">B10/Assumptions!B5-1</f>
        <v>-0.253626906750012</v>
      </c>
      <c r="D10" s="16" t="n">
        <v>0.25</v>
      </c>
      <c r="E10" s="17" t="s">
        <v>54</v>
      </c>
    </row>
    <row r="11" customFormat="false" ht="15" hidden="false" customHeight="false" outlineLevel="0" collapsed="false">
      <c r="A11" s="18" t="s">
        <v>55</v>
      </c>
      <c r="B11" s="19" t="n">
        <f aca="false">SUMPRODUCT(B6:B10,D6:D10)</f>
        <v>296501.911110433</v>
      </c>
      <c r="C11" s="20" t="n">
        <f aca="false">B11/Assumptions!B5-1</f>
        <v>-0.126651219115073</v>
      </c>
      <c r="D11" s="20" t="n">
        <f aca="false">SUM(D6:D10)</f>
        <v>1</v>
      </c>
    </row>
    <row r="13" customFormat="false" ht="15" hidden="false" customHeight="false" outlineLevel="0" collapsed="false">
      <c r="A13" s="8" t="s">
        <v>56</v>
      </c>
      <c r="B13" s="9" t="n">
        <f aca="false">Assumptions!B5</f>
        <v>339500</v>
      </c>
    </row>
    <row r="14" customFormat="false" ht="15" hidden="false" customHeight="false" outlineLevel="0" collapsed="false">
      <c r="A14" s="8" t="s">
        <v>24</v>
      </c>
      <c r="B14" s="10" t="n">
        <f aca="false">Assumptions!B5/B11-1</f>
        <v>0.145017914820632</v>
      </c>
      <c r="E14" s="17" t="s">
        <v>57</v>
      </c>
    </row>
    <row r="16" customFormat="false" ht="15" hidden="false" customHeight="false" outlineLevel="0" collapsed="false">
      <c r="A16" s="7" t="s">
        <v>58</v>
      </c>
    </row>
    <row r="17" customFormat="false" ht="15" hidden="false" customHeight="false" outlineLevel="0" collapsed="false">
      <c r="A17" s="8" t="s">
        <v>59</v>
      </c>
      <c r="B17" s="9" t="n">
        <f aca="false">SOTP!F16</f>
        <v>95052.790346908</v>
      </c>
    </row>
    <row r="18" customFormat="false" ht="15" hidden="false" customHeight="false" outlineLevel="0" collapsed="false">
      <c r="A18" s="8" t="s">
        <v>60</v>
      </c>
      <c r="B18" s="9" t="n">
        <f aca="false">SOTP!E16</f>
        <v>410754.147812971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4"/>
    <col collapsed="false" customWidth="true" hidden="false" outlineLevel="0" max="7" min="5" style="0" width="12"/>
    <col collapsed="false" customWidth="true" hidden="false" outlineLevel="0" max="8" min="8" style="0" width="40"/>
  </cols>
  <sheetData>
    <row r="1" customFormat="false" ht="25.5" hidden="false" customHeight="true" outlineLevel="0" collapsed="false">
      <c r="A1" s="5" t="s">
        <v>61</v>
      </c>
      <c r="B1" s="5"/>
      <c r="C1" s="5"/>
      <c r="D1" s="5"/>
      <c r="E1" s="5"/>
      <c r="F1" s="5"/>
      <c r="G1" s="5"/>
      <c r="H1" s="5"/>
    </row>
    <row r="2" customFormat="false" ht="15" hidden="false" customHeight="false" outlineLevel="0" collapsed="false">
      <c r="A2" s="6" t="s">
        <v>62</v>
      </c>
      <c r="B2" s="6"/>
      <c r="C2" s="6"/>
      <c r="D2" s="6"/>
      <c r="E2" s="6"/>
      <c r="F2" s="6"/>
      <c r="G2" s="6"/>
      <c r="H2" s="6"/>
    </row>
    <row r="4" customFormat="false" ht="15" hidden="false" customHeight="false" outlineLevel="0" collapsed="false">
      <c r="A4" s="7" t="s">
        <v>63</v>
      </c>
    </row>
    <row r="5" customFormat="false" ht="15" hidden="false" customHeight="false" outlineLevel="0" collapsed="false">
      <c r="A5" s="21" t="s">
        <v>64</v>
      </c>
      <c r="B5" s="22" t="n">
        <v>339500</v>
      </c>
    </row>
    <row r="6" customFormat="false" ht="15" hidden="false" customHeight="false" outlineLevel="0" collapsed="false">
      <c r="A6" s="23" t="s">
        <v>65</v>
      </c>
      <c r="B6" s="24" t="n">
        <v>6.63</v>
      </c>
    </row>
    <row r="7" customFormat="false" ht="15" hidden="false" customHeight="false" outlineLevel="0" collapsed="false">
      <c r="A7" s="25" t="s">
        <v>66</v>
      </c>
      <c r="B7" s="26" t="n">
        <v>119.2</v>
      </c>
    </row>
    <row r="8" customFormat="false" ht="15" hidden="false" customHeight="false" outlineLevel="0" collapsed="false">
      <c r="A8" s="27" t="s">
        <v>67</v>
      </c>
      <c r="B8" s="26" t="n">
        <v>25</v>
      </c>
    </row>
    <row r="9" customFormat="false" ht="15" hidden="false" customHeight="false" outlineLevel="0" collapsed="false">
      <c r="A9" s="28" t="s">
        <v>68</v>
      </c>
      <c r="B9" s="22" t="n">
        <v>64000</v>
      </c>
    </row>
    <row r="10" customFormat="false" ht="15" hidden="false" customHeight="false" outlineLevel="0" collapsed="false">
      <c r="A10" s="29" t="s">
        <v>69</v>
      </c>
      <c r="B10" s="16" t="n">
        <v>0.16</v>
      </c>
    </row>
    <row r="12" customFormat="false" ht="15" hidden="false" customHeight="false" outlineLevel="0" collapsed="false">
      <c r="A12" s="7" t="s">
        <v>70</v>
      </c>
    </row>
    <row r="13" customFormat="false" ht="15" hidden="false" customHeight="false" outlineLevel="0" collapsed="false">
      <c r="A13" s="15" t="s">
        <v>71</v>
      </c>
      <c r="B13" s="15" t="s">
        <v>72</v>
      </c>
      <c r="C13" s="15" t="s">
        <v>73</v>
      </c>
      <c r="D13" s="15" t="s">
        <v>74</v>
      </c>
      <c r="E13" s="15" t="s">
        <v>75</v>
      </c>
      <c r="F13" s="15" t="s">
        <v>76</v>
      </c>
      <c r="G13" s="15" t="s">
        <v>77</v>
      </c>
    </row>
    <row r="14" customFormat="false" ht="15" hidden="false" customHeight="false" outlineLevel="0" collapsed="false">
      <c r="A14" s="8" t="s">
        <v>78</v>
      </c>
      <c r="B14" s="26" t="n">
        <v>175</v>
      </c>
      <c r="C14" s="30" t="n">
        <v>9</v>
      </c>
      <c r="D14" s="26" t="n">
        <v>230</v>
      </c>
      <c r="E14" s="30" t="n">
        <v>10</v>
      </c>
      <c r="F14" s="26" t="n">
        <v>60</v>
      </c>
      <c r="G14" s="30" t="n">
        <v>7</v>
      </c>
    </row>
    <row r="15" customFormat="false" ht="15" hidden="false" customHeight="false" outlineLevel="0" collapsed="false">
      <c r="A15" s="8" t="s">
        <v>79</v>
      </c>
      <c r="B15" s="26" t="n">
        <v>4</v>
      </c>
      <c r="C15" s="30" t="n">
        <v>8</v>
      </c>
      <c r="D15" s="26" t="n">
        <v>6</v>
      </c>
      <c r="E15" s="30" t="n">
        <v>8</v>
      </c>
      <c r="F15" s="26" t="n">
        <v>2</v>
      </c>
      <c r="G15" s="30" t="n">
        <v>7</v>
      </c>
    </row>
    <row r="16" customFormat="false" ht="15" hidden="false" customHeight="false" outlineLevel="0" collapsed="false">
      <c r="A16" s="8" t="s">
        <v>80</v>
      </c>
      <c r="B16" s="26" t="n">
        <v>5</v>
      </c>
      <c r="C16" s="30" t="n">
        <v>6.5</v>
      </c>
      <c r="D16" s="26" t="n">
        <v>7</v>
      </c>
      <c r="E16" s="30" t="n">
        <v>7</v>
      </c>
      <c r="F16" s="26" t="n">
        <v>3</v>
      </c>
      <c r="G16" s="30" t="n">
        <v>5.5</v>
      </c>
    </row>
    <row r="17" customFormat="false" ht="15" hidden="false" customHeight="false" outlineLevel="0" collapsed="false">
      <c r="A17" s="8" t="s">
        <v>81</v>
      </c>
      <c r="B17" s="26" t="n">
        <v>13</v>
      </c>
      <c r="C17" s="30" t="n">
        <v>6</v>
      </c>
      <c r="D17" s="26" t="n">
        <v>15</v>
      </c>
      <c r="E17" s="30" t="n">
        <v>6.5</v>
      </c>
      <c r="F17" s="26" t="n">
        <v>10</v>
      </c>
      <c r="G17" s="30" t="n">
        <v>5</v>
      </c>
    </row>
    <row r="18" customFormat="false" ht="15" hidden="false" customHeight="false" outlineLevel="0" collapsed="false">
      <c r="A18" s="8" t="s">
        <v>82</v>
      </c>
      <c r="B18" s="26" t="n">
        <v>1.5</v>
      </c>
      <c r="C18" s="30" t="n">
        <v>5</v>
      </c>
      <c r="D18" s="26" t="n">
        <v>2</v>
      </c>
      <c r="E18" s="30" t="n">
        <v>5.5</v>
      </c>
      <c r="F18" s="26" t="n">
        <v>1</v>
      </c>
      <c r="G18" s="30" t="n">
        <v>4</v>
      </c>
    </row>
    <row r="19" customFormat="false" ht="15" hidden="false" customHeight="false" outlineLevel="0" collapsed="false">
      <c r="A19" s="8" t="s">
        <v>83</v>
      </c>
      <c r="B19" s="26" t="n">
        <v>1.3</v>
      </c>
      <c r="C19" s="30" t="n">
        <v>8</v>
      </c>
      <c r="D19" s="26" t="n">
        <v>1.6</v>
      </c>
      <c r="E19" s="30" t="n">
        <v>8.5</v>
      </c>
      <c r="F19" s="26" t="n">
        <v>1</v>
      </c>
      <c r="G19" s="30" t="n">
        <v>6.5</v>
      </c>
    </row>
    <row r="20" customFormat="false" ht="15" hidden="false" customHeight="false" outlineLevel="0" collapsed="false">
      <c r="A20" s="8" t="s">
        <v>84</v>
      </c>
      <c r="B20" s="26" t="n">
        <v>0</v>
      </c>
      <c r="D20" s="26" t="n">
        <v>60</v>
      </c>
      <c r="F20" s="26" t="n">
        <v>-25</v>
      </c>
      <c r="H20" s="17" t="s">
        <v>85</v>
      </c>
    </row>
    <row r="22" customFormat="false" ht="15" hidden="false" customHeight="false" outlineLevel="0" collapsed="false">
      <c r="A22" s="7" t="s">
        <v>86</v>
      </c>
    </row>
    <row r="23" customFormat="false" ht="15" hidden="false" customHeight="false" outlineLevel="0" collapsed="false">
      <c r="A23" s="8" t="s">
        <v>87</v>
      </c>
      <c r="B23" s="22" t="n">
        <v>200</v>
      </c>
    </row>
    <row r="24" customFormat="false" ht="15" hidden="false" customHeight="false" outlineLevel="0" collapsed="false">
      <c r="A24" s="8" t="s">
        <v>88</v>
      </c>
      <c r="B24" s="22" t="n">
        <v>180</v>
      </c>
    </row>
    <row r="25" customFormat="false" ht="15" hidden="false" customHeight="false" outlineLevel="0" collapsed="false">
      <c r="A25" s="8" t="s">
        <v>89</v>
      </c>
      <c r="B25" s="22" t="n">
        <v>120</v>
      </c>
    </row>
    <row r="26" customFormat="false" ht="15" hidden="false" customHeight="false" outlineLevel="0" collapsed="false">
      <c r="A26" s="8" t="s">
        <v>90</v>
      </c>
      <c r="B26" s="30" t="n">
        <v>14</v>
      </c>
    </row>
    <row r="27" customFormat="false" ht="15" hidden="false" customHeight="false" outlineLevel="0" collapsed="false">
      <c r="A27" s="8" t="s">
        <v>91</v>
      </c>
      <c r="B27" s="30" t="n">
        <v>9</v>
      </c>
    </row>
    <row r="28" customFormat="false" ht="15" hidden="false" customHeight="false" outlineLevel="0" collapsed="false">
      <c r="A28" s="8" t="s">
        <v>92</v>
      </c>
      <c r="B28" s="30" t="n">
        <v>12</v>
      </c>
    </row>
    <row r="30" customFormat="false" ht="15" hidden="false" customHeight="false" outlineLevel="0" collapsed="false">
      <c r="A30" s="7" t="s">
        <v>93</v>
      </c>
    </row>
    <row r="31" customFormat="false" ht="15" hidden="false" customHeight="false" outlineLevel="0" collapsed="false">
      <c r="A31" s="8" t="s">
        <v>46</v>
      </c>
      <c r="B31" s="16" t="n">
        <v>0.3</v>
      </c>
    </row>
    <row r="32" customFormat="false" ht="15" hidden="false" customHeight="false" outlineLevel="0" collapsed="false">
      <c r="A32" s="8" t="s">
        <v>48</v>
      </c>
      <c r="B32" s="16" t="n">
        <v>0.15</v>
      </c>
    </row>
    <row r="33" customFormat="false" ht="15" hidden="false" customHeight="false" outlineLevel="0" collapsed="false">
      <c r="A33" s="8" t="s">
        <v>51</v>
      </c>
      <c r="B33" s="16" t="n">
        <v>0.25</v>
      </c>
    </row>
    <row r="34" customFormat="false" ht="15" hidden="false" customHeight="false" outlineLevel="0" collapsed="false">
      <c r="A34" s="8" t="s">
        <v>53</v>
      </c>
      <c r="B34" s="16" t="n">
        <v>0.3</v>
      </c>
    </row>
    <row r="37" customFormat="false" ht="15" hidden="false" customHeight="false" outlineLevel="0" collapsed="false">
      <c r="A37" s="7" t="s">
        <v>94</v>
      </c>
    </row>
    <row r="38" customFormat="false" ht="15" hidden="false" customHeight="false" outlineLevel="0" collapsed="false">
      <c r="A38" s="15" t="s">
        <v>95</v>
      </c>
      <c r="B38" s="15" t="s">
        <v>96</v>
      </c>
      <c r="C38" s="15" t="s">
        <v>97</v>
      </c>
      <c r="D38" s="15" t="s">
        <v>98</v>
      </c>
      <c r="E38" s="15" t="s">
        <v>99</v>
      </c>
    </row>
    <row r="39" customFormat="false" ht="15" hidden="false" customHeight="false" outlineLevel="0" collapsed="false">
      <c r="A39" s="8" t="s">
        <v>100</v>
      </c>
      <c r="B39" s="22" t="n">
        <v>530</v>
      </c>
      <c r="C39" s="22" t="n">
        <v>215</v>
      </c>
      <c r="D39" s="22" t="n">
        <v>11</v>
      </c>
      <c r="E39" s="22" t="n">
        <v>200</v>
      </c>
    </row>
    <row r="40" customFormat="false" ht="15" hidden="false" customHeight="false" outlineLevel="0" collapsed="false">
      <c r="A40" s="8" t="s">
        <v>101</v>
      </c>
      <c r="B40" s="22" t="n">
        <v>520</v>
      </c>
      <c r="C40" s="22" t="n">
        <v>190</v>
      </c>
      <c r="D40" s="22" t="n">
        <v>11</v>
      </c>
      <c r="E40" s="22" t="n">
        <v>180</v>
      </c>
    </row>
    <row r="41" customFormat="false" ht="15" hidden="false" customHeight="false" outlineLevel="0" collapsed="false">
      <c r="A41" s="8" t="s">
        <v>102</v>
      </c>
      <c r="B41" s="22" t="n">
        <v>455</v>
      </c>
      <c r="C41" s="22" t="n">
        <v>120</v>
      </c>
      <c r="D41" s="22" t="n">
        <v>12</v>
      </c>
      <c r="E41" s="22" t="n">
        <v>105</v>
      </c>
    </row>
    <row r="42" customFormat="false" ht="15" hidden="false" customHeight="false" outlineLevel="0" collapsed="false">
      <c r="A42" s="8" t="s">
        <v>103</v>
      </c>
      <c r="B42" s="22" t="n">
        <v>475</v>
      </c>
      <c r="C42" s="22" t="n">
        <v>132</v>
      </c>
      <c r="D42" s="22" t="n">
        <v>12</v>
      </c>
      <c r="E42" s="22" t="n">
        <v>116</v>
      </c>
    </row>
    <row r="43" customFormat="false" ht="15" hidden="false" customHeight="false" outlineLevel="0" collapsed="false">
      <c r="A43" s="8" t="s">
        <v>104</v>
      </c>
      <c r="B43" s="22" t="n">
        <v>495</v>
      </c>
      <c r="C43" s="22" t="n">
        <v>145</v>
      </c>
      <c r="D43" s="22" t="n">
        <v>13</v>
      </c>
      <c r="E43" s="22" t="n">
        <v>128</v>
      </c>
    </row>
    <row r="45" customFormat="false" ht="15" hidden="false" customHeight="false" outlineLevel="0" collapsed="false">
      <c r="A45" s="7" t="s">
        <v>105</v>
      </c>
    </row>
    <row r="46" customFormat="false" ht="15" hidden="false" customHeight="false" outlineLevel="0" collapsed="false">
      <c r="A46" s="8" t="s">
        <v>106</v>
      </c>
      <c r="B46" s="16" t="n">
        <v>0.085</v>
      </c>
    </row>
    <row r="47" customFormat="false" ht="15" hidden="false" customHeight="false" outlineLevel="0" collapsed="false">
      <c r="A47" s="8" t="s">
        <v>107</v>
      </c>
      <c r="B47" s="16" t="n">
        <v>0.025</v>
      </c>
    </row>
    <row r="48" customFormat="false" ht="15" hidden="false" customHeight="false" outlineLevel="0" collapsed="false">
      <c r="A48" s="8" t="s">
        <v>108</v>
      </c>
      <c r="B48" s="22" t="n">
        <v>80</v>
      </c>
    </row>
    <row r="49" customFormat="false" ht="15" hidden="false" customHeight="false" outlineLevel="0" collapsed="false">
      <c r="A49" s="8" t="s">
        <v>109</v>
      </c>
      <c r="B49" s="16" t="n">
        <v>0.18</v>
      </c>
    </row>
    <row r="51" customFormat="false" ht="15" hidden="false" customHeight="false" outlineLevel="0" collapsed="false">
      <c r="A51" s="7" t="s">
        <v>110</v>
      </c>
    </row>
    <row r="52" customFormat="false" ht="15" hidden="false" customHeight="false" outlineLevel="0" collapsed="false">
      <c r="A52" s="15" t="s">
        <v>95</v>
      </c>
      <c r="B52" s="15" t="s">
        <v>111</v>
      </c>
      <c r="C52" s="15" t="s">
        <v>112</v>
      </c>
      <c r="D52" s="15" t="s">
        <v>113</v>
      </c>
    </row>
    <row r="53" customFormat="false" ht="15" hidden="false" customHeight="false" outlineLevel="0" collapsed="false">
      <c r="A53" s="8" t="s">
        <v>100</v>
      </c>
      <c r="B53" s="22" t="n">
        <v>52</v>
      </c>
      <c r="C53" s="22" t="n">
        <v>100</v>
      </c>
      <c r="D53" s="22" t="n">
        <v>12</v>
      </c>
    </row>
    <row r="54" customFormat="false" ht="15" hidden="false" customHeight="false" outlineLevel="0" collapsed="false">
      <c r="A54" s="8" t="s">
        <v>101</v>
      </c>
      <c r="B54" s="22" t="n">
        <v>54</v>
      </c>
      <c r="C54" s="22" t="n">
        <v>98</v>
      </c>
      <c r="D54" s="22" t="n">
        <v>3</v>
      </c>
    </row>
    <row r="55" customFormat="false" ht="15" hidden="false" customHeight="false" outlineLevel="0" collapsed="false">
      <c r="A55" s="8" t="s">
        <v>102</v>
      </c>
      <c r="B55" s="22" t="n">
        <v>56</v>
      </c>
      <c r="C55" s="22" t="n">
        <v>88</v>
      </c>
      <c r="D55" s="22" t="n">
        <v>-5</v>
      </c>
    </row>
    <row r="56" customFormat="false" ht="15" hidden="false" customHeight="false" outlineLevel="0" collapsed="false">
      <c r="A56" s="8" t="s">
        <v>103</v>
      </c>
      <c r="B56" s="22" t="n">
        <v>58</v>
      </c>
      <c r="C56" s="22" t="n">
        <v>85</v>
      </c>
      <c r="D56" s="22" t="n">
        <v>4</v>
      </c>
    </row>
    <row r="57" customFormat="false" ht="15" hidden="false" customHeight="false" outlineLevel="0" collapsed="false">
      <c r="A57" s="8" t="s">
        <v>104</v>
      </c>
      <c r="B57" s="22" t="n">
        <v>60</v>
      </c>
      <c r="C57" s="22" t="n">
        <v>85</v>
      </c>
      <c r="D57" s="22" t="n">
        <v>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3" min="3" style="0" width="12"/>
    <col collapsed="false" customWidth="true" hidden="false" outlineLevel="0" max="7" min="4" style="0" width="14"/>
  </cols>
  <sheetData>
    <row r="1" customFormat="false" ht="25.5" hidden="false" customHeight="true" outlineLevel="0" collapsed="false">
      <c r="A1" s="5" t="s">
        <v>114</v>
      </c>
      <c r="B1" s="5"/>
      <c r="C1" s="5"/>
      <c r="D1" s="5"/>
      <c r="E1" s="5"/>
      <c r="F1" s="5"/>
      <c r="G1" s="5"/>
    </row>
    <row r="2" customFormat="false" ht="15" hidden="false" customHeight="false" outlineLevel="0" collapsed="false">
      <c r="A2" s="6" t="s">
        <v>115</v>
      </c>
      <c r="B2" s="6"/>
      <c r="C2" s="6"/>
      <c r="D2" s="6"/>
      <c r="E2" s="6"/>
      <c r="F2" s="6"/>
      <c r="G2" s="6"/>
    </row>
    <row r="4" customFormat="false" ht="15" hidden="false" customHeight="false" outlineLevel="0" collapsed="false">
      <c r="A4" s="15" t="s">
        <v>71</v>
      </c>
      <c r="B4" s="15" t="s">
        <v>116</v>
      </c>
      <c r="C4" s="15" t="s">
        <v>117</v>
      </c>
      <c r="D4" s="15" t="s">
        <v>118</v>
      </c>
      <c r="E4" s="15" t="s">
        <v>119</v>
      </c>
      <c r="F4" s="15" t="s">
        <v>120</v>
      </c>
      <c r="G4" s="15" t="s">
        <v>121</v>
      </c>
    </row>
    <row r="5" customFormat="false" ht="15" hidden="false" customHeight="false" outlineLevel="0" collapsed="false">
      <c r="A5" s="8" t="s">
        <v>78</v>
      </c>
      <c r="B5" s="11" t="n">
        <f aca="false">Assumptions!B14</f>
        <v>175</v>
      </c>
      <c r="C5" s="12" t="n">
        <f aca="false">Assumptions!C14</f>
        <v>9</v>
      </c>
      <c r="D5" s="31" t="n">
        <f aca="false">B5*C5</f>
        <v>1575</v>
      </c>
      <c r="E5" s="9" t="n">
        <f aca="false">Assumptions!D14*Assumptions!E14</f>
        <v>2300</v>
      </c>
      <c r="F5" s="9" t="n">
        <f aca="false">Assumptions!F14*Assumptions!G14</f>
        <v>420</v>
      </c>
      <c r="G5" s="17" t="s">
        <v>122</v>
      </c>
    </row>
    <row r="6" customFormat="false" ht="15" hidden="false" customHeight="false" outlineLevel="0" collapsed="false">
      <c r="A6" s="8" t="s">
        <v>79</v>
      </c>
      <c r="B6" s="11" t="n">
        <f aca="false">Assumptions!B15</f>
        <v>4</v>
      </c>
      <c r="C6" s="12" t="n">
        <f aca="false">Assumptions!C15</f>
        <v>8</v>
      </c>
      <c r="D6" s="31" t="n">
        <f aca="false">B6*C6</f>
        <v>32</v>
      </c>
      <c r="E6" s="9" t="n">
        <f aca="false">Assumptions!D15*Assumptions!E15</f>
        <v>48</v>
      </c>
      <c r="F6" s="9" t="n">
        <f aca="false">Assumptions!F15*Assumptions!G15</f>
        <v>14</v>
      </c>
      <c r="G6" s="17" t="s">
        <v>123</v>
      </c>
    </row>
    <row r="7" customFormat="false" ht="15" hidden="false" customHeight="false" outlineLevel="0" collapsed="false">
      <c r="A7" s="8" t="s">
        <v>80</v>
      </c>
      <c r="B7" s="11" t="n">
        <f aca="false">Assumptions!B16</f>
        <v>5</v>
      </c>
      <c r="C7" s="12" t="n">
        <f aca="false">Assumptions!C16</f>
        <v>6.5</v>
      </c>
      <c r="D7" s="31" t="n">
        <f aca="false">B7*C7</f>
        <v>32.5</v>
      </c>
      <c r="E7" s="9" t="n">
        <f aca="false">Assumptions!D16*Assumptions!E16</f>
        <v>49</v>
      </c>
      <c r="F7" s="9" t="n">
        <f aca="false">Assumptions!F16*Assumptions!G16</f>
        <v>16.5</v>
      </c>
      <c r="G7" s="17" t="s">
        <v>124</v>
      </c>
    </row>
    <row r="8" customFormat="false" ht="15" hidden="false" customHeight="false" outlineLevel="0" collapsed="false">
      <c r="A8" s="8" t="s">
        <v>81</v>
      </c>
      <c r="B8" s="11" t="n">
        <f aca="false">Assumptions!B17</f>
        <v>13</v>
      </c>
      <c r="C8" s="12" t="n">
        <f aca="false">Assumptions!C17</f>
        <v>6</v>
      </c>
      <c r="D8" s="31" t="n">
        <f aca="false">B8*C8</f>
        <v>78</v>
      </c>
      <c r="E8" s="9" t="n">
        <f aca="false">Assumptions!D17*Assumptions!E17</f>
        <v>97.5</v>
      </c>
      <c r="F8" s="9" t="n">
        <f aca="false">Assumptions!F17*Assumptions!G17</f>
        <v>50</v>
      </c>
      <c r="G8" s="17" t="s">
        <v>125</v>
      </c>
    </row>
    <row r="9" customFormat="false" ht="15" hidden="false" customHeight="false" outlineLevel="0" collapsed="false">
      <c r="A9" s="8" t="s">
        <v>82</v>
      </c>
      <c r="B9" s="11" t="n">
        <f aca="false">Assumptions!B18</f>
        <v>1.5</v>
      </c>
      <c r="C9" s="12" t="n">
        <f aca="false">Assumptions!C18</f>
        <v>5</v>
      </c>
      <c r="D9" s="31" t="n">
        <f aca="false">B9*C9</f>
        <v>7.5</v>
      </c>
      <c r="E9" s="9" t="n">
        <f aca="false">Assumptions!D18*Assumptions!E18</f>
        <v>11</v>
      </c>
      <c r="F9" s="9" t="n">
        <f aca="false">Assumptions!F18*Assumptions!G18</f>
        <v>4</v>
      </c>
      <c r="G9" s="17" t="s">
        <v>126</v>
      </c>
    </row>
    <row r="10" customFormat="false" ht="15" hidden="false" customHeight="false" outlineLevel="0" collapsed="false">
      <c r="A10" s="8" t="s">
        <v>83</v>
      </c>
      <c r="B10" s="11" t="n">
        <f aca="false">Assumptions!B19</f>
        <v>1.3</v>
      </c>
      <c r="C10" s="12" t="n">
        <f aca="false">Assumptions!C19</f>
        <v>8</v>
      </c>
      <c r="D10" s="31" t="n">
        <f aca="false">B10*C10</f>
        <v>10.4</v>
      </c>
      <c r="E10" s="9" t="n">
        <f aca="false">Assumptions!D19*Assumptions!E19</f>
        <v>13.6</v>
      </c>
      <c r="F10" s="9" t="n">
        <f aca="false">Assumptions!F19*Assumptions!G19</f>
        <v>6.5</v>
      </c>
      <c r="G10" s="17" t="s">
        <v>127</v>
      </c>
    </row>
    <row r="11" customFormat="false" ht="15" hidden="false" customHeight="false" outlineLevel="0" collapsed="false">
      <c r="A11" s="8" t="s">
        <v>128</v>
      </c>
      <c r="D11" s="9" t="n">
        <f aca="false">Assumptions!B20</f>
        <v>0</v>
      </c>
      <c r="E11" s="9" t="n">
        <f aca="false">Assumptions!D20</f>
        <v>60</v>
      </c>
      <c r="F11" s="9" t="n">
        <f aca="false">Assumptions!F20</f>
        <v>-25</v>
      </c>
      <c r="G11" s="17" t="s">
        <v>129</v>
      </c>
    </row>
    <row r="12" customFormat="false" ht="15" hidden="false" customHeight="false" outlineLevel="0" collapsed="false">
      <c r="A12" s="32" t="s">
        <v>130</v>
      </c>
      <c r="D12" s="33" t="n">
        <f aca="false">SUM(D5:D11)</f>
        <v>1735.4</v>
      </c>
      <c r="E12" s="33" t="n">
        <f aca="false">SUM(E5:E11)</f>
        <v>2579.1</v>
      </c>
      <c r="F12" s="33" t="n">
        <f aca="false">SUM(F5:F11)</f>
        <v>486</v>
      </c>
    </row>
    <row r="13" customFormat="false" ht="15" hidden="false" customHeight="false" outlineLevel="0" collapsed="false">
      <c r="A13" s="8" t="s">
        <v>131</v>
      </c>
      <c r="D13" s="9" t="n">
        <f aca="false">Assumptions!B7</f>
        <v>119.2</v>
      </c>
      <c r="E13" s="9" t="n">
        <f aca="false">Assumptions!B7</f>
        <v>119.2</v>
      </c>
      <c r="F13" s="9" t="n">
        <f aca="false">Assumptions!B7</f>
        <v>119.2</v>
      </c>
    </row>
    <row r="14" customFormat="false" ht="15" hidden="false" customHeight="false" outlineLevel="0" collapsed="false">
      <c r="A14" s="8" t="s">
        <v>132</v>
      </c>
      <c r="D14" s="9" t="n">
        <f aca="false">Assumptions!B8</f>
        <v>25</v>
      </c>
      <c r="E14" s="9" t="n">
        <f aca="false">Assumptions!B8</f>
        <v>25</v>
      </c>
      <c r="F14" s="9" t="n">
        <f aca="false">Assumptions!B8</f>
        <v>25</v>
      </c>
    </row>
    <row r="15" customFormat="false" ht="15" hidden="false" customHeight="false" outlineLevel="0" collapsed="false">
      <c r="A15" s="34" t="s">
        <v>133</v>
      </c>
      <c r="D15" s="35" t="n">
        <f aca="false">D12+D13+D14</f>
        <v>1879.6</v>
      </c>
      <c r="E15" s="35" t="n">
        <f aca="false">E12+E13+E14</f>
        <v>2723.3</v>
      </c>
      <c r="F15" s="35" t="n">
        <f aca="false">F12+F13+F14</f>
        <v>630.2</v>
      </c>
    </row>
    <row r="16" customFormat="false" ht="15" hidden="false" customHeight="false" outlineLevel="0" collapsed="false">
      <c r="A16" s="18" t="s">
        <v>134</v>
      </c>
      <c r="D16" s="19" t="n">
        <f aca="false">D15*1000/Assumptions!B6</f>
        <v>283499.245852187</v>
      </c>
      <c r="E16" s="19" t="n">
        <f aca="false">E15*1000/Assumptions!B6</f>
        <v>410754.147812971</v>
      </c>
      <c r="F16" s="19" t="n">
        <f aca="false">F15*1000/Assumptions!B6</f>
        <v>95052.790346908</v>
      </c>
    </row>
    <row r="17" customFormat="false" ht="15" hidden="false" customHeight="false" outlineLevel="0" collapsed="false">
      <c r="A17" s="8" t="s">
        <v>43</v>
      </c>
      <c r="D17" s="10" t="n">
        <f aca="false">D16/Assumptions!B5-1</f>
        <v>-0.164950674956739</v>
      </c>
      <c r="E17" s="10" t="n">
        <f aca="false">E16/Assumptions!B5-1</f>
        <v>0.209879669552198</v>
      </c>
      <c r="F17" s="10" t="n">
        <f aca="false">F16/Assumptions!B5-1</f>
        <v>-0.720021236091582</v>
      </c>
    </row>
    <row r="19" customFormat="false" ht="15" hidden="false" customHeight="false" outlineLevel="0" collapsed="false">
      <c r="A19" s="17" t="s">
        <v>135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4" min="3" style="0" width="28"/>
    <col collapsed="false" customWidth="true" hidden="false" outlineLevel="0" max="5" min="5" style="0" width="26"/>
    <col collapsed="false" customWidth="true" hidden="false" outlineLevel="0" max="6" min="6" style="0" width="24"/>
  </cols>
  <sheetData>
    <row r="1" customFormat="false" ht="24" hidden="false" customHeight="true" outlineLevel="0" collapsed="false">
      <c r="A1" s="5" t="s">
        <v>136</v>
      </c>
      <c r="B1" s="5"/>
      <c r="C1" s="5"/>
      <c r="D1" s="5"/>
      <c r="E1" s="5"/>
      <c r="F1" s="5"/>
    </row>
    <row r="2" customFormat="false" ht="15" hidden="false" customHeight="false" outlineLevel="0" collapsed="false">
      <c r="A2" s="6" t="s">
        <v>137</v>
      </c>
      <c r="B2" s="6"/>
      <c r="C2" s="6"/>
      <c r="D2" s="6"/>
      <c r="E2" s="6"/>
      <c r="F2" s="6"/>
    </row>
    <row r="4" customFormat="false" ht="13.5" hidden="false" customHeight="true" outlineLevel="0" collapsed="false">
      <c r="A4" s="36" t="s">
        <v>138</v>
      </c>
      <c r="B4" s="36" t="s">
        <v>139</v>
      </c>
      <c r="C4" s="36" t="s">
        <v>140</v>
      </c>
      <c r="D4" s="36" t="s">
        <v>141</v>
      </c>
      <c r="E4" s="36" t="s">
        <v>142</v>
      </c>
    </row>
    <row r="5" customFormat="false" ht="15" hidden="false" customHeight="false" outlineLevel="0" collapsed="false">
      <c r="A5" s="37" t="s">
        <v>143</v>
      </c>
      <c r="B5" s="4" t="s">
        <v>144</v>
      </c>
      <c r="C5" s="4" t="s">
        <v>145</v>
      </c>
      <c r="D5" s="4" t="s">
        <v>146</v>
      </c>
      <c r="E5" s="4" t="s">
        <v>147</v>
      </c>
    </row>
    <row r="6" customFormat="false" ht="15" hidden="false" customHeight="false" outlineLevel="0" collapsed="false">
      <c r="A6" s="37" t="s">
        <v>148</v>
      </c>
      <c r="B6" s="4" t="s">
        <v>149</v>
      </c>
      <c r="C6" s="4" t="s">
        <v>150</v>
      </c>
      <c r="D6" s="4" t="s">
        <v>151</v>
      </c>
      <c r="E6" s="4" t="s">
        <v>152</v>
      </c>
    </row>
    <row r="7" customFormat="false" ht="15" hidden="false" customHeight="false" outlineLevel="0" collapsed="false">
      <c r="A7" s="37" t="s">
        <v>153</v>
      </c>
      <c r="B7" s="4" t="s">
        <v>154</v>
      </c>
      <c r="C7" s="4" t="s">
        <v>155</v>
      </c>
      <c r="D7" s="4" t="s">
        <v>156</v>
      </c>
      <c r="E7" s="4" t="s">
        <v>157</v>
      </c>
    </row>
    <row r="8" customFormat="false" ht="15" hidden="false" customHeight="false" outlineLevel="0" collapsed="false">
      <c r="A8" s="37" t="s">
        <v>158</v>
      </c>
      <c r="B8" s="4" t="s">
        <v>159</v>
      </c>
      <c r="C8" s="4" t="s">
        <v>160</v>
      </c>
      <c r="D8" s="4" t="s">
        <v>161</v>
      </c>
      <c r="E8" s="4" t="s">
        <v>162</v>
      </c>
    </row>
    <row r="9" customFormat="false" ht="15" hidden="false" customHeight="false" outlineLevel="0" collapsed="false">
      <c r="A9" s="37" t="s">
        <v>163</v>
      </c>
      <c r="B9" s="4" t="s">
        <v>164</v>
      </c>
      <c r="C9" s="4" t="s">
        <v>165</v>
      </c>
      <c r="D9" s="4" t="s">
        <v>166</v>
      </c>
      <c r="E9" s="4" t="s">
        <v>167</v>
      </c>
    </row>
    <row r="10" customFormat="false" ht="15" hidden="false" customHeight="false" outlineLevel="0" collapsed="false">
      <c r="A10" s="37" t="s">
        <v>168</v>
      </c>
      <c r="B10" s="38" t="n">
        <f aca="false">Assumptions!B14</f>
        <v>175</v>
      </c>
      <c r="C10" s="38" t="n">
        <f aca="false">Assumptions!B15+Assumptions!B20*0</f>
        <v>4</v>
      </c>
      <c r="D10" s="38" t="n">
        <f aca="false">Assumptions!B17</f>
        <v>13</v>
      </c>
      <c r="E10" s="38" t="n">
        <f aca="false">Assumptions!B18+Assumptions!B19</f>
        <v>2.8</v>
      </c>
    </row>
    <row r="11" customFormat="false" ht="15" hidden="false" customHeight="false" outlineLevel="0" collapsed="false">
      <c r="A11" s="37" t="s">
        <v>169</v>
      </c>
      <c r="B11" s="38" t="n">
        <f aca="false">Assumptions!C14</f>
        <v>9</v>
      </c>
      <c r="C11" s="4" t="s">
        <v>170</v>
      </c>
      <c r="D11" s="38" t="n">
        <f aca="false">Assumptions!C17</f>
        <v>6</v>
      </c>
      <c r="E11" s="4" t="s">
        <v>171</v>
      </c>
    </row>
    <row r="12" customFormat="false" ht="15" hidden="false" customHeight="false" outlineLevel="0" collapsed="false">
      <c r="A12" s="37" t="s">
        <v>172</v>
      </c>
      <c r="B12" s="4" t="s">
        <v>173</v>
      </c>
      <c r="C12" s="4" t="s">
        <v>174</v>
      </c>
      <c r="D12" s="4" t="s">
        <v>175</v>
      </c>
      <c r="E12" s="4" t="s">
        <v>176</v>
      </c>
    </row>
    <row r="15" customFormat="false" ht="42" hidden="false" customHeight="true" outlineLevel="0" collapsed="false">
      <c r="A15" s="39" t="s">
        <v>177</v>
      </c>
      <c r="B15" s="39"/>
      <c r="C15" s="39"/>
      <c r="D15" s="39"/>
      <c r="E15" s="39"/>
      <c r="F15" s="39"/>
    </row>
  </sheetData>
  <mergeCells count="3">
    <mergeCell ref="A1:F1"/>
    <mergeCell ref="A2:F2"/>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4"/>
    <col collapsed="false" customWidth="true" hidden="false" outlineLevel="0" max="5" min="5" style="0" width="30"/>
  </cols>
  <sheetData>
    <row r="1" customFormat="false" ht="24" hidden="false" customHeight="true" outlineLevel="0" collapsed="false">
      <c r="A1" s="5" t="s">
        <v>178</v>
      </c>
      <c r="B1" s="5"/>
      <c r="C1" s="5"/>
      <c r="D1" s="5"/>
      <c r="E1" s="5"/>
    </row>
    <row r="2" customFormat="false" ht="15" hidden="false" customHeight="false" outlineLevel="0" collapsed="false">
      <c r="A2" s="6" t="s">
        <v>179</v>
      </c>
      <c r="B2" s="6"/>
      <c r="C2" s="6"/>
      <c r="D2" s="6"/>
      <c r="E2" s="6"/>
    </row>
    <row r="4" customFormat="false" ht="15" hidden="false" customHeight="false" outlineLevel="0" collapsed="false">
      <c r="A4" s="7" t="s">
        <v>180</v>
      </c>
    </row>
    <row r="5" customFormat="false" ht="15" hidden="false" customHeight="false" outlineLevel="0" collapsed="false">
      <c r="A5" s="8" t="s">
        <v>181</v>
      </c>
      <c r="B5" s="9" t="n">
        <f aca="false">Assumptions!B23*1000/Assumptions!B6</f>
        <v>30165.9125188537</v>
      </c>
    </row>
    <row r="6" customFormat="false" ht="15" hidden="false" customHeight="false" outlineLevel="0" collapsed="false">
      <c r="A6" s="8" t="s">
        <v>182</v>
      </c>
      <c r="B6" s="9" t="n">
        <f aca="false">Assumptions!B24*1000/Assumptions!B6</f>
        <v>27149.3212669683</v>
      </c>
    </row>
    <row r="7" customFormat="false" ht="15" hidden="false" customHeight="false" outlineLevel="0" collapsed="false">
      <c r="A7" s="8" t="s">
        <v>183</v>
      </c>
      <c r="B7" s="40" t="n">
        <f aca="false">Assumptions!B5/B5</f>
        <v>11.254425</v>
      </c>
      <c r="E7" s="17" t="s">
        <v>184</v>
      </c>
    </row>
    <row r="8" customFormat="false" ht="15" hidden="false" customHeight="false" outlineLevel="0" collapsed="false">
      <c r="A8" s="8" t="s">
        <v>185</v>
      </c>
      <c r="B8" s="40" t="n">
        <f aca="false">Assumptions!B5/B6</f>
        <v>12.5049166666667</v>
      </c>
    </row>
    <row r="9" customFormat="false" ht="15" hidden="false" customHeight="false" outlineLevel="0" collapsed="false">
      <c r="A9" s="8" t="s">
        <v>186</v>
      </c>
      <c r="B9" s="31" t="n">
        <f aca="false">Assumptions!B27*B5</f>
        <v>271493.212669683</v>
      </c>
    </row>
    <row r="10" customFormat="false" ht="15" hidden="false" customHeight="false" outlineLevel="0" collapsed="false">
      <c r="A10" s="8" t="s">
        <v>187</v>
      </c>
      <c r="B10" s="31" t="n">
        <f aca="false">Assumptions!B28*B5</f>
        <v>361990.950226244</v>
      </c>
    </row>
    <row r="11" customFormat="false" ht="15" hidden="false" customHeight="false" outlineLevel="0" collapsed="false">
      <c r="A11" s="8" t="s">
        <v>188</v>
      </c>
      <c r="B11" s="40" t="n">
        <f aca="false">Assumptions!B5/Assumptions!B9</f>
        <v>5.3046875</v>
      </c>
      <c r="E11" s="17" t="s">
        <v>189</v>
      </c>
    </row>
    <row r="12" customFormat="false" ht="15" hidden="false" customHeight="false" outlineLevel="0" collapsed="false">
      <c r="A12" s="18" t="s">
        <v>190</v>
      </c>
      <c r="B12" s="19" t="n">
        <f aca="false">(B9+B10)/2</f>
        <v>316742.081447964</v>
      </c>
    </row>
    <row r="15" customFormat="false" ht="15" hidden="false" customHeight="false" outlineLevel="0" collapsed="false">
      <c r="A15" s="7" t="s">
        <v>191</v>
      </c>
    </row>
    <row r="16" customFormat="false" ht="15" hidden="false" customHeight="false" outlineLevel="0" collapsed="false">
      <c r="A16" s="8" t="s">
        <v>192</v>
      </c>
      <c r="B16" s="9" t="n">
        <f aca="false">Assumptions!B25</f>
        <v>120</v>
      </c>
    </row>
    <row r="17" customFormat="false" ht="15" hidden="false" customHeight="false" outlineLevel="0" collapsed="false">
      <c r="A17" s="8" t="s">
        <v>193</v>
      </c>
      <c r="B17" s="31" t="n">
        <f aca="false">B16*1000/Assumptions!B6</f>
        <v>18099.5475113122</v>
      </c>
    </row>
    <row r="18" customFormat="false" ht="15" hidden="false" customHeight="false" outlineLevel="0" collapsed="false">
      <c r="A18" s="8" t="s">
        <v>194</v>
      </c>
      <c r="B18" s="12" t="n">
        <f aca="false">Assumptions!B26</f>
        <v>14</v>
      </c>
    </row>
    <row r="19" customFormat="false" ht="15" hidden="false" customHeight="false" outlineLevel="0" collapsed="false">
      <c r="A19" s="18" t="s">
        <v>195</v>
      </c>
      <c r="B19" s="19" t="n">
        <f aca="false">B17*B18</f>
        <v>253393.665158371</v>
      </c>
    </row>
    <row r="21" customFormat="false" ht="15" hidden="false" customHeight="false" outlineLevel="0" collapsed="false">
      <c r="A21" s="8" t="s">
        <v>196</v>
      </c>
      <c r="B21" s="40" t="n">
        <f aca="false">Assumptions!B5/B17</f>
        <v>18.757375</v>
      </c>
      <c r="E21" s="17" t="s">
        <v>197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2"/>
  </cols>
  <sheetData>
    <row r="1" customFormat="false" ht="24" hidden="false" customHeight="true" outlineLevel="0" collapsed="false">
      <c r="A1" s="5" t="s">
        <v>198</v>
      </c>
      <c r="B1" s="5"/>
      <c r="C1" s="5"/>
      <c r="D1" s="5"/>
      <c r="E1" s="5"/>
      <c r="F1" s="5"/>
      <c r="G1" s="5"/>
    </row>
    <row r="2" customFormat="false" ht="15" hidden="false" customHeight="false" outlineLevel="0" collapsed="false">
      <c r="A2" s="6" t="s">
        <v>199</v>
      </c>
      <c r="B2" s="6"/>
      <c r="C2" s="6"/>
      <c r="D2" s="6"/>
      <c r="E2" s="6"/>
      <c r="F2" s="6"/>
      <c r="G2" s="6"/>
    </row>
    <row r="4" customFormat="false" ht="15" hidden="false" customHeight="false" outlineLevel="0" collapsed="false">
      <c r="A4" s="15" t="s">
        <v>200</v>
      </c>
      <c r="B4" s="41" t="s">
        <v>100</v>
      </c>
      <c r="C4" s="41" t="s">
        <v>101</v>
      </c>
      <c r="D4" s="41" t="s">
        <v>102</v>
      </c>
      <c r="E4" s="41" t="s">
        <v>103</v>
      </c>
      <c r="F4" s="41" t="s">
        <v>104</v>
      </c>
    </row>
    <row r="5" customFormat="false" ht="15" hidden="false" customHeight="false" outlineLevel="0" collapsed="false">
      <c r="A5" s="42" t="s">
        <v>201</v>
      </c>
      <c r="B5" s="11" t="n">
        <f aca="false">Assumptions!C39</f>
        <v>215</v>
      </c>
      <c r="C5" s="11" t="n">
        <f aca="false">Assumptions!C40</f>
        <v>190</v>
      </c>
      <c r="D5" s="11" t="n">
        <f aca="false">Assumptions!C41</f>
        <v>120</v>
      </c>
      <c r="E5" s="11" t="n">
        <f aca="false">Assumptions!C42</f>
        <v>132</v>
      </c>
      <c r="F5" s="11" t="n">
        <f aca="false">Assumptions!C43</f>
        <v>145</v>
      </c>
    </row>
    <row r="6" customFormat="false" ht="15" hidden="false" customHeight="false" outlineLevel="0" collapsed="false">
      <c r="A6" s="8" t="s">
        <v>202</v>
      </c>
      <c r="B6" s="43" t="n">
        <f aca="false">B5*(1-Assumptions!B49)</f>
        <v>176.3</v>
      </c>
      <c r="C6" s="43" t="n">
        <f aca="false">C5*(1-Assumptions!B49)</f>
        <v>155.8</v>
      </c>
      <c r="D6" s="43" t="n">
        <f aca="false">D5*(1-Assumptions!B49)</f>
        <v>98.4</v>
      </c>
      <c r="E6" s="43" t="n">
        <f aca="false">E5*(1-Assumptions!B49)</f>
        <v>108.24</v>
      </c>
      <c r="F6" s="43" t="n">
        <f aca="false">F5*(1-Assumptions!B49)</f>
        <v>118.9</v>
      </c>
    </row>
    <row r="7" customFormat="false" ht="15" hidden="false" customHeight="false" outlineLevel="0" collapsed="false">
      <c r="A7" s="42" t="s">
        <v>203</v>
      </c>
      <c r="B7" s="11" t="n">
        <f aca="false">Assumptions!B53</f>
        <v>52</v>
      </c>
      <c r="C7" s="11" t="n">
        <f aca="false">Assumptions!B54</f>
        <v>54</v>
      </c>
      <c r="D7" s="11" t="n">
        <f aca="false">Assumptions!B55</f>
        <v>56</v>
      </c>
      <c r="E7" s="11" t="n">
        <f aca="false">Assumptions!B56</f>
        <v>58</v>
      </c>
      <c r="F7" s="11" t="n">
        <f aca="false">Assumptions!B57</f>
        <v>60</v>
      </c>
    </row>
    <row r="8" customFormat="false" ht="15" hidden="false" customHeight="false" outlineLevel="0" collapsed="false">
      <c r="A8" s="42" t="s">
        <v>204</v>
      </c>
      <c r="B8" s="11" t="n">
        <f aca="false">-Assumptions!C53</f>
        <v>-100</v>
      </c>
      <c r="C8" s="11" t="n">
        <f aca="false">-Assumptions!C54</f>
        <v>-98</v>
      </c>
      <c r="D8" s="11" t="n">
        <f aca="false">-Assumptions!C55</f>
        <v>-88</v>
      </c>
      <c r="E8" s="11" t="n">
        <f aca="false">-Assumptions!C56</f>
        <v>-85</v>
      </c>
      <c r="F8" s="11" t="n">
        <f aca="false">-Assumptions!C57</f>
        <v>-85</v>
      </c>
    </row>
    <row r="9" customFormat="false" ht="15" hidden="false" customHeight="false" outlineLevel="0" collapsed="false">
      <c r="A9" s="42" t="s">
        <v>205</v>
      </c>
      <c r="B9" s="11" t="n">
        <f aca="false">-Assumptions!D53</f>
        <v>-12</v>
      </c>
      <c r="C9" s="11" t="n">
        <f aca="false">-Assumptions!D54</f>
        <v>-3</v>
      </c>
      <c r="D9" s="11" t="n">
        <f aca="false">-Assumptions!D55</f>
        <v>5</v>
      </c>
      <c r="E9" s="11" t="n">
        <f aca="false">-Assumptions!D56</f>
        <v>-4</v>
      </c>
      <c r="F9" s="11" t="n">
        <f aca="false">-Assumptions!D57</f>
        <v>-4</v>
      </c>
    </row>
    <row r="10" customFormat="false" ht="15" hidden="false" customHeight="false" outlineLevel="0" collapsed="false">
      <c r="A10" s="32" t="s">
        <v>206</v>
      </c>
      <c r="B10" s="44" t="n">
        <f aca="false">B6+B7+B8+B9</f>
        <v>116.3</v>
      </c>
      <c r="C10" s="44" t="n">
        <f aca="false">C6+C7+C8+C9</f>
        <v>108.8</v>
      </c>
      <c r="D10" s="44" t="n">
        <f aca="false">D6+D7+D8+D9</f>
        <v>71.4</v>
      </c>
      <c r="E10" s="44" t="n">
        <f aca="false">E6+E7+E8+E9</f>
        <v>77.24</v>
      </c>
      <c r="F10" s="44" t="n">
        <f aca="false">F6+F7+F8+F9</f>
        <v>89.9</v>
      </c>
    </row>
    <row r="11" customFormat="false" ht="15" hidden="false" customHeight="false" outlineLevel="0" collapsed="false">
      <c r="A11" s="8" t="s">
        <v>207</v>
      </c>
      <c r="B11" s="45" t="n">
        <f aca="false">1/(1+Assumptions!B46)^1</f>
        <v>0.921658986175115</v>
      </c>
      <c r="C11" s="45" t="n">
        <f aca="false">1/(1+Assumptions!B46)^2</f>
        <v>0.849455286797341</v>
      </c>
      <c r="D11" s="45" t="n">
        <f aca="false">1/(1+Assumptions!B46)^3</f>
        <v>0.782908098430729</v>
      </c>
      <c r="E11" s="45" t="n">
        <f aca="false">1/(1+Assumptions!B46)^4</f>
        <v>0.721574284267953</v>
      </c>
      <c r="F11" s="45" t="n">
        <f aca="false">1/(1+Assumptions!B46)^5</f>
        <v>0.665045423288436</v>
      </c>
    </row>
    <row r="12" customFormat="false" ht="15" hidden="false" customHeight="false" outlineLevel="0" collapsed="false">
      <c r="A12" s="8" t="s">
        <v>208</v>
      </c>
      <c r="B12" s="43" t="n">
        <f aca="false">B10*B11</f>
        <v>107.188940092166</v>
      </c>
      <c r="C12" s="43" t="n">
        <f aca="false">C10*C11</f>
        <v>92.4207352035507</v>
      </c>
      <c r="D12" s="43" t="n">
        <f aca="false">D10*D11</f>
        <v>55.8996382279541</v>
      </c>
      <c r="E12" s="43" t="n">
        <f aca="false">E10*E11</f>
        <v>55.7343977168567</v>
      </c>
      <c r="F12" s="43" t="n">
        <f aca="false">F10*F11</f>
        <v>59.7875835536304</v>
      </c>
    </row>
    <row r="14" customFormat="false" ht="15" hidden="false" customHeight="false" outlineLevel="0" collapsed="false">
      <c r="A14" s="8" t="s">
        <v>209</v>
      </c>
      <c r="B14" s="31" t="n">
        <f aca="false">SUM(B12:F12)</f>
        <v>371.031294794158</v>
      </c>
    </row>
    <row r="15" customFormat="false" ht="15" hidden="false" customHeight="false" outlineLevel="0" collapsed="false">
      <c r="A15" s="8" t="s">
        <v>210</v>
      </c>
      <c r="B15" s="31" t="n">
        <f aca="false">Assumptions!B48*(1+Assumptions!B47)/(Assumptions!B46-Assumptions!B47)</f>
        <v>1366.66666666667</v>
      </c>
    </row>
    <row r="16" customFormat="false" ht="15" hidden="false" customHeight="false" outlineLevel="0" collapsed="false">
      <c r="A16" s="8" t="s">
        <v>211</v>
      </c>
      <c r="B16" s="31" t="n">
        <f aca="false">B15*F11</f>
        <v>908.895411827529</v>
      </c>
    </row>
    <row r="17" customFormat="false" ht="15" hidden="false" customHeight="false" outlineLevel="0" collapsed="false">
      <c r="A17" s="32" t="s">
        <v>212</v>
      </c>
      <c r="B17" s="33" t="n">
        <f aca="false">B14+B16</f>
        <v>1279.92670662169</v>
      </c>
    </row>
    <row r="18" customFormat="false" ht="15" hidden="false" customHeight="false" outlineLevel="0" collapsed="false">
      <c r="A18" s="8" t="s">
        <v>131</v>
      </c>
      <c r="B18" s="9" t="n">
        <f aca="false">Assumptions!B7</f>
        <v>119.2</v>
      </c>
    </row>
    <row r="19" customFormat="false" ht="15" hidden="false" customHeight="false" outlineLevel="0" collapsed="false">
      <c r="A19" s="8" t="s">
        <v>132</v>
      </c>
      <c r="B19" s="9" t="n">
        <f aca="false">Assumptions!B8</f>
        <v>25</v>
      </c>
    </row>
    <row r="20" customFormat="false" ht="15" hidden="false" customHeight="false" outlineLevel="0" collapsed="false">
      <c r="A20" s="34" t="s">
        <v>133</v>
      </c>
      <c r="B20" s="35" t="n">
        <f aca="false">B17+B18+B19</f>
        <v>1424.12670662169</v>
      </c>
    </row>
    <row r="21" customFormat="false" ht="15" hidden="false" customHeight="false" outlineLevel="0" collapsed="false">
      <c r="A21" s="18" t="s">
        <v>134</v>
      </c>
      <c r="B21" s="19" t="n">
        <f aca="false">B20*1000/Assumptions!B6</f>
        <v>214800.408238565</v>
      </c>
    </row>
    <row r="22" customFormat="false" ht="15" hidden="false" customHeight="false" outlineLevel="0" collapsed="false">
      <c r="A22" s="8" t="s">
        <v>43</v>
      </c>
      <c r="B22" s="10" t="n">
        <f aca="false">B21/Assumptions!B5-1</f>
        <v>-0.367303657618365</v>
      </c>
    </row>
    <row r="24" customFormat="false" ht="42" hidden="false" customHeight="true" outlineLevel="0" collapsed="false">
      <c r="A24" s="39" t="s">
        <v>213</v>
      </c>
      <c r="B24" s="39"/>
      <c r="C24" s="39"/>
      <c r="D24" s="39"/>
      <c r="E24" s="39"/>
      <c r="F24" s="39"/>
      <c r="G24" s="39"/>
    </row>
  </sheetData>
  <mergeCells count="3">
    <mergeCell ref="A1:G1"/>
    <mergeCell ref="A2:G2"/>
    <mergeCell ref="A24: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9" min="2" style="0" width="10"/>
  </cols>
  <sheetData>
    <row r="1" customFormat="false" ht="24" hidden="false" customHeight="true" outlineLevel="0" collapsed="false">
      <c r="A1" s="5" t="s">
        <v>214</v>
      </c>
      <c r="B1" s="5"/>
      <c r="C1" s="5"/>
      <c r="D1" s="5"/>
      <c r="E1" s="5"/>
      <c r="F1" s="5"/>
      <c r="G1" s="5"/>
      <c r="H1" s="5"/>
      <c r="I1" s="5"/>
    </row>
    <row r="2" customFormat="false" ht="15" hidden="false" customHeight="false" outlineLevel="0" collapsed="false">
      <c r="A2" s="6" t="s">
        <v>215</v>
      </c>
      <c r="B2" s="6"/>
      <c r="C2" s="6"/>
      <c r="D2" s="6"/>
      <c r="E2" s="6"/>
      <c r="F2" s="6"/>
      <c r="G2" s="6"/>
      <c r="H2" s="6"/>
      <c r="I2" s="6"/>
    </row>
    <row r="4" customFormat="false" ht="15" hidden="false" customHeight="false" outlineLevel="0" collapsed="false">
      <c r="A4" s="15" t="s">
        <v>200</v>
      </c>
      <c r="B4" s="41" t="s">
        <v>216</v>
      </c>
      <c r="C4" s="41" t="s">
        <v>217</v>
      </c>
      <c r="D4" s="41" t="s">
        <v>218</v>
      </c>
      <c r="E4" s="41" t="s">
        <v>219</v>
      </c>
      <c r="F4" s="41" t="s">
        <v>220</v>
      </c>
      <c r="G4" s="41" t="s">
        <v>221</v>
      </c>
      <c r="H4" s="41" t="s">
        <v>222</v>
      </c>
      <c r="I4" s="41" t="s">
        <v>223</v>
      </c>
    </row>
    <row r="5" customFormat="false" ht="15" hidden="false" customHeight="false" outlineLevel="0" collapsed="false">
      <c r="A5" s="32" t="s">
        <v>96</v>
      </c>
      <c r="B5" s="26" t="n">
        <v>258.94</v>
      </c>
      <c r="C5" s="26" t="n">
        <v>300.87</v>
      </c>
      <c r="D5" s="26" t="n">
        <v>333.6</v>
      </c>
      <c r="E5" s="11" t="n">
        <f aca="false">Assumptions!B39</f>
        <v>530</v>
      </c>
      <c r="F5" s="11" t="n">
        <f aca="false">Assumptions!B40</f>
        <v>520</v>
      </c>
      <c r="G5" s="11" t="n">
        <f aca="false">Assumptions!B41</f>
        <v>455</v>
      </c>
      <c r="H5" s="11" t="n">
        <f aca="false">Assumptions!B42</f>
        <v>475</v>
      </c>
      <c r="I5" s="11" t="n">
        <f aca="false">Assumptions!B43</f>
        <v>495</v>
      </c>
    </row>
    <row r="6" customFormat="false" ht="15" hidden="false" customHeight="false" outlineLevel="0" collapsed="false">
      <c r="A6" s="8" t="s">
        <v>224</v>
      </c>
      <c r="C6" s="10" t="n">
        <f aca="false">C5/B5-1</f>
        <v>0.16192940449525</v>
      </c>
      <c r="D6" s="10" t="n">
        <f aca="false">D5/C5-1</f>
        <v>0.108784524877854</v>
      </c>
      <c r="E6" s="10" t="n">
        <f aca="false">E5/D5-1</f>
        <v>0.588729016786571</v>
      </c>
      <c r="F6" s="10" t="n">
        <f aca="false">F5/E5-1</f>
        <v>-0.0188679245283019</v>
      </c>
      <c r="G6" s="10" t="n">
        <f aca="false">G5/F5-1</f>
        <v>-0.125</v>
      </c>
      <c r="H6" s="10" t="n">
        <f aca="false">H5/G5-1</f>
        <v>0.043956043956044</v>
      </c>
      <c r="I6" s="10" t="n">
        <f aca="false">I5/H5-1</f>
        <v>0.0421052631578946</v>
      </c>
    </row>
    <row r="7" customFormat="false" ht="15" hidden="false" customHeight="false" outlineLevel="0" collapsed="false">
      <c r="A7" s="32" t="s">
        <v>201</v>
      </c>
      <c r="B7" s="26" t="n">
        <v>6.57</v>
      </c>
      <c r="C7" s="26" t="n">
        <v>32.73</v>
      </c>
      <c r="D7" s="26" t="n">
        <v>43.6</v>
      </c>
      <c r="E7" s="11" t="n">
        <f aca="false">Assumptions!C39</f>
        <v>215</v>
      </c>
      <c r="F7" s="11" t="n">
        <f aca="false">Assumptions!C40</f>
        <v>190</v>
      </c>
      <c r="G7" s="11" t="n">
        <f aca="false">Assumptions!C41</f>
        <v>120</v>
      </c>
      <c r="H7" s="11" t="n">
        <f aca="false">Assumptions!C42</f>
        <v>132</v>
      </c>
      <c r="I7" s="11" t="n">
        <f aca="false">Assumptions!C43</f>
        <v>145</v>
      </c>
    </row>
    <row r="8" customFormat="false" ht="15" hidden="false" customHeight="false" outlineLevel="0" collapsed="false">
      <c r="A8" s="8" t="s">
        <v>225</v>
      </c>
      <c r="B8" s="10" t="n">
        <f aca="false">B7/B5</f>
        <v>0.0253726732061481</v>
      </c>
      <c r="C8" s="10" t="n">
        <f aca="false">C7/C5</f>
        <v>0.108784524877854</v>
      </c>
      <c r="D8" s="10" t="n">
        <f aca="false">D7/D5</f>
        <v>0.130695443645084</v>
      </c>
      <c r="E8" s="10" t="n">
        <f aca="false">E7/E5</f>
        <v>0.405660377358491</v>
      </c>
      <c r="F8" s="10" t="n">
        <f aca="false">F7/F5</f>
        <v>0.365384615384615</v>
      </c>
      <c r="G8" s="10" t="n">
        <f aca="false">G7/G5</f>
        <v>0.263736263736264</v>
      </c>
      <c r="H8" s="10" t="n">
        <f aca="false">H7/H5</f>
        <v>0.277894736842105</v>
      </c>
      <c r="I8" s="10" t="n">
        <f aca="false">I7/I5</f>
        <v>0.292929292929293</v>
      </c>
    </row>
    <row r="9" customFormat="false" ht="15" hidden="false" customHeight="false" outlineLevel="0" collapsed="false">
      <c r="A9" s="32" t="s">
        <v>226</v>
      </c>
      <c r="B9" s="26" t="n">
        <v>15.49</v>
      </c>
      <c r="C9" s="26" t="n">
        <v>34.45</v>
      </c>
      <c r="D9" s="26" t="n">
        <v>45.21</v>
      </c>
      <c r="E9" s="11" t="n">
        <f aca="false">Assumptions!E39</f>
        <v>200</v>
      </c>
      <c r="F9" s="11" t="n">
        <f aca="false">Assumptions!E40</f>
        <v>180</v>
      </c>
      <c r="G9" s="11" t="n">
        <f aca="false">Assumptions!E41</f>
        <v>105</v>
      </c>
      <c r="H9" s="11" t="n">
        <f aca="false">Assumptions!E42</f>
        <v>116</v>
      </c>
      <c r="I9" s="11" t="n">
        <f aca="false">Assumptions!E43</f>
        <v>128</v>
      </c>
    </row>
    <row r="10" customFormat="false" ht="15" hidden="false" customHeight="false" outlineLevel="0" collapsed="false">
      <c r="A10" s="8" t="s">
        <v>227</v>
      </c>
      <c r="B10" s="10" t="n">
        <f aca="false">B9/B5</f>
        <v>0.0598208079091682</v>
      </c>
      <c r="C10" s="10" t="n">
        <f aca="false">C9/C5</f>
        <v>0.114501279622428</v>
      </c>
      <c r="D10" s="10" t="n">
        <f aca="false">D9/D5</f>
        <v>0.135521582733813</v>
      </c>
      <c r="E10" s="10" t="n">
        <f aca="false">E9/E5</f>
        <v>0.377358490566038</v>
      </c>
      <c r="F10" s="10" t="n">
        <f aca="false">F9/F5</f>
        <v>0.346153846153846</v>
      </c>
      <c r="G10" s="10" t="n">
        <f aca="false">G9/G5</f>
        <v>0.230769230769231</v>
      </c>
      <c r="H10" s="10" t="n">
        <f aca="false">H9/H5</f>
        <v>0.244210526315789</v>
      </c>
      <c r="I10" s="10" t="n">
        <f aca="false">I9/I5</f>
        <v>0.258585858585859</v>
      </c>
    </row>
    <row r="11" customFormat="false" ht="15" hidden="false" customHeight="false" outlineLevel="0" collapsed="false">
      <c r="A11" s="8" t="s">
        <v>228</v>
      </c>
      <c r="B11" s="31" t="n">
        <f aca="false">B9*1000/Assumptions!B6</f>
        <v>2336.34992458522</v>
      </c>
      <c r="C11" s="31" t="n">
        <f aca="false">C9*1000/Assumptions!B6</f>
        <v>5196.07843137255</v>
      </c>
      <c r="D11" s="31" t="n">
        <f aca="false">D9*1000/Assumptions!B6</f>
        <v>6819.00452488688</v>
      </c>
      <c r="E11" s="31" t="n">
        <f aca="false">E9*1000/Assumptions!B6</f>
        <v>30165.9125188537</v>
      </c>
      <c r="F11" s="31" t="n">
        <f aca="false">F9*1000/Assumptions!B6</f>
        <v>27149.3212669683</v>
      </c>
      <c r="G11" s="31" t="n">
        <f aca="false">G9*1000/Assumptions!B6</f>
        <v>15837.1040723982</v>
      </c>
      <c r="H11" s="31" t="n">
        <f aca="false">H9*1000/Assumptions!B6</f>
        <v>17496.2292609351</v>
      </c>
      <c r="I11" s="31" t="n">
        <f aca="false">I9*1000/Assumptions!B6</f>
        <v>19306.1840120664</v>
      </c>
    </row>
    <row r="12" customFormat="false" ht="15" hidden="false" customHeight="false" outlineLevel="0" collapsed="false">
      <c r="A12" s="8" t="s">
        <v>229</v>
      </c>
      <c r="B12" s="26" t="n">
        <v>-14.9</v>
      </c>
      <c r="D12" s="26" t="n">
        <v>24.9</v>
      </c>
      <c r="E12" s="26" t="n">
        <v>185</v>
      </c>
      <c r="F12" s="26" t="n">
        <v>160</v>
      </c>
      <c r="G12" s="26" t="n">
        <v>75</v>
      </c>
      <c r="H12" s="26" t="n">
        <v>85</v>
      </c>
      <c r="I12" s="26" t="n">
        <v>95</v>
      </c>
    </row>
    <row r="14" customFormat="false" ht="42" hidden="false" customHeight="true" outlineLevel="0" collapsed="false">
      <c r="A14" s="39" t="s">
        <v>230</v>
      </c>
      <c r="B14" s="39"/>
      <c r="C14" s="39"/>
      <c r="D14" s="39"/>
      <c r="E14" s="39"/>
      <c r="F14" s="39"/>
      <c r="G14" s="39"/>
      <c r="H14" s="39"/>
      <c r="I14" s="39"/>
    </row>
  </sheetData>
  <mergeCells count="3">
    <mergeCell ref="A1:I1"/>
    <mergeCell ref="A2:I2"/>
    <mergeCell ref="A14: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9" min="2" style="0" width="10"/>
  </cols>
  <sheetData>
    <row r="1" customFormat="false" ht="24" hidden="false" customHeight="true" outlineLevel="0" collapsed="false">
      <c r="A1" s="5" t="s">
        <v>231</v>
      </c>
      <c r="B1" s="5"/>
      <c r="C1" s="5"/>
      <c r="D1" s="5"/>
      <c r="E1" s="5"/>
      <c r="F1" s="5"/>
      <c r="G1" s="5"/>
      <c r="H1" s="5"/>
      <c r="I1" s="5"/>
    </row>
    <row r="2" customFormat="false" ht="15" hidden="false" customHeight="false" outlineLevel="0" collapsed="false">
      <c r="A2" s="6" t="s">
        <v>232</v>
      </c>
      <c r="B2" s="6"/>
      <c r="C2" s="6"/>
      <c r="D2" s="6"/>
      <c r="E2" s="6"/>
      <c r="F2" s="6"/>
      <c r="G2" s="6"/>
      <c r="H2" s="6"/>
      <c r="I2" s="6"/>
    </row>
    <row r="4" customFormat="false" ht="15" hidden="false" customHeight="false" outlineLevel="0" collapsed="false">
      <c r="A4" s="15" t="s">
        <v>200</v>
      </c>
      <c r="B4" s="41" t="s">
        <v>216</v>
      </c>
      <c r="C4" s="41" t="s">
        <v>217</v>
      </c>
      <c r="D4" s="41" t="s">
        <v>218</v>
      </c>
      <c r="E4" s="41" t="s">
        <v>219</v>
      </c>
      <c r="F4" s="41" t="s">
        <v>220</v>
      </c>
      <c r="G4" s="41" t="s">
        <v>221</v>
      </c>
      <c r="H4" s="41" t="s">
        <v>222</v>
      </c>
      <c r="I4" s="41" t="s">
        <v>223</v>
      </c>
    </row>
    <row r="5" customFormat="false" ht="15" hidden="false" customHeight="false" outlineLevel="0" collapsed="false">
      <c r="A5" s="8" t="s">
        <v>233</v>
      </c>
      <c r="B5" s="26" t="n">
        <v>74</v>
      </c>
      <c r="C5" s="26" t="n">
        <v>92</v>
      </c>
      <c r="D5" s="26" t="n">
        <v>101</v>
      </c>
      <c r="E5" s="43" t="n">
        <f aca="false">D5+'Cash Flow'!E16</f>
        <v>161</v>
      </c>
      <c r="F5" s="43" t="n">
        <f aca="false">E5+'Cash Flow'!F16</f>
        <v>222</v>
      </c>
      <c r="G5" s="43" t="n">
        <f aca="false">F5+'Cash Flow'!G16</f>
        <v>258</v>
      </c>
      <c r="H5" s="43" t="n">
        <f aca="false">G5+'Cash Flow'!H16</f>
        <v>296.6</v>
      </c>
      <c r="I5" s="43" t="n">
        <f aca="false">H5+'Cash Flow'!I16</f>
        <v>344.4</v>
      </c>
    </row>
    <row r="6" customFormat="false" ht="15" hidden="false" customHeight="false" outlineLevel="0" collapsed="false">
      <c r="A6" s="8" t="s">
        <v>234</v>
      </c>
      <c r="B6" s="26" t="n">
        <v>45</v>
      </c>
      <c r="C6" s="26" t="n">
        <v>52</v>
      </c>
      <c r="D6" s="26" t="n">
        <v>60</v>
      </c>
      <c r="E6" s="43" t="n">
        <f aca="false">D6</f>
        <v>60</v>
      </c>
      <c r="F6" s="43" t="n">
        <f aca="false">E6</f>
        <v>60</v>
      </c>
      <c r="G6" s="43" t="n">
        <f aca="false">F6</f>
        <v>60</v>
      </c>
      <c r="H6" s="43" t="n">
        <f aca="false">G6</f>
        <v>60</v>
      </c>
      <c r="I6" s="43" t="n">
        <f aca="false">H6</f>
        <v>60</v>
      </c>
    </row>
    <row r="7" customFormat="false" ht="15" hidden="false" customHeight="false" outlineLevel="0" collapsed="false">
      <c r="A7" s="8" t="s">
        <v>235</v>
      </c>
      <c r="B7" s="26" t="n">
        <v>54</v>
      </c>
      <c r="C7" s="26" t="n">
        <v>56</v>
      </c>
      <c r="D7" s="26" t="n">
        <v>58</v>
      </c>
      <c r="E7" s="43" t="n">
        <f aca="false">D7</f>
        <v>58</v>
      </c>
      <c r="F7" s="43" t="n">
        <f aca="false">E7</f>
        <v>58</v>
      </c>
      <c r="G7" s="43" t="n">
        <f aca="false">F7</f>
        <v>58</v>
      </c>
      <c r="H7" s="43" t="n">
        <f aca="false">G7</f>
        <v>58</v>
      </c>
      <c r="I7" s="43" t="n">
        <f aca="false">H7</f>
        <v>58</v>
      </c>
    </row>
    <row r="8" customFormat="false" ht="15" hidden="false" customHeight="false" outlineLevel="0" collapsed="false">
      <c r="A8" s="8" t="s">
        <v>236</v>
      </c>
      <c r="B8" s="26" t="n">
        <v>188</v>
      </c>
      <c r="C8" s="26" t="n">
        <v>205</v>
      </c>
      <c r="D8" s="26" t="n">
        <v>220</v>
      </c>
      <c r="E8" s="43" t="n">
        <f aca="false">D8+Assumptions!C53-Assumptions!B53</f>
        <v>268</v>
      </c>
      <c r="F8" s="43" t="n">
        <f aca="false">E8+Assumptions!C54-Assumptions!B54</f>
        <v>312</v>
      </c>
      <c r="G8" s="43" t="n">
        <f aca="false">F8+Assumptions!C55-Assumptions!B55</f>
        <v>344</v>
      </c>
      <c r="H8" s="43" t="n">
        <f aca="false">G8+Assumptions!C56-Assumptions!B56</f>
        <v>371</v>
      </c>
      <c r="I8" s="43" t="n">
        <f aca="false">H8+Assumptions!C57-Assumptions!B57</f>
        <v>396</v>
      </c>
    </row>
    <row r="9" customFormat="false" ht="15" hidden="false" customHeight="false" outlineLevel="0" collapsed="false">
      <c r="A9" s="8" t="s">
        <v>237</v>
      </c>
      <c r="B9" s="26" t="n">
        <v>95</v>
      </c>
      <c r="C9" s="26" t="n">
        <v>100</v>
      </c>
      <c r="D9" s="26" t="n">
        <v>105</v>
      </c>
      <c r="E9" s="43" t="n">
        <f aca="false">D9</f>
        <v>105</v>
      </c>
      <c r="F9" s="43" t="n">
        <f aca="false">E9</f>
        <v>105</v>
      </c>
      <c r="G9" s="43" t="n">
        <f aca="false">F9</f>
        <v>105</v>
      </c>
      <c r="H9" s="43" t="n">
        <f aca="false">G9</f>
        <v>105</v>
      </c>
      <c r="I9" s="43" t="n">
        <f aca="false">H9</f>
        <v>105</v>
      </c>
    </row>
    <row r="10" customFormat="false" ht="15" hidden="false" customHeight="false" outlineLevel="0" collapsed="false">
      <c r="A10" s="32" t="s">
        <v>238</v>
      </c>
      <c r="B10" s="44" t="n">
        <f aca="false">SUM(B5:B9)</f>
        <v>456</v>
      </c>
      <c r="C10" s="44" t="n">
        <f aca="false">SUM(C5:C9)</f>
        <v>505</v>
      </c>
      <c r="D10" s="44" t="n">
        <f aca="false">SUM(D5:D9)</f>
        <v>544</v>
      </c>
      <c r="E10" s="44" t="n">
        <f aca="false">SUM(E5:E9)</f>
        <v>652</v>
      </c>
      <c r="F10" s="44" t="n">
        <f aca="false">SUM(F5:F9)</f>
        <v>757</v>
      </c>
      <c r="G10" s="44" t="n">
        <f aca="false">SUM(G5:G9)</f>
        <v>825</v>
      </c>
      <c r="H10" s="44" t="n">
        <f aca="false">SUM(H5:H9)</f>
        <v>890.6</v>
      </c>
      <c r="I10" s="44" t="n">
        <f aca="false">SUM(I5:I9)</f>
        <v>963.4</v>
      </c>
    </row>
    <row r="11" customFormat="false" ht="15" hidden="false" customHeight="false" outlineLevel="0" collapsed="false">
      <c r="A11" s="8" t="s">
        <v>239</v>
      </c>
      <c r="B11" s="26" t="n">
        <v>10</v>
      </c>
      <c r="C11" s="26" t="n">
        <v>10</v>
      </c>
      <c r="D11" s="26" t="n">
        <v>10</v>
      </c>
      <c r="E11" s="43" t="n">
        <f aca="false">D11</f>
        <v>10</v>
      </c>
      <c r="F11" s="43" t="n">
        <f aca="false">E11</f>
        <v>10</v>
      </c>
      <c r="G11" s="43" t="n">
        <f aca="false">F11</f>
        <v>10</v>
      </c>
      <c r="H11" s="43" t="n">
        <f aca="false">G11</f>
        <v>10</v>
      </c>
      <c r="I11" s="43" t="n">
        <f aca="false">H11</f>
        <v>10</v>
      </c>
    </row>
    <row r="12" customFormat="false" ht="15" hidden="false" customHeight="false" outlineLevel="0" collapsed="false">
      <c r="A12" s="8" t="s">
        <v>240</v>
      </c>
      <c r="B12" s="26" t="n">
        <v>60</v>
      </c>
      <c r="C12" s="26" t="n">
        <v>62</v>
      </c>
      <c r="D12" s="26" t="n">
        <v>64</v>
      </c>
      <c r="E12" s="43" t="n">
        <f aca="false">D12</f>
        <v>64</v>
      </c>
      <c r="F12" s="43" t="n">
        <f aca="false">E12</f>
        <v>64</v>
      </c>
      <c r="G12" s="43" t="n">
        <f aca="false">F12</f>
        <v>64</v>
      </c>
      <c r="H12" s="43" t="n">
        <f aca="false">G12</f>
        <v>64</v>
      </c>
      <c r="I12" s="43" t="n">
        <f aca="false">H12</f>
        <v>64</v>
      </c>
    </row>
    <row r="13" customFormat="false" ht="15" hidden="false" customHeight="false" outlineLevel="0" collapsed="false">
      <c r="A13" s="8" t="s">
        <v>241</v>
      </c>
      <c r="B13" s="26" t="n">
        <v>62</v>
      </c>
      <c r="C13" s="26" t="n">
        <v>60</v>
      </c>
      <c r="D13" s="26" t="n">
        <v>60</v>
      </c>
      <c r="E13" s="43" t="n">
        <f aca="false">D13</f>
        <v>60</v>
      </c>
      <c r="F13" s="43" t="n">
        <f aca="false">E13</f>
        <v>60</v>
      </c>
      <c r="G13" s="43" t="n">
        <f aca="false">F13</f>
        <v>60</v>
      </c>
      <c r="H13" s="43" t="n">
        <f aca="false">G13</f>
        <v>60</v>
      </c>
      <c r="I13" s="43" t="n">
        <f aca="false">H13</f>
        <v>60</v>
      </c>
    </row>
    <row r="14" customFormat="false" ht="15" hidden="false" customHeight="false" outlineLevel="0" collapsed="false">
      <c r="A14" s="32" t="s">
        <v>242</v>
      </c>
      <c r="B14" s="44" t="n">
        <f aca="false">B11+B12+B13</f>
        <v>132</v>
      </c>
      <c r="C14" s="44" t="n">
        <f aca="false">C11+C12+C13</f>
        <v>132</v>
      </c>
      <c r="D14" s="44" t="n">
        <f aca="false">D11+D12+D13</f>
        <v>134</v>
      </c>
      <c r="E14" s="44" t="n">
        <f aca="false">E11+E12+E13</f>
        <v>134</v>
      </c>
      <c r="F14" s="44" t="n">
        <f aca="false">F11+F12+F13</f>
        <v>134</v>
      </c>
      <c r="G14" s="44" t="n">
        <f aca="false">G11+G12+G13</f>
        <v>134</v>
      </c>
      <c r="H14" s="44" t="n">
        <f aca="false">H11+H12+H13</f>
        <v>134</v>
      </c>
      <c r="I14" s="44" t="n">
        <f aca="false">I11+I12+I13</f>
        <v>134</v>
      </c>
    </row>
    <row r="15" customFormat="false" ht="15" hidden="false" customHeight="false" outlineLevel="0" collapsed="false">
      <c r="A15" s="32" t="s">
        <v>243</v>
      </c>
      <c r="B15" s="26" t="n">
        <v>364</v>
      </c>
      <c r="C15" s="26" t="n">
        <v>373</v>
      </c>
      <c r="D15" s="26" t="n">
        <v>424</v>
      </c>
      <c r="E15" s="43" t="n">
        <f aca="false">D15+'Income Statement'!E9*0.6</f>
        <v>544</v>
      </c>
      <c r="F15" s="43" t="n">
        <f aca="false">E15+'Income Statement'!F9*0.6</f>
        <v>652</v>
      </c>
      <c r="G15" s="43" t="n">
        <f aca="false">F15+'Income Statement'!G9*0.6</f>
        <v>715</v>
      </c>
      <c r="H15" s="43" t="n">
        <f aca="false">G15+'Income Statement'!H9*0.6</f>
        <v>784.6</v>
      </c>
      <c r="I15" s="43" t="n">
        <f aca="false">H15+'Income Statement'!I9*0.6</f>
        <v>861.4</v>
      </c>
    </row>
    <row r="16" customFormat="false" ht="15" hidden="false" customHeight="false" outlineLevel="0" collapsed="false">
      <c r="A16" s="8" t="s">
        <v>244</v>
      </c>
      <c r="B16" s="31" t="n">
        <f aca="false">B15*1000/Assumptions!B6</f>
        <v>54901.9607843137</v>
      </c>
      <c r="C16" s="31" t="n">
        <f aca="false">C15*1000/Assumptions!B6</f>
        <v>56259.4268476621</v>
      </c>
      <c r="D16" s="31" t="n">
        <f aca="false">D15*1000/Assumptions!B6</f>
        <v>63951.7345399698</v>
      </c>
      <c r="E16" s="31" t="n">
        <f aca="false">E15*1000/Assumptions!B6</f>
        <v>82051.2820512821</v>
      </c>
      <c r="F16" s="31" t="n">
        <f aca="false">F15*1000/Assumptions!B6</f>
        <v>98340.874811463</v>
      </c>
      <c r="G16" s="31" t="n">
        <f aca="false">G15*1000/Assumptions!B6</f>
        <v>107843.137254902</v>
      </c>
      <c r="H16" s="31" t="n">
        <f aca="false">H15*1000/Assumptions!B6</f>
        <v>118340.874811463</v>
      </c>
      <c r="I16" s="31" t="n">
        <f aca="false">I15*1000/Assumptions!B6</f>
        <v>129924.585218703</v>
      </c>
    </row>
    <row r="17" customFormat="false" ht="15" hidden="false" customHeight="false" outlineLevel="0" collapsed="false">
      <c r="A17" s="8" t="s">
        <v>245</v>
      </c>
      <c r="B17" s="43" t="n">
        <f aca="false">B5-B11</f>
        <v>64</v>
      </c>
      <c r="C17" s="43" t="n">
        <f aca="false">C5-C11</f>
        <v>82</v>
      </c>
      <c r="D17" s="43" t="n">
        <f aca="false">D5-D11</f>
        <v>91</v>
      </c>
      <c r="E17" s="43" t="n">
        <f aca="false">E5-E11</f>
        <v>151</v>
      </c>
      <c r="F17" s="43" t="n">
        <f aca="false">F5-F11</f>
        <v>212</v>
      </c>
      <c r="G17" s="43" t="n">
        <f aca="false">G5-G11</f>
        <v>248</v>
      </c>
      <c r="H17" s="43" t="n">
        <f aca="false">H5-H11</f>
        <v>286.6</v>
      </c>
      <c r="I17" s="43" t="n">
        <f aca="false">I5-I11</f>
        <v>334.4</v>
      </c>
    </row>
    <row r="19" customFormat="false" ht="30" hidden="false" customHeight="true" outlineLevel="0" collapsed="false">
      <c r="A19" s="39" t="s">
        <v>246</v>
      </c>
      <c r="B19" s="39"/>
      <c r="C19" s="39"/>
      <c r="D19" s="39"/>
      <c r="E19" s="39"/>
      <c r="F19" s="39"/>
      <c r="G19" s="39"/>
      <c r="H19" s="39"/>
      <c r="I19" s="39"/>
    </row>
  </sheetData>
  <mergeCells count="3">
    <mergeCell ref="A1:I1"/>
    <mergeCell ref="A2:I2"/>
    <mergeCell ref="A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9" min="2" style="0" width="10"/>
  </cols>
  <sheetData>
    <row r="1" customFormat="false" ht="24" hidden="false" customHeight="true" outlineLevel="0" collapsed="false">
      <c r="A1" s="5" t="s">
        <v>247</v>
      </c>
      <c r="B1" s="5"/>
      <c r="C1" s="5"/>
      <c r="D1" s="5"/>
      <c r="E1" s="5"/>
      <c r="F1" s="5"/>
      <c r="G1" s="5"/>
      <c r="H1" s="5"/>
      <c r="I1" s="5"/>
    </row>
    <row r="2" customFormat="false" ht="15" hidden="false" customHeight="false" outlineLevel="0" collapsed="false">
      <c r="A2" s="6" t="s">
        <v>248</v>
      </c>
      <c r="B2" s="6"/>
      <c r="C2" s="6"/>
      <c r="D2" s="6"/>
      <c r="E2" s="6"/>
      <c r="F2" s="6"/>
      <c r="G2" s="6"/>
      <c r="H2" s="6"/>
      <c r="I2" s="6"/>
    </row>
    <row r="4" customFormat="false" ht="15" hidden="false" customHeight="false" outlineLevel="0" collapsed="false">
      <c r="A4" s="15" t="s">
        <v>200</v>
      </c>
      <c r="B4" s="41" t="s">
        <v>216</v>
      </c>
      <c r="C4" s="41" t="s">
        <v>217</v>
      </c>
      <c r="D4" s="41" t="s">
        <v>218</v>
      </c>
      <c r="E4" s="41" t="s">
        <v>219</v>
      </c>
      <c r="F4" s="41" t="s">
        <v>220</v>
      </c>
      <c r="G4" s="41" t="s">
        <v>221</v>
      </c>
      <c r="H4" s="41" t="s">
        <v>222</v>
      </c>
      <c r="I4" s="41" t="s">
        <v>223</v>
      </c>
    </row>
    <row r="5" customFormat="false" ht="15" hidden="false" customHeight="false" outlineLevel="0" collapsed="false">
      <c r="A5" s="32" t="s">
        <v>249</v>
      </c>
      <c r="B5" s="26" t="n">
        <v>44.1</v>
      </c>
      <c r="C5" s="26" t="n">
        <v>75</v>
      </c>
      <c r="D5" s="26" t="n">
        <v>90</v>
      </c>
      <c r="E5" s="43" t="n">
        <f aca="false">'Income Statement'!E9+Assumptions!B53-Assumptions!D53</f>
        <v>240</v>
      </c>
      <c r="F5" s="43" t="n">
        <f aca="false">'Income Statement'!F9+Assumptions!B54-Assumptions!D54</f>
        <v>231</v>
      </c>
      <c r="G5" s="43" t="n">
        <f aca="false">'Income Statement'!G9+Assumptions!B55-Assumptions!D55</f>
        <v>166</v>
      </c>
      <c r="H5" s="43" t="n">
        <f aca="false">'Income Statement'!H9+Assumptions!B56-Assumptions!D56</f>
        <v>170</v>
      </c>
      <c r="I5" s="43" t="n">
        <f aca="false">'Income Statement'!I9+Assumptions!B57-Assumptions!D57</f>
        <v>184</v>
      </c>
    </row>
    <row r="6" customFormat="false" ht="15" hidden="false" customHeight="false" outlineLevel="0" collapsed="false">
      <c r="A6" s="32" t="s">
        <v>250</v>
      </c>
      <c r="B6" s="26" t="n">
        <v>-53.1</v>
      </c>
      <c r="C6" s="26" t="n">
        <v>-49</v>
      </c>
      <c r="D6" s="26" t="n">
        <v>-55</v>
      </c>
      <c r="E6" s="11" t="n">
        <f aca="false">-Assumptions!C53</f>
        <v>-100</v>
      </c>
      <c r="F6" s="11" t="n">
        <f aca="false">-Assumptions!C54</f>
        <v>-98</v>
      </c>
      <c r="G6" s="11" t="n">
        <f aca="false">-Assumptions!C55</f>
        <v>-88</v>
      </c>
      <c r="H6" s="11" t="n">
        <f aca="false">-Assumptions!C56</f>
        <v>-85</v>
      </c>
      <c r="I6" s="11" t="n">
        <f aca="false">-Assumptions!C57</f>
        <v>-85</v>
      </c>
    </row>
    <row r="7" customFormat="false" ht="15" hidden="false" customHeight="false" outlineLevel="0" collapsed="false">
      <c r="A7" s="32" t="s">
        <v>251</v>
      </c>
      <c r="B7" s="26" t="n">
        <v>-12</v>
      </c>
      <c r="C7" s="26" t="n">
        <v>-18</v>
      </c>
      <c r="D7" s="26" t="n">
        <v>-22</v>
      </c>
      <c r="E7" s="43" t="n">
        <f aca="false">-'Income Statement'!E9*0.4</f>
        <v>-80</v>
      </c>
      <c r="F7" s="43" t="n">
        <f aca="false">-'Income Statement'!F9*0.4</f>
        <v>-72</v>
      </c>
      <c r="G7" s="43" t="n">
        <f aca="false">-'Income Statement'!G9*0.4</f>
        <v>-42</v>
      </c>
      <c r="H7" s="43" t="n">
        <f aca="false">-'Income Statement'!H9*0.4</f>
        <v>-46.4</v>
      </c>
      <c r="I7" s="43" t="n">
        <f aca="false">-'Income Statement'!I9*0.4</f>
        <v>-51.2</v>
      </c>
    </row>
    <row r="8" customFormat="false" ht="15" hidden="false" customHeight="false" outlineLevel="0" collapsed="false">
      <c r="A8" s="32" t="s">
        <v>252</v>
      </c>
      <c r="B8" s="44" t="n">
        <f aca="false">B5+B6+B7</f>
        <v>-21</v>
      </c>
      <c r="C8" s="44" t="n">
        <f aca="false">C5+C6+C7</f>
        <v>8</v>
      </c>
      <c r="D8" s="44" t="n">
        <f aca="false">D5+D6+D7</f>
        <v>13</v>
      </c>
      <c r="E8" s="44" t="n">
        <f aca="false">E5+E6+E7</f>
        <v>60</v>
      </c>
      <c r="F8" s="44" t="n">
        <f aca="false">F5+F6+F7</f>
        <v>61</v>
      </c>
      <c r="G8" s="44" t="n">
        <f aca="false">G5+G6+G7</f>
        <v>36</v>
      </c>
      <c r="H8" s="44" t="n">
        <f aca="false">H5+H6+H7</f>
        <v>38.6</v>
      </c>
      <c r="I8" s="44" t="n">
        <f aca="false">I5+I6+I7</f>
        <v>47.8</v>
      </c>
    </row>
    <row r="10" customFormat="false" ht="15" hidden="false" customHeight="false" outlineLevel="0" collapsed="false">
      <c r="A10" s="8" t="s">
        <v>253</v>
      </c>
      <c r="B10" s="43" t="n">
        <f aca="false">B5+B6</f>
        <v>-9</v>
      </c>
      <c r="C10" s="43" t="n">
        <f aca="false">C5+C6</f>
        <v>26</v>
      </c>
      <c r="D10" s="43" t="n">
        <f aca="false">D5+D6</f>
        <v>35</v>
      </c>
      <c r="E10" s="43" t="n">
        <f aca="false">E5+E6</f>
        <v>140</v>
      </c>
      <c r="F10" s="43" t="n">
        <f aca="false">F5+F6</f>
        <v>133</v>
      </c>
      <c r="G10" s="43" t="n">
        <f aca="false">G5+G6</f>
        <v>78</v>
      </c>
      <c r="H10" s="43" t="n">
        <f aca="false">H5+H6</f>
        <v>85</v>
      </c>
      <c r="I10" s="43" t="n">
        <f aca="false">I5+I6</f>
        <v>99</v>
      </c>
    </row>
    <row r="12" customFormat="false" ht="15" hidden="false" customHeight="false" outlineLevel="0" collapsed="false">
      <c r="A12" s="8" t="s">
        <v>254</v>
      </c>
      <c r="B12" s="43" t="n">
        <f aca="false">-B6</f>
        <v>53.1</v>
      </c>
      <c r="C12" s="43" t="n">
        <f aca="false">-C6</f>
        <v>49</v>
      </c>
      <c r="D12" s="43" t="n">
        <f aca="false">-D6</f>
        <v>55</v>
      </c>
      <c r="E12" s="43" t="n">
        <f aca="false">-E6</f>
        <v>100</v>
      </c>
      <c r="F12" s="43" t="n">
        <f aca="false">-F6</f>
        <v>98</v>
      </c>
      <c r="G12" s="43" t="n">
        <f aca="false">-G6</f>
        <v>88</v>
      </c>
      <c r="H12" s="43" t="n">
        <f aca="false">-H6</f>
        <v>85</v>
      </c>
      <c r="I12" s="43" t="n">
        <f aca="false">-I6</f>
        <v>85</v>
      </c>
    </row>
    <row r="16" customFormat="false" ht="15" hidden="false" customHeight="false" outlineLevel="0" collapsed="false">
      <c r="A16" s="8" t="s">
        <v>255</v>
      </c>
      <c r="B16" s="43" t="n">
        <f aca="false">B8</f>
        <v>-21</v>
      </c>
      <c r="C16" s="43" t="n">
        <f aca="false">C8</f>
        <v>8</v>
      </c>
      <c r="D16" s="43" t="n">
        <f aca="false">D8</f>
        <v>13</v>
      </c>
      <c r="E16" s="43" t="n">
        <f aca="false">E8</f>
        <v>60</v>
      </c>
      <c r="F16" s="43" t="n">
        <f aca="false">F8</f>
        <v>61</v>
      </c>
      <c r="G16" s="43" t="n">
        <f aca="false">G8</f>
        <v>36</v>
      </c>
      <c r="H16" s="43" t="n">
        <f aca="false">H8</f>
        <v>38.6</v>
      </c>
      <c r="I16" s="43" t="n">
        <f aca="false">I8</f>
        <v>47.8</v>
      </c>
    </row>
    <row r="18" customFormat="false" ht="30" hidden="false" customHeight="true" outlineLevel="0" collapsed="false">
      <c r="A18" s="39" t="s">
        <v>256</v>
      </c>
      <c r="B18" s="39"/>
      <c r="C18" s="39"/>
      <c r="D18" s="39"/>
      <c r="E18" s="39"/>
      <c r="F18" s="39"/>
      <c r="G18" s="39"/>
      <c r="H18" s="39"/>
      <c r="I18" s="39"/>
    </row>
  </sheetData>
  <mergeCells count="3">
    <mergeCell ref="A1:I1"/>
    <mergeCell ref="A2:I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9" min="2" style="0" width="10"/>
  </cols>
  <sheetData>
    <row r="1" customFormat="false" ht="24" hidden="false" customHeight="true" outlineLevel="0" collapsed="false">
      <c r="A1" s="5" t="s">
        <v>257</v>
      </c>
      <c r="B1" s="5"/>
      <c r="C1" s="5"/>
      <c r="D1" s="5"/>
      <c r="E1" s="5"/>
      <c r="F1" s="5"/>
      <c r="G1" s="5"/>
      <c r="H1" s="5"/>
      <c r="I1" s="5"/>
    </row>
    <row r="2" customFormat="false" ht="15" hidden="false" customHeight="false" outlineLevel="0" collapsed="false">
      <c r="A2" s="6" t="s">
        <v>258</v>
      </c>
      <c r="B2" s="6"/>
      <c r="C2" s="6"/>
      <c r="D2" s="6"/>
      <c r="E2" s="6"/>
      <c r="F2" s="6"/>
      <c r="G2" s="6"/>
      <c r="H2" s="6"/>
      <c r="I2" s="6"/>
    </row>
    <row r="4" customFormat="false" ht="15" hidden="false" customHeight="false" outlineLevel="0" collapsed="false">
      <c r="A4" s="15" t="s">
        <v>200</v>
      </c>
      <c r="B4" s="41" t="s">
        <v>216</v>
      </c>
      <c r="C4" s="41" t="s">
        <v>217</v>
      </c>
      <c r="D4" s="41" t="s">
        <v>218</v>
      </c>
      <c r="E4" s="41" t="s">
        <v>219</v>
      </c>
      <c r="F4" s="41" t="s">
        <v>220</v>
      </c>
      <c r="G4" s="41" t="s">
        <v>221</v>
      </c>
      <c r="H4" s="41" t="s">
        <v>222</v>
      </c>
      <c r="I4" s="41" t="s">
        <v>223</v>
      </c>
    </row>
    <row r="5" customFormat="false" ht="15" hidden="false" customHeight="false" outlineLevel="0" collapsed="false">
      <c r="A5" s="8" t="s">
        <v>96</v>
      </c>
      <c r="B5" s="11" t="n">
        <f aca="false">'Income Statement'!B5</f>
        <v>258.94</v>
      </c>
      <c r="C5" s="11" t="n">
        <f aca="false">'Income Statement'!C5</f>
        <v>300.87</v>
      </c>
      <c r="D5" s="11" t="n">
        <f aca="false">'Income Statement'!D5</f>
        <v>333.6</v>
      </c>
      <c r="E5" s="11" t="n">
        <f aca="false">'Income Statement'!E5</f>
        <v>530</v>
      </c>
      <c r="F5" s="11" t="n">
        <f aca="false">'Income Statement'!F5</f>
        <v>520</v>
      </c>
      <c r="G5" s="11" t="n">
        <f aca="false">'Income Statement'!G5</f>
        <v>455</v>
      </c>
      <c r="H5" s="11" t="n">
        <f aca="false">'Income Statement'!H5</f>
        <v>475</v>
      </c>
      <c r="I5" s="11" t="n">
        <f aca="false">'Income Statement'!I5</f>
        <v>495</v>
      </c>
    </row>
    <row r="6" customFormat="false" ht="15" hidden="false" customHeight="false" outlineLevel="0" collapsed="false">
      <c r="A6" s="8" t="s">
        <v>201</v>
      </c>
      <c r="B6" s="11" t="n">
        <f aca="false">'Income Statement'!B7</f>
        <v>6.57</v>
      </c>
      <c r="C6" s="11" t="n">
        <f aca="false">'Income Statement'!C7</f>
        <v>32.73</v>
      </c>
      <c r="D6" s="11" t="n">
        <f aca="false">'Income Statement'!D7</f>
        <v>43.6</v>
      </c>
      <c r="E6" s="11" t="n">
        <f aca="false">'Income Statement'!E7</f>
        <v>215</v>
      </c>
      <c r="F6" s="11" t="n">
        <f aca="false">'Income Statement'!F7</f>
        <v>190</v>
      </c>
      <c r="G6" s="11" t="n">
        <f aca="false">'Income Statement'!G7</f>
        <v>120</v>
      </c>
      <c r="H6" s="11" t="n">
        <f aca="false">'Income Statement'!H7</f>
        <v>132</v>
      </c>
      <c r="I6" s="11" t="n">
        <f aca="false">'Income Statement'!I7</f>
        <v>145</v>
      </c>
    </row>
    <row r="7" customFormat="false" ht="15" hidden="false" customHeight="false" outlineLevel="0" collapsed="false">
      <c r="A7" s="8" t="s">
        <v>99</v>
      </c>
      <c r="B7" s="11" t="n">
        <f aca="false">'Income Statement'!B9</f>
        <v>15.49</v>
      </c>
      <c r="C7" s="11" t="n">
        <f aca="false">'Income Statement'!C9</f>
        <v>34.45</v>
      </c>
      <c r="D7" s="11" t="n">
        <f aca="false">'Income Statement'!D9</f>
        <v>45.21</v>
      </c>
      <c r="E7" s="11" t="n">
        <f aca="false">'Income Statement'!E9</f>
        <v>200</v>
      </c>
      <c r="F7" s="11" t="n">
        <f aca="false">'Income Statement'!F9</f>
        <v>180</v>
      </c>
      <c r="G7" s="11" t="n">
        <f aca="false">'Income Statement'!G9</f>
        <v>105</v>
      </c>
      <c r="H7" s="11" t="n">
        <f aca="false">'Income Statement'!H9</f>
        <v>116</v>
      </c>
      <c r="I7" s="11" t="n">
        <f aca="false">'Income Statement'!I9</f>
        <v>128</v>
      </c>
    </row>
    <row r="8" customFormat="false" ht="15" hidden="false" customHeight="false" outlineLevel="0" collapsed="false">
      <c r="A8" s="8" t="s">
        <v>228</v>
      </c>
      <c r="B8" s="9" t="n">
        <f aca="false">'Income Statement'!B11</f>
        <v>2336.34992458522</v>
      </c>
      <c r="C8" s="9" t="n">
        <f aca="false">'Income Statement'!C11</f>
        <v>5196.07843137255</v>
      </c>
      <c r="D8" s="9" t="n">
        <f aca="false">'Income Statement'!D11</f>
        <v>6819.00452488688</v>
      </c>
      <c r="E8" s="9" t="n">
        <f aca="false">'Income Statement'!E11</f>
        <v>30165.9125188537</v>
      </c>
      <c r="F8" s="9" t="n">
        <f aca="false">'Income Statement'!F11</f>
        <v>27149.3212669683</v>
      </c>
      <c r="G8" s="9" t="n">
        <f aca="false">'Income Statement'!G11</f>
        <v>15837.1040723982</v>
      </c>
      <c r="H8" s="9" t="n">
        <f aca="false">'Income Statement'!H11</f>
        <v>17496.2292609351</v>
      </c>
      <c r="I8" s="9" t="n">
        <f aca="false">'Income Statement'!I11</f>
        <v>19306.1840120664</v>
      </c>
    </row>
    <row r="9" customFormat="false" ht="15" hidden="false" customHeight="false" outlineLevel="0" collapsed="false">
      <c r="A9" s="8" t="s">
        <v>238</v>
      </c>
      <c r="B9" s="11" t="n">
        <f aca="false">'Balance Sheet'!B10</f>
        <v>456</v>
      </c>
      <c r="C9" s="11" t="n">
        <f aca="false">'Balance Sheet'!C10</f>
        <v>505</v>
      </c>
      <c r="D9" s="11" t="n">
        <f aca="false">'Balance Sheet'!D10</f>
        <v>544</v>
      </c>
      <c r="E9" s="11" t="n">
        <f aca="false">'Balance Sheet'!E10</f>
        <v>652</v>
      </c>
      <c r="F9" s="11" t="n">
        <f aca="false">'Balance Sheet'!F10</f>
        <v>757</v>
      </c>
      <c r="G9" s="11" t="n">
        <f aca="false">'Balance Sheet'!G10</f>
        <v>825</v>
      </c>
      <c r="H9" s="11" t="n">
        <f aca="false">'Balance Sheet'!H10</f>
        <v>890.6</v>
      </c>
      <c r="I9" s="11" t="n">
        <f aca="false">'Balance Sheet'!I10</f>
        <v>963.4</v>
      </c>
    </row>
    <row r="10" customFormat="false" ht="15" hidden="false" customHeight="false" outlineLevel="0" collapsed="false">
      <c r="A10" s="8" t="s">
        <v>243</v>
      </c>
      <c r="B10" s="11" t="n">
        <f aca="false">'Balance Sheet'!B15</f>
        <v>364</v>
      </c>
      <c r="C10" s="11" t="n">
        <f aca="false">'Balance Sheet'!C15</f>
        <v>373</v>
      </c>
      <c r="D10" s="11" t="n">
        <f aca="false">'Balance Sheet'!D15</f>
        <v>424</v>
      </c>
      <c r="E10" s="11" t="n">
        <f aca="false">'Balance Sheet'!E15</f>
        <v>544</v>
      </c>
      <c r="F10" s="11" t="n">
        <f aca="false">'Balance Sheet'!F15</f>
        <v>652</v>
      </c>
      <c r="G10" s="11" t="n">
        <f aca="false">'Balance Sheet'!G15</f>
        <v>715</v>
      </c>
      <c r="H10" s="11" t="n">
        <f aca="false">'Balance Sheet'!H15</f>
        <v>784.6</v>
      </c>
      <c r="I10" s="11" t="n">
        <f aca="false">'Balance Sheet'!I15</f>
        <v>861.4</v>
      </c>
    </row>
    <row r="11" customFormat="false" ht="15" hidden="false" customHeight="false" outlineLevel="0" collapsed="false">
      <c r="A11" s="8" t="s">
        <v>259</v>
      </c>
      <c r="B11" s="11" t="n">
        <f aca="false">'Balance Sheet'!B17</f>
        <v>64</v>
      </c>
      <c r="C11" s="11" t="n">
        <f aca="false">'Balance Sheet'!C17</f>
        <v>82</v>
      </c>
      <c r="D11" s="11" t="n">
        <f aca="false">'Balance Sheet'!D17</f>
        <v>91</v>
      </c>
      <c r="E11" s="11" t="n">
        <f aca="false">'Balance Sheet'!E17</f>
        <v>151</v>
      </c>
      <c r="F11" s="11" t="n">
        <f aca="false">'Balance Sheet'!F17</f>
        <v>212</v>
      </c>
      <c r="G11" s="11" t="n">
        <f aca="false">'Balance Sheet'!G17</f>
        <v>248</v>
      </c>
      <c r="H11" s="11" t="n">
        <f aca="false">'Balance Sheet'!H17</f>
        <v>286.6</v>
      </c>
      <c r="I11" s="11" t="n">
        <f aca="false">'Balance Sheet'!I17</f>
        <v>334.4</v>
      </c>
    </row>
    <row r="12" customFormat="false" ht="15" hidden="false" customHeight="false" outlineLevel="0" collapsed="false">
      <c r="A12" s="8" t="s">
        <v>244</v>
      </c>
      <c r="B12" s="9" t="n">
        <f aca="false">'Balance Sheet'!B16</f>
        <v>54901.9607843137</v>
      </c>
      <c r="C12" s="9" t="n">
        <f aca="false">'Balance Sheet'!C16</f>
        <v>56259.4268476621</v>
      </c>
      <c r="D12" s="9" t="n">
        <f aca="false">'Balance Sheet'!D16</f>
        <v>63951.7345399698</v>
      </c>
      <c r="E12" s="9" t="n">
        <f aca="false">'Balance Sheet'!E16</f>
        <v>82051.2820512821</v>
      </c>
      <c r="F12" s="9" t="n">
        <f aca="false">'Balance Sheet'!F16</f>
        <v>98340.874811463</v>
      </c>
      <c r="G12" s="9" t="n">
        <f aca="false">'Balance Sheet'!G16</f>
        <v>107843.137254902</v>
      </c>
      <c r="H12" s="9" t="n">
        <f aca="false">'Balance Sheet'!H16</f>
        <v>118340.874811463</v>
      </c>
      <c r="I12" s="9" t="n">
        <f aca="false">'Balance Sheet'!I16</f>
        <v>129924.585218703</v>
      </c>
    </row>
    <row r="13" customFormat="false" ht="15" hidden="false" customHeight="false" outlineLevel="0" collapsed="false">
      <c r="A13" s="8" t="s">
        <v>249</v>
      </c>
      <c r="B13" s="11" t="n">
        <f aca="false">'Cash Flow'!B5</f>
        <v>44.1</v>
      </c>
      <c r="C13" s="11" t="n">
        <f aca="false">'Cash Flow'!C5</f>
        <v>75</v>
      </c>
      <c r="D13" s="11" t="n">
        <f aca="false">'Cash Flow'!D5</f>
        <v>90</v>
      </c>
      <c r="E13" s="11" t="n">
        <f aca="false">'Cash Flow'!E5</f>
        <v>240</v>
      </c>
      <c r="F13" s="11" t="n">
        <f aca="false">'Cash Flow'!F5</f>
        <v>231</v>
      </c>
      <c r="G13" s="11" t="n">
        <f aca="false">'Cash Flow'!G5</f>
        <v>166</v>
      </c>
      <c r="H13" s="11" t="n">
        <f aca="false">'Cash Flow'!H5</f>
        <v>170</v>
      </c>
      <c r="I13" s="11" t="n">
        <f aca="false">'Cash Flow'!I5</f>
        <v>184</v>
      </c>
    </row>
    <row r="14" customFormat="false" ht="15" hidden="false" customHeight="false" outlineLevel="0" collapsed="false">
      <c r="A14" s="8" t="s">
        <v>260</v>
      </c>
      <c r="B14" s="11" t="n">
        <f aca="false">'Cash Flow'!B10</f>
        <v>-9</v>
      </c>
      <c r="C14" s="11" t="n">
        <f aca="false">'Cash Flow'!C10</f>
        <v>26</v>
      </c>
      <c r="D14" s="11" t="n">
        <f aca="false">'Cash Flow'!D10</f>
        <v>35</v>
      </c>
      <c r="E14" s="11" t="n">
        <f aca="false">'Cash Flow'!E10</f>
        <v>140</v>
      </c>
      <c r="F14" s="11" t="n">
        <f aca="false">'Cash Flow'!F10</f>
        <v>133</v>
      </c>
      <c r="G14" s="11" t="n">
        <f aca="false">'Cash Flow'!G10</f>
        <v>78</v>
      </c>
      <c r="H14" s="11" t="n">
        <f aca="false">'Cash Flow'!H10</f>
        <v>85</v>
      </c>
      <c r="I14" s="11" t="n">
        <f aca="false">'Cash Flow'!I10</f>
        <v>99</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2"/>
    <col collapsed="false" customWidth="true" hidden="false" outlineLevel="0" max="8" min="8" style="0" width="38"/>
  </cols>
  <sheetData>
    <row r="1" customFormat="false" ht="24" hidden="false" customHeight="true" outlineLevel="0" collapsed="false">
      <c r="A1" s="5" t="s">
        <v>261</v>
      </c>
      <c r="B1" s="5"/>
      <c r="C1" s="5"/>
      <c r="D1" s="5"/>
      <c r="E1" s="5"/>
      <c r="F1" s="5"/>
      <c r="G1" s="5"/>
      <c r="H1" s="5"/>
    </row>
    <row r="2" customFormat="false" ht="15" hidden="false" customHeight="false" outlineLevel="0" collapsed="false">
      <c r="A2" s="6" t="s">
        <v>262</v>
      </c>
      <c r="B2" s="6"/>
      <c r="C2" s="6"/>
      <c r="D2" s="6"/>
      <c r="E2" s="6"/>
      <c r="F2" s="6"/>
      <c r="G2" s="6"/>
      <c r="H2" s="6"/>
    </row>
    <row r="4" customFormat="false" ht="15" hidden="false" customHeight="false" outlineLevel="0" collapsed="false">
      <c r="A4" s="7" t="s">
        <v>263</v>
      </c>
    </row>
    <row r="5" customFormat="false" ht="15" hidden="false" customHeight="false" outlineLevel="0" collapsed="false">
      <c r="A5" s="8" t="s">
        <v>264</v>
      </c>
      <c r="B5" s="9" t="n">
        <f aca="false">Assumptions!B5</f>
        <v>339500</v>
      </c>
    </row>
    <row r="6" customFormat="false" ht="15" hidden="false" customHeight="false" outlineLevel="0" collapsed="false">
      <c r="A6" s="8" t="s">
        <v>265</v>
      </c>
      <c r="B6" s="46" t="n">
        <v>20</v>
      </c>
    </row>
    <row r="7" customFormat="false" ht="15" hidden="false" customHeight="false" outlineLevel="0" collapsed="false">
      <c r="A7" s="8" t="s">
        <v>266</v>
      </c>
      <c r="B7" s="46" t="n">
        <v>60</v>
      </c>
    </row>
    <row r="8" customFormat="false" ht="15" hidden="false" customHeight="false" outlineLevel="0" collapsed="false">
      <c r="A8" s="8" t="s">
        <v>267</v>
      </c>
      <c r="B8" s="16" t="n">
        <v>0.145</v>
      </c>
    </row>
    <row r="9" customFormat="false" ht="15" hidden="false" customHeight="false" outlineLevel="0" collapsed="false">
      <c r="A9" s="8" t="s">
        <v>268</v>
      </c>
      <c r="B9" s="22" t="n">
        <v>362500</v>
      </c>
    </row>
    <row r="10" customFormat="false" ht="15" hidden="false" customHeight="false" outlineLevel="0" collapsed="false">
      <c r="A10" s="8" t="s">
        <v>269</v>
      </c>
      <c r="B10" s="22" t="n">
        <v>400000</v>
      </c>
    </row>
    <row r="11" customFormat="false" ht="15" hidden="false" customHeight="false" outlineLevel="0" collapsed="false">
      <c r="A11" s="8" t="s">
        <v>270</v>
      </c>
      <c r="B11" s="22" t="n">
        <v>286000</v>
      </c>
    </row>
    <row r="12" customFormat="false" ht="15" hidden="false" customHeight="false" outlineLevel="0" collapsed="false">
      <c r="A12" s="8" t="s">
        <v>271</v>
      </c>
      <c r="B12" s="22" t="n">
        <v>250000</v>
      </c>
    </row>
    <row r="14" customFormat="false" ht="15" hidden="false" customHeight="false" outlineLevel="0" collapsed="false">
      <c r="A14" s="7" t="s">
        <v>272</v>
      </c>
    </row>
    <row r="15" customFormat="false" ht="15" hidden="false" customHeight="false" outlineLevel="0" collapsed="false">
      <c r="A15" s="15" t="s">
        <v>273</v>
      </c>
      <c r="B15" s="15" t="s">
        <v>274</v>
      </c>
      <c r="C15" s="15" t="s">
        <v>275</v>
      </c>
      <c r="H15" s="15" t="s">
        <v>276</v>
      </c>
    </row>
    <row r="16" customFormat="false" ht="15" hidden="false" customHeight="false" outlineLevel="0" collapsed="false">
      <c r="A16" s="8" t="s">
        <v>277</v>
      </c>
      <c r="B16" s="16" t="n">
        <v>0.015</v>
      </c>
      <c r="C16" s="16" t="n">
        <v>0.08</v>
      </c>
      <c r="H16" s="17" t="s">
        <v>278</v>
      </c>
    </row>
    <row r="17" customFormat="false" ht="15" hidden="false" customHeight="false" outlineLevel="0" collapsed="false">
      <c r="A17" s="8" t="s">
        <v>279</v>
      </c>
      <c r="B17" s="16" t="n">
        <v>0.015</v>
      </c>
      <c r="C17" s="16" t="n">
        <v>0.05</v>
      </c>
      <c r="H17" s="17" t="s">
        <v>280</v>
      </c>
    </row>
    <row r="18" customFormat="false" ht="15" hidden="false" customHeight="false" outlineLevel="0" collapsed="false">
      <c r="A18" s="8" t="s">
        <v>281</v>
      </c>
      <c r="B18" s="16" t="n">
        <v>0.005</v>
      </c>
      <c r="C18" s="16" t="n">
        <v>0.04</v>
      </c>
      <c r="H18" s="17" t="s">
        <v>282</v>
      </c>
    </row>
    <row r="19" customFormat="false" ht="15" hidden="false" customHeight="false" outlineLevel="0" collapsed="false">
      <c r="A19" s="8" t="s">
        <v>283</v>
      </c>
      <c r="B19" s="16" t="n">
        <v>0.01</v>
      </c>
      <c r="C19" s="16" t="n">
        <v>0.05</v>
      </c>
      <c r="H19" s="17" t="s">
        <v>284</v>
      </c>
    </row>
    <row r="20" customFormat="false" ht="15" hidden="false" customHeight="false" outlineLevel="0" collapsed="false">
      <c r="A20" s="8" t="s">
        <v>285</v>
      </c>
      <c r="B20" s="16" t="n">
        <v>0.005</v>
      </c>
      <c r="C20" s="16" t="n">
        <v>0.06</v>
      </c>
      <c r="H20" s="17" t="s">
        <v>286</v>
      </c>
    </row>
    <row r="21" customFormat="false" ht="15" hidden="false" customHeight="false" outlineLevel="0" collapsed="false">
      <c r="A21" s="8" t="s">
        <v>287</v>
      </c>
      <c r="B21" s="16" t="n">
        <v>-0.015</v>
      </c>
      <c r="C21" s="16" t="n">
        <v>0.03</v>
      </c>
      <c r="H21" s="17" t="s">
        <v>288</v>
      </c>
    </row>
    <row r="22" customFormat="false" ht="15" hidden="false" customHeight="false" outlineLevel="0" collapsed="false">
      <c r="A22" s="8" t="s">
        <v>289</v>
      </c>
      <c r="B22" s="16" t="n">
        <v>0.005</v>
      </c>
      <c r="C22" s="16" t="n">
        <v>0.03</v>
      </c>
      <c r="H22" s="17" t="s">
        <v>290</v>
      </c>
    </row>
    <row r="24" customFormat="false" ht="15" hidden="false" customHeight="false" outlineLevel="0" collapsed="false">
      <c r="A24" s="7" t="s">
        <v>291</v>
      </c>
    </row>
    <row r="25" customFormat="false" ht="15" hidden="false" customHeight="false" outlineLevel="0" collapsed="false">
      <c r="A25" s="15" t="s">
        <v>292</v>
      </c>
      <c r="B25" s="15" t="s">
        <v>293</v>
      </c>
      <c r="C25" s="15" t="s">
        <v>294</v>
      </c>
      <c r="D25" s="15" t="s">
        <v>295</v>
      </c>
      <c r="H25" s="15" t="s">
        <v>276</v>
      </c>
    </row>
    <row r="26" customFormat="false" ht="15" hidden="false" customHeight="false" outlineLevel="0" collapsed="false">
      <c r="A26" s="8" t="s">
        <v>296</v>
      </c>
      <c r="B26" s="16" t="n">
        <v>0.45</v>
      </c>
      <c r="C26" s="16" t="n">
        <v>0.07</v>
      </c>
      <c r="D26" s="16" t="n">
        <v>0.04</v>
      </c>
      <c r="H26" s="17" t="s">
        <v>297</v>
      </c>
    </row>
    <row r="27" customFormat="false" ht="15" hidden="false" customHeight="false" outlineLevel="0" collapsed="false">
      <c r="A27" s="8" t="s">
        <v>298</v>
      </c>
      <c r="B27" s="16" t="n">
        <v>0.3</v>
      </c>
      <c r="C27" s="16" t="n">
        <v>-0.09</v>
      </c>
      <c r="D27" s="16" t="n">
        <v>0.05</v>
      </c>
      <c r="H27" s="17" t="s">
        <v>299</v>
      </c>
    </row>
    <row r="28" customFormat="false" ht="15" hidden="false" customHeight="false" outlineLevel="0" collapsed="false">
      <c r="A28" s="8" t="s">
        <v>300</v>
      </c>
      <c r="B28" s="16" t="n">
        <v>0.25</v>
      </c>
      <c r="C28" s="16" t="n">
        <v>-0.06</v>
      </c>
      <c r="D28" s="16" t="n">
        <v>0.04</v>
      </c>
      <c r="H28" s="17" t="s">
        <v>301</v>
      </c>
    </row>
    <row r="29" customFormat="false" ht="15" hidden="false" customHeight="false" outlineLevel="0" collapsed="false">
      <c r="A29" s="8" t="s">
        <v>302</v>
      </c>
      <c r="B29" s="16" t="n">
        <v>0.5</v>
      </c>
      <c r="C29" s="16" t="n">
        <v>0.04</v>
      </c>
      <c r="D29" s="16" t="n">
        <v>0.03</v>
      </c>
      <c r="H29" s="17" t="s">
        <v>303</v>
      </c>
    </row>
    <row r="30" customFormat="false" ht="15" hidden="false" customHeight="false" outlineLevel="0" collapsed="false">
      <c r="A30" s="8" t="s">
        <v>304</v>
      </c>
      <c r="B30" s="16" t="n">
        <v>0.25</v>
      </c>
      <c r="C30" s="16" t="n">
        <v>0.03</v>
      </c>
      <c r="D30" s="16" t="n">
        <v>0.03</v>
      </c>
      <c r="H30" s="17" t="s">
        <v>305</v>
      </c>
    </row>
    <row r="31" customFormat="false" ht="15" hidden="false" customHeight="false" outlineLevel="0" collapsed="false">
      <c r="A31" s="8" t="s">
        <v>306</v>
      </c>
      <c r="B31" s="16" t="n">
        <v>0.4</v>
      </c>
      <c r="C31" s="16" t="n">
        <v>0.03</v>
      </c>
      <c r="D31" s="16" t="n">
        <v>0.05</v>
      </c>
      <c r="H31" s="17" t="s">
        <v>307</v>
      </c>
    </row>
    <row r="32" customFormat="false" ht="15" hidden="false" customHeight="false" outlineLevel="0" collapsed="false">
      <c r="A32" s="8" t="s">
        <v>308</v>
      </c>
      <c r="B32" s="16" t="n">
        <v>0.2</v>
      </c>
      <c r="C32" s="16" t="n">
        <v>-0.07</v>
      </c>
      <c r="D32" s="16" t="n">
        <v>0.04</v>
      </c>
      <c r="H32" s="17" t="s">
        <v>309</v>
      </c>
    </row>
    <row r="33" customFormat="false" ht="15" hidden="false" customHeight="false" outlineLevel="0" collapsed="false">
      <c r="A33" s="8" t="s">
        <v>310</v>
      </c>
      <c r="B33" s="16" t="n">
        <v>0.35</v>
      </c>
      <c r="C33" s="16" t="n">
        <v>0.01</v>
      </c>
      <c r="D33" s="16" t="n">
        <v>0.04</v>
      </c>
      <c r="H33" s="17" t="s">
        <v>311</v>
      </c>
    </row>
    <row r="34" customFormat="false" ht="15" hidden="false" customHeight="false" outlineLevel="0" collapsed="false">
      <c r="A34" s="8" t="s">
        <v>312</v>
      </c>
      <c r="B34" s="16" t="n">
        <v>0.15</v>
      </c>
      <c r="C34" s="16" t="n">
        <v>-0.03</v>
      </c>
      <c r="D34" s="16" t="n">
        <v>0.03</v>
      </c>
      <c r="H34" s="17" t="s">
        <v>313</v>
      </c>
    </row>
    <row r="36" customFormat="false" ht="15" hidden="false" customHeight="false" outlineLevel="0" collapsed="false">
      <c r="A36" s="7" t="s">
        <v>314</v>
      </c>
    </row>
    <row r="37" customFormat="false" ht="15" hidden="false" customHeight="false" outlineLevel="0" collapsed="false">
      <c r="A37" s="8" t="s">
        <v>315</v>
      </c>
      <c r="B37" s="10" t="n">
        <f aca="false">SUM(B16:B22)+SUMPRODUCT(B26:B34,C26:C34)</f>
        <v>0.054</v>
      </c>
    </row>
    <row r="38" customFormat="false" ht="15" hidden="false" customHeight="false" outlineLevel="0" collapsed="false">
      <c r="A38" s="8" t="s">
        <v>316</v>
      </c>
      <c r="B38" s="47" t="n">
        <f aca="false">SUMSQ(C16:C22)+B8^2+SUMPRODUCT(B26:B34,C26:C34^2+D26:D34^2)</f>
        <v>0.052055</v>
      </c>
    </row>
    <row r="39" customFormat="false" ht="15" hidden="false" customHeight="false" outlineLevel="0" collapsed="false">
      <c r="A39" s="8" t="s">
        <v>317</v>
      </c>
      <c r="B39" s="10" t="n">
        <f aca="false">SQRT(B38)</f>
        <v>0.228155648626108</v>
      </c>
    </row>
    <row r="40" customFormat="false" ht="15" hidden="false" customHeight="false" outlineLevel="0" collapsed="false">
      <c r="A40" s="8" t="s">
        <v>318</v>
      </c>
      <c r="B40" s="10" t="n">
        <f aca="false">B39*2</f>
        <v>0.456311297252216</v>
      </c>
      <c r="H40" s="17" t="s">
        <v>319</v>
      </c>
    </row>
    <row r="42" customFormat="false" ht="15" hidden="false" customHeight="false" outlineLevel="0" collapsed="false">
      <c r="A42" s="7" t="s">
        <v>320</v>
      </c>
    </row>
    <row r="43" customFormat="false" ht="15" hidden="false" customHeight="false" outlineLevel="0" collapsed="false">
      <c r="A43" s="15" t="s">
        <v>321</v>
      </c>
      <c r="B43" s="15" t="s">
        <v>322</v>
      </c>
      <c r="C43" s="15" t="s">
        <v>323</v>
      </c>
      <c r="D43" s="15" t="s">
        <v>324</v>
      </c>
      <c r="E43" s="15" t="s">
        <v>325</v>
      </c>
      <c r="F43" s="15" t="s">
        <v>326</v>
      </c>
      <c r="G43" s="15" t="s">
        <v>327</v>
      </c>
    </row>
    <row r="44" customFormat="false" ht="15" hidden="false" customHeight="false" outlineLevel="0" collapsed="false">
      <c r="A44" s="8" t="s">
        <v>328</v>
      </c>
      <c r="B44" s="31" t="n">
        <v>277676</v>
      </c>
      <c r="C44" s="31" t="n">
        <v>316898</v>
      </c>
      <c r="D44" s="31" t="n">
        <v>346091</v>
      </c>
      <c r="E44" s="31" t="n">
        <v>378203</v>
      </c>
      <c r="F44" s="31" t="n">
        <v>430413</v>
      </c>
      <c r="G44" s="17" t="s">
        <v>329</v>
      </c>
    </row>
    <row r="45" customFormat="false" ht="15" hidden="false" customHeight="false" outlineLevel="0" collapsed="false">
      <c r="A45" s="8" t="s">
        <v>330</v>
      </c>
      <c r="B45" s="31" t="n">
        <f aca="false">B5*EXP(B37*20/60+-1.6449*B39*SQRT(20/60))</f>
        <v>278327.45096368</v>
      </c>
      <c r="C45" s="31" t="n">
        <f aca="false">B5*EXP(B37*20/60+-0.6745*B39*SQRT(20/60))</f>
        <v>316279.066400189</v>
      </c>
      <c r="D45" s="31" t="n">
        <f aca="false">B5*EXP(B37*20/60+0*B39*SQRT(20/60))</f>
        <v>345666.330484335</v>
      </c>
      <c r="E45" s="31" t="n">
        <f aca="false">B5*EXP(B37*20/60+0.6745*B39*SQRT(20/60))</f>
        <v>377784.130294986</v>
      </c>
      <c r="F45" s="31" t="n">
        <f aca="false">B5*EXP(B37*20/60+1.6449*B39*SQRT(20/60))</f>
        <v>429297.259816811</v>
      </c>
    </row>
    <row r="46" customFormat="false" ht="15" hidden="false" customHeight="false" outlineLevel="0" collapsed="false">
      <c r="A46" s="8" t="s">
        <v>331</v>
      </c>
      <c r="B46" s="31" t="n">
        <v>246827</v>
      </c>
      <c r="C46" s="31" t="n">
        <v>308298</v>
      </c>
      <c r="D46" s="31" t="n">
        <v>359482</v>
      </c>
      <c r="E46" s="31" t="n">
        <v>418176</v>
      </c>
      <c r="F46" s="31" t="n">
        <v>520627</v>
      </c>
      <c r="G46" s="17" t="s">
        <v>329</v>
      </c>
    </row>
    <row r="47" customFormat="false" ht="15" hidden="false" customHeight="false" outlineLevel="0" collapsed="false">
      <c r="A47" s="8" t="s">
        <v>332</v>
      </c>
      <c r="B47" s="31" t="n">
        <f aca="false">B5*EXP(B37*1+-1.6449*B39*SQRT(1))</f>
        <v>246208.988143963</v>
      </c>
      <c r="C47" s="31" t="n">
        <f aca="false">B5*EXP(B37*1+-0.6745*B39*SQRT(1))</f>
        <v>307225.79381813</v>
      </c>
      <c r="D47" s="31" t="n">
        <f aca="false">B5*EXP(B37*1+0*B39*SQRT(1))</f>
        <v>358337.02243165</v>
      </c>
      <c r="E47" s="31" t="n">
        <f aca="false">B5*EXP(B37*1+0.6745*B39*SQRT(1))</f>
        <v>417951.305615939</v>
      </c>
      <c r="F47" s="31" t="n">
        <f aca="false">B5*EXP(B37*1+1.6449*B39*SQRT(1))</f>
        <v>521530.195193766</v>
      </c>
    </row>
    <row r="49" customFormat="false" ht="15" hidden="false" customHeight="false" outlineLevel="0" collapsed="false">
      <c r="A49" s="7" t="s">
        <v>333</v>
      </c>
    </row>
    <row r="50" customFormat="false" ht="15" hidden="false" customHeight="false" outlineLevel="0" collapsed="false">
      <c r="A50" s="15" t="s">
        <v>334</v>
      </c>
      <c r="B50" s="15" t="s">
        <v>335</v>
      </c>
      <c r="C50" s="15" t="s">
        <v>336</v>
      </c>
    </row>
    <row r="51" customFormat="false" ht="15" hidden="false" customHeight="false" outlineLevel="0" collapsed="false">
      <c r="A51" s="8" t="s">
        <v>337</v>
      </c>
      <c r="B51" s="48" t="n">
        <v>0.61</v>
      </c>
      <c r="C51" s="48" t="n">
        <v>0.8</v>
      </c>
    </row>
    <row r="52" customFormat="false" ht="15" hidden="false" customHeight="false" outlineLevel="0" collapsed="false">
      <c r="A52" s="8" t="s">
        <v>338</v>
      </c>
      <c r="B52" s="48" t="n">
        <v>0.37</v>
      </c>
      <c r="C52" s="48" t="n">
        <v>0.65</v>
      </c>
    </row>
    <row r="53" customFormat="false" ht="15" hidden="false" customHeight="false" outlineLevel="0" collapsed="false">
      <c r="A53" s="8" t="s">
        <v>339</v>
      </c>
      <c r="B53" s="48" t="n">
        <v>0.21</v>
      </c>
      <c r="C53" s="48" t="n">
        <v>0.51</v>
      </c>
    </row>
    <row r="54" customFormat="false" ht="15" hidden="false" customHeight="false" outlineLevel="0" collapsed="false">
      <c r="A54" s="8" t="s">
        <v>340</v>
      </c>
      <c r="B54" s="48" t="n">
        <v>0.11</v>
      </c>
      <c r="C54" s="48" t="n">
        <v>0.4</v>
      </c>
    </row>
    <row r="55" customFormat="false" ht="15" hidden="false" customHeight="false" outlineLevel="0" collapsed="false">
      <c r="A55" s="8" t="s">
        <v>341</v>
      </c>
      <c r="B55" s="48" t="n">
        <v>0.05</v>
      </c>
      <c r="C55" s="48" t="n">
        <v>0.3</v>
      </c>
    </row>
    <row r="56" customFormat="false" ht="15" hidden="false" customHeight="false" outlineLevel="0" collapsed="false">
      <c r="A56" s="8" t="s">
        <v>342</v>
      </c>
      <c r="B56" s="48" t="n">
        <v>0.5</v>
      </c>
      <c r="C56" s="48" t="n">
        <v>0.67</v>
      </c>
    </row>
    <row r="57" customFormat="false" ht="15" hidden="false" customHeight="false" outlineLevel="0" collapsed="false">
      <c r="A57" s="8" t="s">
        <v>343</v>
      </c>
      <c r="B57" s="48" t="n">
        <v>0.12</v>
      </c>
      <c r="C57" s="48" t="n">
        <v>0.33</v>
      </c>
    </row>
    <row r="58" customFormat="false" ht="15" hidden="false" customHeight="false" outlineLevel="0" collapsed="false">
      <c r="A58" s="8" t="s">
        <v>344</v>
      </c>
      <c r="B58" s="48" t="n">
        <v>0.01</v>
      </c>
      <c r="C58" s="48" t="n">
        <v>0.11</v>
      </c>
    </row>
    <row r="59" customFormat="false" ht="15" hidden="false" customHeight="false" outlineLevel="0" collapsed="false">
      <c r="A59" s="8" t="s">
        <v>345</v>
      </c>
      <c r="B59" s="48" t="n">
        <v>0</v>
      </c>
      <c r="C59" s="48" t="n">
        <v>0.01</v>
      </c>
    </row>
    <row r="60" customFormat="false" ht="15" hidden="false" customHeight="false" outlineLevel="0" collapsed="false">
      <c r="A60" s="8" t="s">
        <v>346</v>
      </c>
      <c r="B60" s="48" t="n">
        <v>0</v>
      </c>
      <c r="C60" s="48" t="n">
        <v>0</v>
      </c>
    </row>
    <row r="62" customFormat="false" ht="42" hidden="false" customHeight="true" outlineLevel="0" collapsed="false">
      <c r="A62" s="39" t="s">
        <v>347</v>
      </c>
      <c r="B62" s="39"/>
      <c r="C62" s="39"/>
      <c r="D62" s="39"/>
      <c r="E62" s="39"/>
      <c r="F62" s="39"/>
      <c r="G62" s="39"/>
      <c r="H62" s="39"/>
    </row>
  </sheetData>
  <mergeCells count="3">
    <mergeCell ref="A1:H1"/>
    <mergeCell ref="A2:H2"/>
    <mergeCell ref="A62:H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12"/>
  </cols>
  <sheetData>
    <row r="1" customFormat="false" ht="24" hidden="false" customHeight="true" outlineLevel="0" collapsed="false">
      <c r="A1" s="5" t="s">
        <v>348</v>
      </c>
      <c r="B1" s="5"/>
      <c r="C1" s="5"/>
      <c r="D1" s="5"/>
      <c r="E1" s="5"/>
      <c r="F1" s="5"/>
    </row>
    <row r="2" customFormat="false" ht="15" hidden="false" customHeight="false" outlineLevel="0" collapsed="false">
      <c r="A2" s="6" t="s">
        <v>349</v>
      </c>
      <c r="B2" s="6"/>
      <c r="C2" s="6"/>
      <c r="D2" s="6"/>
      <c r="E2" s="6"/>
      <c r="F2" s="6"/>
    </row>
    <row r="4" customFormat="false" ht="15" hidden="false" customHeight="false" outlineLevel="0" collapsed="false">
      <c r="A4" s="7" t="s">
        <v>350</v>
      </c>
    </row>
    <row r="5" customFormat="false" ht="15" hidden="false" customHeight="false" outlineLevel="0" collapsed="false">
      <c r="A5" s="15" t="s">
        <v>351</v>
      </c>
      <c r="B5" s="49" t="n">
        <v>7</v>
      </c>
      <c r="C5" s="49" t="n">
        <v>8</v>
      </c>
      <c r="D5" s="49" t="n">
        <v>9</v>
      </c>
      <c r="E5" s="49" t="n">
        <v>10</v>
      </c>
      <c r="F5" s="49" t="n">
        <v>11</v>
      </c>
    </row>
    <row r="6" customFormat="false" ht="15" hidden="false" customHeight="false" outlineLevel="0" collapsed="false">
      <c r="A6" s="33" t="n">
        <v>80</v>
      </c>
      <c r="B6" s="31" t="n">
        <f aca="false">(80*7+(Assumptions!B15*Assumptions!C15+Assumptions!B16*Assumptions!C16+Assumptions!B17*Assumptions!C17+Assumptions!B18*Assumptions!C18+Assumptions!B19*Assumptions!C19+Assumptions!B20+Assumptions!B7+Assumptions!B8))*1000/Assumptions!B6</f>
        <v>130407.239819005</v>
      </c>
      <c r="C6" s="31" t="n">
        <f aca="false">(80*8+(Assumptions!B15*Assumptions!C15+Assumptions!B16*Assumptions!C16+Assumptions!B17*Assumptions!C17+Assumptions!B18*Assumptions!C18+Assumptions!B19*Assumptions!C19+Assumptions!B20+Assumptions!B7+Assumptions!B8))*1000/Assumptions!B6</f>
        <v>142473.604826546</v>
      </c>
      <c r="D6" s="31" t="n">
        <f aca="false">(80*9+(Assumptions!B15*Assumptions!C15+Assumptions!B16*Assumptions!C16+Assumptions!B17*Assumptions!C17+Assumptions!B18*Assumptions!C18+Assumptions!B19*Assumptions!C19+Assumptions!B20+Assumptions!B7+Assumptions!B8))*1000/Assumptions!B6</f>
        <v>154539.969834087</v>
      </c>
      <c r="E6" s="31" t="n">
        <f aca="false">(80*10+(Assumptions!B15*Assumptions!C15+Assumptions!B16*Assumptions!C16+Assumptions!B17*Assumptions!C17+Assumptions!B18*Assumptions!C18+Assumptions!B19*Assumptions!C19+Assumptions!B20+Assumptions!B7+Assumptions!B8))*1000/Assumptions!B6</f>
        <v>166606.334841629</v>
      </c>
      <c r="F6" s="31" t="n">
        <f aca="false">(80*11+(Assumptions!B15*Assumptions!C15+Assumptions!B16*Assumptions!C16+Assumptions!B17*Assumptions!C17+Assumptions!B18*Assumptions!C18+Assumptions!B19*Assumptions!C19+Assumptions!B20+Assumptions!B7+Assumptions!B8))*1000/Assumptions!B6</f>
        <v>178672.69984917</v>
      </c>
    </row>
    <row r="7" customFormat="false" ht="15" hidden="false" customHeight="false" outlineLevel="0" collapsed="false">
      <c r="A7" s="33" t="n">
        <v>120</v>
      </c>
      <c r="B7" s="31" t="n">
        <f aca="false">(120*7+(Assumptions!B15*Assumptions!C15+Assumptions!B16*Assumptions!C16+Assumptions!B17*Assumptions!C17+Assumptions!B18*Assumptions!C18+Assumptions!B19*Assumptions!C19+Assumptions!B20+Assumptions!B7+Assumptions!B8))*1000/Assumptions!B6</f>
        <v>172639.5173454</v>
      </c>
      <c r="C7" s="31" t="n">
        <f aca="false">(120*8+(Assumptions!B15*Assumptions!C15+Assumptions!B16*Assumptions!C16+Assumptions!B17*Assumptions!C17+Assumptions!B18*Assumptions!C18+Assumptions!B19*Assumptions!C19+Assumptions!B20+Assumptions!B7+Assumptions!B8))*1000/Assumptions!B6</f>
        <v>190739.064856712</v>
      </c>
      <c r="D7" s="31" t="n">
        <f aca="false">(120*9+(Assumptions!B15*Assumptions!C15+Assumptions!B16*Assumptions!C16+Assumptions!B17*Assumptions!C17+Assumptions!B18*Assumptions!C18+Assumptions!B19*Assumptions!C19+Assumptions!B20+Assumptions!B7+Assumptions!B8))*1000/Assumptions!B6</f>
        <v>208838.612368024</v>
      </c>
      <c r="E7" s="31" t="n">
        <f aca="false">(120*10+(Assumptions!B15*Assumptions!C15+Assumptions!B16*Assumptions!C16+Assumptions!B17*Assumptions!C17+Assumptions!B18*Assumptions!C18+Assumptions!B19*Assumptions!C19+Assumptions!B20+Assumptions!B7+Assumptions!B8))*1000/Assumptions!B6</f>
        <v>226938.159879336</v>
      </c>
      <c r="F7" s="31" t="n">
        <f aca="false">(120*11+(Assumptions!B15*Assumptions!C15+Assumptions!B16*Assumptions!C16+Assumptions!B17*Assumptions!C17+Assumptions!B18*Assumptions!C18+Assumptions!B19*Assumptions!C19+Assumptions!B20+Assumptions!B7+Assumptions!B8))*1000/Assumptions!B6</f>
        <v>245037.707390649</v>
      </c>
    </row>
    <row r="8" customFormat="false" ht="15" hidden="false" customHeight="false" outlineLevel="0" collapsed="false">
      <c r="A8" s="33" t="n">
        <v>160</v>
      </c>
      <c r="B8" s="31" t="n">
        <f aca="false">(160*7+(Assumptions!B15*Assumptions!C15+Assumptions!B16*Assumptions!C16+Assumptions!B17*Assumptions!C17+Assumptions!B18*Assumptions!C18+Assumptions!B19*Assumptions!C19+Assumptions!B20+Assumptions!B7+Assumptions!B8))*1000/Assumptions!B6</f>
        <v>214871.794871795</v>
      </c>
      <c r="C8" s="31" t="n">
        <f aca="false">(160*8+(Assumptions!B15*Assumptions!C15+Assumptions!B16*Assumptions!C16+Assumptions!B17*Assumptions!C17+Assumptions!B18*Assumptions!C18+Assumptions!B19*Assumptions!C19+Assumptions!B20+Assumptions!B7+Assumptions!B8))*1000/Assumptions!B6</f>
        <v>239004.524886878</v>
      </c>
      <c r="D8" s="31" t="n">
        <f aca="false">(160*9+(Assumptions!B15*Assumptions!C15+Assumptions!B16*Assumptions!C16+Assumptions!B17*Assumptions!C17+Assumptions!B18*Assumptions!C18+Assumptions!B19*Assumptions!C19+Assumptions!B20+Assumptions!B7+Assumptions!B8))*1000/Assumptions!B6</f>
        <v>263137.254901961</v>
      </c>
      <c r="E8" s="31" t="n">
        <f aca="false">(160*10+(Assumptions!B15*Assumptions!C15+Assumptions!B16*Assumptions!C16+Assumptions!B17*Assumptions!C17+Assumptions!B18*Assumptions!C18+Assumptions!B19*Assumptions!C19+Assumptions!B20+Assumptions!B7+Assumptions!B8))*1000/Assumptions!B6</f>
        <v>287269.984917044</v>
      </c>
      <c r="F8" s="31" t="n">
        <f aca="false">(160*11+(Assumptions!B15*Assumptions!C15+Assumptions!B16*Assumptions!C16+Assumptions!B17*Assumptions!C17+Assumptions!B18*Assumptions!C18+Assumptions!B19*Assumptions!C19+Assumptions!B20+Assumptions!B7+Assumptions!B8))*1000/Assumptions!B6</f>
        <v>311402.714932127</v>
      </c>
    </row>
    <row r="9" customFormat="false" ht="15" hidden="false" customHeight="false" outlineLevel="0" collapsed="false">
      <c r="A9" s="33" t="n">
        <v>200</v>
      </c>
      <c r="B9" s="31" t="n">
        <f aca="false">(200*7+(Assumptions!B15*Assumptions!C15+Assumptions!B16*Assumptions!C16+Assumptions!B17*Assumptions!C17+Assumptions!B18*Assumptions!C18+Assumptions!B19*Assumptions!C19+Assumptions!B20+Assumptions!B7+Assumptions!B8))*1000/Assumptions!B6</f>
        <v>257104.07239819</v>
      </c>
      <c r="C9" s="31" t="n">
        <f aca="false">(200*8+(Assumptions!B15*Assumptions!C15+Assumptions!B16*Assumptions!C16+Assumptions!B17*Assumptions!C17+Assumptions!B18*Assumptions!C18+Assumptions!B19*Assumptions!C19+Assumptions!B20+Assumptions!B7+Assumptions!B8))*1000/Assumptions!B6</f>
        <v>287269.984917044</v>
      </c>
      <c r="D9" s="31" t="n">
        <f aca="false">(200*9+(Assumptions!B15*Assumptions!C15+Assumptions!B16*Assumptions!C16+Assumptions!B17*Assumptions!C17+Assumptions!B18*Assumptions!C18+Assumptions!B19*Assumptions!C19+Assumptions!B20+Assumptions!B7+Assumptions!B8))*1000/Assumptions!B6</f>
        <v>317435.897435897</v>
      </c>
      <c r="E9" s="31" t="n">
        <f aca="false">(200*10+(Assumptions!B15*Assumptions!C15+Assumptions!B16*Assumptions!C16+Assumptions!B17*Assumptions!C17+Assumptions!B18*Assumptions!C18+Assumptions!B19*Assumptions!C19+Assumptions!B20+Assumptions!B7+Assumptions!B8))*1000/Assumptions!B6</f>
        <v>347601.809954751</v>
      </c>
      <c r="F9" s="31" t="n">
        <f aca="false">(200*11+(Assumptions!B15*Assumptions!C15+Assumptions!B16*Assumptions!C16+Assumptions!B17*Assumptions!C17+Assumptions!B18*Assumptions!C18+Assumptions!B19*Assumptions!C19+Assumptions!B20+Assumptions!B7+Assumptions!B8))*1000/Assumptions!B6</f>
        <v>377767.722473605</v>
      </c>
    </row>
    <row r="10" customFormat="false" ht="15" hidden="false" customHeight="false" outlineLevel="0" collapsed="false">
      <c r="A10" s="33" t="n">
        <v>240</v>
      </c>
      <c r="B10" s="31" t="n">
        <f aca="false">(240*7+(Assumptions!B15*Assumptions!C15+Assumptions!B16*Assumptions!C16+Assumptions!B17*Assumptions!C17+Assumptions!B18*Assumptions!C18+Assumptions!B19*Assumptions!C19+Assumptions!B20+Assumptions!B7+Assumptions!B8))*1000/Assumptions!B6</f>
        <v>299336.349924585</v>
      </c>
      <c r="C10" s="31" t="n">
        <f aca="false">(240*8+(Assumptions!B15*Assumptions!C15+Assumptions!B16*Assumptions!C16+Assumptions!B17*Assumptions!C17+Assumptions!B18*Assumptions!C18+Assumptions!B19*Assumptions!C19+Assumptions!B20+Assumptions!B7+Assumptions!B8))*1000/Assumptions!B6</f>
        <v>335535.44494721</v>
      </c>
      <c r="D10" s="31" t="n">
        <f aca="false">(240*9+(Assumptions!B15*Assumptions!C15+Assumptions!B16*Assumptions!C16+Assumptions!B17*Assumptions!C17+Assumptions!B18*Assumptions!C18+Assumptions!B19*Assumptions!C19+Assumptions!B20+Assumptions!B7+Assumptions!B8))*1000/Assumptions!B6</f>
        <v>371734.539969834</v>
      </c>
      <c r="E10" s="31" t="n">
        <f aca="false">(240*10+(Assumptions!B15*Assumptions!C15+Assumptions!B16*Assumptions!C16+Assumptions!B17*Assumptions!C17+Assumptions!B18*Assumptions!C18+Assumptions!B19*Assumptions!C19+Assumptions!B20+Assumptions!B7+Assumptions!B8))*1000/Assumptions!B6</f>
        <v>407933.634992459</v>
      </c>
      <c r="F10" s="31" t="n">
        <f aca="false">(240*11+(Assumptions!B15*Assumptions!C15+Assumptions!B16*Assumptions!C16+Assumptions!B17*Assumptions!C17+Assumptions!B18*Assumptions!C18+Assumptions!B19*Assumptions!C19+Assumptions!B20+Assumptions!B7+Assumptions!B8))*1000/Assumptions!B6</f>
        <v>444132.730015083</v>
      </c>
    </row>
    <row r="13" customFormat="false" ht="15" hidden="false" customHeight="false" outlineLevel="0" collapsed="false">
      <c r="A13" s="7" t="s">
        <v>352</v>
      </c>
    </row>
    <row r="14" customFormat="false" ht="15" hidden="false" customHeight="false" outlineLevel="0" collapsed="false">
      <c r="A14" s="15" t="s">
        <v>353</v>
      </c>
      <c r="B14" s="50" t="n">
        <v>0.015</v>
      </c>
      <c r="C14" s="50" t="n">
        <v>0.02</v>
      </c>
      <c r="D14" s="50" t="n">
        <v>0.025</v>
      </c>
      <c r="E14" s="50" t="n">
        <v>0.03</v>
      </c>
      <c r="F14" s="50" t="n">
        <v>0.035</v>
      </c>
    </row>
    <row r="15" customFormat="false" ht="15" hidden="false" customHeight="false" outlineLevel="0" collapsed="false">
      <c r="A15" s="51" t="n">
        <v>0.075</v>
      </c>
      <c r="B15" s="31" t="n">
        <v>222043</v>
      </c>
      <c r="C15" s="31" t="n">
        <v>235732</v>
      </c>
      <c r="D15" s="31" t="n">
        <v>252160</v>
      </c>
      <c r="E15" s="31" t="n">
        <v>272239</v>
      </c>
      <c r="F15" s="31" t="n">
        <v>297337</v>
      </c>
    </row>
    <row r="16" customFormat="false" ht="15" hidden="false" customHeight="false" outlineLevel="0" collapsed="false">
      <c r="A16" s="51" t="n">
        <v>0.08</v>
      </c>
      <c r="B16" s="31" t="n">
        <v>207392</v>
      </c>
      <c r="C16" s="31" t="n">
        <v>218762</v>
      </c>
      <c r="D16" s="31" t="n">
        <v>232200</v>
      </c>
      <c r="E16" s="31" t="n">
        <v>248326</v>
      </c>
      <c r="F16" s="31" t="n">
        <v>268035</v>
      </c>
    </row>
    <row r="17" customFormat="false" ht="15" hidden="false" customHeight="false" outlineLevel="0" collapsed="false">
      <c r="A17" s="51" t="n">
        <v>0.085</v>
      </c>
      <c r="B17" s="31" t="n">
        <v>194824</v>
      </c>
      <c r="C17" s="31" t="n">
        <v>204392</v>
      </c>
      <c r="D17" s="31" t="n">
        <v>215555</v>
      </c>
      <c r="E17" s="31" t="n">
        <v>228747</v>
      </c>
      <c r="F17" s="31" t="n">
        <v>244577</v>
      </c>
    </row>
    <row r="18" customFormat="false" ht="15" hidden="false" customHeight="false" outlineLevel="0" collapsed="false">
      <c r="A18" s="51" t="n">
        <v>0.09</v>
      </c>
      <c r="B18" s="31" t="n">
        <v>183923</v>
      </c>
      <c r="C18" s="31" t="n">
        <v>192065</v>
      </c>
      <c r="D18" s="31" t="n">
        <v>201458</v>
      </c>
      <c r="E18" s="31" t="n">
        <v>212417</v>
      </c>
      <c r="F18" s="31" t="n">
        <v>225369</v>
      </c>
    </row>
    <row r="19" customFormat="false" ht="15" hidden="false" customHeight="false" outlineLevel="0" collapsed="false">
      <c r="A19" s="51" t="n">
        <v>0.095</v>
      </c>
      <c r="B19" s="31" t="n">
        <v>174377</v>
      </c>
      <c r="C19" s="31" t="n">
        <v>181372</v>
      </c>
      <c r="D19" s="31" t="n">
        <v>189365</v>
      </c>
      <c r="E19" s="31" t="n">
        <v>198588</v>
      </c>
      <c r="F19" s="31" t="n">
        <v>209348</v>
      </c>
    </row>
    <row r="21" customFormat="false" ht="30" hidden="false" customHeight="true" outlineLevel="0" collapsed="false">
      <c r="A21" s="39" t="s">
        <v>354</v>
      </c>
      <c r="B21" s="39"/>
      <c r="C21" s="39"/>
      <c r="D21" s="39"/>
      <c r="E21" s="39"/>
      <c r="F21" s="39"/>
    </row>
  </sheetData>
  <mergeCells count="3">
    <mergeCell ref="A1:F1"/>
    <mergeCell ref="A2:F2"/>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4"/>
  </cols>
  <sheetData>
    <row r="1" customFormat="false" ht="24" hidden="false" customHeight="true" outlineLevel="0" collapsed="false">
      <c r="A1" s="5" t="s">
        <v>355</v>
      </c>
      <c r="B1" s="5"/>
      <c r="C1" s="5"/>
      <c r="D1" s="5"/>
      <c r="E1" s="5"/>
    </row>
    <row r="2" customFormat="false" ht="15" hidden="false" customHeight="false" outlineLevel="0" collapsed="false">
      <c r="A2" s="6" t="s">
        <v>356</v>
      </c>
      <c r="B2" s="6"/>
      <c r="C2" s="6"/>
      <c r="D2" s="6"/>
      <c r="E2" s="6"/>
    </row>
    <row r="5" customFormat="false" ht="15" hidden="false" customHeight="false" outlineLevel="0" collapsed="false">
      <c r="A5" s="8" t="s">
        <v>357</v>
      </c>
      <c r="B5" s="9" t="n">
        <f aca="false">Assumptions!B5</f>
        <v>339500</v>
      </c>
    </row>
    <row r="6" customFormat="false" ht="15" hidden="false" customHeight="false" outlineLevel="0" collapsed="false">
      <c r="A6" s="8" t="s">
        <v>358</v>
      </c>
      <c r="B6" s="52" t="n">
        <f aca="false">Assumptions!B6</f>
        <v>6.63</v>
      </c>
    </row>
    <row r="7" customFormat="false" ht="15" hidden="false" customHeight="false" outlineLevel="0" collapsed="false">
      <c r="A7" s="8" t="s">
        <v>359</v>
      </c>
      <c r="B7" s="31" t="n">
        <f aca="false">B5*B6</f>
        <v>2250885</v>
      </c>
    </row>
    <row r="8" customFormat="false" ht="15" hidden="false" customHeight="false" outlineLevel="0" collapsed="false">
      <c r="A8" s="8" t="s">
        <v>181</v>
      </c>
      <c r="B8" s="31" t="n">
        <f aca="false">Assumptions!B23*1000/B6</f>
        <v>30165.9125188537</v>
      </c>
    </row>
    <row r="9" customFormat="false" ht="15" hidden="false" customHeight="false" outlineLevel="0" collapsed="false">
      <c r="A9" s="8" t="s">
        <v>193</v>
      </c>
      <c r="B9" s="31" t="n">
        <f aca="false">Assumptions!B25*1000/B6</f>
        <v>18099.5475113122</v>
      </c>
    </row>
    <row r="10" customFormat="false" ht="15" hidden="false" customHeight="false" outlineLevel="0" collapsed="false">
      <c r="A10" s="8" t="s">
        <v>244</v>
      </c>
      <c r="B10" s="9" t="n">
        <f aca="false">Assumptions!B9</f>
        <v>64000</v>
      </c>
    </row>
    <row r="11" customFormat="false" ht="15" hidden="false" customHeight="false" outlineLevel="0" collapsed="false">
      <c r="A11" s="8" t="s">
        <v>360</v>
      </c>
      <c r="B11" s="31" t="n">
        <f aca="false">Assumptions!B7*1000/B6</f>
        <v>17978.8838612368</v>
      </c>
    </row>
    <row r="12" customFormat="false" ht="15" hidden="false" customHeight="false" outlineLevel="0" collapsed="false">
      <c r="A12" s="8" t="s">
        <v>361</v>
      </c>
      <c r="B12" s="40" t="n">
        <f aca="false">B5/B8</f>
        <v>11.254425</v>
      </c>
    </row>
    <row r="13" customFormat="false" ht="15" hidden="false" customHeight="false" outlineLevel="0" collapsed="false">
      <c r="A13" s="8" t="s">
        <v>362</v>
      </c>
      <c r="B13" s="40" t="n">
        <f aca="false">B5/B9</f>
        <v>18.757375</v>
      </c>
    </row>
    <row r="14" customFormat="false" ht="15" hidden="false" customHeight="false" outlineLevel="0" collapsed="false">
      <c r="A14" s="8" t="s">
        <v>363</v>
      </c>
      <c r="B14" s="40" t="n">
        <f aca="false">B5/B10</f>
        <v>5.3046875</v>
      </c>
    </row>
    <row r="15" customFormat="false" ht="15" hidden="false" customHeight="false" outlineLevel="0" collapsed="false">
      <c r="A15" s="8" t="s">
        <v>364</v>
      </c>
      <c r="B15" s="10" t="n">
        <f aca="false">Assumptions!B7/(B5*B6)</f>
        <v>5.29569480448801E-005</v>
      </c>
    </row>
    <row r="17" customFormat="false" ht="30" hidden="false" customHeight="true" outlineLevel="0" collapsed="false">
      <c r="A17" s="39" t="s">
        <v>365</v>
      </c>
      <c r="B17" s="39"/>
      <c r="C17" s="39"/>
      <c r="D17" s="39"/>
      <c r="E17" s="39"/>
    </row>
  </sheetData>
  <mergeCells count="3">
    <mergeCell ref="A1:E1"/>
    <mergeCell ref="A2:E2"/>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22"/>
  </cols>
  <sheetData>
    <row r="1" customFormat="false" ht="24" hidden="false" customHeight="true" outlineLevel="0" collapsed="false">
      <c r="A1" s="5" t="s">
        <v>366</v>
      </c>
      <c r="B1" s="5"/>
      <c r="C1" s="5"/>
      <c r="D1" s="5"/>
    </row>
    <row r="2" customFormat="false" ht="15" hidden="false" customHeight="false" outlineLevel="0" collapsed="false">
      <c r="A2" s="6" t="s">
        <v>367</v>
      </c>
      <c r="B2" s="6"/>
      <c r="C2" s="6"/>
      <c r="D2" s="6"/>
    </row>
    <row r="4" customFormat="false" ht="15" hidden="false" customHeight="false" outlineLevel="0" collapsed="false">
      <c r="A4" s="36" t="s">
        <v>368</v>
      </c>
      <c r="B4" s="36" t="s">
        <v>369</v>
      </c>
      <c r="C4" s="36" t="s">
        <v>370</v>
      </c>
      <c r="D4" s="36" t="s">
        <v>371</v>
      </c>
    </row>
    <row r="5" customFormat="false" ht="15" hidden="false" customHeight="false" outlineLevel="0" collapsed="false">
      <c r="A5" s="37" t="s">
        <v>372</v>
      </c>
      <c r="B5" s="4" t="s">
        <v>373</v>
      </c>
      <c r="C5" s="4" t="s">
        <v>374</v>
      </c>
      <c r="D5" s="4" t="s">
        <v>375</v>
      </c>
    </row>
    <row r="6" customFormat="false" ht="15" hidden="false" customHeight="false" outlineLevel="0" collapsed="false">
      <c r="A6" s="37" t="s">
        <v>376</v>
      </c>
      <c r="B6" s="4" t="s">
        <v>377</v>
      </c>
      <c r="C6" s="4" t="s">
        <v>378</v>
      </c>
      <c r="D6" s="4" t="s">
        <v>379</v>
      </c>
    </row>
    <row r="7" customFormat="false" ht="15" hidden="false" customHeight="false" outlineLevel="0" collapsed="false">
      <c r="A7" s="37" t="s">
        <v>380</v>
      </c>
      <c r="B7" s="4" t="s">
        <v>381</v>
      </c>
      <c r="C7" s="4" t="s">
        <v>382</v>
      </c>
      <c r="D7" s="4" t="s">
        <v>383</v>
      </c>
    </row>
    <row r="8" customFormat="false" ht="15" hidden="false" customHeight="false" outlineLevel="0" collapsed="false">
      <c r="A8" s="37" t="s">
        <v>384</v>
      </c>
      <c r="B8" s="4" t="s">
        <v>385</v>
      </c>
      <c r="C8" s="4" t="s">
        <v>386</v>
      </c>
      <c r="D8" s="4" t="s">
        <v>387</v>
      </c>
    </row>
    <row r="9" customFormat="false" ht="15" hidden="false" customHeight="false" outlineLevel="0" collapsed="false">
      <c r="A9" s="37" t="s">
        <v>388</v>
      </c>
      <c r="B9" s="4" t="s">
        <v>389</v>
      </c>
      <c r="C9" s="4" t="s">
        <v>390</v>
      </c>
      <c r="D9" s="4" t="s">
        <v>391</v>
      </c>
    </row>
    <row r="10" customFormat="false" ht="15" hidden="false" customHeight="false" outlineLevel="0" collapsed="false">
      <c r="A10" s="37" t="s">
        <v>259</v>
      </c>
      <c r="B10" s="4" t="s">
        <v>392</v>
      </c>
      <c r="C10" s="4" t="s">
        <v>393</v>
      </c>
      <c r="D10" s="4" t="s">
        <v>394</v>
      </c>
    </row>
    <row r="11" customFormat="false" ht="15" hidden="false" customHeight="false" outlineLevel="0" collapsed="false">
      <c r="A11" s="37" t="s">
        <v>395</v>
      </c>
      <c r="B11" s="4" t="s">
        <v>396</v>
      </c>
      <c r="C11" s="4" t="s">
        <v>397</v>
      </c>
      <c r="D11" s="4" t="s">
        <v>390</v>
      </c>
    </row>
    <row r="13" customFormat="false" ht="42" hidden="false" customHeight="true" outlineLevel="0" collapsed="false">
      <c r="A13" s="39" t="s">
        <v>398</v>
      </c>
      <c r="B13" s="39"/>
      <c r="C13" s="39"/>
      <c r="D13" s="39"/>
    </row>
  </sheetData>
  <mergeCells count="3">
    <mergeCell ref="A1:D1"/>
    <mergeCell ref="A2:D2"/>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2026-06-27T15:24:23Z</dcterms:created>
  <dc:creator>openpyxl</dc:creator>
  <dc:description/>
  <dc:language>en-US</dc:language>
  <cp:lastModifiedBy/>
  <dcterms:modified xsi:type="dcterms:W3CDTF">2026-06-27T16:14:45Z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