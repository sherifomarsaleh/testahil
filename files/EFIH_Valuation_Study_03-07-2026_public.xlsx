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FY2025 segment revenue, e-finance FY2025 earnings release, 04 Mar 2026.</t>
        </r>
      </text>
    </comment>
  </commentList>
</comments>
</file>

<file path=xl/sharedStrings.xml><?xml version="1.0" encoding="utf-8"?>
<sst xmlns="http://schemas.openxmlformats.org/spreadsheetml/2006/main" count="319" uniqueCount="242">
  <si>
    <t xml:space="preserve">Testahil — e-finance for Digital and Financial Investments (EGX: EFIH)</t>
  </si>
  <si>
    <t xml:space="preserve">Companion model · Independent Valuation Study · Educational analysis · Not investment advice</t>
  </si>
  <si>
    <t xml:space="preserve">What this workbook is. A transparent companion to the EFIH valuation study. Every blue cell is an input; every</t>
  </si>
  <si>
    <t xml:space="preserve">black cell is a formula; green cells link across sheets. All inputs live on the Assumptions sheet — change one</t>
  </si>
  <si>
    <t xml:space="preserve">(a segment multiple, the WACC, a growth rate) and the whole model reprices.</t>
  </si>
  <si>
    <t xml:space="preserve">What it is not. It is not investment advice, a recommendation, or a price target. Values are model outputs shown</t>
  </si>
  <si>
    <t xml:space="preserve">as ranges. The preparer is not licensed by any securities regulator and may hold a position in the security.</t>
  </si>
  <si>
    <t xml:space="preserve">Currency. EGP million unless stated. Spot EGP 20.74 (1 Jul 2026). Shares 3,466.67 mn (par EGP 0.50).</t>
  </si>
  <si>
    <t xml:space="preserve">Lens. e-finance is an asset-light, cash-generative, near-debt-free payments-infrastructure group. The heaviest-</t>
  </si>
  <si>
    <t xml:space="preserve">weighted lens is a going-concern FCFF DCF on EGP-appropriate parameters (WACC 22%, terminal growth 11%);</t>
  </si>
  <si>
    <t xml:space="preserve">a segment sum-of-the-parts, relative multiples and normalized earnings complete the four-lens football field.</t>
  </si>
  <si>
    <t xml:space="preserve">Historical. FY2024 &amp; FY2025 are company disclosure (FY2025 earnings release, 04 Mar 2026). FY2023 is</t>
  </si>
  <si>
    <t xml:space="preserve">reconstructed from disclosed 9M2024 y-o-y growth and segment trends. Some balance-sheet lines are estimated</t>
  </si>
  <si>
    <t xml:space="preserve">to tie to disclosed totals (total assets, controlling equity, net cash) — financial investments plug to balance.</t>
  </si>
  <si>
    <t xml:space="preserve">Sheets: Summary · Fundamental Valuation · Assumptions · SOTP · Segments · Relative &amp; Normalized · DCF ·</t>
  </si>
  <si>
    <t xml:space="preserve">Income Statement · Balance Sheet · Cash Flow · Summary Financials · Monte Carlo · Sensitivity · Per-Share &amp; Ratios · Peer &amp; Sector.</t>
  </si>
  <si>
    <t xml:space="preserve">Valuation summary — e-finance (EGX: EFIH)</t>
  </si>
  <si>
    <t xml:space="preserve">Four-lens fair value vs spot. Base links live; bear/bull are scenario outputs (see study §1.5).</t>
  </si>
  <si>
    <t xml:space="preserve">Bear</t>
  </si>
  <si>
    <t xml:space="preserve">Base</t>
  </si>
  <si>
    <t xml:space="preserve">Bull</t>
  </si>
  <si>
    <t xml:space="preserve">Weight</t>
  </si>
  <si>
    <t xml:space="preserve">Sum-of-the-parts</t>
  </si>
  <si>
    <t xml:space="preserve">Going-concern DCF</t>
  </si>
  <si>
    <t xml:space="preserve">Relative multiples</t>
  </si>
  <si>
    <t xml:space="preserve">Normalized earnings</t>
  </si>
  <si>
    <t xml:space="preserve">Weighted central</t>
  </si>
  <si>
    <t xml:space="preserve">Spot price (EGP)</t>
  </si>
  <si>
    <t xml:space="preserve">Spot vs central base</t>
  </si>
  <si>
    <t xml:space="preserve">Read: the market is pricing continued exceptional growth — spot sits above the blended fair value; the swing factor is the multiple placed on Cloud/Transaction and the EGP discount rate.</t>
  </si>
  <si>
    <t xml:space="preserve">Fundamental valuation — football-field data</t>
  </si>
  <si>
    <t xml:space="preserve">Bear/base/bull per lens (links to Summary).</t>
  </si>
  <si>
    <t xml:space="preserve">Lens</t>
  </si>
  <si>
    <t xml:space="preserve">Spot</t>
  </si>
  <si>
    <t xml:space="preserve">Assumptions — the single input layer</t>
  </si>
  <si>
    <t xml:space="preserve">All blue cells are inputs. Every other sheet links here.</t>
  </si>
  <si>
    <t xml:space="preserve">ANCHORS</t>
  </si>
  <si>
    <t xml:space="preserve">Spot price (EGP/share)</t>
  </si>
  <si>
    <t xml:space="preserve">Shares outstanding (mn)</t>
  </si>
  <si>
    <t xml:space="preserve">Net cash — cash less debt (EGP mn)</t>
  </si>
  <si>
    <t xml:space="preserve">WACC (EGP)</t>
  </si>
  <si>
    <t xml:space="preserve">Terminal growth (EGP nominal)</t>
  </si>
  <si>
    <t xml:space="preserve">Tax rate</t>
  </si>
  <si>
    <t xml:space="preserve">NCI economic share of operations</t>
  </si>
  <si>
    <t xml:space="preserve">SOTP — segment marks (FY2025 basis)</t>
  </si>
  <si>
    <t xml:space="preserve">Transaction FY25 revenue (EGP mn)</t>
  </si>
  <si>
    <t xml:space="preserve">Transaction segment EBITDA margin</t>
  </si>
  <si>
    <t xml:space="preserve">Transaction EV/EBITDA</t>
  </si>
  <si>
    <t xml:space="preserve">Cloud FY25 revenue (EGP mn)</t>
  </si>
  <si>
    <t xml:space="preserve">Cloud segment EBITDA margin</t>
  </si>
  <si>
    <t xml:space="preserve">Cloud EV/EBITDA</t>
  </si>
  <si>
    <t xml:space="preserve">Build &amp; Operate FY25 revenue (EGP mn)</t>
  </si>
  <si>
    <t xml:space="preserve">Build &amp; Operate segment EBITDA margin</t>
  </si>
  <si>
    <t xml:space="preserve">Build &amp; Operate EV/EBITDA</t>
  </si>
  <si>
    <t xml:space="preserve">Other FY25 revenue (EGP mn)</t>
  </si>
  <si>
    <t xml:space="preserve">Other segment EBITDA margin</t>
  </si>
  <si>
    <t xml:space="preserve">Other EV/EBITDA</t>
  </si>
  <si>
    <t xml:space="preserve">Complexity / holdco discount</t>
  </si>
  <si>
    <t xml:space="preserve">RELATIVE &amp; NORMALIZED</t>
  </si>
  <si>
    <t xml:space="preserve">Normalized EBITDA (EGP mn)</t>
  </si>
  <si>
    <t xml:space="preserve">EV/EBITDA target multiple</t>
  </si>
  <si>
    <t xml:space="preserve">Mid-cycle net profit after NCI (EGP mn)</t>
  </si>
  <si>
    <t xml:space="preserve">Justified P/E</t>
  </si>
  <si>
    <t xml:space="preserve">SYNTHESIS WEIGHTS</t>
  </si>
  <si>
    <t xml:space="preserve">SOTP weight</t>
  </si>
  <si>
    <t xml:space="preserve">DCF weight</t>
  </si>
  <si>
    <t xml:space="preserve">Relative weight</t>
  </si>
  <si>
    <t xml:space="preserve">Normalized-earnings weight</t>
  </si>
  <si>
    <t xml:space="preserve">WORKING CAPITAL (% of revenue)</t>
  </si>
  <si>
    <t xml:space="preserve">Receivables</t>
  </si>
  <si>
    <t xml:space="preserve">Payables</t>
  </si>
  <si>
    <t xml:space="preserve">MONTE CARLO</t>
  </si>
  <si>
    <t xml:space="preserve">Diffusion volatility (annualized)</t>
  </si>
  <si>
    <t xml:space="preserve">Net 3-month drift (drift OFF)</t>
  </si>
  <si>
    <t xml:space="preserve">FORECAST DRIVERS (FY2026E–FY2030E)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</si>
  <si>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</si>
  <si>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</si>
  <si>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</si>
  <si>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</si>
  <si>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</si>
  <si>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Transaction revenue growth</t>
  </si>
  <si>
    <t xml:space="preserve">Cloud revenue growth</t>
  </si>
  <si>
    <t xml:space="preserve">Build &amp; Operate revenue growth</t>
  </si>
  <si>
    <t xml:space="preserve">Other revenue growth</t>
  </si>
  <si>
    <t xml:space="preserve">Gross margin</t>
  </si>
  <si>
    <t xml:space="preserve">EBITDA margin</t>
  </si>
  <si>
    <t xml:space="preserve">D&amp;A (% of revenue)</t>
  </si>
  <si>
    <t xml:space="preserve">Capex (% of revenue)</t>
  </si>
  <si>
    <t xml:space="preserve">Finance cost (EGP mn)</t>
  </si>
  <si>
    <t xml:space="preserve">Investment &amp; interest income (EGP mn)</t>
  </si>
  <si>
    <t xml:space="preserve">Dividend (EGP mn)</t>
  </si>
  <si>
    <t xml:space="preserve">Sum-of-the-parts by segment (primary-lens sheet)</t>
  </si>
  <si>
    <t xml:space="preserve">Each segment marked on FY2025 EBITDA × an EV/EBITDA fitting its economics. Links to Assumptions.</t>
  </si>
  <si>
    <t xml:space="preserve">Segment</t>
  </si>
  <si>
    <t xml:space="preserve">Basis</t>
  </si>
  <si>
    <t xml:space="preserve">Segment EBITDA</t>
  </si>
  <si>
    <t xml:space="preserve">EV/EBITDA</t>
  </si>
  <si>
    <t xml:space="preserve">EV (EGP mn)</t>
  </si>
  <si>
    <t xml:space="preserve">Transaction</t>
  </si>
  <si>
    <t xml:space="preserve">Payment-rails infra</t>
  </si>
  <si>
    <t xml:space="preserve">Cloud</t>
  </si>
  <si>
    <t xml:space="preserve">Gov cloud hosting</t>
  </si>
  <si>
    <t xml:space="preserve">Build &amp; Operate</t>
  </si>
  <si>
    <t xml:space="preserve">Project supply+operate</t>
  </si>
  <si>
    <t xml:space="preserve">Other</t>
  </si>
  <si>
    <t xml:space="preserve">Card/BPO/embedded fin</t>
  </si>
  <si>
    <t xml:space="preserve">Σ Enterprise value</t>
  </si>
  <si>
    <t xml:space="preserve">less: complexity / holdco discount</t>
  </si>
  <si>
    <t xml:space="preserve">Enterprise value (post-discount)</t>
  </si>
  <si>
    <t xml:space="preserve">EV attributable to controlling (×(1−NCI))</t>
  </si>
  <si>
    <t xml:space="preserve">+ Net cash</t>
  </si>
  <si>
    <t xml:space="preserve">Controlling equity value</t>
  </si>
  <si>
    <t xml:space="preserve">SOTP fair value per share (EGP)</t>
  </si>
  <si>
    <t xml:space="preserve">Segment view</t>
  </si>
  <si>
    <t xml:space="preserve">Revenue by segment and mix, FY2023–FY2030E (links to Income Statement).</t>
  </si>
  <si>
    <t xml:space="preserve">FY2023</t>
  </si>
  <si>
    <t xml:space="preserve">FY2024</t>
  </si>
  <si>
    <t xml:space="preserve">FY2025</t>
  </si>
  <si>
    <t xml:space="preserve">Transaction revenue</t>
  </si>
  <si>
    <t xml:space="preserve">Cloud revenue</t>
  </si>
  <si>
    <t xml:space="preserve">Build &amp; Operate revenue</t>
  </si>
  <si>
    <t xml:space="preserve">Other revenue</t>
  </si>
  <si>
    <t xml:space="preserve">Total revenue</t>
  </si>
  <si>
    <t xml:space="preserve">Transaction % of revenue</t>
  </si>
  <si>
    <t xml:space="preserve">Cloud % of revenue</t>
  </si>
  <si>
    <t xml:space="preserve">Build &amp; Operate % of revenue</t>
  </si>
  <si>
    <t xml:space="preserve">Group revenue YoY</t>
  </si>
  <si>
    <t xml:space="preserve">Relative &amp; normalized-earnings lenses</t>
  </si>
  <si>
    <t xml:space="preserve">Links to Assumptions.</t>
  </si>
  <si>
    <t xml:space="preserve">Workings</t>
  </si>
  <si>
    <t xml:space="preserve">EGP/share</t>
  </si>
  <si>
    <t xml:space="preserve">Relative EV/EBITDA</t>
  </si>
  <si>
    <t xml:space="preserve">Norm EBITDA × mult + net cash, /sh</t>
  </si>
  <si>
    <t xml:space="preserve">  implied EV (EGP mn)</t>
  </si>
  <si>
    <t xml:space="preserve">Mid-cycle NP after NCI × P/E, /sh</t>
  </si>
  <si>
    <t xml:space="preserve">  normalized EPS (EGP)</t>
  </si>
  <si>
    <t xml:space="preserve">Discounted cash flow — explicit 5-year FCFF (EGP)</t>
  </si>
  <si>
    <t xml:space="preserve">NOPAT + D&amp;A − capex − ΔWC + after-tax net investment income, discounted at WACC. Links to statements / Assumptions.</t>
  </si>
  <si>
    <t xml:space="preserve">EBIT</t>
  </si>
  <si>
    <t xml:space="preserve">NOPAT = EBIT×(1−tax)</t>
  </si>
  <si>
    <t xml:space="preserve">+ D&amp;A</t>
  </si>
  <si>
    <t xml:space="preserve">− Capex</t>
  </si>
  <si>
    <t xml:space="preserve">− Increase in net WC</t>
  </si>
  <si>
    <t xml:space="preserve">+ After-tax net investment income</t>
  </si>
  <si>
    <t xml:space="preserve">FCFF</t>
  </si>
  <si>
    <t xml:space="preserve">Discount factor</t>
  </si>
  <si>
    <t xml:space="preserve">PV of FCFF</t>
  </si>
  <si>
    <t xml:space="preserve">Σ PV of explicit FCFF (FY26–30)</t>
  </si>
  <si>
    <t xml:space="preserve">Terminal value (Gordon)</t>
  </si>
  <si>
    <t xml:space="preserve">PV of terminal value</t>
  </si>
  <si>
    <t xml:space="preserve">Enterprise value</t>
  </si>
  <si>
    <t xml:space="preserve">Fair value per share (EGP)</t>
  </si>
  <si>
    <t xml:space="preserve">  % terminal of EV</t>
  </si>
  <si>
    <t xml:space="preserve">Income statement (EGP mn, consolidated)</t>
  </si>
  <si>
    <t xml:space="preserve">FY2023–FY2025 historical (blue; FY2023 reconstructed); FY2026E–FY2030E forecast (formulas linking to Assumptions)</t>
  </si>
  <si>
    <t xml:space="preserve">Gross profit</t>
  </si>
  <si>
    <t xml:space="preserve">Operating expenses (excl. D&amp;A)</t>
  </si>
  <si>
    <t xml:space="preserve">EBITDA</t>
  </si>
  <si>
    <t xml:space="preserve">  EBITDA margin</t>
  </si>
  <si>
    <t xml:space="preserve">D&amp;A</t>
  </si>
  <si>
    <t xml:space="preserve">Finance cost</t>
  </si>
  <si>
    <t xml:space="preserve">Investment &amp; interest income</t>
  </si>
  <si>
    <t xml:space="preserve">PBT</t>
  </si>
  <si>
    <t xml:space="preserve">Tax</t>
  </si>
  <si>
    <t xml:space="preserve">Net profit (before NCI)</t>
  </si>
  <si>
    <t xml:space="preserve">  less: non-controlling interests</t>
  </si>
  <si>
    <t xml:space="preserve">Net profit after NCI</t>
  </si>
  <si>
    <t xml:space="preserve">  net profit margin</t>
  </si>
  <si>
    <t xml:space="preserve">Source: e-finance FY2025 earnings release (04 Mar 2026), ent.news/2026/3/269.pdf. FY2024 disclosed; FY2023 reconstructed from 9M2024 y-o-y growth. Forecast = formulas.</t>
  </si>
  <si>
    <t xml:space="preserve">Balance sheet (EGP mn, consolidated)</t>
  </si>
  <si>
    <t xml:space="preserve">Historical anchored to disclosed total assets / controlling equity / net cash; financial investments plug to balance. Forecast rolls forward.</t>
  </si>
  <si>
    <t xml:space="preserve">PP&amp;E + intangibles</t>
  </si>
  <si>
    <t xml:space="preserve">Financial investments (T-bills, FVOCI, associates)</t>
  </si>
  <si>
    <t xml:space="preserve">Cash &amp; equivalents</t>
  </si>
  <si>
    <t xml:space="preserve">Other assets</t>
  </si>
  <si>
    <t xml:space="preserve">Total assets</t>
  </si>
  <si>
    <t xml:space="preserve">Controlling shareholders’ equity</t>
  </si>
  <si>
    <t xml:space="preserve">Non-controlling interests (equity)</t>
  </si>
  <si>
    <t xml:space="preserve">Borrowings</t>
  </si>
  <si>
    <t xml:space="preserve">Provisions, deferred revenue &amp; other</t>
  </si>
  <si>
    <t xml:space="preserve">Total liabilities &amp; equity</t>
  </si>
  <si>
    <t xml:space="preserve">Balance check (assets − L&amp;E)</t>
  </si>
  <si>
    <t xml:space="preserve">Net cash (cash − borrowings)</t>
  </si>
  <si>
    <t xml:space="preserve">Net working capital (recv − pay)</t>
  </si>
  <si>
    <t xml:space="preserve">Cash flow (EGP mn, forecast)</t>
  </si>
  <si>
    <t xml:space="preserve">Derived from the Income Statement and Balance Sheet. Closing cash ties to the Balance Sheet.</t>
  </si>
  <si>
    <t xml:space="preserve">+ NCI</t>
  </si>
  <si>
    <t xml:space="preserve">− Increase in net working capital</t>
  </si>
  <si>
    <t xml:space="preserve">Operating cash flow</t>
  </si>
  <si>
    <t xml:space="preserve">Free cash flow</t>
  </si>
  <si>
    <t xml:space="preserve">− Dividend</t>
  </si>
  <si>
    <t xml:space="preserve">Net change in cash</t>
  </si>
  <si>
    <t xml:space="preserve">Opening cash</t>
  </si>
  <si>
    <t xml:space="preserve">Closing cash</t>
  </si>
  <si>
    <t xml:space="preserve">Summary financials (EGP mn)</t>
  </si>
  <si>
    <t xml:space="preserve">Every cell links to the statement sheets.</t>
  </si>
  <si>
    <t xml:space="preserve">Revenue</t>
  </si>
  <si>
    <t xml:space="preserve">Controlling equity</t>
  </si>
  <si>
    <t xml:space="preserve">Net cash</t>
  </si>
  <si>
    <t xml:space="preserve">Monte Carlo — engine outputs</t>
  </si>
  <si>
    <t xml:space="preserve">50,000 paths · YZ-HAR width · Student-t(5) innovations · drift OFF · seed 42 · computed by the Testahil MC engine (values, not a sheet simulation).</t>
  </si>
  <si>
    <t xml:space="preserve">Percentile map (EGP/share)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</si>
  <si>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</si>
  <si>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</si>
  <si>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</si>
  <si>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</si>
  <si>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</si>
  <si>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</si>
  <si>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</si>
  <si>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</si>
  <si>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Inputs (from Assumptions): diffusion σ</t>
  </si>
  <si>
    <t xml:space="preserve">net 3-month drift (OFF)</t>
  </si>
  <si>
    <t xml:space="preserve">Level-touch ladder</t>
  </si>
  <si>
    <t xml:space="preserve">Level</t>
  </si>
  <si>
    <t xml:space="preserve">P(touch) T+20</t>
  </si>
  <si>
    <t xml:space="preserve">P(touch) T+60</t>
  </si>
  <si>
    <t xml:space="preserve">Relative-lens sensitivity — the multiple the market pays</t>
  </si>
  <si>
    <t xml:space="preserve">Fair value (EGP/share) by normalized EBITDA (EGP mn) × EV/EBITDA multiple. Live off Assumptions net cash &amp; shares.</t>
  </si>
  <si>
    <t xml:space="preserve">EBITDA \ mult</t>
  </si>
  <si>
    <t xml:space="preserve">Cells near spot (EGP 20.74) show how much forward growth the market has already capitalized.</t>
  </si>
  <si>
    <t xml:space="preserve">Per-share &amp; ratios</t>
  </si>
  <si>
    <t xml:space="preserve">Links to statements / Assumptions.</t>
  </si>
  <si>
    <t xml:space="preserve">EPS (EGP)</t>
  </si>
  <si>
    <t xml:space="preserve">Book value/share (EGP)</t>
  </si>
  <si>
    <t xml:space="preserve">Net cash / EBITDA</t>
  </si>
  <si>
    <t xml:space="preserve">Return on equity</t>
  </si>
  <si>
    <t xml:space="preserve">Revenue YoY</t>
  </si>
  <si>
    <t xml:space="preserve">Peer set &amp; sector</t>
  </si>
  <si>
    <t xml:space="preserve">Egyptian fintech / payments infrastructure; no single clean comparable.</t>
  </si>
  <si>
    <t xml:space="preserve">Peer / part</t>
  </si>
  <si>
    <t xml:space="preserve">Closest peers</t>
  </si>
  <si>
    <t xml:space="preserve">Typical valuation</t>
  </si>
  <si>
    <t xml:space="preserve">Payment rails / processing</t>
  </si>
  <si>
    <t xml:space="preserve">Fawry (EGX), Network Intl, Geidea</t>
  </si>
  <si>
    <t xml:space="preserve">EV/EBITDA ~10–18x; growth-linked</t>
  </si>
  <si>
    <t xml:space="preserve">Gov cloud / IT services</t>
  </si>
  <si>
    <t xml:space="preserve">regional cloud/IT names</t>
  </si>
  <si>
    <t xml:space="preserve">EV/Rev ~3–7x; scarcity premium</t>
  </si>
  <si>
    <t xml:space="preserve">Card &amp; embedded finance</t>
  </si>
  <si>
    <t xml:space="preserve">Marqeta, Paymob, MNT-Halan</t>
  </si>
  <si>
    <t xml:space="preserve">early-stage / strategic marks</t>
  </si>
  <si>
    <t xml:space="preserve">Analyst 12-month targets (context, not model inputs): range ≈ EGP 18.2–21.9 (mean ≈ 20.2). Sources: sell-side compilations, mid-2026.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</si>
</sst>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%"/>
    <numFmt numFmtId="167" formatCode="#,##0;\(#,##0\);\-"/>
    <numFmt numFmtId="168" formatCode="#,##0.0;\(#,##0.0\);\-"/>
    <numFmt numFmtId="169" formatCode="0.0\x"/>
    <numFmt numFmtId="170" formatCode="0.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3A36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1C3A3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C3A3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EAF0E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0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5" t="s">
        <v>3</v>
      </c>
    </row>
    <row r="7" customFormat="false" ht="15" hidden="false" customHeight="true" outlineLevel="0" collapsed="false">
      <c r="A7" s="5" t="s">
        <v>4</v>
      </c>
    </row>
    <row r="9" customFormat="false" ht="15" hidden="false" customHeight="true" outlineLevel="0" collapsed="false">
      <c r="A9" s="4" t="s">
        <v>5</v>
      </c>
    </row>
    <row r="10" customFormat="false" ht="15" hidden="false" customHeight="true" outlineLevel="0" collapsed="false">
      <c r="A10" s="5" t="s">
        <v>6</v>
      </c>
    </row>
    <row r="12" customFormat="false" ht="15" hidden="false" customHeight="true" outlineLevel="0" collapsed="false">
      <c r="A12" s="4" t="s">
        <v>7</v>
      </c>
    </row>
    <row r="13" customFormat="false" ht="15" hidden="false" customHeight="true" outlineLevel="0" collapsed="false">
      <c r="A13" s="4" t="s">
        <v>8</v>
      </c>
    </row>
    <row r="14" customFormat="false" ht="15" hidden="false" customHeight="true" outlineLevel="0" collapsed="false">
      <c r="A14" s="5" t="s">
        <v>9</v>
      </c>
    </row>
    <row r="15" customFormat="false" ht="15" hidden="false" customHeight="true" outlineLevel="0" collapsed="false">
      <c r="A15" s="5" t="s">
        <v>10</v>
      </c>
    </row>
    <row r="17" customFormat="false" ht="15" hidden="false" customHeight="true" outlineLevel="0" collapsed="false">
      <c r="A17" s="4" t="s">
        <v>11</v>
      </c>
    </row>
    <row r="18" customFormat="false" ht="15" hidden="false" customHeight="true" outlineLevel="0" collapsed="false">
      <c r="A18" s="5" t="s">
        <v>12</v>
      </c>
    </row>
    <row r="19" customFormat="false" ht="15" hidden="false" customHeight="true" outlineLevel="0" collapsed="false">
      <c r="A19" s="5" t="s">
        <v>13</v>
      </c>
    </row>
    <row r="21" customFormat="false" ht="15" hidden="false" customHeight="true" outlineLevel="0" collapsed="false">
      <c r="A21" s="6" t="s">
        <v>14</v>
      </c>
    </row>
    <row r="22" customFormat="false" ht="15" hidden="false" customHeight="true" outlineLevel="0" collapsed="false">
      <c r="A22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5" min="2" style="1" width="12"/>
  </cols>
  <sheetData>
    <row r="1" customFormat="false" ht="17.25" hidden="false" customHeight="true" outlineLevel="0" collapsed="false">
      <c r="A1" s="2" t="s">
        <v>16</v>
      </c>
    </row>
    <row r="2" customFormat="false" ht="15" hidden="false" customHeight="true" outlineLevel="0" collapsed="false">
      <c r="A2" s="3" t="s">
        <v>17</v>
      </c>
    </row>
    <row r="3" customFormat="false" ht="15" hidden="false" customHeight="true" outlineLevel="0" collapsed="false">
      <c r="B3" s="7" t="s">
        <v>18</v>
      </c>
      <c r="C3" s="7" t="s">
        <v>19</v>
      </c>
      <c r="D3" s="7" t="s">
        <v>20</v>
      </c>
      <c r="E3" s="7" t="s">
        <v>21</v>
      </c>
    </row>
    <row r="4" customFormat="false" ht="15" hidden="false" customHeight="true" outlineLevel="0" collapsed="false">
      <c r="A4" s="5" t="s">
        <v>22</v>
      </c>
      <c r="B4" s="8" t="n">
        <v>9.5</v>
      </c>
      <c r="C4" s="9" t="n">
        <f aca="false">SOTP!E14</f>
        <v>12.3303140131596</v>
      </c>
      <c r="D4" s="8" t="n">
        <v>22</v>
      </c>
      <c r="E4" s="10" t="n">
        <f aca="false">Assumptions!$B$34</f>
        <v>0.25</v>
      </c>
    </row>
    <row r="5" customFormat="false" ht="15" hidden="false" customHeight="true" outlineLevel="0" collapsed="false">
      <c r="A5" s="5" t="s">
        <v>23</v>
      </c>
      <c r="B5" s="8" t="n">
        <v>7.5</v>
      </c>
      <c r="C5" s="9" t="n">
        <f aca="false">DCF!B21</f>
        <v>10.7487175114687</v>
      </c>
      <c r="D5" s="8" t="n">
        <v>22</v>
      </c>
      <c r="E5" s="10" t="n">
        <f aca="false">Assumptions!$B$35</f>
        <v>0.35</v>
      </c>
    </row>
    <row r="6" customFormat="false" ht="15" hidden="false" customHeight="true" outlineLevel="0" collapsed="false">
      <c r="A6" s="5" t="s">
        <v>24</v>
      </c>
      <c r="B6" s="8" t="n">
        <v>13</v>
      </c>
      <c r="C6" s="9" t="n">
        <f aca="false">'Relative &amp; Normalized'!C4</f>
        <v>18.1670017624983</v>
      </c>
      <c r="D6" s="8" t="n">
        <v>26</v>
      </c>
      <c r="E6" s="10" t="n">
        <f aca="false">Assumptions!$B$36</f>
        <v>0.2</v>
      </c>
    </row>
    <row r="7" customFormat="false" ht="15" hidden="false" customHeight="true" outlineLevel="0" collapsed="false">
      <c r="A7" s="5" t="s">
        <v>25</v>
      </c>
      <c r="B7" s="8" t="n">
        <v>13</v>
      </c>
      <c r="C7" s="9" t="n">
        <f aca="false">'Relative &amp; Normalized'!C6</f>
        <v>18.4038284578573</v>
      </c>
      <c r="D7" s="8" t="n">
        <v>26</v>
      </c>
      <c r="E7" s="10" t="n">
        <f aca="false">Assumptions!$B$37</f>
        <v>0.2</v>
      </c>
    </row>
    <row r="8" customFormat="false" ht="15" hidden="false" customHeight="true" outlineLevel="0" collapsed="false">
      <c r="A8" s="11" t="s">
        <v>26</v>
      </c>
      <c r="B8" s="12" t="n">
        <f aca="false">SUMPRODUCT(B4:B7,$E$4:$E$7)</f>
        <v>10.2</v>
      </c>
      <c r="C8" s="12" t="n">
        <f aca="false">SUMPRODUCT(C4:C7,$E$4:$E$7)</f>
        <v>14.1587956763751</v>
      </c>
      <c r="D8" s="12" t="n">
        <f aca="false">SUMPRODUCT(D4:D7,$E$4:$E$7)</f>
        <v>23.6</v>
      </c>
    </row>
    <row r="10" customFormat="false" ht="15" hidden="false" customHeight="true" outlineLevel="0" collapsed="false">
      <c r="A10" s="5" t="s">
        <v>27</v>
      </c>
      <c r="C10" s="9" t="n">
        <f aca="false">Assumptions!$B$4</f>
        <v>20.74</v>
      </c>
    </row>
    <row r="11" customFormat="false" ht="15" hidden="false" customHeight="true" outlineLevel="0" collapsed="false">
      <c r="A11" s="5" t="s">
        <v>28</v>
      </c>
      <c r="C11" s="13" t="n">
        <f aca="false">C10/C8-1</f>
        <v>0.464813849570986</v>
      </c>
    </row>
    <row r="13" customFormat="false" ht="15" hidden="false" customHeight="true" outlineLevel="0" collapsed="false">
      <c r="A13" s="1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2"/>
  </cols>
  <sheetData>
    <row r="1" customFormat="false" ht="17.25" hidden="false" customHeight="true" outlineLevel="0" collapsed="false">
      <c r="A1" s="2" t="s">
        <v>30</v>
      </c>
    </row>
    <row r="2" customFormat="false" ht="15" hidden="false" customHeight="true" outlineLevel="0" collapsed="false">
      <c r="A2" s="3" t="s">
        <v>31</v>
      </c>
    </row>
    <row r="3" customFormat="false" ht="15" hidden="false" customHeight="true" outlineLevel="0" collapsed="false">
      <c r="A3" s="7" t="s">
        <v>32</v>
      </c>
      <c r="B3" s="7" t="s">
        <v>18</v>
      </c>
      <c r="C3" s="7" t="s">
        <v>19</v>
      </c>
      <c r="D3" s="7" t="s">
        <v>20</v>
      </c>
    </row>
    <row r="4" customFormat="false" ht="15" hidden="false" customHeight="true" outlineLevel="0" collapsed="false">
      <c r="A4" s="5" t="s">
        <v>22</v>
      </c>
      <c r="B4" s="9" t="n">
        <f aca="false">Summary!B4</f>
        <v>9.5</v>
      </c>
      <c r="C4" s="9" t="n">
        <f aca="false">Summary!C4</f>
        <v>12.3303140131596</v>
      </c>
      <c r="D4" s="9" t="n">
        <f aca="false">Summary!D4</f>
        <v>22</v>
      </c>
    </row>
    <row r="5" customFormat="false" ht="15" hidden="false" customHeight="true" outlineLevel="0" collapsed="false">
      <c r="A5" s="5" t="s">
        <v>23</v>
      </c>
      <c r="B5" s="9" t="n">
        <f aca="false">Summary!B5</f>
        <v>7.5</v>
      </c>
      <c r="C5" s="9" t="n">
        <f aca="false">Summary!C5</f>
        <v>10.7487175114687</v>
      </c>
      <c r="D5" s="9" t="n">
        <f aca="false">Summary!D5</f>
        <v>22</v>
      </c>
    </row>
    <row r="6" customFormat="false" ht="15" hidden="false" customHeight="true" outlineLevel="0" collapsed="false">
      <c r="A6" s="5" t="s">
        <v>24</v>
      </c>
      <c r="B6" s="9" t="n">
        <f aca="false">Summary!B6</f>
        <v>13</v>
      </c>
      <c r="C6" s="9" t="n">
        <f aca="false">Summary!C6</f>
        <v>18.1670017624983</v>
      </c>
      <c r="D6" s="9" t="n">
        <f aca="false">Summary!D6</f>
        <v>26</v>
      </c>
    </row>
    <row r="7" customFormat="false" ht="15" hidden="false" customHeight="true" outlineLevel="0" collapsed="false">
      <c r="A7" s="5" t="s">
        <v>25</v>
      </c>
      <c r="B7" s="9" t="n">
        <f aca="false">Summary!B7</f>
        <v>13</v>
      </c>
      <c r="C7" s="9" t="n">
        <f aca="false">Summary!C7</f>
        <v>18.4038284578573</v>
      </c>
      <c r="D7" s="9" t="n">
        <f aca="false">Summary!D7</f>
        <v>26</v>
      </c>
    </row>
    <row r="8" customFormat="false" ht="15" hidden="false" customHeight="true" outlineLevel="0" collapsed="false">
      <c r="A8" s="11" t="s">
        <v>26</v>
      </c>
      <c r="B8" s="15" t="n">
        <f aca="false">Summary!B8</f>
        <v>10.2</v>
      </c>
      <c r="C8" s="15" t="n">
        <f aca="false">Summary!C8</f>
        <v>14.1587956763751</v>
      </c>
      <c r="D8" s="15" t="n">
        <f aca="false">Summary!D8</f>
        <v>23.6</v>
      </c>
    </row>
    <row r="9" customFormat="false" ht="15" hidden="false" customHeight="true" outlineLevel="0" collapsed="false">
      <c r="A9" s="5" t="s">
        <v>33</v>
      </c>
      <c r="C9" s="9" t="n">
        <f aca="false">Assumptions!$B$4</f>
        <v>20.74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9" min="2" style="1" width="11"/>
  </cols>
  <sheetData>
    <row r="1" customFormat="false" ht="17.25" hidden="false" customHeight="true" outlineLevel="0" collapsed="false">
      <c r="A1" s="2" t="s">
        <v>34</v>
      </c>
    </row>
    <row r="2" customFormat="false" ht="15" hidden="false" customHeight="true" outlineLevel="0" collapsed="false">
      <c r="A2" s="3" t="s">
        <v>35</v>
      </c>
    </row>
    <row r="3" customFormat="false" ht="15" hidden="false" customHeight="true" outlineLevel="0" collapsed="false">
      <c r="A3" s="16" t="s">
        <v>36</v>
      </c>
      <c r="B3" s="17"/>
    </row>
    <row r="4" customFormat="false" ht="15" hidden="false" customHeight="true" outlineLevel="0" collapsed="false">
      <c r="A4" s="5" t="s">
        <v>37</v>
      </c>
      <c r="B4" s="8" t="n">
        <v>20.74</v>
      </c>
    </row>
    <row r="5" customFormat="false" ht="15" hidden="false" customHeight="true" outlineLevel="0" collapsed="false">
      <c r="A5" s="5" t="s">
        <v>38</v>
      </c>
      <c r="B5" s="8" t="n">
        <v>3466.67</v>
      </c>
    </row>
    <row r="6" customFormat="false" ht="15" hidden="false" customHeight="true" outlineLevel="0" collapsed="false">
      <c r="A6" s="5" t="s">
        <v>39</v>
      </c>
      <c r="B6" s="18" t="n">
        <v>1379</v>
      </c>
    </row>
    <row r="7" customFormat="false" ht="15" hidden="false" customHeight="true" outlineLevel="0" collapsed="false">
      <c r="A7" s="5" t="s">
        <v>40</v>
      </c>
      <c r="B7" s="19" t="n">
        <v>0.21</v>
      </c>
    </row>
    <row r="8" customFormat="false" ht="15" hidden="false" customHeight="true" outlineLevel="0" collapsed="false">
      <c r="A8" s="5" t="s">
        <v>41</v>
      </c>
      <c r="B8" s="19" t="n">
        <v>0.11</v>
      </c>
    </row>
    <row r="9" customFormat="false" ht="15" hidden="false" customHeight="true" outlineLevel="0" collapsed="false">
      <c r="A9" s="5" t="s">
        <v>42</v>
      </c>
      <c r="B9" s="19" t="n">
        <v>0.225</v>
      </c>
    </row>
    <row r="10" customFormat="false" ht="15" hidden="false" customHeight="true" outlineLevel="0" collapsed="false">
      <c r="A10" s="5" t="s">
        <v>43</v>
      </c>
      <c r="B10" s="19" t="n">
        <v>0.2</v>
      </c>
    </row>
    <row r="12" customFormat="false" ht="15" hidden="false" customHeight="true" outlineLevel="0" collapsed="false">
      <c r="A12" s="16" t="s">
        <v>44</v>
      </c>
      <c r="B12" s="17"/>
    </row>
    <row r="13" customFormat="false" ht="15" hidden="false" customHeight="true" outlineLevel="0" collapsed="false">
      <c r="A13" s="5" t="s">
        <v>45</v>
      </c>
      <c r="B13" s="20" t="n">
        <v>2678.8</v>
      </c>
    </row>
    <row r="14" customFormat="false" ht="15" hidden="false" customHeight="true" outlineLevel="0" collapsed="false">
      <c r="A14" s="5" t="s">
        <v>46</v>
      </c>
      <c r="B14" s="19" t="n">
        <v>0.58</v>
      </c>
    </row>
    <row r="15" customFormat="false" ht="15" hidden="false" customHeight="true" outlineLevel="0" collapsed="false">
      <c r="A15" s="5" t="s">
        <v>47</v>
      </c>
      <c r="B15" s="21" t="n">
        <v>16</v>
      </c>
    </row>
    <row r="16" customFormat="false" ht="15" hidden="false" customHeight="true" outlineLevel="0" collapsed="false">
      <c r="A16" s="5" t="s">
        <v>48</v>
      </c>
      <c r="B16" s="20" t="n">
        <v>2386.5</v>
      </c>
    </row>
    <row r="17" customFormat="false" ht="15" hidden="false" customHeight="true" outlineLevel="0" collapsed="false">
      <c r="A17" s="5" t="s">
        <v>49</v>
      </c>
      <c r="B17" s="19" t="n">
        <v>0.53</v>
      </c>
    </row>
    <row r="18" customFormat="false" ht="15" hidden="false" customHeight="true" outlineLevel="0" collapsed="false">
      <c r="A18" s="5" t="s">
        <v>50</v>
      </c>
      <c r="B18" s="21" t="n">
        <v>20</v>
      </c>
    </row>
    <row r="19" customFormat="false" ht="15" hidden="false" customHeight="true" outlineLevel="0" collapsed="false">
      <c r="A19" s="5" t="s">
        <v>51</v>
      </c>
      <c r="B19" s="20" t="n">
        <v>1162.9</v>
      </c>
    </row>
    <row r="20" customFormat="false" ht="15" hidden="false" customHeight="true" outlineLevel="0" collapsed="false">
      <c r="A20" s="5" t="s">
        <v>52</v>
      </c>
      <c r="B20" s="19" t="n">
        <v>0.3</v>
      </c>
    </row>
    <row r="21" customFormat="false" ht="15" hidden="false" customHeight="true" outlineLevel="0" collapsed="false">
      <c r="A21" s="5" t="s">
        <v>53</v>
      </c>
      <c r="B21" s="21" t="n">
        <v>7</v>
      </c>
    </row>
    <row r="22" customFormat="false" ht="15" hidden="false" customHeight="true" outlineLevel="0" collapsed="false">
      <c r="A22" s="5" t="s">
        <v>54</v>
      </c>
      <c r="B22" s="20" t="n">
        <v>544.9</v>
      </c>
    </row>
    <row r="23" customFormat="false" ht="15" hidden="false" customHeight="true" outlineLevel="0" collapsed="false">
      <c r="A23" s="5" t="s">
        <v>55</v>
      </c>
      <c r="B23" s="19" t="n">
        <v>0.28</v>
      </c>
    </row>
    <row r="24" customFormat="false" ht="15" hidden="false" customHeight="true" outlineLevel="0" collapsed="false">
      <c r="A24" s="5" t="s">
        <v>56</v>
      </c>
      <c r="B24" s="21" t="n">
        <v>12</v>
      </c>
    </row>
    <row r="25" customFormat="false" ht="15" hidden="false" customHeight="true" outlineLevel="0" collapsed="false">
      <c r="A25" s="5" t="s">
        <v>57</v>
      </c>
      <c r="B25" s="19" t="n">
        <v>0.05</v>
      </c>
    </row>
    <row r="27" customFormat="false" ht="15" hidden="false" customHeight="true" outlineLevel="0" collapsed="false">
      <c r="A27" s="16" t="s">
        <v>58</v>
      </c>
      <c r="B27" s="17"/>
    </row>
    <row r="28" customFormat="false" ht="15" hidden="false" customHeight="true" outlineLevel="0" collapsed="false">
      <c r="A28" s="5" t="s">
        <v>59</v>
      </c>
      <c r="B28" s="18" t="n">
        <v>4400</v>
      </c>
    </row>
    <row r="29" customFormat="false" ht="15" hidden="false" customHeight="true" outlineLevel="0" collapsed="false">
      <c r="A29" s="5" t="s">
        <v>60</v>
      </c>
      <c r="B29" s="21" t="n">
        <v>14</v>
      </c>
    </row>
    <row r="30" customFormat="false" ht="15" hidden="false" customHeight="true" outlineLevel="0" collapsed="false">
      <c r="A30" s="5" t="s">
        <v>61</v>
      </c>
      <c r="B30" s="18" t="n">
        <v>2900</v>
      </c>
    </row>
    <row r="31" customFormat="false" ht="15" hidden="false" customHeight="true" outlineLevel="0" collapsed="false">
      <c r="A31" s="5" t="s">
        <v>62</v>
      </c>
      <c r="B31" s="21" t="n">
        <v>22</v>
      </c>
    </row>
    <row r="33" customFormat="false" ht="15" hidden="false" customHeight="true" outlineLevel="0" collapsed="false">
      <c r="A33" s="16" t="s">
        <v>63</v>
      </c>
      <c r="B33" s="17"/>
    </row>
    <row r="34" customFormat="false" ht="15" hidden="false" customHeight="true" outlineLevel="0" collapsed="false">
      <c r="A34" s="5" t="s">
        <v>64</v>
      </c>
      <c r="B34" s="19" t="n">
        <v>0.25</v>
      </c>
    </row>
    <row r="35" customFormat="false" ht="15" hidden="false" customHeight="true" outlineLevel="0" collapsed="false">
      <c r="A35" s="5" t="s">
        <v>65</v>
      </c>
      <c r="B35" s="19" t="n">
        <v>0.35</v>
      </c>
    </row>
    <row r="36" customFormat="false" ht="15" hidden="false" customHeight="true" outlineLevel="0" collapsed="false">
      <c r="A36" s="5" t="s">
        <v>66</v>
      </c>
      <c r="B36" s="19" t="n">
        <v>0.2</v>
      </c>
    </row>
    <row r="37" customFormat="false" ht="15" hidden="false" customHeight="true" outlineLevel="0" collapsed="false">
      <c r="A37" s="5" t="s">
        <v>67</v>
      </c>
      <c r="B37" s="19" t="n">
        <v>0.2</v>
      </c>
    </row>
    <row r="39" customFormat="false" ht="15" hidden="false" customHeight="true" outlineLevel="0" collapsed="false">
      <c r="A39" s="16" t="s">
        <v>68</v>
      </c>
      <c r="B39" s="17"/>
    </row>
    <row r="40" customFormat="false" ht="15" hidden="false" customHeight="true" outlineLevel="0" collapsed="false">
      <c r="A40" s="5" t="s">
        <v>69</v>
      </c>
      <c r="B40" s="19" t="n">
        <v>0.22</v>
      </c>
    </row>
    <row r="41" customFormat="false" ht="15" hidden="false" customHeight="true" outlineLevel="0" collapsed="false">
      <c r="A41" s="5" t="s">
        <v>70</v>
      </c>
      <c r="B41" s="19" t="n">
        <v>0.15</v>
      </c>
    </row>
    <row r="43" customFormat="false" ht="15" hidden="false" customHeight="true" outlineLevel="0" collapsed="false">
      <c r="A43" s="16" t="s">
        <v>71</v>
      </c>
      <c r="B43" s="17"/>
    </row>
    <row r="44" customFormat="false" ht="15" hidden="false" customHeight="true" outlineLevel="0" collapsed="false">
      <c r="A44" s="5" t="s">
        <v>72</v>
      </c>
      <c r="B44" s="19" t="n">
        <v>0.5088</v>
      </c>
    </row>
    <row r="45" customFormat="false" ht="15" hidden="false" customHeight="true" outlineLevel="0" collapsed="false">
      <c r="A45" s="5" t="s">
        <v>73</v>
      </c>
      <c r="B45" s="19" t="n">
        <v>0</v>
      </c>
    </row>
    <row r="47" customFormat="false" ht="15" hidden="false" customHeight="true" outlineLevel="0" collapsed="false">
      <c r="A47" s="16" t="s">
        <v>74</v>
      </c>
      <c r="B47" s="17"/>
      <c r="C47" s="17"/>
      <c r="D47" s="17"/>
      <c r="E47" s="17"/>
      <c r="F47" s="17"/>
      <c r="G47" s="17"/>
      <c r="H47" s="17"/>
      <c r="I47" s="17"/>
    </row>
    <row r="48" customFormat="false" ht="15" hidden="false" customHeight="true" outlineLevel="0" collapsed="false">
      <c r="E48" s="22" t="s">
        <v>75</v>
      </c>
      <c r="F48" s="22" t="s">
        <v>76</v>
      </c>
      <c r="G48" s="22" t="s">
        <v>77</v>
      </c>
      <c r="H48" s="22" t="s">
        <v>78</v>
      </c>
      <c r="I48" s="22" t="s">
        <v>79</v>
      </c>
    </row>
    <row r="49" customFormat="false" ht="15" hidden="false" customHeight="true" outlineLevel="0" collapsed="false">
      <c r="A49" s="5" t="s">
        <v>80</v>
      </c>
      <c r="E49" s="19" t="n">
        <v>0.32</v>
      </c>
      <c r="F49" s="19" t="n">
        <v>0.24</v>
      </c>
      <c r="G49" s="19" t="n">
        <v>0.19</v>
      </c>
      <c r="H49" s="19" t="n">
        <v>0.15</v>
      </c>
      <c r="I49" s="19" t="n">
        <v>0.12</v>
      </c>
    </row>
    <row r="50" customFormat="false" ht="15" hidden="false" customHeight="true" outlineLevel="0" collapsed="false">
      <c r="A50" s="5" t="s">
        <v>81</v>
      </c>
      <c r="E50" s="19" t="n">
        <v>0.45</v>
      </c>
      <c r="F50" s="19" t="n">
        <v>0.35</v>
      </c>
      <c r="G50" s="19" t="n">
        <v>0.27</v>
      </c>
      <c r="H50" s="19" t="n">
        <v>0.21</v>
      </c>
      <c r="I50" s="19" t="n">
        <v>0.16</v>
      </c>
    </row>
    <row r="51" customFormat="false" ht="15" hidden="false" customHeight="true" outlineLevel="0" collapsed="false">
      <c r="A51" s="5" t="s">
        <v>82</v>
      </c>
      <c r="E51" s="19" t="n">
        <v>0.06</v>
      </c>
      <c r="F51" s="19" t="n">
        <v>0.08</v>
      </c>
      <c r="G51" s="19" t="n">
        <v>0.08</v>
      </c>
      <c r="H51" s="19" t="n">
        <v>0.07</v>
      </c>
      <c r="I51" s="19" t="n">
        <v>0.06</v>
      </c>
    </row>
    <row r="52" customFormat="false" ht="15" hidden="false" customHeight="true" outlineLevel="0" collapsed="false">
      <c r="A52" s="5" t="s">
        <v>83</v>
      </c>
      <c r="E52" s="19" t="n">
        <v>0.33</v>
      </c>
      <c r="F52" s="19" t="n">
        <v>0.27</v>
      </c>
      <c r="G52" s="19" t="n">
        <v>0.22</v>
      </c>
      <c r="H52" s="19" t="n">
        <v>0.18</v>
      </c>
      <c r="I52" s="19" t="n">
        <v>0.15</v>
      </c>
    </row>
    <row r="53" customFormat="false" ht="15" hidden="false" customHeight="true" outlineLevel="0" collapsed="false">
      <c r="A53" s="5" t="s">
        <v>84</v>
      </c>
      <c r="E53" s="19" t="n">
        <v>0.565</v>
      </c>
      <c r="F53" s="19" t="n">
        <v>0.565</v>
      </c>
      <c r="G53" s="19" t="n">
        <v>0.56</v>
      </c>
      <c r="H53" s="19" t="n">
        <v>0.555</v>
      </c>
      <c r="I53" s="19" t="n">
        <v>0.55</v>
      </c>
    </row>
    <row r="54" customFormat="false" ht="15" hidden="false" customHeight="true" outlineLevel="0" collapsed="false">
      <c r="A54" s="5" t="s">
        <v>85</v>
      </c>
      <c r="E54" s="19" t="n">
        <v>0.5</v>
      </c>
      <c r="F54" s="19" t="n">
        <v>0.5</v>
      </c>
      <c r="G54" s="19" t="n">
        <v>0.495</v>
      </c>
      <c r="H54" s="19" t="n">
        <v>0.49</v>
      </c>
      <c r="I54" s="19" t="n">
        <v>0.485</v>
      </c>
    </row>
    <row r="55" customFormat="false" ht="15" hidden="false" customHeight="true" outlineLevel="0" collapsed="false">
      <c r="A55" s="5" t="s">
        <v>86</v>
      </c>
      <c r="E55" s="19" t="n">
        <v>0.04</v>
      </c>
      <c r="F55" s="19" t="n">
        <v>0.042</v>
      </c>
      <c r="G55" s="19" t="n">
        <v>0.045</v>
      </c>
      <c r="H55" s="19" t="n">
        <v>0.048</v>
      </c>
      <c r="I55" s="19" t="n">
        <v>0.05</v>
      </c>
    </row>
    <row r="56" customFormat="false" ht="15" hidden="false" customHeight="true" outlineLevel="0" collapsed="false">
      <c r="A56" s="5" t="s">
        <v>87</v>
      </c>
      <c r="E56" s="19" t="n">
        <v>0.055</v>
      </c>
      <c r="F56" s="19" t="n">
        <v>0.055</v>
      </c>
      <c r="G56" s="19" t="n">
        <v>0.05</v>
      </c>
      <c r="H56" s="19" t="n">
        <v>0.045</v>
      </c>
      <c r="I56" s="19" t="n">
        <v>0.04</v>
      </c>
    </row>
    <row r="57" customFormat="false" ht="15" hidden="false" customHeight="true" outlineLevel="0" collapsed="false">
      <c r="A57" s="5" t="s">
        <v>88</v>
      </c>
      <c r="E57" s="18" t="n">
        <v>60</v>
      </c>
      <c r="F57" s="18" t="n">
        <v>65</v>
      </c>
      <c r="G57" s="18" t="n">
        <v>70</v>
      </c>
      <c r="H57" s="18" t="n">
        <v>75</v>
      </c>
      <c r="I57" s="18" t="n">
        <v>80</v>
      </c>
    </row>
    <row r="58" customFormat="false" ht="15" hidden="false" customHeight="true" outlineLevel="0" collapsed="false">
      <c r="A58" s="5" t="s">
        <v>89</v>
      </c>
      <c r="E58" s="18" t="n">
        <v>960</v>
      </c>
      <c r="F58" s="18" t="n">
        <v>1020</v>
      </c>
      <c r="G58" s="18" t="n">
        <v>1090</v>
      </c>
      <c r="H58" s="18" t="n">
        <v>1160</v>
      </c>
      <c r="I58" s="18" t="n">
        <v>1230</v>
      </c>
    </row>
    <row r="59" customFormat="false" ht="15" hidden="false" customHeight="true" outlineLevel="0" collapsed="false">
      <c r="A59" s="5" t="s">
        <v>90</v>
      </c>
      <c r="E59" s="18" t="n">
        <v>480</v>
      </c>
      <c r="F59" s="18" t="n">
        <v>560</v>
      </c>
      <c r="G59" s="18" t="n">
        <v>650</v>
      </c>
      <c r="H59" s="18" t="n">
        <v>760</v>
      </c>
      <c r="I59" s="18" t="n">
        <v>880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5" min="3" style="1" width="13"/>
  </cols>
  <sheetData>
    <row r="1" customFormat="false" ht="17.25" hidden="false" customHeight="true" outlineLevel="0" collapsed="false">
      <c r="A1" s="2" t="s">
        <v>91</v>
      </c>
    </row>
    <row r="2" customFormat="false" ht="15" hidden="false" customHeight="true" outlineLevel="0" collapsed="false">
      <c r="A2" s="3" t="s">
        <v>92</v>
      </c>
    </row>
    <row r="3" customFormat="false" ht="15" hidden="false" customHeight="true" outlineLevel="0" collapsed="false">
      <c r="A3" s="7" t="s">
        <v>93</v>
      </c>
      <c r="B3" s="7" t="s">
        <v>94</v>
      </c>
      <c r="C3" s="7" t="s">
        <v>95</v>
      </c>
      <c r="D3" s="7" t="s">
        <v>96</v>
      </c>
      <c r="E3" s="7" t="s">
        <v>97</v>
      </c>
    </row>
    <row r="4" customFormat="false" ht="15" hidden="false" customHeight="true" outlineLevel="0" collapsed="false">
      <c r="A4" s="5" t="s">
        <v>98</v>
      </c>
      <c r="B4" s="5" t="s">
        <v>99</v>
      </c>
      <c r="C4" s="23" t="n">
        <f aca="false">Assumptions!B13*Assumptions!B14</f>
        <v>1553.704</v>
      </c>
      <c r="D4" s="24" t="n">
        <f aca="false">Assumptions!B15</f>
        <v>16</v>
      </c>
      <c r="E4" s="23" t="n">
        <f aca="false">C4*D4</f>
        <v>24859.264</v>
      </c>
    </row>
    <row r="5" customFormat="false" ht="15" hidden="false" customHeight="true" outlineLevel="0" collapsed="false">
      <c r="A5" s="5" t="s">
        <v>100</v>
      </c>
      <c r="B5" s="5" t="s">
        <v>101</v>
      </c>
      <c r="C5" s="23" t="n">
        <f aca="false">Assumptions!B16*Assumptions!B17</f>
        <v>1264.845</v>
      </c>
      <c r="D5" s="24" t="n">
        <f aca="false">Assumptions!B18</f>
        <v>20</v>
      </c>
      <c r="E5" s="23" t="n">
        <f aca="false">C5*D5</f>
        <v>25296.9</v>
      </c>
    </row>
    <row r="6" customFormat="false" ht="15" hidden="false" customHeight="true" outlineLevel="0" collapsed="false">
      <c r="A6" s="5" t="s">
        <v>102</v>
      </c>
      <c r="B6" s="5" t="s">
        <v>103</v>
      </c>
      <c r="C6" s="23" t="n">
        <f aca="false">Assumptions!B19*Assumptions!B20</f>
        <v>348.87</v>
      </c>
      <c r="D6" s="24" t="n">
        <f aca="false">Assumptions!B21</f>
        <v>7</v>
      </c>
      <c r="E6" s="23" t="n">
        <f aca="false">C6*D6</f>
        <v>2442.09</v>
      </c>
    </row>
    <row r="7" customFormat="false" ht="15" hidden="false" customHeight="true" outlineLevel="0" collapsed="false">
      <c r="A7" s="5" t="s">
        <v>104</v>
      </c>
      <c r="B7" s="5" t="s">
        <v>105</v>
      </c>
      <c r="C7" s="23" t="n">
        <f aca="false">Assumptions!B22*Assumptions!B23</f>
        <v>152.572</v>
      </c>
      <c r="D7" s="24" t="n">
        <f aca="false">Assumptions!B24</f>
        <v>12</v>
      </c>
      <c r="E7" s="23" t="n">
        <f aca="false">C7*D7</f>
        <v>1830.864</v>
      </c>
    </row>
    <row r="8" customFormat="false" ht="15" hidden="false" customHeight="true" outlineLevel="0" collapsed="false">
      <c r="A8" s="11" t="s">
        <v>106</v>
      </c>
      <c r="E8" s="25" t="n">
        <f aca="false">SUM(E4:E7)</f>
        <v>54429.118</v>
      </c>
    </row>
    <row r="9" customFormat="false" ht="15" hidden="false" customHeight="true" outlineLevel="0" collapsed="false">
      <c r="A9" s="5" t="s">
        <v>107</v>
      </c>
      <c r="E9" s="23" t="n">
        <f aca="false">-E8*Assumptions!B25</f>
        <v>-2721.4559</v>
      </c>
    </row>
    <row r="10" customFormat="false" ht="15" hidden="false" customHeight="true" outlineLevel="0" collapsed="false">
      <c r="A10" s="11" t="s">
        <v>108</v>
      </c>
      <c r="E10" s="25" t="n">
        <f aca="false">E8+E9</f>
        <v>51707.6621</v>
      </c>
    </row>
    <row r="11" customFormat="false" ht="15" hidden="false" customHeight="true" outlineLevel="0" collapsed="false">
      <c r="A11" s="5" t="s">
        <v>109</v>
      </c>
      <c r="E11" s="23" t="n">
        <f aca="false">E10*(1-Assumptions!B10)</f>
        <v>41366.12968</v>
      </c>
    </row>
    <row r="12" customFormat="false" ht="15" hidden="false" customHeight="true" outlineLevel="0" collapsed="false">
      <c r="A12" s="5" t="s">
        <v>110</v>
      </c>
      <c r="E12" s="26" t="n">
        <f aca="false">Assumptions!B6</f>
        <v>1379</v>
      </c>
    </row>
    <row r="13" customFormat="false" ht="15" hidden="false" customHeight="true" outlineLevel="0" collapsed="false">
      <c r="A13" s="11" t="s">
        <v>111</v>
      </c>
      <c r="E13" s="25" t="n">
        <f aca="false">E11+E12</f>
        <v>42745.12968</v>
      </c>
    </row>
    <row r="14" customFormat="false" ht="15" hidden="false" customHeight="true" outlineLevel="0" collapsed="false">
      <c r="A14" s="11" t="s">
        <v>112</v>
      </c>
      <c r="E14" s="12" t="n">
        <f aca="false">E13/Assumptions!B5</f>
        <v>12.3303140131596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1"/>
  </cols>
  <sheetData>
    <row r="1" customFormat="false" ht="17.25" hidden="false" customHeight="true" outlineLevel="0" collapsed="false">
      <c r="A1" s="2" t="s">
        <v>113</v>
      </c>
    </row>
    <row r="2" customFormat="false" ht="15" hidden="false" customHeight="true" outlineLevel="0" collapsed="false">
      <c r="A2" s="3" t="s">
        <v>114</v>
      </c>
    </row>
    <row r="3" customFormat="false" ht="15" hidden="false" customHeight="true" outlineLevel="0" collapsed="false">
      <c r="B3" s="22" t="s">
        <v>115</v>
      </c>
      <c r="C3" s="22" t="s">
        <v>116</v>
      </c>
      <c r="D3" s="22" t="s">
        <v>117</v>
      </c>
      <c r="E3" s="22" t="s">
        <v>75</v>
      </c>
      <c r="F3" s="22" t="s">
        <v>76</v>
      </c>
      <c r="G3" s="22" t="s">
        <v>77</v>
      </c>
      <c r="H3" s="22" t="s">
        <v>78</v>
      </c>
      <c r="I3" s="22" t="s">
        <v>79</v>
      </c>
    </row>
    <row r="4" customFormat="false" ht="15" hidden="false" customHeight="true" outlineLevel="0" collapsed="false">
      <c r="A4" s="5" t="s">
        <v>118</v>
      </c>
      <c r="B4" s="26" t="n">
        <f aca="false">'Income Statement'!B4</f>
        <v>1610</v>
      </c>
      <c r="C4" s="26" t="n">
        <f aca="false">'Income Statement'!C4</f>
        <v>2062</v>
      </c>
      <c r="D4" s="26" t="n">
        <f aca="false">'Income Statement'!D4</f>
        <v>2678.8</v>
      </c>
      <c r="E4" s="26" t="n">
        <f aca="false">'Income Statement'!E4</f>
        <v>3536.016</v>
      </c>
      <c r="F4" s="26" t="n">
        <f aca="false">'Income Statement'!F4</f>
        <v>4384.65984</v>
      </c>
      <c r="G4" s="26" t="n">
        <f aca="false">'Income Statement'!G4</f>
        <v>5217.7452096</v>
      </c>
      <c r="H4" s="26" t="n">
        <f aca="false">'Income Statement'!H4</f>
        <v>6000.40699104</v>
      </c>
      <c r="I4" s="26" t="n">
        <f aca="false">'Income Statement'!I4</f>
        <v>6720.4558299648</v>
      </c>
    </row>
    <row r="5" customFormat="false" ht="15" hidden="false" customHeight="true" outlineLevel="0" collapsed="false">
      <c r="A5" s="5" t="s">
        <v>119</v>
      </c>
      <c r="B5" s="26" t="n">
        <f aca="false">'Income Statement'!B5</f>
        <v>1030</v>
      </c>
      <c r="C5" s="26" t="n">
        <f aca="false">'Income Statement'!C5</f>
        <v>1580.8</v>
      </c>
      <c r="D5" s="26" t="n">
        <f aca="false">'Income Statement'!D5</f>
        <v>2386.5</v>
      </c>
      <c r="E5" s="26" t="n">
        <f aca="false">'Income Statement'!E5</f>
        <v>3460.425</v>
      </c>
      <c r="F5" s="26" t="n">
        <f aca="false">'Income Statement'!F5</f>
        <v>4671.57375</v>
      </c>
      <c r="G5" s="26" t="n">
        <f aca="false">'Income Statement'!G5</f>
        <v>5932.8986625</v>
      </c>
      <c r="H5" s="26" t="n">
        <f aca="false">'Income Statement'!H5</f>
        <v>7178.807381625</v>
      </c>
      <c r="I5" s="26" t="n">
        <f aca="false">'Income Statement'!I5</f>
        <v>8327.416562685</v>
      </c>
    </row>
    <row r="6" customFormat="false" ht="15" hidden="false" customHeight="true" outlineLevel="0" collapsed="false">
      <c r="A6" s="5" t="s">
        <v>120</v>
      </c>
      <c r="B6" s="26" t="n">
        <f aca="false">'Income Statement'!B6</f>
        <v>990</v>
      </c>
      <c r="C6" s="26" t="n">
        <f aca="false">'Income Statement'!C6</f>
        <v>1222.6</v>
      </c>
      <c r="D6" s="26" t="n">
        <f aca="false">'Income Statement'!D6</f>
        <v>1162.9</v>
      </c>
      <c r="E6" s="26" t="n">
        <f aca="false">'Income Statement'!E6</f>
        <v>1232.674</v>
      </c>
      <c r="F6" s="26" t="n">
        <f aca="false">'Income Statement'!F6</f>
        <v>1331.28792</v>
      </c>
      <c r="G6" s="26" t="n">
        <f aca="false">'Income Statement'!G6</f>
        <v>1437.7909536</v>
      </c>
      <c r="H6" s="26" t="n">
        <f aca="false">'Income Statement'!H6</f>
        <v>1538.436320352</v>
      </c>
      <c r="I6" s="26" t="n">
        <f aca="false">'Income Statement'!I6</f>
        <v>1630.74249957312</v>
      </c>
    </row>
    <row r="7" customFormat="false" ht="15" hidden="false" customHeight="true" outlineLevel="0" collapsed="false">
      <c r="A7" s="5" t="s">
        <v>121</v>
      </c>
      <c r="B7" s="26" t="n">
        <f aca="false">'Income Statement'!B7</f>
        <v>286</v>
      </c>
      <c r="C7" s="26" t="n">
        <f aca="false">'Income Statement'!C7</f>
        <v>344</v>
      </c>
      <c r="D7" s="26" t="n">
        <f aca="false">'Income Statement'!D7</f>
        <v>544.9</v>
      </c>
      <c r="E7" s="26" t="n">
        <f aca="false">'Income Statement'!E7</f>
        <v>724.717</v>
      </c>
      <c r="F7" s="26" t="n">
        <f aca="false">'Income Statement'!F7</f>
        <v>920.39059</v>
      </c>
      <c r="G7" s="26" t="n">
        <f aca="false">'Income Statement'!G7</f>
        <v>1122.8765198</v>
      </c>
      <c r="H7" s="26" t="n">
        <f aca="false">'Income Statement'!H7</f>
        <v>1324.994293364</v>
      </c>
      <c r="I7" s="26" t="n">
        <f aca="false">'Income Statement'!I7</f>
        <v>1523.7434373686</v>
      </c>
    </row>
    <row r="8" customFormat="false" ht="15" hidden="false" customHeight="true" outlineLevel="0" collapsed="false">
      <c r="A8" s="11" t="s">
        <v>122</v>
      </c>
      <c r="B8" s="27" t="n">
        <f aca="false">'Income Statement'!B8</f>
        <v>3916</v>
      </c>
      <c r="C8" s="27" t="n">
        <f aca="false">'Income Statement'!C8</f>
        <v>5209.4</v>
      </c>
      <c r="D8" s="27" t="n">
        <f aca="false">'Income Statement'!D8</f>
        <v>6773.1</v>
      </c>
      <c r="E8" s="27" t="n">
        <f aca="false">'Income Statement'!E8</f>
        <v>8953.832</v>
      </c>
      <c r="F8" s="27" t="n">
        <f aca="false">'Income Statement'!F8</f>
        <v>11307.9121</v>
      </c>
      <c r="G8" s="27" t="n">
        <f aca="false">'Income Statement'!G8</f>
        <v>13711.3113455</v>
      </c>
      <c r="H8" s="27" t="n">
        <f aca="false">'Income Statement'!H8</f>
        <v>16042.644986381</v>
      </c>
      <c r="I8" s="27" t="n">
        <f aca="false">'Income Statement'!I8</f>
        <v>18202.3583295915</v>
      </c>
    </row>
    <row r="9" customFormat="false" ht="15" hidden="false" customHeight="true" outlineLevel="0" collapsed="false">
      <c r="A9" s="5" t="s">
        <v>123</v>
      </c>
      <c r="B9" s="13" t="n">
        <f aca="false">B4/B8</f>
        <v>0.411133810010215</v>
      </c>
      <c r="C9" s="13" t="n">
        <f aca="false">C4/C8</f>
        <v>0.395822935462817</v>
      </c>
      <c r="D9" s="13" t="n">
        <f aca="false">D4/D8</f>
        <v>0.395505750690231</v>
      </c>
      <c r="E9" s="13" t="n">
        <f aca="false">E4/E8</f>
        <v>0.394916500555293</v>
      </c>
      <c r="F9" s="13" t="n">
        <f aca="false">F4/F8</f>
        <v>0.387751496582645</v>
      </c>
      <c r="G9" s="13" t="n">
        <f aca="false">G4/G8</f>
        <v>0.380543120794383</v>
      </c>
      <c r="H9" s="13" t="n">
        <f aca="false">H4/H8</f>
        <v>0.374028534330461</v>
      </c>
      <c r="I9" s="13" t="n">
        <f aca="false">I4/I8</f>
        <v>0.369207973399764</v>
      </c>
    </row>
    <row r="10" customFormat="false" ht="15" hidden="false" customHeight="true" outlineLevel="0" collapsed="false">
      <c r="A10" s="5" t="s">
        <v>124</v>
      </c>
      <c r="B10" s="13" t="n">
        <f aca="false">B5/B8</f>
        <v>0.263023493360572</v>
      </c>
      <c r="C10" s="13" t="n">
        <f aca="false">C5/C8</f>
        <v>0.303451453142396</v>
      </c>
      <c r="D10" s="13" t="n">
        <f aca="false">D5/D8</f>
        <v>0.352349736457457</v>
      </c>
      <c r="E10" s="13" t="n">
        <f aca="false">E5/E8</f>
        <v>0.386474193395632</v>
      </c>
      <c r="F10" s="13" t="n">
        <f aca="false">F5/F8</f>
        <v>0.413124342379704</v>
      </c>
      <c r="G10" s="13" t="n">
        <f aca="false">G5/G8</f>
        <v>0.432701038799411</v>
      </c>
      <c r="H10" s="13" t="n">
        <f aca="false">H5/H8</f>
        <v>0.447482780284627</v>
      </c>
      <c r="I10" s="13" t="n">
        <f aca="false">I5/I8</f>
        <v>0.457491079556826</v>
      </c>
    </row>
    <row r="11" customFormat="false" ht="15" hidden="false" customHeight="true" outlineLevel="0" collapsed="false">
      <c r="A11" s="5" t="s">
        <v>125</v>
      </c>
      <c r="B11" s="13" t="n">
        <f aca="false">B6/B8</f>
        <v>0.252808988764045</v>
      </c>
      <c r="C11" s="13" t="n">
        <f aca="false">C6/C8</f>
        <v>0.2346911352555</v>
      </c>
      <c r="D11" s="13" t="n">
        <f aca="false">D6/D8</f>
        <v>0.171693906778285</v>
      </c>
      <c r="E11" s="13" t="n">
        <f aca="false">E6/E8</f>
        <v>0.137669994254974</v>
      </c>
      <c r="F11" s="13" t="n">
        <f aca="false">F6/F8</f>
        <v>0.11773065692649</v>
      </c>
      <c r="G11" s="13" t="n">
        <f aca="false">G6/G8</f>
        <v>0.104861666209037</v>
      </c>
      <c r="H11" s="13" t="n">
        <f aca="false">H6/H8</f>
        <v>0.0958966754957189</v>
      </c>
      <c r="I11" s="13" t="n">
        <f aca="false">I6/I8</f>
        <v>0.0895896273463658</v>
      </c>
    </row>
    <row r="12" customFormat="false" ht="15" hidden="false" customHeight="true" outlineLevel="0" collapsed="false">
      <c r="A12" s="5" t="s">
        <v>126</v>
      </c>
      <c r="C12" s="13" t="n">
        <f aca="false">C8/B8-1</f>
        <v>0.330286006128703</v>
      </c>
      <c r="D12" s="13" t="n">
        <f aca="false">D8/C8-1</f>
        <v>0.300168925404077</v>
      </c>
      <c r="E12" s="13" t="n">
        <f aca="false">E8/D8-1</f>
        <v>0.321969556037856</v>
      </c>
      <c r="F12" s="13" t="n">
        <f aca="false">F8/E8-1</f>
        <v>0.262913141546547</v>
      </c>
      <c r="G12" s="13" t="n">
        <f aca="false">G8/F8-1</f>
        <v>0.212541380251797</v>
      </c>
      <c r="H12" s="13" t="n">
        <f aca="false">H8/G8-1</f>
        <v>0.170029954257157</v>
      </c>
      <c r="I12" s="13" t="n">
        <f aca="false">I8/H8-1</f>
        <v>0.134623270978318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12"/>
  </cols>
  <sheetData>
    <row r="1" customFormat="false" ht="17.25" hidden="false" customHeight="true" outlineLevel="0" collapsed="false">
      <c r="A1" s="2" t="s">
        <v>127</v>
      </c>
    </row>
    <row r="2" customFormat="false" ht="15" hidden="false" customHeight="true" outlineLevel="0" collapsed="false">
      <c r="A2" s="3" t="s">
        <v>128</v>
      </c>
    </row>
    <row r="3" customFormat="false" ht="15" hidden="false" customHeight="true" outlineLevel="0" collapsed="false">
      <c r="A3" s="7" t="s">
        <v>32</v>
      </c>
      <c r="B3" s="7" t="s">
        <v>129</v>
      </c>
      <c r="C3" s="7" t="s">
        <v>130</v>
      </c>
    </row>
    <row r="4" customFormat="false" ht="15" hidden="false" customHeight="true" outlineLevel="0" collapsed="false">
      <c r="A4" s="5" t="s">
        <v>131</v>
      </c>
      <c r="B4" s="5" t="s">
        <v>132</v>
      </c>
      <c r="C4" s="28" t="n">
        <f aca="false">(Assumptions!B28*Assumptions!B29+Assumptions!B6)/Assumptions!B5</f>
        <v>18.1670017624983</v>
      </c>
    </row>
    <row r="5" customFormat="false" ht="15" hidden="false" customHeight="true" outlineLevel="0" collapsed="false">
      <c r="A5" s="29" t="s">
        <v>133</v>
      </c>
      <c r="C5" s="23" t="n">
        <f aca="false">Assumptions!B28*Assumptions!B29</f>
        <v>61600</v>
      </c>
    </row>
    <row r="6" customFormat="false" ht="15" hidden="false" customHeight="true" outlineLevel="0" collapsed="false">
      <c r="A6" s="5" t="s">
        <v>25</v>
      </c>
      <c r="B6" s="5" t="s">
        <v>134</v>
      </c>
      <c r="C6" s="28" t="n">
        <f aca="false">Assumptions!B30*Assumptions!B31/Assumptions!B5</f>
        <v>18.4038284578573</v>
      </c>
    </row>
    <row r="7" customFormat="false" ht="15" hidden="false" customHeight="true" outlineLevel="0" collapsed="false">
      <c r="A7" s="29" t="s">
        <v>135</v>
      </c>
      <c r="C7" s="28" t="n">
        <f aca="false">Assumptions!B30/Assumptions!B5</f>
        <v>0.83653765717533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5" style="1" width="12"/>
  </cols>
  <sheetData>
    <row r="1" customFormat="false" ht="17.25" hidden="false" customHeight="true" outlineLevel="0" collapsed="false">
      <c r="A1" s="2" t="s">
        <v>136</v>
      </c>
    </row>
    <row r="2" customFormat="false" ht="15" hidden="false" customHeight="true" outlineLevel="0" collapsed="false">
      <c r="A2" s="3" t="s">
        <v>137</v>
      </c>
    </row>
    <row r="3" customFormat="false" ht="15" hidden="false" customHeight="true" outlineLevel="0" collapsed="false">
      <c r="E3" s="22" t="s">
        <v>75</v>
      </c>
      <c r="F3" s="22" t="s">
        <v>76</v>
      </c>
      <c r="G3" s="22" t="s">
        <v>77</v>
      </c>
      <c r="H3" s="22" t="s">
        <v>78</v>
      </c>
      <c r="I3" s="22" t="s">
        <v>79</v>
      </c>
    </row>
    <row r="4" customFormat="false" ht="15" hidden="false" customHeight="true" outlineLevel="0" collapsed="false">
      <c r="A4" s="5" t="s">
        <v>138</v>
      </c>
      <c r="E4" s="26" t="n">
        <f aca="false">'Income Statement'!E15</f>
        <v>4118.76272</v>
      </c>
      <c r="F4" s="26" t="n">
        <f aca="false">'Income Statement'!F15</f>
        <v>5179.0237418</v>
      </c>
      <c r="G4" s="26" t="n">
        <f aca="false">'Income Statement'!G15</f>
        <v>6170.090105475</v>
      </c>
      <c r="H4" s="26" t="n">
        <f aca="false">'Income Statement'!H15</f>
        <v>7090.8490839804</v>
      </c>
      <c r="I4" s="26" t="n">
        <f aca="false">'Income Statement'!I15</f>
        <v>7918.02587337231</v>
      </c>
    </row>
    <row r="5" customFormat="false" ht="15" hidden="false" customHeight="true" outlineLevel="0" collapsed="false">
      <c r="A5" s="5" t="s">
        <v>139</v>
      </c>
      <c r="E5" s="23" t="n">
        <f aca="false">E4*(1-Assumptions!$B$9)</f>
        <v>3192.041108</v>
      </c>
      <c r="F5" s="23" t="n">
        <f aca="false">F4*(1-Assumptions!$B$9)</f>
        <v>4013.743399895</v>
      </c>
      <c r="G5" s="23" t="n">
        <f aca="false">G4*(1-Assumptions!$B$9)</f>
        <v>4781.81983174313</v>
      </c>
      <c r="H5" s="23" t="n">
        <f aca="false">H4*(1-Assumptions!$B$9)</f>
        <v>5495.40804008481</v>
      </c>
      <c r="I5" s="23" t="n">
        <f aca="false">I4*(1-Assumptions!$B$9)</f>
        <v>6136.47005186354</v>
      </c>
    </row>
    <row r="6" customFormat="false" ht="15" hidden="false" customHeight="true" outlineLevel="0" collapsed="false">
      <c r="A6" s="5" t="s">
        <v>140</v>
      </c>
      <c r="E6" s="26" t="n">
        <f aca="false">'Income Statement'!E14</f>
        <v>358.15328</v>
      </c>
      <c r="F6" s="26" t="n">
        <f aca="false">'Income Statement'!F14</f>
        <v>474.9323082</v>
      </c>
      <c r="G6" s="26" t="n">
        <f aca="false">'Income Statement'!G14</f>
        <v>617.0090105475</v>
      </c>
      <c r="H6" s="26" t="n">
        <f aca="false">'Income Statement'!H14</f>
        <v>770.046959346288</v>
      </c>
      <c r="I6" s="26" t="n">
        <f aca="false">'Income Statement'!I14</f>
        <v>910.117916479576</v>
      </c>
    </row>
    <row r="7" customFormat="false" ht="15" hidden="false" customHeight="true" outlineLevel="0" collapsed="false">
      <c r="A7" s="5" t="s">
        <v>141</v>
      </c>
      <c r="E7" s="23" t="n">
        <f aca="false">-'Income Statement'!E8*Assumptions!E56</f>
        <v>-492.46076</v>
      </c>
      <c r="F7" s="23" t="n">
        <f aca="false">-'Income Statement'!F8*Assumptions!F56</f>
        <v>-621.9351655</v>
      </c>
      <c r="G7" s="23" t="n">
        <f aca="false">-'Income Statement'!G8*Assumptions!G56</f>
        <v>-685.565567275</v>
      </c>
      <c r="H7" s="23" t="n">
        <f aca="false">-'Income Statement'!H8*Assumptions!H56</f>
        <v>-721.919024387145</v>
      </c>
      <c r="I7" s="23" t="n">
        <f aca="false">-'Income Statement'!I8*Assumptions!I56</f>
        <v>-728.094333183661</v>
      </c>
    </row>
    <row r="8" customFormat="false" ht="15" hidden="false" customHeight="true" outlineLevel="0" collapsed="false">
      <c r="A8" s="5" t="s">
        <v>142</v>
      </c>
      <c r="E8" s="23" t="n">
        <f aca="false">-(('Balance Sheet'!E6-'Balance Sheet'!E14)-('Balance Sheet'!D6-'Balance Sheet'!D14))</f>
        <v>-152.65124</v>
      </c>
      <c r="F8" s="23" t="n">
        <f aca="false">-(('Balance Sheet'!F6-'Balance Sheet'!F14)-('Balance Sheet'!E6-'Balance Sheet'!E14))</f>
        <v>-164.785607</v>
      </c>
      <c r="G8" s="23" t="n">
        <f aca="false">-(('Balance Sheet'!G6-'Balance Sheet'!G14)-('Balance Sheet'!F6-'Balance Sheet'!F14))</f>
        <v>-168.237947185001</v>
      </c>
      <c r="H8" s="23" t="n">
        <f aca="false">-(('Balance Sheet'!H6-'Balance Sheet'!H14)-('Balance Sheet'!G6-'Balance Sheet'!G14))</f>
        <v>-163.19335486167</v>
      </c>
      <c r="I8" s="23" t="n">
        <f aca="false">-(('Balance Sheet'!I6-'Balance Sheet'!I14)-('Balance Sheet'!H6-'Balance Sheet'!H14))</f>
        <v>-151.179934024736</v>
      </c>
    </row>
    <row r="9" customFormat="false" ht="15" hidden="false" customHeight="true" outlineLevel="0" collapsed="false">
      <c r="A9" s="5" t="s">
        <v>143</v>
      </c>
      <c r="E9" s="23" t="n">
        <f aca="false">('Income Statement'!E17-'Income Statement'!E16)*(1-Assumptions!$B$9)</f>
        <v>697.5</v>
      </c>
      <c r="F9" s="23" t="n">
        <f aca="false">('Income Statement'!F17-'Income Statement'!F16)*(1-Assumptions!$B$9)</f>
        <v>740.125</v>
      </c>
      <c r="G9" s="23" t="n">
        <f aca="false">('Income Statement'!G17-'Income Statement'!G16)*(1-Assumptions!$B$9)</f>
        <v>790.5</v>
      </c>
      <c r="H9" s="23" t="n">
        <f aca="false">('Income Statement'!H17-'Income Statement'!H16)*(1-Assumptions!$B$9)</f>
        <v>840.875</v>
      </c>
      <c r="I9" s="23" t="n">
        <f aca="false">('Income Statement'!I17-'Income Statement'!I16)*(1-Assumptions!$B$9)</f>
        <v>891.25</v>
      </c>
    </row>
    <row r="10" customFormat="false" ht="15" hidden="false" customHeight="true" outlineLevel="0" collapsed="false">
      <c r="A10" s="11" t="s">
        <v>144</v>
      </c>
      <c r="E10" s="25" t="n">
        <f aca="false">E5+E6+E7+E8+E9</f>
        <v>3602.582388</v>
      </c>
      <c r="F10" s="25" t="n">
        <f aca="false">F5+F6+F7+F8+F9</f>
        <v>4442.079935595</v>
      </c>
      <c r="G10" s="25" t="n">
        <f aca="false">G5+G6+G7+G8+G9</f>
        <v>5335.52532783062</v>
      </c>
      <c r="H10" s="25" t="n">
        <f aca="false">H5+H6+H7+H8+H9</f>
        <v>6221.21762018228</v>
      </c>
      <c r="I10" s="25" t="n">
        <f aca="false">I5+I6+I7+I8+I9</f>
        <v>7058.56370113472</v>
      </c>
    </row>
    <row r="11" customFormat="false" ht="15" hidden="false" customHeight="true" outlineLevel="0" collapsed="false">
      <c r="A11" s="5" t="s">
        <v>145</v>
      </c>
      <c r="E11" s="30" t="n">
        <f aca="false">1/(1+Assumptions!$B$7)^1</f>
        <v>0.826446280991736</v>
      </c>
      <c r="F11" s="30" t="n">
        <f aca="false">1/(1+Assumptions!$B$7)^2</f>
        <v>0.683013455365071</v>
      </c>
      <c r="G11" s="30" t="n">
        <f aca="false">1/(1+Assumptions!$B$7)^3</f>
        <v>0.564473930053777</v>
      </c>
      <c r="H11" s="30" t="n">
        <f aca="false">1/(1+Assumptions!$B$7)^4</f>
        <v>0.466507380209734</v>
      </c>
      <c r="I11" s="30" t="n">
        <f aca="false">1/(1+Assumptions!$B$7)^5</f>
        <v>0.385543289429532</v>
      </c>
    </row>
    <row r="12" customFormat="false" ht="15" hidden="false" customHeight="true" outlineLevel="0" collapsed="false">
      <c r="A12" s="5" t="s">
        <v>146</v>
      </c>
      <c r="E12" s="23" t="n">
        <f aca="false">E10*E11</f>
        <v>2977.34081652893</v>
      </c>
      <c r="F12" s="23" t="n">
        <f aca="false">F10*F11</f>
        <v>3034.00036581859</v>
      </c>
      <c r="G12" s="23" t="n">
        <f aca="false">G10*G11</f>
        <v>3011.76495070202</v>
      </c>
      <c r="H12" s="23" t="n">
        <f aca="false">H10*H11</f>
        <v>2902.24393370587</v>
      </c>
      <c r="I12" s="23" t="n">
        <f aca="false">I10*I11</f>
        <v>2721.38186798337</v>
      </c>
    </row>
    <row r="14" customFormat="false" ht="15" hidden="false" customHeight="true" outlineLevel="0" collapsed="false">
      <c r="A14" s="5" t="s">
        <v>147</v>
      </c>
      <c r="B14" s="25" t="n">
        <f aca="false">SUM(E12:I12)</f>
        <v>14646.7319347388</v>
      </c>
    </row>
    <row r="15" customFormat="false" ht="15" hidden="false" customHeight="true" outlineLevel="0" collapsed="false">
      <c r="A15" s="5" t="s">
        <v>148</v>
      </c>
      <c r="B15" s="23" t="n">
        <f aca="false">I10*(1+Assumptions!$B$8)/(Assumptions!$B$7-Assumptions!$B$8)</f>
        <v>78350.0570825954</v>
      </c>
    </row>
    <row r="16" customFormat="false" ht="15" hidden="false" customHeight="true" outlineLevel="0" collapsed="false">
      <c r="A16" s="5" t="s">
        <v>149</v>
      </c>
      <c r="B16" s="23" t="n">
        <f aca="false">B15/(1+Assumptions!$B$7)^5</f>
        <v>30207.3387346154</v>
      </c>
    </row>
    <row r="17" customFormat="false" ht="15" hidden="false" customHeight="true" outlineLevel="0" collapsed="false">
      <c r="A17" s="11" t="s">
        <v>150</v>
      </c>
      <c r="B17" s="25" t="n">
        <f aca="false">B14+B16</f>
        <v>44854.0706693542</v>
      </c>
    </row>
    <row r="18" customFormat="false" ht="15" hidden="false" customHeight="true" outlineLevel="0" collapsed="false">
      <c r="A18" s="5" t="s">
        <v>109</v>
      </c>
      <c r="B18" s="23" t="n">
        <f aca="false">B17*(1-Assumptions!$B$10)</f>
        <v>35883.2565354834</v>
      </c>
    </row>
    <row r="19" customFormat="false" ht="15" hidden="false" customHeight="true" outlineLevel="0" collapsed="false">
      <c r="A19" s="5" t="s">
        <v>110</v>
      </c>
      <c r="B19" s="26" t="n">
        <f aca="false">Assumptions!$B$6</f>
        <v>1379</v>
      </c>
    </row>
    <row r="20" customFormat="false" ht="15" hidden="false" customHeight="true" outlineLevel="0" collapsed="false">
      <c r="A20" s="11" t="s">
        <v>111</v>
      </c>
      <c r="B20" s="25" t="n">
        <f aca="false">B18+B19</f>
        <v>37262.2565354834</v>
      </c>
    </row>
    <row r="21" customFormat="false" ht="15" hidden="false" customHeight="true" outlineLevel="0" collapsed="false">
      <c r="A21" s="11" t="s">
        <v>151</v>
      </c>
      <c r="B21" s="12" t="n">
        <f aca="false">B20/Assumptions!$B$5</f>
        <v>10.7487175114687</v>
      </c>
    </row>
    <row r="22" customFormat="false" ht="15" hidden="false" customHeight="true" outlineLevel="0" collapsed="false">
      <c r="A22" s="29" t="s">
        <v>152</v>
      </c>
      <c r="B22" s="13" t="n">
        <f aca="false">B16/B17</f>
        <v>0.673458133985018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9" min="2" style="1" width="11"/>
  </cols>
  <sheetData>
    <row r="1" customFormat="false" ht="17.25" hidden="false" customHeight="true" outlineLevel="0" collapsed="false">
      <c r="A1" s="2" t="s">
        <v>153</v>
      </c>
    </row>
    <row r="2" customFormat="false" ht="15" hidden="false" customHeight="true" outlineLevel="0" collapsed="false">
      <c r="A2" s="3" t="s">
        <v>154</v>
      </c>
    </row>
    <row r="3" customFormat="false" ht="15" hidden="false" customHeight="true" outlineLevel="0" collapsed="false">
      <c r="B3" s="22" t="s">
        <v>115</v>
      </c>
      <c r="C3" s="22" t="s">
        <v>116</v>
      </c>
      <c r="D3" s="22" t="s">
        <v>117</v>
      </c>
      <c r="E3" s="22" t="s">
        <v>75</v>
      </c>
      <c r="F3" s="22" t="s">
        <v>76</v>
      </c>
      <c r="G3" s="22" t="s">
        <v>77</v>
      </c>
      <c r="H3" s="22" t="s">
        <v>78</v>
      </c>
      <c r="I3" s="22" t="s">
        <v>79</v>
      </c>
    </row>
    <row r="4" customFormat="false" ht="15" hidden="false" customHeight="true" outlineLevel="0" collapsed="false">
      <c r="A4" s="5" t="s">
        <v>118</v>
      </c>
      <c r="B4" s="20" t="n">
        <v>1610</v>
      </c>
      <c r="C4" s="20" t="n">
        <v>2062</v>
      </c>
      <c r="D4" s="20" t="n">
        <v>2678.8</v>
      </c>
      <c r="E4" s="31" t="n">
        <f aca="false">D4*(1+Assumptions!E49)</f>
        <v>3536.016</v>
      </c>
      <c r="F4" s="31" t="n">
        <f aca="false">E4*(1+Assumptions!F49)</f>
        <v>4384.65984</v>
      </c>
      <c r="G4" s="31" t="n">
        <f aca="false">F4*(1+Assumptions!G49)</f>
        <v>5217.7452096</v>
      </c>
      <c r="H4" s="31" t="n">
        <f aca="false">G4*(1+Assumptions!H49)</f>
        <v>6000.40699104</v>
      </c>
      <c r="I4" s="31" t="n">
        <f aca="false">H4*(1+Assumptions!I49)</f>
        <v>6720.4558299648</v>
      </c>
    </row>
    <row r="5" customFormat="false" ht="15" hidden="false" customHeight="true" outlineLevel="0" collapsed="false">
      <c r="A5" s="5" t="s">
        <v>119</v>
      </c>
      <c r="B5" s="20" t="n">
        <v>1030</v>
      </c>
      <c r="C5" s="20" t="n">
        <v>1580.8</v>
      </c>
      <c r="D5" s="20" t="n">
        <v>2386.5</v>
      </c>
      <c r="E5" s="31" t="n">
        <f aca="false">D5*(1+Assumptions!E50)</f>
        <v>3460.425</v>
      </c>
      <c r="F5" s="31" t="n">
        <f aca="false">E5*(1+Assumptions!F50)</f>
        <v>4671.57375</v>
      </c>
      <c r="G5" s="31" t="n">
        <f aca="false">F5*(1+Assumptions!G50)</f>
        <v>5932.8986625</v>
      </c>
      <c r="H5" s="31" t="n">
        <f aca="false">G5*(1+Assumptions!H50)</f>
        <v>7178.807381625</v>
      </c>
      <c r="I5" s="31" t="n">
        <f aca="false">H5*(1+Assumptions!I50)</f>
        <v>8327.416562685</v>
      </c>
    </row>
    <row r="6" customFormat="false" ht="15" hidden="false" customHeight="true" outlineLevel="0" collapsed="false">
      <c r="A6" s="5" t="s">
        <v>120</v>
      </c>
      <c r="B6" s="20" t="n">
        <v>990</v>
      </c>
      <c r="C6" s="20" t="n">
        <v>1222.6</v>
      </c>
      <c r="D6" s="20" t="n">
        <v>1162.9</v>
      </c>
      <c r="E6" s="31" t="n">
        <f aca="false">D6*(1+Assumptions!E51)</f>
        <v>1232.674</v>
      </c>
      <c r="F6" s="31" t="n">
        <f aca="false">E6*(1+Assumptions!F51)</f>
        <v>1331.28792</v>
      </c>
      <c r="G6" s="31" t="n">
        <f aca="false">F6*(1+Assumptions!G51)</f>
        <v>1437.7909536</v>
      </c>
      <c r="H6" s="31" t="n">
        <f aca="false">G6*(1+Assumptions!H51)</f>
        <v>1538.436320352</v>
      </c>
      <c r="I6" s="31" t="n">
        <f aca="false">H6*(1+Assumptions!I51)</f>
        <v>1630.74249957312</v>
      </c>
    </row>
    <row r="7" customFormat="false" ht="15" hidden="false" customHeight="true" outlineLevel="0" collapsed="false">
      <c r="A7" s="5" t="s">
        <v>121</v>
      </c>
      <c r="B7" s="20" t="n">
        <v>286</v>
      </c>
      <c r="C7" s="20" t="n">
        <v>344</v>
      </c>
      <c r="D7" s="20" t="n">
        <v>544.9</v>
      </c>
      <c r="E7" s="31" t="n">
        <f aca="false">D7*(1+Assumptions!E52)</f>
        <v>724.717</v>
      </c>
      <c r="F7" s="31" t="n">
        <f aca="false">E7*(1+Assumptions!F52)</f>
        <v>920.39059</v>
      </c>
      <c r="G7" s="31" t="n">
        <f aca="false">F7*(1+Assumptions!G52)</f>
        <v>1122.8765198</v>
      </c>
      <c r="H7" s="31" t="n">
        <f aca="false">G7*(1+Assumptions!H52)</f>
        <v>1324.994293364</v>
      </c>
      <c r="I7" s="31" t="n">
        <f aca="false">H7*(1+Assumptions!I52)</f>
        <v>1523.7434373686</v>
      </c>
    </row>
    <row r="8" customFormat="false" ht="15" hidden="false" customHeight="true" outlineLevel="0" collapsed="false">
      <c r="A8" s="11" t="s">
        <v>122</v>
      </c>
      <c r="B8" s="25" t="n">
        <f aca="false">SUM(B4:B7)</f>
        <v>3916</v>
      </c>
      <c r="C8" s="25" t="n">
        <f aca="false">SUM(C4:C7)</f>
        <v>5209.4</v>
      </c>
      <c r="D8" s="25" t="n">
        <f aca="false">SUM(D4:D7)</f>
        <v>6773.1</v>
      </c>
      <c r="E8" s="25" t="n">
        <f aca="false">SUM(E4:E7)</f>
        <v>8953.832</v>
      </c>
      <c r="F8" s="25" t="n">
        <f aca="false">SUM(F4:F7)</f>
        <v>11307.9121</v>
      </c>
      <c r="G8" s="25" t="n">
        <f aca="false">SUM(G4:G7)</f>
        <v>13711.3113455</v>
      </c>
      <c r="H8" s="25" t="n">
        <f aca="false">SUM(H4:H7)</f>
        <v>16042.644986381</v>
      </c>
      <c r="I8" s="25" t="n">
        <f aca="false">SUM(I4:I7)</f>
        <v>18202.3583295915</v>
      </c>
    </row>
    <row r="10" customFormat="false" ht="15" hidden="false" customHeight="true" outlineLevel="0" collapsed="false">
      <c r="A10" s="5" t="s">
        <v>155</v>
      </c>
      <c r="B10" s="20" t="n">
        <v>2036</v>
      </c>
      <c r="C10" s="20" t="n">
        <v>2787.3</v>
      </c>
      <c r="D10" s="20" t="n">
        <v>3818.8</v>
      </c>
      <c r="E10" s="23" t="n">
        <f aca="false">E8*Assumptions!E53</f>
        <v>5058.91508</v>
      </c>
      <c r="F10" s="23" t="n">
        <f aca="false">F8*Assumptions!F53</f>
        <v>6388.9703365</v>
      </c>
      <c r="G10" s="23" t="n">
        <f aca="false">G8*Assumptions!G53</f>
        <v>7678.33435348</v>
      </c>
      <c r="H10" s="23" t="n">
        <f aca="false">H8*Assumptions!H53</f>
        <v>8903.66796744146</v>
      </c>
      <c r="I10" s="23" t="n">
        <f aca="false">I8*Assumptions!I53</f>
        <v>10011.2970812753</v>
      </c>
    </row>
    <row r="11" customFormat="false" ht="15" hidden="false" customHeight="true" outlineLevel="0" collapsed="false">
      <c r="A11" s="5" t="s">
        <v>156</v>
      </c>
      <c r="B11" s="23" t="n">
        <f aca="false">-( B10-B12)</f>
        <v>-235</v>
      </c>
      <c r="C11" s="23" t="n">
        <f aca="false">-( C10-C12)</f>
        <v>-336.8</v>
      </c>
      <c r="D11" s="23" t="n">
        <f aca="false">-( D10-D12)</f>
        <v>-486.4</v>
      </c>
      <c r="E11" s="23" t="n">
        <f aca="false">-( E10-E12)</f>
        <v>-581.99908</v>
      </c>
      <c r="F11" s="23" t="n">
        <f aca="false">-( F10-F12)</f>
        <v>-735.0142865</v>
      </c>
      <c r="G11" s="23" t="n">
        <f aca="false">-( G10-G12)</f>
        <v>-891.2352374575</v>
      </c>
      <c r="H11" s="23" t="n">
        <f aca="false">-( H10-H12)</f>
        <v>-1042.77192411477</v>
      </c>
      <c r="I11" s="23" t="n">
        <f aca="false">-( I10-I12)</f>
        <v>-1183.15329142345</v>
      </c>
    </row>
    <row r="12" customFormat="false" ht="15" hidden="false" customHeight="true" outlineLevel="0" collapsed="false">
      <c r="A12" s="11" t="s">
        <v>157</v>
      </c>
      <c r="B12" s="32" t="n">
        <v>1801</v>
      </c>
      <c r="C12" s="32" t="n">
        <v>2450.5</v>
      </c>
      <c r="D12" s="32" t="n">
        <v>3332.4</v>
      </c>
      <c r="E12" s="25" t="n">
        <f aca="false">E8*Assumptions!E54</f>
        <v>4476.916</v>
      </c>
      <c r="F12" s="25" t="n">
        <f aca="false">F8*Assumptions!F54</f>
        <v>5653.95605</v>
      </c>
      <c r="G12" s="25" t="n">
        <f aca="false">G8*Assumptions!G54</f>
        <v>6787.0991160225</v>
      </c>
      <c r="H12" s="25" t="n">
        <f aca="false">H8*Assumptions!H54</f>
        <v>7860.89604332669</v>
      </c>
      <c r="I12" s="25" t="n">
        <f aca="false">I8*Assumptions!I54</f>
        <v>8828.14378985189</v>
      </c>
    </row>
    <row r="13" customFormat="false" ht="15" hidden="false" customHeight="true" outlineLevel="0" collapsed="false">
      <c r="A13" s="29" t="s">
        <v>158</v>
      </c>
      <c r="B13" s="13" t="n">
        <f aca="false">B12/B8</f>
        <v>0.459908069458631</v>
      </c>
      <c r="C13" s="13" t="n">
        <f aca="false">C12/C8</f>
        <v>0.470399662149192</v>
      </c>
      <c r="D13" s="13" t="n">
        <f aca="false">D12/D8</f>
        <v>0.492005137972273</v>
      </c>
      <c r="E13" s="13" t="n">
        <f aca="false">E12/E8</f>
        <v>0.5</v>
      </c>
      <c r="F13" s="13" t="n">
        <f aca="false">F12/F8</f>
        <v>0.5</v>
      </c>
      <c r="G13" s="13" t="n">
        <f aca="false">G12/G8</f>
        <v>0.495</v>
      </c>
      <c r="H13" s="13" t="n">
        <f aca="false">H12/H8</f>
        <v>0.49</v>
      </c>
      <c r="I13" s="13" t="n">
        <f aca="false">I12/I8</f>
        <v>0.485</v>
      </c>
    </row>
    <row r="14" customFormat="false" ht="15" hidden="false" customHeight="true" outlineLevel="0" collapsed="false">
      <c r="A14" s="5" t="s">
        <v>159</v>
      </c>
      <c r="B14" s="20" t="n">
        <v>180</v>
      </c>
      <c r="C14" s="20" t="n">
        <v>230</v>
      </c>
      <c r="D14" s="20" t="n">
        <v>252.4</v>
      </c>
      <c r="E14" s="23" t="n">
        <f aca="false">E8*Assumptions!E55</f>
        <v>358.15328</v>
      </c>
      <c r="F14" s="23" t="n">
        <f aca="false">F8*Assumptions!F55</f>
        <v>474.9323082</v>
      </c>
      <c r="G14" s="23" t="n">
        <f aca="false">G8*Assumptions!G55</f>
        <v>617.0090105475</v>
      </c>
      <c r="H14" s="23" t="n">
        <f aca="false">H8*Assumptions!H55</f>
        <v>770.046959346288</v>
      </c>
      <c r="I14" s="23" t="n">
        <f aca="false">I8*Assumptions!I55</f>
        <v>910.117916479576</v>
      </c>
    </row>
    <row r="15" customFormat="false" ht="15" hidden="false" customHeight="true" outlineLevel="0" collapsed="false">
      <c r="A15" s="11" t="s">
        <v>138</v>
      </c>
      <c r="B15" s="25" t="n">
        <f aca="false">B12-B14</f>
        <v>1621</v>
      </c>
      <c r="C15" s="25" t="n">
        <f aca="false">C12-C14</f>
        <v>2220.5</v>
      </c>
      <c r="D15" s="25" t="n">
        <f aca="false">D12-D14</f>
        <v>3080</v>
      </c>
      <c r="E15" s="25" t="n">
        <f aca="false">E12-E14</f>
        <v>4118.76272</v>
      </c>
      <c r="F15" s="25" t="n">
        <f aca="false">F12-F14</f>
        <v>5179.0237418</v>
      </c>
      <c r="G15" s="25" t="n">
        <f aca="false">G12-G14</f>
        <v>6170.090105475</v>
      </c>
      <c r="H15" s="25" t="n">
        <f aca="false">H12-H14</f>
        <v>7090.8490839804</v>
      </c>
      <c r="I15" s="25" t="n">
        <f aca="false">I12-I14</f>
        <v>7918.02587337231</v>
      </c>
    </row>
    <row r="16" customFormat="false" ht="15" hidden="false" customHeight="true" outlineLevel="0" collapsed="false">
      <c r="A16" s="5" t="s">
        <v>160</v>
      </c>
      <c r="B16" s="18" t="n">
        <v>40</v>
      </c>
      <c r="C16" s="18" t="n">
        <v>50</v>
      </c>
      <c r="D16" s="18" t="n">
        <v>50</v>
      </c>
      <c r="E16" s="26" t="n">
        <f aca="false">Assumptions!E57</f>
        <v>60</v>
      </c>
      <c r="F16" s="26" t="n">
        <f aca="false">Assumptions!F57</f>
        <v>65</v>
      </c>
      <c r="G16" s="26" t="n">
        <f aca="false">Assumptions!G57</f>
        <v>70</v>
      </c>
      <c r="H16" s="26" t="n">
        <f aca="false">Assumptions!H57</f>
        <v>75</v>
      </c>
      <c r="I16" s="26" t="n">
        <f aca="false">Assumptions!I57</f>
        <v>80</v>
      </c>
    </row>
    <row r="17" customFormat="false" ht="15" hidden="false" customHeight="true" outlineLevel="0" collapsed="false">
      <c r="A17" s="5" t="s">
        <v>161</v>
      </c>
      <c r="B17" s="20" t="n">
        <v>500</v>
      </c>
      <c r="C17" s="20" t="n">
        <v>785.4</v>
      </c>
      <c r="D17" s="20" t="n">
        <v>893</v>
      </c>
      <c r="E17" s="26" t="n">
        <f aca="false">Assumptions!E58</f>
        <v>960</v>
      </c>
      <c r="F17" s="26" t="n">
        <f aca="false">Assumptions!F58</f>
        <v>1020</v>
      </c>
      <c r="G17" s="26" t="n">
        <f aca="false">Assumptions!G58</f>
        <v>1090</v>
      </c>
      <c r="H17" s="26" t="n">
        <f aca="false">Assumptions!H58</f>
        <v>1160</v>
      </c>
      <c r="I17" s="26" t="n">
        <f aca="false">Assumptions!I58</f>
        <v>1230</v>
      </c>
    </row>
    <row r="18" customFormat="false" ht="15" hidden="false" customHeight="true" outlineLevel="0" collapsed="false">
      <c r="A18" s="5" t="s">
        <v>162</v>
      </c>
      <c r="B18" s="23" t="n">
        <f aca="false">B15-B16+B17</f>
        <v>2081</v>
      </c>
      <c r="C18" s="23" t="n">
        <f aca="false">C15-C16+C17</f>
        <v>2955.9</v>
      </c>
      <c r="D18" s="23" t="n">
        <f aca="false">D15-D16+D17</f>
        <v>3923</v>
      </c>
      <c r="E18" s="23" t="n">
        <f aca="false">E15-E16+E17</f>
        <v>5018.76272</v>
      </c>
      <c r="F18" s="23" t="n">
        <f aca="false">F15-F16+F17</f>
        <v>6134.0237418</v>
      </c>
      <c r="G18" s="23" t="n">
        <f aca="false">G15-G16+G17</f>
        <v>7190.090105475</v>
      </c>
      <c r="H18" s="23" t="n">
        <f aca="false">H15-H16+H17</f>
        <v>8175.8490839804</v>
      </c>
      <c r="I18" s="23" t="n">
        <f aca="false">I15-I16+I17</f>
        <v>9068.02587337231</v>
      </c>
    </row>
    <row r="19" customFormat="false" ht="15" hidden="false" customHeight="true" outlineLevel="0" collapsed="false">
      <c r="A19" s="5" t="s">
        <v>163</v>
      </c>
      <c r="B19" s="18" t="n">
        <v>468</v>
      </c>
      <c r="C19" s="18" t="n">
        <v>665</v>
      </c>
      <c r="D19" s="18" t="n">
        <v>895</v>
      </c>
      <c r="E19" s="23" t="n">
        <f aca="false">E18*Assumptions!$B$9</f>
        <v>1129.221612</v>
      </c>
      <c r="F19" s="23" t="n">
        <f aca="false">F18*Assumptions!$B$9</f>
        <v>1380.155341905</v>
      </c>
      <c r="G19" s="23" t="n">
        <f aca="false">G18*Assumptions!$B$9</f>
        <v>1617.77027373188</v>
      </c>
      <c r="H19" s="23" t="n">
        <f aca="false">H18*Assumptions!$B$9</f>
        <v>1839.56604389559</v>
      </c>
      <c r="I19" s="23" t="n">
        <f aca="false">I18*Assumptions!$B$9</f>
        <v>2040.30582150877</v>
      </c>
    </row>
    <row r="20" customFormat="false" ht="15" hidden="false" customHeight="true" outlineLevel="0" collapsed="false">
      <c r="A20" s="5" t="s">
        <v>164</v>
      </c>
      <c r="B20" s="23" t="n">
        <f aca="false">B18-B19</f>
        <v>1613</v>
      </c>
      <c r="C20" s="23" t="n">
        <f aca="false">C18-C19</f>
        <v>2290.9</v>
      </c>
      <c r="D20" s="23" t="n">
        <f aca="false">D18-D19</f>
        <v>3028</v>
      </c>
      <c r="E20" s="23" t="n">
        <f aca="false">E18-E19</f>
        <v>3889.541108</v>
      </c>
      <c r="F20" s="23" t="n">
        <f aca="false">F18-F19</f>
        <v>4753.868399895</v>
      </c>
      <c r="G20" s="23" t="n">
        <f aca="false">G18-G19</f>
        <v>5572.31983174313</v>
      </c>
      <c r="H20" s="23" t="n">
        <f aca="false">H18-H19</f>
        <v>6336.28304008481</v>
      </c>
      <c r="I20" s="23" t="n">
        <f aca="false">I18-I19</f>
        <v>7027.72005186354</v>
      </c>
    </row>
    <row r="21" customFormat="false" ht="15" hidden="false" customHeight="true" outlineLevel="0" collapsed="false">
      <c r="A21" s="29" t="s">
        <v>165</v>
      </c>
      <c r="B21" s="20" t="n">
        <v>323</v>
      </c>
      <c r="C21" s="20" t="n">
        <v>514.9</v>
      </c>
      <c r="D21" s="20" t="n">
        <v>622.6</v>
      </c>
      <c r="E21" s="23" t="n">
        <f aca="false">E20*Assumptions!$B$10</f>
        <v>777.9082216</v>
      </c>
      <c r="F21" s="23" t="n">
        <f aca="false">F20*Assumptions!$B$10</f>
        <v>950.773679979</v>
      </c>
      <c r="G21" s="23" t="n">
        <f aca="false">G20*Assumptions!$B$10</f>
        <v>1114.46396634863</v>
      </c>
      <c r="H21" s="23" t="n">
        <f aca="false">H20*Assumptions!$B$10</f>
        <v>1267.25660801696</v>
      </c>
      <c r="I21" s="23" t="n">
        <f aca="false">I20*Assumptions!$B$10</f>
        <v>1405.54401037271</v>
      </c>
    </row>
    <row r="22" customFormat="false" ht="15" hidden="false" customHeight="true" outlineLevel="0" collapsed="false">
      <c r="A22" s="11" t="s">
        <v>166</v>
      </c>
      <c r="B22" s="25" t="n">
        <f aca="false">B20-B21</f>
        <v>1290</v>
      </c>
      <c r="C22" s="25" t="n">
        <f aca="false">C20-C21</f>
        <v>1776</v>
      </c>
      <c r="D22" s="25" t="n">
        <f aca="false">D20-D21</f>
        <v>2405.4</v>
      </c>
      <c r="E22" s="25" t="n">
        <f aca="false">E20-E21</f>
        <v>3111.6328864</v>
      </c>
      <c r="F22" s="25" t="n">
        <f aca="false">F20-F21</f>
        <v>3803.094719916</v>
      </c>
      <c r="G22" s="25" t="n">
        <f aca="false">G20-G21</f>
        <v>4457.8558653945</v>
      </c>
      <c r="H22" s="25" t="n">
        <f aca="false">H20-H21</f>
        <v>5069.02643206785</v>
      </c>
      <c r="I22" s="25" t="n">
        <f aca="false">I20-I21</f>
        <v>5622.17604149083</v>
      </c>
    </row>
    <row r="23" customFormat="false" ht="15" hidden="false" customHeight="true" outlineLevel="0" collapsed="false">
      <c r="A23" s="29" t="s">
        <v>167</v>
      </c>
      <c r="B23" s="13" t="n">
        <f aca="false">B22/B8</f>
        <v>0.329417773237998</v>
      </c>
      <c r="C23" s="13" t="n">
        <f aca="false">C22/C8</f>
        <v>0.340922179137713</v>
      </c>
      <c r="D23" s="13" t="n">
        <f aca="false">D22/D8</f>
        <v>0.355140186915888</v>
      </c>
      <c r="E23" s="13" t="n">
        <f aca="false">E22/E8</f>
        <v>0.347519686141085</v>
      </c>
      <c r="F23" s="13" t="n">
        <f aca="false">F22/F8</f>
        <v>0.336321567260502</v>
      </c>
      <c r="G23" s="13" t="n">
        <f aca="false">G22/G8</f>
        <v>0.325122503097237</v>
      </c>
      <c r="H23" s="13" t="n">
        <f aca="false">H22/H8</f>
        <v>0.315971988183437</v>
      </c>
      <c r="I23" s="13" t="n">
        <f aca="false">I22/I8</f>
        <v>0.308870748487073</v>
      </c>
    </row>
    <row r="25" customFormat="false" ht="15" hidden="false" customHeight="true" outlineLevel="0" collapsed="false">
      <c r="A25" s="33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9" min="2" style="1" width="11"/>
  </cols>
  <sheetData>
    <row r="1" customFormat="false" ht="17.25" hidden="false" customHeight="true" outlineLevel="0" collapsed="false">
      <c r="A1" s="2" t="s">
        <v>169</v>
      </c>
    </row>
    <row r="2" customFormat="false" ht="15" hidden="false" customHeight="true" outlineLevel="0" collapsed="false">
      <c r="A2" s="3" t="s">
        <v>170</v>
      </c>
    </row>
    <row r="3" customFormat="false" ht="15" hidden="false" customHeight="true" outlineLevel="0" collapsed="false">
      <c r="B3" s="22" t="s">
        <v>115</v>
      </c>
      <c r="C3" s="22" t="s">
        <v>116</v>
      </c>
      <c r="D3" s="22" t="s">
        <v>117</v>
      </c>
      <c r="E3" s="22" t="s">
        <v>75</v>
      </c>
      <c r="F3" s="22" t="s">
        <v>76</v>
      </c>
      <c r="G3" s="22" t="s">
        <v>77</v>
      </c>
      <c r="H3" s="22" t="s">
        <v>78</v>
      </c>
      <c r="I3" s="22" t="s">
        <v>79</v>
      </c>
    </row>
    <row r="4" customFormat="false" ht="15" hidden="false" customHeight="true" outlineLevel="0" collapsed="false">
      <c r="A4" s="5" t="s">
        <v>171</v>
      </c>
      <c r="B4" s="18" t="n">
        <v>2100</v>
      </c>
      <c r="C4" s="18" t="n">
        <v>2400</v>
      </c>
      <c r="D4" s="18" t="n">
        <v>2600</v>
      </c>
      <c r="E4" s="23" t="n">
        <f aca="false">D4+'Income Statement'!E8*Assumptions!E56-'Income Statement'!E14</f>
        <v>2734.30748</v>
      </c>
      <c r="F4" s="23" t="n">
        <f aca="false">E4+'Income Statement'!F8*Assumptions!F56-'Income Statement'!F14</f>
        <v>2881.3103373</v>
      </c>
      <c r="G4" s="23" t="n">
        <f aca="false">F4+'Income Statement'!G8*Assumptions!G56-'Income Statement'!G14</f>
        <v>2949.8668940275</v>
      </c>
      <c r="H4" s="23" t="n">
        <f aca="false">G4+'Income Statement'!H8*Assumptions!H56-'Income Statement'!H14</f>
        <v>2901.73895906836</v>
      </c>
      <c r="I4" s="23" t="n">
        <f aca="false">H4+'Income Statement'!I8*Assumptions!I56-'Income Statement'!I14</f>
        <v>2719.71537577244</v>
      </c>
    </row>
    <row r="5" customFormat="false" ht="15" hidden="false" customHeight="true" outlineLevel="0" collapsed="false">
      <c r="A5" s="5" t="s">
        <v>172</v>
      </c>
      <c r="B5" s="23" t="n">
        <f aca="false">(B11+B12+B13+B14+B15)-(B4+B6+B7+B8)</f>
        <v>2898.88</v>
      </c>
      <c r="C5" s="23" t="n">
        <f aca="false">(C11+C12+C13+C14+C15)-(C4+C6+C7+C8)</f>
        <v>3746.342</v>
      </c>
      <c r="D5" s="23" t="n">
        <f aca="false">(D11+D12+D13+D14+D15)-(D4+D6+D7+D8)</f>
        <v>5822.883</v>
      </c>
      <c r="E5" s="23" t="n">
        <f aca="false">D5</f>
        <v>5822.883</v>
      </c>
      <c r="F5" s="23" t="n">
        <f aca="false">E5</f>
        <v>5822.883</v>
      </c>
      <c r="G5" s="23" t="n">
        <f aca="false">F5</f>
        <v>5822.883</v>
      </c>
      <c r="H5" s="23" t="n">
        <f aca="false">G5</f>
        <v>5822.883</v>
      </c>
      <c r="I5" s="23" t="n">
        <f aca="false">H5</f>
        <v>5822.883</v>
      </c>
    </row>
    <row r="6" customFormat="false" ht="15" hidden="false" customHeight="true" outlineLevel="0" collapsed="false">
      <c r="A6" s="5" t="s">
        <v>69</v>
      </c>
      <c r="B6" s="26" t="n">
        <f aca="false">'Income Statement'!B8*Assumptions!$B$40</f>
        <v>861.52</v>
      </c>
      <c r="C6" s="26" t="n">
        <f aca="false">'Income Statement'!C8*Assumptions!$B$40</f>
        <v>1146.068</v>
      </c>
      <c r="D6" s="26" t="n">
        <f aca="false">'Income Statement'!D8*Assumptions!$B$40</f>
        <v>1490.082</v>
      </c>
      <c r="E6" s="26" t="n">
        <f aca="false">'Income Statement'!E8*Assumptions!$B$40</f>
        <v>1969.84304</v>
      </c>
      <c r="F6" s="26" t="n">
        <f aca="false">'Income Statement'!F8*Assumptions!$B$40</f>
        <v>2487.740662</v>
      </c>
      <c r="G6" s="26" t="n">
        <f aca="false">'Income Statement'!G8*Assumptions!$B$40</f>
        <v>3016.48849601</v>
      </c>
      <c r="H6" s="26" t="n">
        <f aca="false">'Income Statement'!H8*Assumptions!$B$40</f>
        <v>3529.38189700382</v>
      </c>
      <c r="I6" s="26" t="n">
        <f aca="false">'Income Statement'!I8*Assumptions!$B$40</f>
        <v>4004.51883251013</v>
      </c>
    </row>
    <row r="7" customFormat="false" ht="15" hidden="false" customHeight="true" outlineLevel="0" collapsed="false">
      <c r="A7" s="5" t="s">
        <v>173</v>
      </c>
      <c r="B7" s="18" t="n">
        <v>1140</v>
      </c>
      <c r="C7" s="18" t="n">
        <v>1306</v>
      </c>
      <c r="D7" s="18" t="n">
        <v>1491</v>
      </c>
      <c r="E7" s="26" t="n">
        <f aca="false">'Cash Flow'!E14</f>
        <v>4613.582388</v>
      </c>
      <c r="F7" s="26" t="n">
        <f aca="false">'Cash Flow'!F14</f>
        <v>8495.662323595</v>
      </c>
      <c r="G7" s="26" t="n">
        <f aca="false">'Cash Flow'!G14</f>
        <v>13181.1876514256</v>
      </c>
      <c r="H7" s="26" t="n">
        <f aca="false">'Cash Flow'!H14</f>
        <v>18642.4052716079</v>
      </c>
      <c r="I7" s="26" t="n">
        <f aca="false">'Cash Flow'!I14</f>
        <v>24820.9689727426</v>
      </c>
    </row>
    <row r="8" customFormat="false" ht="15" hidden="false" customHeight="true" outlineLevel="0" collapsed="false">
      <c r="A8" s="5" t="s">
        <v>174</v>
      </c>
      <c r="B8" s="18" t="n">
        <v>400</v>
      </c>
      <c r="C8" s="18" t="n">
        <v>450</v>
      </c>
      <c r="D8" s="18" t="n">
        <v>500</v>
      </c>
      <c r="E8" s="23" t="n">
        <f aca="false">D8</f>
        <v>500</v>
      </c>
      <c r="F8" s="23" t="n">
        <f aca="false">E8</f>
        <v>500</v>
      </c>
      <c r="G8" s="23" t="n">
        <f aca="false">F8</f>
        <v>500</v>
      </c>
      <c r="H8" s="23" t="n">
        <f aca="false">G8</f>
        <v>500</v>
      </c>
      <c r="I8" s="23" t="n">
        <f aca="false">H8</f>
        <v>500</v>
      </c>
    </row>
    <row r="9" customFormat="false" ht="15" hidden="false" customHeight="true" outlineLevel="0" collapsed="false">
      <c r="A9" s="11" t="s">
        <v>175</v>
      </c>
      <c r="B9" s="25" t="n">
        <f aca="false">SUM(B4:B8)</f>
        <v>7400.4</v>
      </c>
      <c r="C9" s="25" t="n">
        <f aca="false">SUM(C4:C8)</f>
        <v>9048.41</v>
      </c>
      <c r="D9" s="25" t="n">
        <f aca="false">SUM(D4:D8)</f>
        <v>11903.965</v>
      </c>
      <c r="E9" s="25" t="n">
        <f aca="false">SUM(E4:E8)</f>
        <v>15640.615908</v>
      </c>
      <c r="F9" s="25" t="n">
        <f aca="false">SUM(F4:F8)</f>
        <v>20187.596322895</v>
      </c>
      <c r="G9" s="25" t="n">
        <f aca="false">SUM(G4:G8)</f>
        <v>25470.4260414631</v>
      </c>
      <c r="H9" s="25" t="n">
        <f aca="false">SUM(H4:H8)</f>
        <v>31396.4091276801</v>
      </c>
      <c r="I9" s="25" t="n">
        <f aca="false">SUM(I4:I8)</f>
        <v>37868.0861810252</v>
      </c>
    </row>
    <row r="11" customFormat="false" ht="15" hidden="false" customHeight="true" outlineLevel="0" collapsed="false">
      <c r="A11" s="5" t="s">
        <v>176</v>
      </c>
      <c r="B11" s="18" t="n">
        <v>5300</v>
      </c>
      <c r="C11" s="18" t="n">
        <v>6680</v>
      </c>
      <c r="D11" s="18" t="n">
        <v>8626</v>
      </c>
      <c r="E11" s="23" t="n">
        <f aca="false">D11+'Income Statement'!E22-Assumptions!E59</f>
        <v>11257.6328864</v>
      </c>
      <c r="F11" s="23" t="n">
        <f aca="false">E11+'Income Statement'!F22-Assumptions!F59</f>
        <v>14500.727606316</v>
      </c>
      <c r="G11" s="23" t="n">
        <f aca="false">F11+'Income Statement'!G22-Assumptions!G59</f>
        <v>18308.5834717105</v>
      </c>
      <c r="H11" s="23" t="n">
        <f aca="false">G11+'Income Statement'!H22-Assumptions!H59</f>
        <v>22617.6099037784</v>
      </c>
      <c r="I11" s="23" t="n">
        <f aca="false">H11+'Income Statement'!I22-Assumptions!I59</f>
        <v>27359.7859452692</v>
      </c>
    </row>
    <row r="12" customFormat="false" ht="15" hidden="false" customHeight="true" outlineLevel="0" collapsed="false">
      <c r="A12" s="5" t="s">
        <v>177</v>
      </c>
      <c r="B12" s="18" t="n">
        <v>1100</v>
      </c>
      <c r="C12" s="18" t="n">
        <v>1300</v>
      </c>
      <c r="D12" s="18" t="n">
        <v>1500</v>
      </c>
      <c r="E12" s="23" t="n">
        <f aca="false">D12+'Income Statement'!E21</f>
        <v>2277.9082216</v>
      </c>
      <c r="F12" s="23" t="n">
        <f aca="false">E12+'Income Statement'!F21</f>
        <v>3228.681901579</v>
      </c>
      <c r="G12" s="23" t="n">
        <f aca="false">F12+'Income Statement'!G21</f>
        <v>4343.14586792763</v>
      </c>
      <c r="H12" s="23" t="n">
        <f aca="false">G12+'Income Statement'!H21</f>
        <v>5610.40247594459</v>
      </c>
      <c r="I12" s="23" t="n">
        <f aca="false">H12+'Income Statement'!I21</f>
        <v>7015.9464863173</v>
      </c>
    </row>
    <row r="13" customFormat="false" ht="15" hidden="false" customHeight="true" outlineLevel="0" collapsed="false">
      <c r="A13" s="5" t="s">
        <v>178</v>
      </c>
      <c r="B13" s="18" t="n">
        <v>90</v>
      </c>
      <c r="C13" s="18" t="n">
        <v>100</v>
      </c>
      <c r="D13" s="18" t="n">
        <v>112</v>
      </c>
      <c r="E13" s="23" t="n">
        <f aca="false">D13</f>
        <v>112</v>
      </c>
      <c r="F13" s="23" t="n">
        <f aca="false">E13</f>
        <v>112</v>
      </c>
      <c r="G13" s="23" t="n">
        <f aca="false">F13</f>
        <v>112</v>
      </c>
      <c r="H13" s="23" t="n">
        <f aca="false">G13</f>
        <v>112</v>
      </c>
      <c r="I13" s="23" t="n">
        <f aca="false">H13</f>
        <v>112</v>
      </c>
    </row>
    <row r="14" customFormat="false" ht="15" hidden="false" customHeight="true" outlineLevel="0" collapsed="false">
      <c r="A14" s="5" t="s">
        <v>70</v>
      </c>
      <c r="B14" s="26" t="n">
        <f aca="false">'Income Statement'!B8*Assumptions!$B$41</f>
        <v>587.4</v>
      </c>
      <c r="C14" s="26" t="n">
        <f aca="false">'Income Statement'!C8*Assumptions!$B$41</f>
        <v>781.41</v>
      </c>
      <c r="D14" s="26" t="n">
        <f aca="false">'Income Statement'!D8*Assumptions!$B$41</f>
        <v>1015.965</v>
      </c>
      <c r="E14" s="26" t="n">
        <f aca="false">'Income Statement'!E8*Assumptions!$B$41</f>
        <v>1343.0748</v>
      </c>
      <c r="F14" s="26" t="n">
        <f aca="false">'Income Statement'!F8*Assumptions!$B$41</f>
        <v>1696.186815</v>
      </c>
      <c r="G14" s="26" t="n">
        <f aca="false">'Income Statement'!G8*Assumptions!$B$41</f>
        <v>2056.696701825</v>
      </c>
      <c r="H14" s="26" t="n">
        <f aca="false">'Income Statement'!H8*Assumptions!$B$41</f>
        <v>2406.39674795715</v>
      </c>
      <c r="I14" s="26" t="n">
        <f aca="false">'Income Statement'!I8*Assumptions!$B$41</f>
        <v>2730.35374943873</v>
      </c>
    </row>
    <row r="15" customFormat="false" ht="15" hidden="false" customHeight="true" outlineLevel="0" collapsed="false">
      <c r="A15" s="5" t="s">
        <v>179</v>
      </c>
      <c r="B15" s="18" t="n">
        <v>323</v>
      </c>
      <c r="C15" s="18" t="n">
        <v>187</v>
      </c>
      <c r="D15" s="18" t="n">
        <v>650</v>
      </c>
      <c r="E15" s="23" t="n">
        <f aca="false">D15</f>
        <v>650</v>
      </c>
      <c r="F15" s="23" t="n">
        <f aca="false">E15</f>
        <v>650</v>
      </c>
      <c r="G15" s="23" t="n">
        <f aca="false">F15</f>
        <v>650</v>
      </c>
      <c r="H15" s="23" t="n">
        <f aca="false">G15</f>
        <v>650</v>
      </c>
      <c r="I15" s="23" t="n">
        <f aca="false">H15</f>
        <v>650</v>
      </c>
    </row>
    <row r="16" customFormat="false" ht="15" hidden="false" customHeight="true" outlineLevel="0" collapsed="false">
      <c r="A16" s="11" t="s">
        <v>180</v>
      </c>
      <c r="B16" s="25" t="n">
        <f aca="false">B11+B12+B13+B14+B15</f>
        <v>7400.4</v>
      </c>
      <c r="C16" s="25" t="n">
        <f aca="false">C11+C12+C13+C14+C15</f>
        <v>9048.41</v>
      </c>
      <c r="D16" s="25" t="n">
        <f aca="false">D11+D12+D13+D14+D15</f>
        <v>11903.965</v>
      </c>
      <c r="E16" s="25" t="n">
        <f aca="false">E11+E12+E13+E14+E15</f>
        <v>15640.615908</v>
      </c>
      <c r="F16" s="25" t="n">
        <f aca="false">F11+F12+F13+F14+F15</f>
        <v>20187.596322895</v>
      </c>
      <c r="G16" s="25" t="n">
        <f aca="false">G11+G12+G13+G14+G15</f>
        <v>25470.4260414631</v>
      </c>
      <c r="H16" s="25" t="n">
        <f aca="false">H11+H12+H13+H14+H15</f>
        <v>31396.4091276801</v>
      </c>
      <c r="I16" s="25" t="n">
        <f aca="false">I11+I12+I13+I14+I15</f>
        <v>37868.0861810252</v>
      </c>
    </row>
    <row r="18" customFormat="false" ht="15" hidden="false" customHeight="true" outlineLevel="0" collapsed="false">
      <c r="A18" s="5" t="s">
        <v>181</v>
      </c>
      <c r="B18" s="23" t="n">
        <f aca="false">B9-B16</f>
        <v>0</v>
      </c>
      <c r="C18" s="23" t="n">
        <f aca="false">C9-C16</f>
        <v>0</v>
      </c>
      <c r="D18" s="23" t="n">
        <f aca="false">D9-D16</f>
        <v>0</v>
      </c>
      <c r="E18" s="23" t="n">
        <f aca="false">E9-E16</f>
        <v>0</v>
      </c>
      <c r="F18" s="23" t="n">
        <f aca="false">F9-F16</f>
        <v>0</v>
      </c>
      <c r="G18" s="23" t="n">
        <f aca="false">G9-G16</f>
        <v>0</v>
      </c>
      <c r="H18" s="23" t="n">
        <f aca="false">H9-H16</f>
        <v>0</v>
      </c>
      <c r="I18" s="23" t="n">
        <f aca="false">I9-I16</f>
        <v>0</v>
      </c>
    </row>
    <row r="19" customFormat="false" ht="15" hidden="false" customHeight="true" outlineLevel="0" collapsed="false">
      <c r="A19" s="5" t="s">
        <v>182</v>
      </c>
      <c r="B19" s="23" t="n">
        <f aca="false">B7-B13</f>
        <v>1050</v>
      </c>
      <c r="C19" s="23" t="n">
        <f aca="false">C7-C13</f>
        <v>1206</v>
      </c>
      <c r="D19" s="23" t="n">
        <f aca="false">D7-D13</f>
        <v>1379</v>
      </c>
      <c r="E19" s="23" t="n">
        <f aca="false">E7-E13</f>
        <v>4501.582388</v>
      </c>
      <c r="F19" s="23" t="n">
        <f aca="false">F7-F13</f>
        <v>8383.662323595</v>
      </c>
      <c r="G19" s="23" t="n">
        <f aca="false">G7-G13</f>
        <v>13069.1876514256</v>
      </c>
      <c r="H19" s="23" t="n">
        <f aca="false">H7-H13</f>
        <v>18530.4052716079</v>
      </c>
      <c r="I19" s="23" t="n">
        <f aca="false">I7-I13</f>
        <v>24708.9689727426</v>
      </c>
    </row>
    <row r="20" customFormat="false" ht="15" hidden="false" customHeight="true" outlineLevel="0" collapsed="false">
      <c r="A20" s="5" t="s">
        <v>183</v>
      </c>
      <c r="B20" s="23" t="n">
        <f aca="false">B6-B14</f>
        <v>274.12</v>
      </c>
      <c r="C20" s="23" t="n">
        <f aca="false">C6-C14</f>
        <v>364.658</v>
      </c>
      <c r="D20" s="23" t="n">
        <f aca="false">D6-D14</f>
        <v>474.117</v>
      </c>
      <c r="E20" s="23" t="n">
        <f aca="false">E6-E14</f>
        <v>626.76824</v>
      </c>
      <c r="F20" s="23" t="n">
        <f aca="false">F6-F14</f>
        <v>791.553847</v>
      </c>
      <c r="G20" s="23" t="n">
        <f aca="false">G6-G14</f>
        <v>959.791794185001</v>
      </c>
      <c r="H20" s="23" t="n">
        <f aca="false">H6-H14</f>
        <v>1122.98514904667</v>
      </c>
      <c r="I20" s="23" t="n">
        <f aca="false">I6-I14</f>
        <v>1274.16508307141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9" min="5" style="1" width="12"/>
  </cols>
  <sheetData>
    <row r="1" customFormat="false" ht="17.25" hidden="false" customHeight="true" outlineLevel="0" collapsed="false">
      <c r="A1" s="2" t="s">
        <v>184</v>
      </c>
    </row>
    <row r="2" customFormat="false" ht="15" hidden="false" customHeight="true" outlineLevel="0" collapsed="false">
      <c r="A2" s="3" t="s">
        <v>185</v>
      </c>
    </row>
    <row r="3" customFormat="false" ht="15" hidden="false" customHeight="true" outlineLevel="0" collapsed="false">
      <c r="E3" s="22" t="s">
        <v>75</v>
      </c>
      <c r="F3" s="22" t="s">
        <v>76</v>
      </c>
      <c r="G3" s="22" t="s">
        <v>77</v>
      </c>
      <c r="H3" s="22" t="s">
        <v>78</v>
      </c>
      <c r="I3" s="22" t="s">
        <v>79</v>
      </c>
    </row>
    <row r="4" customFormat="false" ht="15" hidden="false" customHeight="true" outlineLevel="0" collapsed="false">
      <c r="A4" s="5" t="s">
        <v>166</v>
      </c>
      <c r="E4" s="26" t="n">
        <f aca="false">'Income Statement'!E22</f>
        <v>3111.6328864</v>
      </c>
      <c r="F4" s="26" t="n">
        <f aca="false">'Income Statement'!F22</f>
        <v>3803.094719916</v>
      </c>
      <c r="G4" s="26" t="n">
        <f aca="false">'Income Statement'!G22</f>
        <v>4457.8558653945</v>
      </c>
      <c r="H4" s="26" t="n">
        <f aca="false">'Income Statement'!H22</f>
        <v>5069.02643206785</v>
      </c>
      <c r="I4" s="26" t="n">
        <f aca="false">'Income Statement'!I22</f>
        <v>5622.17604149083</v>
      </c>
    </row>
    <row r="5" customFormat="false" ht="15" hidden="false" customHeight="true" outlineLevel="0" collapsed="false">
      <c r="A5" s="5" t="s">
        <v>186</v>
      </c>
      <c r="E5" s="26" t="n">
        <f aca="false">'Income Statement'!E21</f>
        <v>777.9082216</v>
      </c>
      <c r="F5" s="26" t="n">
        <f aca="false">'Income Statement'!F21</f>
        <v>950.773679979</v>
      </c>
      <c r="G5" s="26" t="n">
        <f aca="false">'Income Statement'!G21</f>
        <v>1114.46396634863</v>
      </c>
      <c r="H5" s="26" t="n">
        <f aca="false">'Income Statement'!H21</f>
        <v>1267.25660801696</v>
      </c>
      <c r="I5" s="26" t="n">
        <f aca="false">'Income Statement'!I21</f>
        <v>1405.54401037271</v>
      </c>
    </row>
    <row r="6" customFormat="false" ht="15" hidden="false" customHeight="true" outlineLevel="0" collapsed="false">
      <c r="A6" s="5" t="s">
        <v>140</v>
      </c>
      <c r="E6" s="26" t="n">
        <f aca="false">'Income Statement'!E14</f>
        <v>358.15328</v>
      </c>
      <c r="F6" s="26" t="n">
        <f aca="false">'Income Statement'!F14</f>
        <v>474.9323082</v>
      </c>
      <c r="G6" s="26" t="n">
        <f aca="false">'Income Statement'!G14</f>
        <v>617.0090105475</v>
      </c>
      <c r="H6" s="26" t="n">
        <f aca="false">'Income Statement'!H14</f>
        <v>770.046959346288</v>
      </c>
      <c r="I6" s="26" t="n">
        <f aca="false">'Income Statement'!I14</f>
        <v>910.117916479576</v>
      </c>
    </row>
    <row r="7" customFormat="false" ht="15" hidden="false" customHeight="true" outlineLevel="0" collapsed="false">
      <c r="A7" s="5" t="s">
        <v>187</v>
      </c>
      <c r="E7" s="23" t="n">
        <f aca="false">-(('Balance Sheet'!E6-'Balance Sheet'!E14)-('Balance Sheet'!D6-'Balance Sheet'!D14))</f>
        <v>-152.65124</v>
      </c>
      <c r="F7" s="23" t="n">
        <f aca="false">-(('Balance Sheet'!F6-'Balance Sheet'!F14)-('Balance Sheet'!E6-'Balance Sheet'!E14))</f>
        <v>-164.785607</v>
      </c>
      <c r="G7" s="23" t="n">
        <f aca="false">-(('Balance Sheet'!G6-'Balance Sheet'!G14)-('Balance Sheet'!F6-'Balance Sheet'!F14))</f>
        <v>-168.237947185001</v>
      </c>
      <c r="H7" s="23" t="n">
        <f aca="false">-(('Balance Sheet'!H6-'Balance Sheet'!H14)-('Balance Sheet'!G6-'Balance Sheet'!G14))</f>
        <v>-163.19335486167</v>
      </c>
      <c r="I7" s="23" t="n">
        <f aca="false">-(('Balance Sheet'!I6-'Balance Sheet'!I14)-('Balance Sheet'!H6-'Balance Sheet'!H14))</f>
        <v>-151.179934024736</v>
      </c>
    </row>
    <row r="8" customFormat="false" ht="15" hidden="false" customHeight="true" outlineLevel="0" collapsed="false">
      <c r="A8" s="11" t="s">
        <v>188</v>
      </c>
      <c r="E8" s="25" t="n">
        <f aca="false">E4+E5+E6+E7</f>
        <v>4095.043148</v>
      </c>
      <c r="F8" s="25" t="n">
        <f aca="false">F4+F5+F6+F7</f>
        <v>5064.015101095</v>
      </c>
      <c r="G8" s="25" t="n">
        <f aca="false">G4+G5+G6+G7</f>
        <v>6021.09089510562</v>
      </c>
      <c r="H8" s="25" t="n">
        <f aca="false">H4+H5+H6+H7</f>
        <v>6943.13664456943</v>
      </c>
      <c r="I8" s="25" t="n">
        <f aca="false">I4+I5+I6+I7</f>
        <v>7786.65803431838</v>
      </c>
    </row>
    <row r="9" customFormat="false" ht="15" hidden="false" customHeight="true" outlineLevel="0" collapsed="false">
      <c r="A9" s="5" t="s">
        <v>141</v>
      </c>
      <c r="E9" s="23" t="n">
        <f aca="false">-'Income Statement'!E8*Assumptions!E56</f>
        <v>-492.46076</v>
      </c>
      <c r="F9" s="23" t="n">
        <f aca="false">-'Income Statement'!F8*Assumptions!F56</f>
        <v>-621.9351655</v>
      </c>
      <c r="G9" s="23" t="n">
        <f aca="false">-'Income Statement'!G8*Assumptions!G56</f>
        <v>-685.565567275</v>
      </c>
      <c r="H9" s="23" t="n">
        <f aca="false">-'Income Statement'!H8*Assumptions!H56</f>
        <v>-721.919024387145</v>
      </c>
      <c r="I9" s="23" t="n">
        <f aca="false">-'Income Statement'!I8*Assumptions!I56</f>
        <v>-728.094333183661</v>
      </c>
    </row>
    <row r="10" customFormat="false" ht="15" hidden="false" customHeight="true" outlineLevel="0" collapsed="false">
      <c r="A10" s="11" t="s">
        <v>189</v>
      </c>
      <c r="E10" s="25" t="n">
        <f aca="false">E8+E9</f>
        <v>3602.582388</v>
      </c>
      <c r="F10" s="25" t="n">
        <f aca="false">F8+F9</f>
        <v>4442.079935595</v>
      </c>
      <c r="G10" s="25" t="n">
        <f aca="false">G8+G9</f>
        <v>5335.52532783062</v>
      </c>
      <c r="H10" s="25" t="n">
        <f aca="false">H8+H9</f>
        <v>6221.21762018228</v>
      </c>
      <c r="I10" s="25" t="n">
        <f aca="false">I8+I9</f>
        <v>7058.56370113472</v>
      </c>
    </row>
    <row r="11" customFormat="false" ht="15" hidden="false" customHeight="true" outlineLevel="0" collapsed="false">
      <c r="A11" s="5" t="s">
        <v>190</v>
      </c>
      <c r="E11" s="23" t="n">
        <f aca="false">-Assumptions!E59</f>
        <v>-480</v>
      </c>
      <c r="F11" s="23" t="n">
        <f aca="false">-Assumptions!F59</f>
        <v>-560</v>
      </c>
      <c r="G11" s="23" t="n">
        <f aca="false">-Assumptions!G59</f>
        <v>-650</v>
      </c>
      <c r="H11" s="23" t="n">
        <f aca="false">-Assumptions!H59</f>
        <v>-760</v>
      </c>
      <c r="I11" s="23" t="n">
        <f aca="false">-Assumptions!I59</f>
        <v>-880</v>
      </c>
    </row>
    <row r="12" customFormat="false" ht="15" hidden="false" customHeight="true" outlineLevel="0" collapsed="false">
      <c r="A12" s="5" t="s">
        <v>191</v>
      </c>
      <c r="E12" s="23" t="n">
        <f aca="false">E10+E11</f>
        <v>3122.582388</v>
      </c>
      <c r="F12" s="23" t="n">
        <f aca="false">F10+F11</f>
        <v>3882.079935595</v>
      </c>
      <c r="G12" s="23" t="n">
        <f aca="false">G10+G11</f>
        <v>4685.52532783062</v>
      </c>
      <c r="H12" s="23" t="n">
        <f aca="false">H10+H11</f>
        <v>5461.21762018228</v>
      </c>
      <c r="I12" s="23" t="n">
        <f aca="false">I10+I11</f>
        <v>6178.56370113472</v>
      </c>
    </row>
    <row r="13" customFormat="false" ht="15" hidden="false" customHeight="true" outlineLevel="0" collapsed="false">
      <c r="A13" s="5" t="s">
        <v>192</v>
      </c>
      <c r="E13" s="26" t="n">
        <f aca="false">'Balance Sheet'!D7</f>
        <v>1491</v>
      </c>
      <c r="F13" s="26" t="n">
        <f aca="false">'Balance Sheet'!E7</f>
        <v>4613.582388</v>
      </c>
      <c r="G13" s="26" t="n">
        <f aca="false">'Balance Sheet'!F7</f>
        <v>8495.662323595</v>
      </c>
      <c r="H13" s="26" t="n">
        <f aca="false">'Balance Sheet'!G7</f>
        <v>13181.1876514256</v>
      </c>
      <c r="I13" s="26" t="n">
        <f aca="false">'Balance Sheet'!H7</f>
        <v>18642.4052716079</v>
      </c>
    </row>
    <row r="14" customFormat="false" ht="15" hidden="false" customHeight="true" outlineLevel="0" collapsed="false">
      <c r="A14" s="11" t="s">
        <v>193</v>
      </c>
      <c r="E14" s="25" t="n">
        <f aca="false">E13+E12</f>
        <v>4613.582388</v>
      </c>
      <c r="F14" s="25" t="n">
        <f aca="false">F13+F12</f>
        <v>8495.662323595</v>
      </c>
      <c r="G14" s="25" t="n">
        <f aca="false">G13+G12</f>
        <v>13181.1876514256</v>
      </c>
      <c r="H14" s="25" t="n">
        <f aca="false">H13+H12</f>
        <v>18642.4052716079</v>
      </c>
      <c r="I14" s="25" t="n">
        <f aca="false">I13+I12</f>
        <v>24820.9689727426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9" min="2" style="1" width="11"/>
  </cols>
  <sheetData>
    <row r="1" customFormat="false" ht="17.25" hidden="false" customHeight="true" outlineLevel="0" collapsed="false">
      <c r="A1" s="2" t="s">
        <v>194</v>
      </c>
    </row>
    <row r="2" customFormat="false" ht="15" hidden="false" customHeight="true" outlineLevel="0" collapsed="false">
      <c r="A2" s="3" t="s">
        <v>195</v>
      </c>
    </row>
    <row r="3" customFormat="false" ht="15" hidden="false" customHeight="true" outlineLevel="0" collapsed="false">
      <c r="B3" s="22" t="s">
        <v>115</v>
      </c>
      <c r="C3" s="22" t="s">
        <v>116</v>
      </c>
      <c r="D3" s="22" t="s">
        <v>117</v>
      </c>
      <c r="E3" s="22" t="s">
        <v>75</v>
      </c>
      <c r="F3" s="22" t="s">
        <v>76</v>
      </c>
      <c r="G3" s="22" t="s">
        <v>77</v>
      </c>
      <c r="H3" s="22" t="s">
        <v>78</v>
      </c>
      <c r="I3" s="22" t="s">
        <v>79</v>
      </c>
    </row>
    <row r="4" customFormat="false" ht="15" hidden="false" customHeight="true" outlineLevel="0" collapsed="false">
      <c r="A4" s="5" t="s">
        <v>196</v>
      </c>
      <c r="B4" s="26" t="n">
        <f aca="false">'Income Statement'!B8</f>
        <v>3916</v>
      </c>
      <c r="C4" s="26" t="n">
        <f aca="false">'Income Statement'!C8</f>
        <v>5209.4</v>
      </c>
      <c r="D4" s="26" t="n">
        <f aca="false">'Income Statement'!D8</f>
        <v>6773.1</v>
      </c>
      <c r="E4" s="26" t="n">
        <f aca="false">'Income Statement'!E8</f>
        <v>8953.832</v>
      </c>
      <c r="F4" s="26" t="n">
        <f aca="false">'Income Statement'!F8</f>
        <v>11307.9121</v>
      </c>
      <c r="G4" s="26" t="n">
        <f aca="false">'Income Statement'!G8</f>
        <v>13711.3113455</v>
      </c>
      <c r="H4" s="26" t="n">
        <f aca="false">'Income Statement'!H8</f>
        <v>16042.644986381</v>
      </c>
      <c r="I4" s="26" t="n">
        <f aca="false">'Income Statement'!I8</f>
        <v>18202.3583295915</v>
      </c>
    </row>
    <row r="5" customFormat="false" ht="15" hidden="false" customHeight="true" outlineLevel="0" collapsed="false">
      <c r="A5" s="5" t="s">
        <v>157</v>
      </c>
      <c r="B5" s="26" t="n">
        <f aca="false">'Income Statement'!B12</f>
        <v>1801</v>
      </c>
      <c r="C5" s="26" t="n">
        <f aca="false">'Income Statement'!C12</f>
        <v>2450.5</v>
      </c>
      <c r="D5" s="26" t="n">
        <f aca="false">'Income Statement'!D12</f>
        <v>3332.4</v>
      </c>
      <c r="E5" s="26" t="n">
        <f aca="false">'Income Statement'!E12</f>
        <v>4476.916</v>
      </c>
      <c r="F5" s="26" t="n">
        <f aca="false">'Income Statement'!F12</f>
        <v>5653.95605</v>
      </c>
      <c r="G5" s="26" t="n">
        <f aca="false">'Income Statement'!G12</f>
        <v>6787.0991160225</v>
      </c>
      <c r="H5" s="26" t="n">
        <f aca="false">'Income Statement'!H12</f>
        <v>7860.89604332669</v>
      </c>
      <c r="I5" s="26" t="n">
        <f aca="false">'Income Statement'!I12</f>
        <v>8828.14378985189</v>
      </c>
    </row>
    <row r="6" customFormat="false" ht="15" hidden="false" customHeight="true" outlineLevel="0" collapsed="false">
      <c r="A6" s="5" t="s">
        <v>138</v>
      </c>
      <c r="B6" s="26" t="n">
        <f aca="false">'Income Statement'!B15</f>
        <v>1621</v>
      </c>
      <c r="C6" s="26" t="n">
        <f aca="false">'Income Statement'!C15</f>
        <v>2220.5</v>
      </c>
      <c r="D6" s="26" t="n">
        <f aca="false">'Income Statement'!D15</f>
        <v>3080</v>
      </c>
      <c r="E6" s="26" t="n">
        <f aca="false">'Income Statement'!E15</f>
        <v>4118.76272</v>
      </c>
      <c r="F6" s="26" t="n">
        <f aca="false">'Income Statement'!F15</f>
        <v>5179.0237418</v>
      </c>
      <c r="G6" s="26" t="n">
        <f aca="false">'Income Statement'!G15</f>
        <v>6170.090105475</v>
      </c>
      <c r="H6" s="26" t="n">
        <f aca="false">'Income Statement'!H15</f>
        <v>7090.8490839804</v>
      </c>
      <c r="I6" s="26" t="n">
        <f aca="false">'Income Statement'!I15</f>
        <v>7918.02587337231</v>
      </c>
    </row>
    <row r="7" customFormat="false" ht="15" hidden="false" customHeight="true" outlineLevel="0" collapsed="false">
      <c r="A7" s="5" t="s">
        <v>166</v>
      </c>
      <c r="B7" s="26" t="n">
        <f aca="false">'Income Statement'!B22</f>
        <v>1290</v>
      </c>
      <c r="C7" s="26" t="n">
        <f aca="false">'Income Statement'!C22</f>
        <v>1776</v>
      </c>
      <c r="D7" s="26" t="n">
        <f aca="false">'Income Statement'!D22</f>
        <v>2405.4</v>
      </c>
      <c r="E7" s="26" t="n">
        <f aca="false">'Income Statement'!E22</f>
        <v>3111.6328864</v>
      </c>
      <c r="F7" s="26" t="n">
        <f aca="false">'Income Statement'!F22</f>
        <v>3803.094719916</v>
      </c>
      <c r="G7" s="26" t="n">
        <f aca="false">'Income Statement'!G22</f>
        <v>4457.8558653945</v>
      </c>
      <c r="H7" s="26" t="n">
        <f aca="false">'Income Statement'!H22</f>
        <v>5069.02643206785</v>
      </c>
      <c r="I7" s="26" t="n">
        <f aca="false">'Income Statement'!I22</f>
        <v>5622.17604149083</v>
      </c>
    </row>
    <row r="8" customFormat="false" ht="15" hidden="false" customHeight="true" outlineLevel="0" collapsed="false">
      <c r="A8" s="5" t="s">
        <v>175</v>
      </c>
      <c r="B8" s="26" t="n">
        <f aca="false">'Balance Sheet'!B9</f>
        <v>7400.4</v>
      </c>
      <c r="C8" s="26" t="n">
        <f aca="false">'Balance Sheet'!C9</f>
        <v>9048.41</v>
      </c>
      <c r="D8" s="26" t="n">
        <f aca="false">'Balance Sheet'!D9</f>
        <v>11903.965</v>
      </c>
      <c r="E8" s="26" t="n">
        <f aca="false">'Balance Sheet'!E9</f>
        <v>15640.615908</v>
      </c>
      <c r="F8" s="26" t="n">
        <f aca="false">'Balance Sheet'!F9</f>
        <v>20187.596322895</v>
      </c>
      <c r="G8" s="26" t="n">
        <f aca="false">'Balance Sheet'!G9</f>
        <v>25470.4260414631</v>
      </c>
      <c r="H8" s="26" t="n">
        <f aca="false">'Balance Sheet'!H9</f>
        <v>31396.4091276801</v>
      </c>
      <c r="I8" s="26" t="n">
        <f aca="false">'Balance Sheet'!I9</f>
        <v>37868.0861810252</v>
      </c>
    </row>
    <row r="9" customFormat="false" ht="15" hidden="false" customHeight="true" outlineLevel="0" collapsed="false">
      <c r="A9" s="5" t="s">
        <v>197</v>
      </c>
      <c r="B9" s="26" t="n">
        <f aca="false">'Balance Sheet'!B11</f>
        <v>5300</v>
      </c>
      <c r="C9" s="26" t="n">
        <f aca="false">'Balance Sheet'!C11</f>
        <v>6680</v>
      </c>
      <c r="D9" s="26" t="n">
        <f aca="false">'Balance Sheet'!D11</f>
        <v>8626</v>
      </c>
      <c r="E9" s="26" t="n">
        <f aca="false">'Balance Sheet'!E11</f>
        <v>11257.6328864</v>
      </c>
      <c r="F9" s="26" t="n">
        <f aca="false">'Balance Sheet'!F11</f>
        <v>14500.727606316</v>
      </c>
      <c r="G9" s="26" t="n">
        <f aca="false">'Balance Sheet'!G11</f>
        <v>18308.5834717105</v>
      </c>
      <c r="H9" s="26" t="n">
        <f aca="false">'Balance Sheet'!H11</f>
        <v>22617.6099037784</v>
      </c>
      <c r="I9" s="26" t="n">
        <f aca="false">'Balance Sheet'!I11</f>
        <v>27359.7859452692</v>
      </c>
    </row>
    <row r="10" customFormat="false" ht="15" hidden="false" customHeight="true" outlineLevel="0" collapsed="false">
      <c r="A10" s="5" t="s">
        <v>198</v>
      </c>
      <c r="B10" s="26" t="n">
        <f aca="false">'Balance Sheet'!B19</f>
        <v>1050</v>
      </c>
      <c r="C10" s="26" t="n">
        <f aca="false">'Balance Sheet'!C19</f>
        <v>1206</v>
      </c>
      <c r="D10" s="26" t="n">
        <f aca="false">'Balance Sheet'!D19</f>
        <v>1379</v>
      </c>
      <c r="E10" s="26" t="n">
        <f aca="false">'Balance Sheet'!E19</f>
        <v>4501.582388</v>
      </c>
      <c r="F10" s="26" t="n">
        <f aca="false">'Balance Sheet'!F19</f>
        <v>8383.662323595</v>
      </c>
      <c r="G10" s="26" t="n">
        <f aca="false">'Balance Sheet'!G19</f>
        <v>13069.1876514256</v>
      </c>
      <c r="H10" s="26" t="n">
        <f aca="false">'Balance Sheet'!H19</f>
        <v>18530.4052716079</v>
      </c>
      <c r="I10" s="26" t="n">
        <f aca="false">'Balance Sheet'!I19</f>
        <v>24708.9689727426</v>
      </c>
    </row>
    <row r="11" customFormat="false" ht="15" hidden="false" customHeight="true" outlineLevel="0" collapsed="false">
      <c r="A11" s="5" t="s">
        <v>189</v>
      </c>
      <c r="E11" s="26" t="n">
        <f aca="false">'Cash Flow'!E10</f>
        <v>3602.582388</v>
      </c>
      <c r="F11" s="26" t="n">
        <f aca="false">'Cash Flow'!F10</f>
        <v>4442.079935595</v>
      </c>
      <c r="G11" s="26" t="n">
        <f aca="false">'Cash Flow'!G10</f>
        <v>5335.52532783062</v>
      </c>
      <c r="H11" s="26" t="n">
        <f aca="false">'Cash Flow'!H10</f>
        <v>6221.21762018228</v>
      </c>
      <c r="I11" s="26" t="n">
        <f aca="false">'Cash Flow'!I10</f>
        <v>7058.56370113472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2" t="s">
        <v>199</v>
      </c>
    </row>
    <row r="2" customFormat="false" ht="15" hidden="false" customHeight="true" outlineLevel="0" collapsed="false">
      <c r="A2" s="3" t="s">
        <v>200</v>
      </c>
    </row>
    <row r="3" customFormat="false" ht="15" hidden="false" customHeight="true" outlineLevel="0" collapsed="false">
      <c r="A3" s="11" t="s">
        <v>201</v>
      </c>
    </row>
    <row r="4" customFormat="false" ht="15" hidden="false" customHeight="true" outlineLevel="0" collapsed="false">
      <c r="A4" s="7" t="s">
        <v>202</v>
      </c>
      <c r="B4" s="7" t="s">
        <v>203</v>
      </c>
      <c r="C4" s="7" t="s">
        <v>204</v>
      </c>
      <c r="D4" s="7" t="s">
        <v>205</v>
      </c>
      <c r="E4" s="7" t="s">
        <v>206</v>
      </c>
      <c r="F4" s="7" t="s">
        <v>207</v>
      </c>
    </row>
    <row r="5" customFormat="false" ht="15" hidden="false" customHeight="true" outlineLevel="0" collapsed="false">
      <c r="A5" s="5" t="s">
        <v>208</v>
      </c>
      <c r="B5" s="28" t="n">
        <v>16.58</v>
      </c>
      <c r="C5" s="28" t="n">
        <v>19.13</v>
      </c>
      <c r="D5" s="28" t="n">
        <v>20.74</v>
      </c>
      <c r="E5" s="28" t="n">
        <v>22.48</v>
      </c>
      <c r="F5" s="28" t="n">
        <v>25.94</v>
      </c>
    </row>
    <row r="6" customFormat="false" ht="15" hidden="false" customHeight="true" outlineLevel="0" collapsed="false">
      <c r="A6" s="5" t="s">
        <v>209</v>
      </c>
      <c r="B6" s="28" t="n">
        <v>14.08</v>
      </c>
      <c r="C6" s="28" t="n">
        <v>18.04</v>
      </c>
      <c r="D6" s="28" t="n">
        <v>20.74</v>
      </c>
      <c r="E6" s="28" t="n">
        <v>23.85</v>
      </c>
      <c r="F6" s="28" t="n">
        <v>30.56</v>
      </c>
    </row>
    <row r="8" customFormat="false" ht="15" hidden="false" customHeight="true" outlineLevel="0" collapsed="false">
      <c r="A8" s="5" t="s">
        <v>210</v>
      </c>
      <c r="D8" s="10" t="n">
        <f aca="false">Assumptions!$B$44</f>
        <v>0.5088</v>
      </c>
    </row>
    <row r="9" customFormat="false" ht="15" hidden="false" customHeight="true" outlineLevel="0" collapsed="false">
      <c r="A9" s="5" t="s">
        <v>211</v>
      </c>
      <c r="D9" s="10" t="n">
        <f aca="false">Assumptions!$B$45</f>
        <v>0</v>
      </c>
    </row>
    <row r="11" customFormat="false" ht="15" hidden="false" customHeight="true" outlineLevel="0" collapsed="false">
      <c r="A11" s="11" t="s">
        <v>212</v>
      </c>
    </row>
    <row r="12" customFormat="false" ht="15" hidden="false" customHeight="true" outlineLevel="0" collapsed="false">
      <c r="A12" s="7" t="s">
        <v>213</v>
      </c>
      <c r="B12" s="7" t="s">
        <v>214</v>
      </c>
      <c r="C12" s="7" t="s">
        <v>215</v>
      </c>
    </row>
    <row r="13" customFormat="false" ht="15" hidden="false" customHeight="true" outlineLevel="0" collapsed="false">
      <c r="A13" s="28" t="n">
        <v>26</v>
      </c>
      <c r="B13" s="13" t="n">
        <v>0.079</v>
      </c>
      <c r="C13" s="13" t="n">
        <v>0.264</v>
      </c>
    </row>
    <row r="14" customFormat="false" ht="15" hidden="false" customHeight="true" outlineLevel="0" collapsed="false">
      <c r="A14" s="28" t="n">
        <v>24</v>
      </c>
      <c r="B14" s="13" t="n">
        <v>0.203</v>
      </c>
      <c r="C14" s="13" t="n">
        <v>0.44</v>
      </c>
    </row>
    <row r="15" customFormat="false" ht="15" hidden="false" customHeight="true" outlineLevel="0" collapsed="false">
      <c r="A15" s="28" t="n">
        <v>23</v>
      </c>
      <c r="B15" s="13" t="n">
        <v>0.334</v>
      </c>
      <c r="C15" s="13" t="n">
        <v>0.564</v>
      </c>
    </row>
    <row r="16" customFormat="false" ht="15" hidden="false" customHeight="true" outlineLevel="0" collapsed="false">
      <c r="A16" s="28" t="n">
        <v>22</v>
      </c>
      <c r="B16" s="13" t="n">
        <v>0.533</v>
      </c>
      <c r="C16" s="13" t="n">
        <v>0.716</v>
      </c>
    </row>
    <row r="17" customFormat="false" ht="15" hidden="false" customHeight="true" outlineLevel="0" collapsed="false">
      <c r="A17" s="28" t="n">
        <v>21</v>
      </c>
      <c r="B17" s="13" t="n">
        <v>0.808</v>
      </c>
      <c r="C17" s="13" t="n">
        <v>0.889</v>
      </c>
    </row>
    <row r="18" customFormat="false" ht="15" hidden="false" customHeight="true" outlineLevel="0" collapsed="false">
      <c r="A18" s="28" t="n">
        <v>20</v>
      </c>
      <c r="B18" s="13" t="n">
        <v>0.665</v>
      </c>
      <c r="C18" s="13" t="n">
        <v>0.8</v>
      </c>
    </row>
    <row r="19" customFormat="false" ht="15" hidden="false" customHeight="true" outlineLevel="0" collapsed="false">
      <c r="A19" s="28" t="n">
        <v>19</v>
      </c>
      <c r="B19" s="13" t="n">
        <v>0.395</v>
      </c>
      <c r="C19" s="13" t="n">
        <v>0.617</v>
      </c>
    </row>
    <row r="20" customFormat="false" ht="15" hidden="false" customHeight="true" outlineLevel="0" collapsed="false">
      <c r="A20" s="28" t="n">
        <v>18</v>
      </c>
      <c r="B20" s="13" t="n">
        <v>0.212</v>
      </c>
      <c r="C20" s="13" t="n">
        <v>0.451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7" min="2" style="1" width="11"/>
  </cols>
  <sheetData>
    <row r="1" customFormat="false" ht="17.25" hidden="false" customHeight="true" outlineLevel="0" collapsed="false">
      <c r="A1" s="2" t="s">
        <v>216</v>
      </c>
    </row>
    <row r="2" customFormat="false" ht="15" hidden="false" customHeight="true" outlineLevel="0" collapsed="false">
      <c r="A2" s="3" t="s">
        <v>217</v>
      </c>
    </row>
    <row r="4" customFormat="false" ht="15" hidden="false" customHeight="true" outlineLevel="0" collapsed="false">
      <c r="A4" s="5" t="s">
        <v>218</v>
      </c>
      <c r="B4" s="24" t="n">
        <v>12</v>
      </c>
      <c r="C4" s="24" t="n">
        <v>13</v>
      </c>
      <c r="D4" s="24" t="n">
        <v>14</v>
      </c>
      <c r="E4" s="24" t="n">
        <v>15</v>
      </c>
      <c r="F4" s="24" t="n">
        <v>16</v>
      </c>
      <c r="G4" s="24" t="n">
        <v>18</v>
      </c>
    </row>
    <row r="5" customFormat="false" ht="15" hidden="false" customHeight="true" outlineLevel="0" collapsed="false">
      <c r="A5" s="23" t="n">
        <v>3800</v>
      </c>
      <c r="B5" s="28" t="n">
        <f aca="false">($A5*B$4+Assumptions!$B$6)/Assumptions!$B$5</f>
        <v>13.5516215849792</v>
      </c>
      <c r="C5" s="28" t="n">
        <f aca="false">($A5*C$4+Assumptions!$B$6)/Assumptions!$B$5</f>
        <v>14.64777437714</v>
      </c>
      <c r="D5" s="28" t="n">
        <f aca="false">($A5*D$4+Assumptions!$B$6)/Assumptions!$B$5</f>
        <v>15.7439271693008</v>
      </c>
      <c r="E5" s="28" t="n">
        <f aca="false">($A5*E$4+Assumptions!$B$6)/Assumptions!$B$5</f>
        <v>16.8400799614616</v>
      </c>
      <c r="F5" s="28" t="n">
        <f aca="false">($A5*F$4+Assumptions!$B$6)/Assumptions!$B$5</f>
        <v>17.9362327536224</v>
      </c>
      <c r="G5" s="28" t="n">
        <f aca="false">($A5*G$4+Assumptions!$B$6)/Assumptions!$B$5</f>
        <v>20.1285383379439</v>
      </c>
    </row>
    <row r="6" customFormat="false" ht="15" hidden="false" customHeight="true" outlineLevel="0" collapsed="false">
      <c r="A6" s="23" t="n">
        <v>4000</v>
      </c>
      <c r="B6" s="28" t="n">
        <f aca="false">($A6*B$4+Assumptions!$B$6)/Assumptions!$B$5</f>
        <v>14.2439286116071</v>
      </c>
      <c r="C6" s="28" t="n">
        <f aca="false">($A6*C$4+Assumptions!$B$6)/Assumptions!$B$5</f>
        <v>15.3977736559869</v>
      </c>
      <c r="D6" s="28" t="n">
        <f aca="false">($A6*D$4+Assumptions!$B$6)/Assumptions!$B$5</f>
        <v>16.5516187003666</v>
      </c>
      <c r="E6" s="28" t="n">
        <f aca="false">($A6*E$4+Assumptions!$B$6)/Assumptions!$B$5</f>
        <v>17.7054637447464</v>
      </c>
      <c r="F6" s="28" t="n">
        <f aca="false">($A6*F$4+Assumptions!$B$6)/Assumptions!$B$5</f>
        <v>18.8593087891262</v>
      </c>
      <c r="G6" s="28" t="n">
        <f aca="false">($A6*G$4+Assumptions!$B$6)/Assumptions!$B$5</f>
        <v>21.1669988778857</v>
      </c>
    </row>
    <row r="7" customFormat="false" ht="15" hidden="false" customHeight="true" outlineLevel="0" collapsed="false">
      <c r="A7" s="23" t="n">
        <v>4200</v>
      </c>
      <c r="B7" s="28" t="n">
        <f aca="false">($A7*B$4+Assumptions!$B$6)/Assumptions!$B$5</f>
        <v>14.936235638235</v>
      </c>
      <c r="C7" s="28" t="n">
        <f aca="false">($A7*C$4+Assumptions!$B$6)/Assumptions!$B$5</f>
        <v>16.1477729348337</v>
      </c>
      <c r="D7" s="28" t="n">
        <f aca="false">($A7*D$4+Assumptions!$B$6)/Assumptions!$B$5</f>
        <v>17.3593102314325</v>
      </c>
      <c r="E7" s="28" t="n">
        <f aca="false">($A7*E$4+Assumptions!$B$6)/Assumptions!$B$5</f>
        <v>18.5708475280312</v>
      </c>
      <c r="F7" s="28" t="n">
        <f aca="false">($A7*F$4+Assumptions!$B$6)/Assumptions!$B$5</f>
        <v>19.78238482463</v>
      </c>
      <c r="G7" s="28" t="n">
        <f aca="false">($A7*G$4+Assumptions!$B$6)/Assumptions!$B$5</f>
        <v>22.2054594178275</v>
      </c>
    </row>
    <row r="8" customFormat="false" ht="15" hidden="false" customHeight="true" outlineLevel="0" collapsed="false">
      <c r="A8" s="23" t="n">
        <v>4400</v>
      </c>
      <c r="B8" s="28" t="n">
        <f aca="false">($A8*B$4+Assumptions!$B$6)/Assumptions!$B$5</f>
        <v>15.6285426648628</v>
      </c>
      <c r="C8" s="28" t="n">
        <f aca="false">($A8*C$4+Assumptions!$B$6)/Assumptions!$B$5</f>
        <v>16.8977722136806</v>
      </c>
      <c r="D8" s="28" t="n">
        <f aca="false">($A8*D$4+Assumptions!$B$6)/Assumptions!$B$5</f>
        <v>18.1670017624983</v>
      </c>
      <c r="E8" s="28" t="n">
        <f aca="false">($A8*E$4+Assumptions!$B$6)/Assumptions!$B$5</f>
        <v>19.436231311316</v>
      </c>
      <c r="F8" s="28" t="n">
        <f aca="false">($A8*F$4+Assumptions!$B$6)/Assumptions!$B$5</f>
        <v>20.7054608601338</v>
      </c>
      <c r="G8" s="28" t="n">
        <f aca="false">($A8*G$4+Assumptions!$B$6)/Assumptions!$B$5</f>
        <v>23.2439199577693</v>
      </c>
    </row>
    <row r="9" customFormat="false" ht="15" hidden="false" customHeight="true" outlineLevel="0" collapsed="false">
      <c r="A9" s="23" t="n">
        <v>4600</v>
      </c>
      <c r="B9" s="28" t="n">
        <f aca="false">($A9*B$4+Assumptions!$B$6)/Assumptions!$B$5</f>
        <v>16.3208496914907</v>
      </c>
      <c r="C9" s="28" t="n">
        <f aca="false">($A9*C$4+Assumptions!$B$6)/Assumptions!$B$5</f>
        <v>17.6477714925274</v>
      </c>
      <c r="D9" s="28" t="n">
        <f aca="false">($A9*D$4+Assumptions!$B$6)/Assumptions!$B$5</f>
        <v>18.9746932935641</v>
      </c>
      <c r="E9" s="28" t="n">
        <f aca="false">($A9*E$4+Assumptions!$B$6)/Assumptions!$B$5</f>
        <v>20.3016150946009</v>
      </c>
      <c r="F9" s="28" t="n">
        <f aca="false">($A9*F$4+Assumptions!$B$6)/Assumptions!$B$5</f>
        <v>21.6285368956376</v>
      </c>
      <c r="G9" s="28" t="n">
        <f aca="false">($A9*G$4+Assumptions!$B$6)/Assumptions!$B$5</f>
        <v>24.2823804977111</v>
      </c>
    </row>
    <row r="10" customFormat="false" ht="15" hidden="false" customHeight="true" outlineLevel="0" collapsed="false">
      <c r="A10" s="23" t="n">
        <v>4800</v>
      </c>
      <c r="B10" s="28" t="n">
        <f aca="false">($A10*B$4+Assumptions!$B$6)/Assumptions!$B$5</f>
        <v>17.0131567181185</v>
      </c>
      <c r="C10" s="28" t="n">
        <f aca="false">($A10*C$4+Assumptions!$B$6)/Assumptions!$B$5</f>
        <v>18.3977707713743</v>
      </c>
      <c r="D10" s="28" t="n">
        <f aca="false">($A10*D$4+Assumptions!$B$6)/Assumptions!$B$5</f>
        <v>19.78238482463</v>
      </c>
      <c r="E10" s="28" t="n">
        <f aca="false">($A10*E$4+Assumptions!$B$6)/Assumptions!$B$5</f>
        <v>21.1669988778857</v>
      </c>
      <c r="F10" s="28" t="n">
        <f aca="false">($A10*F$4+Assumptions!$B$6)/Assumptions!$B$5</f>
        <v>22.5516129311414</v>
      </c>
      <c r="G10" s="28" t="n">
        <f aca="false">($A10*G$4+Assumptions!$B$6)/Assumptions!$B$5</f>
        <v>25.3208410376528</v>
      </c>
    </row>
    <row r="12" customFormat="false" ht="15" hidden="false" customHeight="true" outlineLevel="0" collapsed="false">
      <c r="A12" s="14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9" min="2" style="1" width="11"/>
  </cols>
  <sheetData>
    <row r="1" customFormat="false" ht="17.25" hidden="false" customHeight="true" outlineLevel="0" collapsed="false">
      <c r="A1" s="2" t="s">
        <v>220</v>
      </c>
    </row>
    <row r="2" customFormat="false" ht="15" hidden="false" customHeight="true" outlineLevel="0" collapsed="false">
      <c r="A2" s="3" t="s">
        <v>221</v>
      </c>
    </row>
    <row r="3" customFormat="false" ht="15" hidden="false" customHeight="true" outlineLevel="0" collapsed="false">
      <c r="B3" s="22" t="s">
        <v>115</v>
      </c>
      <c r="C3" s="22" t="s">
        <v>116</v>
      </c>
      <c r="D3" s="22" t="s">
        <v>117</v>
      </c>
      <c r="E3" s="22" t="s">
        <v>75</v>
      </c>
      <c r="F3" s="22" t="s">
        <v>76</v>
      </c>
      <c r="G3" s="22" t="s">
        <v>77</v>
      </c>
      <c r="H3" s="22" t="s">
        <v>78</v>
      </c>
      <c r="I3" s="22" t="s">
        <v>79</v>
      </c>
    </row>
    <row r="4" customFormat="false" ht="15" hidden="false" customHeight="true" outlineLevel="0" collapsed="false">
      <c r="A4" s="5" t="s">
        <v>222</v>
      </c>
      <c r="B4" s="9" t="n">
        <f aca="false">'Income Statement'!B22/Assumptions!$B$5</f>
        <v>0.372115026812474</v>
      </c>
      <c r="C4" s="9" t="n">
        <f aca="false">'Income Statement'!C22/Assumptions!$B$5</f>
        <v>0.512307199704616</v>
      </c>
      <c r="D4" s="9" t="n">
        <f aca="false">'Income Statement'!D22/Assumptions!$B$5</f>
        <v>0.693864717437772</v>
      </c>
      <c r="E4" s="9" t="n">
        <f aca="false">'Income Statement'!E22/Assumptions!$B$5</f>
        <v>0.897585546475436</v>
      </c>
      <c r="F4" s="9" t="n">
        <f aca="false">'Income Statement'!F22/Assumptions!$B$5</f>
        <v>1.09704549897048</v>
      </c>
      <c r="G4" s="9" t="n">
        <f aca="false">'Income Statement'!G22/Assumptions!$B$5</f>
        <v>1.28591872471118</v>
      </c>
      <c r="H4" s="9" t="n">
        <f aca="false">'Income Statement'!H22/Assumptions!$B$5</f>
        <v>1.46221775711788</v>
      </c>
      <c r="I4" s="9" t="n">
        <f aca="false">'Income Statement'!I22/Assumptions!$B$5</f>
        <v>1.62177999102621</v>
      </c>
    </row>
    <row r="5" customFormat="false" ht="15" hidden="false" customHeight="true" outlineLevel="0" collapsed="false">
      <c r="A5" s="5" t="s">
        <v>223</v>
      </c>
      <c r="B5" s="9" t="n">
        <f aca="false">'Balance Sheet'!B11/Assumptions!$B$5</f>
        <v>1.52884468380319</v>
      </c>
      <c r="C5" s="9" t="n">
        <f aca="false">'Balance Sheet'!C11/Assumptions!$B$5</f>
        <v>1.92692122411421</v>
      </c>
      <c r="D5" s="9" t="n">
        <f aca="false">'Balance Sheet'!D11/Assumptions!$B$5</f>
        <v>2.48826683820496</v>
      </c>
      <c r="E5" s="9" t="n">
        <f aca="false">'Balance Sheet'!E11/Assumptions!$B$5</f>
        <v>3.24739097935483</v>
      </c>
      <c r="F5" s="9" t="n">
        <f aca="false">'Balance Sheet'!F11/Assumptions!$B$5</f>
        <v>4.18289817211214</v>
      </c>
      <c r="G5" s="9" t="n">
        <f aca="false">'Balance Sheet'!G11/Assumptions!$B$5</f>
        <v>5.28131707711161</v>
      </c>
      <c r="H5" s="9" t="n">
        <f aca="false">'Balance Sheet'!H11/Assumptions!$B$5</f>
        <v>6.52430427579734</v>
      </c>
      <c r="I5" s="9" t="n">
        <f aca="false">'Balance Sheet'!I11/Assumptions!$B$5</f>
        <v>7.89223835706</v>
      </c>
    </row>
    <row r="6" customFormat="false" ht="15" hidden="false" customHeight="true" outlineLevel="0" collapsed="false">
      <c r="A6" s="5" t="s">
        <v>85</v>
      </c>
      <c r="B6" s="10" t="n">
        <f aca="false">'Income Statement'!B12/'Income Statement'!B8</f>
        <v>0.459908069458631</v>
      </c>
      <c r="C6" s="10" t="n">
        <f aca="false">'Income Statement'!C12/'Income Statement'!C8</f>
        <v>0.470399662149192</v>
      </c>
      <c r="D6" s="10" t="n">
        <f aca="false">'Income Statement'!D12/'Income Statement'!D8</f>
        <v>0.492005137972273</v>
      </c>
      <c r="E6" s="10" t="n">
        <f aca="false">'Income Statement'!E12/'Income Statement'!E8</f>
        <v>0.5</v>
      </c>
      <c r="F6" s="10" t="n">
        <f aca="false">'Income Statement'!F12/'Income Statement'!F8</f>
        <v>0.5</v>
      </c>
      <c r="G6" s="10" t="n">
        <f aca="false">'Income Statement'!G12/'Income Statement'!G8</f>
        <v>0.495</v>
      </c>
      <c r="H6" s="10" t="n">
        <f aca="false">'Income Statement'!H12/'Income Statement'!H8</f>
        <v>0.49</v>
      </c>
      <c r="I6" s="10" t="n">
        <f aca="false">'Income Statement'!I12/'Income Statement'!I8</f>
        <v>0.485</v>
      </c>
    </row>
    <row r="7" customFormat="false" ht="15" hidden="false" customHeight="true" outlineLevel="0" collapsed="false">
      <c r="A7" s="5" t="s">
        <v>224</v>
      </c>
      <c r="B7" s="34" t="n">
        <f aca="false">'Balance Sheet'!B19/'Income Statement'!B12</f>
        <v>0.583009439200444</v>
      </c>
      <c r="C7" s="34" t="n">
        <f aca="false">'Balance Sheet'!C19/'Income Statement'!C12</f>
        <v>0.492144460314222</v>
      </c>
      <c r="D7" s="34" t="n">
        <f aca="false">'Balance Sheet'!D19/'Income Statement'!D12</f>
        <v>0.413815868443164</v>
      </c>
      <c r="E7" s="34" t="n">
        <f aca="false">'Balance Sheet'!E19/'Income Statement'!E12</f>
        <v>1.005509683005</v>
      </c>
      <c r="F7" s="34" t="n">
        <f aca="false">'Balance Sheet'!F19/'Income Statement'!F12</f>
        <v>1.48279580694565</v>
      </c>
      <c r="G7" s="34" t="n">
        <f aca="false">'Balance Sheet'!G19/'Income Statement'!G12</f>
        <v>1.92559257320595</v>
      </c>
      <c r="H7" s="34" t="n">
        <f aca="false">'Balance Sheet'!H19/'Income Statement'!H12</f>
        <v>2.35728919063099</v>
      </c>
      <c r="I7" s="34" t="n">
        <f aca="false">'Balance Sheet'!I19/'Income Statement'!I12</f>
        <v>2.79888610345768</v>
      </c>
    </row>
    <row r="8" customFormat="false" ht="15" hidden="false" customHeight="true" outlineLevel="0" collapsed="false">
      <c r="A8" s="5" t="s">
        <v>225</v>
      </c>
      <c r="B8" s="10" t="n">
        <f aca="false">'Income Statement'!B22/'Balance Sheet'!B11</f>
        <v>0.243396226415094</v>
      </c>
      <c r="C8" s="10" t="n">
        <f aca="false">'Income Statement'!C22/'Balance Sheet'!C11</f>
        <v>0.265868263473054</v>
      </c>
      <c r="D8" s="10" t="n">
        <f aca="false">'Income Statement'!D22/'Balance Sheet'!D11</f>
        <v>0.278854625550661</v>
      </c>
      <c r="E8" s="10" t="n">
        <f aca="false">'Income Statement'!E22/'Balance Sheet'!E11</f>
        <v>0.276402056968749</v>
      </c>
      <c r="F8" s="10" t="n">
        <f aca="false">'Income Statement'!F22/'Balance Sheet'!F11</f>
        <v>0.262269233873444</v>
      </c>
      <c r="G8" s="10" t="n">
        <f aca="false">'Income Statement'!G22/'Balance Sheet'!G11</f>
        <v>0.243484476681801</v>
      </c>
      <c r="H8" s="10" t="n">
        <f aca="false">'Income Statement'!H22/'Balance Sheet'!H11</f>
        <v>0.224118571928374</v>
      </c>
      <c r="I8" s="10" t="n">
        <f aca="false">'Income Statement'!I22/'Balance Sheet'!I11</f>
        <v>0.2054904980886</v>
      </c>
    </row>
    <row r="9" customFormat="false" ht="15" hidden="false" customHeight="true" outlineLevel="0" collapsed="false">
      <c r="A9" s="5" t="s">
        <v>226</v>
      </c>
      <c r="C9" s="10" t="n">
        <f aca="false">'Income Statement'!C8/'Income Statement'!B8-1</f>
        <v>0.330286006128703</v>
      </c>
      <c r="D9" s="10" t="n">
        <f aca="false">'Income Statement'!D8/'Income Statement'!C8-1</f>
        <v>0.300168925404077</v>
      </c>
      <c r="E9" s="10" t="n">
        <f aca="false">'Income Statement'!E8/'Income Statement'!D8-1</f>
        <v>0.321969556037856</v>
      </c>
      <c r="F9" s="10" t="n">
        <f aca="false">'Income Statement'!F8/'Income Statement'!E8-1</f>
        <v>0.262913141546547</v>
      </c>
      <c r="G9" s="10" t="n">
        <f aca="false">'Income Statement'!G8/'Income Statement'!F8-1</f>
        <v>0.212541380251797</v>
      </c>
      <c r="H9" s="10" t="n">
        <f aca="false">'Income Statement'!H8/'Income Statement'!G8-1</f>
        <v>0.170029954257157</v>
      </c>
      <c r="I9" s="10" t="n">
        <f aca="false">'Income Statement'!I8/'Income Statement'!H8-1</f>
        <v>0.134623270978318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4"/>
    <col collapsed="false" customWidth="true" hidden="false" outlineLevel="0" max="3" min="3" style="1" width="32"/>
  </cols>
  <sheetData>
    <row r="1" customFormat="false" ht="17.25" hidden="false" customHeight="true" outlineLevel="0" collapsed="false">
      <c r="A1" s="2" t="s">
        <v>227</v>
      </c>
    </row>
    <row r="2" customFormat="false" ht="15" hidden="false" customHeight="true" outlineLevel="0" collapsed="false">
      <c r="A2" s="3" t="s">
        <v>228</v>
      </c>
    </row>
    <row r="3" customFormat="false" ht="15" hidden="false" customHeight="true" outlineLevel="0" collapsed="false">
      <c r="A3" s="7" t="s">
        <v>229</v>
      </c>
      <c r="B3" s="7" t="s">
        <v>230</v>
      </c>
      <c r="C3" s="7" t="s">
        <v>231</v>
      </c>
    </row>
    <row r="4" customFormat="false" ht="15" hidden="false" customHeight="true" outlineLevel="0" collapsed="false">
      <c r="A4" s="5" t="s">
        <v>232</v>
      </c>
      <c r="B4" s="5" t="s">
        <v>233</v>
      </c>
      <c r="C4" s="5" t="s">
        <v>234</v>
      </c>
    </row>
    <row r="5" customFormat="false" ht="15" hidden="false" customHeight="true" outlineLevel="0" collapsed="false">
      <c r="A5" s="5" t="s">
        <v>235</v>
      </c>
      <c r="B5" s="5" t="s">
        <v>236</v>
      </c>
      <c r="C5" s="5" t="s">
        <v>237</v>
      </c>
    </row>
    <row r="6" customFormat="false" ht="15" hidden="false" customHeight="true" outlineLevel="0" collapsed="false">
      <c r="A6" s="5" t="s">
        <v>238</v>
      </c>
      <c r="B6" s="5" t="s">
        <v>239</v>
      </c>
      <c r="C6" s="5" t="s">
        <v>240</v>
      </c>
    </row>
    <row r="8" customFormat="false" ht="15" hidden="false" customHeight="true" outlineLevel="0" collapsed="false">
      <c r="A8" s="14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2026-07-03T02:53:55Z</dcterms:created>
  <dc:creator>openpyxl</dc:creator>
  <dc:description/>
  <dc:language>en-US</dc:language>
  <cp:lastModifiedBy/>
  <dcterms:modified xsi:type="dcterms:W3CDTF">2026-07-03T03:10:28Z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