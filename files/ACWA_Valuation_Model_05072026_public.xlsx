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<sst xmlns="http://schemas.openxmlformats.org/spreadsheetml/2006/main" count="316" uniqueCount="260">
  <si>
    <t xml:space="preserve">Testahil — ACWA Power Company (Tadawul: 2082)</t>
  </si>
  <si>
    <t xml:space="preserve">Companion model · Independent Valuation Study · Educational analysis · Not investment advice</t>
  </si>
  <si>
    <t xml:space="preserve">What this workbook is. A transparent companion to the ACWA Power valuation study. Every blue cell is an input;</t>
  </si>
  <si>
    <t xml:space="preserve">every black cell is a formula; green cells link across sheets. All inputs live on the Assumptions sheet — change</t>
  </si>
  <si>
    <t xml:space="preserve">one (the holdco discount analogue, an operating-portfolio mark, WACC, terminal growth)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</si>
  <si>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</si>
  <si>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</si>
  <si>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Structure note. ACWA Power is a Develop–Invest–Operate–Optimize infrastructure platform: it takes equity stakes in</t>
  </si>
  <si>
    <t xml:space="preserve">power &amp; water project companies on 20–30-year offtake contracts, and earns development, construction-management and</t>
  </si>
  <si>
    <t xml:space="preserve">O&amp;M (NOMAC) fees. Much of its economic cash arrives via equity-accounted associates and development fees, so</t>
  </si>
  <si>
    <t xml:space="preserve">consolidated revenue understates scale and a pure consolidated FCFF understates value. The primary lens is therefore</t>
  </si>
  <si>
    <t xml:space="preserve">a sum-of-the-parts / NAV of the portfolio; the DCF is a normalized attributable-cash cross-check (see DCF sheet note).</t>
  </si>
  <si>
    <t xml:space="preserve">Currency. SAR million unless stated; SAR/USD peg 3.75. Spot SAR 193.90 (05 Jul 2026). Shares 766.5m.</t>
  </si>
  <si>
    <t xml:space="preserve">Historical financials are company disclosure (FY2023–FY2025 results, KPMG-audited). Intermediate P&amp;L and balance-sheet</t>
  </si>
  <si>
    <t xml:space="preserve">lines (D&amp;A, finance cost, minority, some balance-sheet items) are estimated to tie to disclosed totals — flagged on each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</si>
  <si>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</si>
  <si>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</si>
  <si>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ACWA Power (Tadawul: 2082)</t>
  </si>
  <si>
    <t xml:space="preserve">Four-lens fair value vs spot. Base links live; bear/bull are scenario outputs (see 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</si>
  <si>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</si>
  <si>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</si>
  <si>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</si>
  <si>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</si>
  <si>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 / NAV</t>
  </si>
  <si>
    <t xml:space="preserve">Consolidated DCF</t>
  </si>
  <si>
    <t xml:space="preserve">Relative multiples</t>
  </si>
  <si>
    <t xml:space="preserve">Pipeline-maturation earnings</t>
  </si>
  <si>
    <t xml:space="preserve">Weighted central</t>
  </si>
  <si>
    <t xml:space="preserve">Spot price (SAR)</t>
  </si>
  <si>
    <t xml:space="preserve">Upside to central base</t>
  </si>
  <si>
    <t xml:space="preserve">Read: fairly valued; the swing is whether Vision-2030 growth capital earns above its cost, and the multiple on the development platform.</t>
  </si>
  <si>
    <t xml:space="preserve">Fundamental valuation — football 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</si>
  <si>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</si>
  <si>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</si>
  <si>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</si>
  <si>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</si>
  <si>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</si>
  <si>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</si>
  <si>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(SAR/share)</t>
  </si>
  <si>
    <t xml:space="preserve">Shares outstanding (m)</t>
  </si>
  <si>
    <t xml:space="preserve">SAR/USD (peg)</t>
  </si>
  <si>
    <t xml:space="preserve">Holdco / corporate net debt (SAR m)</t>
  </si>
  <si>
    <t xml:space="preserve">WACC</t>
  </si>
  <si>
    <t xml:space="preserve">Risk-free rate (rf)</t>
  </si>
  <si>
    <t xml:space="preserve">Equity risk premium (ERP)</t>
  </si>
  <si>
    <t xml:space="preserve">Beta</t>
  </si>
  <si>
    <t xml:space="preserve">Cost of equity Ke = rf + beta*ERP</t>
  </si>
  <si>
    <t xml:space="preserve">Terminal growth</t>
  </si>
  <si>
    <t xml:space="preserve">Zakat &amp; effective tax rate</t>
  </si>
  <si>
    <t xml:space="preserve">SOTP — base marks (SAR bn, attributable equity)</t>
  </si>
  <si>
    <t xml:space="preserve">Operating power &amp; water portfolio</t>
  </si>
  <si>
    <t xml:space="preserve">Under-construction portfolio (equity + uplift)</t>
  </si>
  <si>
    <t xml:space="preserve">Advanced development pipeline (risk-weighted)</t>
  </si>
  <si>
    <t xml:space="preserve">NOMAC + development / services platform</t>
  </si>
  <si>
    <t xml:space="preserve">Holdco discount on gross NAV (structure/liquidity)</t>
  </si>
  <si>
    <t xml:space="preserve">RELATIVE &amp; NORMALIZED</t>
  </si>
  <si>
    <t xml:space="preserve">FY2026E EPS for P/E lens (SAR)</t>
  </si>
  <si>
    <t xml:space="preserve">Justified P/E (growth infra)</t>
  </si>
  <si>
    <t xml:space="preserve">Book value per share (SAR)</t>
  </si>
  <si>
    <t xml:space="preserve">Justified P/B</t>
  </si>
  <si>
    <t xml:space="preserve">Normalized EBITDA for EV/EBITDA (SAR m)</t>
  </si>
  <si>
    <t xml:space="preserve">EV/EBITDA target multiple</t>
  </si>
  <si>
    <t xml:space="preserve">2030 run-rate net profit (SAR m)</t>
  </si>
  <si>
    <t xml:space="preserve">Pipeline-maturation justified P/E</t>
  </si>
  <si>
    <t xml:space="preserve">SYNTHESIS WEIGHTS</t>
  </si>
  <si>
    <t xml:space="preserve">SOTP / NAV weight</t>
  </si>
  <si>
    <t xml:space="preserve">DCF weight</t>
  </si>
  <si>
    <t xml:space="preserve">Relative weight</t>
  </si>
  <si>
    <t xml:space="preserve">Pipeline-maturation weight</t>
  </si>
  <si>
    <t xml:space="preserve">WORKING CAPITAL (% of revenue)</t>
  </si>
  <si>
    <t xml:space="preserve">Receivables</t>
  </si>
  <si>
    <t xml:space="preserve">Payables</t>
  </si>
  <si>
    <t xml:space="preserve">MONTE CARLO</t>
  </si>
  <si>
    <t xml:space="preserve">Diffusion volatility (annualized, YZ-HAR)</t>
  </si>
  <si>
    <t xml:space="preserve">Net 3-month drift (near zero, international)</t>
  </si>
  <si>
    <t xml:space="preserve">Student-t degrees of freedom</t>
  </si>
  <si>
    <t xml:space="preserve">FORECAST DRIVERS (FY2026E–FY2030E)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</si>
  <si>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</si>
  <si>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</si>
  <si>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</si>
  <si>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</si>
  <si>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</si>
  <si>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Consolidated revenue growth</t>
  </si>
  <si>
    <t xml:space="preserve">EBIT margin (incl. associate &amp; fee income)</t>
  </si>
  <si>
    <t xml:space="preserve">D&amp;A (% of revenue)</t>
  </si>
  <si>
    <t xml:space="preserve">Net finance cost (SAR m)</t>
  </si>
  <si>
    <t xml:space="preserve">Minority interest (SAR m)</t>
  </si>
  <si>
    <t xml:space="preserve">Normalized attributable EBIT for DCF (SAR m)</t>
  </si>
  <si>
    <t xml:space="preserve">Normalized attributable D&amp;A for DCF (SAR m)</t>
  </si>
  <si>
    <t xml:space="preserve">Attributable growth capex (SAR m)</t>
  </si>
  <si>
    <t xml:space="preserve">Increase in net working capital (SAR m)</t>
  </si>
  <si>
    <t xml:space="preserve">Dividend (SAR m)</t>
  </si>
  <si>
    <t xml:space="preserve">Sum-of-the-parts / NAV (primary lens)</t>
  </si>
  <si>
    <t xml:space="preserve">Attributable equity value by leg (non-recourse project debt already netted within each leg). Links to Assumptions. SAR bn except per-share.</t>
  </si>
  <si>
    <t xml:space="preserve">Part</t>
  </si>
  <si>
    <t xml:space="preserve">Basis</t>
  </si>
  <si>
    <t xml:space="preserve">Value (SAR bn)</t>
  </si>
  <si>
    <t xml:space="preserve">Capitalized attributable distributions / EV-per-MW</t>
  </si>
  <si>
    <t xml:space="preserve">Under-construction portfolio</t>
  </si>
  <si>
    <t xml:space="preserve">Invested equity + development uplift (to COD)</t>
  </si>
  <si>
    <t xml:space="preserve">Advanced development pipeline</t>
  </si>
  <si>
    <t xml:space="preserve">Risk-weighted optionality</t>
  </si>
  <si>
    <t xml:space="preserve">NOMAC + development / services</t>
  </si>
  <si>
    <t xml:space="preserve">Fee-stream DCF (super-senior, stable)</t>
  </si>
  <si>
    <t xml:space="preserve">Σ Gross asset value (attributable equity)</t>
  </si>
  <si>
    <t xml:space="preserve">less: holdco / corporate net debt</t>
  </si>
  <si>
    <t xml:space="preserve">less: holdco structure/liquidity discount</t>
  </si>
  <si>
    <t xml:space="preserve">SOTP equity value (SAR bn)</t>
  </si>
  <si>
    <t xml:space="preserve">SOTP fair value per share (SAR)</t>
  </si>
  <si>
    <t xml:space="preserve">Implied gross NAV per share (pre-net-debt)</t>
  </si>
  <si>
    <t xml:space="preserve">Segment / capacity view</t>
  </si>
  <si>
    <t xml:space="preserve">Portfolio capacity and operating mix (company disclosure, year-end 2025 / latest).</t>
  </si>
  <si>
    <t xml:space="preserve">Metric</t>
  </si>
  <si>
    <t xml:space="preserve">FY2023</t>
  </si>
  <si>
    <t xml:space="preserve">FY2024</t>
  </si>
  <si>
    <t xml:space="preserve">FY2025</t>
  </si>
  <si>
    <t xml:space="preserve">Latest</t>
  </si>
  <si>
    <t xml:space="preserve">Gross power capacity (GW)</t>
  </si>
  <si>
    <t xml:space="preserve">of which renewable (GW)</t>
  </si>
  <si>
    <t xml:space="preserve">Renewable share</t>
  </si>
  <si>
    <t xml:space="preserve">Desalination capacity (m³/day, m)</t>
  </si>
  <si>
    <t xml:space="preserve">BESS (GWh)</t>
  </si>
  <si>
    <t xml:space="preserve">Operating power (GW)</t>
  </si>
  <si>
    <t xml:space="preserve">Projects (count)</t>
  </si>
  <si>
    <t xml:space="preserve">Investment value / AUM (SAR bn)</t>
  </si>
  <si>
    <t xml:space="preserve">Countries</t>
  </si>
  <si>
    <t xml:space="preserve">Source: ACWA Power FY2024/FY2025 results and investor overview (mid-2026). USD 97bn (2024) / 117bn (2025) / 125bn (latest) at SAR/USD 3.75.</t>
  </si>
  <si>
    <t xml:space="preserve">Relative &amp; pipeline-maturation lenses</t>
  </si>
  <si>
    <t xml:space="preserve">Links to Assumptions. SAR/share.</t>
  </si>
  <si>
    <t xml:space="preserve">Workings</t>
  </si>
  <si>
    <t xml:space="preserve">SAR/share</t>
  </si>
  <si>
    <t xml:space="preserve">P/E on FY2026E EPS</t>
  </si>
  <si>
    <t xml:space="preserve">EPS × justified P/E</t>
  </si>
  <si>
    <t xml:space="preserve">P/B on book value</t>
  </si>
  <si>
    <t xml:space="preserve">BVPS × justified P/B</t>
  </si>
  <si>
    <t xml:space="preserve">EV/EBITDA</t>
  </si>
  <si>
    <t xml:space="preserve">EBITDA × mult − holdco net debt, /sh</t>
  </si>
  <si>
    <t xml:space="preserve">Relative lens (blend of the three)</t>
  </si>
  <si>
    <t xml:space="preserve">Pipeline-maturation earnings power</t>
  </si>
  <si>
    <t xml:space="preserve">2030 run-rate NP × P/E, discounted to today at Ke</t>
  </si>
  <si>
    <t xml:space="preserve">  2030 implied value/share (undiscounted)</t>
  </si>
  <si>
    <t xml:space="preserve">Discounted cash flow — normalized attributable FCFF, explicit 5-year</t>
  </si>
  <si>
    <t xml:space="preserve">NOPAT + D&amp;A − capex − ΔWC on a NORMALIZED ATTRIBUTABLE EBIT (captures equity-accounted associate cash the consolidated P&amp;L omits). Cross-check to the SOTP. WACC and Ke link to Assumptions.</t>
  </si>
  <si>
    <t xml:space="preserve">Normalized attributable EBIT</t>
  </si>
  <si>
    <t xml:space="preserve">NOPAT = EBIT × (1 − tax)</t>
  </si>
  <si>
    <t xml:space="preserve">+ D&amp;A</t>
  </si>
  <si>
    <t xml:space="preserve">− Capex (attributable growth)</t>
  </si>
  <si>
    <t xml:space="preserve">− Increase in net working capital</t>
  </si>
  <si>
    <t xml:space="preserve">Free cash flow to firm (FCFF)</t>
  </si>
  <si>
    <t xml:space="preserve">Discount factor</t>
  </si>
  <si>
    <t xml:space="preserve">PV of FCFF</t>
  </si>
  <si>
    <t xml:space="preserve">Σ PV of explicit FCFF (FY2026–30)</t>
  </si>
  <si>
    <t xml:space="preserve">Terminal value (Gordon)</t>
  </si>
  <si>
    <t xml:space="preserve">PV of terminal value</t>
  </si>
  <si>
    <t xml:space="preserve">Enterprise value</t>
  </si>
  <si>
    <t xml:space="preserve">Equity value</t>
  </si>
  <si>
    <t xml:space="preserve">Fair value per share (SAR)</t>
  </si>
  <si>
    <t xml:space="preserve">Terminal value as % of EV</t>
  </si>
  <si>
    <t xml:space="preserve">Cost of equity Ke (rf + β·ERP), memo</t>
  </si>
  <si>
    <t xml:space="preserve">Note: normalized attributable EBIT sits above consolidated EBIT because it includes ACWA's share of equity-accounted project cash and development fees that do not flow through consolidated revenue. The DCF is a cross-check; the SOTP is the primary lens. Terminal-heavy by nature (long-life 20–30-yr contracted assets) — see TV % of EV and the WACC × g grid on Sensitivity.</t>
  </si>
  <si>
    <t xml:space="preserve">Income statement (SAR m, consolidated)</t>
  </si>
  <si>
    <t xml:space="preserve">FY2023–FY2025 disclosed (blue); FY2026E–FY2030E forecast (formulas linking to Assumptions). EBIT ≈ operating income before impairment, incl. equity-accounted associate &amp; development-fee income.</t>
  </si>
  <si>
    <t xml:space="preserve">Consolidated revenue</t>
  </si>
  <si>
    <t xml:space="preserve">EBIT (operating income before impairment)</t>
  </si>
  <si>
    <t xml:space="preserve">D&amp;A (memo; estimated pre-2026)</t>
  </si>
  <si>
    <t xml:space="preserve">EBITDA (= EBIT + D&amp;A)</t>
  </si>
  <si>
    <t xml:space="preserve">Net finance cost</t>
  </si>
  <si>
    <t xml:space="preserve">PBT (= EBIT − finance cost)</t>
  </si>
  <si>
    <t xml:space="preserve">Zakat &amp; tax</t>
  </si>
  <si>
    <t xml:space="preserve">Minority interest</t>
  </si>
  <si>
    <t xml:space="preserve">Net profit (attributable to parent)</t>
  </si>
  <si>
    <t xml:space="preserve">EBIT margin</t>
  </si>
  <si>
    <t xml:space="preserve">Source: ACWA Power FY2023–FY2025 results (KPMG-audited); revenue, operating income and net profit disclosed. D&amp;A, finance cost, minority estimated to tie. Forecast = formulas.</t>
  </si>
  <si>
    <t xml:space="preserve">Balance sheet (SAR m, consolidated)</t>
  </si>
  <si>
    <t xml:space="preserve">Historical anchored to disclosed equity/borrowings/cash; other lines estimated to balance. Consolidated (incl. majority-owned SPVs &amp; non-recourse project debt). Forecast rolls forward.</t>
  </si>
  <si>
    <t xml:space="preserve">PP&amp;E + project assets + intangibles</t>
  </si>
  <si>
    <t xml:space="preserve">Equity-accounted investments</t>
  </si>
  <si>
    <t xml:space="preserve">Receivables &amp; contract assets</t>
  </si>
  <si>
    <t xml:space="preserve">Cash &amp; equivalents</t>
  </si>
  <si>
    <t xml:space="preserve">Other assets</t>
  </si>
  <si>
    <t xml:space="preserve">Total assets</t>
  </si>
  <si>
    <t xml:space="preserve">Equity attributable to parent</t>
  </si>
  <si>
    <t xml:space="preserve">Non-controlling interests</t>
  </si>
  <si>
    <t xml:space="preserve">Borrowings (corporate + non-recourse)</t>
  </si>
  <si>
    <t xml:space="preserve">Payables, provisions &amp; other liabilities (bal.)</t>
  </si>
  <si>
    <t xml:space="preserve">Total equity &amp; liabilities</t>
  </si>
  <si>
    <t xml:space="preserve">Balance check (assets − E&amp;L)</t>
  </si>
  <si>
    <t xml:space="preserve">Holdco / corporate net debt (memo)</t>
  </si>
  <si>
    <t xml:space="preserve">Non-recourse project debt sits inside each project's equity value; only holdco/corporate net debt is deducted in the SOTP. Balance-sheet plug lines flagged; not all consolidated detail is disclosed.</t>
  </si>
  <si>
    <t xml:space="preserve">Cash flow (SAR m, forecast)</t>
  </si>
  <si>
    <t xml:space="preserve">Derived from the Income Statement and Balance Sheet. Closing cash ties to the Balance Sheet.</t>
  </si>
  <si>
    <t xml:space="preserve">Net profit (attributable)</t>
  </si>
  <si>
    <t xml:space="preserve">+ Minority interest</t>
  </si>
  <si>
    <t xml:space="preserve">Operating cash flow</t>
  </si>
  <si>
    <t xml:space="preserve">− Growth capex (attributable)</t>
  </si>
  <si>
    <t xml:space="preserve">− Dividend</t>
  </si>
  <si>
    <t xml:space="preserve">+ Net new borrowing (est.)</t>
  </si>
  <si>
    <t xml:space="preserve">Net change in cash</t>
  </si>
  <si>
    <t xml:space="preserve">Closing cash (ties to Balance Sheet)</t>
  </si>
  <si>
    <t xml:space="preserve">Summary financials (SAR m)</t>
  </si>
  <si>
    <t xml:space="preserve">Every cell links to the statement sheets.</t>
  </si>
  <si>
    <t xml:space="preserve">Revenue</t>
  </si>
  <si>
    <t xml:space="preserve">EBITDA</t>
  </si>
  <si>
    <t xml:space="preserve">EBIT</t>
  </si>
  <si>
    <t xml:space="preserve">Net profit (attrib.)</t>
  </si>
  <si>
    <t xml:space="preserve">Equity (attrib.)</t>
  </si>
  <si>
    <t xml:space="preserve">Holdco net debt (memo)</t>
  </si>
  <si>
    <t xml:space="preserve">Monte Carlo — engine outputs (mc_v2, YZ-HAR)</t>
  </si>
  <si>
    <t xml:space="preserve">50,000 paths · 16 factors · seed 42 · Student-t(5) · zero secular drift (international). Values computed by the engine, not a sheet simulation.</t>
  </si>
  <si>
    <t xml:space="preserve">Percentile map (SAR/share)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</si>
  <si>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</si>
  <si>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</si>
  <si>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</si>
  <si>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</si>
  <si>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</si>
  <si>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</si>
  <si>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</si>
  <si>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</si>
  <si>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Diffusion σ (annualized, YZ-HAR)</t>
  </si>
  <si>
    <t xml:space="preserve">Net 3-month drift</t>
  </si>
  <si>
    <t xml:space="preserve">Student-t df</t>
  </si>
  <si>
    <t xml:space="preserve">Level-touch ladder (by horizon)</t>
  </si>
  <si>
    <t xml:space="preserve">Level</t>
  </si>
  <si>
    <t xml:space="preserve">T+20</t>
  </si>
  <si>
    <t xml:space="preserve">T+60</t>
  </si>
  <si>
    <t xml:space="preserve">DCF sensitivity — WACC × terminal growth</t>
  </si>
  <si>
    <t xml:space="preserve">Fair value (SAR/share) by WACC and terminal growth, holding the normalized FCFF ramp. Live off Assumptions/DCF.</t>
  </si>
  <si>
    <t xml:space="preserve">g \ WACC</t>
  </si>
  <si>
    <t xml:space="preserve">Shaded cell = base case (WACC 8.75%, g 3.5%). Terminal-heavy: small WACC/g moves swing the value materially — the honest warning on a long-life-asset DCF.</t>
  </si>
  <si>
    <t xml:space="preserve">Per-share &amp; ratios (the Data Miner)</t>
  </si>
  <si>
    <t xml:space="preserve">Links to statements / Assumptions.</t>
  </si>
  <si>
    <t xml:space="preserve">EPS (SAR)</t>
  </si>
  <si>
    <t xml:space="preserve">BVPS (SAR)</t>
  </si>
  <si>
    <t xml:space="preserve">P/E (x)</t>
  </si>
  <si>
    <t xml:space="preserve">P/B (x)</t>
  </si>
  <si>
    <t xml:space="preserve">Net margin</t>
  </si>
  <si>
    <t xml:space="preserve">ROE (on attrib. equity)</t>
  </si>
  <si>
    <t xml:space="preserve">Revenue YoY</t>
  </si>
  <si>
    <t xml:space="preserve">Holdco net debt / EBITDA (x)</t>
  </si>
  <si>
    <t xml:space="preserve">Peer set &amp; sector</t>
  </si>
  <si>
    <t xml:space="preserve">Global IPPs, developers and Gulf utilities; ACWA is a growth developer-owner-operator, not a regulated utility.</t>
  </si>
  <si>
    <t xml:space="preserve">Peer / metric</t>
  </si>
  <si>
    <t xml:space="preserve">Descriptor</t>
  </si>
  <si>
    <t xml:space="preserve">Typical valuation</t>
  </si>
  <si>
    <t xml:space="preserve">Global renewables IPPs</t>
  </si>
  <si>
    <t xml:space="preserve">NextEra, Iberdrola, EDPR, Ørsted</t>
  </si>
  <si>
    <t xml:space="preserve">EV/EBITDA ~9–13x; growth-quality premium</t>
  </si>
  <si>
    <t xml:space="preserve">Gulf / MENA utilities</t>
  </si>
  <si>
    <t xml:space="preserve">SEC, TAQA, Nomac peers</t>
  </si>
  <si>
    <t xml:space="preserve">EV/EBITDA ~7–11x; contracted</t>
  </si>
  <si>
    <t xml:space="preserve">Water desalination</t>
  </si>
  <si>
    <t xml:space="preserve">Veolia, developer peers</t>
  </si>
  <si>
    <t xml:space="preserve">Scarce; ACWA ~25% of global capacity</t>
  </si>
  <si>
    <t xml:space="preserve">Development platform</t>
  </si>
  <si>
    <t xml:space="preserve">Project developers</t>
  </si>
  <si>
    <t xml:space="preserve">EV/GW; pipeline optionality</t>
  </si>
  <si>
    <t xml:space="preserve">ACWA on reported earnings</t>
  </si>
  <si>
    <t xml:space="preserve">P/E ~78x trailing / ~55x fwd</t>
  </si>
  <si>
    <t xml:space="preserve">Reflects pipeline capitalization, not steady-state</t>
  </si>
  <si>
    <t xml:space="preserve">Analyst context (not model inputs): Al Rajhi Capital (Feb-2024) TP SAR 257 (Neutral), DCF SAR 241 (7.37% WACC, 5% g), EV/GW SAR 272; current consensus SAR ~100–205 (de-rated with the stock). Shown for context only.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</si>
</sst>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#,##0;\(#,##0\);\-"/>
    <numFmt numFmtId="168" formatCode="0.0\x"/>
    <numFmt numFmtId="169" formatCode="0.000"/>
    <numFmt numFmtId="170" formatCode="#,##0;\(#,##0\);\-"/>
    <numFmt numFmtId="171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B5E5E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10"/>
      <name val="Cambria"/>
      <family val="0"/>
      <charset val="1"/>
    </font>
    <font>
      <sz val="11"/>
      <color rgb="FF000000"/>
      <name val="Cambria"/>
      <family val="0"/>
      <charset val="1"/>
    </font>
    <font>
      <sz val="9"/>
      <name val="Cambria"/>
      <family val="0"/>
      <charset val="1"/>
    </font>
    <font>
      <i val="true"/>
      <sz val="8"/>
      <color rgb="FF555555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EFE7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EFE7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4" t="s">
        <v>13</v>
      </c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4"/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1"/>
  </cols>
  <sheetData>
    <row r="1" customFormat="false" ht="15.75" hidden="false" customHeight="true" outlineLevel="0" collapsed="false">
      <c r="A1" s="2" t="s">
        <v>17</v>
      </c>
    </row>
    <row r="2" customFormat="false" ht="15" hidden="false" customHeight="true" outlineLevel="0" collapsed="false">
      <c r="A2" s="3" t="s">
        <v>18</v>
      </c>
    </row>
    <row r="3" customFormat="false" ht="15" hidden="false" customHeight="true" outlineLevel="0" collapsed="false"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true" outlineLevel="0" collapsed="false">
      <c r="A4" s="4" t="s">
        <v>23</v>
      </c>
      <c r="B4" s="6" t="n">
        <v>140</v>
      </c>
      <c r="C4" s="7" t="n">
        <f aca="false">SOTP!C12</f>
        <v>215.264187866928</v>
      </c>
      <c r="D4" s="6" t="n">
        <v>320</v>
      </c>
      <c r="E4" s="8" t="n">
        <f aca="false">Assumptions!$B$34</f>
        <v>0.4</v>
      </c>
    </row>
    <row r="5" customFormat="false" ht="15" hidden="false" customHeight="true" outlineLevel="0" collapsed="false">
      <c r="A5" s="4" t="s">
        <v>24</v>
      </c>
      <c r="B5" s="6" t="n">
        <v>120</v>
      </c>
      <c r="C5" s="7" t="n">
        <f aca="false">DCF!B19</f>
        <v>184.216175340588</v>
      </c>
      <c r="D5" s="6" t="n">
        <v>285</v>
      </c>
      <c r="E5" s="8" t="n">
        <f aca="false">Assumptions!$B$35</f>
        <v>0.25</v>
      </c>
    </row>
    <row r="6" customFormat="false" ht="15" hidden="false" customHeight="true" outlineLevel="0" collapsed="false">
      <c r="A6" s="4" t="s">
        <v>25</v>
      </c>
      <c r="B6" s="6" t="n">
        <v>115</v>
      </c>
      <c r="C6" s="7" t="n">
        <f aca="false">'Relative &amp; Normalized'!C7</f>
        <v>158.055011959122</v>
      </c>
      <c r="D6" s="6" t="n">
        <v>235</v>
      </c>
      <c r="E6" s="8" t="n">
        <f aca="false">Assumptions!$B$36</f>
        <v>0.15</v>
      </c>
    </row>
    <row r="7" customFormat="false" ht="15" hidden="false" customHeight="true" outlineLevel="0" collapsed="false">
      <c r="A7" s="4" t="s">
        <v>26</v>
      </c>
      <c r="B7" s="6" t="n">
        <v>130</v>
      </c>
      <c r="C7" s="7" t="n">
        <f aca="false">'Relative &amp; Normalized'!C9</f>
        <v>197.110734652747</v>
      </c>
      <c r="D7" s="6" t="n">
        <v>320</v>
      </c>
      <c r="E7" s="8" t="n">
        <f aca="false">Assumptions!$B$37</f>
        <v>0.2</v>
      </c>
    </row>
    <row r="8" customFormat="false" ht="15" hidden="false" customHeight="true" outlineLevel="0" collapsed="false">
      <c r="A8" s="9" t="s">
        <v>27</v>
      </c>
      <c r="B8" s="10" t="n">
        <f aca="false">SUMPRODUCT(B4:B7,$E$4:$E$7)</f>
        <v>129.25</v>
      </c>
      <c r="C8" s="10" t="n">
        <f aca="false">SUMPRODUCT(C4:C7,$E$4:$E$7)</f>
        <v>195.290117706336</v>
      </c>
      <c r="D8" s="10" t="n">
        <f aca="false">SUMPRODUCT(D4:D7,$E$4:$E$7)</f>
        <v>298.5</v>
      </c>
    </row>
    <row r="10" customFormat="false" ht="15" hidden="false" customHeight="true" outlineLevel="0" collapsed="false">
      <c r="A10" s="4" t="s">
        <v>28</v>
      </c>
      <c r="C10" s="7" t="n">
        <f aca="false">Assumptions!$B$4</f>
        <v>193.9</v>
      </c>
    </row>
    <row r="11" customFormat="false" ht="15" hidden="false" customHeight="true" outlineLevel="0" collapsed="false">
      <c r="A11" s="4" t="s">
        <v>29</v>
      </c>
      <c r="C11" s="8" t="n">
        <f aca="false">C8/C10-1</f>
        <v>0.00716925067733665</v>
      </c>
    </row>
    <row r="12" customFormat="false" ht="15" hidden="false" customHeight="true" outlineLevel="0" collapsed="false">
      <c r="A12" s="1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1"/>
  </cols>
  <sheetData>
    <row r="1" customFormat="false" ht="15.7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3" customFormat="false" ht="15" hidden="false" customHeight="true" outlineLevel="0" collapsed="false">
      <c r="A3" s="5" t="s">
        <v>33</v>
      </c>
      <c r="B3" s="5" t="s">
        <v>19</v>
      </c>
      <c r="C3" s="5" t="s">
        <v>20</v>
      </c>
      <c r="D3" s="5" t="s">
        <v>21</v>
      </c>
    </row>
    <row r="4" customFormat="false" ht="15" hidden="false" customHeight="true" outlineLevel="0" collapsed="false">
      <c r="A4" s="1" t="str">
        <f aca="false">Summary!A4</f>
        <v>Sum-of-the-parts / NAV</v>
      </c>
      <c r="B4" s="7" t="n">
        <f aca="false">Summary!B4</f>
        <v>140</v>
      </c>
      <c r="C4" s="7" t="n">
        <f aca="false">Summary!C4</f>
        <v>215.264187866928</v>
      </c>
      <c r="D4" s="7" t="n">
        <f aca="false">Summary!D4</f>
        <v>320</v>
      </c>
    </row>
    <row r="5" customFormat="false" ht="15" hidden="false" customHeight="true" outlineLevel="0" collapsed="false">
      <c r="A5" s="1" t="str">
        <f aca="false">Summary!A5</f>
        <v>Consolidated DCF</v>
      </c>
      <c r="B5" s="7" t="n">
        <f aca="false">Summary!B5</f>
        <v>120</v>
      </c>
      <c r="C5" s="7" t="n">
        <f aca="false">Summary!C5</f>
        <v>184.216175340588</v>
      </c>
      <c r="D5" s="7" t="n">
        <f aca="false">Summary!D5</f>
        <v>285</v>
      </c>
    </row>
    <row r="6" customFormat="false" ht="15" hidden="false" customHeight="true" outlineLevel="0" collapsed="false">
      <c r="A6" s="1" t="str">
        <f aca="false">Summary!A6</f>
        <v>Relative multiples</v>
      </c>
      <c r="B6" s="7" t="n">
        <f aca="false">Summary!B6</f>
        <v>115</v>
      </c>
      <c r="C6" s="7" t="n">
        <f aca="false">Summary!C6</f>
        <v>158.055011959122</v>
      </c>
      <c r="D6" s="7" t="n">
        <f aca="false">Summary!D6</f>
        <v>235</v>
      </c>
    </row>
    <row r="7" customFormat="false" ht="15" hidden="false" customHeight="true" outlineLevel="0" collapsed="false">
      <c r="A7" s="1" t="str">
        <f aca="false">Summary!A7</f>
        <v>Pipeline-maturation earnings</v>
      </c>
      <c r="B7" s="7" t="n">
        <f aca="false">Summary!B7</f>
        <v>130</v>
      </c>
      <c r="C7" s="7" t="n">
        <f aca="false">Summary!C7</f>
        <v>197.110734652747</v>
      </c>
      <c r="D7" s="7" t="n">
        <f aca="false">Summary!D7</f>
        <v>320</v>
      </c>
    </row>
    <row r="8" customFormat="false" ht="15" hidden="false" customHeight="true" outlineLevel="0" collapsed="false">
      <c r="A8" s="1" t="s">
        <v>27</v>
      </c>
      <c r="B8" s="7" t="n">
        <f aca="false">Summary!B8</f>
        <v>129.25</v>
      </c>
      <c r="C8" s="7" t="n">
        <f aca="false">Summary!C8</f>
        <v>195.290117706336</v>
      </c>
      <c r="D8" s="7" t="n">
        <f aca="false">Summary!D8</f>
        <v>298.5</v>
      </c>
    </row>
    <row r="9" customFormat="false" ht="15" hidden="false" customHeight="true" outlineLevel="0" collapsed="false">
      <c r="A9" s="1" t="s">
        <v>34</v>
      </c>
      <c r="C9" s="7" t="n">
        <f aca="false">Assumptions!$B$4</f>
        <v>193.9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35</v>
      </c>
    </row>
    <row r="2" customFormat="false" ht="15" hidden="false" customHeight="true" outlineLevel="0" collapsed="false">
      <c r="A2" s="3" t="s">
        <v>36</v>
      </c>
    </row>
    <row r="3" customFormat="false" ht="15" hidden="false" customHeight="true" outlineLevel="0" collapsed="false">
      <c r="A3" s="12" t="s">
        <v>37</v>
      </c>
    </row>
    <row r="4" customFormat="false" ht="15" hidden="false" customHeight="true" outlineLevel="0" collapsed="false">
      <c r="A4" s="4" t="s">
        <v>38</v>
      </c>
      <c r="B4" s="6" t="n">
        <v>193.9</v>
      </c>
    </row>
    <row r="5" customFormat="false" ht="15" hidden="false" customHeight="true" outlineLevel="0" collapsed="false">
      <c r="A5" s="4" t="s">
        <v>39</v>
      </c>
      <c r="B5" s="13" t="n">
        <v>766.5</v>
      </c>
    </row>
    <row r="6" customFormat="false" ht="15" hidden="false" customHeight="true" outlineLevel="0" collapsed="false">
      <c r="A6" s="4" t="s">
        <v>40</v>
      </c>
      <c r="B6" s="14" t="n">
        <v>3.75</v>
      </c>
    </row>
    <row r="7" customFormat="false" ht="15" hidden="false" customHeight="true" outlineLevel="0" collapsed="false">
      <c r="A7" s="4" t="s">
        <v>41</v>
      </c>
      <c r="B7" s="13" t="n">
        <v>25000</v>
      </c>
    </row>
    <row r="8" customFormat="false" ht="15" hidden="false" customHeight="true" outlineLevel="0" collapsed="false">
      <c r="A8" s="4" t="s">
        <v>42</v>
      </c>
      <c r="B8" s="15" t="n">
        <v>0.0875</v>
      </c>
    </row>
    <row r="9" customFormat="false" ht="15" hidden="false" customHeight="true" outlineLevel="0" collapsed="false">
      <c r="A9" s="4" t="s">
        <v>43</v>
      </c>
      <c r="B9" s="15" t="n">
        <v>0.0475</v>
      </c>
    </row>
    <row r="10" customFormat="false" ht="15" hidden="false" customHeight="true" outlineLevel="0" collapsed="false">
      <c r="A10" s="4" t="s">
        <v>44</v>
      </c>
      <c r="B10" s="15" t="n">
        <v>0.06</v>
      </c>
    </row>
    <row r="11" customFormat="false" ht="15" hidden="false" customHeight="true" outlineLevel="0" collapsed="false">
      <c r="A11" s="4" t="s">
        <v>45</v>
      </c>
      <c r="B11" s="14" t="n">
        <v>0.85</v>
      </c>
    </row>
    <row r="12" customFormat="false" ht="15" hidden="false" customHeight="true" outlineLevel="0" collapsed="false">
      <c r="A12" s="16" t="s">
        <v>46</v>
      </c>
      <c r="B12" s="17" t="n">
        <f aca="false">B9+B11*B10</f>
        <v>0.0985</v>
      </c>
    </row>
    <row r="13" customFormat="false" ht="15" hidden="false" customHeight="true" outlineLevel="0" collapsed="false">
      <c r="A13" s="4" t="s">
        <v>47</v>
      </c>
      <c r="B13" s="15" t="n">
        <v>0.035</v>
      </c>
    </row>
    <row r="14" customFormat="false" ht="15" hidden="false" customHeight="true" outlineLevel="0" collapsed="false">
      <c r="A14" s="4" t="s">
        <v>48</v>
      </c>
      <c r="B14" s="15" t="n">
        <v>0.1</v>
      </c>
    </row>
    <row r="16" customFormat="false" ht="15" hidden="false" customHeight="true" outlineLevel="0" collapsed="false">
      <c r="A16" s="12" t="s">
        <v>49</v>
      </c>
    </row>
    <row r="17" customFormat="false" ht="15" hidden="false" customHeight="true" outlineLevel="0" collapsed="false">
      <c r="A17" s="4" t="s">
        <v>50</v>
      </c>
      <c r="B17" s="13" t="n">
        <v>115</v>
      </c>
    </row>
    <row r="18" customFormat="false" ht="15" hidden="false" customHeight="true" outlineLevel="0" collapsed="false">
      <c r="A18" s="4" t="s">
        <v>51</v>
      </c>
      <c r="B18" s="13" t="n">
        <v>42</v>
      </c>
    </row>
    <row r="19" customFormat="false" ht="15" hidden="false" customHeight="true" outlineLevel="0" collapsed="false">
      <c r="A19" s="4" t="s">
        <v>52</v>
      </c>
      <c r="B19" s="13" t="n">
        <v>10</v>
      </c>
    </row>
    <row r="20" customFormat="false" ht="15" hidden="false" customHeight="true" outlineLevel="0" collapsed="false">
      <c r="A20" s="4" t="s">
        <v>53</v>
      </c>
      <c r="B20" s="13" t="n">
        <v>23</v>
      </c>
    </row>
    <row r="21" customFormat="false" ht="15" hidden="false" customHeight="true" outlineLevel="0" collapsed="false">
      <c r="A21" s="4" t="s">
        <v>54</v>
      </c>
      <c r="B21" s="15" t="n">
        <v>0</v>
      </c>
    </row>
    <row r="23" customFormat="false" ht="15" hidden="false" customHeight="true" outlineLevel="0" collapsed="false">
      <c r="A23" s="12" t="s">
        <v>55</v>
      </c>
    </row>
    <row r="24" customFormat="false" ht="15" hidden="false" customHeight="true" outlineLevel="0" collapsed="false">
      <c r="A24" s="4" t="s">
        <v>56</v>
      </c>
      <c r="B24" s="6" t="n">
        <v>2.7</v>
      </c>
    </row>
    <row r="25" customFormat="false" ht="15" hidden="false" customHeight="true" outlineLevel="0" collapsed="false">
      <c r="A25" s="4" t="s">
        <v>57</v>
      </c>
      <c r="B25" s="18" t="n">
        <v>55</v>
      </c>
    </row>
    <row r="26" customFormat="false" ht="15" hidden="false" customHeight="true" outlineLevel="0" collapsed="false">
      <c r="A26" s="4" t="s">
        <v>58</v>
      </c>
      <c r="B26" s="6" t="n">
        <v>37</v>
      </c>
    </row>
    <row r="27" customFormat="false" ht="15" hidden="false" customHeight="true" outlineLevel="0" collapsed="false">
      <c r="A27" s="4" t="s">
        <v>59</v>
      </c>
      <c r="B27" s="18" t="n">
        <v>4.5</v>
      </c>
    </row>
    <row r="28" customFormat="false" ht="15" hidden="false" customHeight="true" outlineLevel="0" collapsed="false">
      <c r="A28" s="4" t="s">
        <v>60</v>
      </c>
      <c r="B28" s="13" t="n">
        <v>4900</v>
      </c>
    </row>
    <row r="29" customFormat="false" ht="15" hidden="false" customHeight="true" outlineLevel="0" collapsed="false">
      <c r="A29" s="4" t="s">
        <v>61</v>
      </c>
      <c r="B29" s="18" t="n">
        <v>30</v>
      </c>
    </row>
    <row r="30" customFormat="false" ht="15" hidden="false" customHeight="true" outlineLevel="0" collapsed="false">
      <c r="A30" s="4" t="s">
        <v>62</v>
      </c>
      <c r="B30" s="13" t="n">
        <v>5500</v>
      </c>
    </row>
    <row r="31" customFormat="false" ht="15" hidden="false" customHeight="true" outlineLevel="0" collapsed="false">
      <c r="A31" s="4" t="s">
        <v>63</v>
      </c>
      <c r="B31" s="18" t="n">
        <v>40</v>
      </c>
    </row>
    <row r="33" customFormat="false" ht="15" hidden="false" customHeight="true" outlineLevel="0" collapsed="false">
      <c r="A33" s="12" t="s">
        <v>64</v>
      </c>
    </row>
    <row r="34" customFormat="false" ht="15" hidden="false" customHeight="true" outlineLevel="0" collapsed="false">
      <c r="A34" s="4" t="s">
        <v>65</v>
      </c>
      <c r="B34" s="15" t="n">
        <v>0.4</v>
      </c>
    </row>
    <row r="35" customFormat="false" ht="15" hidden="false" customHeight="true" outlineLevel="0" collapsed="false">
      <c r="A35" s="4" t="s">
        <v>66</v>
      </c>
      <c r="B35" s="15" t="n">
        <v>0.25</v>
      </c>
    </row>
    <row r="36" customFormat="false" ht="15" hidden="false" customHeight="true" outlineLevel="0" collapsed="false">
      <c r="A36" s="4" t="s">
        <v>67</v>
      </c>
      <c r="B36" s="15" t="n">
        <v>0.15</v>
      </c>
    </row>
    <row r="37" customFormat="false" ht="15" hidden="false" customHeight="true" outlineLevel="0" collapsed="false">
      <c r="A37" s="4" t="s">
        <v>68</v>
      </c>
      <c r="B37" s="15" t="n">
        <v>0.2</v>
      </c>
    </row>
    <row r="39" customFormat="false" ht="15" hidden="false" customHeight="true" outlineLevel="0" collapsed="false">
      <c r="A39" s="12" t="s">
        <v>69</v>
      </c>
    </row>
    <row r="40" customFormat="false" ht="15" hidden="false" customHeight="true" outlineLevel="0" collapsed="false">
      <c r="A40" s="4" t="s">
        <v>70</v>
      </c>
      <c r="B40" s="15" t="n">
        <v>0.28</v>
      </c>
    </row>
    <row r="41" customFormat="false" ht="15" hidden="false" customHeight="true" outlineLevel="0" collapsed="false">
      <c r="A41" s="4" t="s">
        <v>71</v>
      </c>
      <c r="B41" s="15" t="n">
        <v>0.22</v>
      </c>
    </row>
    <row r="43" customFormat="false" ht="15" hidden="false" customHeight="true" outlineLevel="0" collapsed="false">
      <c r="A43" s="12" t="s">
        <v>72</v>
      </c>
    </row>
    <row r="44" customFormat="false" ht="15" hidden="false" customHeight="true" outlineLevel="0" collapsed="false">
      <c r="A44" s="4" t="s">
        <v>73</v>
      </c>
      <c r="B44" s="15" t="n">
        <v>0.4116</v>
      </c>
    </row>
    <row r="45" customFormat="false" ht="15" hidden="false" customHeight="true" outlineLevel="0" collapsed="false">
      <c r="A45" s="4" t="s">
        <v>74</v>
      </c>
      <c r="B45" s="15" t="n">
        <v>0.019</v>
      </c>
    </row>
    <row r="46" customFormat="false" ht="15" hidden="false" customHeight="true" outlineLevel="0" collapsed="false">
      <c r="A46" s="4" t="s">
        <v>75</v>
      </c>
      <c r="B46" s="14" t="n">
        <v>5</v>
      </c>
    </row>
    <row r="48" customFormat="false" ht="15" hidden="false" customHeight="true" outlineLevel="0" collapsed="false">
      <c r="A48" s="12" t="s">
        <v>76</v>
      </c>
    </row>
    <row r="49" customFormat="false" ht="15" hidden="false" customHeight="true" outlineLevel="0" collapsed="false">
      <c r="E49" s="19" t="s">
        <v>77</v>
      </c>
      <c r="F49" s="19" t="s">
        <v>78</v>
      </c>
      <c r="G49" s="19" t="s">
        <v>79</v>
      </c>
      <c r="H49" s="19" t="s">
        <v>80</v>
      </c>
      <c r="I49" s="19" t="s">
        <v>81</v>
      </c>
    </row>
    <row r="50" customFormat="false" ht="15" hidden="false" customHeight="true" outlineLevel="0" collapsed="false">
      <c r="A50" s="4" t="s">
        <v>82</v>
      </c>
      <c r="E50" s="15" t="n">
        <v>0.15</v>
      </c>
      <c r="F50" s="15" t="n">
        <v>0.18</v>
      </c>
      <c r="G50" s="15" t="n">
        <v>0.16</v>
      </c>
      <c r="H50" s="15" t="n">
        <v>0.14</v>
      </c>
      <c r="I50" s="15" t="n">
        <v>0.12</v>
      </c>
    </row>
    <row r="51" customFormat="false" ht="15" hidden="false" customHeight="true" outlineLevel="0" collapsed="false">
      <c r="A51" s="4" t="s">
        <v>83</v>
      </c>
      <c r="E51" s="15" t="n">
        <v>0.5</v>
      </c>
      <c r="F51" s="15" t="n">
        <v>0.51</v>
      </c>
      <c r="G51" s="15" t="n">
        <v>0.515</v>
      </c>
      <c r="H51" s="15" t="n">
        <v>0.52</v>
      </c>
      <c r="I51" s="15" t="n">
        <v>0.525</v>
      </c>
    </row>
    <row r="52" customFormat="false" ht="15" hidden="false" customHeight="true" outlineLevel="0" collapsed="false">
      <c r="A52" s="4" t="s">
        <v>84</v>
      </c>
      <c r="E52" s="15" t="n">
        <v>0.15</v>
      </c>
      <c r="F52" s="15" t="n">
        <v>0.15</v>
      </c>
      <c r="G52" s="15" t="n">
        <v>0.15</v>
      </c>
      <c r="H52" s="15" t="n">
        <v>0.15</v>
      </c>
      <c r="I52" s="15" t="n">
        <v>0.15</v>
      </c>
    </row>
    <row r="53" customFormat="false" ht="15" hidden="false" customHeight="true" outlineLevel="0" collapsed="false">
      <c r="A53" s="4" t="s">
        <v>85</v>
      </c>
      <c r="E53" s="13" t="n">
        <v>1600</v>
      </c>
      <c r="F53" s="13" t="n">
        <v>1750</v>
      </c>
      <c r="G53" s="13" t="n">
        <v>1850</v>
      </c>
      <c r="H53" s="13" t="n">
        <v>1950</v>
      </c>
      <c r="I53" s="13" t="n">
        <v>2050</v>
      </c>
    </row>
    <row r="54" customFormat="false" ht="15" hidden="false" customHeight="true" outlineLevel="0" collapsed="false">
      <c r="A54" s="4" t="s">
        <v>86</v>
      </c>
      <c r="E54" s="13" t="n">
        <v>130</v>
      </c>
      <c r="F54" s="13" t="n">
        <v>150</v>
      </c>
      <c r="G54" s="13" t="n">
        <v>170</v>
      </c>
      <c r="H54" s="13" t="n">
        <v>190</v>
      </c>
      <c r="I54" s="13" t="n">
        <v>210</v>
      </c>
    </row>
    <row r="55" customFormat="false" ht="15" hidden="false" customHeight="true" outlineLevel="0" collapsed="false">
      <c r="A55" s="4" t="s">
        <v>87</v>
      </c>
      <c r="E55" s="13" t="n">
        <v>7000</v>
      </c>
      <c r="F55" s="13" t="n">
        <v>8200</v>
      </c>
      <c r="G55" s="13" t="n">
        <v>9500</v>
      </c>
      <c r="H55" s="13" t="n">
        <v>10900</v>
      </c>
      <c r="I55" s="13" t="n">
        <v>12600</v>
      </c>
    </row>
    <row r="56" customFormat="false" ht="15" hidden="false" customHeight="true" outlineLevel="0" collapsed="false">
      <c r="A56" s="4" t="s">
        <v>88</v>
      </c>
      <c r="E56" s="13" t="n">
        <v>1300</v>
      </c>
      <c r="F56" s="13" t="n">
        <v>1450</v>
      </c>
      <c r="G56" s="13" t="n">
        <v>1600</v>
      </c>
      <c r="H56" s="13" t="n">
        <v>1750</v>
      </c>
      <c r="I56" s="13" t="n">
        <v>1900</v>
      </c>
    </row>
    <row r="57" customFormat="false" ht="15" hidden="false" customHeight="true" outlineLevel="0" collapsed="false">
      <c r="A57" s="4" t="s">
        <v>89</v>
      </c>
      <c r="E57" s="13" t="n">
        <v>2000</v>
      </c>
      <c r="F57" s="13" t="n">
        <v>2100</v>
      </c>
      <c r="G57" s="13" t="n">
        <v>2200</v>
      </c>
      <c r="H57" s="13" t="n">
        <v>2300</v>
      </c>
      <c r="I57" s="13" t="n">
        <v>2400</v>
      </c>
    </row>
    <row r="58" customFormat="false" ht="15" hidden="false" customHeight="true" outlineLevel="0" collapsed="false">
      <c r="A58" s="4" t="s">
        <v>90</v>
      </c>
      <c r="E58" s="13" t="n">
        <v>300</v>
      </c>
      <c r="F58" s="13" t="n">
        <v>300</v>
      </c>
      <c r="G58" s="13" t="n">
        <v>300</v>
      </c>
      <c r="H58" s="13" t="n">
        <v>300</v>
      </c>
      <c r="I58" s="13" t="n">
        <v>300</v>
      </c>
    </row>
    <row r="59" customFormat="false" ht="15" hidden="false" customHeight="true" outlineLevel="0" collapsed="false">
      <c r="A59" s="4" t="s">
        <v>91</v>
      </c>
      <c r="E59" s="13" t="n">
        <v>0</v>
      </c>
      <c r="F59" s="13" t="n">
        <v>0</v>
      </c>
      <c r="G59" s="13" t="n">
        <v>400</v>
      </c>
      <c r="H59" s="13" t="n">
        <v>800</v>
      </c>
      <c r="I59" s="13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4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" t="s">
        <v>92</v>
      </c>
    </row>
    <row r="2" customFormat="false" ht="15" hidden="false" customHeight="true" outlineLevel="0" collapsed="false">
      <c r="A2" s="3" t="s">
        <v>93</v>
      </c>
    </row>
    <row r="3" customFormat="false" ht="15" hidden="false" customHeight="true" outlineLevel="0" collapsed="false">
      <c r="A3" s="5" t="s">
        <v>94</v>
      </c>
      <c r="B3" s="5" t="s">
        <v>95</v>
      </c>
      <c r="C3" s="5" t="s">
        <v>96</v>
      </c>
    </row>
    <row r="4" customFormat="false" ht="15" hidden="false" customHeight="true" outlineLevel="0" collapsed="false">
      <c r="A4" s="4" t="s">
        <v>50</v>
      </c>
      <c r="B4" s="20" t="s">
        <v>97</v>
      </c>
      <c r="C4" s="21" t="n">
        <f aca="false">Assumptions!$B$17</f>
        <v>115</v>
      </c>
    </row>
    <row r="5" customFormat="false" ht="15" hidden="false" customHeight="true" outlineLevel="0" collapsed="false">
      <c r="A5" s="4" t="s">
        <v>98</v>
      </c>
      <c r="B5" s="20" t="s">
        <v>99</v>
      </c>
      <c r="C5" s="21" t="n">
        <f aca="false">Assumptions!$B$18</f>
        <v>42</v>
      </c>
    </row>
    <row r="6" customFormat="false" ht="15" hidden="false" customHeight="true" outlineLevel="0" collapsed="false">
      <c r="A6" s="4" t="s">
        <v>100</v>
      </c>
      <c r="B6" s="20" t="s">
        <v>101</v>
      </c>
      <c r="C6" s="21" t="n">
        <f aca="false">Assumptions!$B$19</f>
        <v>10</v>
      </c>
    </row>
    <row r="7" customFormat="false" ht="15" hidden="false" customHeight="true" outlineLevel="0" collapsed="false">
      <c r="A7" s="4" t="s">
        <v>102</v>
      </c>
      <c r="B7" s="20" t="s">
        <v>103</v>
      </c>
      <c r="C7" s="21" t="n">
        <f aca="false">Assumptions!$B$20</f>
        <v>23</v>
      </c>
    </row>
    <row r="8" customFormat="false" ht="15" hidden="false" customHeight="true" outlineLevel="0" collapsed="false">
      <c r="A8" s="9" t="s">
        <v>104</v>
      </c>
      <c r="C8" s="22" t="n">
        <f aca="false">SUM(C4:C7)</f>
        <v>190</v>
      </c>
    </row>
    <row r="9" customFormat="false" ht="15" hidden="false" customHeight="true" outlineLevel="0" collapsed="false">
      <c r="A9" s="4" t="s">
        <v>105</v>
      </c>
      <c r="C9" s="21" t="n">
        <f aca="false">-Assumptions!$B$7/1000</f>
        <v>-25</v>
      </c>
    </row>
    <row r="10" customFormat="false" ht="15" hidden="false" customHeight="true" outlineLevel="0" collapsed="false">
      <c r="A10" s="4" t="s">
        <v>106</v>
      </c>
      <c r="C10" s="21" t="n">
        <f aca="false">-C8*Assumptions!$B$21</f>
        <v>-0</v>
      </c>
    </row>
    <row r="11" customFormat="false" ht="15" hidden="false" customHeight="true" outlineLevel="0" collapsed="false">
      <c r="A11" s="9" t="s">
        <v>107</v>
      </c>
      <c r="C11" s="22" t="n">
        <f aca="false">C8+C9+C10</f>
        <v>165</v>
      </c>
    </row>
    <row r="12" customFormat="false" ht="15" hidden="false" customHeight="true" outlineLevel="0" collapsed="false">
      <c r="A12" s="12" t="s">
        <v>108</v>
      </c>
      <c r="C12" s="10" t="n">
        <f aca="false">C11*1000/Assumptions!$B$5</f>
        <v>215.264187866928</v>
      </c>
    </row>
    <row r="13" customFormat="false" ht="15" hidden="false" customHeight="true" outlineLevel="0" collapsed="false">
      <c r="A13" s="4" t="s">
        <v>109</v>
      </c>
      <c r="C13" s="7" t="n">
        <f aca="false">C8*1000/Assumptions!$B$5</f>
        <v>247.879973907371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1"/>
  </cols>
  <sheetData>
    <row r="1" customFormat="false" ht="15.7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111</v>
      </c>
    </row>
    <row r="3" customFormat="false" ht="15" hidden="false" customHeight="tru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</row>
    <row r="4" customFormat="false" ht="15" hidden="false" customHeight="true" outlineLevel="0" collapsed="false">
      <c r="A4" s="4" t="s">
        <v>117</v>
      </c>
      <c r="C4" s="6" t="n">
        <v>69.2</v>
      </c>
      <c r="D4" s="6" t="n">
        <v>93</v>
      </c>
      <c r="E4" s="6" t="n">
        <v>98</v>
      </c>
    </row>
    <row r="5" customFormat="false" ht="15" hidden="false" customHeight="true" outlineLevel="0" collapsed="false">
      <c r="A5" s="4" t="s">
        <v>118</v>
      </c>
      <c r="D5" s="6" t="n">
        <v>52.3</v>
      </c>
    </row>
    <row r="6" customFormat="false" ht="15" hidden="false" customHeight="true" outlineLevel="0" collapsed="false">
      <c r="A6" s="4" t="s">
        <v>119</v>
      </c>
      <c r="C6" s="15" t="n">
        <v>0.504</v>
      </c>
      <c r="D6" s="15" t="n">
        <v>0.562</v>
      </c>
    </row>
    <row r="7" customFormat="false" ht="15" hidden="false" customHeight="true" outlineLevel="0" collapsed="false">
      <c r="A7" s="4" t="s">
        <v>120</v>
      </c>
      <c r="C7" s="6" t="n">
        <v>8.1</v>
      </c>
      <c r="D7" s="6" t="n">
        <v>9.2</v>
      </c>
      <c r="E7" s="6" t="n">
        <v>9.7</v>
      </c>
    </row>
    <row r="8" customFormat="false" ht="15" hidden="false" customHeight="true" outlineLevel="0" collapsed="false">
      <c r="A8" s="4" t="s">
        <v>121</v>
      </c>
      <c r="C8" s="6" t="n">
        <v>5.3</v>
      </c>
      <c r="D8" s="6" t="n">
        <v>5.6</v>
      </c>
    </row>
    <row r="9" customFormat="false" ht="15" hidden="false" customHeight="true" outlineLevel="0" collapsed="false">
      <c r="A9" s="4" t="s">
        <v>122</v>
      </c>
      <c r="D9" s="6" t="n">
        <v>43</v>
      </c>
    </row>
    <row r="10" customFormat="false" ht="15" hidden="false" customHeight="true" outlineLevel="0" collapsed="false">
      <c r="A10" s="4" t="s">
        <v>123</v>
      </c>
      <c r="C10" s="6" t="n">
        <v>94</v>
      </c>
      <c r="D10" s="6" t="n">
        <v>108</v>
      </c>
      <c r="E10" s="6" t="n">
        <v>111</v>
      </c>
    </row>
    <row r="11" customFormat="false" ht="15" hidden="false" customHeight="true" outlineLevel="0" collapsed="false">
      <c r="A11" s="4" t="s">
        <v>124</v>
      </c>
      <c r="C11" s="6" t="n">
        <v>364</v>
      </c>
      <c r="D11" s="6" t="n">
        <v>437</v>
      </c>
      <c r="E11" s="6" t="n">
        <v>466</v>
      </c>
    </row>
    <row r="12" customFormat="false" ht="15" hidden="false" customHeight="true" outlineLevel="0" collapsed="false">
      <c r="A12" s="4" t="s">
        <v>125</v>
      </c>
      <c r="D12" s="6" t="n">
        <v>15</v>
      </c>
      <c r="E12" s="6" t="n">
        <v>16</v>
      </c>
    </row>
    <row r="14" customFormat="false" ht="15" hidden="false" customHeight="true" outlineLevel="0" collapsed="false">
      <c r="A14" s="2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2" t="s">
        <v>127</v>
      </c>
    </row>
    <row r="2" customFormat="false" ht="15" hidden="false" customHeight="true" outlineLevel="0" collapsed="false">
      <c r="A2" s="3" t="s">
        <v>128</v>
      </c>
    </row>
    <row r="3" customFormat="false" ht="15" hidden="false" customHeight="true" outlineLevel="0" collapsed="false">
      <c r="A3" s="5" t="s">
        <v>33</v>
      </c>
      <c r="B3" s="5" t="s">
        <v>129</v>
      </c>
      <c r="C3" s="5" t="s">
        <v>130</v>
      </c>
    </row>
    <row r="4" customFormat="false" ht="15" hidden="false" customHeight="true" outlineLevel="0" collapsed="false">
      <c r="A4" s="4" t="s">
        <v>131</v>
      </c>
      <c r="B4" s="20" t="s">
        <v>132</v>
      </c>
      <c r="C4" s="7" t="n">
        <f aca="false">Assumptions!$B$24*Assumptions!$B$25</f>
        <v>148.5</v>
      </c>
    </row>
    <row r="5" customFormat="false" ht="15" hidden="false" customHeight="true" outlineLevel="0" collapsed="false">
      <c r="A5" s="4" t="s">
        <v>133</v>
      </c>
      <c r="B5" s="20" t="s">
        <v>134</v>
      </c>
      <c r="C5" s="7" t="n">
        <f aca="false">Assumptions!$B$26*Assumptions!$B$27</f>
        <v>166.5</v>
      </c>
    </row>
    <row r="6" customFormat="false" ht="15" hidden="false" customHeight="true" outlineLevel="0" collapsed="false">
      <c r="A6" s="4" t="s">
        <v>135</v>
      </c>
      <c r="B6" s="20" t="s">
        <v>136</v>
      </c>
      <c r="C6" s="7" t="n">
        <f aca="false">(Assumptions!$B$28*Assumptions!$B$29-Assumptions!$B$7)/Assumptions!$B$5</f>
        <v>159.165035877365</v>
      </c>
    </row>
    <row r="7" customFormat="false" ht="15" hidden="false" customHeight="true" outlineLevel="0" collapsed="false">
      <c r="A7" s="9" t="s">
        <v>137</v>
      </c>
      <c r="C7" s="10" t="n">
        <f aca="false">AVERAGE(C4:C6)</f>
        <v>158.055011959122</v>
      </c>
    </row>
    <row r="9" customFormat="false" ht="15" hidden="false" customHeight="true" outlineLevel="0" collapsed="false">
      <c r="A9" s="9" t="s">
        <v>138</v>
      </c>
      <c r="B9" s="20" t="s">
        <v>139</v>
      </c>
      <c r="C9" s="10" t="n">
        <f aca="false">(Assumptions!$B$30*Assumptions!$B$31/Assumptions!$B$5)/(1+(Assumptions!$B$9+Assumptions!$B$11*Assumptions!$B$10))^4</f>
        <v>197.110734652747</v>
      </c>
    </row>
    <row r="10" customFormat="false" ht="15" hidden="false" customHeight="true" outlineLevel="0" collapsed="false">
      <c r="A10" s="4" t="s">
        <v>140</v>
      </c>
      <c r="C10" s="7" t="n">
        <f aca="false">Assumptions!$B$30*Assumptions!$B$31/Assumptions!$B$5</f>
        <v>287.018917155903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2"/>
  </cols>
  <sheetData>
    <row r="1" customFormat="false" ht="15.75" hidden="false" customHeight="true" outlineLevel="0" collapsed="false">
      <c r="A1" s="2" t="s">
        <v>141</v>
      </c>
    </row>
    <row r="2" customFormat="false" ht="15" hidden="false" customHeight="true" outlineLevel="0" collapsed="false">
      <c r="A2" s="3" t="s">
        <v>142</v>
      </c>
    </row>
    <row r="3" customFormat="false" ht="15" hidden="false" customHeight="true" outlineLevel="0" collapsed="false"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</row>
    <row r="4" customFormat="false" ht="15" hidden="false" customHeight="true" outlineLevel="0" collapsed="false">
      <c r="A4" s="4" t="s">
        <v>143</v>
      </c>
      <c r="B4" s="21" t="n">
        <f aca="false">Assumptions!E55</f>
        <v>7000</v>
      </c>
      <c r="C4" s="21" t="n">
        <f aca="false">Assumptions!F55</f>
        <v>8200</v>
      </c>
      <c r="D4" s="21" t="n">
        <f aca="false">Assumptions!G55</f>
        <v>9500</v>
      </c>
      <c r="E4" s="21" t="n">
        <f aca="false">Assumptions!H55</f>
        <v>10900</v>
      </c>
      <c r="F4" s="21" t="n">
        <f aca="false">Assumptions!I55</f>
        <v>12600</v>
      </c>
    </row>
    <row r="5" customFormat="false" ht="15" hidden="false" customHeight="true" outlineLevel="0" collapsed="false">
      <c r="A5" s="4" t="s">
        <v>144</v>
      </c>
      <c r="B5" s="21" t="n">
        <f aca="false">B4*(1-Assumptions!$B$14)</f>
        <v>6300</v>
      </c>
      <c r="C5" s="21" t="n">
        <f aca="false">C4*(1-Assumptions!$B$14)</f>
        <v>7380</v>
      </c>
      <c r="D5" s="21" t="n">
        <f aca="false">D4*(1-Assumptions!$B$14)</f>
        <v>8550</v>
      </c>
      <c r="E5" s="21" t="n">
        <f aca="false">E4*(1-Assumptions!$B$14)</f>
        <v>9810</v>
      </c>
      <c r="F5" s="21" t="n">
        <f aca="false">F4*(1-Assumptions!$B$14)</f>
        <v>11340</v>
      </c>
    </row>
    <row r="6" customFormat="false" ht="15" hidden="false" customHeight="true" outlineLevel="0" collapsed="false">
      <c r="A6" s="4" t="s">
        <v>145</v>
      </c>
      <c r="B6" s="21" t="n">
        <f aca="false">Assumptions!E56</f>
        <v>1300</v>
      </c>
      <c r="C6" s="21" t="n">
        <f aca="false">Assumptions!F56</f>
        <v>1450</v>
      </c>
      <c r="D6" s="21" t="n">
        <f aca="false">Assumptions!G56</f>
        <v>1600</v>
      </c>
      <c r="E6" s="21" t="n">
        <f aca="false">Assumptions!H56</f>
        <v>1750</v>
      </c>
      <c r="F6" s="21" t="n">
        <f aca="false">Assumptions!I56</f>
        <v>1900</v>
      </c>
    </row>
    <row r="7" customFormat="false" ht="15" hidden="false" customHeight="true" outlineLevel="0" collapsed="false">
      <c r="A7" s="4" t="s">
        <v>146</v>
      </c>
      <c r="B7" s="21" t="n">
        <f aca="false">-Assumptions!E57</f>
        <v>-2000</v>
      </c>
      <c r="C7" s="21" t="n">
        <f aca="false">-Assumptions!F57</f>
        <v>-2100</v>
      </c>
      <c r="D7" s="21" t="n">
        <f aca="false">-Assumptions!G57</f>
        <v>-2200</v>
      </c>
      <c r="E7" s="21" t="n">
        <f aca="false">-Assumptions!H57</f>
        <v>-2300</v>
      </c>
      <c r="F7" s="21" t="n">
        <f aca="false">-Assumptions!I57</f>
        <v>-2400</v>
      </c>
    </row>
    <row r="8" customFormat="false" ht="15" hidden="false" customHeight="true" outlineLevel="0" collapsed="false">
      <c r="A8" s="4" t="s">
        <v>147</v>
      </c>
      <c r="B8" s="21" t="n">
        <f aca="false">-Assumptions!E58</f>
        <v>-300</v>
      </c>
      <c r="C8" s="21" t="n">
        <f aca="false">-Assumptions!F58</f>
        <v>-300</v>
      </c>
      <c r="D8" s="21" t="n">
        <f aca="false">-Assumptions!G58</f>
        <v>-300</v>
      </c>
      <c r="E8" s="21" t="n">
        <f aca="false">-Assumptions!H58</f>
        <v>-300</v>
      </c>
      <c r="F8" s="21" t="n">
        <f aca="false">-Assumptions!I58</f>
        <v>-300</v>
      </c>
    </row>
    <row r="9" customFormat="false" ht="15" hidden="false" customHeight="true" outlineLevel="0" collapsed="false">
      <c r="A9" s="4" t="s">
        <v>148</v>
      </c>
      <c r="B9" s="22" t="n">
        <f aca="false">B5+B6+B7+B8</f>
        <v>5300</v>
      </c>
      <c r="C9" s="22" t="n">
        <f aca="false">C5+C6+C7+C8</f>
        <v>6430</v>
      </c>
      <c r="D9" s="22" t="n">
        <f aca="false">D5+D6+D7+D8</f>
        <v>7650</v>
      </c>
      <c r="E9" s="22" t="n">
        <f aca="false">E5+E6+E7+E8</f>
        <v>8960</v>
      </c>
      <c r="F9" s="22" t="n">
        <f aca="false">F5+F6+F7+F8</f>
        <v>10540</v>
      </c>
    </row>
    <row r="10" customFormat="false" ht="15" hidden="false" customHeight="true" outlineLevel="0" collapsed="false">
      <c r="A10" s="4" t="s">
        <v>149</v>
      </c>
      <c r="B10" s="24" t="n">
        <f aca="false">1/(1+Assumptions!$B$8)^1</f>
        <v>0.919540229885058</v>
      </c>
      <c r="C10" s="24" t="n">
        <f aca="false">1/(1+Assumptions!$B$8)^2</f>
        <v>0.845554234377065</v>
      </c>
      <c r="D10" s="24" t="n">
        <f aca="false">1/(1+Assumptions!$B$8)^3</f>
        <v>0.77752113505937</v>
      </c>
      <c r="E10" s="24" t="n">
        <f aca="false">1/(1+Assumptions!$B$8)^4</f>
        <v>0.714961963272984</v>
      </c>
      <c r="F10" s="24" t="n">
        <f aca="false">1/(1+Assumptions!$B$8)^5</f>
        <v>0.657436288067112</v>
      </c>
    </row>
    <row r="11" customFormat="false" ht="15" hidden="false" customHeight="true" outlineLevel="0" collapsed="false">
      <c r="A11" s="4" t="s">
        <v>150</v>
      </c>
      <c r="B11" s="21" t="n">
        <f aca="false">B9*B10</f>
        <v>4873.56321839081</v>
      </c>
      <c r="C11" s="21" t="n">
        <f aca="false">C9*C10</f>
        <v>5436.91372704453</v>
      </c>
      <c r="D11" s="21" t="n">
        <f aca="false">D9*D10</f>
        <v>5948.03668320418</v>
      </c>
      <c r="E11" s="21" t="n">
        <f aca="false">E9*E10</f>
        <v>6406.05919092593</v>
      </c>
      <c r="F11" s="21" t="n">
        <f aca="false">F9*F10</f>
        <v>6929.37847622736</v>
      </c>
    </row>
    <row r="13" customFormat="false" ht="15" hidden="false" customHeight="true" outlineLevel="0" collapsed="false">
      <c r="A13" s="4" t="s">
        <v>151</v>
      </c>
      <c r="B13" s="21" t="n">
        <f aca="false">SUM(B11:F11)</f>
        <v>29593.9512957928</v>
      </c>
    </row>
    <row r="14" customFormat="false" ht="15" hidden="false" customHeight="true" outlineLevel="0" collapsed="false">
      <c r="A14" s="4" t="s">
        <v>152</v>
      </c>
      <c r="B14" s="21" t="n">
        <f aca="false">F9*(1+Assumptions!$B$13)/(Assumptions!$B$8-Assumptions!$B$13)</f>
        <v>207788.571428571</v>
      </c>
    </row>
    <row r="15" customFormat="false" ht="15" hidden="false" customHeight="true" outlineLevel="0" collapsed="false">
      <c r="A15" s="4" t="s">
        <v>153</v>
      </c>
      <c r="B15" s="21" t="n">
        <f aca="false">B14/(1+Assumptions!$B$8)^5</f>
        <v>136607.747102768</v>
      </c>
    </row>
    <row r="16" customFormat="false" ht="15" hidden="false" customHeight="true" outlineLevel="0" collapsed="false">
      <c r="A16" s="4" t="s">
        <v>154</v>
      </c>
      <c r="B16" s="22" t="n">
        <f aca="false">B13+B15</f>
        <v>166201.698398561</v>
      </c>
    </row>
    <row r="17" customFormat="false" ht="15" hidden="false" customHeight="true" outlineLevel="0" collapsed="false">
      <c r="A17" s="4" t="s">
        <v>105</v>
      </c>
      <c r="B17" s="21" t="n">
        <f aca="false">-Assumptions!$B$7</f>
        <v>-25000</v>
      </c>
    </row>
    <row r="18" customFormat="false" ht="15" hidden="false" customHeight="true" outlineLevel="0" collapsed="false">
      <c r="A18" s="4" t="s">
        <v>155</v>
      </c>
      <c r="B18" s="22" t="n">
        <f aca="false">B16+B17</f>
        <v>141201.698398561</v>
      </c>
    </row>
    <row r="19" customFormat="false" ht="15" hidden="false" customHeight="true" outlineLevel="0" collapsed="false">
      <c r="A19" s="4" t="s">
        <v>156</v>
      </c>
      <c r="B19" s="10" t="n">
        <f aca="false">B18/Assumptions!$B$5</f>
        <v>184.216175340588</v>
      </c>
    </row>
    <row r="20" customFormat="false" ht="15" hidden="false" customHeight="true" outlineLevel="0" collapsed="false">
      <c r="A20" s="4" t="s">
        <v>157</v>
      </c>
      <c r="B20" s="8" t="n">
        <f aca="false">B15/B16</f>
        <v>0.821939537435864</v>
      </c>
    </row>
    <row r="21" customFormat="false" ht="15" hidden="false" customHeight="true" outlineLevel="0" collapsed="false">
      <c r="A21" s="4" t="s">
        <v>158</v>
      </c>
      <c r="B21" s="8" t="n">
        <f aca="false">Assumptions!$B$9+Assumptions!$B$11*Assumptions!$B$10</f>
        <v>0.0985</v>
      </c>
    </row>
    <row r="23" customFormat="false" ht="15" hidden="false" customHeight="true" outlineLevel="0" collapsed="false">
      <c r="A23" s="2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160</v>
      </c>
    </row>
    <row r="2" customFormat="false" ht="15" hidden="false" customHeight="true" outlineLevel="0" collapsed="false">
      <c r="A2" s="3" t="s">
        <v>161</v>
      </c>
    </row>
    <row r="3" customFormat="false" ht="15" hidden="false" customHeight="true" outlineLevel="0" collapsed="false">
      <c r="B3" s="5" t="s">
        <v>113</v>
      </c>
      <c r="C3" s="5" t="s">
        <v>114</v>
      </c>
      <c r="D3" s="5" t="s">
        <v>115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</row>
    <row r="4" customFormat="false" ht="15" hidden="false" customHeight="true" outlineLevel="0" collapsed="false">
      <c r="A4" s="4" t="s">
        <v>162</v>
      </c>
      <c r="B4" s="13" t="n">
        <v>6080</v>
      </c>
      <c r="C4" s="13" t="n">
        <v>6280</v>
      </c>
      <c r="D4" s="13" t="n">
        <v>7410</v>
      </c>
      <c r="E4" s="21" t="n">
        <f aca="false">D4*(1+Assumptions!E50)</f>
        <v>8521.5</v>
      </c>
      <c r="F4" s="21" t="n">
        <f aca="false">E4*(1+Assumptions!F50)</f>
        <v>10055.37</v>
      </c>
      <c r="G4" s="21" t="n">
        <f aca="false">F4*(1+Assumptions!G50)</f>
        <v>11664.2292</v>
      </c>
      <c r="H4" s="21" t="n">
        <f aca="false">G4*(1+Assumptions!H50)</f>
        <v>13297.221288</v>
      </c>
      <c r="I4" s="21" t="n">
        <f aca="false">H4*(1+Assumptions!I50)</f>
        <v>14892.88784256</v>
      </c>
    </row>
    <row r="5" customFormat="false" ht="15" hidden="false" customHeight="true" outlineLevel="0" collapsed="false">
      <c r="A5" s="4" t="s">
        <v>163</v>
      </c>
      <c r="B5" s="13" t="n">
        <v>2984</v>
      </c>
      <c r="C5" s="13" t="n">
        <v>2983</v>
      </c>
      <c r="D5" s="13" t="n">
        <v>3600</v>
      </c>
      <c r="E5" s="21" t="n">
        <f aca="false">E4*Assumptions!E51</f>
        <v>4260.75</v>
      </c>
      <c r="F5" s="21" t="n">
        <f aca="false">F4*Assumptions!F51</f>
        <v>5128.2387</v>
      </c>
      <c r="G5" s="21" t="n">
        <f aca="false">G4*Assumptions!G51</f>
        <v>6007.078038</v>
      </c>
      <c r="H5" s="21" t="n">
        <f aca="false">H4*Assumptions!H51</f>
        <v>6914.55506976</v>
      </c>
      <c r="I5" s="21" t="n">
        <f aca="false">I4*Assumptions!I51</f>
        <v>7818.766117344</v>
      </c>
    </row>
    <row r="6" customFormat="false" ht="15" hidden="false" customHeight="true" outlineLevel="0" collapsed="false">
      <c r="A6" s="4" t="s">
        <v>164</v>
      </c>
      <c r="B6" s="13" t="n">
        <v>1050</v>
      </c>
      <c r="C6" s="13" t="n">
        <v>1150</v>
      </c>
      <c r="D6" s="13" t="n">
        <v>1300</v>
      </c>
      <c r="E6" s="21" t="n">
        <f aca="false">E4*Assumptions!E52</f>
        <v>1278.225</v>
      </c>
      <c r="F6" s="21" t="n">
        <f aca="false">F4*Assumptions!F52</f>
        <v>1508.3055</v>
      </c>
      <c r="G6" s="21" t="n">
        <f aca="false">G4*Assumptions!G52</f>
        <v>1749.63438</v>
      </c>
      <c r="H6" s="21" t="n">
        <f aca="false">H4*Assumptions!H52</f>
        <v>1994.5831932</v>
      </c>
      <c r="I6" s="21" t="n">
        <f aca="false">I4*Assumptions!I52</f>
        <v>2233.933176384</v>
      </c>
    </row>
    <row r="7" customFormat="false" ht="15" hidden="false" customHeight="true" outlineLevel="0" collapsed="false">
      <c r="A7" s="4" t="s">
        <v>165</v>
      </c>
      <c r="B7" s="21" t="n">
        <f aca="false">B5+B6</f>
        <v>4034</v>
      </c>
      <c r="C7" s="21" t="n">
        <f aca="false">C5+C6</f>
        <v>4133</v>
      </c>
      <c r="D7" s="21" t="n">
        <f aca="false">D5+D6</f>
        <v>4900</v>
      </c>
      <c r="E7" s="21" t="n">
        <f aca="false">E5+E6</f>
        <v>5538.975</v>
      </c>
      <c r="F7" s="21" t="n">
        <f aca="false">F5+F6</f>
        <v>6636.5442</v>
      </c>
      <c r="G7" s="21" t="n">
        <f aca="false">G5+G6</f>
        <v>7756.712418</v>
      </c>
      <c r="H7" s="21" t="n">
        <f aca="false">H5+H6</f>
        <v>8909.13826296</v>
      </c>
      <c r="I7" s="21" t="n">
        <f aca="false">I5+I6</f>
        <v>10052.699293728</v>
      </c>
    </row>
    <row r="8" customFormat="false" ht="15" hidden="false" customHeight="true" outlineLevel="0" collapsed="false">
      <c r="A8" s="4" t="s">
        <v>166</v>
      </c>
      <c r="B8" s="13" t="n">
        <v>1050</v>
      </c>
      <c r="C8" s="13" t="n">
        <v>1000</v>
      </c>
      <c r="D8" s="13" t="n">
        <v>1400</v>
      </c>
      <c r="E8" s="21" t="n">
        <f aca="false">Assumptions!E53</f>
        <v>1600</v>
      </c>
      <c r="F8" s="21" t="n">
        <f aca="false">Assumptions!F53</f>
        <v>1750</v>
      </c>
      <c r="G8" s="21" t="n">
        <f aca="false">Assumptions!G53</f>
        <v>1850</v>
      </c>
      <c r="H8" s="21" t="n">
        <f aca="false">Assumptions!H53</f>
        <v>1950</v>
      </c>
      <c r="I8" s="21" t="n">
        <f aca="false">Assumptions!I53</f>
        <v>2050</v>
      </c>
    </row>
    <row r="9" customFormat="false" ht="15" hidden="false" customHeight="true" outlineLevel="0" collapsed="false">
      <c r="A9" s="4" t="s">
        <v>167</v>
      </c>
      <c r="B9" s="21" t="n">
        <f aca="false">B5-B8</f>
        <v>1934</v>
      </c>
      <c r="C9" s="21" t="n">
        <f aca="false">C5-C8</f>
        <v>1983</v>
      </c>
      <c r="D9" s="21" t="n">
        <f aca="false">D5-D8</f>
        <v>2200</v>
      </c>
      <c r="E9" s="21" t="n">
        <f aca="false">E5-E8</f>
        <v>2660.75</v>
      </c>
      <c r="F9" s="21" t="n">
        <f aca="false">F5-F8</f>
        <v>3378.2387</v>
      </c>
      <c r="G9" s="21" t="n">
        <f aca="false">G5-G8</f>
        <v>4157.078038</v>
      </c>
      <c r="H9" s="21" t="n">
        <f aca="false">H5-H8</f>
        <v>4964.55506976</v>
      </c>
      <c r="I9" s="21" t="n">
        <f aca="false">I5-I8</f>
        <v>5768.766117344</v>
      </c>
    </row>
    <row r="10" customFormat="false" ht="15" hidden="false" customHeight="true" outlineLevel="0" collapsed="false">
      <c r="A10" s="4" t="s">
        <v>168</v>
      </c>
      <c r="B10" s="13" t="n">
        <v>130</v>
      </c>
      <c r="C10" s="13" t="n">
        <v>100</v>
      </c>
      <c r="D10" s="13" t="n">
        <v>231</v>
      </c>
      <c r="E10" s="21" t="n">
        <f aca="false">MAX(0,E9)*Assumptions!$B$14</f>
        <v>266.075</v>
      </c>
      <c r="F10" s="21" t="n">
        <f aca="false">MAX(0,F9)*Assumptions!$B$14</f>
        <v>337.82387</v>
      </c>
      <c r="G10" s="21" t="n">
        <f aca="false">MAX(0,G9)*Assumptions!$B$14</f>
        <v>415.7078038</v>
      </c>
      <c r="H10" s="21" t="n">
        <f aca="false">MAX(0,H9)*Assumptions!$B$14</f>
        <v>496.455506976</v>
      </c>
      <c r="I10" s="21" t="n">
        <f aca="false">MAX(0,I9)*Assumptions!$B$14</f>
        <v>576.8766117344</v>
      </c>
    </row>
    <row r="11" customFormat="false" ht="15" hidden="false" customHeight="true" outlineLevel="0" collapsed="false">
      <c r="A11" s="4" t="s">
        <v>169</v>
      </c>
      <c r="B11" s="13" t="n">
        <v>142</v>
      </c>
      <c r="C11" s="13" t="n">
        <v>126</v>
      </c>
      <c r="D11" s="13" t="n">
        <v>117</v>
      </c>
      <c r="E11" s="21" t="n">
        <f aca="false">Assumptions!E54</f>
        <v>130</v>
      </c>
      <c r="F11" s="21" t="n">
        <f aca="false">Assumptions!F54</f>
        <v>150</v>
      </c>
      <c r="G11" s="21" t="n">
        <f aca="false">Assumptions!G54</f>
        <v>170</v>
      </c>
      <c r="H11" s="21" t="n">
        <f aca="false">Assumptions!H54</f>
        <v>190</v>
      </c>
      <c r="I11" s="21" t="n">
        <f aca="false">Assumptions!I54</f>
        <v>210</v>
      </c>
    </row>
    <row r="12" customFormat="false" ht="15" hidden="false" customHeight="true" outlineLevel="0" collapsed="false">
      <c r="A12" s="4" t="s">
        <v>170</v>
      </c>
      <c r="B12" s="22" t="n">
        <f aca="false">B9-B10-B11</f>
        <v>1662</v>
      </c>
      <c r="C12" s="22" t="n">
        <f aca="false">C9-C10-C11</f>
        <v>1757</v>
      </c>
      <c r="D12" s="22" t="n">
        <f aca="false">D9-D10-D11</f>
        <v>1852</v>
      </c>
      <c r="E12" s="22" t="n">
        <f aca="false">E9-E10-E11</f>
        <v>2264.675</v>
      </c>
      <c r="F12" s="22" t="n">
        <f aca="false">F9-F10-F11</f>
        <v>2890.41483</v>
      </c>
      <c r="G12" s="22" t="n">
        <f aca="false">G9-G10-G11</f>
        <v>3571.3702342</v>
      </c>
      <c r="H12" s="22" t="n">
        <f aca="false">H9-H10-H11</f>
        <v>4278.099562784</v>
      </c>
      <c r="I12" s="22" t="n">
        <f aca="false">I9-I10-I11</f>
        <v>4981.8895056096</v>
      </c>
    </row>
    <row r="13" customFormat="false" ht="15" hidden="false" customHeight="true" outlineLevel="0" collapsed="false">
      <c r="A13" s="4" t="s">
        <v>171</v>
      </c>
      <c r="B13" s="8" t="n">
        <f aca="false">B5/B4</f>
        <v>0.490789473684211</v>
      </c>
      <c r="C13" s="8" t="n">
        <f aca="false">C5/C4</f>
        <v>0.475</v>
      </c>
      <c r="D13" s="8" t="n">
        <f aca="false">D5/D4</f>
        <v>0.48582995951417</v>
      </c>
      <c r="E13" s="8" t="n">
        <f aca="false">E5/E4</f>
        <v>0.5</v>
      </c>
      <c r="F13" s="8" t="n">
        <f aca="false">F5/F4</f>
        <v>0.51</v>
      </c>
      <c r="G13" s="8" t="n">
        <f aca="false">G5/G4</f>
        <v>0.515</v>
      </c>
      <c r="H13" s="8" t="n">
        <f aca="false">H5/H4</f>
        <v>0.52</v>
      </c>
      <c r="I13" s="8" t="n">
        <f aca="false">I5/I4</f>
        <v>0.525</v>
      </c>
    </row>
    <row r="15" customFormat="false" ht="15" hidden="false" customHeight="true" outlineLevel="0" collapsed="false">
      <c r="A15" s="2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B3" s="5" t="s">
        <v>113</v>
      </c>
      <c r="C3" s="5" t="s">
        <v>114</v>
      </c>
      <c r="D3" s="5" t="s">
        <v>115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</row>
    <row r="4" customFormat="false" ht="15" hidden="false" customHeight="true" outlineLevel="0" collapsed="false">
      <c r="A4" s="4" t="s">
        <v>175</v>
      </c>
      <c r="B4" s="13" t="n">
        <v>78000</v>
      </c>
      <c r="C4" s="13" t="n">
        <v>86000</v>
      </c>
      <c r="D4" s="13" t="n">
        <v>95000</v>
      </c>
      <c r="E4" s="21" t="n">
        <f aca="false">D4+Assumptions!E57*4-'Income Statement'!E6</f>
        <v>101721.775</v>
      </c>
      <c r="F4" s="21" t="n">
        <f aca="false">E4+Assumptions!F57*4-'Income Statement'!F6</f>
        <v>108613.4695</v>
      </c>
      <c r="G4" s="21" t="n">
        <f aca="false">F4+Assumptions!G57*4-'Income Statement'!G6</f>
        <v>115663.83512</v>
      </c>
      <c r="H4" s="21" t="n">
        <f aca="false">G4+Assumptions!H57*4-'Income Statement'!H6</f>
        <v>122869.2519268</v>
      </c>
      <c r="I4" s="21" t="n">
        <f aca="false">H4+Assumptions!I57*4-'Income Statement'!I6</f>
        <v>130235.318750416</v>
      </c>
    </row>
    <row r="5" customFormat="false" ht="15" hidden="false" customHeight="true" outlineLevel="0" collapsed="false">
      <c r="A5" s="4" t="s">
        <v>176</v>
      </c>
      <c r="B5" s="13" t="n">
        <v>9000</v>
      </c>
      <c r="C5" s="13" t="n">
        <v>10500</v>
      </c>
      <c r="D5" s="13" t="n">
        <v>12500</v>
      </c>
      <c r="E5" s="21" t="n">
        <f aca="false">D5*1.08</f>
        <v>13500</v>
      </c>
      <c r="F5" s="21" t="n">
        <f aca="false">E5*1.08</f>
        <v>14580</v>
      </c>
      <c r="G5" s="21" t="n">
        <f aca="false">F5*1.08</f>
        <v>15746.4</v>
      </c>
      <c r="H5" s="21" t="n">
        <f aca="false">G5*1.08</f>
        <v>17006.112</v>
      </c>
      <c r="I5" s="21" t="n">
        <f aca="false">H5*1.08</f>
        <v>18366.60096</v>
      </c>
    </row>
    <row r="6" customFormat="false" ht="15" hidden="false" customHeight="true" outlineLevel="0" collapsed="false">
      <c r="A6" s="4" t="s">
        <v>177</v>
      </c>
      <c r="B6" s="21" t="n">
        <f aca="false">'Income Statement'!B4*Assumptions!$B$40</f>
        <v>1702.4</v>
      </c>
      <c r="C6" s="21" t="n">
        <f aca="false">'Income Statement'!C4*Assumptions!$B$40</f>
        <v>1758.4</v>
      </c>
      <c r="D6" s="21" t="n">
        <f aca="false">'Income Statement'!D4*Assumptions!$B$40</f>
        <v>2074.8</v>
      </c>
      <c r="E6" s="21" t="n">
        <f aca="false">'Income Statement'!E4*Assumptions!$B$40</f>
        <v>2386.02</v>
      </c>
      <c r="F6" s="21" t="n">
        <f aca="false">'Income Statement'!F4*Assumptions!$B$40</f>
        <v>2815.5036</v>
      </c>
      <c r="G6" s="21" t="n">
        <f aca="false">'Income Statement'!G4*Assumptions!$B$40</f>
        <v>3265.984176</v>
      </c>
      <c r="H6" s="21" t="n">
        <f aca="false">'Income Statement'!H4*Assumptions!$B$40</f>
        <v>3723.22196064</v>
      </c>
      <c r="I6" s="21" t="n">
        <f aca="false">'Income Statement'!I4*Assumptions!$B$40</f>
        <v>4170.0085959168</v>
      </c>
    </row>
    <row r="7" customFormat="false" ht="15" hidden="false" customHeight="true" outlineLevel="0" collapsed="false">
      <c r="A7" s="4" t="s">
        <v>178</v>
      </c>
      <c r="B7" s="13" t="n">
        <v>5000</v>
      </c>
      <c r="C7" s="13" t="n">
        <v>5600</v>
      </c>
      <c r="D7" s="13" t="n">
        <v>7830</v>
      </c>
      <c r="E7" s="21" t="n">
        <f aca="false">D7+'Cash Flow'!E12</f>
        <v>10402.9</v>
      </c>
      <c r="F7" s="21" t="n">
        <f aca="false">E7+'Cash Flow'!F12</f>
        <v>13811.62033</v>
      </c>
      <c r="G7" s="21" t="n">
        <f aca="false">F7+'Cash Flow'!G12</f>
        <v>17722.6249442</v>
      </c>
      <c r="H7" s="21" t="n">
        <f aca="false">G7+'Cash Flow'!H12</f>
        <v>22165.307700184</v>
      </c>
      <c r="I7" s="21" t="n">
        <f aca="false">H7+'Cash Flow'!I12</f>
        <v>27131.1303821776</v>
      </c>
    </row>
    <row r="8" customFormat="false" ht="15" hidden="false" customHeight="true" outlineLevel="0" collapsed="false">
      <c r="A8" s="4" t="s">
        <v>179</v>
      </c>
      <c r="B8" s="13" t="n">
        <v>12000</v>
      </c>
      <c r="C8" s="13" t="n">
        <v>13000</v>
      </c>
      <c r="D8" s="13" t="n">
        <v>14000</v>
      </c>
      <c r="E8" s="21" t="n">
        <f aca="false">D8</f>
        <v>14000</v>
      </c>
      <c r="F8" s="21" t="n">
        <f aca="false">E8</f>
        <v>14000</v>
      </c>
      <c r="G8" s="21" t="n">
        <f aca="false">F8</f>
        <v>14000</v>
      </c>
      <c r="H8" s="21" t="n">
        <f aca="false">G8</f>
        <v>14000</v>
      </c>
      <c r="I8" s="21" t="n">
        <f aca="false">H8</f>
        <v>14000</v>
      </c>
    </row>
    <row r="9" customFormat="false" ht="15" hidden="false" customHeight="true" outlineLevel="0" collapsed="false">
      <c r="A9" s="4" t="s">
        <v>180</v>
      </c>
      <c r="B9" s="22" t="n">
        <f aca="false">SUM(B4:B8)</f>
        <v>105702.4</v>
      </c>
      <c r="C9" s="22" t="n">
        <f aca="false">SUM(C4:C8)</f>
        <v>116858.4</v>
      </c>
      <c r="D9" s="22" t="n">
        <f aca="false">SUM(D4:D8)</f>
        <v>131404.8</v>
      </c>
      <c r="E9" s="22" t="n">
        <f aca="false">SUM(E4:E8)</f>
        <v>142010.695</v>
      </c>
      <c r="F9" s="22" t="n">
        <f aca="false">SUM(F4:F8)</f>
        <v>153820.59343</v>
      </c>
      <c r="G9" s="22" t="n">
        <f aca="false">SUM(G4:G8)</f>
        <v>166398.8442402</v>
      </c>
      <c r="H9" s="22" t="n">
        <f aca="false">SUM(H4:H8)</f>
        <v>179763.893587624</v>
      </c>
      <c r="I9" s="22" t="n">
        <f aca="false">SUM(I4:I8)</f>
        <v>193903.05868851</v>
      </c>
    </row>
    <row r="11" customFormat="false" ht="15" hidden="false" customHeight="true" outlineLevel="0" collapsed="false">
      <c r="A11" s="4" t="s">
        <v>181</v>
      </c>
      <c r="B11" s="13" t="n">
        <v>22000</v>
      </c>
      <c r="C11" s="13" t="n">
        <v>24000</v>
      </c>
      <c r="D11" s="13" t="n">
        <v>28000</v>
      </c>
      <c r="E11" s="21" t="n">
        <f aca="false">D11+'Income Statement'!E12-Assumptions!E59</f>
        <v>30264.675</v>
      </c>
      <c r="F11" s="21" t="n">
        <f aca="false">E11+'Income Statement'!F12-Assumptions!F59</f>
        <v>33155.08983</v>
      </c>
      <c r="G11" s="21" t="n">
        <f aca="false">F11+'Income Statement'!G12-Assumptions!G59</f>
        <v>36326.4600642</v>
      </c>
      <c r="H11" s="21" t="n">
        <f aca="false">G11+'Income Statement'!H12-Assumptions!H59</f>
        <v>39804.559626984</v>
      </c>
      <c r="I11" s="21" t="n">
        <f aca="false">H11+'Income Statement'!I12-Assumptions!I59</f>
        <v>43586.4491325936</v>
      </c>
    </row>
    <row r="12" customFormat="false" ht="15" hidden="false" customHeight="true" outlineLevel="0" collapsed="false">
      <c r="A12" s="4" t="s">
        <v>182</v>
      </c>
      <c r="B12" s="13" t="n">
        <v>13000</v>
      </c>
      <c r="C12" s="13" t="n">
        <v>14500</v>
      </c>
      <c r="D12" s="13" t="n">
        <v>16500</v>
      </c>
      <c r="E12" s="21" t="n">
        <f aca="false">D12+'Income Statement'!E11</f>
        <v>16630</v>
      </c>
      <c r="F12" s="21" t="n">
        <f aca="false">E12+'Income Statement'!F11</f>
        <v>16780</v>
      </c>
      <c r="G12" s="21" t="n">
        <f aca="false">F12+'Income Statement'!G11</f>
        <v>16950</v>
      </c>
      <c r="H12" s="21" t="n">
        <f aca="false">G12+'Income Statement'!H11</f>
        <v>17140</v>
      </c>
      <c r="I12" s="21" t="n">
        <f aca="false">H12+'Income Statement'!I11</f>
        <v>17350</v>
      </c>
    </row>
    <row r="13" customFormat="false" ht="15" hidden="false" customHeight="true" outlineLevel="0" collapsed="false">
      <c r="A13" s="4" t="s">
        <v>183</v>
      </c>
      <c r="B13" s="13" t="n">
        <v>28800</v>
      </c>
      <c r="C13" s="13" t="n">
        <v>32500</v>
      </c>
      <c r="D13" s="13" t="n">
        <v>37200</v>
      </c>
      <c r="E13" s="21" t="n">
        <f aca="false">D13+Assumptions!E57*3</f>
        <v>43200</v>
      </c>
      <c r="F13" s="21" t="n">
        <f aca="false">E13+Assumptions!F57*3</f>
        <v>49500</v>
      </c>
      <c r="G13" s="21" t="n">
        <f aca="false">F13+Assumptions!G57*3</f>
        <v>56100</v>
      </c>
      <c r="H13" s="21" t="n">
        <f aca="false">G13+Assumptions!H57*3</f>
        <v>63000</v>
      </c>
      <c r="I13" s="21" t="n">
        <f aca="false">H13+Assumptions!I57*3</f>
        <v>70200</v>
      </c>
    </row>
    <row r="14" customFormat="false" ht="15" hidden="false" customHeight="true" outlineLevel="0" collapsed="false">
      <c r="A14" s="4" t="s">
        <v>184</v>
      </c>
      <c r="B14" s="25" t="n">
        <f aca="false">B9-B11-B12-B13</f>
        <v>41902.4</v>
      </c>
      <c r="C14" s="25" t="n">
        <f aca="false">C9-C11-C12-C13</f>
        <v>45858.4</v>
      </c>
      <c r="D14" s="25" t="n">
        <f aca="false">D9-D11-D12-D13</f>
        <v>49704.8</v>
      </c>
      <c r="E14" s="25" t="n">
        <f aca="false">E9-E11-E12-E13</f>
        <v>51916.02</v>
      </c>
      <c r="F14" s="25" t="n">
        <f aca="false">F9-F11-F12-F13</f>
        <v>54385.5036</v>
      </c>
      <c r="G14" s="25" t="n">
        <f aca="false">G9-G11-G12-G13</f>
        <v>57022.384176</v>
      </c>
      <c r="H14" s="25" t="n">
        <f aca="false">H9-H11-H12-H13</f>
        <v>59819.33396064</v>
      </c>
      <c r="I14" s="25" t="n">
        <f aca="false">I9-I11-I12-I13</f>
        <v>62766.6095559168</v>
      </c>
    </row>
    <row r="15" customFormat="false" ht="15" hidden="false" customHeight="true" outlineLevel="0" collapsed="false">
      <c r="A15" s="4" t="s">
        <v>185</v>
      </c>
      <c r="B15" s="22" t="n">
        <f aca="false">B11+B12+B13+B14</f>
        <v>105702.4</v>
      </c>
      <c r="C15" s="22" t="n">
        <f aca="false">C11+C12+C13+C14</f>
        <v>116858.4</v>
      </c>
      <c r="D15" s="22" t="n">
        <f aca="false">D11+D12+D13+D14</f>
        <v>131404.8</v>
      </c>
      <c r="E15" s="22" t="n">
        <f aca="false">E11+E12+E13+E14</f>
        <v>142010.695</v>
      </c>
      <c r="F15" s="22" t="n">
        <f aca="false">F11+F12+F13+F14</f>
        <v>153820.59343</v>
      </c>
      <c r="G15" s="22" t="n">
        <f aca="false">G11+G12+G13+G14</f>
        <v>166398.8442402</v>
      </c>
      <c r="H15" s="22" t="n">
        <f aca="false">H11+H12+H13+H14</f>
        <v>179763.893587624</v>
      </c>
      <c r="I15" s="22" t="n">
        <f aca="false">I11+I12+I13+I14</f>
        <v>193903.05868851</v>
      </c>
    </row>
    <row r="17" customFormat="false" ht="15" hidden="false" customHeight="true" outlineLevel="0" collapsed="false">
      <c r="A17" s="4" t="s">
        <v>186</v>
      </c>
      <c r="B17" s="21" t="n">
        <f aca="false">B9-B15</f>
        <v>0</v>
      </c>
      <c r="C17" s="21" t="n">
        <f aca="false">C9-C15</f>
        <v>0</v>
      </c>
      <c r="D17" s="21" t="n">
        <f aca="false">D9-D15</f>
        <v>0</v>
      </c>
      <c r="E17" s="21" t="n">
        <f aca="false">E9-E15</f>
        <v>0</v>
      </c>
      <c r="F17" s="21" t="n">
        <f aca="false">F9-F15</f>
        <v>0</v>
      </c>
      <c r="G17" s="21" t="n">
        <f aca="false">G9-G15</f>
        <v>0</v>
      </c>
      <c r="H17" s="21" t="n">
        <f aca="false">H9-H15</f>
        <v>0</v>
      </c>
      <c r="I17" s="21" t="n">
        <f aca="false">I9-I15</f>
        <v>0</v>
      </c>
    </row>
    <row r="18" customFormat="false" ht="15" hidden="false" customHeight="true" outlineLevel="0" collapsed="false">
      <c r="A18" s="4" t="s">
        <v>187</v>
      </c>
      <c r="B18" s="21" t="n">
        <f aca="false">Assumptions!$B$7</f>
        <v>25000</v>
      </c>
    </row>
    <row r="20" customFormat="false" ht="15" hidden="false" customHeight="true" outlineLevel="0" collapsed="false">
      <c r="A20" s="23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189</v>
      </c>
    </row>
    <row r="2" customFormat="false" ht="15" hidden="false" customHeight="true" outlineLevel="0" collapsed="false">
      <c r="A2" s="3" t="s">
        <v>190</v>
      </c>
    </row>
    <row r="3" customFormat="false" ht="15" hidden="false" customHeight="true" outlineLevel="0" collapsed="false">
      <c r="B3" s="5" t="s">
        <v>113</v>
      </c>
      <c r="C3" s="5" t="s">
        <v>114</v>
      </c>
      <c r="D3" s="5" t="s">
        <v>115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</row>
    <row r="4" customFormat="false" ht="15" hidden="false" customHeight="true" outlineLevel="0" collapsed="false">
      <c r="A4" s="4" t="s">
        <v>191</v>
      </c>
      <c r="E4" s="21" t="n">
        <f aca="false">'Income Statement'!E12</f>
        <v>2264.675</v>
      </c>
      <c r="F4" s="21" t="n">
        <f aca="false">'Income Statement'!F12</f>
        <v>2890.41483</v>
      </c>
      <c r="G4" s="21" t="n">
        <f aca="false">'Income Statement'!G12</f>
        <v>3571.3702342</v>
      </c>
      <c r="H4" s="21" t="n">
        <f aca="false">'Income Statement'!H12</f>
        <v>4278.099562784</v>
      </c>
      <c r="I4" s="21" t="n">
        <f aca="false">'Income Statement'!I12</f>
        <v>4981.8895056096</v>
      </c>
    </row>
    <row r="5" customFormat="false" ht="15" hidden="false" customHeight="true" outlineLevel="0" collapsed="false">
      <c r="A5" s="4" t="s">
        <v>192</v>
      </c>
      <c r="E5" s="21" t="n">
        <f aca="false">'Income Statement'!E11</f>
        <v>130</v>
      </c>
      <c r="F5" s="21" t="n">
        <f aca="false">'Income Statement'!F11</f>
        <v>150</v>
      </c>
      <c r="G5" s="21" t="n">
        <f aca="false">'Income Statement'!G11</f>
        <v>170</v>
      </c>
      <c r="H5" s="21" t="n">
        <f aca="false">'Income Statement'!H11</f>
        <v>190</v>
      </c>
      <c r="I5" s="21" t="n">
        <f aca="false">'Income Statement'!I11</f>
        <v>210</v>
      </c>
    </row>
    <row r="6" customFormat="false" ht="15" hidden="false" customHeight="true" outlineLevel="0" collapsed="false">
      <c r="A6" s="4" t="s">
        <v>145</v>
      </c>
      <c r="E6" s="21" t="n">
        <f aca="false">'Income Statement'!E6</f>
        <v>1278.225</v>
      </c>
      <c r="F6" s="21" t="n">
        <f aca="false">'Income Statement'!F6</f>
        <v>1508.3055</v>
      </c>
      <c r="G6" s="21" t="n">
        <f aca="false">'Income Statement'!G6</f>
        <v>1749.63438</v>
      </c>
      <c r="H6" s="21" t="n">
        <f aca="false">'Income Statement'!H6</f>
        <v>1994.5831932</v>
      </c>
      <c r="I6" s="21" t="n">
        <f aca="false">'Income Statement'!I6</f>
        <v>2233.933176384</v>
      </c>
    </row>
    <row r="7" customFormat="false" ht="15" hidden="false" customHeight="true" outlineLevel="0" collapsed="false">
      <c r="A7" s="4" t="s">
        <v>147</v>
      </c>
      <c r="E7" s="21" t="n">
        <f aca="false">-Assumptions!E58</f>
        <v>-300</v>
      </c>
      <c r="F7" s="21" t="n">
        <f aca="false">-Assumptions!F58</f>
        <v>-300</v>
      </c>
      <c r="G7" s="21" t="n">
        <f aca="false">-Assumptions!G58</f>
        <v>-300</v>
      </c>
      <c r="H7" s="21" t="n">
        <f aca="false">-Assumptions!H58</f>
        <v>-300</v>
      </c>
      <c r="I7" s="21" t="n">
        <f aca="false">-Assumptions!I58</f>
        <v>-300</v>
      </c>
    </row>
    <row r="8" customFormat="false" ht="15" hidden="false" customHeight="true" outlineLevel="0" collapsed="false">
      <c r="A8" s="4" t="s">
        <v>193</v>
      </c>
      <c r="E8" s="21" t="n">
        <f aca="false">E4+E5+E6+E7</f>
        <v>3372.9</v>
      </c>
      <c r="F8" s="21" t="n">
        <f aca="false">F4+F5+F6+F7</f>
        <v>4248.72033</v>
      </c>
      <c r="G8" s="21" t="n">
        <f aca="false">G4+G5+G6+G7</f>
        <v>5191.0046142</v>
      </c>
      <c r="H8" s="21" t="n">
        <f aca="false">H4+H5+H6+H7</f>
        <v>6162.682755984</v>
      </c>
      <c r="I8" s="21" t="n">
        <f aca="false">I4+I5+I6+I7</f>
        <v>7125.8226819936</v>
      </c>
    </row>
    <row r="9" customFormat="false" ht="15" hidden="false" customHeight="true" outlineLevel="0" collapsed="false">
      <c r="A9" s="4" t="s">
        <v>194</v>
      </c>
      <c r="E9" s="21" t="n">
        <f aca="false">-Assumptions!E57</f>
        <v>-2000</v>
      </c>
      <c r="F9" s="21" t="n">
        <f aca="false">-Assumptions!F57</f>
        <v>-2100</v>
      </c>
      <c r="G9" s="21" t="n">
        <f aca="false">-Assumptions!G57</f>
        <v>-2200</v>
      </c>
      <c r="H9" s="21" t="n">
        <f aca="false">-Assumptions!H57</f>
        <v>-2300</v>
      </c>
      <c r="I9" s="21" t="n">
        <f aca="false">-Assumptions!I57</f>
        <v>-2400</v>
      </c>
    </row>
    <row r="10" customFormat="false" ht="15" hidden="false" customHeight="true" outlineLevel="0" collapsed="false">
      <c r="A10" s="4" t="s">
        <v>195</v>
      </c>
      <c r="E10" s="21" t="n">
        <f aca="false">-Assumptions!E59</f>
        <v>-0</v>
      </c>
      <c r="F10" s="21" t="n">
        <f aca="false">-Assumptions!F59</f>
        <v>-0</v>
      </c>
      <c r="G10" s="21" t="n">
        <f aca="false">-Assumptions!G59</f>
        <v>-400</v>
      </c>
      <c r="H10" s="21" t="n">
        <f aca="false">-Assumptions!H59</f>
        <v>-800</v>
      </c>
      <c r="I10" s="21" t="n">
        <f aca="false">-Assumptions!I59</f>
        <v>-1200</v>
      </c>
    </row>
    <row r="11" customFormat="false" ht="15" hidden="false" customHeight="true" outlineLevel="0" collapsed="false">
      <c r="A11" s="4" t="s">
        <v>196</v>
      </c>
      <c r="E11" s="21" t="n">
        <f aca="false">Assumptions!E57*0.6</f>
        <v>1200</v>
      </c>
      <c r="F11" s="21" t="n">
        <f aca="false">Assumptions!F57*0.6</f>
        <v>1260</v>
      </c>
      <c r="G11" s="21" t="n">
        <f aca="false">Assumptions!G57*0.6</f>
        <v>1320</v>
      </c>
      <c r="H11" s="21" t="n">
        <f aca="false">Assumptions!H57*0.6</f>
        <v>1380</v>
      </c>
      <c r="I11" s="21" t="n">
        <f aca="false">Assumptions!I57*0.6</f>
        <v>1440</v>
      </c>
    </row>
    <row r="12" customFormat="false" ht="15" hidden="false" customHeight="true" outlineLevel="0" collapsed="false">
      <c r="A12" s="4" t="s">
        <v>197</v>
      </c>
      <c r="E12" s="22" t="n">
        <f aca="false">E8+E9+E10+E11</f>
        <v>2572.9</v>
      </c>
      <c r="F12" s="22" t="n">
        <f aca="false">F8+F9+F10+F11</f>
        <v>3408.72033</v>
      </c>
      <c r="G12" s="22" t="n">
        <f aca="false">G8+G9+G10+G11</f>
        <v>3911.0046142</v>
      </c>
      <c r="H12" s="22" t="n">
        <f aca="false">H8+H9+H10+H11</f>
        <v>4442.682755984</v>
      </c>
      <c r="I12" s="22" t="n">
        <f aca="false">I8+I9+I10+I11</f>
        <v>4965.8226819936</v>
      </c>
    </row>
    <row r="13" customFormat="false" ht="15" hidden="false" customHeight="true" outlineLevel="0" collapsed="false">
      <c r="A13" s="4" t="s">
        <v>198</v>
      </c>
      <c r="E13" s="26" t="n">
        <f aca="false">'Balance Sheet'!E7</f>
        <v>10402.9</v>
      </c>
      <c r="F13" s="26" t="n">
        <f aca="false">'Balance Sheet'!F7</f>
        <v>13811.62033</v>
      </c>
      <c r="G13" s="26" t="n">
        <f aca="false">'Balance Sheet'!G7</f>
        <v>17722.6249442</v>
      </c>
      <c r="H13" s="26" t="n">
        <f aca="false">'Balance Sheet'!H7</f>
        <v>22165.307700184</v>
      </c>
      <c r="I13" s="26" t="n">
        <f aca="false">'Balance Sheet'!I7</f>
        <v>27131.1303821776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1"/>
  </cols>
  <sheetData>
    <row r="1" customFormat="false" ht="15.75" hidden="false" customHeight="true" outlineLevel="0" collapsed="false">
      <c r="A1" s="2" t="s">
        <v>199</v>
      </c>
    </row>
    <row r="2" customFormat="false" ht="15" hidden="false" customHeight="true" outlineLevel="0" collapsed="false">
      <c r="A2" s="3" t="s">
        <v>200</v>
      </c>
    </row>
    <row r="3" customFormat="false" ht="15" hidden="false" customHeight="true" outlineLevel="0" collapsed="false">
      <c r="B3" s="5" t="s">
        <v>113</v>
      </c>
      <c r="C3" s="5" t="s">
        <v>114</v>
      </c>
      <c r="D3" s="5" t="s">
        <v>115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</row>
    <row r="4" customFormat="false" ht="15" hidden="false" customHeight="true" outlineLevel="0" collapsed="false">
      <c r="A4" s="4" t="s">
        <v>201</v>
      </c>
      <c r="B4" s="21" t="n">
        <f aca="false">'Income Statement'!B4</f>
        <v>6080</v>
      </c>
      <c r="C4" s="21" t="n">
        <f aca="false">'Income Statement'!C4</f>
        <v>6280</v>
      </c>
      <c r="D4" s="21" t="n">
        <f aca="false">'Income Statement'!D4</f>
        <v>7410</v>
      </c>
      <c r="E4" s="21" t="n">
        <f aca="false">'Income Statement'!E4</f>
        <v>8521.5</v>
      </c>
      <c r="F4" s="21" t="n">
        <f aca="false">'Income Statement'!F4</f>
        <v>10055.37</v>
      </c>
      <c r="G4" s="21" t="n">
        <f aca="false">'Income Statement'!G4</f>
        <v>11664.2292</v>
      </c>
      <c r="H4" s="21" t="n">
        <f aca="false">'Income Statement'!H4</f>
        <v>13297.221288</v>
      </c>
      <c r="I4" s="21" t="n">
        <f aca="false">'Income Statement'!I4</f>
        <v>14892.88784256</v>
      </c>
    </row>
    <row r="5" customFormat="false" ht="15" hidden="false" customHeight="true" outlineLevel="0" collapsed="false">
      <c r="A5" s="4" t="s">
        <v>202</v>
      </c>
      <c r="B5" s="21" t="n">
        <f aca="false">'Income Statement'!B7</f>
        <v>4034</v>
      </c>
      <c r="C5" s="21" t="n">
        <f aca="false">'Income Statement'!C7</f>
        <v>4133</v>
      </c>
      <c r="D5" s="21" t="n">
        <f aca="false">'Income Statement'!D7</f>
        <v>4900</v>
      </c>
      <c r="E5" s="21" t="n">
        <f aca="false">'Income Statement'!E7</f>
        <v>5538.975</v>
      </c>
      <c r="F5" s="21" t="n">
        <f aca="false">'Income Statement'!F7</f>
        <v>6636.5442</v>
      </c>
      <c r="G5" s="21" t="n">
        <f aca="false">'Income Statement'!G7</f>
        <v>7756.712418</v>
      </c>
      <c r="H5" s="21" t="n">
        <f aca="false">'Income Statement'!H7</f>
        <v>8909.13826296</v>
      </c>
      <c r="I5" s="21" t="n">
        <f aca="false">'Income Statement'!I7</f>
        <v>10052.699293728</v>
      </c>
    </row>
    <row r="6" customFormat="false" ht="15" hidden="false" customHeight="true" outlineLevel="0" collapsed="false">
      <c r="A6" s="4" t="s">
        <v>203</v>
      </c>
      <c r="B6" s="21" t="n">
        <f aca="false">'Income Statement'!B5</f>
        <v>2984</v>
      </c>
      <c r="C6" s="21" t="n">
        <f aca="false">'Income Statement'!C5</f>
        <v>2983</v>
      </c>
      <c r="D6" s="21" t="n">
        <f aca="false">'Income Statement'!D5</f>
        <v>3600</v>
      </c>
      <c r="E6" s="21" t="n">
        <f aca="false">'Income Statement'!E5</f>
        <v>4260.75</v>
      </c>
      <c r="F6" s="21" t="n">
        <f aca="false">'Income Statement'!F5</f>
        <v>5128.2387</v>
      </c>
      <c r="G6" s="21" t="n">
        <f aca="false">'Income Statement'!G5</f>
        <v>6007.078038</v>
      </c>
      <c r="H6" s="21" t="n">
        <f aca="false">'Income Statement'!H5</f>
        <v>6914.55506976</v>
      </c>
      <c r="I6" s="21" t="n">
        <f aca="false">'Income Statement'!I5</f>
        <v>7818.766117344</v>
      </c>
    </row>
    <row r="7" customFormat="false" ht="15" hidden="false" customHeight="true" outlineLevel="0" collapsed="false">
      <c r="A7" s="4" t="s">
        <v>204</v>
      </c>
      <c r="B7" s="21" t="n">
        <f aca="false">'Income Statement'!B12</f>
        <v>1662</v>
      </c>
      <c r="C7" s="21" t="n">
        <f aca="false">'Income Statement'!C12</f>
        <v>1757</v>
      </c>
      <c r="D7" s="21" t="n">
        <f aca="false">'Income Statement'!D12</f>
        <v>1852</v>
      </c>
      <c r="E7" s="21" t="n">
        <f aca="false">'Income Statement'!E12</f>
        <v>2264.675</v>
      </c>
      <c r="F7" s="21" t="n">
        <f aca="false">'Income Statement'!F12</f>
        <v>2890.41483</v>
      </c>
      <c r="G7" s="21" t="n">
        <f aca="false">'Income Statement'!G12</f>
        <v>3571.3702342</v>
      </c>
      <c r="H7" s="21" t="n">
        <f aca="false">'Income Statement'!H12</f>
        <v>4278.099562784</v>
      </c>
      <c r="I7" s="21" t="n">
        <f aca="false">'Income Statement'!I12</f>
        <v>4981.8895056096</v>
      </c>
    </row>
    <row r="8" customFormat="false" ht="15" hidden="false" customHeight="true" outlineLevel="0" collapsed="false">
      <c r="A8" s="4" t="s">
        <v>180</v>
      </c>
      <c r="B8" s="21" t="n">
        <f aca="false">'Balance Sheet'!B9</f>
        <v>105702.4</v>
      </c>
      <c r="C8" s="21" t="n">
        <f aca="false">'Balance Sheet'!C9</f>
        <v>116858.4</v>
      </c>
      <c r="D8" s="21" t="n">
        <f aca="false">'Balance Sheet'!D9</f>
        <v>131404.8</v>
      </c>
      <c r="E8" s="21" t="n">
        <f aca="false">'Balance Sheet'!E9</f>
        <v>142010.695</v>
      </c>
      <c r="F8" s="21" t="n">
        <f aca="false">'Balance Sheet'!F9</f>
        <v>153820.59343</v>
      </c>
      <c r="G8" s="21" t="n">
        <f aca="false">'Balance Sheet'!G9</f>
        <v>166398.8442402</v>
      </c>
      <c r="H8" s="21" t="n">
        <f aca="false">'Balance Sheet'!H9</f>
        <v>179763.893587624</v>
      </c>
      <c r="I8" s="21" t="n">
        <f aca="false">'Balance Sheet'!I9</f>
        <v>193903.05868851</v>
      </c>
    </row>
    <row r="9" customFormat="false" ht="15" hidden="false" customHeight="true" outlineLevel="0" collapsed="false">
      <c r="A9" s="4" t="s">
        <v>205</v>
      </c>
      <c r="B9" s="21" t="n">
        <f aca="false">'Balance Sheet'!B11</f>
        <v>22000</v>
      </c>
      <c r="C9" s="21" t="n">
        <f aca="false">'Balance Sheet'!C11</f>
        <v>24000</v>
      </c>
      <c r="D9" s="21" t="n">
        <f aca="false">'Balance Sheet'!D11</f>
        <v>28000</v>
      </c>
      <c r="E9" s="21" t="n">
        <f aca="false">'Balance Sheet'!E11</f>
        <v>30264.675</v>
      </c>
      <c r="F9" s="21" t="n">
        <f aca="false">'Balance Sheet'!F11</f>
        <v>33155.08983</v>
      </c>
      <c r="G9" s="21" t="n">
        <f aca="false">'Balance Sheet'!G11</f>
        <v>36326.4600642</v>
      </c>
      <c r="H9" s="21" t="n">
        <f aca="false">'Balance Sheet'!H11</f>
        <v>39804.559626984</v>
      </c>
      <c r="I9" s="21" t="n">
        <f aca="false">'Balance Sheet'!I11</f>
        <v>43586.4491325936</v>
      </c>
    </row>
    <row r="10" customFormat="false" ht="15" hidden="false" customHeight="true" outlineLevel="0" collapsed="false">
      <c r="A10" s="4" t="s">
        <v>206</v>
      </c>
      <c r="D10" s="21" t="n">
        <f aca="false">Assumptions!$B$7</f>
        <v>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1"/>
  </cols>
  <sheetData>
    <row r="1" customFormat="false" ht="15.75" hidden="false" customHeight="true" outlineLevel="0" collapsed="false">
      <c r="A1" s="2" t="s">
        <v>207</v>
      </c>
    </row>
    <row r="2" customFormat="false" ht="15" hidden="false" customHeight="true" outlineLevel="0" collapsed="false">
      <c r="A2" s="3" t="s">
        <v>208</v>
      </c>
    </row>
    <row r="3" customFormat="false" ht="15" hidden="false" customHeight="true" outlineLevel="0" collapsed="false">
      <c r="A3" s="12" t="s">
        <v>209</v>
      </c>
    </row>
    <row r="4" customFormat="false" ht="15" hidden="false" customHeight="true" outlineLevel="0" collapsed="false">
      <c r="A4" s="5" t="s">
        <v>210</v>
      </c>
      <c r="B4" s="5" t="s">
        <v>211</v>
      </c>
      <c r="C4" s="5" t="s">
        <v>212</v>
      </c>
      <c r="D4" s="5" t="s">
        <v>213</v>
      </c>
      <c r="E4" s="5" t="s">
        <v>214</v>
      </c>
      <c r="F4" s="5" t="s">
        <v>215</v>
      </c>
    </row>
    <row r="5" customFormat="false" ht="15" hidden="false" customHeight="true" outlineLevel="0" collapsed="false">
      <c r="A5" s="1" t="s">
        <v>216</v>
      </c>
      <c r="B5" s="7" t="n">
        <v>158.5</v>
      </c>
      <c r="C5" s="7" t="n">
        <v>180.4</v>
      </c>
      <c r="D5" s="7" t="n">
        <v>194.1</v>
      </c>
      <c r="E5" s="7" t="n">
        <v>208.7</v>
      </c>
      <c r="F5" s="7" t="n">
        <v>235.2</v>
      </c>
    </row>
    <row r="6" customFormat="false" ht="15" hidden="false" customHeight="true" outlineLevel="0" collapsed="false">
      <c r="A6" s="1" t="s">
        <v>217</v>
      </c>
      <c r="B6" s="7" t="n">
        <v>136.9</v>
      </c>
      <c r="C6" s="7" t="n">
        <v>171</v>
      </c>
      <c r="D6" s="7" t="n">
        <v>194.2</v>
      </c>
      <c r="E6" s="7" t="n">
        <v>220</v>
      </c>
      <c r="F6" s="7" t="n">
        <v>268.4</v>
      </c>
    </row>
    <row r="8" customFormat="false" ht="15" hidden="false" customHeight="true" outlineLevel="0" collapsed="false">
      <c r="A8" s="1" t="s">
        <v>218</v>
      </c>
      <c r="D8" s="8" t="n">
        <f aca="false">Assumptions!$B$44</f>
        <v>0.4116</v>
      </c>
    </row>
    <row r="9" customFormat="false" ht="15" hidden="false" customHeight="true" outlineLevel="0" collapsed="false">
      <c r="A9" s="1" t="s">
        <v>219</v>
      </c>
      <c r="D9" s="8" t="n">
        <f aca="false">Assumptions!$B$45</f>
        <v>0.019</v>
      </c>
    </row>
    <row r="10" customFormat="false" ht="15" hidden="false" customHeight="true" outlineLevel="0" collapsed="false">
      <c r="A10" s="1" t="s">
        <v>220</v>
      </c>
      <c r="D10" s="1" t="n">
        <f aca="false">Assumptions!$B$46</f>
        <v>5</v>
      </c>
    </row>
    <row r="12" customFormat="false" ht="15" hidden="false" customHeight="true" outlineLevel="0" collapsed="false">
      <c r="A12" s="12" t="s">
        <v>221</v>
      </c>
    </row>
    <row r="13" customFormat="false" ht="15" hidden="false" customHeight="true" outlineLevel="0" collapsed="false">
      <c r="A13" s="5" t="s">
        <v>222</v>
      </c>
      <c r="B13" s="5" t="s">
        <v>223</v>
      </c>
      <c r="C13" s="5" t="s">
        <v>224</v>
      </c>
    </row>
    <row r="14" customFormat="false" ht="15" hidden="false" customHeight="true" outlineLevel="0" collapsed="false">
      <c r="A14" s="27" t="n">
        <v>150</v>
      </c>
      <c r="B14" s="8" t="n">
        <v>0.135</v>
      </c>
      <c r="C14" s="8" t="n">
        <v>0.352</v>
      </c>
    </row>
    <row r="15" customFormat="false" ht="15" hidden="false" customHeight="true" outlineLevel="0" collapsed="false">
      <c r="A15" s="27" t="n">
        <v>165</v>
      </c>
      <c r="B15" s="8" t="n">
        <v>0.316</v>
      </c>
      <c r="C15" s="8" t="n">
        <v>0.52</v>
      </c>
    </row>
    <row r="16" customFormat="false" ht="15" hidden="false" customHeight="true" outlineLevel="0" collapsed="false">
      <c r="A16" s="27" t="n">
        <v>180</v>
      </c>
      <c r="B16" s="8" t="n">
        <v>0.632</v>
      </c>
      <c r="C16" s="8" t="n">
        <v>0.741</v>
      </c>
    </row>
    <row r="17" customFormat="false" ht="15" hidden="false" customHeight="true" outlineLevel="0" collapsed="false">
      <c r="A17" s="27" t="n">
        <v>195</v>
      </c>
      <c r="B17" s="8" t="n">
        <v>0.485</v>
      </c>
      <c r="C17" s="8" t="n">
        <v>0.66</v>
      </c>
    </row>
    <row r="18" customFormat="false" ht="15" hidden="false" customHeight="true" outlineLevel="0" collapsed="false">
      <c r="A18" s="27" t="n">
        <v>210</v>
      </c>
      <c r="B18" s="8" t="n">
        <v>0.3</v>
      </c>
      <c r="C18" s="8" t="n">
        <v>0.52</v>
      </c>
    </row>
    <row r="19" customFormat="false" ht="15" hidden="false" customHeight="true" outlineLevel="0" collapsed="false">
      <c r="A19" s="27" t="n">
        <v>230</v>
      </c>
      <c r="B19" s="8" t="n">
        <v>0.13</v>
      </c>
      <c r="C19" s="8" t="n">
        <v>0.335</v>
      </c>
    </row>
    <row r="20" customFormat="false" ht="15" hidden="false" customHeight="true" outlineLevel="0" collapsed="false">
      <c r="A20" s="27" t="n">
        <v>250</v>
      </c>
      <c r="B20" s="8" t="n">
        <v>0.05</v>
      </c>
      <c r="C20" s="8" t="n">
        <v>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</cols>
  <sheetData>
    <row r="1" customFormat="false" ht="15.75" hidden="false" customHeight="true" outlineLevel="0" collapsed="false">
      <c r="A1" s="2" t="s">
        <v>225</v>
      </c>
    </row>
    <row r="2" customFormat="false" ht="15" hidden="false" customHeight="true" outlineLevel="0" collapsed="false">
      <c r="A2" s="3" t="s">
        <v>226</v>
      </c>
    </row>
    <row r="4" customFormat="false" ht="15" hidden="false" customHeight="true" outlineLevel="0" collapsed="false">
      <c r="A4" s="9" t="s">
        <v>227</v>
      </c>
      <c r="B4" s="28" t="n">
        <v>0.075</v>
      </c>
      <c r="C4" s="28" t="n">
        <v>0.0825</v>
      </c>
      <c r="D4" s="28" t="n">
        <v>0.0875</v>
      </c>
      <c r="E4" s="28" t="n">
        <v>0.095</v>
      </c>
      <c r="F4" s="28" t="n">
        <v>0.1025</v>
      </c>
    </row>
    <row r="5" customFormat="false" ht="15" hidden="false" customHeight="true" outlineLevel="0" collapsed="false">
      <c r="A5" s="28" t="n">
        <v>0.025</v>
      </c>
      <c r="B5" s="7" t="n">
        <f aca="false">((DCF!B9/(1+B$4)^1+DCF!C9/(1+B$4)^2+DCF!D9/(1+B$4)^3+DCF!E9/(1+B$4)^4+DCF!F9/(1+B$4)^5)+(DCF!F9*(1+$A5)/(B$4-$A5)/(1+B$4)^5)-Assumptions!$B$7)/Assumptions!$B$5</f>
        <v>203.794747599657</v>
      </c>
      <c r="C5" s="7" t="n">
        <f aca="false">((DCF!B9/(1+C$4)^1+DCF!C9/(1+C$4)^2+DCF!D9/(1+C$4)^3+DCF!E9/(1+C$4)^4+DCF!F9/(1+C$4)^5)+(DCF!F9*(1+$A5)/(C$4-$A5)/(1+C$4)^5)-Assumptions!$B$7)/Assumptions!$B$5</f>
        <v>171.47191378902</v>
      </c>
      <c r="D5" s="7" t="n">
        <f aca="false">((DCF!B9/(1+D$4)^1+DCF!C9/(1+D$4)^2+DCF!D9/(1+D$4)^3+DCF!E9/(1+D$4)^4+DCF!F9/(1+D$4)^5)+(DCF!F9*(1+$A5)/(D$4-$A5)/(1+D$4)^5)-Assumptions!$B$7)/Assumptions!$B$5</f>
        <v>154.254087809421</v>
      </c>
      <c r="E5" s="7" t="n">
        <f aca="false">((DCF!B9/(1+E$4)^1+DCF!C9/(1+E$4)^2+DCF!D9/(1+E$4)^3+DCF!E9/(1+E$4)^4+DCF!F9/(1+E$4)^5)+(DCF!F9*(1+$A5)/(E$4-$A5)/(1+E$4)^5)-Assumptions!$B$7)/Assumptions!$B$5</f>
        <v>133.066517740024</v>
      </c>
      <c r="F5" s="7" t="n">
        <f aca="false">((DCF!B9/(1+F$4)^1+DCF!C9/(1+F$4)^2+DCF!D9/(1+F$4)^3+DCF!E9/(1+F$4)^4+DCF!F9/(1+F$4)^5)+(DCF!F9*(1+$A5)/(F$4-$A5)/(1+F$4)^5)-Assumptions!$B$7)/Assumptions!$B$5</f>
        <v>116.00836901851</v>
      </c>
    </row>
    <row r="6" customFormat="false" ht="15" hidden="false" customHeight="true" outlineLevel="0" collapsed="false">
      <c r="A6" s="28" t="n">
        <v>0.03</v>
      </c>
      <c r="B6" s="7" t="n">
        <f aca="false">((DCF!B9/(1+B$4)^1+DCF!C9/(1+B$4)^2+DCF!D9/(1+B$4)^3+DCF!E9/(1+B$4)^4+DCF!F9/(1+B$4)^5)+(DCF!F9*(1+$A6)/(B$4-$A6)/(1+B$4)^5)-Assumptions!$B$7)/Assumptions!$B$5</f>
        <v>226.676120604927</v>
      </c>
      <c r="C6" s="7" t="n">
        <f aca="false">((DCF!B9/(1+C$4)^1+DCF!C9/(1+C$4)^2+DCF!D9/(1+C$4)^3+DCF!E9/(1+C$4)^4+DCF!F9/(1+C$4)^5)+(DCF!F9*(1+$A6)/(C$4-$A6)/(1+C$4)^5)-Assumptions!$B$7)/Assumptions!$B$5</f>
        <v>188.058602258178</v>
      </c>
      <c r="D6" s="7" t="n">
        <f aca="false">((DCF!B9/(1+D$4)^1+DCF!C9/(1+D$4)^2+DCF!D9/(1+D$4)^3+DCF!E9/(1+D$4)^4+DCF!F9/(1+D$4)^5)+(DCF!F9*(1+$A6)/(D$4-$A6)/(1+D$4)^5)-Assumptions!$B$7)/Assumptions!$B$5</f>
        <v>167.932432117128</v>
      </c>
      <c r="E6" s="7" t="n">
        <f aca="false">((DCF!B9/(1+E$4)^1+DCF!C9/(1+E$4)^2+DCF!D9/(1+E$4)^3+DCF!E9/(1+E$4)^4+DCF!F9/(1+E$4)^5)+(DCF!F9*(1+$A6)/(E$4-$A6)/(1+E$4)^5)-Assumptions!$B$7)/Assumptions!$B$5</f>
        <v>143.577192138879</v>
      </c>
      <c r="F6" s="7" t="n">
        <f aca="false">((DCF!B9/(1+F$4)^1+DCF!C9/(1+F$4)^2+DCF!D9/(1+F$4)^3+DCF!E9/(1+F$4)^4+DCF!F9/(1+F$4)^5)+(DCF!F9*(1+$A6)/(F$4-$A6)/(1+F$4)^5)-Assumptions!$B$7)/Assumptions!$B$5</f>
        <v>124.290543095565</v>
      </c>
    </row>
    <row r="7" customFormat="false" ht="15" hidden="false" customHeight="true" outlineLevel="0" collapsed="false">
      <c r="A7" s="28" t="n">
        <v>0.035</v>
      </c>
      <c r="B7" s="7" t="n">
        <f aca="false">((DCF!B9/(1+B$4)^1+DCF!C9/(1+B$4)^2+DCF!D9/(1+B$4)^3+DCF!E9/(1+B$4)^4+DCF!F9/(1+B$4)^5)+(DCF!F9*(1+$A7)/(B$4-$A7)/(1+B$4)^5)-Assumptions!$B$7)/Assumptions!$B$5</f>
        <v>255.277836861516</v>
      </c>
      <c r="C7" s="7" t="n">
        <f aca="false">((DCF!B9/(1+C$4)^1+DCF!C9/(1+C$4)^2+DCF!D9/(1+C$4)^3+DCF!E9/(1+C$4)^4+DCF!F9/(1+C$4)^5)+(DCF!F9*(1+$A7)/(C$4-$A7)/(1+C$4)^5)-Assumptions!$B$7)/Assumptions!$B$5</f>
        <v>208.137225141895</v>
      </c>
      <c r="D7" s="29" t="n">
        <f aca="false">((DCF!B9/(1+D$4)^1+DCF!C9/(1+D$4)^2+DCF!D9/(1+D$4)^3+DCF!E9/(1+D$4)^4+DCF!F9/(1+D$4)^5)+(DCF!F9*(1+$A7)/(D$4-$A7)/(1+D$4)^5)-Assumptions!$B$7)/Assumptions!$B$5</f>
        <v>184.216175340588</v>
      </c>
      <c r="E7" s="7" t="n">
        <f aca="false">((DCF!B9/(1+E$4)^1+DCF!C9/(1+E$4)^2+DCF!D9/(1+E$4)^3+DCF!E9/(1+E$4)^4+DCF!F9/(1+E$4)^5)+(DCF!F9*(1+$A7)/(E$4-$A7)/(1+E$4)^5)-Assumptions!$B$7)/Assumptions!$B$5</f>
        <v>155.83964560421</v>
      </c>
      <c r="F7" s="7" t="n">
        <f aca="false">((DCF!B9/(1+F$4)^1+DCF!C9/(1+F$4)^2+DCF!D9/(1+F$4)^3+DCF!E9/(1+F$4)^4+DCF!F9/(1+F$4)^5)+(DCF!F9*(1+$A7)/(F$4-$A7)/(1+F$4)^5)-Assumptions!$B$7)/Assumptions!$B$5</f>
        <v>133.799705924775</v>
      </c>
    </row>
    <row r="8" customFormat="false" ht="15" hidden="false" customHeight="true" outlineLevel="0" collapsed="false">
      <c r="A8" s="28" t="n">
        <v>0.04</v>
      </c>
      <c r="B8" s="7" t="n">
        <f aca="false">((DCF!B9/(1+B$4)^1+DCF!C9/(1+B$4)^2+DCF!D9/(1+B$4)^3+DCF!E9/(1+B$4)^4+DCF!F9/(1+B$4)^5)+(DCF!F9*(1+$A8)/(B$4-$A8)/(1+B$4)^5)-Assumptions!$B$7)/Assumptions!$B$5</f>
        <v>292.051472048558</v>
      </c>
      <c r="C8" s="7" t="n">
        <f aca="false">((DCF!B9/(1+C$4)^1+DCF!C9/(1+C$4)^2+DCF!D9/(1+C$4)^3+DCF!E9/(1+C$4)^4+DCF!F9/(1+C$4)^5)+(DCF!F9*(1+$A8)/(C$4-$A8)/(1+C$4)^5)-Assumptions!$B$7)/Assumptions!$B$5</f>
        <v>232.940229880604</v>
      </c>
      <c r="D8" s="7" t="n">
        <f aca="false">((DCF!B9/(1+D$4)^1+DCF!C9/(1+D$4)^2+DCF!D9/(1+D$4)^3+DCF!E9/(1+D$4)^4+DCF!F9/(1+D$4)^5)+(DCF!F9*(1+$A8)/(D$4-$A8)/(1+D$4)^5)-Assumptions!$B$7)/Assumptions!$B$5</f>
        <v>203.928075032145</v>
      </c>
      <c r="E8" s="7" t="n">
        <f aca="false">((DCF!B9/(1+E$4)^1+DCF!C9/(1+E$4)^2+DCF!D9/(1+E$4)^3+DCF!E9/(1+E$4)^4+DCF!F9/(1+E$4)^5)+(DCF!F9*(1+$A8)/(E$4-$A8)/(1+E$4)^5)-Assumptions!$B$7)/Assumptions!$B$5</f>
        <v>170.331636063238</v>
      </c>
      <c r="F8" s="7" t="n">
        <f aca="false">((DCF!B9/(1+F$4)^1+DCF!C9/(1+F$4)^2+DCF!D9/(1+F$4)^3+DCF!E9/(1+F$4)^4+DCF!F9/(1+F$4)^5)+(DCF!F9*(1+$A8)/(F$4-$A8)/(1+F$4)^5)-Assumptions!$B$7)/Assumptions!$B$5</f>
        <v>144.83033480666</v>
      </c>
    </row>
    <row r="9" customFormat="false" ht="15" hidden="false" customHeight="true" outlineLevel="0" collapsed="false">
      <c r="A9" s="28" t="n">
        <v>0.045</v>
      </c>
      <c r="B9" s="7" t="n">
        <f aca="false">((DCF!B9/(1+B$4)^1+DCF!C9/(1+B$4)^2+DCF!D9/(1+B$4)^3+DCF!E9/(1+B$4)^4+DCF!F9/(1+B$4)^5)+(DCF!F9*(1+$A9)/(B$4-$A9)/(1+B$4)^5)-Assumptions!$B$7)/Assumptions!$B$5</f>
        <v>341.082985631281</v>
      </c>
      <c r="C9" s="7" t="n">
        <f aca="false">((DCF!B9/(1+C$4)^1+DCF!C9/(1+C$4)^2+DCF!D9/(1+C$4)^3+DCF!E9/(1+C$4)^4+DCF!F9/(1+C$4)^5)+(DCF!F9*(1+$A9)/(C$4-$A9)/(1+C$4)^5)-Assumptions!$B$7)/Assumptions!$B$5</f>
        <v>264.357369216302</v>
      </c>
      <c r="D9" s="7" t="n">
        <f aca="false">((DCF!B9/(1+D$4)^1+DCF!C9/(1+D$4)^2+DCF!D9/(1+D$4)^3+DCF!E9/(1+D$4)^4+DCF!F9/(1+D$4)^5)+(DCF!F9*(1+$A9)/(D$4-$A9)/(1+D$4)^5)-Assumptions!$B$7)/Assumptions!$B$5</f>
        <v>228.278068768774</v>
      </c>
      <c r="E9" s="7" t="n">
        <f aca="false">((DCF!B9/(1+E$4)^1+DCF!C9/(1+E$4)^2+DCF!D9/(1+E$4)^3+DCF!E9/(1+E$4)^4+DCF!F9/(1+E$4)^5)+(DCF!F9*(1+$A9)/(E$4-$A9)/(1+E$4)^5)-Assumptions!$B$7)/Assumptions!$B$5</f>
        <v>187.722024614071</v>
      </c>
      <c r="F9" s="7" t="n">
        <f aca="false">((DCF!B9/(1+F$4)^1+DCF!C9/(1+F$4)^2+DCF!D9/(1+F$4)^3+DCF!E9/(1+F$4)^4+DCF!F9/(1+F$4)^5)+(DCF!F9*(1+$A9)/(F$4-$A9)/(1+F$4)^5)-Assumptions!$B$7)/Assumptions!$B$5</f>
        <v>157.779333928871</v>
      </c>
    </row>
    <row r="11" customFormat="false" ht="15" hidden="false" customHeight="true" outlineLevel="0" collapsed="false">
      <c r="A11" s="23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0"/>
  </cols>
  <sheetData>
    <row r="1" customFormat="false" ht="15.75" hidden="false" customHeight="true" outlineLevel="0" collapsed="false">
      <c r="A1" s="2" t="s">
        <v>229</v>
      </c>
    </row>
    <row r="2" customFormat="false" ht="15" hidden="false" customHeight="true" outlineLevel="0" collapsed="false">
      <c r="A2" s="3" t="s">
        <v>230</v>
      </c>
    </row>
    <row r="3" customFormat="false" ht="15" hidden="false" customHeight="true" outlineLevel="0" collapsed="false">
      <c r="B3" s="5" t="s">
        <v>113</v>
      </c>
      <c r="C3" s="5" t="s">
        <v>114</v>
      </c>
      <c r="D3" s="5" t="s">
        <v>115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</row>
    <row r="4" customFormat="false" ht="15" hidden="false" customHeight="true" outlineLevel="0" collapsed="false">
      <c r="A4" s="4" t="s">
        <v>231</v>
      </c>
      <c r="B4" s="7" t="n">
        <f aca="false">'Income Statement'!B12/Assumptions!$B$5</f>
        <v>2.16829745596869</v>
      </c>
      <c r="C4" s="7" t="n">
        <f aca="false">'Income Statement'!C12/Assumptions!$B$5</f>
        <v>2.29223744292237</v>
      </c>
      <c r="D4" s="7" t="n">
        <f aca="false">'Income Statement'!D12/Assumptions!$B$5</f>
        <v>2.41617742987606</v>
      </c>
      <c r="E4" s="7" t="n">
        <f aca="false">'Income Statement'!E12/Assumptions!$B$5</f>
        <v>2.95456621004566</v>
      </c>
      <c r="F4" s="7" t="n">
        <f aca="false">'Income Statement'!F12/Assumptions!$B$5</f>
        <v>3.7709260665362</v>
      </c>
      <c r="G4" s="7" t="n">
        <f aca="false">'Income Statement'!G12/Assumptions!$B$5</f>
        <v>4.65932189719504</v>
      </c>
      <c r="H4" s="7" t="n">
        <f aca="false">'Income Statement'!H12/Assumptions!$B$5</f>
        <v>5.58134319997913</v>
      </c>
      <c r="I4" s="7" t="n">
        <f aca="false">'Income Statement'!I12/Assumptions!$B$5</f>
        <v>6.49952968768376</v>
      </c>
    </row>
    <row r="5" customFormat="false" ht="15" hidden="false" customHeight="true" outlineLevel="0" collapsed="false">
      <c r="A5" s="4" t="s">
        <v>232</v>
      </c>
      <c r="B5" s="7" t="n">
        <f aca="false">'Balance Sheet'!B11/Assumptions!$B$5</f>
        <v>28.7018917155903</v>
      </c>
      <c r="C5" s="7" t="n">
        <f aca="false">'Balance Sheet'!C11/Assumptions!$B$5</f>
        <v>31.3111545988258</v>
      </c>
      <c r="D5" s="7" t="n">
        <f aca="false">'Balance Sheet'!D11/Assumptions!$B$5</f>
        <v>36.5296803652968</v>
      </c>
      <c r="E5" s="7" t="n">
        <f aca="false">'Balance Sheet'!E11/Assumptions!$B$5</f>
        <v>39.4842465753425</v>
      </c>
      <c r="F5" s="7" t="n">
        <f aca="false">'Balance Sheet'!F11/Assumptions!$B$5</f>
        <v>43.2551726418787</v>
      </c>
      <c r="G5" s="7" t="n">
        <f aca="false">'Balance Sheet'!G11/Assumptions!$B$5</f>
        <v>47.3926419624266</v>
      </c>
      <c r="H5" s="7" t="n">
        <f aca="false">'Balance Sheet'!H11/Assumptions!$B$5</f>
        <v>51.9302800091115</v>
      </c>
      <c r="I5" s="7" t="n">
        <f aca="false">'Balance Sheet'!I11/Assumptions!$B$5</f>
        <v>56.864251966854</v>
      </c>
    </row>
    <row r="6" customFormat="false" ht="15" hidden="false" customHeight="true" outlineLevel="0" collapsed="false">
      <c r="A6" s="4" t="s">
        <v>233</v>
      </c>
      <c r="B6" s="30" t="n">
        <f aca="false">Assumptions!$B$4/(B4)</f>
        <v>89.425</v>
      </c>
      <c r="C6" s="30" t="n">
        <f aca="false">Assumptions!$B$4/(C4)</f>
        <v>84.5898406374502</v>
      </c>
      <c r="D6" s="30" t="n">
        <f aca="false">Assumptions!$B$4/(D4)</f>
        <v>80.2507289416847</v>
      </c>
      <c r="E6" s="30" t="n">
        <f aca="false">Assumptions!$B$4/(E4)</f>
        <v>65.6272312804265</v>
      </c>
      <c r="F6" s="30" t="n">
        <f aca="false">Assumptions!$B$4/(F4)</f>
        <v>51.4197299492821</v>
      </c>
      <c r="G6" s="30" t="n">
        <f aca="false">Assumptions!$B$4/(G4)</f>
        <v>41.6154977651855</v>
      </c>
      <c r="H6" s="30" t="n">
        <f aca="false">Assumptions!$B$4/(H4)</f>
        <v>34.7407412611225</v>
      </c>
      <c r="I6" s="30" t="n">
        <f aca="false">Assumptions!$B$4/(I4)</f>
        <v>29.8329278143663</v>
      </c>
    </row>
    <row r="7" customFormat="false" ht="15" hidden="false" customHeight="true" outlineLevel="0" collapsed="false">
      <c r="A7" s="4" t="s">
        <v>234</v>
      </c>
      <c r="B7" s="30" t="n">
        <f aca="false">Assumptions!$B$4/(B5)</f>
        <v>6.75565227272727</v>
      </c>
      <c r="C7" s="30" t="n">
        <f aca="false">Assumptions!$B$4/(C5)</f>
        <v>6.19268125</v>
      </c>
      <c r="D7" s="30" t="n">
        <f aca="false">Assumptions!$B$4/(D5)</f>
        <v>5.3080125</v>
      </c>
      <c r="E7" s="30" t="n">
        <f aca="false">Assumptions!$B$4/(E5)</f>
        <v>4.91081929675439</v>
      </c>
      <c r="F7" s="30" t="n">
        <f aca="false">Assumptions!$B$4/(F5)</f>
        <v>4.48270086921975</v>
      </c>
      <c r="G7" s="30" t="n">
        <f aca="false">Assumptions!$B$4/(G5)</f>
        <v>4.09135241191504</v>
      </c>
      <c r="H7" s="30" t="n">
        <f aca="false">Assumptions!$B$4/(H5)</f>
        <v>3.73385238758541</v>
      </c>
      <c r="I7" s="30" t="n">
        <f aca="false">Assumptions!$B$4/(I5)</f>
        <v>3.40987515518579</v>
      </c>
    </row>
    <row r="8" customFormat="false" ht="15" hidden="false" customHeight="true" outlineLevel="0" collapsed="false">
      <c r="A8" s="4" t="s">
        <v>171</v>
      </c>
      <c r="B8" s="8" t="n">
        <f aca="false">'Income Statement'!B5/'Income Statement'!B4</f>
        <v>0.490789473684211</v>
      </c>
      <c r="C8" s="8" t="n">
        <f aca="false">'Income Statement'!C5/'Income Statement'!C4</f>
        <v>0.475</v>
      </c>
      <c r="D8" s="8" t="n">
        <f aca="false">'Income Statement'!D5/'Income Statement'!D4</f>
        <v>0.48582995951417</v>
      </c>
      <c r="E8" s="8" t="n">
        <f aca="false">'Income Statement'!E5/'Income Statement'!E4</f>
        <v>0.5</v>
      </c>
      <c r="F8" s="8" t="n">
        <f aca="false">'Income Statement'!F5/'Income Statement'!F4</f>
        <v>0.51</v>
      </c>
      <c r="G8" s="8" t="n">
        <f aca="false">'Income Statement'!G5/'Income Statement'!G4</f>
        <v>0.515</v>
      </c>
      <c r="H8" s="8" t="n">
        <f aca="false">'Income Statement'!H5/'Income Statement'!H4</f>
        <v>0.52</v>
      </c>
      <c r="I8" s="8" t="n">
        <f aca="false">'Income Statement'!I5/'Income Statement'!I4</f>
        <v>0.525</v>
      </c>
    </row>
    <row r="9" customFormat="false" ht="15" hidden="false" customHeight="true" outlineLevel="0" collapsed="false">
      <c r="A9" s="4" t="s">
        <v>235</v>
      </c>
      <c r="B9" s="8" t="n">
        <f aca="false">'Income Statement'!B12/'Income Statement'!B4</f>
        <v>0.273355263157895</v>
      </c>
      <c r="C9" s="8" t="n">
        <f aca="false">'Income Statement'!C12/'Income Statement'!C4</f>
        <v>0.279777070063694</v>
      </c>
      <c r="D9" s="8" t="n">
        <f aca="false">'Income Statement'!D12/'Income Statement'!D4</f>
        <v>0.249932523616734</v>
      </c>
      <c r="E9" s="8" t="n">
        <f aca="false">'Income Statement'!E12/'Income Statement'!E4</f>
        <v>0.265760136126269</v>
      </c>
      <c r="F9" s="8" t="n">
        <f aca="false">'Income Statement'!F12/'Income Statement'!F4</f>
        <v>0.287449873052906</v>
      </c>
      <c r="G9" s="8" t="n">
        <f aca="false">'Income Statement'!G12/'Income Statement'!G4</f>
        <v>0.306181417817133</v>
      </c>
      <c r="H9" s="8" t="n">
        <f aca="false">'Income Statement'!H12/'Income Statement'!H4</f>
        <v>0.321728838689384</v>
      </c>
      <c r="I9" s="8" t="n">
        <f aca="false">'Income Statement'!I12/'Income Statement'!I4</f>
        <v>0.334514672928151</v>
      </c>
    </row>
    <row r="10" customFormat="false" ht="15" hidden="false" customHeight="true" outlineLevel="0" collapsed="false">
      <c r="A10" s="4" t="s">
        <v>236</v>
      </c>
      <c r="B10" s="8" t="n">
        <f aca="false">'Income Statement'!B12/'Balance Sheet'!B11</f>
        <v>0.0755454545454545</v>
      </c>
      <c r="C10" s="8" t="n">
        <f aca="false">'Income Statement'!C12/'Balance Sheet'!C11</f>
        <v>0.0732083333333333</v>
      </c>
      <c r="D10" s="8" t="n">
        <f aca="false">'Income Statement'!D12/'Balance Sheet'!D11</f>
        <v>0.0661428571428571</v>
      </c>
      <c r="E10" s="8" t="n">
        <f aca="false">'Income Statement'!E12/'Balance Sheet'!E11</f>
        <v>0.074828987920736</v>
      </c>
      <c r="F10" s="8" t="n">
        <f aca="false">'Income Statement'!F12/'Balance Sheet'!F11</f>
        <v>0.0871786155555712</v>
      </c>
      <c r="G10" s="8" t="n">
        <f aca="false">'Income Statement'!G12/'Balance Sheet'!G11</f>
        <v>0.0983131917585224</v>
      </c>
      <c r="H10" s="8" t="n">
        <f aca="false">'Income Statement'!H12/'Balance Sheet'!H11</f>
        <v>0.107477625751293</v>
      </c>
      <c r="I10" s="8" t="n">
        <f aca="false">'Income Statement'!I12/'Balance Sheet'!I11</f>
        <v>0.114299044880997</v>
      </c>
    </row>
    <row r="11" customFormat="false" ht="15" hidden="false" customHeight="true" outlineLevel="0" collapsed="false">
      <c r="A11" s="4" t="s">
        <v>237</v>
      </c>
      <c r="C11" s="8" t="n">
        <f aca="false">'Income Statement'!C4/'Income Statement'!B4-1</f>
        <v>0.0328947368421053</v>
      </c>
      <c r="D11" s="8" t="n">
        <f aca="false">'Income Statement'!D4/'Income Statement'!C4-1</f>
        <v>0.179936305732484</v>
      </c>
      <c r="E11" s="8" t="n">
        <f aca="false">'Income Statement'!E4/'Income Statement'!D4-1</f>
        <v>0.15</v>
      </c>
      <c r="F11" s="8" t="n">
        <f aca="false">'Income Statement'!F4/'Income Statement'!E4-1</f>
        <v>0.18</v>
      </c>
      <c r="G11" s="8" t="n">
        <f aca="false">'Income Statement'!G4/'Income Statement'!F4-1</f>
        <v>0.16</v>
      </c>
      <c r="H11" s="8" t="n">
        <f aca="false">'Income Statement'!H4/'Income Statement'!G4-1</f>
        <v>0.14</v>
      </c>
      <c r="I11" s="8" t="n">
        <f aca="false">'Income Statement'!I4/'Income Statement'!H4-1</f>
        <v>0.12</v>
      </c>
    </row>
    <row r="12" customFormat="false" ht="15" hidden="false" customHeight="true" outlineLevel="0" collapsed="false">
      <c r="A12" s="4" t="s">
        <v>238</v>
      </c>
      <c r="B12" s="30" t="n">
        <f aca="false">Assumptions!$B$7/'Income Statement'!B7</f>
        <v>6.19732275656916</v>
      </c>
      <c r="C12" s="30" t="n">
        <f aca="false">Assumptions!$B$7/'Income Statement'!C7</f>
        <v>6.04887490926688</v>
      </c>
      <c r="D12" s="30" t="n">
        <f aca="false">Assumptions!$B$7/'Income Statement'!D7</f>
        <v>5.10204081632653</v>
      </c>
      <c r="E12" s="30" t="n">
        <f aca="false">Assumptions!$B$7/'Income Statement'!E7</f>
        <v>4.51347045256568</v>
      </c>
      <c r="F12" s="30" t="n">
        <f aca="false">Assumptions!$B$7/'Income Statement'!F7</f>
        <v>3.76702079374383</v>
      </c>
      <c r="G12" s="30" t="n">
        <f aca="false">Assumptions!$B$7/'Income Statement'!G7</f>
        <v>3.22301493890449</v>
      </c>
      <c r="H12" s="30" t="n">
        <f aca="false">Assumptions!$B$7/'Income Statement'!H7</f>
        <v>2.80610753387207</v>
      </c>
      <c r="I12" s="30" t="n">
        <f aca="false">Assumptions!$B$7/'Income Statement'!I7</f>
        <v>2.48689424298186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42"/>
  </cols>
  <sheetData>
    <row r="1" customFormat="false" ht="15.75" hidden="false" customHeight="true" outlineLevel="0" collapsed="false">
      <c r="A1" s="2" t="s">
        <v>239</v>
      </c>
    </row>
    <row r="2" customFormat="false" ht="15" hidden="false" customHeight="true" outlineLevel="0" collapsed="false">
      <c r="A2" s="3" t="s">
        <v>240</v>
      </c>
    </row>
    <row r="3" customFormat="false" ht="15" hidden="false" customHeight="true" outlineLevel="0" collapsed="false">
      <c r="A3" s="5" t="s">
        <v>241</v>
      </c>
      <c r="B3" s="5" t="s">
        <v>242</v>
      </c>
      <c r="C3" s="5" t="s">
        <v>243</v>
      </c>
    </row>
    <row r="4" customFormat="false" ht="15" hidden="false" customHeight="true" outlineLevel="0" collapsed="false">
      <c r="A4" s="4" t="s">
        <v>244</v>
      </c>
      <c r="B4" s="20" t="s">
        <v>245</v>
      </c>
      <c r="C4" s="20" t="s">
        <v>246</v>
      </c>
    </row>
    <row r="5" customFormat="false" ht="15" hidden="false" customHeight="true" outlineLevel="0" collapsed="false">
      <c r="A5" s="4" t="s">
        <v>247</v>
      </c>
      <c r="B5" s="20" t="s">
        <v>248</v>
      </c>
      <c r="C5" s="20" t="s">
        <v>249</v>
      </c>
    </row>
    <row r="6" customFormat="false" ht="15" hidden="false" customHeight="true" outlineLevel="0" collapsed="false">
      <c r="A6" s="4" t="s">
        <v>250</v>
      </c>
      <c r="B6" s="20" t="s">
        <v>251</v>
      </c>
      <c r="C6" s="20" t="s">
        <v>252</v>
      </c>
    </row>
    <row r="7" customFormat="false" ht="15" hidden="false" customHeight="true" outlineLevel="0" collapsed="false">
      <c r="A7" s="4" t="s">
        <v>253</v>
      </c>
      <c r="B7" s="20" t="s">
        <v>254</v>
      </c>
      <c r="C7" s="20" t="s">
        <v>255</v>
      </c>
    </row>
    <row r="8" customFormat="false" ht="15" hidden="false" customHeight="true" outlineLevel="0" collapsed="false">
      <c r="A8" s="4" t="s">
        <v>256</v>
      </c>
      <c r="B8" s="20" t="s">
        <v>257</v>
      </c>
      <c r="C8" s="20" t="s">
        <v>258</v>
      </c>
    </row>
    <row r="10" customFormat="false" ht="15" hidden="false" customHeight="true" outlineLevel="0" collapsed="false">
      <c r="A10" s="23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2026-07-05T10:02:38Z</dcterms:created>
  <dc:creator>openpyxl</dc:creator>
  <dc:description/>
  <dc:language>en-US</dc:language>
  <cp:lastModifiedBy/>
  <dcterms:modified xsi:type="dcterms:W3CDTF">2026-07-05T11:13:40Z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