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FCFF Valuation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<sst xmlns="http://schemas.openxmlformats.org/spreadsheetml/2006/main" count="345" uniqueCount="267">
  <si>
    <t xml:space="preserve">Testahil · Independent Valuation Study — Educational Analysis · Not investment advice</t>
  </si>
  <si>
    <t xml:space="preserve">Juhayna Food Industries (EGX: JUFO) — linked valuation model</t>
  </si>
  <si>
    <t xml:space="preserve">This workbook is the companion model to the Juhayna valuation study. It is an educational artifact, not a</t>
  </si>
  <si>
    <t xml:space="preserve">recommendation, research note, or price target. No buy / sell / hold / rating language appears anywhere.</t>
  </si>
  <si>
    <t xml:space="preserve">HOW IT IS WIRED</t>
  </si>
  <si>
    <t xml:space="preserve">• All blue cells on the Assumptions sheet are inputs. Every other sheet links back to Assumptions —</t>
  </si>
  <si>
    <t xml:space="preserve">  there are no hard-coded duplicates. Change one input (e.g. WACC, terminal growth, a margin, or a</t>
  </si>
  <si>
    <t xml:space="preserve">  target multiple) and the whole model reprices: statements → DCF → the four lenses → Summary.</t>
  </si>
  <si>
    <t xml:space="preserve">• Reporting currency is the Egyptian pound (EGP). All monetary figures are EGP millions unless noted.</t>
  </si>
  <si>
    <t xml:space="preserve">• Historical columns FY23–FY25 are the audited consolidated figures; FY26E–FY30E are forecast.</t>
  </si>
  <si>
    <t xml:space="preserve">THE FOUR LENSES (Summary sheet)</t>
  </si>
  <si>
    <t xml:space="preserve">  1. Discounted cash flow (FCFF) — the primary lens for a going-concern staples producer.</t>
  </si>
  <si>
    <t xml:space="preserve">  2. Relative multiples — normalized forward EBITDA × a peer-set EV/EBITDA.</t>
  </si>
  <si>
    <t xml:space="preserve">  3. Normalized earnings — mid-cycle net profit × a justified P/E.</t>
  </si>
  <si>
    <t xml:space="preserve">  4. Segment sum — segment operating profit × segment-appropriate multiples, net of debt.</t>
  </si>
  <si>
    <t xml:space="preserve">TWO CLOCKS. The §1 risk-adjusted fair value is a ~12-month anchor. The Monte Carlo percentiles are the</t>
  </si>
  <si>
    <t xml:space="preserve">only genuine 3-month figures; they diffuse from spot and deliberately do NOT embed the §1 value gap</t>
  </si>
  <si>
    <t xml:space="preserve">(lens independence). Lead with the 50% interquartile band, not the 90% tail.</t>
  </si>
  <si>
    <t xml:space="preserve">The preparer may hold, and may in the future take or dispose of, a position in the security discussed in this report.</t>
  </si>
  <si>
    <t xml:space="preserve">Valuation summary — Juhayna Food Industries (EGX: JUFO)</t>
  </si>
  <si>
    <t xml:space="preserve">Four-lens fair value vs spot. Base links live; bear/bull are scenario reads.</t>
  </si>
  <si>
    <t xml:space="preserve">Bear</t>
  </si>
  <si>
    <t xml:space="preserve">Base</t>
  </si>
  <si>
    <t xml:space="preserve">Bull</t>
  </si>
  <si>
    <t xml:space="preserve">Weight</t>
  </si>
  <si>
    <t xml:space="preserve">Discounted cash flow (FCFF)</t>
  </si>
  <si>
    <t xml:space="preserve">Relative multiples</t>
  </si>
  <si>
    <t xml:space="preserve">Normalized earnings</t>
  </si>
  <si>
    <t xml:space="preserve">Segment sum</t>
  </si>
  <si>
    <t xml:space="preserve">Weighted central</t>
  </si>
  <si>
    <t xml:space="preserve">Spot price (EGP)</t>
  </si>
  <si>
    <t xml:space="preserve">Upside / (downside) to base central</t>
  </si>
  <si>
    <t xml:space="preserve">Read:</t>
  </si>
  <si>
    <t xml:space="preserve">Modestly rich to fair on cautious assumptions. The base central sits a little below spot; the market prices a fuller recovery</t>
  </si>
  <si>
    <t xml:space="preserve">in gross margin (post orange-concentrate normalization) and faster EGP disinflation. Swing factors: margins and the rate path.</t>
  </si>
  <si>
    <t xml:space="preserve">Fundamental valuation — overview</t>
  </si>
  <si>
    <t xml:space="preserve">The four lenses, their weights, and the weighted central fair value.</t>
  </si>
  <si>
    <t xml:space="preserve">Fair value</t>
  </si>
  <si>
    <t xml:space="preserve">Contribution</t>
  </si>
  <si>
    <t xml:space="preserve">Weighted central fair value</t>
  </si>
  <si>
    <t xml:space="preserve">Spot (EGP)</t>
  </si>
  <si>
    <t xml:space="preserve">Upside / (downside)</t>
  </si>
  <si>
    <t xml:space="preserve">Assumptions — the single input layer</t>
  </si>
  <si>
    <t xml:space="preserve">All blue cells are inputs. Every other sheet links here; there are no hard-coded duplicates.</t>
  </si>
  <si>
    <t xml:space="preserve">ANCHORS</t>
  </si>
  <si>
    <t xml:space="preserve">Spot price (EGP/share)</t>
  </si>
  <si>
    <t xml:space="preserve">Close date</t>
  </si>
  <si>
    <t xml:space="preserve">01-Jul-2026</t>
  </si>
  <si>
    <t xml:space="preserve">Shares outstanding (mn)</t>
  </si>
  <si>
    <t xml:space="preserve">Net debt, FY25 (EGP mn)</t>
  </si>
  <si>
    <t xml:space="preserve">USD/EGP</t>
  </si>
  <si>
    <t xml:space="preserve">WACC</t>
  </si>
  <si>
    <t xml:space="preserve">Terminal growth (nominal EGP)</t>
  </si>
  <si>
    <t xml:space="preserve">Tax rate</t>
  </si>
  <si>
    <t xml:space="preserve">FORECAST DRIVERS (FY26E–FY30E)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</si>
  <si>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</si>
  <si>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</si>
  <si>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</si>
  <si>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</si>
  <si>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</si>
  <si>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Revenue growth</t>
  </si>
  <si>
    <t xml:space="preserve">Gross margin</t>
  </si>
  <si>
    <t xml:space="preserve">SG&amp;A (% of sales)</t>
  </si>
  <si>
    <t xml:space="preserve">Other operating income (% of sales)</t>
  </si>
  <si>
    <t xml:space="preserve">Other expenses (% of sales)</t>
  </si>
  <si>
    <t xml:space="preserve">D&amp;A (% of sales)</t>
  </si>
  <si>
    <t xml:space="preserve">Capex (% of sales)</t>
  </si>
  <si>
    <t xml:space="preserve">Finance cost (EGP mn)</t>
  </si>
  <si>
    <t xml:space="preserve">WORKING CAPITAL (% of revenue)</t>
  </si>
  <si>
    <t xml:space="preserve">Inventory</t>
  </si>
  <si>
    <t xml:space="preserve">Receivables</t>
  </si>
  <si>
    <t xml:space="preserve">Payables</t>
  </si>
  <si>
    <t xml:space="preserve">Minimum cash (EGP mn)</t>
  </si>
  <si>
    <t xml:space="preserve">RELATIVE &amp; NORMALIZED</t>
  </si>
  <si>
    <t xml:space="preserve">Target EV/EBITDA (forward)</t>
  </si>
  <si>
    <t xml:space="preserve">Justified P/E (normalized)</t>
  </si>
  <si>
    <t xml:space="preserve">SEGMENT MARGINS &amp; MULTIPLES (normalized)</t>
  </si>
  <si>
    <t xml:space="preserve">EBIT margin</t>
  </si>
  <si>
    <t xml:space="preserve">EV/EBIT x</t>
  </si>
  <si>
    <t xml:space="preserve">Dairy</t>
  </si>
  <si>
    <t xml:space="preserve">Fermented</t>
  </si>
  <si>
    <t xml:space="preserve">Juice</t>
  </si>
  <si>
    <t xml:space="preserve">Concentrates &amp; Agri</t>
  </si>
  <si>
    <t xml:space="preserve">3rd-party distribution</t>
  </si>
  <si>
    <t xml:space="preserve">SYNTHESIS WEIGHTS</t>
  </si>
  <si>
    <t xml:space="preserve">DCF (FCFF) weight</t>
  </si>
  <si>
    <t xml:space="preserve">Relative weight</t>
  </si>
  <si>
    <t xml:space="preserve">Normalized-earnings weight</t>
  </si>
  <si>
    <t xml:space="preserve">Segment-sum weight</t>
  </si>
  <si>
    <t xml:space="preserve">MONTE CARLO (YZ-HAR engine, drift ON)</t>
  </si>
  <si>
    <t xml:space="preserve">Diffusion volatility (annualized)</t>
  </si>
  <si>
    <t xml:space="preserve">Net 3-month secular drift</t>
  </si>
  <si>
    <t xml:space="preserve">Paths</t>
  </si>
  <si>
    <t xml:space="preserve">Seed</t>
  </si>
  <si>
    <t xml:space="preserve">Horizon (trading days)</t>
  </si>
  <si>
    <t xml:space="preserve">Sources: Juhayna FY25 audited consolidated results (12 Mar 2026) and FY24 release (25 Mar 2025), juhayna.com IR. </t>
  </si>
  <si>
    <t xml:space="preserve">MC σ/drift from the YZ-HAR calibration engine (Step 0), full-history fit, drift ON. Peer multiples: analyst-compiled, Jul-2026 (see Peer &amp; Sector).</t>
  </si>
  <si>
    <t xml:space="preserve">FCFF valuation — the primary lens</t>
  </si>
  <si>
    <t xml:space="preserve">Going-concern discounted cash flow. Base links live to the DCF sheet; bear/bull are scenario reads (Sensitivity sheet).</t>
  </si>
  <si>
    <t xml:space="preserve">Enterprise value (EGP mn)</t>
  </si>
  <si>
    <t xml:space="preserve">less: net debt (EGP mn)</t>
  </si>
  <si>
    <t xml:space="preserve">Equity value (EGP mn)</t>
  </si>
  <si>
    <t xml:space="preserve">Fair value per share (EGP)</t>
  </si>
  <si>
    <t xml:space="preserve">Upside / (downside) to base</t>
  </si>
  <si>
    <t xml:space="preserve">Bear ≈ WACC 22% with margins holding near the FY25 reported trough; Bull ≈ WACC 18% with gross margin recovering toward the FY24 profile and capex intensity normalizing. Base is the live DCF.</t>
  </si>
  <si>
    <t xml:space="preserve">On cautious nominal-EGP cash-flow assumptions the primary lens sits modestly below spot; the market is pricing a fuller</t>
  </si>
  <si>
    <t xml:space="preserve">margin recovery and a faster fall in Egyptian rates. The swing factors are gross-margin normalization and WACC (rate path).</t>
  </si>
  <si>
    <t xml:space="preserve">Segment revenue &amp; sum-of-segments cross-check</t>
  </si>
  <si>
    <t xml:space="preserve">FY24–FY25 audited segment sales; normalized margins &amp; multiples on Assumptions.</t>
  </si>
  <si>
    <t xml:space="preserve">FY24 rev</t>
  </si>
  <si>
    <t xml:space="preserve">FY25 rev</t>
  </si>
  <si>
    <t xml:space="preserve">Norm. EBIT %</t>
  </si>
  <si>
    <t xml:space="preserve">Norm. EBIT</t>
  </si>
  <si>
    <t xml:space="preserve">Segment EV</t>
  </si>
  <si>
    <t xml:space="preserve">Total</t>
  </si>
  <si>
    <t xml:space="preserve">Aggregate segment EV</t>
  </si>
  <si>
    <t xml:space="preserve">less: net debt</t>
  </si>
  <si>
    <t xml:space="preserve">Equity value</t>
  </si>
  <si>
    <t xml:space="preserve">Segment-sum fair value/share (EGP)</t>
  </si>
  <si>
    <t xml:space="preserve">Source: Juhayna FY25 &amp; FY24 segment disclosure (earnings releases). Normalized EBIT margins and EV/EBIT multiples are analyst judgments held on Assumptions; concentrates/agri is marked cautiously given its cyclicality. This lens is a cross-check, not the primary read.</t>
  </si>
  <si>
    <t xml:space="preserve">Relative multiples &amp; normalized earnings</t>
  </si>
  <si>
    <t xml:space="preserve">Forward EBITDA × peer EV/EBITDA; mid-cycle net profit × justified P/E.</t>
  </si>
  <si>
    <t xml:space="preserve">RELATIVE — EV/EBITDA</t>
  </si>
  <si>
    <t xml:space="preserve">Forward EBITDA, FY26E (EGP mn)</t>
  </si>
  <si>
    <t xml:space="preserve">Target EV/EBITDA</t>
  </si>
  <si>
    <t xml:space="preserve">Implied EV</t>
  </si>
  <si>
    <t xml:space="preserve">Relative fair value/share (EGP)</t>
  </si>
  <si>
    <t xml:space="preserve">NORMALIZED — P/E</t>
  </si>
  <si>
    <t xml:space="preserve">Mid-cycle net profit, FY26E (EGP mn)</t>
  </si>
  <si>
    <t xml:space="preserve">Justified P/E</t>
  </si>
  <si>
    <t xml:space="preserve">Normalized fair value/share (EGP)</t>
  </si>
  <si>
    <t xml:space="preserve">Peer set and multiple derivation are on the Peer &amp; Sector sheet. Forward EBITDA and net profit link from the income statement, so a change in any margin driver reprices both lenses.</t>
  </si>
  <si>
    <t xml:space="preserve">Discounted cash flow — explicit 5-year FCFF</t>
  </si>
  <si>
    <t xml:space="preserve">NOPAT + D&amp;A − capex − ΔWC, discounted at WACC. All inputs live on Assumptions.</t>
  </si>
  <si>
    <t xml:space="preserve">EBIT</t>
  </si>
  <si>
    <t xml:space="preserve">NOPAT = EBIT×(1−tax)</t>
  </si>
  <si>
    <t xml:space="preserve">+ D&amp;A</t>
  </si>
  <si>
    <t xml:space="preserve">− Capex</t>
  </si>
  <si>
    <t xml:space="preserve">− Δ net working capital</t>
  </si>
  <si>
    <t xml:space="preserve">FCFF</t>
  </si>
  <si>
    <t xml:space="preserve">Discount factor</t>
  </si>
  <si>
    <t xml:space="preserve">PV of FCFF</t>
  </si>
  <si>
    <t xml:space="preserve">Σ PV of explicit FCFF (FY26–30)</t>
  </si>
  <si>
    <t xml:space="preserve">Terminal value (Gordon)</t>
  </si>
  <si>
    <t xml:space="preserve">PV of terminal value</t>
  </si>
  <si>
    <t xml:space="preserve">Enterprise value</t>
  </si>
  <si>
    <t xml:space="preserve">% terminal of EV</t>
  </si>
  <si>
    <t xml:space="preserve">Nominal-EGP FCFF. The high nominal WACC and nominal terminal growth reflect Egypt's interest-rate and inflation environment; the WACC−g spread, not either level alone, drives the terminal value. Capex intensity is front-loaded (expansion phase) and tapers, so free cash flow builds over the explicit window.</t>
  </si>
  <si>
    <t xml:space="preserve">Income statement (EGP mn, consolidated)</t>
  </si>
  <si>
    <t xml:space="preserve">FY23–FY25 audited (blue); FY26E–FY30E forecast (linked to Assumptions).</t>
  </si>
  <si>
    <t xml:space="preserve">FY23</t>
  </si>
  <si>
    <t xml:space="preserve">FY24</t>
  </si>
  <si>
    <t xml:space="preserve">FY25</t>
  </si>
  <si>
    <t xml:space="preserve">Net revenue</t>
  </si>
  <si>
    <t xml:space="preserve">Cost of sales</t>
  </si>
  <si>
    <t xml:space="preserve">Gross profit</t>
  </si>
  <si>
    <t xml:space="preserve">Other operating income</t>
  </si>
  <si>
    <t xml:space="preserve">SG&amp;A expenses</t>
  </si>
  <si>
    <t xml:space="preserve">Trade receivables (loss)/gain</t>
  </si>
  <si>
    <t xml:space="preserve">Other expenses</t>
  </si>
  <si>
    <t xml:space="preserve">EBIT (operating profit)</t>
  </si>
  <si>
    <t xml:space="preserve">D&amp;A</t>
  </si>
  <si>
    <t xml:space="preserve">EBITDA</t>
  </si>
  <si>
    <t xml:space="preserve">EBITDA margin</t>
  </si>
  <si>
    <t xml:space="preserve">Net finance cost</t>
  </si>
  <si>
    <t xml:space="preserve">Share of equity investees</t>
  </si>
  <si>
    <t xml:space="preserve">Loss on sale of investment (FV)</t>
  </si>
  <si>
    <t xml:space="preserve">Profit before tax</t>
  </si>
  <si>
    <t xml:space="preserve">Income tax</t>
  </si>
  <si>
    <t xml:space="preserve">Net profit after tax</t>
  </si>
  <si>
    <t xml:space="preserve">Net margin</t>
  </si>
  <si>
    <t xml:space="preserve">EPS (EGP)</t>
  </si>
  <si>
    <t xml:space="preserve">Source: Juhayna audited consolidated income statements — FY25 &amp; FY24 release (12 Mar 2026); FY23 comparative in FY24 release (25 Mar 2025). SG&amp;A = selling &amp; marketing + G&amp;A. D&amp;A reconstructed from cash-flow depreciation &amp; amortization lines. FY24 gross margin was lifted by exceptional orange-concentrate prices; FY25 reflects their normalization plus the Feb-2025 merger.</t>
  </si>
  <si>
    <t xml:space="preserve">Balance sheet (EGP mn, consolidated)</t>
  </si>
  <si>
    <t xml:space="preserve">FY23–FY25 audited (blue); FY26E–FY30E forecast (working capital &amp; PP&amp;E linked to Assumptions).</t>
  </si>
  <si>
    <t xml:space="preserve">PP&amp;E</t>
  </si>
  <si>
    <t xml:space="preserve">Projects under construction</t>
  </si>
  <si>
    <t xml:space="preserve">Biological assets</t>
  </si>
  <si>
    <t xml:space="preserve">Other non-current assets</t>
  </si>
  <si>
    <t xml:space="preserve">Trade &amp; other receivables</t>
  </si>
  <si>
    <t xml:space="preserve">Other current assets</t>
  </si>
  <si>
    <t xml:space="preserve">Cash &amp; equivalents</t>
  </si>
  <si>
    <t xml:space="preserve">Total assets</t>
  </si>
  <si>
    <t xml:space="preserve">Total equity</t>
  </si>
  <si>
    <t xml:space="preserve">Interest-bearing debt</t>
  </si>
  <si>
    <t xml:space="preserve">Lease liabilities</t>
  </si>
  <si>
    <t xml:space="preserve">Deferred tax</t>
  </si>
  <si>
    <t xml:space="preserve">Trade &amp; other payables</t>
  </si>
  <si>
    <t xml:space="preserve">Provisions, tax &amp; other liab.</t>
  </si>
  <si>
    <t xml:space="preserve">Total equity &amp; liabilities</t>
  </si>
  <si>
    <t xml:space="preserve">Check: assets − E&amp;L</t>
  </si>
  <si>
    <t xml:space="preserve">Source: Juhayna audited consolidated balance sheets, FY25 &amp; FY24 releases. Forecast: inventory/receivables/payables driven off revenue via Assumptions; PP&amp;E rolls forward with capex less D&amp;A; cash and debt come from the cash-flow sheet; a residual plug ("Other current assets" held flat) absorbs minor non-modelled items. FY23 "other" lines grouped for clarity.</t>
  </si>
  <si>
    <t xml:space="preserve">Cash flow (EGP mn, consolidated)</t>
  </si>
  <si>
    <t xml:space="preserve">FY23–FY25 audited (blue); FY26E–FY30E derived from the statements and Assumptions.</t>
  </si>
  <si>
    <t xml:space="preserve">+ Net finance cost</t>
  </si>
  <si>
    <t xml:space="preserve">− Δ Inventory</t>
  </si>
  <si>
    <t xml:space="preserve">− Δ Receivables</t>
  </si>
  <si>
    <t xml:space="preserve">+ Δ Payables</t>
  </si>
  <si>
    <t xml:space="preserve">Operating cash flow</t>
  </si>
  <si>
    <t xml:space="preserve">PP&amp;E roll (memo)</t>
  </si>
  <si>
    <t xml:space="preserve">− Net finance paid</t>
  </si>
  <si>
    <t xml:space="preserve">Free cash flow to firm (memo)</t>
  </si>
  <si>
    <t xml:space="preserve">Dividends paid</t>
  </si>
  <si>
    <t xml:space="preserve">Net change in cash (pre-financing plug)</t>
  </si>
  <si>
    <t xml:space="preserve">Cash &amp; equivalents, year-end</t>
  </si>
  <si>
    <t xml:space="preserve">Interest-bearing debt, year-end</t>
  </si>
  <si>
    <t xml:space="preserve">memo: cash if debt held flat</t>
  </si>
  <si>
    <t xml:space="preserve">Source: Juhayna audited consolidated cash-flow statements, FY25 &amp; FY24 releases. Forecast: indirect method from the modelled statements; working-capital deltas come from the balance sheet; capex and dividends per Assumptions (20% payout); the debt line absorbs the residual financing need with a 50% sweep of surplus. FCFF (gold) feeds the DCF.</t>
  </si>
  <si>
    <t xml:space="preserve">Summary financials (EGP mn)</t>
  </si>
  <si>
    <t xml:space="preserve">Every cell links to the statement sheets — no re-entry.</t>
  </si>
  <si>
    <t xml:space="preserve">Net profit</t>
  </si>
  <si>
    <t xml:space="preserve">Capex</t>
  </si>
  <si>
    <t xml:space="preserve">Free cash flow to firm</t>
  </si>
  <si>
    <t xml:space="preserve">Monte Carlo — engine outputs</t>
  </si>
  <si>
    <t xml:space="preserve">50,000 paths · YZ-HAR width · Student-t(5) shape · secular drift ON · 16 factors · seed 42.</t>
  </si>
  <si>
    <t xml:space="preserve">Percentile map (EGP/share)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</si>
  <si>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</si>
  <si>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</si>
  <si>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</si>
  <si>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</si>
  <si>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</si>
  <si>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</si>
  <si>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</si>
  <si>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Inputs (from Assumptions): σ</t>
  </si>
  <si>
    <t xml:space="preserve">net 3-month secular drift</t>
  </si>
  <si>
    <t xml:space="preserve">spot</t>
  </si>
  <si>
    <t xml:space="preserve">Level-touch ladder</t>
  </si>
  <si>
    <t xml:space="preserve">T+20</t>
  </si>
  <si>
    <t xml:space="preserve">T+60</t>
  </si>
  <si>
    <t xml:space="preserve">Percentiles and touch probabilities are engine outputs (computed externally, seed 42). σ and drift shown link to Assumptions. The paths diffuse from spot; the §1 fundamental value gap is deliberately kept out of the drift (lens independence).</t>
  </si>
  <si>
    <t xml:space="preserve">DCF sensitivity — fair value per share (EGP)</t>
  </si>
  <si>
    <t xml:space="preserve">Base WACC &amp; terminal growth from Assumptions; grid recomputes the equity value per share.</t>
  </si>
  <si>
    <t xml:space="preserve">Terminal growth →</t>
  </si>
  <si>
    <t xml:space="preserve">WACC ↓</t>
  </si>
  <si>
    <t xml:space="preserve">g=10%</t>
  </si>
  <si>
    <t xml:space="preserve">g=11%</t>
  </si>
  <si>
    <t xml:space="preserve">g=12%</t>
  </si>
  <si>
    <t xml:space="preserve">g=13%</t>
  </si>
  <si>
    <t xml:space="preserve">g=14%</t>
  </si>
  <si>
    <t xml:space="preserve">Read across the base row/column (WACC 19.5%, g 12%). The fair value is highly geared to the WACC−g spread — the central tension in valuing an EGP compounder while rates and inflation are still falling.</t>
  </si>
  <si>
    <t xml:space="preserve">Per-share &amp; ratios</t>
  </si>
  <si>
    <t xml:space="preserve">Linked to the statements; spot from Assumptions.</t>
  </si>
  <si>
    <t xml:space="preserve">P/E (at spot)</t>
  </si>
  <si>
    <t xml:space="preserve">EV/EBITDA (at spot)</t>
  </si>
  <si>
    <t xml:space="preserve">Net debt / EBITDA</t>
  </si>
  <si>
    <t xml:space="preserve">Return on equity</t>
  </si>
  <si>
    <t xml:space="preserve">Gross / EBITDA / net margin</t>
  </si>
  <si>
    <t xml:space="preserve">P/E and EV/EBITDA are computed at the current spot to show how today's price maps onto the forecast earnings path. Net debt uses interest-bearing debt less cash.</t>
  </si>
  <si>
    <t xml:space="preserve">Peer set &amp; sector</t>
  </si>
  <si>
    <t xml:space="preserve">Indicative multiples used to anchor the relative lens (analyst-compiled, Jul-2026).</t>
  </si>
  <si>
    <t xml:space="preserve">P/E</t>
  </si>
  <si>
    <t xml:space="preserve">EV/EBITDA</t>
  </si>
  <si>
    <t xml:space="preserve">Note</t>
  </si>
  <si>
    <t xml:space="preserve">Obour Land (EGX: OLFI)</t>
  </si>
  <si>
    <t xml:space="preserve">dairy/cheese, net-cash</t>
  </si>
  <si>
    <t xml:space="preserve">Edita Food (EGX: EFID)</t>
  </si>
  <si>
    <t xml:space="preserve">snacks, high margin</t>
  </si>
  <si>
    <t xml:space="preserve">Arabian Food/Domty (EGX: DOMTY)</t>
  </si>
  <si>
    <t xml:space="preserve">cheese/milk</t>
  </si>
  <si>
    <t xml:space="preserve">Almarai (Tadawul)</t>
  </si>
  <si>
    <t xml:space="preserve">KSA dairy, premium</t>
  </si>
  <si>
    <t xml:space="preserve">Savola (Tadawul)</t>
  </si>
  <si>
    <t xml:space="preserve">KSA food conglomerate</t>
  </si>
  <si>
    <t xml:space="preserve">Egypt-staples median</t>
  </si>
  <si>
    <t xml:space="preserve">Applied to JUFO — EV/EBITDA</t>
  </si>
  <si>
    <t xml:space="preserve">Applied to JUFO — P/E</t>
  </si>
  <si>
    <t xml:space="preserve">Sources: Obour Land, Edita — Investing.com / EFG Hermes (fwd P/E ~11x); Almarai, Savola — regional comps. Egypt names carry a country/liquidity discount to KSA peers. JUFO is applied at ~7.0x EV/EBITDA and ~12x P/E — a premium to Obour Land for scale/brand, a discount to Almarai for leverage and country risk.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</si>
</sst>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0.0%"/>
    <numFmt numFmtId="167" formatCode="#,##0.0"/>
    <numFmt numFmtId="168" formatCode="#,##0;\(#,##0\)"/>
    <numFmt numFmtId="169" formatCode="#,##0.0;\(#,##0.0\)"/>
    <numFmt numFmtId="170" formatCode="0.0\x"/>
    <numFmt numFmtId="171" formatCode="#,##0"/>
    <numFmt numFmtId="172" formatCode="0"/>
    <numFmt numFmtId="173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C3A3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C3A36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C3A36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color rgb="FFC0A4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EAF0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C3A3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0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0A45F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3"/>
  </cols>
  <sheetData>
    <row r="1" customFormat="false" ht="16.15" hidden="false" customHeight="false" outlineLevel="0" collapsed="false">
      <c r="A1" s="1" t="s">
        <v>19</v>
      </c>
    </row>
    <row r="2" customFormat="false" ht="15" hidden="false" customHeight="false" outlineLevel="0" collapsed="false">
      <c r="A2" s="6" t="s">
        <v>20</v>
      </c>
    </row>
    <row r="3" customFormat="false" ht="15" hidden="false" customHeight="false" outlineLevel="0" collapsed="false">
      <c r="B3" s="7" t="s">
        <v>21</v>
      </c>
      <c r="C3" s="7" t="s">
        <v>22</v>
      </c>
      <c r="D3" s="7" t="s">
        <v>23</v>
      </c>
      <c r="E3" s="7" t="s">
        <v>24</v>
      </c>
    </row>
    <row r="4" customFormat="false" ht="15" hidden="false" customHeight="false" outlineLevel="0" collapsed="false">
      <c r="A4" s="3" t="s">
        <v>25</v>
      </c>
      <c r="B4" s="8" t="n">
        <f aca="false">'FCFF Valuation'!B7</f>
        <v>20.4289744722798</v>
      </c>
      <c r="C4" s="8" t="n">
        <f aca="false">DCF!B19</f>
        <v>24.2532933240503</v>
      </c>
      <c r="D4" s="8" t="n">
        <f aca="false">'FCFF Valuation'!D7</f>
        <v>34.025629695095</v>
      </c>
      <c r="E4" s="9" t="n">
        <f aca="false">Assumptions!$B$43</f>
        <v>0.4</v>
      </c>
    </row>
    <row r="5" customFormat="false" ht="15" hidden="false" customHeight="false" outlineLevel="0" collapsed="false">
      <c r="A5" s="3" t="s">
        <v>26</v>
      </c>
      <c r="B5" s="10" t="n">
        <v>24</v>
      </c>
      <c r="C5" s="8" t="n">
        <f aca="false">'Relative &amp; Normalized'!B9</f>
        <v>28.6637464563717</v>
      </c>
      <c r="D5" s="10" t="n">
        <v>33</v>
      </c>
      <c r="E5" s="9" t="n">
        <f aca="false">Assumptions!$B$44</f>
        <v>0.25</v>
      </c>
    </row>
    <row r="6" customFormat="false" ht="15" hidden="false" customHeight="false" outlineLevel="0" collapsed="false">
      <c r="A6" s="3" t="s">
        <v>27</v>
      </c>
      <c r="B6" s="10" t="n">
        <v>24</v>
      </c>
      <c r="C6" s="8" t="n">
        <f aca="false">'Relative &amp; Normalized'!B15</f>
        <v>28.6486695047418</v>
      </c>
      <c r="D6" s="10" t="n">
        <v>33</v>
      </c>
      <c r="E6" s="9" t="n">
        <f aca="false">Assumptions!$B$45</f>
        <v>0.25</v>
      </c>
    </row>
    <row r="7" customFormat="false" ht="15" hidden="false" customHeight="false" outlineLevel="0" collapsed="false">
      <c r="A7" s="3" t="s">
        <v>28</v>
      </c>
      <c r="B7" s="10" t="n">
        <v>18</v>
      </c>
      <c r="C7" s="8" t="n">
        <f aca="false">Segments!B14</f>
        <v>20.4962949114518</v>
      </c>
      <c r="D7" s="10" t="n">
        <v>28</v>
      </c>
      <c r="E7" s="9" t="n">
        <f aca="false">Assumptions!$B$46</f>
        <v>0.1</v>
      </c>
    </row>
    <row r="8" customFormat="false" ht="15" hidden="false" customHeight="false" outlineLevel="0" collapsed="false">
      <c r="A8" s="11" t="s">
        <v>29</v>
      </c>
      <c r="B8" s="12" t="n">
        <f aca="false">SUMPRODUCT(B4:B7,$E$4:$E$7)</f>
        <v>21.9715897889119</v>
      </c>
      <c r="C8" s="12" t="n">
        <f aca="false">SUMPRODUCT(C4:C7,$E$4:$E$7)</f>
        <v>26.0790508110437</v>
      </c>
      <c r="D8" s="12" t="n">
        <f aca="false">SUMPRODUCT(D4:D7,$E$4:$E$7)</f>
        <v>32.910251878038</v>
      </c>
    </row>
    <row r="10" customFormat="false" ht="15" hidden="false" customHeight="false" outlineLevel="0" collapsed="false">
      <c r="A10" s="3" t="s">
        <v>30</v>
      </c>
      <c r="C10" s="8" t="n">
        <f aca="false">Assumptions!$B$4</f>
        <v>29.99</v>
      </c>
    </row>
    <row r="11" customFormat="false" ht="15" hidden="false" customHeight="false" outlineLevel="0" collapsed="false">
      <c r="A11" s="3" t="s">
        <v>31</v>
      </c>
      <c r="C11" s="13" t="n">
        <f aca="false">C8/C10-1</f>
        <v>-0.130408442446026</v>
      </c>
    </row>
    <row r="13" customFormat="false" ht="15" hidden="false" customHeight="false" outlineLevel="0" collapsed="false">
      <c r="A13" s="11" t="s">
        <v>32</v>
      </c>
    </row>
    <row r="14" customFormat="false" ht="15" hidden="false" customHeight="false" outlineLevel="0" collapsed="false">
      <c r="A14" s="6" t="s">
        <v>33</v>
      </c>
    </row>
    <row r="15" customFormat="false" ht="15" hidden="false" customHeight="false" outlineLevel="0" collapsed="false">
      <c r="A15" s="6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6.15" hidden="false" customHeight="false" outlineLevel="0" collapsed="false">
      <c r="A1" s="1" t="s">
        <v>35</v>
      </c>
    </row>
    <row r="2" customFormat="false" ht="15" hidden="false" customHeight="false" outlineLevel="0" collapsed="false">
      <c r="A2" s="6" t="s">
        <v>36</v>
      </c>
    </row>
    <row r="3" customFormat="false" ht="15" hidden="false" customHeight="false" outlineLevel="0" collapsed="false">
      <c r="B3" s="7" t="s">
        <v>37</v>
      </c>
      <c r="C3" s="7" t="s">
        <v>24</v>
      </c>
      <c r="D3" s="7" t="s">
        <v>38</v>
      </c>
    </row>
    <row r="4" customFormat="false" ht="15" hidden="false" customHeight="false" outlineLevel="0" collapsed="false">
      <c r="A4" s="3" t="s">
        <v>25</v>
      </c>
      <c r="B4" s="8" t="n">
        <f aca="false">DCF!B19</f>
        <v>24.2532933240503</v>
      </c>
      <c r="C4" s="9" t="n">
        <f aca="false">Assumptions!$B$43</f>
        <v>0.4</v>
      </c>
      <c r="D4" s="8" t="n">
        <f aca="false">B4*C4</f>
        <v>9.70131732962013</v>
      </c>
    </row>
    <row r="5" customFormat="false" ht="15" hidden="false" customHeight="false" outlineLevel="0" collapsed="false">
      <c r="A5" s="3" t="s">
        <v>26</v>
      </c>
      <c r="B5" s="8" t="n">
        <f aca="false">'Relative &amp; Normalized'!B9</f>
        <v>28.6637464563717</v>
      </c>
      <c r="C5" s="9" t="n">
        <f aca="false">Assumptions!$B$44</f>
        <v>0.25</v>
      </c>
      <c r="D5" s="8" t="n">
        <f aca="false">B5*C5</f>
        <v>7.16593661409293</v>
      </c>
    </row>
    <row r="6" customFormat="false" ht="15" hidden="false" customHeight="false" outlineLevel="0" collapsed="false">
      <c r="A6" s="3" t="s">
        <v>27</v>
      </c>
      <c r="B6" s="8" t="n">
        <f aca="false">'Relative &amp; Normalized'!B15</f>
        <v>28.6486695047418</v>
      </c>
      <c r="C6" s="9" t="n">
        <f aca="false">Assumptions!$B$45</f>
        <v>0.25</v>
      </c>
      <c r="D6" s="8" t="n">
        <f aca="false">B6*C6</f>
        <v>7.16216737618546</v>
      </c>
    </row>
    <row r="7" customFormat="false" ht="15" hidden="false" customHeight="false" outlineLevel="0" collapsed="false">
      <c r="A7" s="3" t="s">
        <v>28</v>
      </c>
      <c r="B7" s="8" t="n">
        <f aca="false">Segments!B14</f>
        <v>20.4962949114518</v>
      </c>
      <c r="C7" s="9" t="n">
        <f aca="false">Assumptions!$B$46</f>
        <v>0.1</v>
      </c>
      <c r="D7" s="8" t="n">
        <f aca="false">B7*C7</f>
        <v>2.04962949114518</v>
      </c>
    </row>
    <row r="8" customFormat="false" ht="15" hidden="false" customHeight="false" outlineLevel="0" collapsed="false">
      <c r="A8" s="11" t="s">
        <v>39</v>
      </c>
      <c r="B8" s="12" t="n">
        <f aca="false">SUMPRODUCT(B4:B7,C4:C7)</f>
        <v>26.0790508110437</v>
      </c>
    </row>
    <row r="9" customFormat="false" ht="15" hidden="false" customHeight="false" outlineLevel="0" collapsed="false">
      <c r="A9" s="3" t="s">
        <v>40</v>
      </c>
      <c r="B9" s="8" t="n">
        <f aca="false">Assumptions!$B$4</f>
        <v>29.99</v>
      </c>
    </row>
    <row r="10" customFormat="false" ht="15" hidden="false" customHeight="false" outlineLevel="0" collapsed="false">
      <c r="A10" s="3" t="s">
        <v>41</v>
      </c>
      <c r="B10" s="9" t="n">
        <f aca="false">B8/B9-1</f>
        <v>-0.130408442446026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1"/>
  </cols>
  <sheetData>
    <row r="1" customFormat="false" ht="16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6" t="s">
        <v>43</v>
      </c>
    </row>
    <row r="3" customFormat="false" ht="15" hidden="false" customHeight="false" outlineLevel="0" collapsed="false">
      <c r="A3" s="14" t="s">
        <v>44</v>
      </c>
      <c r="B3" s="15"/>
      <c r="C3" s="15"/>
      <c r="D3" s="15"/>
      <c r="E3" s="15"/>
      <c r="F3" s="15"/>
      <c r="G3" s="15"/>
      <c r="H3" s="15"/>
      <c r="I3" s="15"/>
    </row>
    <row r="4" customFormat="false" ht="15" hidden="false" customHeight="false" outlineLevel="0" collapsed="false">
      <c r="A4" s="3" t="s">
        <v>45</v>
      </c>
      <c r="B4" s="10" t="n">
        <v>29.99</v>
      </c>
    </row>
    <row r="5" customFormat="false" ht="15" hidden="false" customHeight="false" outlineLevel="0" collapsed="false">
      <c r="A5" s="3" t="s">
        <v>46</v>
      </c>
      <c r="B5" s="16" t="s">
        <v>47</v>
      </c>
    </row>
    <row r="6" customFormat="false" ht="15" hidden="false" customHeight="false" outlineLevel="0" collapsed="false">
      <c r="A6" s="3" t="s">
        <v>48</v>
      </c>
      <c r="B6" s="17" t="n">
        <v>1176.76</v>
      </c>
    </row>
    <row r="7" customFormat="false" ht="15" hidden="false" customHeight="false" outlineLevel="0" collapsed="false">
      <c r="A7" s="3" t="s">
        <v>49</v>
      </c>
      <c r="B7" s="18" t="n">
        <v>5960</v>
      </c>
    </row>
    <row r="8" customFormat="false" ht="15" hidden="false" customHeight="false" outlineLevel="0" collapsed="false">
      <c r="A8" s="3" t="s">
        <v>50</v>
      </c>
      <c r="B8" s="19" t="n">
        <v>49.5</v>
      </c>
    </row>
    <row r="9" customFormat="false" ht="15" hidden="false" customHeight="false" outlineLevel="0" collapsed="false">
      <c r="A9" s="3" t="s">
        <v>51</v>
      </c>
      <c r="B9" s="20" t="n">
        <v>0.195</v>
      </c>
    </row>
    <row r="10" customFormat="false" ht="15" hidden="false" customHeight="false" outlineLevel="0" collapsed="false">
      <c r="A10" s="3" t="s">
        <v>52</v>
      </c>
      <c r="B10" s="20" t="n">
        <v>0.12</v>
      </c>
    </row>
    <row r="11" customFormat="false" ht="15" hidden="false" customHeight="false" outlineLevel="0" collapsed="false">
      <c r="A11" s="3" t="s">
        <v>53</v>
      </c>
      <c r="B11" s="20" t="n">
        <v>0.225</v>
      </c>
    </row>
    <row r="13" customFormat="false" ht="15" hidden="false" customHeight="false" outlineLevel="0" collapsed="false">
      <c r="A13" s="14" t="s">
        <v>54</v>
      </c>
      <c r="B13" s="15"/>
      <c r="C13" s="15"/>
      <c r="D13" s="15"/>
      <c r="E13" s="15"/>
      <c r="F13" s="15"/>
      <c r="G13" s="15"/>
      <c r="H13" s="15"/>
      <c r="I13" s="15"/>
    </row>
    <row r="14" customFormat="false" ht="15" hidden="false" customHeight="false" outlineLevel="0" collapsed="false">
      <c r="E14" s="7" t="s">
        <v>55</v>
      </c>
      <c r="F14" s="7" t="s">
        <v>56</v>
      </c>
      <c r="G14" s="7" t="s">
        <v>57</v>
      </c>
      <c r="H14" s="7" t="s">
        <v>58</v>
      </c>
      <c r="I14" s="7" t="s">
        <v>59</v>
      </c>
    </row>
    <row r="15" customFormat="false" ht="15" hidden="false" customHeight="false" outlineLevel="0" collapsed="false">
      <c r="A15" s="3" t="s">
        <v>60</v>
      </c>
      <c r="E15" s="20" t="n">
        <v>0.22</v>
      </c>
      <c r="F15" s="20" t="n">
        <v>0.18</v>
      </c>
      <c r="G15" s="20" t="n">
        <v>0.15</v>
      </c>
      <c r="H15" s="20" t="n">
        <v>0.13</v>
      </c>
      <c r="I15" s="20" t="n">
        <v>0.12</v>
      </c>
    </row>
    <row r="16" customFormat="false" ht="15" hidden="false" customHeight="false" outlineLevel="0" collapsed="false">
      <c r="A16" s="3" t="s">
        <v>61</v>
      </c>
      <c r="E16" s="20" t="n">
        <v>0.25</v>
      </c>
      <c r="F16" s="20" t="n">
        <v>0.255</v>
      </c>
      <c r="G16" s="20" t="n">
        <v>0.26</v>
      </c>
      <c r="H16" s="20" t="n">
        <v>0.265</v>
      </c>
      <c r="I16" s="20" t="n">
        <v>0.265</v>
      </c>
    </row>
    <row r="17" customFormat="false" ht="15" hidden="false" customHeight="false" outlineLevel="0" collapsed="false">
      <c r="A17" s="3" t="s">
        <v>62</v>
      </c>
      <c r="E17" s="20" t="n">
        <v>0.12</v>
      </c>
      <c r="F17" s="20" t="n">
        <v>0.118</v>
      </c>
      <c r="G17" s="20" t="n">
        <v>0.116</v>
      </c>
      <c r="H17" s="20" t="n">
        <v>0.114</v>
      </c>
      <c r="I17" s="20" t="n">
        <v>0.113</v>
      </c>
    </row>
    <row r="18" customFormat="false" ht="15" hidden="false" customHeight="false" outlineLevel="0" collapsed="false">
      <c r="A18" s="3" t="s">
        <v>63</v>
      </c>
      <c r="E18" s="20" t="n">
        <v>0.01</v>
      </c>
      <c r="F18" s="20" t="n">
        <v>0.01</v>
      </c>
      <c r="G18" s="20" t="n">
        <v>0.01</v>
      </c>
      <c r="H18" s="20" t="n">
        <v>0.01</v>
      </c>
      <c r="I18" s="20" t="n">
        <v>0.01</v>
      </c>
    </row>
    <row r="19" customFormat="false" ht="15" hidden="false" customHeight="false" outlineLevel="0" collapsed="false">
      <c r="A19" s="3" t="s">
        <v>64</v>
      </c>
      <c r="E19" s="20" t="n">
        <v>0.004</v>
      </c>
      <c r="F19" s="20" t="n">
        <v>0.004</v>
      </c>
      <c r="G19" s="20" t="n">
        <v>0.004</v>
      </c>
      <c r="H19" s="20" t="n">
        <v>0.004</v>
      </c>
      <c r="I19" s="20" t="n">
        <v>0.004</v>
      </c>
    </row>
    <row r="20" customFormat="false" ht="15" hidden="false" customHeight="false" outlineLevel="0" collapsed="false">
      <c r="A20" s="3" t="s">
        <v>65</v>
      </c>
      <c r="E20" s="20" t="n">
        <v>0.019</v>
      </c>
      <c r="F20" s="20" t="n">
        <v>0.02</v>
      </c>
      <c r="G20" s="20" t="n">
        <v>0.021</v>
      </c>
      <c r="H20" s="20" t="n">
        <v>0.022</v>
      </c>
      <c r="I20" s="20" t="n">
        <v>0.023</v>
      </c>
    </row>
    <row r="21" customFormat="false" ht="15" hidden="false" customHeight="false" outlineLevel="0" collapsed="false">
      <c r="A21" s="3" t="s">
        <v>66</v>
      </c>
      <c r="E21" s="20" t="n">
        <v>0.09</v>
      </c>
      <c r="F21" s="20" t="n">
        <v>0.078</v>
      </c>
      <c r="G21" s="20" t="n">
        <v>0.068</v>
      </c>
      <c r="H21" s="20" t="n">
        <v>0.058</v>
      </c>
      <c r="I21" s="20" t="n">
        <v>0.052</v>
      </c>
    </row>
    <row r="22" customFormat="false" ht="15" hidden="false" customHeight="false" outlineLevel="0" collapsed="false">
      <c r="A22" s="3" t="s">
        <v>67</v>
      </c>
      <c r="E22" s="18" t="n">
        <v>1350</v>
      </c>
      <c r="F22" s="18" t="n">
        <v>1300</v>
      </c>
      <c r="G22" s="18" t="n">
        <v>1200</v>
      </c>
      <c r="H22" s="18" t="n">
        <v>1100</v>
      </c>
      <c r="I22" s="18" t="n">
        <v>1000</v>
      </c>
    </row>
    <row r="24" customFormat="false" ht="15" hidden="false" customHeight="false" outlineLevel="0" collapsed="false">
      <c r="A24" s="14" t="s">
        <v>68</v>
      </c>
      <c r="B24" s="15"/>
      <c r="C24" s="15"/>
      <c r="D24" s="15"/>
      <c r="E24" s="15"/>
      <c r="F24" s="15"/>
      <c r="G24" s="15"/>
      <c r="H24" s="15"/>
      <c r="I24" s="15"/>
    </row>
    <row r="25" customFormat="false" ht="15" hidden="false" customHeight="false" outlineLevel="0" collapsed="false">
      <c r="A25" s="3" t="s">
        <v>69</v>
      </c>
      <c r="B25" s="20" t="n">
        <v>0.19</v>
      </c>
    </row>
    <row r="26" customFormat="false" ht="15" hidden="false" customHeight="false" outlineLevel="0" collapsed="false">
      <c r="A26" s="3" t="s">
        <v>70</v>
      </c>
      <c r="B26" s="20" t="n">
        <v>0.068</v>
      </c>
    </row>
    <row r="27" customFormat="false" ht="15" hidden="false" customHeight="false" outlineLevel="0" collapsed="false">
      <c r="A27" s="3" t="s">
        <v>71</v>
      </c>
      <c r="B27" s="20" t="n">
        <v>0.078</v>
      </c>
    </row>
    <row r="28" customFormat="false" ht="15" hidden="false" customHeight="false" outlineLevel="0" collapsed="false">
      <c r="A28" s="3" t="s">
        <v>72</v>
      </c>
      <c r="B28" s="18" t="n">
        <v>800</v>
      </c>
    </row>
    <row r="30" customFormat="false" ht="15" hidden="false" customHeight="false" outlineLevel="0" collapsed="false">
      <c r="A30" s="14" t="s">
        <v>73</v>
      </c>
      <c r="B30" s="15"/>
      <c r="C30" s="15"/>
      <c r="D30" s="15"/>
      <c r="E30" s="15"/>
      <c r="F30" s="15"/>
      <c r="G30" s="15"/>
      <c r="H30" s="15"/>
      <c r="I30" s="15"/>
    </row>
    <row r="31" customFormat="false" ht="15" hidden="false" customHeight="false" outlineLevel="0" collapsed="false">
      <c r="A31" s="3" t="s">
        <v>74</v>
      </c>
      <c r="B31" s="21" t="n">
        <v>7</v>
      </c>
    </row>
    <row r="32" customFormat="false" ht="15" hidden="false" customHeight="false" outlineLevel="0" collapsed="false">
      <c r="A32" s="3" t="s">
        <v>75</v>
      </c>
      <c r="B32" s="21" t="n">
        <v>12</v>
      </c>
    </row>
    <row r="34" customFormat="false" ht="15" hidden="false" customHeight="false" outlineLevel="0" collapsed="false">
      <c r="A34" s="14" t="s">
        <v>76</v>
      </c>
      <c r="B34" s="15"/>
      <c r="C34" s="15"/>
      <c r="D34" s="15"/>
      <c r="E34" s="15"/>
      <c r="F34" s="15"/>
      <c r="G34" s="15"/>
      <c r="H34" s="15"/>
      <c r="I34" s="15"/>
    </row>
    <row r="35" customFormat="false" ht="15" hidden="false" customHeight="false" outlineLevel="0" collapsed="false">
      <c r="B35" s="7" t="s">
        <v>77</v>
      </c>
      <c r="C35" s="7" t="s">
        <v>78</v>
      </c>
    </row>
    <row r="36" customFormat="false" ht="15" hidden="false" customHeight="false" outlineLevel="0" collapsed="false">
      <c r="A36" s="3" t="s">
        <v>79</v>
      </c>
      <c r="B36" s="20" t="n">
        <v>0.13</v>
      </c>
      <c r="C36" s="21" t="n">
        <v>7</v>
      </c>
    </row>
    <row r="37" customFormat="false" ht="15" hidden="false" customHeight="false" outlineLevel="0" collapsed="false">
      <c r="A37" s="3" t="s">
        <v>80</v>
      </c>
      <c r="B37" s="20" t="n">
        <v>0.16</v>
      </c>
      <c r="C37" s="21" t="n">
        <v>8</v>
      </c>
    </row>
    <row r="38" customFormat="false" ht="15" hidden="false" customHeight="false" outlineLevel="0" collapsed="false">
      <c r="A38" s="3" t="s">
        <v>81</v>
      </c>
      <c r="B38" s="20" t="n">
        <v>0.14</v>
      </c>
      <c r="C38" s="21" t="n">
        <v>7.5</v>
      </c>
    </row>
    <row r="39" customFormat="false" ht="15" hidden="false" customHeight="false" outlineLevel="0" collapsed="false">
      <c r="A39" s="3" t="s">
        <v>82</v>
      </c>
      <c r="B39" s="20" t="n">
        <v>0.1</v>
      </c>
      <c r="C39" s="21" t="n">
        <v>5</v>
      </c>
    </row>
    <row r="40" customFormat="false" ht="15" hidden="false" customHeight="false" outlineLevel="0" collapsed="false">
      <c r="A40" s="3" t="s">
        <v>83</v>
      </c>
      <c r="B40" s="20" t="n">
        <v>0.03</v>
      </c>
      <c r="C40" s="21" t="n">
        <v>4</v>
      </c>
    </row>
    <row r="42" customFormat="false" ht="15" hidden="false" customHeight="false" outlineLevel="0" collapsed="false">
      <c r="A42" s="14" t="s">
        <v>84</v>
      </c>
      <c r="B42" s="15"/>
      <c r="C42" s="15"/>
      <c r="D42" s="15"/>
      <c r="E42" s="15"/>
      <c r="F42" s="15"/>
      <c r="G42" s="15"/>
      <c r="H42" s="15"/>
      <c r="I42" s="15"/>
    </row>
    <row r="43" customFormat="false" ht="15" hidden="false" customHeight="false" outlineLevel="0" collapsed="false">
      <c r="A43" s="3" t="s">
        <v>85</v>
      </c>
      <c r="B43" s="20" t="n">
        <v>0.4</v>
      </c>
    </row>
    <row r="44" customFormat="false" ht="15" hidden="false" customHeight="false" outlineLevel="0" collapsed="false">
      <c r="A44" s="3" t="s">
        <v>86</v>
      </c>
      <c r="B44" s="20" t="n">
        <v>0.25</v>
      </c>
    </row>
    <row r="45" customFormat="false" ht="15" hidden="false" customHeight="false" outlineLevel="0" collapsed="false">
      <c r="A45" s="3" t="s">
        <v>87</v>
      </c>
      <c r="B45" s="20" t="n">
        <v>0.25</v>
      </c>
    </row>
    <row r="46" customFormat="false" ht="15" hidden="false" customHeight="false" outlineLevel="0" collapsed="false">
      <c r="A46" s="3" t="s">
        <v>88</v>
      </c>
      <c r="B46" s="20" t="n">
        <v>0.1</v>
      </c>
    </row>
    <row r="48" customFormat="false" ht="15" hidden="false" customHeight="false" outlineLevel="0" collapsed="false">
      <c r="A48" s="14" t="s">
        <v>89</v>
      </c>
      <c r="B48" s="15"/>
      <c r="C48" s="15"/>
      <c r="D48" s="15"/>
      <c r="E48" s="15"/>
      <c r="F48" s="15"/>
      <c r="G48" s="15"/>
      <c r="H48" s="15"/>
      <c r="I48" s="15"/>
    </row>
    <row r="49" customFormat="false" ht="15" hidden="false" customHeight="false" outlineLevel="0" collapsed="false">
      <c r="A49" s="3" t="s">
        <v>90</v>
      </c>
      <c r="B49" s="20" t="n">
        <v>0.373501065201583</v>
      </c>
    </row>
    <row r="50" customFormat="false" ht="15" hidden="false" customHeight="false" outlineLevel="0" collapsed="false">
      <c r="A50" s="3" t="s">
        <v>91</v>
      </c>
      <c r="B50" s="20" t="n">
        <v>0.0867512578131524</v>
      </c>
    </row>
    <row r="51" customFormat="false" ht="15" hidden="false" customHeight="false" outlineLevel="0" collapsed="false">
      <c r="A51" s="3" t="s">
        <v>92</v>
      </c>
      <c r="B51" s="22" t="n">
        <v>50000</v>
      </c>
    </row>
    <row r="52" customFormat="false" ht="15" hidden="false" customHeight="false" outlineLevel="0" collapsed="false">
      <c r="A52" s="3" t="s">
        <v>93</v>
      </c>
      <c r="B52" s="23" t="n">
        <v>42</v>
      </c>
    </row>
    <row r="53" customFormat="false" ht="15" hidden="false" customHeight="false" outlineLevel="0" collapsed="false">
      <c r="A53" s="3" t="s">
        <v>94</v>
      </c>
      <c r="B53" s="23" t="n">
        <v>60</v>
      </c>
    </row>
    <row r="56" customFormat="false" ht="15" hidden="false" customHeight="false" outlineLevel="0" collapsed="false">
      <c r="A56" s="24" t="s">
        <v>95</v>
      </c>
    </row>
    <row r="57" customFormat="false" ht="15" hidden="false" customHeight="false" outlineLevel="0" collapsed="false">
      <c r="A57" s="24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</cols>
  <sheetData>
    <row r="1" customFormat="false" ht="16.15" hidden="false" customHeight="false" outlineLevel="0" collapsed="false">
      <c r="A1" s="1" t="s">
        <v>97</v>
      </c>
    </row>
    <row r="2" customFormat="false" ht="15" hidden="false" customHeight="false" outlineLevel="0" collapsed="false">
      <c r="A2" s="6" t="s">
        <v>98</v>
      </c>
    </row>
    <row r="3" customFormat="false" ht="15" hidden="false" customHeight="false" outlineLevel="0" collapsed="false">
      <c r="B3" s="7" t="s">
        <v>21</v>
      </c>
      <c r="C3" s="7" t="s">
        <v>22</v>
      </c>
      <c r="D3" s="7" t="s">
        <v>23</v>
      </c>
    </row>
    <row r="4" customFormat="false" ht="15" hidden="false" customHeight="false" outlineLevel="0" collapsed="false">
      <c r="A4" s="3" t="s">
        <v>99</v>
      </c>
      <c r="B4" s="18" t="n">
        <v>30000</v>
      </c>
      <c r="C4" s="25" t="n">
        <f aca="false">DCF!B16</f>
        <v>34500.3054520095</v>
      </c>
      <c r="D4" s="18" t="n">
        <v>46000</v>
      </c>
    </row>
    <row r="5" customFormat="false" ht="15" hidden="false" customHeight="false" outlineLevel="0" collapsed="false">
      <c r="A5" s="3" t="s">
        <v>100</v>
      </c>
      <c r="B5" s="25" t="n">
        <f aca="false">-Assumptions!$B$7</f>
        <v>-5960</v>
      </c>
      <c r="C5" s="25" t="n">
        <f aca="false">-Assumptions!$B$7</f>
        <v>-5960</v>
      </c>
      <c r="D5" s="25" t="n">
        <f aca="false">-Assumptions!$B$7</f>
        <v>-5960</v>
      </c>
    </row>
    <row r="6" customFormat="false" ht="15" hidden="false" customHeight="false" outlineLevel="0" collapsed="false">
      <c r="A6" s="11" t="s">
        <v>101</v>
      </c>
      <c r="B6" s="26" t="n">
        <f aca="false">B4+B5</f>
        <v>24040</v>
      </c>
      <c r="C6" s="26" t="n">
        <f aca="false">C4+C5</f>
        <v>28540.3054520095</v>
      </c>
      <c r="D6" s="26" t="n">
        <f aca="false">D4+D5</f>
        <v>40040</v>
      </c>
    </row>
    <row r="7" customFormat="false" ht="15" hidden="false" customHeight="false" outlineLevel="0" collapsed="false">
      <c r="A7" s="11" t="s">
        <v>102</v>
      </c>
      <c r="B7" s="27" t="n">
        <f aca="false">B6/Assumptions!$B$6</f>
        <v>20.4289744722798</v>
      </c>
      <c r="C7" s="27" t="n">
        <f aca="false">C6/Assumptions!$B$6</f>
        <v>24.2532933240503</v>
      </c>
      <c r="D7" s="27" t="n">
        <f aca="false">D6/Assumptions!$B$6</f>
        <v>34.025629695095</v>
      </c>
    </row>
    <row r="8" customFormat="false" ht="15" hidden="false" customHeight="false" outlineLevel="0" collapsed="false">
      <c r="A8" s="3" t="s">
        <v>30</v>
      </c>
      <c r="C8" s="8" t="n">
        <f aca="false">Assumptions!$B$4</f>
        <v>29.99</v>
      </c>
    </row>
    <row r="9" customFormat="false" ht="15" hidden="false" customHeight="false" outlineLevel="0" collapsed="false">
      <c r="A9" s="3" t="s">
        <v>103</v>
      </c>
      <c r="C9" s="13" t="n">
        <f aca="false">C7/C8-1</f>
        <v>-0.191287318304424</v>
      </c>
    </row>
    <row r="11" customFormat="false" ht="15" hidden="false" customHeight="false" outlineLevel="0" collapsed="false">
      <c r="A11" s="24" t="s">
        <v>104</v>
      </c>
    </row>
    <row r="13" customFormat="false" ht="15" hidden="false" customHeight="false" outlineLevel="0" collapsed="false">
      <c r="A13" s="11" t="s">
        <v>32</v>
      </c>
    </row>
    <row r="14" customFormat="false" ht="15" hidden="false" customHeight="false" outlineLevel="0" collapsed="false">
      <c r="A14" s="6" t="s">
        <v>105</v>
      </c>
    </row>
    <row r="15" customFormat="false" ht="15" hidden="false" customHeight="false" outlineLevel="0" collapsed="false">
      <c r="A15" s="6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2"/>
  </cols>
  <sheetData>
    <row r="1" customFormat="false" ht="16.1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6" t="s">
        <v>108</v>
      </c>
    </row>
    <row r="3" customFormat="false" ht="15" hidden="false" customHeight="false" outlineLevel="0" collapsed="false">
      <c r="B3" s="7" t="s">
        <v>109</v>
      </c>
      <c r="C3" s="7" t="s">
        <v>110</v>
      </c>
      <c r="D3" s="7" t="s">
        <v>111</v>
      </c>
      <c r="E3" s="7" t="s">
        <v>112</v>
      </c>
      <c r="F3" s="7" t="s">
        <v>78</v>
      </c>
      <c r="G3" s="7" t="s">
        <v>113</v>
      </c>
    </row>
    <row r="4" customFormat="false" ht="15" hidden="false" customHeight="false" outlineLevel="0" collapsed="false">
      <c r="A4" s="3" t="s">
        <v>79</v>
      </c>
      <c r="B4" s="18" t="n">
        <v>11644</v>
      </c>
      <c r="C4" s="18" t="n">
        <v>15310</v>
      </c>
      <c r="D4" s="9" t="n">
        <f aca="false">Assumptions!B36</f>
        <v>0.13</v>
      </c>
      <c r="E4" s="25" t="n">
        <f aca="false">C4*D4</f>
        <v>1990.3</v>
      </c>
      <c r="F4" s="28" t="n">
        <f aca="false">Assumptions!C36</f>
        <v>7</v>
      </c>
      <c r="G4" s="25" t="n">
        <f aca="false">E4*F4</f>
        <v>13932.1</v>
      </c>
    </row>
    <row r="5" customFormat="false" ht="15" hidden="false" customHeight="false" outlineLevel="0" collapsed="false">
      <c r="A5" s="3" t="s">
        <v>80</v>
      </c>
      <c r="B5" s="18" t="n">
        <v>4822</v>
      </c>
      <c r="C5" s="18" t="n">
        <v>6929</v>
      </c>
      <c r="D5" s="9" t="n">
        <f aca="false">Assumptions!B37</f>
        <v>0.16</v>
      </c>
      <c r="E5" s="25" t="n">
        <f aca="false">C5*D5</f>
        <v>1108.64</v>
      </c>
      <c r="F5" s="28" t="n">
        <f aca="false">Assumptions!C37</f>
        <v>8</v>
      </c>
      <c r="G5" s="25" t="n">
        <f aca="false">E5*F5</f>
        <v>8869.12</v>
      </c>
    </row>
    <row r="6" customFormat="false" ht="15" hidden="false" customHeight="false" outlineLevel="0" collapsed="false">
      <c r="A6" s="3" t="s">
        <v>81</v>
      </c>
      <c r="B6" s="18" t="n">
        <v>4526</v>
      </c>
      <c r="C6" s="18" t="n">
        <v>6254</v>
      </c>
      <c r="D6" s="9" t="n">
        <f aca="false">Assumptions!B38</f>
        <v>0.14</v>
      </c>
      <c r="E6" s="25" t="n">
        <f aca="false">C6*D6</f>
        <v>875.56</v>
      </c>
      <c r="F6" s="28" t="n">
        <f aca="false">Assumptions!C38</f>
        <v>7.5</v>
      </c>
      <c r="G6" s="25" t="n">
        <f aca="false">E6*F6</f>
        <v>6566.7</v>
      </c>
    </row>
    <row r="7" customFormat="false" ht="15" hidden="false" customHeight="false" outlineLevel="0" collapsed="false">
      <c r="A7" s="3" t="s">
        <v>82</v>
      </c>
      <c r="B7" s="18" t="n">
        <v>3152</v>
      </c>
      <c r="C7" s="18" t="n">
        <v>1401</v>
      </c>
      <c r="D7" s="9" t="n">
        <f aca="false">Assumptions!B39</f>
        <v>0.1</v>
      </c>
      <c r="E7" s="25" t="n">
        <f aca="false">C7*D7</f>
        <v>140.1</v>
      </c>
      <c r="F7" s="28" t="n">
        <f aca="false">Assumptions!C39</f>
        <v>5</v>
      </c>
      <c r="G7" s="25" t="n">
        <f aca="false">E7*F7</f>
        <v>700.5</v>
      </c>
    </row>
    <row r="8" customFormat="false" ht="15" hidden="false" customHeight="false" outlineLevel="0" collapsed="false">
      <c r="A8" s="3" t="s">
        <v>83</v>
      </c>
      <c r="B8" s="18" t="n">
        <v>159</v>
      </c>
      <c r="C8" s="18" t="n">
        <v>90</v>
      </c>
      <c r="D8" s="9" t="n">
        <f aca="false">Assumptions!B40</f>
        <v>0.03</v>
      </c>
      <c r="E8" s="25" t="n">
        <f aca="false">C8*D8</f>
        <v>2.7</v>
      </c>
      <c r="F8" s="28" t="n">
        <f aca="false">Assumptions!C40</f>
        <v>4</v>
      </c>
      <c r="G8" s="25" t="n">
        <f aca="false">E8*F8</f>
        <v>10.8</v>
      </c>
    </row>
    <row r="9" customFormat="false" ht="15" hidden="false" customHeight="false" outlineLevel="0" collapsed="false">
      <c r="A9" s="11" t="s">
        <v>114</v>
      </c>
      <c r="B9" s="26" t="n">
        <f aca="false">SUM(B4:B8)</f>
        <v>24303</v>
      </c>
      <c r="C9" s="26" t="n">
        <f aca="false">SUM(C4:C8)</f>
        <v>29984</v>
      </c>
      <c r="G9" s="26" t="n">
        <f aca="false">SUM(G4:G8)</f>
        <v>30079.22</v>
      </c>
    </row>
    <row r="11" customFormat="false" ht="15" hidden="false" customHeight="false" outlineLevel="0" collapsed="false">
      <c r="A11" s="3" t="s">
        <v>115</v>
      </c>
      <c r="B11" s="25" t="n">
        <f aca="false">G9</f>
        <v>30079.22</v>
      </c>
    </row>
    <row r="12" customFormat="false" ht="15" hidden="false" customHeight="false" outlineLevel="0" collapsed="false">
      <c r="A12" s="3" t="s">
        <v>116</v>
      </c>
      <c r="B12" s="25" t="n">
        <f aca="false">-Assumptions!$B$7</f>
        <v>-5960</v>
      </c>
    </row>
    <row r="13" customFormat="false" ht="15" hidden="false" customHeight="false" outlineLevel="0" collapsed="false">
      <c r="A13" s="3" t="s">
        <v>117</v>
      </c>
      <c r="B13" s="29" t="n">
        <f aca="false">B11+B12</f>
        <v>24119.22</v>
      </c>
    </row>
    <row r="14" customFormat="false" ht="15" hidden="false" customHeight="false" outlineLevel="0" collapsed="false">
      <c r="A14" s="11" t="s">
        <v>118</v>
      </c>
      <c r="B14" s="27" t="n">
        <f aca="false">B13/Assumptions!$B$6</f>
        <v>20.4962949114518</v>
      </c>
    </row>
    <row r="16" customFormat="false" ht="15" hidden="false" customHeight="false" outlineLevel="0" collapsed="false">
      <c r="A16" s="24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3"/>
  </cols>
  <sheetData>
    <row r="1" customFormat="false" ht="16.1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6" t="s">
        <v>121</v>
      </c>
    </row>
    <row r="3" customFormat="false" ht="15" hidden="false" customHeight="false" outlineLevel="0" collapsed="false">
      <c r="A3" s="30" t="s">
        <v>122</v>
      </c>
      <c r="B3" s="15"/>
      <c r="C3" s="15"/>
    </row>
    <row r="4" customFormat="false" ht="15" hidden="false" customHeight="false" outlineLevel="0" collapsed="false">
      <c r="A4" s="3" t="s">
        <v>123</v>
      </c>
      <c r="B4" s="25" t="n">
        <f aca="false">'Income Statement'!E14</f>
        <v>5670.05004</v>
      </c>
    </row>
    <row r="5" customFormat="false" ht="15" hidden="false" customHeight="false" outlineLevel="0" collapsed="false">
      <c r="A5" s="3" t="s">
        <v>124</v>
      </c>
      <c r="B5" s="28" t="n">
        <f aca="false">Assumptions!$B$31</f>
        <v>7</v>
      </c>
    </row>
    <row r="6" customFormat="false" ht="15" hidden="false" customHeight="false" outlineLevel="0" collapsed="false">
      <c r="A6" s="3" t="s">
        <v>125</v>
      </c>
      <c r="B6" s="25" t="n">
        <f aca="false">B4*B5</f>
        <v>39690.35028</v>
      </c>
    </row>
    <row r="7" customFormat="false" ht="15" hidden="false" customHeight="false" outlineLevel="0" collapsed="false">
      <c r="A7" s="3" t="s">
        <v>116</v>
      </c>
      <c r="B7" s="25" t="n">
        <f aca="false">-Assumptions!$B$7</f>
        <v>-5960</v>
      </c>
    </row>
    <row r="8" customFormat="false" ht="15" hidden="false" customHeight="false" outlineLevel="0" collapsed="false">
      <c r="A8" s="3" t="s">
        <v>117</v>
      </c>
      <c r="B8" s="29" t="n">
        <f aca="false">B6+B7</f>
        <v>33730.35028</v>
      </c>
    </row>
    <row r="9" customFormat="false" ht="15" hidden="false" customHeight="false" outlineLevel="0" collapsed="false">
      <c r="A9" s="11" t="s">
        <v>126</v>
      </c>
      <c r="B9" s="27" t="n">
        <f aca="false">B8/Assumptions!$B$6</f>
        <v>28.6637464563717</v>
      </c>
    </row>
    <row r="11" customFormat="false" ht="15" hidden="false" customHeight="false" outlineLevel="0" collapsed="false">
      <c r="A11" s="30" t="s">
        <v>127</v>
      </c>
      <c r="B11" s="15"/>
      <c r="C11" s="15"/>
    </row>
    <row r="12" customFormat="false" ht="15" hidden="false" customHeight="false" outlineLevel="0" collapsed="false">
      <c r="A12" s="3" t="s">
        <v>128</v>
      </c>
      <c r="B12" s="25" t="n">
        <f aca="false">'Income Statement'!E21</f>
        <v>2809.3840272</v>
      </c>
    </row>
    <row r="13" customFormat="false" ht="15" hidden="false" customHeight="false" outlineLevel="0" collapsed="false">
      <c r="A13" s="3" t="s">
        <v>129</v>
      </c>
      <c r="B13" s="28" t="n">
        <f aca="false">Assumptions!$B$32</f>
        <v>12</v>
      </c>
    </row>
    <row r="14" customFormat="false" ht="15" hidden="false" customHeight="false" outlineLevel="0" collapsed="false">
      <c r="A14" s="3" t="s">
        <v>117</v>
      </c>
      <c r="B14" s="29" t="n">
        <f aca="false">B12*B13</f>
        <v>33712.6083264</v>
      </c>
    </row>
    <row r="15" customFormat="false" ht="15" hidden="false" customHeight="false" outlineLevel="0" collapsed="false">
      <c r="A15" s="11" t="s">
        <v>130</v>
      </c>
      <c r="B15" s="27" t="n">
        <f aca="false">B14/Assumptions!$B$6</f>
        <v>28.6486695047418</v>
      </c>
    </row>
    <row r="17" customFormat="false" ht="15" hidden="false" customHeight="false" outlineLevel="0" collapsed="false">
      <c r="A17" s="24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1.5"/>
  </cols>
  <sheetData>
    <row r="1" customFormat="false" ht="16.1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6" t="s">
        <v>133</v>
      </c>
    </row>
    <row r="3" customFormat="false" ht="15" hidden="false" customHeight="false" outlineLevel="0" collapsed="false">
      <c r="E3" s="7" t="s">
        <v>55</v>
      </c>
      <c r="F3" s="7" t="s">
        <v>56</v>
      </c>
      <c r="G3" s="7" t="s">
        <v>57</v>
      </c>
      <c r="H3" s="7" t="s">
        <v>58</v>
      </c>
      <c r="I3" s="7" t="s">
        <v>59</v>
      </c>
    </row>
    <row r="4" customFormat="false" ht="15" hidden="false" customHeight="false" outlineLevel="0" collapsed="false">
      <c r="A4" s="3" t="s">
        <v>134</v>
      </c>
      <c r="E4" s="25" t="n">
        <f aca="false">'Income Statement'!E12</f>
        <v>4975.011648</v>
      </c>
      <c r="F4" s="25" t="n">
        <f aca="false">'Income Statement'!F12</f>
        <v>6172.67254032</v>
      </c>
      <c r="G4" s="25" t="n">
        <f aca="false">'Income Statement'!G12</f>
        <v>7446.0560364</v>
      </c>
      <c r="H4" s="25" t="n">
        <f aca="false">'Income Statement'!H12</f>
        <v>8806.69867611816</v>
      </c>
      <c r="I4" s="25" t="n">
        <f aca="false">'Income Statement'!I12</f>
        <v>9926.32737405012</v>
      </c>
    </row>
    <row r="5" customFormat="false" ht="15" hidden="false" customHeight="false" outlineLevel="0" collapsed="false">
      <c r="A5" s="3" t="s">
        <v>135</v>
      </c>
      <c r="E5" s="25" t="n">
        <f aca="false">E4*(1-Assumptions!$B$11)</f>
        <v>3855.6340272</v>
      </c>
      <c r="F5" s="25" t="n">
        <f aca="false">F4*(1-Assumptions!$B$11)</f>
        <v>4783.821218748</v>
      </c>
      <c r="G5" s="25" t="n">
        <f aca="false">G4*(1-Assumptions!$B$11)</f>
        <v>5770.69342821</v>
      </c>
      <c r="H5" s="25" t="n">
        <f aca="false">H4*(1-Assumptions!$B$11)</f>
        <v>6825.19147399157</v>
      </c>
      <c r="I5" s="25" t="n">
        <f aca="false">I4*(1-Assumptions!$B$11)</f>
        <v>7692.90371488885</v>
      </c>
    </row>
    <row r="6" customFormat="false" ht="15" hidden="false" customHeight="false" outlineLevel="0" collapsed="false">
      <c r="A6" s="3" t="s">
        <v>136</v>
      </c>
      <c r="E6" s="25" t="n">
        <f aca="false">'Income Statement'!E13</f>
        <v>695.038392</v>
      </c>
      <c r="F6" s="25" t="n">
        <f aca="false">'Income Statement'!F13</f>
        <v>863.3108448</v>
      </c>
      <c r="G6" s="25" t="n">
        <f aca="false">'Income Statement'!G13</f>
        <v>1042.447845096</v>
      </c>
      <c r="H6" s="25" t="n">
        <f aca="false">'Income Statement'!H13</f>
        <v>1234.05968709936</v>
      </c>
      <c r="I6" s="25" t="n">
        <f aca="false">'Income Statement'!I13</f>
        <v>1444.97170634907</v>
      </c>
    </row>
    <row r="7" customFormat="false" ht="15" hidden="false" customHeight="false" outlineLevel="0" collapsed="false">
      <c r="A7" s="3" t="s">
        <v>137</v>
      </c>
      <c r="E7" s="25" t="n">
        <f aca="false">-'Income Statement'!E4*Assumptions!E21</f>
        <v>-3292.28712</v>
      </c>
      <c r="F7" s="25" t="n">
        <f aca="false">-'Income Statement'!F4*Assumptions!F21</f>
        <v>-3366.91229472</v>
      </c>
      <c r="G7" s="25" t="n">
        <f aca="false">-'Income Statement'!G4*Assumptions!G21</f>
        <v>-3375.545403168</v>
      </c>
      <c r="H7" s="25" t="n">
        <f aca="false">-'Income Statement'!H4*Assumptions!H21</f>
        <v>-3253.43008417104</v>
      </c>
      <c r="I7" s="25" t="n">
        <f aca="false">-'Income Statement'!I4*Assumptions!I21</f>
        <v>-3266.89255348485</v>
      </c>
    </row>
    <row r="8" customFormat="false" ht="15" hidden="false" customHeight="false" outlineLevel="0" collapsed="false">
      <c r="A8" s="3" t="s">
        <v>138</v>
      </c>
      <c r="E8" s="25" t="n">
        <f aca="false">-(('Balance Sheet'!E8+'Balance Sheet'!E9-'Balance Sheet'!E17)-('Balance Sheet'!D8+'Balance Sheet'!D9-'Balance Sheet'!D17))</f>
        <v>-1078.47424</v>
      </c>
      <c r="F8" s="25" t="n">
        <f aca="false">-(('Balance Sheet'!F8+'Balance Sheet'!F9-'Balance Sheet'!F17)-('Balance Sheet'!E8+'Balance Sheet'!E9-'Balance Sheet'!E17))</f>
        <v>-1185.2233632</v>
      </c>
      <c r="G8" s="25" t="n">
        <f aca="false">-(('Balance Sheet'!G8+'Balance Sheet'!G9-'Balance Sheet'!G17)-('Balance Sheet'!F8+'Balance Sheet'!F9-'Balance Sheet'!F17))</f>
        <v>-1165.46964048</v>
      </c>
      <c r="H8" s="25" t="n">
        <f aca="false">-(('Balance Sheet'!H8+'Balance Sheet'!H9-'Balance Sheet'!H17)-('Balance Sheet'!G8+'Balance Sheet'!G9-'Balance Sheet'!G17))</f>
        <v>-1161.5847416784</v>
      </c>
      <c r="I8" s="25" t="n">
        <f aca="false">-(('Balance Sheet'!I8+'Balance Sheet'!I9-'Balance Sheet'!I17)-('Balance Sheet'!H8+'Balance Sheet'!H9-'Balance Sheet'!H17))</f>
        <v>-1211.62223824301</v>
      </c>
    </row>
    <row r="9" customFormat="false" ht="15" hidden="false" customHeight="false" outlineLevel="0" collapsed="false">
      <c r="A9" s="11" t="s">
        <v>139</v>
      </c>
      <c r="E9" s="26" t="n">
        <f aca="false">E5+E6+E7+E8</f>
        <v>179.9110592</v>
      </c>
      <c r="F9" s="26" t="n">
        <f aca="false">F5+F6+F7+F8</f>
        <v>1094.996405628</v>
      </c>
      <c r="G9" s="26" t="n">
        <f aca="false">G5+G6+G7+G8</f>
        <v>2272.126229658</v>
      </c>
      <c r="H9" s="26" t="n">
        <f aca="false">H5+H6+H7+H8</f>
        <v>3644.2363352415</v>
      </c>
      <c r="I9" s="26" t="n">
        <f aca="false">I5+I6+I7+I8</f>
        <v>4659.36062951005</v>
      </c>
    </row>
    <row r="10" customFormat="false" ht="15" hidden="false" customHeight="false" outlineLevel="0" collapsed="false">
      <c r="A10" s="3" t="s">
        <v>140</v>
      </c>
      <c r="E10" s="31" t="n">
        <f aca="false">1/(1+Assumptions!$B$9)^1</f>
        <v>0.836820083682008</v>
      </c>
      <c r="F10" s="31" t="n">
        <f aca="false">1/(1+Assumptions!$B$9)^2</f>
        <v>0.700267852453564</v>
      </c>
      <c r="G10" s="31" t="n">
        <f aca="false">1/(1+Assumptions!$B$9)^3</f>
        <v>0.585998202890011</v>
      </c>
      <c r="H10" s="31" t="n">
        <f aca="false">1/(1+Assumptions!$B$9)^4</f>
        <v>0.490375065179926</v>
      </c>
      <c r="I10" s="31" t="n">
        <f aca="false">1/(1+Assumptions!$B$9)^5</f>
        <v>0.410355703079436</v>
      </c>
    </row>
    <row r="11" customFormat="false" ht="15" hidden="false" customHeight="false" outlineLevel="0" collapsed="false">
      <c r="A11" s="3" t="s">
        <v>141</v>
      </c>
      <c r="E11" s="25" t="n">
        <f aca="false">E9*E10</f>
        <v>150.553187615063</v>
      </c>
      <c r="F11" s="25" t="n">
        <f aca="false">F9*F10</f>
        <v>766.79078141349</v>
      </c>
      <c r="G11" s="25" t="n">
        <f aca="false">G9*G10</f>
        <v>1331.46188731885</v>
      </c>
      <c r="H11" s="25" t="n">
        <f aca="false">H9*H10</f>
        <v>1787.0426304251</v>
      </c>
      <c r="I11" s="25" t="n">
        <f aca="false">I9*I10</f>
        <v>1911.99520702324</v>
      </c>
    </row>
    <row r="13" customFormat="false" ht="15" hidden="false" customHeight="false" outlineLevel="0" collapsed="false">
      <c r="A13" s="11" t="s">
        <v>142</v>
      </c>
      <c r="B13" s="29" t="n">
        <f aca="false">SUM(E11:I11)</f>
        <v>5947.84369379574</v>
      </c>
    </row>
    <row r="14" customFormat="false" ht="15" hidden="false" customHeight="false" outlineLevel="0" collapsed="false">
      <c r="A14" s="3" t="s">
        <v>143</v>
      </c>
      <c r="B14" s="25" t="n">
        <f aca="false">I9*(1+Assumptions!$B$10)/(Assumptions!$B$9-Assumptions!$B$10)</f>
        <v>69579.7854006835</v>
      </c>
    </row>
    <row r="15" customFormat="false" ht="15" hidden="false" customHeight="false" outlineLevel="0" collapsed="false">
      <c r="A15" s="3" t="s">
        <v>144</v>
      </c>
      <c r="B15" s="25" t="n">
        <f aca="false">B14/(1+Assumptions!$B$9)^5</f>
        <v>28552.4617582137</v>
      </c>
    </row>
    <row r="16" customFormat="false" ht="15" hidden="false" customHeight="false" outlineLevel="0" collapsed="false">
      <c r="A16" s="11" t="s">
        <v>145</v>
      </c>
      <c r="B16" s="26" t="n">
        <f aca="false">B13+B15</f>
        <v>34500.3054520095</v>
      </c>
    </row>
    <row r="17" customFormat="false" ht="15" hidden="false" customHeight="false" outlineLevel="0" collapsed="false">
      <c r="A17" s="3" t="s">
        <v>116</v>
      </c>
      <c r="B17" s="25" t="n">
        <f aca="false">-Assumptions!$B$7</f>
        <v>-5960</v>
      </c>
    </row>
    <row r="18" customFormat="false" ht="15" hidden="false" customHeight="false" outlineLevel="0" collapsed="false">
      <c r="A18" s="11" t="s">
        <v>117</v>
      </c>
      <c r="B18" s="29" t="n">
        <f aca="false">B16+B17</f>
        <v>28540.3054520095</v>
      </c>
    </row>
    <row r="19" customFormat="false" ht="15" hidden="false" customHeight="false" outlineLevel="0" collapsed="false">
      <c r="A19" s="11" t="s">
        <v>102</v>
      </c>
      <c r="B19" s="27" t="n">
        <f aca="false">B18/Assumptions!$B$6</f>
        <v>24.2532933240503</v>
      </c>
    </row>
    <row r="20" customFormat="false" ht="15" hidden="false" customHeight="false" outlineLevel="0" collapsed="false">
      <c r="A20" s="3" t="s">
        <v>146</v>
      </c>
      <c r="B20" s="32" t="n">
        <f aca="false">B15/B16</f>
        <v>0.827600259885545</v>
      </c>
    </row>
    <row r="22" customFormat="false" ht="15" hidden="false" customHeight="false" outlineLevel="0" collapsed="false">
      <c r="A22" s="24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1.5"/>
  </cols>
  <sheetData>
    <row r="1" customFormat="false" ht="16.1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6" t="s">
        <v>149</v>
      </c>
    </row>
    <row r="3" customFormat="false" ht="15" hidden="false" customHeight="false" outlineLevel="0" collapsed="false">
      <c r="B3" s="7" t="s">
        <v>150</v>
      </c>
      <c r="C3" s="7" t="s">
        <v>151</v>
      </c>
      <c r="D3" s="7" t="s">
        <v>152</v>
      </c>
      <c r="E3" s="7" t="s">
        <v>55</v>
      </c>
      <c r="F3" s="7" t="s">
        <v>56</v>
      </c>
      <c r="G3" s="7" t="s">
        <v>57</v>
      </c>
      <c r="H3" s="7" t="s">
        <v>58</v>
      </c>
      <c r="I3" s="7" t="s">
        <v>59</v>
      </c>
    </row>
    <row r="4" customFormat="false" ht="15" hidden="false" customHeight="false" outlineLevel="0" collapsed="false">
      <c r="A4" s="11" t="s">
        <v>153</v>
      </c>
      <c r="B4" s="18" t="n">
        <v>15536.2</v>
      </c>
      <c r="C4" s="18" t="n">
        <v>24302.6</v>
      </c>
      <c r="D4" s="18" t="n">
        <v>29984.4</v>
      </c>
      <c r="E4" s="29" t="n">
        <f aca="false">D4*(1+Assumptions!E15)</f>
        <v>36580.968</v>
      </c>
      <c r="F4" s="29" t="n">
        <f aca="false">E4*(1+Assumptions!F15)</f>
        <v>43165.54224</v>
      </c>
      <c r="G4" s="29" t="n">
        <f aca="false">F4*(1+Assumptions!G15)</f>
        <v>49640.373576</v>
      </c>
      <c r="H4" s="29" t="n">
        <f aca="false">G4*(1+Assumptions!H15)</f>
        <v>56093.62214088</v>
      </c>
      <c r="I4" s="29" t="n">
        <f aca="false">H4*(1+Assumptions!I15)</f>
        <v>62824.8567977856</v>
      </c>
    </row>
    <row r="5" customFormat="false" ht="15" hidden="false" customHeight="false" outlineLevel="0" collapsed="false">
      <c r="A5" s="3" t="s">
        <v>154</v>
      </c>
      <c r="B5" s="18" t="n">
        <v>-11926.1</v>
      </c>
      <c r="C5" s="18" t="n">
        <v>-16912.9</v>
      </c>
      <c r="D5" s="18" t="n">
        <v>-23103.6</v>
      </c>
      <c r="E5" s="25" t="n">
        <f aca="false">-E4*(1-Assumptions!E16)</f>
        <v>-27435.726</v>
      </c>
      <c r="F5" s="25" t="n">
        <f aca="false">-F4*(1-Assumptions!F16)</f>
        <v>-32158.3289688</v>
      </c>
      <c r="G5" s="25" t="n">
        <f aca="false">-G4*(1-Assumptions!G16)</f>
        <v>-36733.87644624</v>
      </c>
      <c r="H5" s="25" t="n">
        <f aca="false">-H4*(1-Assumptions!H16)</f>
        <v>-41228.8122735468</v>
      </c>
      <c r="I5" s="25" t="n">
        <f aca="false">-I4*(1-Assumptions!I16)</f>
        <v>-46176.2697463724</v>
      </c>
    </row>
    <row r="6" customFormat="false" ht="15" hidden="false" customHeight="false" outlineLevel="0" collapsed="false">
      <c r="A6" s="11" t="s">
        <v>155</v>
      </c>
      <c r="B6" s="29" t="n">
        <f aca="false">B4+B5</f>
        <v>3610.1</v>
      </c>
      <c r="C6" s="29" t="n">
        <f aca="false">C4+C5</f>
        <v>7389.7</v>
      </c>
      <c r="D6" s="29" t="n">
        <f aca="false">D4+D5</f>
        <v>6880.8</v>
      </c>
      <c r="E6" s="29" t="n">
        <f aca="false">E4+E5</f>
        <v>9145.242</v>
      </c>
      <c r="F6" s="29" t="n">
        <f aca="false">F4+F5</f>
        <v>11007.2132712</v>
      </c>
      <c r="G6" s="29" t="n">
        <f aca="false">G4+G5</f>
        <v>12906.49712976</v>
      </c>
      <c r="H6" s="29" t="n">
        <f aca="false">H4+H5</f>
        <v>14864.8098673332</v>
      </c>
      <c r="I6" s="29" t="n">
        <f aca="false">I4+I5</f>
        <v>16648.5870514132</v>
      </c>
    </row>
    <row r="7" customFormat="false" ht="15" hidden="false" customHeight="false" outlineLevel="0" collapsed="false">
      <c r="A7" s="3" t="s">
        <v>61</v>
      </c>
      <c r="B7" s="32" t="n">
        <f aca="false">B6/B4</f>
        <v>0.23236698806658</v>
      </c>
      <c r="C7" s="32" t="n">
        <f aca="false">C6/C4</f>
        <v>0.304070346382692</v>
      </c>
      <c r="D7" s="32" t="n">
        <f aca="false">D6/D4</f>
        <v>0.229479329251211</v>
      </c>
      <c r="E7" s="32" t="n">
        <f aca="false">E6/E4</f>
        <v>0.25</v>
      </c>
      <c r="F7" s="32" t="n">
        <f aca="false">F6/F4</f>
        <v>0.255</v>
      </c>
      <c r="G7" s="32" t="n">
        <f aca="false">G6/G4</f>
        <v>0.26</v>
      </c>
      <c r="H7" s="32" t="n">
        <f aca="false">H6/H4</f>
        <v>0.265</v>
      </c>
      <c r="I7" s="32" t="n">
        <f aca="false">I6/I4</f>
        <v>0.265</v>
      </c>
    </row>
    <row r="8" customFormat="false" ht="15" hidden="false" customHeight="false" outlineLevel="0" collapsed="false">
      <c r="A8" s="3" t="s">
        <v>156</v>
      </c>
      <c r="B8" s="18" t="n">
        <v>160</v>
      </c>
      <c r="C8" s="18" t="n">
        <v>332.9</v>
      </c>
      <c r="D8" s="18" t="n">
        <v>325.6</v>
      </c>
      <c r="E8" s="25" t="n">
        <f aca="false">E4*Assumptions!E18</f>
        <v>365.80968</v>
      </c>
      <c r="F8" s="25" t="n">
        <f aca="false">F4*Assumptions!F18</f>
        <v>431.6554224</v>
      </c>
      <c r="G8" s="25" t="n">
        <f aca="false">G4*Assumptions!G18</f>
        <v>496.40373576</v>
      </c>
      <c r="H8" s="25" t="n">
        <f aca="false">H4*Assumptions!H18</f>
        <v>560.9362214088</v>
      </c>
      <c r="I8" s="25" t="n">
        <f aca="false">I4*Assumptions!I18</f>
        <v>628.248567977856</v>
      </c>
    </row>
    <row r="9" customFormat="false" ht="15" hidden="false" customHeight="false" outlineLevel="0" collapsed="false">
      <c r="A9" s="3" t="s">
        <v>157</v>
      </c>
      <c r="B9" s="18" t="n">
        <v>-1730.2</v>
      </c>
      <c r="C9" s="18" t="n">
        <v>-2804.7</v>
      </c>
      <c r="D9" s="18" t="n">
        <v>-3567.9</v>
      </c>
      <c r="E9" s="25" t="n">
        <f aca="false">-E4*Assumptions!E17</f>
        <v>-4389.71616</v>
      </c>
      <c r="F9" s="25" t="n">
        <f aca="false">-F4*Assumptions!F17</f>
        <v>-5093.53398432</v>
      </c>
      <c r="G9" s="25" t="n">
        <f aca="false">-G4*Assumptions!G17</f>
        <v>-5758.283334816</v>
      </c>
      <c r="H9" s="25" t="n">
        <f aca="false">-H4*Assumptions!H17</f>
        <v>-6394.67292406032</v>
      </c>
      <c r="I9" s="25" t="n">
        <f aca="false">-I4*Assumptions!I17</f>
        <v>-7099.20881814977</v>
      </c>
    </row>
    <row r="10" customFormat="false" ht="15" hidden="false" customHeight="false" outlineLevel="0" collapsed="false">
      <c r="A10" s="3" t="s">
        <v>158</v>
      </c>
      <c r="B10" s="18" t="n">
        <v>6</v>
      </c>
      <c r="C10" s="18" t="n">
        <v>-3.1</v>
      </c>
      <c r="D10" s="18" t="n">
        <v>7.2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</row>
    <row r="11" customFormat="false" ht="15" hidden="false" customHeight="false" outlineLevel="0" collapsed="false">
      <c r="A11" s="3" t="s">
        <v>159</v>
      </c>
      <c r="B11" s="18" t="n">
        <v>-243.9</v>
      </c>
      <c r="C11" s="18" t="n">
        <v>-221.9</v>
      </c>
      <c r="D11" s="18" t="n">
        <v>-72.5</v>
      </c>
      <c r="E11" s="25" t="n">
        <f aca="false">-E4*Assumptions!E19</f>
        <v>-146.323872</v>
      </c>
      <c r="F11" s="25" t="n">
        <f aca="false">-F4*Assumptions!F19</f>
        <v>-172.66216896</v>
      </c>
      <c r="G11" s="25" t="n">
        <f aca="false">-G4*Assumptions!G19</f>
        <v>-198.561494304</v>
      </c>
      <c r="H11" s="25" t="n">
        <f aca="false">-H4*Assumptions!H19</f>
        <v>-224.37448856352</v>
      </c>
      <c r="I11" s="25" t="n">
        <f aca="false">-I4*Assumptions!I19</f>
        <v>-251.299427191142</v>
      </c>
    </row>
    <row r="12" customFormat="false" ht="15" hidden="false" customHeight="false" outlineLevel="0" collapsed="false">
      <c r="A12" s="11" t="s">
        <v>160</v>
      </c>
      <c r="B12" s="26" t="n">
        <f aca="false">B6+B8+B9+B10+B11</f>
        <v>1802</v>
      </c>
      <c r="C12" s="26" t="n">
        <f aca="false">C6+C8+C9+C10+C11</f>
        <v>4692.9</v>
      </c>
      <c r="D12" s="26" t="n">
        <f aca="false">D6+D8+D9+D10+D11</f>
        <v>3573.2</v>
      </c>
      <c r="E12" s="26" t="n">
        <f aca="false">E6+E8+E9+E10+E11</f>
        <v>4975.011648</v>
      </c>
      <c r="F12" s="26" t="n">
        <f aca="false">F6+F8+F9+F10+F11</f>
        <v>6172.67254032</v>
      </c>
      <c r="G12" s="26" t="n">
        <f aca="false">G6+G8+G9+G10+G11</f>
        <v>7446.0560364</v>
      </c>
      <c r="H12" s="26" t="n">
        <f aca="false">H6+H8+H9+H10+H11</f>
        <v>8806.69867611816</v>
      </c>
      <c r="I12" s="26" t="n">
        <f aca="false">I6+I8+I9+I10+I11</f>
        <v>9926.32737405012</v>
      </c>
    </row>
    <row r="13" customFormat="false" ht="15" hidden="false" customHeight="false" outlineLevel="0" collapsed="false">
      <c r="A13" s="3" t="s">
        <v>161</v>
      </c>
      <c r="B13" s="18" t="n">
        <v>330.6</v>
      </c>
      <c r="C13" s="18" t="n">
        <v>389.8</v>
      </c>
      <c r="D13" s="18" t="n">
        <v>522.1</v>
      </c>
      <c r="E13" s="25" t="n">
        <f aca="false">E4*Assumptions!E20</f>
        <v>695.038392</v>
      </c>
      <c r="F13" s="25" t="n">
        <f aca="false">F4*Assumptions!F20</f>
        <v>863.3108448</v>
      </c>
      <c r="G13" s="25" t="n">
        <f aca="false">G4*Assumptions!G20</f>
        <v>1042.447845096</v>
      </c>
      <c r="H13" s="25" t="n">
        <f aca="false">H4*Assumptions!H20</f>
        <v>1234.05968709936</v>
      </c>
      <c r="I13" s="25" t="n">
        <f aca="false">I4*Assumptions!I20</f>
        <v>1444.97170634907</v>
      </c>
    </row>
    <row r="14" customFormat="false" ht="15" hidden="false" customHeight="false" outlineLevel="0" collapsed="false">
      <c r="A14" s="11" t="s">
        <v>162</v>
      </c>
      <c r="B14" s="29" t="n">
        <f aca="false">B12+B13</f>
        <v>2132.6</v>
      </c>
      <c r="C14" s="29" t="n">
        <f aca="false">C12+C13</f>
        <v>5082.7</v>
      </c>
      <c r="D14" s="29" t="n">
        <f aca="false">D12+D13</f>
        <v>4095.3</v>
      </c>
      <c r="E14" s="29" t="n">
        <f aca="false">E12+E13</f>
        <v>5670.05004</v>
      </c>
      <c r="F14" s="29" t="n">
        <f aca="false">F12+F13</f>
        <v>7035.98338512</v>
      </c>
      <c r="G14" s="29" t="n">
        <f aca="false">G12+G13</f>
        <v>8488.503881496</v>
      </c>
      <c r="H14" s="29" t="n">
        <f aca="false">H12+H13</f>
        <v>10040.7583632175</v>
      </c>
      <c r="I14" s="29" t="n">
        <f aca="false">I12+I13</f>
        <v>11371.2990803992</v>
      </c>
    </row>
    <row r="15" customFormat="false" ht="15" hidden="false" customHeight="false" outlineLevel="0" collapsed="false">
      <c r="A15" s="3" t="s">
        <v>163</v>
      </c>
      <c r="B15" s="32" t="n">
        <f aca="false">B14/B4</f>
        <v>0.137266513046948</v>
      </c>
      <c r="C15" s="32" t="n">
        <f aca="false">C14/C4</f>
        <v>0.209142231695374</v>
      </c>
      <c r="D15" s="32" t="n">
        <f aca="false">D14/D4</f>
        <v>0.136581022131508</v>
      </c>
      <c r="E15" s="32" t="n">
        <f aca="false">E14/E4</f>
        <v>0.155</v>
      </c>
      <c r="F15" s="32" t="n">
        <f aca="false">F14/F4</f>
        <v>0.163</v>
      </c>
      <c r="G15" s="32" t="n">
        <f aca="false">G14/G4</f>
        <v>0.171</v>
      </c>
      <c r="H15" s="32" t="n">
        <f aca="false">H14/H4</f>
        <v>0.179</v>
      </c>
      <c r="I15" s="32" t="n">
        <f aca="false">I14/I4</f>
        <v>0.181</v>
      </c>
    </row>
    <row r="16" customFormat="false" ht="15" hidden="false" customHeight="false" outlineLevel="0" collapsed="false">
      <c r="A16" s="3" t="s">
        <v>164</v>
      </c>
      <c r="B16" s="18" t="n">
        <v>-320.9</v>
      </c>
      <c r="C16" s="18" t="n">
        <v>-596.4</v>
      </c>
      <c r="D16" s="18" t="n">
        <v>-1168.8</v>
      </c>
      <c r="E16" s="25" t="n">
        <f aca="false">-Assumptions!E22</f>
        <v>-1350</v>
      </c>
      <c r="F16" s="25" t="n">
        <f aca="false">-Assumptions!F22</f>
        <v>-1300</v>
      </c>
      <c r="G16" s="25" t="n">
        <f aca="false">-Assumptions!G22</f>
        <v>-1200</v>
      </c>
      <c r="H16" s="25" t="n">
        <f aca="false">-Assumptions!H22</f>
        <v>-1100</v>
      </c>
      <c r="I16" s="25" t="n">
        <f aca="false">-Assumptions!I22</f>
        <v>-1000</v>
      </c>
    </row>
    <row r="17" customFormat="false" ht="15" hidden="false" customHeight="false" outlineLevel="0" collapsed="false">
      <c r="A17" s="3" t="s">
        <v>165</v>
      </c>
      <c r="B17" s="18" t="n">
        <v>-1.3</v>
      </c>
      <c r="C17" s="18" t="n">
        <v>2.4</v>
      </c>
      <c r="D17" s="18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</row>
    <row r="18" customFormat="false" ht="15" hidden="false" customHeight="false" outlineLevel="0" collapsed="false">
      <c r="A18" s="3" t="s">
        <v>166</v>
      </c>
      <c r="B18" s="18" t="n">
        <v>-115.1</v>
      </c>
      <c r="C18" s="18" t="n">
        <v>-522.1</v>
      </c>
      <c r="D18" s="18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</row>
    <row r="19" customFormat="false" ht="15" hidden="false" customHeight="false" outlineLevel="0" collapsed="false">
      <c r="A19" s="11" t="s">
        <v>167</v>
      </c>
      <c r="B19" s="29" t="n">
        <f aca="false">B12+B16+B17+B18</f>
        <v>1364.7</v>
      </c>
      <c r="C19" s="29" t="n">
        <f aca="false">C12+C16+C17+C18</f>
        <v>3576.8</v>
      </c>
      <c r="D19" s="29" t="n">
        <f aca="false">D12+D16+D17+D18</f>
        <v>2404.4</v>
      </c>
      <c r="E19" s="29" t="n">
        <f aca="false">E12+E16+E17+E18</f>
        <v>3625.011648</v>
      </c>
      <c r="F19" s="29" t="n">
        <f aca="false">F12+F16+F17+F18</f>
        <v>4872.67254032</v>
      </c>
      <c r="G19" s="29" t="n">
        <f aca="false">G12+G16+G17+G18</f>
        <v>6246.0560364</v>
      </c>
      <c r="H19" s="29" t="n">
        <f aca="false">H12+H16+H17+H18</f>
        <v>7706.69867611816</v>
      </c>
      <c r="I19" s="29" t="n">
        <f aca="false">I12+I16+I17+I18</f>
        <v>8926.32737405012</v>
      </c>
    </row>
    <row r="20" customFormat="false" ht="15" hidden="false" customHeight="false" outlineLevel="0" collapsed="false">
      <c r="A20" s="3" t="s">
        <v>168</v>
      </c>
      <c r="B20" s="18" t="n">
        <v>-343.2</v>
      </c>
      <c r="C20" s="18" t="n">
        <v>-841.5</v>
      </c>
      <c r="D20" s="18" t="n">
        <v>-494.4</v>
      </c>
      <c r="E20" s="25" t="n">
        <f aca="false">-MAX(0,E19)*Assumptions!$B$11</f>
        <v>-815.6276208</v>
      </c>
      <c r="F20" s="25" t="n">
        <f aca="false">-MAX(0,F19)*Assumptions!$B$11</f>
        <v>-1096.351321572</v>
      </c>
      <c r="G20" s="25" t="n">
        <f aca="false">-MAX(0,G19)*Assumptions!$B$11</f>
        <v>-1405.36260819</v>
      </c>
      <c r="H20" s="25" t="n">
        <f aca="false">-MAX(0,H19)*Assumptions!$B$11</f>
        <v>-1734.00720212659</v>
      </c>
      <c r="I20" s="25" t="n">
        <f aca="false">-MAX(0,I19)*Assumptions!$B$11</f>
        <v>-2008.42365916128</v>
      </c>
    </row>
    <row r="21" customFormat="false" ht="15" hidden="false" customHeight="false" outlineLevel="0" collapsed="false">
      <c r="A21" s="11" t="s">
        <v>169</v>
      </c>
      <c r="B21" s="26" t="n">
        <f aca="false">B19+B20</f>
        <v>1021.5</v>
      </c>
      <c r="C21" s="26" t="n">
        <f aca="false">C19+C20</f>
        <v>2735.3</v>
      </c>
      <c r="D21" s="26" t="n">
        <f aca="false">D19+D20</f>
        <v>1910</v>
      </c>
      <c r="E21" s="26" t="n">
        <f aca="false">E19+E20</f>
        <v>2809.3840272</v>
      </c>
      <c r="F21" s="26" t="n">
        <f aca="false">F19+F20</f>
        <v>3776.321218748</v>
      </c>
      <c r="G21" s="26" t="n">
        <f aca="false">G19+G20</f>
        <v>4840.69342821</v>
      </c>
      <c r="H21" s="26" t="n">
        <f aca="false">H19+H20</f>
        <v>5972.69147399157</v>
      </c>
      <c r="I21" s="26" t="n">
        <f aca="false">I19+I20</f>
        <v>6917.90371488885</v>
      </c>
    </row>
    <row r="22" customFormat="false" ht="15" hidden="false" customHeight="false" outlineLevel="0" collapsed="false">
      <c r="A22" s="3" t="s">
        <v>170</v>
      </c>
      <c r="B22" s="32" t="n">
        <f aca="false">B21/B4</f>
        <v>0.0657496685161108</v>
      </c>
      <c r="C22" s="32" t="n">
        <f aca="false">C21/C4</f>
        <v>0.112551743434859</v>
      </c>
      <c r="D22" s="32" t="n">
        <f aca="false">D21/D4</f>
        <v>0.0636997905577568</v>
      </c>
      <c r="E22" s="32" t="n">
        <f aca="false">E21/E4</f>
        <v>0.0767990619384375</v>
      </c>
      <c r="F22" s="32" t="n">
        <f aca="false">F21/F4</f>
        <v>0.0874846236785742</v>
      </c>
      <c r="G22" s="32" t="n">
        <f aca="false">G21/G4</f>
        <v>0.0975152497754442</v>
      </c>
      <c r="H22" s="32" t="n">
        <f aca="false">H21/H4</f>
        <v>0.106477193770641</v>
      </c>
      <c r="I22" s="32" t="n">
        <f aca="false">I21/I4</f>
        <v>0.110114118320325</v>
      </c>
    </row>
    <row r="23" customFormat="false" ht="15" hidden="false" customHeight="false" outlineLevel="0" collapsed="false">
      <c r="A23" s="3" t="s">
        <v>171</v>
      </c>
      <c r="B23" s="8" t="n">
        <f aca="false">B21/Assumptions!$B$6</f>
        <v>0.868061456881608</v>
      </c>
      <c r="C23" s="8" t="n">
        <f aca="false">C21/Assumptions!$B$6</f>
        <v>2.3244331894354</v>
      </c>
      <c r="D23" s="8" t="n">
        <f aca="false">D21/Assumptions!$B$6</f>
        <v>1.62310071722357</v>
      </c>
      <c r="E23" s="8" t="n">
        <f aca="false">E21/Assumptions!$B$6</f>
        <v>2.38738912539515</v>
      </c>
      <c r="F23" s="8" t="n">
        <f aca="false">F21/Assumptions!$B$6</f>
        <v>3.20908360136986</v>
      </c>
      <c r="G23" s="8" t="n">
        <f aca="false">G21/Assumptions!$B$6</f>
        <v>4.11357747391992</v>
      </c>
      <c r="H23" s="8" t="n">
        <f aca="false">H21/Assumptions!$B$6</f>
        <v>5.07553917025695</v>
      </c>
      <c r="I23" s="8" t="n">
        <f aca="false">I21/Assumptions!$B$6</f>
        <v>5.8787719797485</v>
      </c>
    </row>
    <row r="25" customFormat="false" ht="15" hidden="false" customHeight="false" outlineLevel="0" collapsed="false">
      <c r="A25" s="24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1.5"/>
  </cols>
  <sheetData>
    <row r="1" customFormat="false" ht="16.15" hidden="false" customHeight="false" outlineLevel="0" collapsed="false">
      <c r="A1" s="1" t="s">
        <v>173</v>
      </c>
    </row>
    <row r="2" customFormat="false" ht="15" hidden="false" customHeight="false" outlineLevel="0" collapsed="false">
      <c r="A2" s="6" t="s">
        <v>174</v>
      </c>
    </row>
    <row r="3" customFormat="false" ht="15" hidden="false" customHeight="false" outlineLevel="0" collapsed="false">
      <c r="B3" s="7" t="s">
        <v>150</v>
      </c>
      <c r="C3" s="7" t="s">
        <v>151</v>
      </c>
      <c r="D3" s="7" t="s">
        <v>152</v>
      </c>
      <c r="E3" s="7" t="s">
        <v>55</v>
      </c>
      <c r="F3" s="7" t="s">
        <v>56</v>
      </c>
      <c r="G3" s="7" t="s">
        <v>57</v>
      </c>
      <c r="H3" s="7" t="s">
        <v>58</v>
      </c>
      <c r="I3" s="7" t="s">
        <v>59</v>
      </c>
    </row>
    <row r="4" customFormat="false" ht="15" hidden="false" customHeight="false" outlineLevel="0" collapsed="false">
      <c r="A4" s="11" t="s">
        <v>175</v>
      </c>
      <c r="B4" s="18" t="n">
        <v>3077.7</v>
      </c>
      <c r="C4" s="18" t="n">
        <v>3886.9</v>
      </c>
      <c r="D4" s="18" t="n">
        <v>5175.6</v>
      </c>
      <c r="E4" s="25" t="n">
        <f aca="false">'Cash Flow'!E12</f>
        <v>7772.848728</v>
      </c>
      <c r="F4" s="25" t="n">
        <f aca="false">'Cash Flow'!F12</f>
        <v>10276.45017792</v>
      </c>
      <c r="G4" s="25" t="n">
        <f aca="false">'Cash Flow'!G12</f>
        <v>12609.547735992</v>
      </c>
      <c r="H4" s="25" t="n">
        <f aca="false">'Cash Flow'!H12</f>
        <v>14628.9181330637</v>
      </c>
      <c r="I4" s="25" t="n">
        <f aca="false">'Cash Flow'!I12</f>
        <v>16450.8389801995</v>
      </c>
    </row>
    <row r="5" customFormat="false" ht="15" hidden="false" customHeight="false" outlineLevel="0" collapsed="false">
      <c r="A5" s="3" t="s">
        <v>176</v>
      </c>
      <c r="B5" s="18" t="n">
        <v>299.3</v>
      </c>
      <c r="C5" s="18" t="n">
        <v>1511.9</v>
      </c>
      <c r="D5" s="18" t="n">
        <v>2722.2</v>
      </c>
      <c r="E5" s="25" t="n">
        <f aca="false">D5</f>
        <v>2722.2</v>
      </c>
      <c r="F5" s="25" t="n">
        <f aca="false">D5</f>
        <v>2722.2</v>
      </c>
      <c r="G5" s="25" t="n">
        <f aca="false">D5</f>
        <v>2722.2</v>
      </c>
      <c r="H5" s="25" t="n">
        <f aca="false">D5</f>
        <v>2722.2</v>
      </c>
      <c r="I5" s="25" t="n">
        <f aca="false">D5</f>
        <v>2722.2</v>
      </c>
    </row>
    <row r="6" customFormat="false" ht="15" hidden="false" customHeight="false" outlineLevel="0" collapsed="false">
      <c r="A6" s="3" t="s">
        <v>177</v>
      </c>
      <c r="B6" s="18" t="n">
        <v>334.6</v>
      </c>
      <c r="C6" s="18" t="n">
        <v>489.2</v>
      </c>
      <c r="D6" s="18" t="n">
        <v>641.2</v>
      </c>
      <c r="E6" s="25" t="n">
        <f aca="false">D6</f>
        <v>641.2</v>
      </c>
      <c r="F6" s="25" t="n">
        <f aca="false">D6</f>
        <v>641.2</v>
      </c>
      <c r="G6" s="25" t="n">
        <f aca="false">D6</f>
        <v>641.2</v>
      </c>
      <c r="H6" s="25" t="n">
        <f aca="false">D6</f>
        <v>641.2</v>
      </c>
      <c r="I6" s="25" t="n">
        <f aca="false">D6</f>
        <v>641.2</v>
      </c>
    </row>
    <row r="7" customFormat="false" ht="15" hidden="false" customHeight="false" outlineLevel="0" collapsed="false">
      <c r="A7" s="3" t="s">
        <v>178</v>
      </c>
      <c r="B7" s="18" t="n">
        <v>152.4</v>
      </c>
      <c r="C7" s="18" t="n">
        <v>208.9</v>
      </c>
      <c r="D7" s="18" t="n">
        <v>401.4</v>
      </c>
      <c r="E7" s="25" t="n">
        <f aca="false">D7</f>
        <v>401.4</v>
      </c>
      <c r="F7" s="25" t="n">
        <f aca="false">D7</f>
        <v>401.4</v>
      </c>
      <c r="G7" s="25" t="n">
        <f aca="false">D7</f>
        <v>401.4</v>
      </c>
      <c r="H7" s="25" t="n">
        <f aca="false">D7</f>
        <v>401.4</v>
      </c>
      <c r="I7" s="25" t="n">
        <f aca="false">D7</f>
        <v>401.4</v>
      </c>
    </row>
    <row r="8" customFormat="false" ht="15" hidden="false" customHeight="false" outlineLevel="0" collapsed="false">
      <c r="A8" s="3" t="s">
        <v>69</v>
      </c>
      <c r="B8" s="18" t="n">
        <v>2783.5</v>
      </c>
      <c r="C8" s="18" t="n">
        <v>4177.1</v>
      </c>
      <c r="D8" s="18" t="n">
        <v>5815.7</v>
      </c>
      <c r="E8" s="25" t="n">
        <f aca="false">'Income Statement'!E4*Assumptions!$B$25</f>
        <v>6950.38392</v>
      </c>
      <c r="F8" s="25" t="n">
        <f aca="false">'Income Statement'!F4*Assumptions!$B$25</f>
        <v>8201.4530256</v>
      </c>
      <c r="G8" s="25" t="n">
        <f aca="false">'Income Statement'!G4*Assumptions!$B$25</f>
        <v>9431.67097944</v>
      </c>
      <c r="H8" s="25" t="n">
        <f aca="false">'Income Statement'!H4*Assumptions!$B$25</f>
        <v>10657.7882067672</v>
      </c>
      <c r="I8" s="25" t="n">
        <f aca="false">'Income Statement'!I4*Assumptions!$B$25</f>
        <v>11936.7227915793</v>
      </c>
    </row>
    <row r="9" customFormat="false" ht="15" hidden="false" customHeight="false" outlineLevel="0" collapsed="false">
      <c r="A9" s="3" t="s">
        <v>179</v>
      </c>
      <c r="B9" s="18" t="n">
        <v>837.7</v>
      </c>
      <c r="C9" s="18" t="n">
        <v>1505.3</v>
      </c>
      <c r="D9" s="18" t="n">
        <v>2033.9</v>
      </c>
      <c r="E9" s="25" t="n">
        <f aca="false">'Income Statement'!E4*Assumptions!$B$26</f>
        <v>2487.505824</v>
      </c>
      <c r="F9" s="25" t="n">
        <f aca="false">'Income Statement'!F4*Assumptions!$B$26</f>
        <v>2935.25687232</v>
      </c>
      <c r="G9" s="25" t="n">
        <f aca="false">'Income Statement'!G4*Assumptions!$B$26</f>
        <v>3375.545403168</v>
      </c>
      <c r="H9" s="25" t="n">
        <f aca="false">'Income Statement'!H4*Assumptions!$B$26</f>
        <v>3814.36630557984</v>
      </c>
      <c r="I9" s="25" t="n">
        <f aca="false">'Income Statement'!I4*Assumptions!$B$26</f>
        <v>4272.09026224942</v>
      </c>
    </row>
    <row r="10" customFormat="false" ht="15" hidden="false" customHeight="false" outlineLevel="0" collapsed="false">
      <c r="A10" s="3" t="s">
        <v>180</v>
      </c>
      <c r="B10" s="18" t="n">
        <v>29.5</v>
      </c>
      <c r="C10" s="18" t="n">
        <v>43.5</v>
      </c>
      <c r="D10" s="18" t="n">
        <v>604.5</v>
      </c>
      <c r="E10" s="25" t="n">
        <f aca="false">D10</f>
        <v>604.5</v>
      </c>
      <c r="F10" s="25" t="n">
        <f aca="false">D10</f>
        <v>604.5</v>
      </c>
      <c r="G10" s="25" t="n">
        <f aca="false">D10</f>
        <v>604.5</v>
      </c>
      <c r="H10" s="25" t="n">
        <f aca="false">D10</f>
        <v>604.5</v>
      </c>
      <c r="I10" s="25" t="n">
        <f aca="false">D10</f>
        <v>604.5</v>
      </c>
    </row>
    <row r="11" customFormat="false" ht="15" hidden="false" customHeight="false" outlineLevel="0" collapsed="false">
      <c r="A11" s="3" t="s">
        <v>181</v>
      </c>
      <c r="B11" s="18" t="n">
        <v>1093.5</v>
      </c>
      <c r="C11" s="18" t="n">
        <v>1811.2</v>
      </c>
      <c r="D11" s="18" t="n">
        <v>1091.8</v>
      </c>
      <c r="E11" s="25" t="n">
        <f aca="false">MAX(Assumptions!$B$28,'Cash Flow'!E19)</f>
        <v>800</v>
      </c>
      <c r="F11" s="25" t="n">
        <f aca="false">MAX(Assumptions!$B$28,'Cash Flow'!F19)</f>
        <v>800</v>
      </c>
      <c r="G11" s="25" t="n">
        <f aca="false">MAX(Assumptions!$B$28,'Cash Flow'!G19)</f>
        <v>800</v>
      </c>
      <c r="H11" s="25" t="n">
        <f aca="false">MAX(Assumptions!$B$28,'Cash Flow'!H19)</f>
        <v>920.302000097581</v>
      </c>
      <c r="I11" s="25" t="n">
        <f aca="false">MAX(Assumptions!$B$28,'Cash Flow'!I19)</f>
        <v>3421.08188662987</v>
      </c>
    </row>
    <row r="12" customFormat="false" ht="15" hidden="false" customHeight="false" outlineLevel="0" collapsed="false">
      <c r="A12" s="11" t="s">
        <v>182</v>
      </c>
      <c r="B12" s="26" t="n">
        <f aca="false">SUM(B4:B11)</f>
        <v>8608.2</v>
      </c>
      <c r="C12" s="26" t="n">
        <f aca="false">SUM(C4:C11)</f>
        <v>13634</v>
      </c>
      <c r="D12" s="26" t="n">
        <f aca="false">SUM(D4:D11)</f>
        <v>18486.3</v>
      </c>
      <c r="E12" s="26" t="n">
        <f aca="false">SUM(E4:E11)</f>
        <v>22380.038472</v>
      </c>
      <c r="F12" s="26" t="n">
        <f aca="false">SUM(F4:F11)</f>
        <v>26582.46007584</v>
      </c>
      <c r="G12" s="26" t="n">
        <f aca="false">SUM(G4:G11)</f>
        <v>30586.0641186</v>
      </c>
      <c r="H12" s="26" t="n">
        <f aca="false">SUM(H4:H11)</f>
        <v>34390.6746455083</v>
      </c>
      <c r="I12" s="26" t="n">
        <f aca="false">SUM(I4:I11)</f>
        <v>40450.033920658</v>
      </c>
    </row>
    <row r="13" customFormat="false" ht="15" hidden="false" customHeight="false" outlineLevel="0" collapsed="false">
      <c r="A13" s="11" t="s">
        <v>183</v>
      </c>
      <c r="B13" s="18" t="n">
        <v>4249.8</v>
      </c>
      <c r="C13" s="18" t="n">
        <v>6339.3</v>
      </c>
      <c r="D13" s="18" t="n">
        <v>8032.5</v>
      </c>
      <c r="E13" s="25" t="n">
        <f aca="false">D13+'Income Statement'!E21-'Cash Flow'!E15</f>
        <v>10280.00722176</v>
      </c>
      <c r="F13" s="25" t="n">
        <f aca="false">E13+'Income Statement'!F21-'Cash Flow'!F15</f>
        <v>13301.0641967584</v>
      </c>
      <c r="G13" s="25" t="n">
        <f aca="false">F13+'Income Statement'!G21-'Cash Flow'!G15</f>
        <v>17173.6189393264</v>
      </c>
      <c r="H13" s="25" t="n">
        <f aca="false">G13+'Income Statement'!H21-'Cash Flow'!H15</f>
        <v>21951.7721185197</v>
      </c>
      <c r="I13" s="25" t="n">
        <f aca="false">H13+'Income Statement'!I21-'Cash Flow'!I15</f>
        <v>27486.0950904307</v>
      </c>
    </row>
    <row r="14" customFormat="false" ht="15" hidden="false" customHeight="false" outlineLevel="0" collapsed="false">
      <c r="A14" s="3" t="s">
        <v>184</v>
      </c>
      <c r="B14" s="18" t="n">
        <v>1301</v>
      </c>
      <c r="C14" s="18" t="n">
        <v>3759.1</v>
      </c>
      <c r="D14" s="18" t="n">
        <v>7051.5</v>
      </c>
      <c r="E14" s="25" t="n">
        <f aca="false">'Cash Flow'!E18</f>
        <v>8234.61574624</v>
      </c>
      <c r="F14" s="25" t="n">
        <f aca="false">'Cash Flow'!F18</f>
        <v>8902.38358436159</v>
      </c>
      <c r="G14" s="25" t="n">
        <f aca="false">'Cash Flow'!G18</f>
        <v>8528.39604034559</v>
      </c>
      <c r="H14" s="25" t="n">
        <f aca="false">'Cash Flow'!H18</f>
        <v>7051.5</v>
      </c>
      <c r="I14" s="25" t="n">
        <f aca="false">'Cash Flow'!I18</f>
        <v>7051.5</v>
      </c>
    </row>
    <row r="15" customFormat="false" ht="15" hidden="false" customHeight="false" outlineLevel="0" collapsed="false">
      <c r="A15" s="3" t="s">
        <v>185</v>
      </c>
      <c r="B15" s="18" t="n">
        <v>111.8</v>
      </c>
      <c r="C15" s="18" t="n">
        <v>151.5</v>
      </c>
      <c r="D15" s="18" t="n">
        <v>209.4</v>
      </c>
      <c r="E15" s="25" t="n">
        <f aca="false">D15</f>
        <v>209.4</v>
      </c>
      <c r="F15" s="25" t="n">
        <f aca="false">D15</f>
        <v>209.4</v>
      </c>
      <c r="G15" s="25" t="n">
        <f aca="false">D15</f>
        <v>209.4</v>
      </c>
      <c r="H15" s="25" t="n">
        <f aca="false">D15</f>
        <v>209.4</v>
      </c>
      <c r="I15" s="25" t="n">
        <f aca="false">D15</f>
        <v>209.4</v>
      </c>
    </row>
    <row r="16" customFormat="false" ht="15" hidden="false" customHeight="false" outlineLevel="0" collapsed="false">
      <c r="A16" s="3" t="s">
        <v>186</v>
      </c>
      <c r="B16" s="18" t="n">
        <v>321.8</v>
      </c>
      <c r="C16" s="18" t="n">
        <v>387.4</v>
      </c>
      <c r="D16" s="18" t="n">
        <v>509.3</v>
      </c>
      <c r="E16" s="25" t="n">
        <f aca="false">D16</f>
        <v>509.3</v>
      </c>
      <c r="F16" s="25" t="n">
        <f aca="false">D16</f>
        <v>509.3</v>
      </c>
      <c r="G16" s="25" t="n">
        <f aca="false">D16</f>
        <v>509.3</v>
      </c>
      <c r="H16" s="25" t="n">
        <f aca="false">D16</f>
        <v>509.3</v>
      </c>
      <c r="I16" s="25" t="n">
        <f aca="false">D16</f>
        <v>509.3</v>
      </c>
    </row>
    <row r="17" customFormat="false" ht="15" hidden="false" customHeight="false" outlineLevel="0" collapsed="false">
      <c r="A17" s="3" t="s">
        <v>187</v>
      </c>
      <c r="B17" s="18" t="n">
        <v>2261.1</v>
      </c>
      <c r="C17" s="18" t="n">
        <v>2006.7</v>
      </c>
      <c r="D17" s="18" t="n">
        <v>2343.5</v>
      </c>
      <c r="E17" s="25" t="n">
        <f aca="false">'Income Statement'!E4*Assumptions!$B$27</f>
        <v>2853.315504</v>
      </c>
      <c r="F17" s="25" t="n">
        <f aca="false">'Income Statement'!F4*Assumptions!$B$27</f>
        <v>3366.91229472</v>
      </c>
      <c r="G17" s="25" t="n">
        <f aca="false">'Income Statement'!G4*Assumptions!$B$27</f>
        <v>3871.949138928</v>
      </c>
      <c r="H17" s="25" t="n">
        <f aca="false">'Income Statement'!H4*Assumptions!$B$27</f>
        <v>4375.30252698864</v>
      </c>
      <c r="I17" s="25" t="n">
        <f aca="false">'Income Statement'!I4*Assumptions!$B$27</f>
        <v>4900.33883022728</v>
      </c>
    </row>
    <row r="18" customFormat="false" ht="15" hidden="false" customHeight="false" outlineLevel="0" collapsed="false">
      <c r="A18" s="3" t="s">
        <v>188</v>
      </c>
      <c r="B18" s="18" t="n">
        <v>403.9</v>
      </c>
      <c r="C18" s="18" t="n">
        <v>973.1</v>
      </c>
      <c r="D18" s="18" t="n">
        <v>293.4</v>
      </c>
      <c r="E18" s="25" t="n">
        <f aca="false">D18</f>
        <v>293.4</v>
      </c>
      <c r="F18" s="25" t="n">
        <f aca="false">D18</f>
        <v>293.4</v>
      </c>
      <c r="G18" s="25" t="n">
        <f aca="false">D18</f>
        <v>293.4</v>
      </c>
      <c r="H18" s="25" t="n">
        <f aca="false">D18</f>
        <v>293.4</v>
      </c>
      <c r="I18" s="25" t="n">
        <f aca="false">D18</f>
        <v>293.4</v>
      </c>
    </row>
    <row r="19" customFormat="false" ht="15" hidden="false" customHeight="false" outlineLevel="0" collapsed="false">
      <c r="A19" s="11" t="s">
        <v>189</v>
      </c>
      <c r="B19" s="26" t="n">
        <f aca="false">B13+B14+B15+B16+B17+B18</f>
        <v>8649.4</v>
      </c>
      <c r="C19" s="26" t="n">
        <f aca="false">C13+C14+C15+C16+C17+C18</f>
        <v>13617.1</v>
      </c>
      <c r="D19" s="26" t="n">
        <f aca="false">D13+D14+D15+D16+D17+D18</f>
        <v>18439.6</v>
      </c>
      <c r="E19" s="26" t="n">
        <f aca="false">E13+E14+E15+E16+E17+E18</f>
        <v>22380.038472</v>
      </c>
      <c r="F19" s="26" t="n">
        <f aca="false">F13+F14+F15+F16+F17+F18</f>
        <v>26582.46007584</v>
      </c>
      <c r="G19" s="26" t="n">
        <f aca="false">G13+G14+G15+G16+G17+G18</f>
        <v>30586.0641186</v>
      </c>
      <c r="H19" s="26" t="n">
        <f aca="false">H13+H14+H15+H16+H17+H18</f>
        <v>34390.6746455083</v>
      </c>
      <c r="I19" s="26" t="n">
        <f aca="false">I13+I14+I15+I16+I17+I18</f>
        <v>40450.033920658</v>
      </c>
    </row>
    <row r="20" customFormat="false" ht="15" hidden="false" customHeight="false" outlineLevel="0" collapsed="false">
      <c r="A20" s="3" t="s">
        <v>190</v>
      </c>
      <c r="B20" s="33" t="n">
        <f aca="false">B12-B19</f>
        <v>-41.1999999999989</v>
      </c>
      <c r="C20" s="33" t="n">
        <f aca="false">C12-C19</f>
        <v>16.8999999999996</v>
      </c>
      <c r="D20" s="33" t="n">
        <f aca="false">D12-D19</f>
        <v>46.7000000000007</v>
      </c>
      <c r="E20" s="33" t="n">
        <f aca="false">E12-E19</f>
        <v>0</v>
      </c>
      <c r="F20" s="33" t="n">
        <f aca="false">F12-F19</f>
        <v>0</v>
      </c>
      <c r="G20" s="33" t="n">
        <f aca="false">G12-G19</f>
        <v>0</v>
      </c>
      <c r="H20" s="33" t="n">
        <f aca="false">H12-H19</f>
        <v>0</v>
      </c>
      <c r="I20" s="33" t="n">
        <f aca="false">I12-I19</f>
        <v>0</v>
      </c>
    </row>
    <row r="22" customFormat="false" ht="15" hidden="false" customHeight="false" outlineLevel="0" collapsed="false">
      <c r="A22" s="24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1.5"/>
  </cols>
  <sheetData>
    <row r="1" customFormat="false" ht="16.15" hidden="false" customHeight="false" outlineLevel="0" collapsed="false">
      <c r="A1" s="1" t="s">
        <v>192</v>
      </c>
    </row>
    <row r="2" customFormat="false" ht="15" hidden="false" customHeight="false" outlineLevel="0" collapsed="false">
      <c r="A2" s="6" t="s">
        <v>193</v>
      </c>
    </row>
    <row r="3" customFormat="false" ht="15" hidden="false" customHeight="false" outlineLevel="0" collapsed="false">
      <c r="B3" s="7" t="s">
        <v>150</v>
      </c>
      <c r="C3" s="7" t="s">
        <v>151</v>
      </c>
      <c r="D3" s="7" t="s">
        <v>152</v>
      </c>
      <c r="E3" s="7" t="s">
        <v>55</v>
      </c>
      <c r="F3" s="7" t="s">
        <v>56</v>
      </c>
      <c r="G3" s="7" t="s">
        <v>57</v>
      </c>
      <c r="H3" s="7" t="s">
        <v>58</v>
      </c>
      <c r="I3" s="7" t="s">
        <v>59</v>
      </c>
    </row>
    <row r="4" customFormat="false" ht="15" hidden="false" customHeight="false" outlineLevel="0" collapsed="false">
      <c r="A4" s="3" t="s">
        <v>169</v>
      </c>
      <c r="B4" s="25" t="n">
        <f aca="false">'Income Statement'!B21</f>
        <v>1021.5</v>
      </c>
      <c r="C4" s="25" t="n">
        <f aca="false">'Income Statement'!C21</f>
        <v>2735.3</v>
      </c>
      <c r="D4" s="25" t="n">
        <f aca="false">'Income Statement'!D21</f>
        <v>1910</v>
      </c>
      <c r="E4" s="25" t="n">
        <f aca="false">'Income Statement'!E21</f>
        <v>2809.3840272</v>
      </c>
      <c r="F4" s="25" t="n">
        <f aca="false">'Income Statement'!F21</f>
        <v>3776.321218748</v>
      </c>
      <c r="G4" s="25" t="n">
        <f aca="false">'Income Statement'!G21</f>
        <v>4840.69342821</v>
      </c>
      <c r="H4" s="25" t="n">
        <f aca="false">'Income Statement'!H21</f>
        <v>5972.69147399157</v>
      </c>
      <c r="I4" s="25" t="n">
        <f aca="false">'Income Statement'!I21</f>
        <v>6917.90371488885</v>
      </c>
    </row>
    <row r="5" customFormat="false" ht="15" hidden="false" customHeight="false" outlineLevel="0" collapsed="false">
      <c r="A5" s="3" t="s">
        <v>136</v>
      </c>
      <c r="B5" s="25" t="n">
        <f aca="false">'Income Statement'!B13</f>
        <v>330.6</v>
      </c>
      <c r="C5" s="25" t="n">
        <f aca="false">'Income Statement'!C13</f>
        <v>389.8</v>
      </c>
      <c r="D5" s="25" t="n">
        <f aca="false">'Income Statement'!D13</f>
        <v>522.1</v>
      </c>
      <c r="E5" s="25" t="n">
        <f aca="false">'Income Statement'!E13</f>
        <v>695.038392</v>
      </c>
      <c r="F5" s="25" t="n">
        <f aca="false">'Income Statement'!F13</f>
        <v>863.3108448</v>
      </c>
      <c r="G5" s="25" t="n">
        <f aca="false">'Income Statement'!G13</f>
        <v>1042.447845096</v>
      </c>
      <c r="H5" s="25" t="n">
        <f aca="false">'Income Statement'!H13</f>
        <v>1234.05968709936</v>
      </c>
      <c r="I5" s="25" t="n">
        <f aca="false">'Income Statement'!I13</f>
        <v>1444.97170634907</v>
      </c>
    </row>
    <row r="6" customFormat="false" ht="15" hidden="false" customHeight="false" outlineLevel="0" collapsed="false">
      <c r="A6" s="3" t="s">
        <v>194</v>
      </c>
      <c r="B6" s="25" t="n">
        <f aca="false">-'Income Statement'!B16</f>
        <v>320.9</v>
      </c>
      <c r="C6" s="25" t="n">
        <f aca="false">-'Income Statement'!C16</f>
        <v>596.4</v>
      </c>
      <c r="D6" s="25" t="n">
        <f aca="false">-'Income Statement'!D16</f>
        <v>1168.8</v>
      </c>
      <c r="E6" s="25" t="n">
        <f aca="false">-'Income Statement'!E16</f>
        <v>1350</v>
      </c>
      <c r="F6" s="25" t="n">
        <f aca="false">-'Income Statement'!F16</f>
        <v>1300</v>
      </c>
      <c r="G6" s="25" t="n">
        <f aca="false">-'Income Statement'!G16</f>
        <v>1200</v>
      </c>
      <c r="H6" s="25" t="n">
        <f aca="false">-'Income Statement'!H16</f>
        <v>1100</v>
      </c>
      <c r="I6" s="25" t="n">
        <f aca="false">-'Income Statement'!I16</f>
        <v>1000</v>
      </c>
    </row>
    <row r="7" customFormat="false" ht="15" hidden="false" customHeight="false" outlineLevel="0" collapsed="false">
      <c r="A7" s="3" t="s">
        <v>195</v>
      </c>
      <c r="B7" s="18" t="n">
        <v>0</v>
      </c>
      <c r="C7" s="18" t="n">
        <v>-1393.6</v>
      </c>
      <c r="D7" s="18" t="n">
        <v>-1638.6</v>
      </c>
      <c r="E7" s="25" t="n">
        <f aca="false">-('Balance Sheet'!E8-'Balance Sheet'!D8)</f>
        <v>-1134.68392</v>
      </c>
      <c r="F7" s="25" t="n">
        <f aca="false">-('Balance Sheet'!F8-'Balance Sheet'!E8)</f>
        <v>-1251.0691056</v>
      </c>
      <c r="G7" s="25" t="n">
        <f aca="false">-('Balance Sheet'!G8-'Balance Sheet'!F8)</f>
        <v>-1230.21795384</v>
      </c>
      <c r="H7" s="25" t="n">
        <f aca="false">-('Balance Sheet'!H8-'Balance Sheet'!G8)</f>
        <v>-1226.1172273272</v>
      </c>
      <c r="I7" s="25" t="n">
        <f aca="false">-('Balance Sheet'!I8-'Balance Sheet'!H8)</f>
        <v>-1278.93458481206</v>
      </c>
    </row>
    <row r="8" customFormat="false" ht="15" hidden="false" customHeight="false" outlineLevel="0" collapsed="false">
      <c r="A8" s="3" t="s">
        <v>196</v>
      </c>
      <c r="B8" s="18" t="n">
        <v>0</v>
      </c>
      <c r="C8" s="18" t="n">
        <v>-667.6</v>
      </c>
      <c r="D8" s="18" t="n">
        <v>-528.6</v>
      </c>
      <c r="E8" s="25" t="n">
        <f aca="false">-('Balance Sheet'!E9-'Balance Sheet'!D9)</f>
        <v>-453.605824</v>
      </c>
      <c r="F8" s="25" t="n">
        <f aca="false">-('Balance Sheet'!F9-'Balance Sheet'!E9)</f>
        <v>-447.751048319999</v>
      </c>
      <c r="G8" s="25" t="n">
        <f aca="false">-('Balance Sheet'!G9-'Balance Sheet'!F9)</f>
        <v>-440.288530848</v>
      </c>
      <c r="H8" s="25" t="n">
        <f aca="false">-('Balance Sheet'!H9-'Balance Sheet'!G9)</f>
        <v>-438.82090241184</v>
      </c>
      <c r="I8" s="25" t="n">
        <f aca="false">-('Balance Sheet'!I9-'Balance Sheet'!H9)</f>
        <v>-457.723956669581</v>
      </c>
    </row>
    <row r="9" customFormat="false" ht="15" hidden="false" customHeight="false" outlineLevel="0" collapsed="false">
      <c r="A9" s="3" t="s">
        <v>197</v>
      </c>
      <c r="B9" s="18" t="n">
        <v>0</v>
      </c>
      <c r="C9" s="18" t="n">
        <v>-254.4</v>
      </c>
      <c r="D9" s="18" t="n">
        <v>336.8</v>
      </c>
      <c r="E9" s="25" t="n">
        <f aca="false">('Balance Sheet'!E17-'Balance Sheet'!D17)</f>
        <v>509.815504</v>
      </c>
      <c r="F9" s="25" t="n">
        <f aca="false">('Balance Sheet'!F17-'Balance Sheet'!E17)</f>
        <v>513.596790719999</v>
      </c>
      <c r="G9" s="25" t="n">
        <f aca="false">('Balance Sheet'!G17-'Balance Sheet'!F17)</f>
        <v>505.036844208</v>
      </c>
      <c r="H9" s="25" t="n">
        <f aca="false">('Balance Sheet'!H17-'Balance Sheet'!G17)</f>
        <v>503.353388060639</v>
      </c>
      <c r="I9" s="25" t="n">
        <f aca="false">('Balance Sheet'!I17-'Balance Sheet'!H17)</f>
        <v>525.036303238638</v>
      </c>
    </row>
    <row r="10" customFormat="false" ht="15" hidden="false" customHeight="false" outlineLevel="0" collapsed="false">
      <c r="A10" s="11" t="s">
        <v>198</v>
      </c>
      <c r="B10" s="26" t="n">
        <f aca="false">B4+B5+B6+B7+B8+B9</f>
        <v>1673</v>
      </c>
      <c r="C10" s="26" t="n">
        <f aca="false">C4+C5+C6+C7+C8+C9</f>
        <v>1405.9</v>
      </c>
      <c r="D10" s="26" t="n">
        <f aca="false">D4+D5+D6+D7+D8+D9</f>
        <v>1770.5</v>
      </c>
      <c r="E10" s="26" t="n">
        <f aca="false">E4+E5+E6+E7+E8+E9</f>
        <v>3775.9481792</v>
      </c>
      <c r="F10" s="26" t="n">
        <f aca="false">F4+F5+F6+F7+F8+F9</f>
        <v>4754.408700348</v>
      </c>
      <c r="G10" s="26" t="n">
        <f aca="false">G4+G5+G6+G7+G8+G9</f>
        <v>5917.671632826</v>
      </c>
      <c r="H10" s="26" t="n">
        <f aca="false">H4+H5+H6+H7+H8+H9</f>
        <v>7145.16641941253</v>
      </c>
      <c r="I10" s="26" t="n">
        <f aca="false">I4+I5+I6+I7+I8+I9</f>
        <v>8151.25318299491</v>
      </c>
    </row>
    <row r="11" customFormat="false" ht="15" hidden="false" customHeight="false" outlineLevel="0" collapsed="false">
      <c r="A11" s="3" t="s">
        <v>137</v>
      </c>
      <c r="B11" s="18" t="n">
        <v>-561.5</v>
      </c>
      <c r="C11" s="18" t="n">
        <v>-2356.9</v>
      </c>
      <c r="D11" s="18" t="n">
        <v>-2979.7</v>
      </c>
      <c r="E11" s="25" t="n">
        <f aca="false">-'Income Statement'!E4*Assumptions!E21</f>
        <v>-3292.28712</v>
      </c>
      <c r="F11" s="25" t="n">
        <f aca="false">-'Income Statement'!F4*Assumptions!F21</f>
        <v>-3366.91229472</v>
      </c>
      <c r="G11" s="25" t="n">
        <f aca="false">-'Income Statement'!G4*Assumptions!G21</f>
        <v>-3375.545403168</v>
      </c>
      <c r="H11" s="25" t="n">
        <f aca="false">-'Income Statement'!H4*Assumptions!H21</f>
        <v>-3253.43008417104</v>
      </c>
      <c r="I11" s="25" t="n">
        <f aca="false">-'Income Statement'!I4*Assumptions!I21</f>
        <v>-3266.89255348485</v>
      </c>
    </row>
    <row r="12" customFormat="false" ht="15" hidden="false" customHeight="false" outlineLevel="0" collapsed="false">
      <c r="A12" s="3" t="s">
        <v>199</v>
      </c>
      <c r="B12" s="34" t="n">
        <v>3077.7</v>
      </c>
      <c r="C12" s="34" t="n">
        <v>3886.9</v>
      </c>
      <c r="D12" s="34" t="n">
        <v>5175.6</v>
      </c>
      <c r="E12" s="34" t="n">
        <f aca="false">'Cash Flow'!D12-E11-'Income Statement'!E13</f>
        <v>7772.848728</v>
      </c>
      <c r="F12" s="34" t="n">
        <f aca="false">'Cash Flow'!E12-F11-'Income Statement'!F13</f>
        <v>10276.45017792</v>
      </c>
      <c r="G12" s="34" t="n">
        <f aca="false">'Cash Flow'!F12-G11-'Income Statement'!G13</f>
        <v>12609.547735992</v>
      </c>
      <c r="H12" s="34" t="n">
        <f aca="false">'Cash Flow'!G12-H11-'Income Statement'!H13</f>
        <v>14628.9181330637</v>
      </c>
      <c r="I12" s="34" t="n">
        <f aca="false">'Cash Flow'!H12-I11-'Income Statement'!I13</f>
        <v>16450.8389801995</v>
      </c>
    </row>
    <row r="13" customFormat="false" ht="15" hidden="false" customHeight="false" outlineLevel="0" collapsed="false">
      <c r="A13" s="3" t="s">
        <v>200</v>
      </c>
      <c r="B13" s="34" t="n">
        <f aca="false">-'Income Statement'!B16</f>
        <v>320.9</v>
      </c>
      <c r="C13" s="34" t="n">
        <f aca="false">-'Income Statement'!C16</f>
        <v>596.4</v>
      </c>
      <c r="D13" s="34" t="n">
        <f aca="false">-'Income Statement'!D16</f>
        <v>1168.8</v>
      </c>
      <c r="E13" s="34" t="n">
        <f aca="false">-'Income Statement'!E16</f>
        <v>1350</v>
      </c>
      <c r="F13" s="34" t="n">
        <f aca="false">-'Income Statement'!F16</f>
        <v>1300</v>
      </c>
      <c r="G13" s="34" t="n">
        <f aca="false">-'Income Statement'!G16</f>
        <v>1200</v>
      </c>
      <c r="H13" s="34" t="n">
        <f aca="false">-'Income Statement'!H16</f>
        <v>1100</v>
      </c>
      <c r="I13" s="34" t="n">
        <f aca="false">-'Income Statement'!I16</f>
        <v>1000</v>
      </c>
    </row>
    <row r="14" customFormat="false" ht="15" hidden="false" customHeight="false" outlineLevel="0" collapsed="false">
      <c r="A14" s="3" t="s">
        <v>201</v>
      </c>
      <c r="B14" s="35" t="n">
        <f aca="false">B10+B11</f>
        <v>1111.5</v>
      </c>
      <c r="C14" s="35" t="n">
        <f aca="false">C10+C11</f>
        <v>-951.000000000003</v>
      </c>
      <c r="D14" s="35" t="n">
        <f aca="false">D10+D11</f>
        <v>-1209.2</v>
      </c>
      <c r="E14" s="35" t="n">
        <f aca="false">E10+E11</f>
        <v>483.661059199998</v>
      </c>
      <c r="F14" s="35" t="n">
        <f aca="false">F10+F11</f>
        <v>1387.496405628</v>
      </c>
      <c r="G14" s="35" t="n">
        <f aca="false">G10+G11</f>
        <v>2542.126229658</v>
      </c>
      <c r="H14" s="35" t="n">
        <f aca="false">H10+H11</f>
        <v>3891.7363352415</v>
      </c>
      <c r="I14" s="35" t="n">
        <f aca="false">I10+I11</f>
        <v>4884.36062951006</v>
      </c>
    </row>
    <row r="15" customFormat="false" ht="15" hidden="false" customHeight="false" outlineLevel="0" collapsed="false">
      <c r="A15" s="3" t="s">
        <v>202</v>
      </c>
      <c r="B15" s="18" t="n">
        <v>141.2</v>
      </c>
      <c r="C15" s="18" t="n">
        <v>188.3</v>
      </c>
      <c r="D15" s="18" t="n">
        <v>282.4</v>
      </c>
      <c r="E15" s="25" t="n">
        <f aca="false">'Income Statement'!E21*0.2</f>
        <v>561.87680544</v>
      </c>
      <c r="F15" s="25" t="n">
        <f aca="false">'Income Statement'!F21*0.2</f>
        <v>755.2642437496</v>
      </c>
      <c r="G15" s="25" t="n">
        <f aca="false">'Income Statement'!G21*0.2</f>
        <v>968.138685642</v>
      </c>
      <c r="H15" s="25" t="n">
        <f aca="false">'Income Statement'!H21*0.2</f>
        <v>1194.53829479831</v>
      </c>
      <c r="I15" s="25" t="n">
        <f aca="false">'Income Statement'!I21*0.2</f>
        <v>1383.58074297777</v>
      </c>
    </row>
    <row r="16" customFormat="false" ht="15" hidden="false" customHeight="false" outlineLevel="0" collapsed="false">
      <c r="A16" s="3" t="s">
        <v>203</v>
      </c>
      <c r="E16" s="34" t="n">
        <f aca="false">E10+E11-E13-E15</f>
        <v>-1428.21574624</v>
      </c>
      <c r="F16" s="34" t="n">
        <f aca="false">F10+F11-F13-F15</f>
        <v>-667.767838121599</v>
      </c>
      <c r="G16" s="34" t="n">
        <f aca="false">G10+G11-G13-G15</f>
        <v>373.987544016001</v>
      </c>
      <c r="H16" s="34" t="n">
        <f aca="false">H10+H11-H13-H15</f>
        <v>1597.19804044318</v>
      </c>
      <c r="I16" s="34" t="n">
        <f aca="false">I10+I11-I13-I15</f>
        <v>2500.77988653229</v>
      </c>
    </row>
    <row r="17" customFormat="false" ht="15" hidden="false" customHeight="false" outlineLevel="0" collapsed="false">
      <c r="A17" s="3" t="s">
        <v>204</v>
      </c>
      <c r="B17" s="18" t="n">
        <v>1093.5</v>
      </c>
      <c r="C17" s="18" t="n">
        <v>1811.2</v>
      </c>
      <c r="D17" s="18" t="n">
        <v>1091.8</v>
      </c>
      <c r="E17" s="25" t="n">
        <f aca="false">'Balance Sheet'!E11</f>
        <v>800</v>
      </c>
      <c r="F17" s="25" t="n">
        <f aca="false">'Balance Sheet'!F11</f>
        <v>800</v>
      </c>
      <c r="G17" s="25" t="n">
        <f aca="false">'Balance Sheet'!G11</f>
        <v>800</v>
      </c>
      <c r="H17" s="25" t="n">
        <f aca="false">'Balance Sheet'!H11</f>
        <v>920.302000097581</v>
      </c>
      <c r="I17" s="25" t="n">
        <f aca="false">'Balance Sheet'!I11</f>
        <v>3421.08188662987</v>
      </c>
    </row>
    <row r="18" customFormat="false" ht="15" hidden="false" customHeight="false" outlineLevel="0" collapsed="false">
      <c r="A18" s="3" t="s">
        <v>205</v>
      </c>
      <c r="B18" s="18" t="n">
        <v>1301</v>
      </c>
      <c r="C18" s="18" t="n">
        <v>3759.1</v>
      </c>
      <c r="D18" s="18" t="n">
        <v>7051.5</v>
      </c>
      <c r="E18" s="25" t="n">
        <f aca="false">$D$18+MAX(0,Assumptions!$B$28-'Cash Flow'!E19)</f>
        <v>8234.61574624</v>
      </c>
      <c r="F18" s="25" t="n">
        <f aca="false">$D$18+MAX(0,Assumptions!$B$28-'Cash Flow'!F19)</f>
        <v>8902.38358436159</v>
      </c>
      <c r="G18" s="25" t="n">
        <f aca="false">$D$18+MAX(0,Assumptions!$B$28-'Cash Flow'!G19)</f>
        <v>8528.39604034559</v>
      </c>
      <c r="H18" s="25" t="n">
        <f aca="false">$D$18+MAX(0,Assumptions!$B$28-'Cash Flow'!H19)</f>
        <v>7051.5</v>
      </c>
      <c r="I18" s="25" t="n">
        <f aca="false">$D$18+MAX(0,Assumptions!$B$28-'Cash Flow'!I19)</f>
        <v>7051.5</v>
      </c>
    </row>
    <row r="19" customFormat="false" ht="15" hidden="false" customHeight="false" outlineLevel="0" collapsed="false">
      <c r="A19" s="3" t="s">
        <v>206</v>
      </c>
      <c r="E19" s="34" t="n">
        <f aca="false">('Balance Sheet'!E13+$D$18+'Balance Sheet'!E15+'Balance Sheet'!E16+'Balance Sheet'!E17+'Balance Sheet'!E18)-('Balance Sheet'!E4+'Balance Sheet'!E5+'Balance Sheet'!E6+'Balance Sheet'!E7+'Balance Sheet'!E8+'Balance Sheet'!E9+'Balance Sheet'!E10)</f>
        <v>-383.115746240001</v>
      </c>
      <c r="F19" s="34" t="n">
        <f aca="false">('Balance Sheet'!F13+$D$18+'Balance Sheet'!F15+'Balance Sheet'!F16+'Balance Sheet'!F17+'Balance Sheet'!F18)-('Balance Sheet'!F4+'Balance Sheet'!F5+'Balance Sheet'!F6+'Balance Sheet'!F7+'Balance Sheet'!F8+'Balance Sheet'!F9+'Balance Sheet'!F10)</f>
        <v>-1050.88358436159</v>
      </c>
      <c r="G19" s="34" t="n">
        <f aca="false">('Balance Sheet'!G13+$D$18+'Balance Sheet'!G15+'Balance Sheet'!G16+'Balance Sheet'!G17+'Balance Sheet'!G18)-('Balance Sheet'!G4+'Balance Sheet'!G5+'Balance Sheet'!G6+'Balance Sheet'!G7+'Balance Sheet'!G8+'Balance Sheet'!G9+'Balance Sheet'!G10)</f>
        <v>-676.896040345593</v>
      </c>
      <c r="H19" s="34" t="n">
        <f aca="false">('Balance Sheet'!H13+$D$18+'Balance Sheet'!H15+'Balance Sheet'!H16+'Balance Sheet'!H17+'Balance Sheet'!H18)-('Balance Sheet'!H4+'Balance Sheet'!H5+'Balance Sheet'!H6+'Balance Sheet'!H7+'Balance Sheet'!H8+'Balance Sheet'!H9+'Balance Sheet'!H10)</f>
        <v>920.302000097581</v>
      </c>
      <c r="I19" s="34" t="n">
        <f aca="false">('Balance Sheet'!I13+$D$18+'Balance Sheet'!I15+'Balance Sheet'!I16+'Balance Sheet'!I17+'Balance Sheet'!I18)-('Balance Sheet'!I4+'Balance Sheet'!I5+'Balance Sheet'!I6+'Balance Sheet'!I7+'Balance Sheet'!I8+'Balance Sheet'!I9+'Balance Sheet'!I10)</f>
        <v>3421.08188662987</v>
      </c>
    </row>
    <row r="20" customFormat="false" ht="15" hidden="false" customHeight="false" outlineLevel="0" collapsed="false">
      <c r="A20" s="24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1.5"/>
  </cols>
  <sheetData>
    <row r="1" customFormat="false" ht="16.1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6" t="s">
        <v>209</v>
      </c>
    </row>
    <row r="3" customFormat="false" ht="15" hidden="false" customHeight="false" outlineLevel="0" collapsed="false">
      <c r="B3" s="7" t="s">
        <v>150</v>
      </c>
      <c r="C3" s="7" t="s">
        <v>151</v>
      </c>
      <c r="D3" s="7" t="s">
        <v>152</v>
      </c>
      <c r="E3" s="7" t="s">
        <v>55</v>
      </c>
      <c r="F3" s="7" t="s">
        <v>56</v>
      </c>
      <c r="G3" s="7" t="s">
        <v>57</v>
      </c>
      <c r="H3" s="7" t="s">
        <v>58</v>
      </c>
      <c r="I3" s="7" t="s">
        <v>59</v>
      </c>
    </row>
    <row r="4" customFormat="false" ht="15" hidden="false" customHeight="false" outlineLevel="0" collapsed="false">
      <c r="A4" s="3" t="s">
        <v>153</v>
      </c>
      <c r="B4" s="25" t="n">
        <f aca="false">'Income Statement'!B4</f>
        <v>15536.2</v>
      </c>
      <c r="C4" s="25" t="n">
        <f aca="false">'Income Statement'!C4</f>
        <v>24302.6</v>
      </c>
      <c r="D4" s="25" t="n">
        <f aca="false">'Income Statement'!D4</f>
        <v>29984.4</v>
      </c>
      <c r="E4" s="25" t="n">
        <f aca="false">'Income Statement'!E4</f>
        <v>36580.968</v>
      </c>
      <c r="F4" s="25" t="n">
        <f aca="false">'Income Statement'!F4</f>
        <v>43165.54224</v>
      </c>
      <c r="G4" s="25" t="n">
        <f aca="false">'Income Statement'!G4</f>
        <v>49640.373576</v>
      </c>
      <c r="H4" s="25" t="n">
        <f aca="false">'Income Statement'!H4</f>
        <v>56093.62214088</v>
      </c>
      <c r="I4" s="25" t="n">
        <f aca="false">'Income Statement'!I4</f>
        <v>62824.8567977856</v>
      </c>
    </row>
    <row r="5" customFormat="false" ht="15" hidden="false" customHeight="false" outlineLevel="0" collapsed="false">
      <c r="A5" s="3" t="s">
        <v>155</v>
      </c>
      <c r="B5" s="25" t="n">
        <f aca="false">'Income Statement'!B6</f>
        <v>3610.1</v>
      </c>
      <c r="C5" s="25" t="n">
        <f aca="false">'Income Statement'!C6</f>
        <v>7389.7</v>
      </c>
      <c r="D5" s="25" t="n">
        <f aca="false">'Income Statement'!D6</f>
        <v>6880.8</v>
      </c>
      <c r="E5" s="25" t="n">
        <f aca="false">'Income Statement'!E6</f>
        <v>9145.242</v>
      </c>
      <c r="F5" s="25" t="n">
        <f aca="false">'Income Statement'!F6</f>
        <v>11007.2132712</v>
      </c>
      <c r="G5" s="25" t="n">
        <f aca="false">'Income Statement'!G6</f>
        <v>12906.49712976</v>
      </c>
      <c r="H5" s="25" t="n">
        <f aca="false">'Income Statement'!H6</f>
        <v>14864.8098673332</v>
      </c>
      <c r="I5" s="25" t="n">
        <f aca="false">'Income Statement'!I6</f>
        <v>16648.5870514132</v>
      </c>
    </row>
    <row r="6" customFormat="false" ht="15" hidden="false" customHeight="false" outlineLevel="0" collapsed="false">
      <c r="A6" s="3" t="s">
        <v>134</v>
      </c>
      <c r="B6" s="25" t="n">
        <f aca="false">'Income Statement'!B12</f>
        <v>1802</v>
      </c>
      <c r="C6" s="25" t="n">
        <f aca="false">'Income Statement'!C12</f>
        <v>4692.9</v>
      </c>
      <c r="D6" s="25" t="n">
        <f aca="false">'Income Statement'!D12</f>
        <v>3573.2</v>
      </c>
      <c r="E6" s="25" t="n">
        <f aca="false">'Income Statement'!E12</f>
        <v>4975.011648</v>
      </c>
      <c r="F6" s="25" t="n">
        <f aca="false">'Income Statement'!F12</f>
        <v>6172.67254032</v>
      </c>
      <c r="G6" s="25" t="n">
        <f aca="false">'Income Statement'!G12</f>
        <v>7446.0560364</v>
      </c>
      <c r="H6" s="25" t="n">
        <f aca="false">'Income Statement'!H12</f>
        <v>8806.69867611816</v>
      </c>
      <c r="I6" s="25" t="n">
        <f aca="false">'Income Statement'!I12</f>
        <v>9926.32737405012</v>
      </c>
    </row>
    <row r="7" customFormat="false" ht="15" hidden="false" customHeight="false" outlineLevel="0" collapsed="false">
      <c r="A7" s="3" t="s">
        <v>162</v>
      </c>
      <c r="B7" s="25" t="n">
        <f aca="false">'Income Statement'!B14</f>
        <v>2132.6</v>
      </c>
      <c r="C7" s="25" t="n">
        <f aca="false">'Income Statement'!C14</f>
        <v>5082.7</v>
      </c>
      <c r="D7" s="25" t="n">
        <f aca="false">'Income Statement'!D14</f>
        <v>4095.3</v>
      </c>
      <c r="E7" s="25" t="n">
        <f aca="false">'Income Statement'!E14</f>
        <v>5670.05004</v>
      </c>
      <c r="F7" s="25" t="n">
        <f aca="false">'Income Statement'!F14</f>
        <v>7035.98338512</v>
      </c>
      <c r="G7" s="25" t="n">
        <f aca="false">'Income Statement'!G14</f>
        <v>8488.503881496</v>
      </c>
      <c r="H7" s="25" t="n">
        <f aca="false">'Income Statement'!H14</f>
        <v>10040.7583632175</v>
      </c>
      <c r="I7" s="25" t="n">
        <f aca="false">'Income Statement'!I14</f>
        <v>11371.2990803992</v>
      </c>
    </row>
    <row r="8" customFormat="false" ht="15" hidden="false" customHeight="false" outlineLevel="0" collapsed="false">
      <c r="A8" s="3" t="s">
        <v>210</v>
      </c>
      <c r="B8" s="25" t="n">
        <f aca="false">'Income Statement'!B21</f>
        <v>1021.5</v>
      </c>
      <c r="C8" s="25" t="n">
        <f aca="false">'Income Statement'!C21</f>
        <v>2735.3</v>
      </c>
      <c r="D8" s="25" t="n">
        <f aca="false">'Income Statement'!D21</f>
        <v>1910</v>
      </c>
      <c r="E8" s="25" t="n">
        <f aca="false">'Income Statement'!E21</f>
        <v>2809.3840272</v>
      </c>
      <c r="F8" s="25" t="n">
        <f aca="false">'Income Statement'!F21</f>
        <v>3776.321218748</v>
      </c>
      <c r="G8" s="25" t="n">
        <f aca="false">'Income Statement'!G21</f>
        <v>4840.69342821</v>
      </c>
      <c r="H8" s="25" t="n">
        <f aca="false">'Income Statement'!H21</f>
        <v>5972.69147399157</v>
      </c>
      <c r="I8" s="25" t="n">
        <f aca="false">'Income Statement'!I21</f>
        <v>6917.90371488885</v>
      </c>
    </row>
    <row r="9" customFormat="false" ht="15" hidden="false" customHeight="false" outlineLevel="0" collapsed="false">
      <c r="A9" s="3" t="s">
        <v>198</v>
      </c>
      <c r="B9" s="25" t="n">
        <f aca="false">'Cash Flow'!B10</f>
        <v>1673</v>
      </c>
      <c r="C9" s="25" t="n">
        <f aca="false">'Cash Flow'!C10</f>
        <v>1405.9</v>
      </c>
      <c r="D9" s="25" t="n">
        <f aca="false">'Cash Flow'!D10</f>
        <v>1770.5</v>
      </c>
      <c r="E9" s="25" t="n">
        <f aca="false">'Cash Flow'!E10</f>
        <v>3775.9481792</v>
      </c>
      <c r="F9" s="25" t="n">
        <f aca="false">'Cash Flow'!F10</f>
        <v>4754.408700348</v>
      </c>
      <c r="G9" s="25" t="n">
        <f aca="false">'Cash Flow'!G10</f>
        <v>5917.671632826</v>
      </c>
      <c r="H9" s="25" t="n">
        <f aca="false">'Cash Flow'!H10</f>
        <v>7145.16641941253</v>
      </c>
      <c r="I9" s="25" t="n">
        <f aca="false">'Cash Flow'!I10</f>
        <v>8151.25318299491</v>
      </c>
    </row>
    <row r="10" customFormat="false" ht="15" hidden="false" customHeight="false" outlineLevel="0" collapsed="false">
      <c r="A10" s="3" t="s">
        <v>211</v>
      </c>
      <c r="B10" s="25" t="n">
        <f aca="false">'Cash Flow'!B11</f>
        <v>-561.5</v>
      </c>
      <c r="C10" s="25" t="n">
        <f aca="false">'Cash Flow'!C11</f>
        <v>-2356.9</v>
      </c>
      <c r="D10" s="25" t="n">
        <f aca="false">'Cash Flow'!D11</f>
        <v>-2979.7</v>
      </c>
      <c r="E10" s="25" t="n">
        <f aca="false">'Cash Flow'!E11</f>
        <v>-3292.28712</v>
      </c>
      <c r="F10" s="25" t="n">
        <f aca="false">'Cash Flow'!F11</f>
        <v>-3366.91229472</v>
      </c>
      <c r="G10" s="25" t="n">
        <f aca="false">'Cash Flow'!G11</f>
        <v>-3375.545403168</v>
      </c>
      <c r="H10" s="25" t="n">
        <f aca="false">'Cash Flow'!H11</f>
        <v>-3253.43008417104</v>
      </c>
      <c r="I10" s="25" t="n">
        <f aca="false">'Cash Flow'!I11</f>
        <v>-3266.89255348485</v>
      </c>
    </row>
    <row r="11" customFormat="false" ht="15" hidden="false" customHeight="false" outlineLevel="0" collapsed="false">
      <c r="A11" s="3" t="s">
        <v>212</v>
      </c>
      <c r="B11" s="25" t="n">
        <f aca="false">'Cash Flow'!B14</f>
        <v>1111.5</v>
      </c>
      <c r="C11" s="25" t="n">
        <f aca="false">'Cash Flow'!C14</f>
        <v>-951.000000000003</v>
      </c>
      <c r="D11" s="25" t="n">
        <f aca="false">'Cash Flow'!D14</f>
        <v>-1209.2</v>
      </c>
      <c r="E11" s="25" t="n">
        <f aca="false">'Cash Flow'!E14</f>
        <v>483.661059199998</v>
      </c>
      <c r="F11" s="25" t="n">
        <f aca="false">'Cash Flow'!F14</f>
        <v>1387.496405628</v>
      </c>
      <c r="G11" s="25" t="n">
        <f aca="false">'Cash Flow'!G14</f>
        <v>2542.126229658</v>
      </c>
      <c r="H11" s="25" t="n">
        <f aca="false">'Cash Flow'!H14</f>
        <v>3891.7363352415</v>
      </c>
      <c r="I11" s="25" t="n">
        <f aca="false">'Cash Flow'!I14</f>
        <v>4884.36062951006</v>
      </c>
    </row>
    <row r="12" customFormat="false" ht="15" hidden="false" customHeight="false" outlineLevel="0" collapsed="false">
      <c r="A12" s="3" t="s">
        <v>182</v>
      </c>
      <c r="B12" s="25" t="n">
        <f aca="false">'Balance Sheet'!B12</f>
        <v>8608.2</v>
      </c>
      <c r="C12" s="25" t="n">
        <f aca="false">'Balance Sheet'!C12</f>
        <v>13634</v>
      </c>
      <c r="D12" s="25" t="n">
        <f aca="false">'Balance Sheet'!D12</f>
        <v>18486.3</v>
      </c>
      <c r="E12" s="25" t="n">
        <f aca="false">'Balance Sheet'!E12</f>
        <v>22380.038472</v>
      </c>
      <c r="F12" s="25" t="n">
        <f aca="false">'Balance Sheet'!F12</f>
        <v>26582.46007584</v>
      </c>
      <c r="G12" s="25" t="n">
        <f aca="false">'Balance Sheet'!G12</f>
        <v>30586.0641186</v>
      </c>
      <c r="H12" s="25" t="n">
        <f aca="false">'Balance Sheet'!H12</f>
        <v>34390.6746455083</v>
      </c>
      <c r="I12" s="25" t="n">
        <f aca="false">'Balance Sheet'!I12</f>
        <v>40450.033920658</v>
      </c>
    </row>
    <row r="13" customFormat="false" ht="15" hidden="false" customHeight="false" outlineLevel="0" collapsed="false">
      <c r="A13" s="3" t="s">
        <v>183</v>
      </c>
      <c r="B13" s="25" t="n">
        <f aca="false">'Balance Sheet'!B13</f>
        <v>4249.8</v>
      </c>
      <c r="C13" s="25" t="n">
        <f aca="false">'Balance Sheet'!C13</f>
        <v>6339.3</v>
      </c>
      <c r="D13" s="25" t="n">
        <f aca="false">'Balance Sheet'!D13</f>
        <v>8032.5</v>
      </c>
      <c r="E13" s="25" t="n">
        <f aca="false">'Balance Sheet'!E13</f>
        <v>10280.00722176</v>
      </c>
      <c r="F13" s="25" t="n">
        <f aca="false">'Balance Sheet'!F13</f>
        <v>13301.0641967584</v>
      </c>
      <c r="G13" s="25" t="n">
        <f aca="false">'Balance Sheet'!G13</f>
        <v>17173.6189393264</v>
      </c>
      <c r="H13" s="25" t="n">
        <f aca="false">'Balance Sheet'!H13</f>
        <v>21951.7721185197</v>
      </c>
      <c r="I13" s="25" t="n">
        <f aca="false">'Balance Sheet'!I13</f>
        <v>27486.0950904307</v>
      </c>
    </row>
    <row r="14" customFormat="false" ht="15" hidden="false" customHeight="false" outlineLevel="0" collapsed="false">
      <c r="A14" s="3" t="s">
        <v>184</v>
      </c>
      <c r="B14" s="25" t="n">
        <f aca="false">'Balance Sheet'!B14</f>
        <v>1301</v>
      </c>
      <c r="C14" s="25" t="n">
        <f aca="false">'Balance Sheet'!C14</f>
        <v>3759.1</v>
      </c>
      <c r="D14" s="25" t="n">
        <f aca="false">'Balance Sheet'!D14</f>
        <v>7051.5</v>
      </c>
      <c r="E14" s="25" t="n">
        <f aca="false">'Balance Sheet'!E14</f>
        <v>8234.61574624</v>
      </c>
      <c r="F14" s="25" t="n">
        <f aca="false">'Balance Sheet'!F14</f>
        <v>8902.38358436159</v>
      </c>
      <c r="G14" s="25" t="n">
        <f aca="false">'Balance Sheet'!G14</f>
        <v>8528.39604034559</v>
      </c>
      <c r="H14" s="25" t="n">
        <f aca="false">'Balance Sheet'!H14</f>
        <v>7051.5</v>
      </c>
      <c r="I14" s="25" t="n">
        <f aca="false">'Balance Sheet'!I14</f>
        <v>7051.5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1"/>
  </cols>
  <sheetData>
    <row r="1" customFormat="false" ht="16.15" hidden="false" customHeight="false" outlineLevel="0" collapsed="false">
      <c r="A1" s="1" t="s">
        <v>213</v>
      </c>
    </row>
    <row r="2" customFormat="false" ht="15" hidden="false" customHeight="false" outlineLevel="0" collapsed="false">
      <c r="A2" s="6" t="s">
        <v>214</v>
      </c>
    </row>
    <row r="3" customFormat="false" ht="15" hidden="false" customHeight="false" outlineLevel="0" collapsed="false">
      <c r="A3" s="11" t="s">
        <v>215</v>
      </c>
    </row>
    <row r="4" customFormat="false" ht="15" hidden="false" customHeight="false" outlineLevel="0" collapsed="false">
      <c r="B4" s="7" t="s">
        <v>216</v>
      </c>
      <c r="C4" s="7" t="s">
        <v>217</v>
      </c>
      <c r="D4" s="7" t="s">
        <v>218</v>
      </c>
      <c r="E4" s="7" t="s">
        <v>219</v>
      </c>
      <c r="F4" s="7" t="s">
        <v>220</v>
      </c>
    </row>
    <row r="5" customFormat="false" ht="15" hidden="false" customHeight="false" outlineLevel="0" collapsed="false">
      <c r="A5" s="3" t="s">
        <v>221</v>
      </c>
      <c r="B5" s="36" t="n">
        <v>26.0419241899849</v>
      </c>
      <c r="C5" s="36" t="n">
        <v>28.9229937204938</v>
      </c>
      <c r="D5" s="36" t="n">
        <v>30.6689417662799</v>
      </c>
      <c r="E5" s="36" t="n">
        <v>32.5375227943747</v>
      </c>
      <c r="F5" s="36" t="n">
        <v>36.1548287748352</v>
      </c>
    </row>
    <row r="6" customFormat="false" ht="15" hidden="false" customHeight="false" outlineLevel="0" collapsed="false">
      <c r="A6" s="3" t="s">
        <v>222</v>
      </c>
      <c r="B6" s="36" t="n">
        <v>24.1681812175404</v>
      </c>
      <c r="C6" s="36" t="n">
        <v>28.9644071396521</v>
      </c>
      <c r="D6" s="36" t="n">
        <v>32.0723833533738</v>
      </c>
      <c r="E6" s="36" t="n">
        <v>35.4611747073337</v>
      </c>
      <c r="F6" s="36" t="n">
        <v>42.6297718197159</v>
      </c>
    </row>
    <row r="8" customFormat="false" ht="15" hidden="false" customHeight="false" outlineLevel="0" collapsed="false">
      <c r="A8" s="3" t="s">
        <v>223</v>
      </c>
      <c r="D8" s="9" t="n">
        <f aca="false">Assumptions!$B$49</f>
        <v>0.373501065201583</v>
      </c>
    </row>
    <row r="9" customFormat="false" ht="15" hidden="false" customHeight="false" outlineLevel="0" collapsed="false">
      <c r="A9" s="3" t="s">
        <v>224</v>
      </c>
      <c r="D9" s="9" t="n">
        <f aca="false">Assumptions!$B$50</f>
        <v>0.0867512578131524</v>
      </c>
    </row>
    <row r="10" customFormat="false" ht="15" hidden="false" customHeight="false" outlineLevel="0" collapsed="false">
      <c r="A10" s="3" t="s">
        <v>225</v>
      </c>
      <c r="D10" s="8" t="n">
        <f aca="false">Assumptions!$B$4</f>
        <v>29.99</v>
      </c>
    </row>
    <row r="12" customFormat="false" ht="15" hidden="false" customHeight="false" outlineLevel="0" collapsed="false">
      <c r="A12" s="11" t="s">
        <v>226</v>
      </c>
    </row>
    <row r="13" customFormat="false" ht="15" hidden="false" customHeight="false" outlineLevel="0" collapsed="false">
      <c r="B13" s="7" t="s">
        <v>227</v>
      </c>
      <c r="C13" s="7" t="s">
        <v>228</v>
      </c>
    </row>
    <row r="14" customFormat="false" ht="15" hidden="false" customHeight="false" outlineLevel="0" collapsed="false">
      <c r="A14" s="36" t="n">
        <v>40</v>
      </c>
      <c r="B14" s="9" t="n">
        <v>0.017</v>
      </c>
      <c r="C14" s="9" t="n">
        <v>0.136</v>
      </c>
    </row>
    <row r="15" customFormat="false" ht="15" hidden="false" customHeight="false" outlineLevel="0" collapsed="false">
      <c r="A15" s="36" t="n">
        <v>38</v>
      </c>
      <c r="B15" s="9" t="n">
        <v>0.035</v>
      </c>
      <c r="C15" s="9" t="n">
        <v>0.216</v>
      </c>
    </row>
    <row r="16" customFormat="false" ht="15" hidden="false" customHeight="false" outlineLevel="0" collapsed="false">
      <c r="A16" s="36" t="n">
        <v>36</v>
      </c>
      <c r="B16" s="9" t="n">
        <v>0.08</v>
      </c>
      <c r="C16" s="9" t="n">
        <v>0.339</v>
      </c>
    </row>
    <row r="17" customFormat="false" ht="15" hidden="false" customHeight="false" outlineLevel="0" collapsed="false">
      <c r="A17" s="36" t="n">
        <v>34</v>
      </c>
      <c r="B17" s="9" t="n">
        <v>0.197</v>
      </c>
      <c r="C17" s="9" t="n">
        <v>0.522</v>
      </c>
    </row>
    <row r="18" customFormat="false" ht="15" hidden="false" customHeight="false" outlineLevel="0" collapsed="false">
      <c r="A18" s="36" t="n">
        <v>32</v>
      </c>
      <c r="B18" s="9" t="n">
        <v>0.475</v>
      </c>
      <c r="C18" s="9" t="n">
        <v>0.75</v>
      </c>
    </row>
    <row r="19" customFormat="false" ht="15" hidden="false" customHeight="false" outlineLevel="0" collapsed="false">
      <c r="A19" s="36" t="n">
        <v>30</v>
      </c>
      <c r="B19" s="9" t="n">
        <v>0.906</v>
      </c>
      <c r="C19" s="9" t="n">
        <v>0.961</v>
      </c>
    </row>
    <row r="20" customFormat="false" ht="15" hidden="false" customHeight="false" outlineLevel="0" collapsed="false">
      <c r="A20" s="36" t="n">
        <v>28</v>
      </c>
      <c r="B20" s="9" t="n">
        <v>0.295</v>
      </c>
      <c r="C20" s="9" t="n">
        <v>0.457</v>
      </c>
    </row>
    <row r="21" customFormat="false" ht="15" hidden="false" customHeight="false" outlineLevel="0" collapsed="false">
      <c r="A21" s="36" t="n">
        <v>26</v>
      </c>
      <c r="B21" s="9" t="n">
        <v>0.085</v>
      </c>
      <c r="C21" s="9" t="n">
        <v>0.215</v>
      </c>
    </row>
    <row r="22" customFormat="false" ht="15" hidden="false" customHeight="false" outlineLevel="0" collapsed="false">
      <c r="A22" s="36" t="n">
        <v>24</v>
      </c>
      <c r="B22" s="9" t="n">
        <v>0.025</v>
      </c>
      <c r="C22" s="9" t="n">
        <v>0.098</v>
      </c>
    </row>
    <row r="24" customFormat="false" ht="15" hidden="false" customHeight="false" outlineLevel="0" collapsed="false">
      <c r="A24" s="24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1"/>
  </cols>
  <sheetData>
    <row r="1" customFormat="false" ht="16.15" hidden="false" customHeight="false" outlineLevel="0" collapsed="false">
      <c r="A1" s="1" t="s">
        <v>230</v>
      </c>
    </row>
    <row r="2" customFormat="false" ht="15" hidden="false" customHeight="false" outlineLevel="0" collapsed="false">
      <c r="A2" s="6" t="s">
        <v>231</v>
      </c>
    </row>
    <row r="3" customFormat="false" ht="15" hidden="false" customHeight="false" outlineLevel="0" collapsed="false">
      <c r="A3" s="3" t="s">
        <v>232</v>
      </c>
    </row>
    <row r="4" customFormat="false" ht="15" hidden="false" customHeight="false" outlineLevel="0" collapsed="false">
      <c r="A4" s="11" t="s">
        <v>233</v>
      </c>
      <c r="B4" s="7" t="s">
        <v>234</v>
      </c>
      <c r="C4" s="7" t="s">
        <v>235</v>
      </c>
      <c r="D4" s="7" t="s">
        <v>236</v>
      </c>
      <c r="E4" s="7" t="s">
        <v>237</v>
      </c>
      <c r="F4" s="7" t="s">
        <v>238</v>
      </c>
    </row>
    <row r="5" customFormat="false" ht="15" hidden="false" customHeight="false" outlineLevel="0" collapsed="false">
      <c r="A5" s="20" t="n">
        <v>0.175</v>
      </c>
      <c r="B5" s="8" t="n">
        <f aca="false">((DCF!E9/(1+$A5)^1+DCF!F9/(1+$A5)^2+DCF!G9/(1+$A5)^3+DCF!H9/(1+$A5)^4+DCF!I9/(1+$A5)^5)+(DCF!I9*(1+0.1)/($A5-0.1)/(1+$A5)^5)-Assumptions!$B$7)/Assumptions!$B$6</f>
        <v>26.2508047193735</v>
      </c>
      <c r="C5" s="8" t="n">
        <f aca="false">((DCF!E9/(1+$A5)^1+DCF!F9/(1+$A5)^2+DCF!G9/(1+$A5)^3+DCF!H9/(1+$A5)^4+DCF!I9/(1+$A5)^5)+(DCF!I9*(1+0.11)/($A5-0.11)/(1+$A5)^5)-Assumptions!$B$7)/Assumptions!$B$6</f>
        <v>30.5118126412346</v>
      </c>
      <c r="D5" s="8" t="n">
        <f aca="false">((DCF!E9/(1+$A5)^1+DCF!F9/(1+$A5)^2+DCF!G9/(1+$A5)^3+DCF!H9/(1+$A5)^4+DCF!I9/(1+$A5)^5)+(DCF!I9*(1+0.12)/($A5-0.12)/(1+$A5)^5)-Assumptions!$B$7)/Assumptions!$B$6</f>
        <v>36.322277989227</v>
      </c>
      <c r="E5" s="8" t="n">
        <f aca="false">((DCF!E9/(1+$A5)^1+DCF!F9/(1+$A5)^2+DCF!G9/(1+$A5)^3+DCF!H9/(1+$A5)^4+DCF!I9/(1+$A5)^5)+(DCF!I9*(1+0.13)/($A5-0.13)/(1+$A5)^5)-Assumptions!$B$7)/Assumptions!$B$6</f>
        <v>44.7151723807717</v>
      </c>
      <c r="F5" s="8" t="n">
        <f aca="false">((DCF!E9/(1+$A5)^1+DCF!F9/(1+$A5)^2+DCF!G9/(1+$A5)^3+DCF!H9/(1+$A5)^4+DCF!I9/(1+$A5)^5)+(DCF!I9*(1+0.14)/($A5-0.14)/(1+$A5)^5)-Assumptions!$B$7)/Assumptions!$B$6</f>
        <v>57.9040064246276</v>
      </c>
    </row>
    <row r="6" customFormat="false" ht="15" hidden="false" customHeight="false" outlineLevel="0" collapsed="false">
      <c r="A6" s="20" t="n">
        <v>0.19</v>
      </c>
      <c r="B6" s="8" t="n">
        <f aca="false">((DCF!E9/(1+$A6)^1+DCF!F9/(1+$A6)^2+DCF!G9/(1+$A6)^3+DCF!H9/(1+$A6)^4+DCF!I9/(1+$A6)^5)+(DCF!I9*(1+0.1)/($A6-0.1)/(1+$A6)^5)-Assumptions!$B$7)/Assumptions!$B$6</f>
        <v>20.3494623510958</v>
      </c>
      <c r="C6" s="8" t="n">
        <f aca="false">((DCF!E9/(1+$A6)^1+DCF!F9/(1+$A6)^2+DCF!G9/(1+$A6)^3+DCF!H9/(1+$A6)^4+DCF!I9/(1+$A6)^5)+(DCF!I9*(1+0.11)/($A6-0.11)/(1+$A6)^5)-Assumptions!$B$7)/Assumptions!$B$6</f>
        <v>23.0917820673281</v>
      </c>
      <c r="D6" s="8" t="n">
        <f aca="false">((DCF!E9/(1+$A6)^1+DCF!F9/(1+$A6)^2+DCF!G9/(1+$A6)^3+DCF!H9/(1+$A6)^4+DCF!I9/(1+$A6)^5)+(DCF!I9*(1+0.12)/($A6-0.12)/(1+$A6)^5)-Assumptions!$B$7)/Assumptions!$B$6</f>
        <v>26.6176217024838</v>
      </c>
      <c r="E6" s="8" t="n">
        <f aca="false">((DCF!E9/(1+$A6)^1+DCF!F9/(1+$A6)^2+DCF!G9/(1+$A6)^3+DCF!H9/(1+$A6)^4+DCF!I9/(1+$A6)^5)+(DCF!I9*(1+0.13)/($A6-0.13)/(1+$A6)^5)-Assumptions!$B$7)/Assumptions!$B$6</f>
        <v>31.3187412160248</v>
      </c>
      <c r="F6" s="8" t="n">
        <f aca="false">((DCF!E9/(1+$A6)^1+DCF!F9/(1+$A6)^2+DCF!G9/(1+$A6)^3+DCF!H9/(1+$A6)^4+DCF!I9/(1+$A6)^5)+(DCF!I9*(1+0.14)/($A6-0.14)/(1+$A6)^5)-Assumptions!$B$7)/Assumptions!$B$6</f>
        <v>37.9003085349822</v>
      </c>
    </row>
    <row r="7" customFormat="false" ht="15" hidden="false" customHeight="false" outlineLevel="0" collapsed="false">
      <c r="A7" s="20" t="n">
        <v>0.205</v>
      </c>
      <c r="B7" s="8" t="n">
        <f aca="false">((DCF!E9/(1+$A7)^1+DCF!F9/(1+$A7)^2+DCF!G9/(1+$A7)^3+DCF!H9/(1+$A7)^4+DCF!I9/(1+$A7)^5)+(DCF!I9*(1+0.1)/($A7-0.1)/(1+$A7)^5)-Assumptions!$B$7)/Assumptions!$B$6</f>
        <v>16.1608130834746</v>
      </c>
      <c r="C7" s="8" t="n">
        <f aca="false">((DCF!E9/(1+$A7)^1+DCF!F9/(1+$A7)^2+DCF!G9/(1+$A7)^3+DCF!H9/(1+$A7)^4+DCF!I9/(1+$A7)^5)+(DCF!I9*(1+0.11)/($A7-0.11)/(1+$A7)^5)-Assumptions!$B$7)/Assumptions!$B$6</f>
        <v>18.0434966686818</v>
      </c>
      <c r="D7" s="8" t="n">
        <f aca="false">((DCF!E9/(1+$A7)^1+DCF!F9/(1+$A7)^2+DCF!G9/(1+$A7)^3+DCF!H9/(1+$A7)^4+DCF!I9/(1+$A7)^5)+(DCF!I9*(1+0.12)/($A7-0.12)/(1+$A7)^5)-Assumptions!$B$7)/Assumptions!$B$6</f>
        <v>20.3691646268788</v>
      </c>
      <c r="E7" s="8" t="n">
        <f aca="false">((DCF!E9/(1+$A7)^1+DCF!F9/(1+$A7)^2+DCF!G9/(1+$A7)^3+DCF!H9/(1+$A7)^4+DCF!I9/(1+$A7)^5)+(DCF!I9*(1+0.13)/($A7-0.13)/(1+$A7)^5)-Assumptions!$B$7)/Assumptions!$B$6</f>
        <v>23.3150107072618</v>
      </c>
      <c r="F7" s="8" t="n">
        <f aca="false">((DCF!E9/(1+$A7)^1+DCF!F9/(1+$A7)^2+DCF!G9/(1+$A7)^3+DCF!H9/(1+$A7)^4+DCF!I9/(1+$A7)^5)+(DCF!I9*(1+0.14)/($A7-0.14)/(1+$A7)^5)-Assumptions!$B$7)/Assumptions!$B$6</f>
        <v>27.1672709662241</v>
      </c>
    </row>
    <row r="8" customFormat="false" ht="15" hidden="false" customHeight="false" outlineLevel="0" collapsed="false">
      <c r="A8" s="20" t="n">
        <v>0.22</v>
      </c>
      <c r="B8" s="8" t="n">
        <f aca="false">((DCF!E9/(1+$A8)^1+DCF!F9/(1+$A8)^2+DCF!G9/(1+$A8)^3+DCF!H9/(1+$A8)^4+DCF!I9/(1+$A8)^5)+(DCF!I9*(1+0.1)/($A8-0.1)/(1+$A8)^5)-Assumptions!$B$7)/Assumptions!$B$6</f>
        <v>13.0411992894988</v>
      </c>
      <c r="C8" s="8" t="n">
        <f aca="false">((DCF!E9/(1+$A8)^1+DCF!F9/(1+$A8)^2+DCF!G9/(1+$A8)^3+DCF!H9/(1+$A8)^4+DCF!I9/(1+$A8)^5)+(DCF!I9*(1+0.11)/($A8-0.11)/(1+$A8)^5)-Assumptions!$B$7)/Assumptions!$B$6</f>
        <v>14.3952195853563</v>
      </c>
      <c r="D8" s="8" t="n">
        <f aca="false">((DCF!E9/(1+$A8)^1+DCF!F9/(1+$A8)^2+DCF!G9/(1+$A8)^3+DCF!H9/(1+$A8)^4+DCF!I9/(1+$A8)^5)+(DCF!I9*(1+0.12)/($A8-0.12)/(1+$A8)^5)-Assumptions!$B$7)/Assumptions!$B$6</f>
        <v>16.0200439403853</v>
      </c>
      <c r="E8" s="8" t="n">
        <f aca="false">((DCF!E9/(1+$A8)^1+DCF!F9/(1+$A8)^2+DCF!G9/(1+$A8)^3+DCF!H9/(1+$A8)^4+DCF!I9/(1+$A8)^5)+(DCF!I9*(1+0.13)/($A8-0.13)/(1+$A8)^5)-Assumptions!$B$7)/Assumptions!$B$6</f>
        <v>18.0059403743096</v>
      </c>
      <c r="F8" s="8" t="n">
        <f aca="false">((DCF!E9/(1+$A8)^1+DCF!F9/(1+$A8)^2+DCF!G9/(1+$A8)^3+DCF!H9/(1+$A8)^4+DCF!I9/(1+$A8)^5)+(DCF!I9*(1+0.14)/($A8-0.14)/(1+$A8)^5)-Assumptions!$B$7)/Assumptions!$B$6</f>
        <v>20.488310916715</v>
      </c>
    </row>
    <row r="10" customFormat="false" ht="15" hidden="false" customHeight="false" outlineLevel="0" collapsed="false">
      <c r="A10" s="24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1.5"/>
  </cols>
  <sheetData>
    <row r="1" customFormat="false" ht="16.15" hidden="false" customHeight="false" outlineLevel="0" collapsed="false">
      <c r="A1" s="1" t="s">
        <v>240</v>
      </c>
    </row>
    <row r="2" customFormat="false" ht="15" hidden="false" customHeight="false" outlineLevel="0" collapsed="false">
      <c r="A2" s="6" t="s">
        <v>241</v>
      </c>
    </row>
    <row r="3" customFormat="false" ht="15" hidden="false" customHeight="false" outlineLevel="0" collapsed="false">
      <c r="B3" s="7" t="s">
        <v>150</v>
      </c>
      <c r="C3" s="7" t="s">
        <v>151</v>
      </c>
      <c r="D3" s="7" t="s">
        <v>152</v>
      </c>
      <c r="E3" s="7" t="s">
        <v>55</v>
      </c>
      <c r="F3" s="7" t="s">
        <v>56</v>
      </c>
      <c r="G3" s="7" t="s">
        <v>57</v>
      </c>
      <c r="H3" s="7" t="s">
        <v>58</v>
      </c>
      <c r="I3" s="7" t="s">
        <v>59</v>
      </c>
    </row>
    <row r="4" customFormat="false" ht="15" hidden="false" customHeight="false" outlineLevel="0" collapsed="false">
      <c r="A4" s="3" t="s">
        <v>171</v>
      </c>
      <c r="B4" s="8" t="n">
        <f aca="false">'Income Statement'!B23</f>
        <v>0.868061456881608</v>
      </c>
      <c r="C4" s="8" t="n">
        <f aca="false">'Income Statement'!C23</f>
        <v>2.3244331894354</v>
      </c>
      <c r="D4" s="8" t="n">
        <f aca="false">'Income Statement'!D23</f>
        <v>1.62310071722357</v>
      </c>
      <c r="E4" s="8" t="n">
        <f aca="false">'Income Statement'!E23</f>
        <v>2.38738912539515</v>
      </c>
      <c r="F4" s="8" t="n">
        <f aca="false">'Income Statement'!F23</f>
        <v>3.20908360136986</v>
      </c>
      <c r="G4" s="8" t="n">
        <f aca="false">'Income Statement'!G23</f>
        <v>4.11357747391992</v>
      </c>
      <c r="H4" s="8" t="n">
        <f aca="false">'Income Statement'!H23</f>
        <v>5.07553917025695</v>
      </c>
      <c r="I4" s="8" t="n">
        <f aca="false">'Income Statement'!I23</f>
        <v>5.8787719797485</v>
      </c>
    </row>
    <row r="5" customFormat="false" ht="15" hidden="false" customHeight="false" outlineLevel="0" collapsed="false">
      <c r="A5" s="3" t="s">
        <v>242</v>
      </c>
      <c r="B5" s="28" t="n">
        <f aca="false">Assumptions!$B$4/B4</f>
        <v>34.5482451297112</v>
      </c>
      <c r="C5" s="28" t="n">
        <f aca="false">Assumptions!$B$4/C4</f>
        <v>12.9020701202793</v>
      </c>
      <c r="D5" s="28" t="n">
        <f aca="false">Assumptions!$B$4/D4</f>
        <v>18.4769803141361</v>
      </c>
      <c r="E5" s="28" t="n">
        <f aca="false">Assumptions!$B$4/E4</f>
        <v>12.5618399116383</v>
      </c>
      <c r="F5" s="28" t="n">
        <f aca="false">Assumptions!$B$4/F4</f>
        <v>9.34534706020066</v>
      </c>
      <c r="G5" s="28" t="n">
        <f aca="false">Assumptions!$B$4/G4</f>
        <v>7.29049110904964</v>
      </c>
      <c r="H5" s="28" t="n">
        <f aca="false">Assumptions!$B$4/H4</f>
        <v>5.90873185961083</v>
      </c>
      <c r="I5" s="28" t="n">
        <f aca="false">Assumptions!$B$4/I4</f>
        <v>5.10140554920502</v>
      </c>
    </row>
    <row r="6" customFormat="false" ht="15" hidden="false" customHeight="false" outlineLevel="0" collapsed="false">
      <c r="A6" s="3" t="s">
        <v>243</v>
      </c>
      <c r="B6" s="28" t="n">
        <f aca="false">(Assumptions!$B$4*Assumptions!$B$6+Assumptions!$B$7)/'Income Statement'!B14</f>
        <v>19.3430706180249</v>
      </c>
      <c r="C6" s="28" t="n">
        <f aca="false">(Assumptions!$B$4*Assumptions!$B$6+Assumptions!$B$7)/'Income Statement'!C14</f>
        <v>8.11596836327149</v>
      </c>
      <c r="D6" s="28" t="n">
        <f aca="false">(Assumptions!$B$4*Assumptions!$B$6+Assumptions!$B$7)/'Income Statement'!D14</f>
        <v>10.0727742534124</v>
      </c>
      <c r="E6" s="28" t="n">
        <f aca="false">(Assumptions!$B$4*Assumptions!$B$6+Assumptions!$B$7)/'Income Statement'!E14</f>
        <v>7.27525014929145</v>
      </c>
      <c r="F6" s="28" t="n">
        <f aca="false">(Assumptions!$B$4*Assumptions!$B$6+Assumptions!$B$7)/'Income Statement'!F14</f>
        <v>5.86286665873024</v>
      </c>
      <c r="G6" s="28" t="n">
        <f aca="false">(Assumptions!$B$4*Assumptions!$B$6+Assumptions!$B$7)/'Income Statement'!G14</f>
        <v>4.85963521674564</v>
      </c>
      <c r="H6" s="28" t="n">
        <f aca="false">(Assumptions!$B$4*Assumptions!$B$6+Assumptions!$B$7)/'Income Statement'!H14</f>
        <v>4.10835824424534</v>
      </c>
      <c r="I6" s="28" t="n">
        <f aca="false">(Assumptions!$B$4*Assumptions!$B$6+Assumptions!$B$7)/'Income Statement'!I14</f>
        <v>3.62764466120716</v>
      </c>
    </row>
    <row r="7" customFormat="false" ht="15" hidden="false" customHeight="false" outlineLevel="0" collapsed="false">
      <c r="A7" s="3" t="s">
        <v>244</v>
      </c>
      <c r="B7" s="28" t="n">
        <f aca="false">'Balance Sheet'!B14/'Income Statement'!B14-'Cash Flow'!B17/'Income Statement'!B14</f>
        <v>0.0972990715558474</v>
      </c>
      <c r="C7" s="28" t="n">
        <f aca="false">'Balance Sheet'!C14/'Income Statement'!C14-'Cash Flow'!C17/'Income Statement'!C14</f>
        <v>0.383241190705728</v>
      </c>
      <c r="D7" s="28" t="n">
        <f aca="false">'Balance Sheet'!D14/'Income Statement'!D14-'Cash Flow'!D17/'Income Statement'!D14</f>
        <v>1.45525358337606</v>
      </c>
      <c r="E7" s="28" t="n">
        <f aca="false">'Balance Sheet'!E14/'Income Statement'!E14-'Cash Flow'!E17/'Income Statement'!E14</f>
        <v>1.31120813639945</v>
      </c>
      <c r="F7" s="28" t="n">
        <f aca="false">'Balance Sheet'!F14/'Income Statement'!F14-'Cash Flow'!F17/'Income Statement'!F14</f>
        <v>1.15156377451045</v>
      </c>
      <c r="G7" s="28" t="n">
        <f aca="false">'Balance Sheet'!G14/'Income Statement'!G14-'Cash Flow'!G17/'Income Statement'!G14</f>
        <v>0.910454439114135</v>
      </c>
      <c r="H7" s="28" t="n">
        <f aca="false">'Balance Sheet'!H14/'Income Statement'!H14-'Cash Flow'!H17/'Income Statement'!H14</f>
        <v>0.610630968111228</v>
      </c>
      <c r="I7" s="28" t="n">
        <f aca="false">'Balance Sheet'!I14/'Income Statement'!I14-'Cash Flow'!I17/'Income Statement'!I14</f>
        <v>0.319261509850525</v>
      </c>
    </row>
    <row r="8" customFormat="false" ht="15" hidden="false" customHeight="false" outlineLevel="0" collapsed="false">
      <c r="A8" s="3" t="s">
        <v>245</v>
      </c>
      <c r="B8" s="9" t="n">
        <f aca="false">'Income Statement'!B21/'Balance Sheet'!B13</f>
        <v>0.240364252435409</v>
      </c>
      <c r="C8" s="9" t="n">
        <f aca="false">'Income Statement'!C21/'Balance Sheet'!C13</f>
        <v>0.43148297130598</v>
      </c>
      <c r="D8" s="9" t="n">
        <f aca="false">'Income Statement'!D21/'Balance Sheet'!D13</f>
        <v>0.237784002489885</v>
      </c>
      <c r="E8" s="9" t="n">
        <f aca="false">'Income Statement'!E21/'Balance Sheet'!E13</f>
        <v>0.273286191983727</v>
      </c>
      <c r="F8" s="9" t="n">
        <f aca="false">'Income Statement'!F21/'Balance Sheet'!F13</f>
        <v>0.28391120912478</v>
      </c>
      <c r="G8" s="9" t="n">
        <f aca="false">'Income Statement'!G21/'Balance Sheet'!G13</f>
        <v>0.281867988646537</v>
      </c>
      <c r="H8" s="9" t="n">
        <f aca="false">'Income Statement'!H21/'Balance Sheet'!H13</f>
        <v>0.272082428778162</v>
      </c>
      <c r="I8" s="9" t="n">
        <f aca="false">'Income Statement'!I21/'Balance Sheet'!I13</f>
        <v>0.25168739655919</v>
      </c>
    </row>
    <row r="9" customFormat="false" ht="15" hidden="false" customHeight="false" outlineLevel="0" collapsed="false">
      <c r="A9" s="3" t="s">
        <v>246</v>
      </c>
      <c r="B9" s="9" t="n">
        <f aca="false">'Income Statement'!B15</f>
        <v>0.137266513046948</v>
      </c>
      <c r="C9" s="9" t="n">
        <f aca="false">'Income Statement'!C15</f>
        <v>0.209142231695374</v>
      </c>
      <c r="D9" s="9" t="n">
        <f aca="false">'Income Statement'!D15</f>
        <v>0.136581022131508</v>
      </c>
      <c r="E9" s="9" t="n">
        <f aca="false">'Income Statement'!E15</f>
        <v>0.155</v>
      </c>
      <c r="F9" s="9" t="n">
        <f aca="false">'Income Statement'!F15</f>
        <v>0.163</v>
      </c>
      <c r="G9" s="9" t="n">
        <f aca="false">'Income Statement'!G15</f>
        <v>0.171</v>
      </c>
      <c r="H9" s="9" t="n">
        <f aca="false">'Income Statement'!H15</f>
        <v>0.179</v>
      </c>
      <c r="I9" s="9" t="n">
        <f aca="false">'Income Statement'!I15</f>
        <v>0.181</v>
      </c>
    </row>
    <row r="11" customFormat="false" ht="15" hidden="false" customHeight="false" outlineLevel="0" collapsed="false">
      <c r="A11" s="24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4"/>
  </cols>
  <sheetData>
    <row r="1" customFormat="false" ht="16.15" hidden="false" customHeight="false" outlineLevel="0" collapsed="false">
      <c r="A1" s="1" t="s">
        <v>248</v>
      </c>
    </row>
    <row r="2" customFormat="false" ht="15" hidden="false" customHeight="false" outlineLevel="0" collapsed="false">
      <c r="A2" s="6" t="s">
        <v>249</v>
      </c>
    </row>
    <row r="3" customFormat="false" ht="15" hidden="false" customHeight="false" outlineLevel="0" collapsed="false">
      <c r="B3" s="7" t="s">
        <v>250</v>
      </c>
      <c r="C3" s="7" t="s">
        <v>251</v>
      </c>
      <c r="D3" s="7" t="s">
        <v>252</v>
      </c>
    </row>
    <row r="4" customFormat="false" ht="15" hidden="false" customHeight="false" outlineLevel="0" collapsed="false">
      <c r="A4" s="3" t="s">
        <v>253</v>
      </c>
      <c r="B4" s="21" t="n">
        <v>11.4</v>
      </c>
      <c r="C4" s="21" t="n">
        <v>6.5</v>
      </c>
      <c r="D4" s="5" t="s">
        <v>254</v>
      </c>
    </row>
    <row r="5" customFormat="false" ht="15" hidden="false" customHeight="false" outlineLevel="0" collapsed="false">
      <c r="A5" s="3" t="s">
        <v>255</v>
      </c>
      <c r="B5" s="21" t="n">
        <v>11</v>
      </c>
      <c r="C5" s="21" t="n">
        <v>7.5</v>
      </c>
      <c r="D5" s="5" t="s">
        <v>256</v>
      </c>
    </row>
    <row r="6" customFormat="false" ht="15" hidden="false" customHeight="false" outlineLevel="0" collapsed="false">
      <c r="A6" s="3" t="s">
        <v>257</v>
      </c>
      <c r="B6" s="21" t="n">
        <v>12</v>
      </c>
      <c r="C6" s="21" t="n">
        <v>7</v>
      </c>
      <c r="D6" s="5" t="s">
        <v>258</v>
      </c>
    </row>
    <row r="7" customFormat="false" ht="15" hidden="false" customHeight="false" outlineLevel="0" collapsed="false">
      <c r="A7" s="3" t="s">
        <v>259</v>
      </c>
      <c r="B7" s="21" t="n">
        <v>18</v>
      </c>
      <c r="C7" s="21" t="n">
        <v>12</v>
      </c>
      <c r="D7" s="5" t="s">
        <v>260</v>
      </c>
    </row>
    <row r="8" customFormat="false" ht="15" hidden="false" customHeight="false" outlineLevel="0" collapsed="false">
      <c r="A8" s="3" t="s">
        <v>261</v>
      </c>
      <c r="B8" s="21" t="n">
        <v>14</v>
      </c>
      <c r="C8" s="21" t="n">
        <v>9</v>
      </c>
      <c r="D8" s="5" t="s">
        <v>262</v>
      </c>
    </row>
    <row r="9" customFormat="false" ht="15" hidden="false" customHeight="false" outlineLevel="0" collapsed="false">
      <c r="A9" s="11" t="s">
        <v>263</v>
      </c>
      <c r="B9" s="37" t="n">
        <f aca="false">MEDIAN(B4:B6)</f>
        <v>11.4</v>
      </c>
      <c r="C9" s="37" t="n">
        <f aca="false">MEDIAN(C4:C6)</f>
        <v>7</v>
      </c>
    </row>
    <row r="11" customFormat="false" ht="15" hidden="false" customHeight="false" outlineLevel="0" collapsed="false">
      <c r="A11" s="3" t="s">
        <v>264</v>
      </c>
      <c r="B11" s="28" t="n">
        <f aca="false">Assumptions!$B$31</f>
        <v>7</v>
      </c>
    </row>
    <row r="12" customFormat="false" ht="15" hidden="false" customHeight="false" outlineLevel="0" collapsed="false">
      <c r="A12" s="3" t="s">
        <v>265</v>
      </c>
      <c r="B12" s="28" t="n">
        <f aca="false">Assumptions!$B$32</f>
        <v>12</v>
      </c>
    </row>
    <row r="14" customFormat="false" ht="15" hidden="false" customHeight="false" outlineLevel="0" collapsed="false">
      <c r="A14" s="24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2026-07-03T03:01:20Z</dcterms:created>
  <dc:creator>openpyxl</dc:creator>
  <dc:description/>
  <dc:language>en-US</dc:language>
  <cp:lastModifiedBy/>
  <dcterms:modified xsi:type="dcterms:W3CDTF">2026-07-03T03:01:20Z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