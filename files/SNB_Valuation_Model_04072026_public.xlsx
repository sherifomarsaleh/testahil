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DDM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<sst xmlns="http://schemas.openxmlformats.org/spreadsheetml/2006/main" count="310" uniqueCount="233">
  <si>
    <t xml:space="preserve">Testahil — The Saudi National Bank (Tadawul: 1180)</t>
  </si>
  <si>
    <t xml:space="preserve">Companion model · Independent Valuation Study · Educational analysis · Not investment advice</t>
  </si>
  <si>
    <t xml:space="preserve">What this workbook is. A transparent companion to the SNB valuation study. Every blue cell is an input; every</t>
  </si>
  <si>
    <t xml:space="preserve">black cell is a formula; green cells link across sheets. All inputs live on the Assumptions sheet — change one</t>
  </si>
  <si>
    <t xml:space="preserve">(the cost of equity, the terminal payout, a growth driver)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</si>
  <si>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</si>
  <si>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</si>
  <si>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Lens. SNB is a bank, so the primary lens is a two-stage Dividend Discount Model (DDM); the DCF cross-check is a</t>
  </si>
  <si>
    <t xml:space="preserve">bank-appropriate Free-Cash-Flow-to-Equity (FCFE) build discounted at the cost of equity (FCFF/EV is not</t>
  </si>
  <si>
    <t xml:space="preserve">meaningful for a bank — leverage is its raw material). Cost of equity is published as Ke = rf + beta x ERP.</t>
  </si>
  <si>
    <t xml:space="preserve">Currency. SAR million unless stated (per-share figures in SAR). SAR pegged at 3.75/USD. Spot SAR 38.96 (2 Jul 2026).</t>
  </si>
  <si>
    <t xml:space="preserve">Historical financials are SNB disclosure (FY2024 annual; 9M-2025 reviewed statements; Q4-2024 earnings call).</t>
  </si>
  <si>
    <t xml:space="preserve">FY2025E is 9M-2025 reported actual plus a Q4 estimate — flagged on the Income Statement; forecast years are formulas.</t>
  </si>
  <si>
    <t xml:space="preserve">Sheets: Summary · Fundamental Valuation · Assumptions · DDM · Segments · Relative &amp; Normalized · DCF (FCFE) ·</t>
  </si>
  <si>
    <t xml:space="preserve">Income Statement · Balance Sheet · Cash Flow · Summary Financials · Monte Carlo · Sensitivity · Per-Share &amp; Ratios · Peer &amp; Sector.</t>
  </si>
  <si>
    <t xml:space="preserve">Valuation summary — The Saudi National Bank (Tadawul: 1180)</t>
  </si>
  <si>
    <t xml:space="preserve">Four-lens fair value vs spot. Base links live; bear/bull are scenario outputs (study §1.5).</t>
  </si>
  <si>
    <t xml:space="preserve">Bear</t>
  </si>
  <si>
    <t xml:space="preserve">Base</t>
  </si>
  <si>
    <t xml:space="preserve">Bull</t>
  </si>
  <si>
    <t xml:space="preserve">Weight</t>
  </si>
  <si>
    <t xml:space="preserve">Dividend discount (DDM)</t>
  </si>
  <si>
    <t xml:space="preserve">Discounted cash flow (FCFF)</t>
  </si>
  <si>
    <t xml:space="preserve">Relative multiples</t>
  </si>
  <si>
    <t xml:space="preserve">Justified P/B (sustainable ROE)</t>
  </si>
  <si>
    <t xml:space="preserve">Weighted central</t>
  </si>
  <si>
    <t xml:space="preserve">Spot price (SAR)</t>
  </si>
  <si>
    <t xml:space="preserve">Upside to central base</t>
  </si>
  <si>
    <t xml:space="preserve">Read: modestly undervalued; the swing factor is NIM through the SAMA easing cycle vs CASA defence, and the shrinking international (Turkiye/legacy) drag.</t>
  </si>
  <si>
    <t xml:space="preserve">Fundamental valuation — football field data</t>
  </si>
  <si>
    <t xml:space="preserve">Bear/base/bull per lens. Base links live; bear/bull are scenario outputs (study §1.5).</t>
  </si>
  <si>
    <t xml:space="preserve">Lens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</si>
  <si>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</si>
  <si>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</si>
  <si>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</si>
  <si>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</si>
  <si>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(SAR/share)</t>
  </si>
  <si>
    <t xml:space="preserve">Shares outstanding (mn)</t>
  </si>
  <si>
    <t xml:space="preserve">Risk-free rate (rf)</t>
  </si>
  <si>
    <t xml:space="preserve">Beta</t>
  </si>
  <si>
    <t xml:space="preserve">Equity risk premium (ERP)</t>
  </si>
  <si>
    <t xml:space="preserve">Cost of equity (Ke = rf + beta x ERP)</t>
  </si>
  <si>
    <t xml:space="preserve">Terminal growth (g)</t>
  </si>
  <si>
    <t xml:space="preserve">Effective zakat / tax rate</t>
  </si>
  <si>
    <t xml:space="preserve">SAMA repo (context)</t>
  </si>
  <si>
    <t xml:space="preserve">DDM &amp; CAPITAL</t>
  </si>
  <si>
    <t xml:space="preserve">Terminal payout ratio</t>
  </si>
  <si>
    <t xml:space="preserve">Sustainable ROE (terminal)</t>
  </si>
  <si>
    <t xml:space="preserve">CET1 target (FCFE capital)</t>
  </si>
  <si>
    <t xml:space="preserve">RELATIVE &amp; JUSTIFIED</t>
  </si>
  <si>
    <t xml:space="preserve">Peer P/E target (x)</t>
  </si>
  <si>
    <t xml:space="preserve">Peer P/B target (x)</t>
  </si>
  <si>
    <t xml:space="preserve">SYNTHESIS WEIGHTS</t>
  </si>
  <si>
    <t xml:space="preserve">DDM weight</t>
  </si>
  <si>
    <t xml:space="preserve">FCFE-DCF weight</t>
  </si>
  <si>
    <t xml:space="preserve">Relative weight</t>
  </si>
  <si>
    <t xml:space="preserve">Justified-P/B weight</t>
  </si>
  <si>
    <t xml:space="preserve">  Σ weights (check)</t>
  </si>
  <si>
    <t xml:space="preserve">MONTE CARLO</t>
  </si>
  <si>
    <t xml:space="preserve">Diffusion volatility (annualized)</t>
  </si>
  <si>
    <t xml:space="preserve">Net 3-month factor drift</t>
  </si>
  <si>
    <t xml:space="preserve">Innovations</t>
  </si>
  <si>
    <t xml:space="preserve">Student-t(5)</t>
  </si>
  <si>
    <t xml:space="preserve">Drift regime</t>
  </si>
  <si>
    <t xml:space="preserve">OFF (international)</t>
  </si>
  <si>
    <t xml:space="preserve">FORECAST DRIVERS (2026E–2030E)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</si>
  <si>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</si>
  <si>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</si>
  <si>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</si>
  <si>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</si>
  <si>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</si>
  <si>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Financing growth</t>
  </si>
  <si>
    <t xml:space="preserve">Investment growth</t>
  </si>
  <si>
    <t xml:space="preserve">Deposit growth</t>
  </si>
  <si>
    <t xml:space="preserve">Net interest margin (NIM)</t>
  </si>
  <si>
    <t xml:space="preserve">Non-commission income growth</t>
  </si>
  <si>
    <t xml:space="preserve">Cost-to-income ratio</t>
  </si>
  <si>
    <t xml:space="preserve">Cost of risk (bps)</t>
  </si>
  <si>
    <t xml:space="preserve">Payout ratio</t>
  </si>
  <si>
    <t xml:space="preserve">RWA growth</t>
  </si>
  <si>
    <t xml:space="preserve">AT1 sukuk coupon (SAR mn)</t>
  </si>
  <si>
    <t xml:space="preserve">Dividend discount model (primary lens)</t>
  </si>
  <si>
    <t xml:space="preserve">Two-stage DDM discounted at Ke = rf + beta x ERP. Links to Income Statement / Assumptions.</t>
  </si>
  <si>
    <t xml:space="preserve">EPS (SAR, post-AT1)</t>
  </si>
  <si>
    <t xml:space="preserve">DPS (SAR)</t>
  </si>
  <si>
    <t xml:space="preserve">Discount factor @ Ke</t>
  </si>
  <si>
    <t xml:space="preserve">PV of DPS</t>
  </si>
  <si>
    <t xml:space="preserve">Σ PV of explicit DPS (2026–30)</t>
  </si>
  <si>
    <t xml:space="preserve">Terminal DPS (2031 = 2030 x (1+g))</t>
  </si>
  <si>
    <t xml:space="preserve">Terminal value (Gordon) = TDPS/(Ke−g)</t>
  </si>
  <si>
    <t xml:space="preserve">PV of terminal value</t>
  </si>
  <si>
    <t xml:space="preserve">DDM fair value per share (SAR)</t>
  </si>
  <si>
    <t xml:space="preserve">  terminal value as % of DDM value</t>
  </si>
  <si>
    <t xml:space="preserve">Implied P/E on 2026E EPS</t>
  </si>
  <si>
    <t xml:space="preserve">Implied P/B on current common equity</t>
  </si>
  <si>
    <t xml:space="preserve">Segment view</t>
  </si>
  <si>
    <t xml:space="preserve">Operating income by segment (indicative shares applied to Income-Statement total operating income).</t>
  </si>
  <si>
    <t xml:space="preserve">2023A</t>
  </si>
  <si>
    <t xml:space="preserve">2024A</t>
  </si>
  <si>
    <t xml:space="preserve">2025E</t>
  </si>
  <si>
    <t xml:space="preserve">Retail</t>
  </si>
  <si>
    <t xml:space="preserve">Wholesale / Corporate</t>
  </si>
  <si>
    <t xml:space="preserve">Treasury (investment book)</t>
  </si>
  <si>
    <t xml:space="preserve">Capital Markets (SNB Capital)</t>
  </si>
  <si>
    <t xml:space="preserve">International (Turkiye/legacy)</t>
  </si>
  <si>
    <t xml:space="preserve">Total operating income</t>
  </si>
  <si>
    <t xml:space="preserve">Shares indicative (group operating-income mix); International runs dilutive to group NIM/RoE via IAS-29 hyperinflation (Turkiye).</t>
  </si>
  <si>
    <t xml:space="preserve">Relative multiples &amp; justified P/B (sustainable-ROE lens)</t>
  </si>
  <si>
    <t xml:space="preserve">For a bank the 'normalized-earnings' lens is a sustainable-ROE justified P/B. Links to Assumptions.</t>
  </si>
  <si>
    <t xml:space="preserve">Workings</t>
  </si>
  <si>
    <t xml:space="preserve">SAR/share</t>
  </si>
  <si>
    <t xml:space="preserve">Relative P/E</t>
  </si>
  <si>
    <t xml:space="preserve">2026E EPS x peer P/E</t>
  </si>
  <si>
    <t xml:space="preserve">Relative P/B</t>
  </si>
  <si>
    <t xml:space="preserve">current common BVPS x peer P/B</t>
  </si>
  <si>
    <t xml:space="preserve">Relative blend</t>
  </si>
  <si>
    <t xml:space="preserve">average of P/E and P/B</t>
  </si>
  <si>
    <t xml:space="preserve">Justified P/B</t>
  </si>
  <si>
    <t xml:space="preserve">(ROE−g)/(Ke−g) x forward BVPS</t>
  </si>
  <si>
    <t xml:space="preserve">  justified P/B multiple (x)</t>
  </si>
  <si>
    <t xml:space="preserve">  current common BVPS (SAR)</t>
  </si>
  <si>
    <t xml:space="preserve">Discounted cash flow — Free Cash Flow to the Firm (FCFF)</t>
  </si>
  <si>
    <t xml:space="preserve">Full waterfall: revenue → EBIT → NOPAT → FCFF, discounted at WACC (≈ Ke for a bank). EV less AT1 = equity. Links to Income Statement / Balance Sheet / Assumptions.</t>
  </si>
  <si>
    <t xml:space="preserve">Revenue (total operating income)</t>
  </si>
  <si>
    <t xml:space="preserve">EBITDA</t>
  </si>
  <si>
    <t xml:space="preserve">D&amp;A</t>
  </si>
  <si>
    <t xml:space="preserve">EBIT</t>
  </si>
  <si>
    <t xml:space="preserve">NOPAT (EBIT×(1−t))</t>
  </si>
  <si>
    <t xml:space="preserve">+ D&amp;A</t>
  </si>
  <si>
    <t xml:space="preserve">− Capex</t>
  </si>
  <si>
    <t xml:space="preserve">− Δ working capital</t>
  </si>
  <si>
    <t xml:space="preserve">Free cash flow to firm</t>
  </si>
  <si>
    <t xml:space="preserve">Discount factor</t>
  </si>
  <si>
    <t xml:space="preserve">PV of FCFF</t>
  </si>
  <si>
    <t xml:space="preserve">Σ PV of explicit FCFF (2026–30)</t>
  </si>
  <si>
    <t xml:space="preserve">Terminal FCFF (2031 = 2030 × (1+g))</t>
  </si>
  <si>
    <t xml:space="preserve">Terminal value = TFCFF/(WACC−g)</t>
  </si>
  <si>
    <t xml:space="preserve">Enterprise value (SAR mn)</t>
  </si>
  <si>
    <t xml:space="preserve">less: AT1 sukuk (debt-like)</t>
  </si>
  <si>
    <t xml:space="preserve">Equity value (SAR mn)</t>
  </si>
  <si>
    <t xml:space="preserve">DCF (FCFF) fair value per share (SAR)</t>
  </si>
  <si>
    <t xml:space="preserve">  terminal value as % of enterprise value</t>
  </si>
  <si>
    <t xml:space="preserve">WACC = cost of equity Ke (= rf + beta x ERP); for a bank WACC ≈ Ke and EV ≈ equity value (deposits are operating, not financing debt). Δ working capital carries the incremental regulatory-capital reinvestment for RWA growth. TV disclosed as % of EV (device A-7).</t>
  </si>
  <si>
    <t xml:space="preserve">Income statement (SAR mn, consolidated)</t>
  </si>
  <si>
    <t xml:space="preserve">2023A–2025E disclosed / estimated (blue); 2026E–2030E forecast (formulas linking to Assumptions)</t>
  </si>
  <si>
    <t xml:space="preserve">Net special commission income (NSCI)</t>
  </si>
  <si>
    <t xml:space="preserve">Fee &amp; other non-commission income</t>
  </si>
  <si>
    <t xml:space="preserve">Operating expenses</t>
  </si>
  <si>
    <t xml:space="preserve">Pre-provision operating profit</t>
  </si>
  <si>
    <t xml:space="preserve">Net impairment (ECL) charge</t>
  </si>
  <si>
    <t xml:space="preserve">Profit before zakat &amp; tax</t>
  </si>
  <si>
    <t xml:space="preserve">Zakat &amp; income tax</t>
  </si>
  <si>
    <t xml:space="preserve">Net income (attributable)</t>
  </si>
  <si>
    <t xml:space="preserve">AT1 sukuk coupon</t>
  </si>
  <si>
    <t xml:space="preserve">Net income to common</t>
  </si>
  <si>
    <t xml:space="preserve">Source: SNB IR / Tadawul filings — FY2024 annual, 9M-2025 reviewed statements, SNB Q4-2024 earnings call (29-Jan-2025). 2025E = 9M actual + Q4 estimate (final FY2025 audit to confirm). Forecast = formulas linking to Assumptions.</t>
  </si>
  <si>
    <t xml:space="preserve">Balance sheet (SAR mn, consolidated)</t>
  </si>
  <si>
    <t xml:space="preserve">Historical anchored to disclosed totals (blue); forecast rolls forward. Balance is a plug on Other funding.</t>
  </si>
  <si>
    <t xml:space="preserve">Net financing</t>
  </si>
  <si>
    <t xml:space="preserve">Investments (securities)</t>
  </si>
  <si>
    <t xml:space="preserve">Cash, interbank &amp; other assets</t>
  </si>
  <si>
    <t xml:space="preserve">Total assets</t>
  </si>
  <si>
    <t xml:space="preserve">Customer deposits</t>
  </si>
  <si>
    <t xml:space="preserve">Other funding &amp; liabilities (plug)</t>
  </si>
  <si>
    <t xml:space="preserve">Total equity</t>
  </si>
  <si>
    <t xml:space="preserve">Total liabilities &amp; equity</t>
  </si>
  <si>
    <t xml:space="preserve">Balance check (assets − L&amp;E)</t>
  </si>
  <si>
    <t xml:space="preserve">Risk-weighted assets (memo)</t>
  </si>
  <si>
    <t xml:space="preserve">AT1 sukuk (memo)</t>
  </si>
  <si>
    <t xml:space="preserve">Common equity (CET1 base = equity − AT1)</t>
  </si>
  <si>
    <t xml:space="preserve">Net financing / deposits (LDR)</t>
  </si>
  <si>
    <t xml:space="preserve">Capital &amp; dividend flow (SAR mn, forecast)</t>
  </si>
  <si>
    <t xml:space="preserve">Bank analogue of the cash-flow statement: capital generation, dividend capacity, and the CET1 trajectory.</t>
  </si>
  <si>
    <t xml:space="preserve">Common dividends paid</t>
  </si>
  <si>
    <t xml:space="preserve">Retained earnings</t>
  </si>
  <si>
    <t xml:space="preserve">Capital needed for RWA growth (ΔRWA x CET1 target)</t>
  </si>
  <si>
    <t xml:space="preserve">Capital surplus / (deficit)</t>
  </si>
  <si>
    <t xml:space="preserve">Common equity (CET1 base)</t>
  </si>
  <si>
    <t xml:space="preserve">CET1 ratio (common equity / RWA)</t>
  </si>
  <si>
    <t xml:space="preserve">Summary financials (SAR mn)</t>
  </si>
  <si>
    <t xml:space="preserve">Every cell links to the statement sheets.</t>
  </si>
  <si>
    <t xml:space="preserve">Risk-weighted assets</t>
  </si>
  <si>
    <t xml:space="preserve">Monte Carlo — engine outputs</t>
  </si>
  <si>
    <t xml:space="preserve">50,000 paths · YZ-HAR width · Student-t(5) · drift OFF (international) · 16 factors · seed 42 (values, not a sheet simulation).</t>
  </si>
  <si>
    <t xml:space="preserve">Percentile map (SAR/share)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</si>
  <si>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</si>
  <si>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</si>
  <si>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</si>
  <si>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</si>
  <si>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</si>
  <si>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</si>
  <si>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</si>
  <si>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</si>
  <si>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Inputs (from Assumptions)</t>
  </si>
  <si>
    <t xml:space="preserve">Innovations / drift regime</t>
  </si>
  <si>
    <t xml:space="preserve">Student-t(5) · OFF</t>
  </si>
  <si>
    <t xml:space="preserve">Level-touch ladder</t>
  </si>
  <si>
    <t xml:space="preserve">Level (SAR)</t>
  </si>
  <si>
    <t xml:space="preserve">T+20</t>
  </si>
  <si>
    <t xml:space="preserve">T+60</t>
  </si>
  <si>
    <t xml:space="preserve">DDM sensitivity — the cost-of-equity swing</t>
  </si>
  <si>
    <t xml:space="preserve">Fair value (SAR/share) by Ke x terminal growth. Live off the DDM DPS path and Assumptions.</t>
  </si>
  <si>
    <t xml:space="preserve">Ke ↓ / g →</t>
  </si>
  <si>
    <t xml:space="preserve">Cells near spot (SAR 38.96) show how much easing-cycle NIM support and payout growth are already in the price.</t>
  </si>
  <si>
    <t xml:space="preserve">Per-share &amp; ratios (the standardized dashboard)</t>
  </si>
  <si>
    <t xml:space="preserve">Links to statements / Assumptions. Bank Data-Miner panel.</t>
  </si>
  <si>
    <t xml:space="preserve">EPS (SAR)</t>
  </si>
  <si>
    <t xml:space="preserve">Book value/share (SAR, common)</t>
  </si>
  <si>
    <t xml:space="preserve">Dividend yield</t>
  </si>
  <si>
    <t xml:space="preserve">P/E (x)</t>
  </si>
  <si>
    <t xml:space="preserve">P/B (x)</t>
  </si>
  <si>
    <t xml:space="preserve">NIM</t>
  </si>
  <si>
    <t xml:space="preserve">Cost-to-income</t>
  </si>
  <si>
    <t xml:space="preserve">ROTE</t>
  </si>
  <si>
    <t xml:space="preserve">NPL ratio</t>
  </si>
  <si>
    <t xml:space="preserve">CET1 ratio</t>
  </si>
  <si>
    <t xml:space="preserve">LDR (fin/deposits)</t>
  </si>
  <si>
    <t xml:space="preserve">Financing growth YoY</t>
  </si>
  <si>
    <t xml:space="preserve">Peer set &amp; sector</t>
  </si>
  <si>
    <t xml:space="preserve">Saudi banks (Tadawul). Multiples indicative; not model inputs.</t>
  </si>
  <si>
    <t xml:space="preserve">Cohort</t>
  </si>
  <si>
    <t xml:space="preserve">Closest peers</t>
  </si>
  <si>
    <t xml:space="preserve">Typical valuation</t>
  </si>
  <si>
    <t xml:space="preserve">Largest KSA banks</t>
  </si>
  <si>
    <t xml:space="preserve">Al Rajhi (1120), Riyad (1010), SAB (1060)</t>
  </si>
  <si>
    <t xml:space="preserve">P/E ~10–16x; P/B ~1.3–3.5x; ROE 13–20%</t>
  </si>
  <si>
    <t xml:space="preserve">Mid-cap KSA banks</t>
  </si>
  <si>
    <t xml:space="preserve">Alinma (1150), BSF (1050), ANB (1080)</t>
  </si>
  <si>
    <t xml:space="preserve">P/E ~9–12x; P/B ~1.1–1.6x; ROE 11–15%</t>
  </si>
  <si>
    <t xml:space="preserve">SNB positioning</t>
  </si>
  <si>
    <t xml:space="preserve">Largest by assets; ~1.3x P/B, ~10x fwd P/E</t>
  </si>
  <si>
    <t xml:space="preserve">16%+ ROTE, 72% CASA, T1 CAR 20.3% — cheap vs quality</t>
  </si>
  <si>
    <t xml:space="preserve">Analyst context: ANB Capital (Dec-2024) residual-income Ke 11%, fair value ~SAR 46; sector ROE ~15% (Fitch). Not used as model inputs.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</si>
</sst>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%"/>
    <numFmt numFmtId="167" formatCode="#,##0;\(#,##0\);\-"/>
    <numFmt numFmtId="168" formatCode="0.0\x"/>
    <numFmt numFmtId="169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3A36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C3A36"/>
      <name val="Arial"/>
      <family val="0"/>
      <charset val="1"/>
    </font>
    <font>
      <sz val="8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EAF0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1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4"/>
      <c r="B3" s="5" t="s">
        <v>17</v>
      </c>
      <c r="C3" s="5" t="s">
        <v>18</v>
      </c>
      <c r="D3" s="5" t="s">
        <v>19</v>
      </c>
      <c r="E3" s="5" t="s">
        <v>20</v>
      </c>
    </row>
    <row r="4" customFormat="false" ht="15" hidden="false" customHeight="false" outlineLevel="0" collapsed="false">
      <c r="A4" s="3" t="s">
        <v>21</v>
      </c>
      <c r="B4" s="6" t="n">
        <f aca="false">'Fundamental Valuation'!B4</f>
        <v>37</v>
      </c>
      <c r="C4" s="6" t="n">
        <f aca="false">'Fundamental Valuation'!C4</f>
        <v>44.2228313753831</v>
      </c>
      <c r="D4" s="6" t="n">
        <f aca="false">'Fundamental Valuation'!D4</f>
        <v>55</v>
      </c>
      <c r="E4" s="7" t="n">
        <f aca="false">Assumptions!$B$21</f>
        <v>0.4</v>
      </c>
    </row>
    <row r="5" customFormat="false" ht="15" hidden="false" customHeight="false" outlineLevel="0" collapsed="false">
      <c r="A5" s="3" t="s">
        <v>22</v>
      </c>
      <c r="B5" s="6" t="n">
        <f aca="false">'Fundamental Valuation'!B5</f>
        <v>37</v>
      </c>
      <c r="C5" s="6" t="n">
        <f aca="false">'Fundamental Valuation'!C5</f>
        <v>44.8486105433693</v>
      </c>
      <c r="D5" s="6" t="n">
        <f aca="false">'Fundamental Valuation'!D5</f>
        <v>56</v>
      </c>
      <c r="E5" s="7" t="n">
        <f aca="false">Assumptions!$B$22</f>
        <v>0.2</v>
      </c>
    </row>
    <row r="6" customFormat="false" ht="15" hidden="false" customHeight="false" outlineLevel="0" collapsed="false">
      <c r="A6" s="3" t="s">
        <v>23</v>
      </c>
      <c r="B6" s="6" t="n">
        <f aca="false">'Fundamental Valuation'!B6</f>
        <v>37</v>
      </c>
      <c r="C6" s="6" t="n">
        <f aca="false">'Fundamental Valuation'!C6</f>
        <v>46.0893630491667</v>
      </c>
      <c r="D6" s="6" t="n">
        <f aca="false">'Fundamental Valuation'!D6</f>
        <v>53</v>
      </c>
      <c r="E6" s="7" t="n">
        <f aca="false">Assumptions!$B$23</f>
        <v>0.15</v>
      </c>
    </row>
    <row r="7" customFormat="false" ht="15" hidden="false" customHeight="false" outlineLevel="0" collapsed="false">
      <c r="A7" s="3" t="s">
        <v>24</v>
      </c>
      <c r="B7" s="6" t="n">
        <f aca="false">'Fundamental Valuation'!B7</f>
        <v>34</v>
      </c>
      <c r="C7" s="6" t="n">
        <f aca="false">'Fundamental Valuation'!C7</f>
        <v>46.9119283195887</v>
      </c>
      <c r="D7" s="6" t="n">
        <f aca="false">'Fundamental Valuation'!D7</f>
        <v>56</v>
      </c>
      <c r="E7" s="7" t="n">
        <f aca="false">Assumptions!$B$24</f>
        <v>0.25</v>
      </c>
    </row>
    <row r="8" customFormat="false" ht="15" hidden="false" customHeight="false" outlineLevel="0" collapsed="false">
      <c r="A8" s="8" t="s">
        <v>25</v>
      </c>
      <c r="B8" s="9" t="n">
        <f aca="false">'Fundamental Valuation'!B8</f>
        <v>36.25</v>
      </c>
      <c r="C8" s="9" t="n">
        <f aca="false">'Fundamental Valuation'!C8</f>
        <v>45.3002411960993</v>
      </c>
      <c r="D8" s="9" t="n">
        <f aca="false">'Fundamental Valuation'!D8</f>
        <v>55.15</v>
      </c>
    </row>
    <row r="9" customFormat="false" ht="15" hidden="false" customHeight="false" outlineLevel="0" collapsed="false">
      <c r="A9" s="3" t="s">
        <v>26</v>
      </c>
      <c r="C9" s="10" t="n">
        <f aca="false">Assumptions!$B$4</f>
        <v>38.96</v>
      </c>
    </row>
    <row r="10" customFormat="false" ht="15" hidden="false" customHeight="false" outlineLevel="0" collapsed="false">
      <c r="A10" s="3" t="s">
        <v>27</v>
      </c>
      <c r="C10" s="11" t="n">
        <f aca="false">C8/C9-1</f>
        <v>0.162737197025135</v>
      </c>
    </row>
    <row r="11" customFormat="false" ht="15" hidden="false" customHeight="false" outlineLevel="0" collapsed="false">
      <c r="A11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1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3" customFormat="false" ht="15" hidden="false" customHeight="false" outlineLevel="0" collapsed="false">
      <c r="A3" s="12" t="s">
        <v>31</v>
      </c>
      <c r="B3" s="5" t="s">
        <v>17</v>
      </c>
      <c r="C3" s="5" t="s">
        <v>18</v>
      </c>
      <c r="D3" s="5" t="s">
        <v>19</v>
      </c>
    </row>
    <row r="4" customFormat="false" ht="15" hidden="false" customHeight="false" outlineLevel="0" collapsed="false">
      <c r="A4" s="3" t="s">
        <v>21</v>
      </c>
      <c r="B4" s="13" t="n">
        <v>37</v>
      </c>
      <c r="C4" s="10" t="n">
        <f aca="false">DDM!B14</f>
        <v>44.2228313753831</v>
      </c>
      <c r="D4" s="13" t="n">
        <v>55</v>
      </c>
    </row>
    <row r="5" customFormat="false" ht="15" hidden="false" customHeight="false" outlineLevel="0" collapsed="false">
      <c r="A5" s="3" t="s">
        <v>22</v>
      </c>
      <c r="B5" s="13" t="n">
        <v>37</v>
      </c>
      <c r="C5" s="10" t="n">
        <f aca="false">DCF!B23</f>
        <v>44.8486105433693</v>
      </c>
      <c r="D5" s="13" t="n">
        <v>56</v>
      </c>
    </row>
    <row r="6" customFormat="false" ht="15" hidden="false" customHeight="false" outlineLevel="0" collapsed="false">
      <c r="A6" s="3" t="s">
        <v>23</v>
      </c>
      <c r="B6" s="13" t="n">
        <v>37</v>
      </c>
      <c r="C6" s="10" t="n">
        <f aca="false">'Relative &amp; Normalized'!C6</f>
        <v>46.0893630491667</v>
      </c>
      <c r="D6" s="13" t="n">
        <v>53</v>
      </c>
    </row>
    <row r="7" customFormat="false" ht="15" hidden="false" customHeight="false" outlineLevel="0" collapsed="false">
      <c r="A7" s="3" t="s">
        <v>24</v>
      </c>
      <c r="B7" s="13" t="n">
        <v>34</v>
      </c>
      <c r="C7" s="10" t="n">
        <f aca="false">'Relative &amp; Normalized'!C7</f>
        <v>46.9119283195887</v>
      </c>
      <c r="D7" s="13" t="n">
        <v>56</v>
      </c>
    </row>
    <row r="8" customFormat="false" ht="15" hidden="false" customHeight="false" outlineLevel="0" collapsed="false">
      <c r="A8" s="8" t="s">
        <v>25</v>
      </c>
      <c r="B8" s="14" t="n">
        <f aca="false">SUMPRODUCT(B4:B7,Assumptions!$B$21:$B$24)</f>
        <v>36.25</v>
      </c>
      <c r="C8" s="14" t="n">
        <f aca="false">SUMPRODUCT(C4:C7,Assumptions!$B$21:$B$24)</f>
        <v>45.3002411960993</v>
      </c>
      <c r="D8" s="14" t="n">
        <f aca="false">SUMPRODUCT(D4:D7,Assumptions!$B$21:$B$24)</f>
        <v>55.15</v>
      </c>
    </row>
    <row r="9" customFormat="false" ht="15" hidden="false" customHeight="false" outlineLevel="0" collapsed="false">
      <c r="A9" s="3" t="s">
        <v>32</v>
      </c>
      <c r="C9" s="10" t="n">
        <f aca="false">Assumptions!$B$4</f>
        <v>38.96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15" t="s">
        <v>35</v>
      </c>
      <c r="B3" s="16"/>
    </row>
    <row r="4" customFormat="false" ht="15" hidden="false" customHeight="false" outlineLevel="0" collapsed="false">
      <c r="A4" s="3" t="s">
        <v>36</v>
      </c>
      <c r="B4" s="13" t="n">
        <v>38.96</v>
      </c>
    </row>
    <row r="5" customFormat="false" ht="15" hidden="false" customHeight="false" outlineLevel="0" collapsed="false">
      <c r="A5" s="3" t="s">
        <v>37</v>
      </c>
      <c r="B5" s="17" t="n">
        <v>6000</v>
      </c>
    </row>
    <row r="6" customFormat="false" ht="15" hidden="false" customHeight="false" outlineLevel="0" collapsed="false">
      <c r="A6" s="3" t="s">
        <v>38</v>
      </c>
      <c r="B6" s="18" t="n">
        <v>0.05</v>
      </c>
    </row>
    <row r="7" customFormat="false" ht="15" hidden="false" customHeight="false" outlineLevel="0" collapsed="false">
      <c r="A7" s="3" t="s">
        <v>39</v>
      </c>
      <c r="B7" s="13" t="n">
        <v>0.95</v>
      </c>
    </row>
    <row r="8" customFormat="false" ht="15" hidden="false" customHeight="false" outlineLevel="0" collapsed="false">
      <c r="A8" s="3" t="s">
        <v>40</v>
      </c>
      <c r="B8" s="18" t="n">
        <v>0.06</v>
      </c>
    </row>
    <row r="9" customFormat="false" ht="15" hidden="false" customHeight="false" outlineLevel="0" collapsed="false">
      <c r="A9" s="3" t="s">
        <v>41</v>
      </c>
      <c r="B9" s="11" t="n">
        <f aca="false">B6+B7*B8</f>
        <v>0.107</v>
      </c>
    </row>
    <row r="10" customFormat="false" ht="15" hidden="false" customHeight="false" outlineLevel="0" collapsed="false">
      <c r="A10" s="3" t="s">
        <v>42</v>
      </c>
      <c r="B10" s="18" t="n">
        <v>0.045</v>
      </c>
    </row>
    <row r="11" customFormat="false" ht="15" hidden="false" customHeight="false" outlineLevel="0" collapsed="false">
      <c r="A11" s="3" t="s">
        <v>43</v>
      </c>
      <c r="B11" s="18" t="n">
        <v>0.13</v>
      </c>
    </row>
    <row r="12" customFormat="false" ht="15" hidden="false" customHeight="false" outlineLevel="0" collapsed="false">
      <c r="A12" s="3" t="s">
        <v>44</v>
      </c>
      <c r="B12" s="18" t="n">
        <v>0.0425</v>
      </c>
    </row>
    <row r="13" customFormat="false" ht="15" hidden="false" customHeight="false" outlineLevel="0" collapsed="false">
      <c r="A13" s="15" t="s">
        <v>45</v>
      </c>
      <c r="B13" s="16"/>
    </row>
    <row r="14" customFormat="false" ht="15" hidden="false" customHeight="false" outlineLevel="0" collapsed="false">
      <c r="A14" s="3" t="s">
        <v>46</v>
      </c>
      <c r="B14" s="18" t="n">
        <v>0.6</v>
      </c>
    </row>
    <row r="15" customFormat="false" ht="15" hidden="false" customHeight="false" outlineLevel="0" collapsed="false">
      <c r="A15" s="3" t="s">
        <v>47</v>
      </c>
      <c r="B15" s="18" t="n">
        <v>0.135</v>
      </c>
    </row>
    <row r="16" customFormat="false" ht="15" hidden="false" customHeight="false" outlineLevel="0" collapsed="false">
      <c r="A16" s="3" t="s">
        <v>48</v>
      </c>
      <c r="B16" s="18" t="n">
        <v>0.17</v>
      </c>
    </row>
    <row r="17" customFormat="false" ht="15" hidden="false" customHeight="false" outlineLevel="0" collapsed="false">
      <c r="A17" s="15" t="s">
        <v>49</v>
      </c>
      <c r="B17" s="16"/>
    </row>
    <row r="18" customFormat="false" ht="15" hidden="false" customHeight="false" outlineLevel="0" collapsed="false">
      <c r="A18" s="3" t="s">
        <v>50</v>
      </c>
      <c r="B18" s="19" t="n">
        <v>11</v>
      </c>
    </row>
    <row r="19" customFormat="false" ht="15" hidden="false" customHeight="false" outlineLevel="0" collapsed="false">
      <c r="A19" s="3" t="s">
        <v>51</v>
      </c>
      <c r="B19" s="19" t="n">
        <v>1.5</v>
      </c>
    </row>
    <row r="20" customFormat="false" ht="15" hidden="false" customHeight="false" outlineLevel="0" collapsed="false">
      <c r="A20" s="15" t="s">
        <v>52</v>
      </c>
      <c r="B20" s="16"/>
    </row>
    <row r="21" customFormat="false" ht="15" hidden="false" customHeight="false" outlineLevel="0" collapsed="false">
      <c r="A21" s="3" t="s">
        <v>53</v>
      </c>
      <c r="B21" s="18" t="n">
        <v>0.4</v>
      </c>
    </row>
    <row r="22" customFormat="false" ht="15" hidden="false" customHeight="false" outlineLevel="0" collapsed="false">
      <c r="A22" s="3" t="s">
        <v>54</v>
      </c>
      <c r="B22" s="18" t="n">
        <v>0.2</v>
      </c>
    </row>
    <row r="23" customFormat="false" ht="15" hidden="false" customHeight="false" outlineLevel="0" collapsed="false">
      <c r="A23" s="3" t="s">
        <v>55</v>
      </c>
      <c r="B23" s="18" t="n">
        <v>0.15</v>
      </c>
    </row>
    <row r="24" customFormat="false" ht="15" hidden="false" customHeight="false" outlineLevel="0" collapsed="false">
      <c r="A24" s="3" t="s">
        <v>56</v>
      </c>
      <c r="B24" s="18" t="n">
        <v>0.25</v>
      </c>
    </row>
    <row r="25" customFormat="false" ht="15" hidden="false" customHeight="false" outlineLevel="0" collapsed="false">
      <c r="A25" s="3" t="s">
        <v>57</v>
      </c>
      <c r="B25" s="11" t="n">
        <f aca="false">B21+B22+B23+B24</f>
        <v>1</v>
      </c>
    </row>
    <row r="26" customFormat="false" ht="15" hidden="false" customHeight="false" outlineLevel="0" collapsed="false">
      <c r="A26" s="15" t="s">
        <v>58</v>
      </c>
      <c r="B26" s="16"/>
    </row>
    <row r="27" customFormat="false" ht="15" hidden="false" customHeight="false" outlineLevel="0" collapsed="false">
      <c r="A27" s="3" t="s">
        <v>59</v>
      </c>
      <c r="B27" s="18" t="n">
        <v>0.2119</v>
      </c>
    </row>
    <row r="28" customFormat="false" ht="15" hidden="false" customHeight="false" outlineLevel="0" collapsed="false">
      <c r="A28" s="3" t="s">
        <v>60</v>
      </c>
      <c r="B28" s="18" t="n">
        <v>0.019</v>
      </c>
    </row>
    <row r="29" customFormat="false" ht="15" hidden="false" customHeight="false" outlineLevel="0" collapsed="false">
      <c r="A29" s="3" t="s">
        <v>61</v>
      </c>
      <c r="B29" s="20" t="s">
        <v>62</v>
      </c>
    </row>
    <row r="30" customFormat="false" ht="15" hidden="false" customHeight="false" outlineLevel="0" collapsed="false">
      <c r="A30" s="3" t="s">
        <v>63</v>
      </c>
      <c r="B30" s="20" t="s">
        <v>64</v>
      </c>
    </row>
    <row r="31" customFormat="false" ht="15" hidden="false" customHeight="false" outlineLevel="0" collapsed="false">
      <c r="A31" s="15" t="s">
        <v>65</v>
      </c>
      <c r="B31" s="16"/>
      <c r="C31" s="16"/>
      <c r="D31" s="16"/>
      <c r="E31" s="16"/>
      <c r="F31" s="16"/>
    </row>
    <row r="32" customFormat="false" ht="15" hidden="false" customHeight="false" outlineLevel="0" collapsed="false">
      <c r="B32" s="5" t="s">
        <v>66</v>
      </c>
      <c r="C32" s="5" t="s">
        <v>67</v>
      </c>
      <c r="D32" s="5" t="s">
        <v>68</v>
      </c>
      <c r="E32" s="5" t="s">
        <v>69</v>
      </c>
      <c r="F32" s="5" t="s">
        <v>70</v>
      </c>
    </row>
    <row r="33" customFormat="false" ht="15" hidden="false" customHeight="false" outlineLevel="0" collapsed="false">
      <c r="A33" s="3" t="s">
        <v>71</v>
      </c>
      <c r="B33" s="18" t="n">
        <v>0.08</v>
      </c>
      <c r="C33" s="18" t="n">
        <v>0.075</v>
      </c>
      <c r="D33" s="18" t="n">
        <v>0.07</v>
      </c>
      <c r="E33" s="18" t="n">
        <v>0.065</v>
      </c>
      <c r="F33" s="18" t="n">
        <v>0.06</v>
      </c>
    </row>
    <row r="34" customFormat="false" ht="15" hidden="false" customHeight="false" outlineLevel="0" collapsed="false">
      <c r="A34" s="3" t="s">
        <v>72</v>
      </c>
      <c r="B34" s="18" t="n">
        <v>0.07</v>
      </c>
      <c r="C34" s="18" t="n">
        <v>0.07</v>
      </c>
      <c r="D34" s="18" t="n">
        <v>0.07</v>
      </c>
      <c r="E34" s="18" t="n">
        <v>0.07</v>
      </c>
      <c r="F34" s="18" t="n">
        <v>0.07</v>
      </c>
    </row>
    <row r="35" customFormat="false" ht="15" hidden="false" customHeight="false" outlineLevel="0" collapsed="false">
      <c r="A35" s="3" t="s">
        <v>73</v>
      </c>
      <c r="B35" s="18" t="n">
        <v>0.082</v>
      </c>
      <c r="C35" s="18" t="n">
        <v>0.078</v>
      </c>
      <c r="D35" s="18" t="n">
        <v>0.07</v>
      </c>
      <c r="E35" s="18" t="n">
        <v>0.066</v>
      </c>
      <c r="F35" s="18" t="n">
        <v>0.062</v>
      </c>
    </row>
    <row r="36" customFormat="false" ht="15" hidden="false" customHeight="false" outlineLevel="0" collapsed="false">
      <c r="A36" s="3" t="s">
        <v>74</v>
      </c>
      <c r="B36" s="21" t="n">
        <v>0.03</v>
      </c>
      <c r="C36" s="21" t="n">
        <v>0.03</v>
      </c>
      <c r="D36" s="21" t="n">
        <v>0.03</v>
      </c>
      <c r="E36" s="21" t="n">
        <v>0.03</v>
      </c>
      <c r="F36" s="21" t="n">
        <v>0.03</v>
      </c>
    </row>
    <row r="37" customFormat="false" ht="15" hidden="false" customHeight="false" outlineLevel="0" collapsed="false">
      <c r="A37" s="3" t="s">
        <v>75</v>
      </c>
      <c r="B37" s="18" t="n">
        <v>0.03</v>
      </c>
      <c r="C37" s="18" t="n">
        <v>0.06</v>
      </c>
      <c r="D37" s="18" t="n">
        <v>0.065</v>
      </c>
      <c r="E37" s="18" t="n">
        <v>0.065</v>
      </c>
      <c r="F37" s="18" t="n">
        <v>0.06</v>
      </c>
    </row>
    <row r="38" customFormat="false" ht="15" hidden="false" customHeight="false" outlineLevel="0" collapsed="false">
      <c r="A38" s="3" t="s">
        <v>76</v>
      </c>
      <c r="B38" s="18" t="n">
        <v>0.265</v>
      </c>
      <c r="C38" s="18" t="n">
        <v>0.26</v>
      </c>
      <c r="D38" s="18" t="n">
        <v>0.258</v>
      </c>
      <c r="E38" s="18" t="n">
        <v>0.255</v>
      </c>
      <c r="F38" s="18" t="n">
        <v>0.253</v>
      </c>
    </row>
    <row r="39" customFormat="false" ht="15" hidden="false" customHeight="false" outlineLevel="0" collapsed="false">
      <c r="A39" s="3" t="s">
        <v>77</v>
      </c>
      <c r="B39" s="17" t="n">
        <v>21</v>
      </c>
      <c r="C39" s="17" t="n">
        <v>21</v>
      </c>
      <c r="D39" s="17" t="n">
        <v>21</v>
      </c>
      <c r="E39" s="17" t="n">
        <v>22</v>
      </c>
      <c r="F39" s="17" t="n">
        <v>22</v>
      </c>
    </row>
    <row r="40" customFormat="false" ht="15" hidden="false" customHeight="false" outlineLevel="0" collapsed="false">
      <c r="A40" s="3" t="s">
        <v>78</v>
      </c>
      <c r="B40" s="18" t="n">
        <v>0.53</v>
      </c>
      <c r="C40" s="18" t="n">
        <v>0.55</v>
      </c>
      <c r="D40" s="18" t="n">
        <v>0.57</v>
      </c>
      <c r="E40" s="18" t="n">
        <v>0.59</v>
      </c>
      <c r="F40" s="18" t="n">
        <v>0.6</v>
      </c>
    </row>
    <row r="41" customFormat="false" ht="15" hidden="false" customHeight="false" outlineLevel="0" collapsed="false">
      <c r="A41" s="3" t="s">
        <v>79</v>
      </c>
      <c r="B41" s="18" t="n">
        <v>0.084</v>
      </c>
      <c r="C41" s="18" t="n">
        <v>0.078</v>
      </c>
      <c r="D41" s="18" t="n">
        <v>0.072</v>
      </c>
      <c r="E41" s="18" t="n">
        <v>0.072</v>
      </c>
      <c r="F41" s="18" t="n">
        <v>0.067</v>
      </c>
    </row>
    <row r="42" customFormat="false" ht="15" hidden="false" customHeight="false" outlineLevel="0" collapsed="false">
      <c r="A42" s="3" t="s">
        <v>80</v>
      </c>
      <c r="B42" s="17" t="n">
        <v>1100</v>
      </c>
      <c r="C42" s="17" t="n">
        <v>1200</v>
      </c>
      <c r="D42" s="17" t="n">
        <v>1250</v>
      </c>
      <c r="E42" s="17" t="n">
        <v>1300</v>
      </c>
      <c r="F42" s="17" t="n">
        <v>1350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3" customFormat="false" ht="15" hidden="false" customHeight="false" outlineLevel="0" collapsed="false">
      <c r="B3" s="5" t="s">
        <v>66</v>
      </c>
      <c r="C3" s="5" t="s">
        <v>67</v>
      </c>
      <c r="D3" s="5" t="s">
        <v>68</v>
      </c>
      <c r="E3" s="5" t="s">
        <v>69</v>
      </c>
      <c r="F3" s="5" t="s">
        <v>70</v>
      </c>
    </row>
    <row r="4" customFormat="false" ht="15" hidden="false" customHeight="false" outlineLevel="0" collapsed="false">
      <c r="A4" s="3" t="s">
        <v>83</v>
      </c>
      <c r="B4" s="6" t="n">
        <f aca="false">'Income Statement'!E16</f>
        <v>4.22079328166667</v>
      </c>
      <c r="C4" s="6" t="n">
        <f aca="false">'Income Statement'!F16</f>
        <v>4.552010847</v>
      </c>
      <c r="D4" s="6" t="n">
        <f aca="false">'Income Statement'!G16</f>
        <v>4.89127587778967</v>
      </c>
      <c r="E4" s="6" t="n">
        <f aca="false">'Income Statement'!H16</f>
        <v>5.23697180642641</v>
      </c>
      <c r="F4" s="6" t="n">
        <f aca="false">'Income Statement'!I16</f>
        <v>5.59360509678911</v>
      </c>
    </row>
    <row r="5" customFormat="false" ht="15" hidden="false" customHeight="false" outlineLevel="0" collapsed="false">
      <c r="A5" s="3" t="s">
        <v>78</v>
      </c>
      <c r="B5" s="7" t="n">
        <f aca="false">Assumptions!B40</f>
        <v>0.53</v>
      </c>
      <c r="C5" s="7" t="n">
        <f aca="false">Assumptions!C40</f>
        <v>0.55</v>
      </c>
      <c r="D5" s="7" t="n">
        <f aca="false">Assumptions!D40</f>
        <v>0.57</v>
      </c>
      <c r="E5" s="7" t="n">
        <f aca="false">Assumptions!E40</f>
        <v>0.59</v>
      </c>
      <c r="F5" s="7" t="n">
        <f aca="false">Assumptions!F40</f>
        <v>0.6</v>
      </c>
    </row>
    <row r="6" customFormat="false" ht="15" hidden="false" customHeight="false" outlineLevel="0" collapsed="false">
      <c r="A6" s="3" t="s">
        <v>84</v>
      </c>
      <c r="B6" s="10" t="n">
        <f aca="false">B4*B5</f>
        <v>2.23702043928333</v>
      </c>
      <c r="C6" s="10" t="n">
        <f aca="false">C4*C5</f>
        <v>2.50360596585</v>
      </c>
      <c r="D6" s="10" t="n">
        <f aca="false">D4*D5</f>
        <v>2.78802725034011</v>
      </c>
      <c r="E6" s="10" t="n">
        <f aca="false">E4*E5</f>
        <v>3.08981336579158</v>
      </c>
      <c r="F6" s="10" t="n">
        <f aca="false">F4*F5</f>
        <v>3.35616305807347</v>
      </c>
    </row>
    <row r="7" customFormat="false" ht="15" hidden="false" customHeight="false" outlineLevel="0" collapsed="false">
      <c r="A7" s="3" t="s">
        <v>85</v>
      </c>
      <c r="B7" s="10" t="n">
        <f aca="false">1/(1+Assumptions!$B$9)^1</f>
        <v>0.903342366757001</v>
      </c>
      <c r="C7" s="10" t="n">
        <f aca="false">1/(1+Assumptions!$B$9)^2</f>
        <v>0.81602743157814</v>
      </c>
      <c r="D7" s="10" t="n">
        <f aca="false">1/(1+Assumptions!$B$9)^3</f>
        <v>0.737152151380434</v>
      </c>
      <c r="E7" s="10" t="n">
        <f aca="false">1/(1+Assumptions!$B$9)^4</f>
        <v>0.665900769088016</v>
      </c>
      <c r="F7" s="10" t="n">
        <f aca="false">1/(1+Assumptions!$B$9)^5</f>
        <v>0.601536376773275</v>
      </c>
    </row>
    <row r="8" customFormat="false" ht="15" hidden="false" customHeight="false" outlineLevel="0" collapsed="false">
      <c r="A8" s="3" t="s">
        <v>86</v>
      </c>
      <c r="B8" s="10" t="n">
        <f aca="false">B6*B7</f>
        <v>2.02079533810599</v>
      </c>
      <c r="C8" s="10" t="n">
        <f aca="false">C6*C7</f>
        <v>2.04301114599628</v>
      </c>
      <c r="D8" s="10" t="n">
        <f aca="false">D6*D7</f>
        <v>2.05520028569549</v>
      </c>
      <c r="E8" s="10" t="n">
        <f aca="false">E6*E7</f>
        <v>2.05750909661904</v>
      </c>
      <c r="F8" s="10" t="n">
        <f aca="false">F6*F7</f>
        <v>2.01885416581383</v>
      </c>
    </row>
    <row r="10" customFormat="false" ht="15" hidden="false" customHeight="false" outlineLevel="0" collapsed="false">
      <c r="A10" s="8" t="s">
        <v>87</v>
      </c>
      <c r="B10" s="14" t="n">
        <f aca="false">SUM(B8:F8)</f>
        <v>10.1953700322306</v>
      </c>
    </row>
    <row r="11" customFormat="false" ht="15" hidden="false" customHeight="false" outlineLevel="0" collapsed="false">
      <c r="A11" s="3" t="s">
        <v>88</v>
      </c>
      <c r="B11" s="10" t="n">
        <f aca="false">F6*(1+Assumptions!$B$10)</f>
        <v>3.50719039568677</v>
      </c>
    </row>
    <row r="12" customFormat="false" ht="15" hidden="false" customHeight="false" outlineLevel="0" collapsed="false">
      <c r="A12" s="3" t="s">
        <v>89</v>
      </c>
      <c r="B12" s="10" t="n">
        <f aca="false">B11/(Assumptions!$B$9-Assumptions!$B$10)</f>
        <v>56.567587027206</v>
      </c>
    </row>
    <row r="13" customFormat="false" ht="15" hidden="false" customHeight="false" outlineLevel="0" collapsed="false">
      <c r="A13" s="3" t="s">
        <v>90</v>
      </c>
      <c r="B13" s="10" t="n">
        <f aca="false">B12*F7</f>
        <v>34.0274613431525</v>
      </c>
    </row>
    <row r="14" customFormat="false" ht="15" hidden="false" customHeight="false" outlineLevel="0" collapsed="false">
      <c r="A14" s="8" t="s">
        <v>91</v>
      </c>
      <c r="B14" s="14" t="n">
        <f aca="false">B10+B13</f>
        <v>44.2228313753831</v>
      </c>
    </row>
    <row r="15" customFormat="false" ht="15" hidden="false" customHeight="false" outlineLevel="0" collapsed="false">
      <c r="A15" s="3" t="s">
        <v>92</v>
      </c>
      <c r="B15" s="11" t="n">
        <f aca="false">B13/B14</f>
        <v>0.76945460715331</v>
      </c>
    </row>
    <row r="16" customFormat="false" ht="15" hidden="false" customHeight="false" outlineLevel="0" collapsed="false">
      <c r="A16" s="3" t="s">
        <v>93</v>
      </c>
      <c r="B16" s="22" t="n">
        <f aca="false">B14/B4</f>
        <v>10.4773743759185</v>
      </c>
    </row>
    <row r="17" customFormat="false" ht="15" hidden="false" customHeight="false" outlineLevel="0" collapsed="false">
      <c r="A17" s="3" t="s">
        <v>94</v>
      </c>
      <c r="B17" s="22" t="n">
        <f aca="false">B14/('Balance Sheet'!D17/Assumptions!$B$5)</f>
        <v>1.44992889755354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3" customFormat="false" ht="15" hidden="false" customHeight="false" outlineLevel="0" collapsed="false">
      <c r="B3" s="5" t="s">
        <v>97</v>
      </c>
      <c r="C3" s="5" t="s">
        <v>98</v>
      </c>
      <c r="D3" s="5" t="s">
        <v>99</v>
      </c>
      <c r="E3" s="5" t="s">
        <v>66</v>
      </c>
      <c r="F3" s="5" t="s">
        <v>67</v>
      </c>
      <c r="G3" s="5" t="s">
        <v>68</v>
      </c>
      <c r="H3" s="5" t="s">
        <v>69</v>
      </c>
      <c r="I3" s="5" t="s">
        <v>70</v>
      </c>
    </row>
    <row r="4" customFormat="false" ht="15" hidden="false" customHeight="false" outlineLevel="0" collapsed="false">
      <c r="A4" s="3" t="s">
        <v>100</v>
      </c>
      <c r="B4" s="23" t="n">
        <f aca="false">'Income Statement'!B6*0.34</f>
        <v>11560</v>
      </c>
      <c r="C4" s="23" t="n">
        <f aca="false">'Income Statement'!C6*0.34</f>
        <v>12240</v>
      </c>
      <c r="D4" s="23" t="n">
        <f aca="false">'Income Statement'!D6*0.34</f>
        <v>13770</v>
      </c>
      <c r="E4" s="23" t="n">
        <f aca="false">'Income Statement'!E6*0.34</f>
        <v>14814.004</v>
      </c>
      <c r="F4" s="23" t="n">
        <f aca="false">'Income Statement'!F6*0.34</f>
        <v>15873.1414</v>
      </c>
      <c r="G4" s="23" t="n">
        <f aca="false">'Income Statement'!G6*0.34</f>
        <v>16985.749818</v>
      </c>
      <c r="H4" s="23" t="n">
        <f aca="false">'Income Statement'!H6*0.34</f>
        <v>18131.92376598</v>
      </c>
      <c r="I4" s="23" t="n">
        <f aca="false">'Income Statement'!I6*0.34</f>
        <v>19286.8721406522</v>
      </c>
    </row>
    <row r="5" customFormat="false" ht="15" hidden="false" customHeight="false" outlineLevel="0" collapsed="false">
      <c r="A5" s="3" t="s">
        <v>101</v>
      </c>
      <c r="B5" s="23" t="n">
        <f aca="false">'Income Statement'!B6*0.34</f>
        <v>11560</v>
      </c>
      <c r="C5" s="23" t="n">
        <f aca="false">'Income Statement'!C6*0.34</f>
        <v>12240</v>
      </c>
      <c r="D5" s="23" t="n">
        <f aca="false">'Income Statement'!D6*0.34</f>
        <v>13770</v>
      </c>
      <c r="E5" s="23" t="n">
        <f aca="false">'Income Statement'!E6*0.34</f>
        <v>14814.004</v>
      </c>
      <c r="F5" s="23" t="n">
        <f aca="false">'Income Statement'!F6*0.34</f>
        <v>15873.1414</v>
      </c>
      <c r="G5" s="23" t="n">
        <f aca="false">'Income Statement'!G6*0.34</f>
        <v>16985.749818</v>
      </c>
      <c r="H5" s="23" t="n">
        <f aca="false">'Income Statement'!H6*0.34</f>
        <v>18131.92376598</v>
      </c>
      <c r="I5" s="23" t="n">
        <f aca="false">'Income Statement'!I6*0.34</f>
        <v>19286.8721406522</v>
      </c>
    </row>
    <row r="6" customFormat="false" ht="15" hidden="false" customHeight="false" outlineLevel="0" collapsed="false">
      <c r="A6" s="3" t="s">
        <v>102</v>
      </c>
      <c r="B6" s="23" t="n">
        <f aca="false">'Income Statement'!B6*0.24</f>
        <v>8160</v>
      </c>
      <c r="C6" s="23" t="n">
        <f aca="false">'Income Statement'!C6*0.24</f>
        <v>8640</v>
      </c>
      <c r="D6" s="23" t="n">
        <f aca="false">'Income Statement'!D6*0.24</f>
        <v>9720</v>
      </c>
      <c r="E6" s="23" t="n">
        <f aca="false">'Income Statement'!E6*0.24</f>
        <v>10456.944</v>
      </c>
      <c r="F6" s="23" t="n">
        <f aca="false">'Income Statement'!F6*0.24</f>
        <v>11204.5704</v>
      </c>
      <c r="G6" s="23" t="n">
        <f aca="false">'Income Statement'!G6*0.24</f>
        <v>11989.941048</v>
      </c>
      <c r="H6" s="23" t="n">
        <f aca="false">'Income Statement'!H6*0.24</f>
        <v>12799.00501128</v>
      </c>
      <c r="I6" s="23" t="n">
        <f aca="false">'Income Statement'!I6*0.24</f>
        <v>13614.2626875192</v>
      </c>
    </row>
    <row r="7" customFormat="false" ht="15" hidden="false" customHeight="false" outlineLevel="0" collapsed="false">
      <c r="A7" s="3" t="s">
        <v>103</v>
      </c>
      <c r="B7" s="23" t="n">
        <f aca="false">'Income Statement'!B6*0.05</f>
        <v>1700</v>
      </c>
      <c r="C7" s="23" t="n">
        <f aca="false">'Income Statement'!C6*0.05</f>
        <v>1800</v>
      </c>
      <c r="D7" s="23" t="n">
        <f aca="false">'Income Statement'!D6*0.05</f>
        <v>2025</v>
      </c>
      <c r="E7" s="23" t="n">
        <f aca="false">'Income Statement'!E6*0.05</f>
        <v>2178.53</v>
      </c>
      <c r="F7" s="23" t="n">
        <f aca="false">'Income Statement'!F6*0.05</f>
        <v>2334.2855</v>
      </c>
      <c r="G7" s="23" t="n">
        <f aca="false">'Income Statement'!G6*0.05</f>
        <v>2497.904385</v>
      </c>
      <c r="H7" s="23" t="n">
        <f aca="false">'Income Statement'!H6*0.05</f>
        <v>2666.45937735</v>
      </c>
      <c r="I7" s="23" t="n">
        <f aca="false">'Income Statement'!I6*0.05</f>
        <v>2836.3047265665</v>
      </c>
    </row>
    <row r="8" customFormat="false" ht="15" hidden="false" customHeight="false" outlineLevel="0" collapsed="false">
      <c r="A8" s="3" t="s">
        <v>104</v>
      </c>
      <c r="B8" s="23" t="n">
        <f aca="false">'Income Statement'!B6*0.03</f>
        <v>1020</v>
      </c>
      <c r="C8" s="23" t="n">
        <f aca="false">'Income Statement'!C6*0.03</f>
        <v>1080</v>
      </c>
      <c r="D8" s="23" t="n">
        <f aca="false">'Income Statement'!D6*0.03</f>
        <v>1215</v>
      </c>
      <c r="E8" s="23" t="n">
        <f aca="false">'Income Statement'!E6*0.03</f>
        <v>1307.118</v>
      </c>
      <c r="F8" s="23" t="n">
        <f aca="false">'Income Statement'!F6*0.03</f>
        <v>1400.5713</v>
      </c>
      <c r="G8" s="23" t="n">
        <f aca="false">'Income Statement'!G6*0.03</f>
        <v>1498.742631</v>
      </c>
      <c r="H8" s="23" t="n">
        <f aca="false">'Income Statement'!H6*0.03</f>
        <v>1599.87562641</v>
      </c>
      <c r="I8" s="23" t="n">
        <f aca="false">'Income Statement'!I6*0.03</f>
        <v>1701.7828359399</v>
      </c>
    </row>
    <row r="9" customFormat="false" ht="15" hidden="false" customHeight="false" outlineLevel="0" collapsed="false">
      <c r="A9" s="8" t="s">
        <v>105</v>
      </c>
      <c r="B9" s="24" t="n">
        <f aca="false">SUM(B4:B8)</f>
        <v>34000</v>
      </c>
      <c r="C9" s="24" t="n">
        <f aca="false">SUM(C4:C8)</f>
        <v>36000</v>
      </c>
      <c r="D9" s="24" t="n">
        <f aca="false">SUM(D4:D8)</f>
        <v>40500</v>
      </c>
      <c r="E9" s="24" t="n">
        <f aca="false">SUM(E4:E8)</f>
        <v>43570.6</v>
      </c>
      <c r="F9" s="24" t="n">
        <f aca="false">SUM(F4:F8)</f>
        <v>46685.71</v>
      </c>
      <c r="G9" s="24" t="n">
        <f aca="false">SUM(G4:G8)</f>
        <v>49958.0877</v>
      </c>
      <c r="H9" s="24" t="n">
        <f aca="false">SUM(H4:H8)</f>
        <v>53329.187547</v>
      </c>
      <c r="I9" s="24" t="n">
        <f aca="false">SUM(I4:I8)</f>
        <v>56726.09453133</v>
      </c>
    </row>
    <row r="11" customFormat="false" ht="15" hidden="false" customHeight="false" outlineLevel="0" collapsed="false">
      <c r="A11" s="25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3" customFormat="false" ht="15" hidden="false" customHeight="false" outlineLevel="0" collapsed="false">
      <c r="A3" s="12" t="s">
        <v>31</v>
      </c>
      <c r="B3" s="5" t="s">
        <v>109</v>
      </c>
      <c r="C3" s="5" t="s">
        <v>110</v>
      </c>
    </row>
    <row r="4" customFormat="false" ht="15" hidden="false" customHeight="false" outlineLevel="0" collapsed="false">
      <c r="A4" s="3" t="s">
        <v>111</v>
      </c>
      <c r="B4" s="3" t="s">
        <v>112</v>
      </c>
      <c r="C4" s="10" t="n">
        <f aca="false">'Income Statement'!E16*Assumptions!$B$18</f>
        <v>46.4287260983333</v>
      </c>
    </row>
    <row r="5" customFormat="false" ht="15" hidden="false" customHeight="false" outlineLevel="0" collapsed="false">
      <c r="A5" s="3" t="s">
        <v>113</v>
      </c>
      <c r="B5" s="3" t="s">
        <v>114</v>
      </c>
      <c r="C5" s="10" t="n">
        <f aca="false">('Balance Sheet'!D17/Assumptions!$B$5)*Assumptions!$B$19</f>
        <v>45.75</v>
      </c>
    </row>
    <row r="6" customFormat="false" ht="15" hidden="false" customHeight="false" outlineLevel="0" collapsed="false">
      <c r="A6" s="3" t="s">
        <v>115</v>
      </c>
      <c r="B6" s="3" t="s">
        <v>116</v>
      </c>
      <c r="C6" s="10" t="n">
        <f aca="false">AVERAGE(C4,C5)</f>
        <v>46.0893630491667</v>
      </c>
    </row>
    <row r="7" customFormat="false" ht="15" hidden="false" customHeight="false" outlineLevel="0" collapsed="false">
      <c r="A7" s="3" t="s">
        <v>117</v>
      </c>
      <c r="B7" s="3" t="s">
        <v>118</v>
      </c>
      <c r="C7" s="10" t="n">
        <f aca="false">((Assumptions!$B$15-Assumptions!$B$10)/(Assumptions!$B$9-Assumptions!$B$10))*('Balance Sheet'!E17/Assumptions!$B$5)</f>
        <v>46.9119283195887</v>
      </c>
    </row>
    <row r="8" customFormat="false" ht="15" hidden="false" customHeight="false" outlineLevel="0" collapsed="false">
      <c r="A8" s="3" t="s">
        <v>119</v>
      </c>
      <c r="C8" s="22" t="n">
        <f aca="false">(Assumptions!$B$15-Assumptions!$B$10)/(Assumptions!$B$9-Assumptions!$B$10)</f>
        <v>1.45161290322581</v>
      </c>
    </row>
    <row r="9" customFormat="false" ht="15" hidden="false" customHeight="false" outlineLevel="0" collapsed="false">
      <c r="A9" s="3" t="s">
        <v>120</v>
      </c>
      <c r="C9" s="10" t="n">
        <f aca="false">'Balance Sheet'!D17/Assumptions!$B$5</f>
        <v>30.5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3" customFormat="false" ht="15" hidden="false" customHeight="false" outlineLevel="0" collapsed="false">
      <c r="B3" s="5" t="s">
        <v>66</v>
      </c>
      <c r="C3" s="5" t="s">
        <v>67</v>
      </c>
      <c r="D3" s="5" t="s">
        <v>68</v>
      </c>
      <c r="E3" s="5" t="s">
        <v>69</v>
      </c>
      <c r="F3" s="5" t="s">
        <v>70</v>
      </c>
    </row>
    <row r="4" customFormat="false" ht="15" hidden="false" customHeight="false" outlineLevel="0" collapsed="false">
      <c r="A4" s="3" t="s">
        <v>123</v>
      </c>
      <c r="B4" s="26" t="n">
        <f aca="false">'Income Statement'!E6</f>
        <v>43570.6</v>
      </c>
      <c r="C4" s="26" t="n">
        <f aca="false">'Income Statement'!F6</f>
        <v>46685.71</v>
      </c>
      <c r="D4" s="26" t="n">
        <f aca="false">'Income Statement'!G6</f>
        <v>49958.0877</v>
      </c>
      <c r="E4" s="26" t="n">
        <f aca="false">'Income Statement'!H6</f>
        <v>53329.187547</v>
      </c>
      <c r="F4" s="26" t="n">
        <f aca="false">'Income Statement'!I6</f>
        <v>56726.09453133</v>
      </c>
    </row>
    <row r="5" customFormat="false" ht="15" hidden="false" customHeight="false" outlineLevel="0" collapsed="false">
      <c r="A5" s="8" t="s">
        <v>124</v>
      </c>
      <c r="B5" s="24" t="n">
        <f aca="false">B7+B6</f>
        <v>32373.287</v>
      </c>
      <c r="C5" s="24" t="n">
        <f aca="false">C7+C6</f>
        <v>34872.4886</v>
      </c>
      <c r="D5" s="24" t="n">
        <f aca="false">D7+D6</f>
        <v>37369.7186974</v>
      </c>
      <c r="E5" s="24" t="n">
        <f aca="false">E7+E6</f>
        <v>39911.299814435</v>
      </c>
      <c r="F5" s="24" t="n">
        <f aca="false">F7+F6</f>
        <v>42528.3110123387</v>
      </c>
    </row>
    <row r="6" customFormat="false" ht="15" hidden="false" customHeight="false" outlineLevel="0" collapsed="false">
      <c r="A6" s="3" t="s">
        <v>125</v>
      </c>
      <c r="B6" s="17" t="n">
        <v>2000</v>
      </c>
      <c r="C6" s="17" t="n">
        <v>2100</v>
      </c>
      <c r="D6" s="17" t="n">
        <v>2200</v>
      </c>
      <c r="E6" s="17" t="n">
        <v>2300</v>
      </c>
      <c r="F6" s="17" t="n">
        <v>2400</v>
      </c>
    </row>
    <row r="7" customFormat="false" ht="15" hidden="false" customHeight="false" outlineLevel="0" collapsed="false">
      <c r="A7" s="8" t="s">
        <v>126</v>
      </c>
      <c r="B7" s="27" t="n">
        <f aca="false">'Income Statement'!E10</f>
        <v>30373.287</v>
      </c>
      <c r="C7" s="27" t="n">
        <f aca="false">'Income Statement'!F10</f>
        <v>32772.4886</v>
      </c>
      <c r="D7" s="27" t="n">
        <f aca="false">'Income Statement'!G10</f>
        <v>35169.7186974</v>
      </c>
      <c r="E7" s="27" t="n">
        <f aca="false">'Income Statement'!H10</f>
        <v>37611.299814435</v>
      </c>
      <c r="F7" s="27" t="n">
        <f aca="false">'Income Statement'!I10</f>
        <v>40128.3110123387</v>
      </c>
    </row>
    <row r="8" customFormat="false" ht="15" hidden="false" customHeight="false" outlineLevel="0" collapsed="false">
      <c r="A8" s="8" t="s">
        <v>127</v>
      </c>
      <c r="B8" s="24" t="n">
        <f aca="false">B7*(1-Assumptions!$B$11)</f>
        <v>26424.75969</v>
      </c>
      <c r="C8" s="24" t="n">
        <f aca="false">C7*(1-Assumptions!$B$11)</f>
        <v>28512.065082</v>
      </c>
      <c r="D8" s="24" t="n">
        <f aca="false">D7*(1-Assumptions!$B$11)</f>
        <v>30597.655266738</v>
      </c>
      <c r="E8" s="24" t="n">
        <f aca="false">E7*(1-Assumptions!$B$11)</f>
        <v>32721.8308385585</v>
      </c>
      <c r="F8" s="24" t="n">
        <f aca="false">F7*(1-Assumptions!$B$11)</f>
        <v>34911.6305807347</v>
      </c>
    </row>
    <row r="9" customFormat="false" ht="15" hidden="false" customHeight="false" outlineLevel="0" collapsed="false">
      <c r="A9" s="3" t="s">
        <v>128</v>
      </c>
      <c r="B9" s="23" t="n">
        <f aca="false">B6</f>
        <v>2000</v>
      </c>
      <c r="C9" s="23" t="n">
        <f aca="false">C6</f>
        <v>2100</v>
      </c>
      <c r="D9" s="23" t="n">
        <f aca="false">D6</f>
        <v>2200</v>
      </c>
      <c r="E9" s="23" t="n">
        <f aca="false">E6</f>
        <v>2300</v>
      </c>
      <c r="F9" s="23" t="n">
        <f aca="false">F6</f>
        <v>2400</v>
      </c>
    </row>
    <row r="10" customFormat="false" ht="15" hidden="false" customHeight="false" outlineLevel="0" collapsed="false">
      <c r="A10" s="3" t="s">
        <v>129</v>
      </c>
      <c r="B10" s="17" t="n">
        <v>-2000</v>
      </c>
      <c r="C10" s="17" t="n">
        <v>-2100</v>
      </c>
      <c r="D10" s="17" t="n">
        <v>-2200</v>
      </c>
      <c r="E10" s="17" t="n">
        <v>-2300</v>
      </c>
      <c r="F10" s="17" t="n">
        <v>-2400</v>
      </c>
    </row>
    <row r="11" customFormat="false" ht="15" hidden="false" customHeight="false" outlineLevel="0" collapsed="false">
      <c r="A11" s="3" t="s">
        <v>130</v>
      </c>
      <c r="B11" s="17" t="n">
        <v>-12200</v>
      </c>
      <c r="C11" s="17" t="n">
        <v>-12500</v>
      </c>
      <c r="D11" s="17" t="n">
        <v>-12600</v>
      </c>
      <c r="E11" s="17" t="n">
        <v>-13400</v>
      </c>
      <c r="F11" s="17" t="n">
        <v>-13400</v>
      </c>
    </row>
    <row r="12" customFormat="false" ht="15" hidden="false" customHeight="false" outlineLevel="0" collapsed="false">
      <c r="A12" s="8" t="s">
        <v>131</v>
      </c>
      <c r="B12" s="24" t="n">
        <f aca="false">B8+B9+B10+B11</f>
        <v>14224.75969</v>
      </c>
      <c r="C12" s="24" t="n">
        <f aca="false">C8+C9+C10+C11</f>
        <v>16012.065082</v>
      </c>
      <c r="D12" s="24" t="n">
        <f aca="false">D8+D9+D10+D11</f>
        <v>17997.655266738</v>
      </c>
      <c r="E12" s="24" t="n">
        <f aca="false">E8+E9+E10+E11</f>
        <v>19321.8308385585</v>
      </c>
      <c r="F12" s="24" t="n">
        <f aca="false">F8+F9+F10+F11</f>
        <v>21511.6305807347</v>
      </c>
    </row>
    <row r="13" customFormat="false" ht="15" hidden="false" customHeight="false" outlineLevel="0" collapsed="false">
      <c r="A13" s="3" t="s">
        <v>132</v>
      </c>
      <c r="B13" s="10" t="n">
        <f aca="false">1/(1+Assumptions!$B$9)^1</f>
        <v>0.903342366757001</v>
      </c>
      <c r="C13" s="10" t="n">
        <f aca="false">1/(1+Assumptions!$B$9)^2</f>
        <v>0.81602743157814</v>
      </c>
      <c r="D13" s="10" t="n">
        <f aca="false">1/(1+Assumptions!$B$9)^3</f>
        <v>0.737152151380434</v>
      </c>
      <c r="E13" s="10" t="n">
        <f aca="false">1/(1+Assumptions!$B$9)^4</f>
        <v>0.665900769088016</v>
      </c>
      <c r="F13" s="10" t="n">
        <f aca="false">1/(1+Assumptions!$B$9)^5</f>
        <v>0.601536376773275</v>
      </c>
    </row>
    <row r="14" customFormat="false" ht="15" hidden="false" customHeight="false" outlineLevel="0" collapsed="false">
      <c r="A14" s="3" t="s">
        <v>133</v>
      </c>
      <c r="B14" s="23" t="n">
        <f aca="false">B12*B13</f>
        <v>12849.8280849142</v>
      </c>
      <c r="C14" s="23" t="n">
        <f aca="false">C12*C13</f>
        <v>13066.2843431265</v>
      </c>
      <c r="D14" s="23" t="n">
        <f aca="false">D12*D13</f>
        <v>13267.0102996793</v>
      </c>
      <c r="E14" s="23" t="n">
        <f aca="false">E12*E13</f>
        <v>12866.4220155846</v>
      </c>
      <c r="F14" s="23" t="n">
        <f aca="false">F12*F13</f>
        <v>12940.0283180203</v>
      </c>
    </row>
    <row r="16" customFormat="false" ht="15" hidden="false" customHeight="false" outlineLevel="0" collapsed="false">
      <c r="A16" s="8" t="s">
        <v>134</v>
      </c>
      <c r="B16" s="24" t="n">
        <f aca="false">SUM(B14:F14)</f>
        <v>64989.5730613249</v>
      </c>
    </row>
    <row r="17" customFormat="false" ht="15" hidden="false" customHeight="false" outlineLevel="0" collapsed="false">
      <c r="A17" s="3" t="s">
        <v>135</v>
      </c>
      <c r="B17" s="23" t="n">
        <f aca="false">F12*(1+Assumptions!$B$10)</f>
        <v>22479.6539568677</v>
      </c>
    </row>
    <row r="18" customFormat="false" ht="15" hidden="false" customHeight="false" outlineLevel="0" collapsed="false">
      <c r="A18" s="3" t="s">
        <v>136</v>
      </c>
      <c r="B18" s="23" t="n">
        <f aca="false">B17/(Assumptions!$B$9-Assumptions!$B$10)</f>
        <v>362575.063820447</v>
      </c>
    </row>
    <row r="19" customFormat="false" ht="15" hidden="false" customHeight="false" outlineLevel="0" collapsed="false">
      <c r="A19" s="3" t="s">
        <v>90</v>
      </c>
      <c r="B19" s="23" t="n">
        <f aca="false">B18*F13</f>
        <v>218102.090198891</v>
      </c>
    </row>
    <row r="20" customFormat="false" ht="15" hidden="false" customHeight="false" outlineLevel="0" collapsed="false">
      <c r="A20" s="8" t="s">
        <v>137</v>
      </c>
      <c r="B20" s="24" t="n">
        <f aca="false">B16+B19</f>
        <v>283091.663260216</v>
      </c>
    </row>
    <row r="21" customFormat="false" ht="15" hidden="false" customHeight="false" outlineLevel="0" collapsed="false">
      <c r="A21" s="3" t="s">
        <v>138</v>
      </c>
      <c r="B21" s="26" t="n">
        <f aca="false">-'Balance Sheet'!D16</f>
        <v>-14000</v>
      </c>
    </row>
    <row r="22" customFormat="false" ht="15" hidden="false" customHeight="false" outlineLevel="0" collapsed="false">
      <c r="A22" s="8" t="s">
        <v>139</v>
      </c>
      <c r="B22" s="24" t="n">
        <f aca="false">B20+B21</f>
        <v>269091.663260216</v>
      </c>
    </row>
    <row r="23" customFormat="false" ht="15" hidden="false" customHeight="false" outlineLevel="0" collapsed="false">
      <c r="A23" s="8" t="s">
        <v>140</v>
      </c>
      <c r="B23" s="14" t="n">
        <f aca="false">B22/Assumptions!$B$5</f>
        <v>44.8486105433693</v>
      </c>
    </row>
    <row r="24" customFormat="false" ht="15" hidden="false" customHeight="false" outlineLevel="0" collapsed="false">
      <c r="A24" s="3" t="s">
        <v>141</v>
      </c>
      <c r="B24" s="11" t="n">
        <f aca="false">B19/B20</f>
        <v>0.770429223125561</v>
      </c>
    </row>
    <row r="26" customFormat="false" ht="15" hidden="false" customHeight="false" outlineLevel="0" collapsed="false">
      <c r="A26" s="25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3" customFormat="false" ht="15" hidden="false" customHeight="false" outlineLevel="0" collapsed="false">
      <c r="B3" s="5" t="s">
        <v>97</v>
      </c>
      <c r="C3" s="5" t="s">
        <v>98</v>
      </c>
      <c r="D3" s="5" t="s">
        <v>99</v>
      </c>
      <c r="E3" s="5" t="s">
        <v>66</v>
      </c>
      <c r="F3" s="5" t="s">
        <v>67</v>
      </c>
      <c r="G3" s="5" t="s">
        <v>68</v>
      </c>
      <c r="H3" s="5" t="s">
        <v>69</v>
      </c>
      <c r="I3" s="5" t="s">
        <v>70</v>
      </c>
    </row>
    <row r="4" customFormat="false" ht="15" hidden="false" customHeight="false" outlineLevel="0" collapsed="false">
      <c r="A4" s="3" t="s">
        <v>145</v>
      </c>
      <c r="B4" s="17" t="n">
        <v>26300</v>
      </c>
      <c r="C4" s="17" t="n">
        <v>27400</v>
      </c>
      <c r="D4" s="17" t="n">
        <v>30500</v>
      </c>
      <c r="E4" s="23" t="n">
        <f aca="false">Assumptions!B36*(('Balance Sheet'!D4+'Balance Sheet'!D5)+('Balance Sheet'!E4+'Balance Sheet'!E5))/2</f>
        <v>33270.6</v>
      </c>
      <c r="F4" s="23" t="n">
        <f aca="false">Assumptions!C36*(('Balance Sheet'!E4+'Balance Sheet'!E5)+('Balance Sheet'!F4+'Balance Sheet'!F5))/2</f>
        <v>35767.71</v>
      </c>
      <c r="G4" s="23" t="n">
        <f aca="false">Assumptions!D36*(('Balance Sheet'!F4+'Balance Sheet'!F5)+('Balance Sheet'!G4+'Balance Sheet'!G5))/2</f>
        <v>38330.4177</v>
      </c>
      <c r="H4" s="23" t="n">
        <f aca="false">Assumptions!E36*(('Balance Sheet'!G4+'Balance Sheet'!G5)+('Balance Sheet'!H4+'Balance Sheet'!H5))/2</f>
        <v>40945.718997</v>
      </c>
      <c r="I4" s="23" t="n">
        <f aca="false">Assumptions!F36*(('Balance Sheet'!H4+'Balance Sheet'!H5)+('Balance Sheet'!I4+'Balance Sheet'!I5))/2</f>
        <v>43599.61786833</v>
      </c>
    </row>
    <row r="5" customFormat="false" ht="15" hidden="false" customHeight="false" outlineLevel="0" collapsed="false">
      <c r="A5" s="3" t="s">
        <v>146</v>
      </c>
      <c r="B5" s="17" t="n">
        <v>7700</v>
      </c>
      <c r="C5" s="17" t="n">
        <v>8600</v>
      </c>
      <c r="D5" s="17" t="n">
        <v>10000</v>
      </c>
      <c r="E5" s="23" t="n">
        <f aca="false">D5*(1+Assumptions!B37)</f>
        <v>10300</v>
      </c>
      <c r="F5" s="23" t="n">
        <f aca="false">E5*(1+Assumptions!C37)</f>
        <v>10918</v>
      </c>
      <c r="G5" s="23" t="n">
        <f aca="false">F5*(1+Assumptions!D37)</f>
        <v>11627.67</v>
      </c>
      <c r="H5" s="23" t="n">
        <f aca="false">G5*(1+Assumptions!E37)</f>
        <v>12383.46855</v>
      </c>
      <c r="I5" s="23" t="n">
        <f aca="false">H5*(1+Assumptions!F37)</f>
        <v>13126.476663</v>
      </c>
    </row>
    <row r="6" customFormat="false" ht="15" hidden="false" customHeight="false" outlineLevel="0" collapsed="false">
      <c r="A6" s="8" t="s">
        <v>105</v>
      </c>
      <c r="B6" s="24" t="n">
        <f aca="false">B4+B5</f>
        <v>34000</v>
      </c>
      <c r="C6" s="24" t="n">
        <f aca="false">C4+C5</f>
        <v>36000</v>
      </c>
      <c r="D6" s="24" t="n">
        <f aca="false">D4+D5</f>
        <v>40500</v>
      </c>
      <c r="E6" s="24" t="n">
        <f aca="false">E4+E5</f>
        <v>43570.6</v>
      </c>
      <c r="F6" s="24" t="n">
        <f aca="false">F4+F5</f>
        <v>46685.71</v>
      </c>
      <c r="G6" s="24" t="n">
        <f aca="false">G4+G5</f>
        <v>49958.0877</v>
      </c>
      <c r="H6" s="24" t="n">
        <f aca="false">H4+H5</f>
        <v>53329.187547</v>
      </c>
      <c r="I6" s="24" t="n">
        <f aca="false">I4+I5</f>
        <v>56726.09453133</v>
      </c>
    </row>
    <row r="7" customFormat="false" ht="15" hidden="false" customHeight="false" outlineLevel="0" collapsed="false">
      <c r="A7" s="3" t="s">
        <v>147</v>
      </c>
      <c r="B7" s="17" t="n">
        <v>-9350</v>
      </c>
      <c r="C7" s="17" t="n">
        <v>-10190</v>
      </c>
      <c r="D7" s="17" t="n">
        <v>-10935</v>
      </c>
      <c r="E7" s="23" t="n">
        <f aca="false">-Assumptions!B38*E6</f>
        <v>-11546.209</v>
      </c>
      <c r="F7" s="23" t="n">
        <f aca="false">-Assumptions!C38*F6</f>
        <v>-12138.2846</v>
      </c>
      <c r="G7" s="23" t="n">
        <f aca="false">-Assumptions!D38*G6</f>
        <v>-12889.1866266</v>
      </c>
      <c r="H7" s="23" t="n">
        <f aca="false">-Assumptions!E38*H6</f>
        <v>-13598.942824485</v>
      </c>
      <c r="I7" s="23" t="n">
        <f aca="false">-Assumptions!F38*I6</f>
        <v>-14351.7019164265</v>
      </c>
    </row>
    <row r="8" customFormat="false" ht="15" hidden="false" customHeight="false" outlineLevel="0" collapsed="false">
      <c r="A8" s="3" t="s">
        <v>148</v>
      </c>
      <c r="B8" s="24" t="n">
        <f aca="false">B6+B7</f>
        <v>24650</v>
      </c>
      <c r="C8" s="24" t="n">
        <f aca="false">C6+C7</f>
        <v>25810</v>
      </c>
      <c r="D8" s="24" t="n">
        <f aca="false">D6+D7</f>
        <v>29565</v>
      </c>
      <c r="E8" s="24" t="n">
        <f aca="false">E6+E7</f>
        <v>32024.391</v>
      </c>
      <c r="F8" s="24" t="n">
        <f aca="false">F6+F7</f>
        <v>34547.4254</v>
      </c>
      <c r="G8" s="24" t="n">
        <f aca="false">G6+G7</f>
        <v>37068.9010734</v>
      </c>
      <c r="H8" s="24" t="n">
        <f aca="false">H6+H7</f>
        <v>39730.244722515</v>
      </c>
      <c r="I8" s="24" t="n">
        <f aca="false">I6+I7</f>
        <v>42374.3926149035</v>
      </c>
    </row>
    <row r="9" customFormat="false" ht="15" hidden="false" customHeight="false" outlineLevel="0" collapsed="false">
      <c r="A9" s="3" t="s">
        <v>149</v>
      </c>
      <c r="B9" s="17" t="n">
        <v>-900</v>
      </c>
      <c r="C9" s="17" t="n">
        <v>-1046</v>
      </c>
      <c r="D9" s="17" t="n">
        <v>-1310</v>
      </c>
      <c r="E9" s="23" t="n">
        <f aca="false">-Assumptions!B39/10000*'Balance Sheet'!E4</f>
        <v>-1651.104</v>
      </c>
      <c r="F9" s="23" t="n">
        <f aca="false">-Assumptions!C39/10000*'Balance Sheet'!F4</f>
        <v>-1774.9368</v>
      </c>
      <c r="G9" s="23" t="n">
        <f aca="false">-Assumptions!D39/10000*'Balance Sheet'!G4</f>
        <v>-1899.182376</v>
      </c>
      <c r="H9" s="23" t="n">
        <f aca="false">-Assumptions!E39/10000*'Balance Sheet'!H4</f>
        <v>-2118.94490808</v>
      </c>
      <c r="I9" s="23" t="n">
        <f aca="false">-Assumptions!F39/10000*'Balance Sheet'!I4</f>
        <v>-2246.0816025648</v>
      </c>
    </row>
    <row r="10" customFormat="false" ht="15" hidden="false" customHeight="false" outlineLevel="0" collapsed="false">
      <c r="A10" s="8" t="s">
        <v>150</v>
      </c>
      <c r="B10" s="24" t="n">
        <f aca="false">B8+B9</f>
        <v>23750</v>
      </c>
      <c r="C10" s="24" t="n">
        <f aca="false">C8+C9</f>
        <v>24764</v>
      </c>
      <c r="D10" s="24" t="n">
        <f aca="false">D8+D9</f>
        <v>28255</v>
      </c>
      <c r="E10" s="24" t="n">
        <f aca="false">E8+E9</f>
        <v>30373.287</v>
      </c>
      <c r="F10" s="24" t="n">
        <f aca="false">F8+F9</f>
        <v>32772.4886</v>
      </c>
      <c r="G10" s="24" t="n">
        <f aca="false">G8+G9</f>
        <v>35169.7186974</v>
      </c>
      <c r="H10" s="24" t="n">
        <f aca="false">H8+H9</f>
        <v>37611.299814435</v>
      </c>
      <c r="I10" s="24" t="n">
        <f aca="false">I8+I9</f>
        <v>40128.3110123387</v>
      </c>
    </row>
    <row r="11" customFormat="false" ht="15" hidden="false" customHeight="false" outlineLevel="0" collapsed="false">
      <c r="A11" s="3" t="s">
        <v>151</v>
      </c>
      <c r="B11" s="17" t="n">
        <v>-3750</v>
      </c>
      <c r="C11" s="17" t="n">
        <v>-3571</v>
      </c>
      <c r="D11" s="17" t="n">
        <v>-3205</v>
      </c>
      <c r="E11" s="23" t="n">
        <f aca="false">-Assumptions!$B$11*E10</f>
        <v>-3948.52731</v>
      </c>
      <c r="F11" s="23" t="n">
        <f aca="false">-Assumptions!$B$11*F10</f>
        <v>-4260.423518</v>
      </c>
      <c r="G11" s="23" t="n">
        <f aca="false">-Assumptions!$B$11*G10</f>
        <v>-4572.063430662</v>
      </c>
      <c r="H11" s="23" t="n">
        <f aca="false">-Assumptions!$B$11*H10</f>
        <v>-4889.46897587655</v>
      </c>
      <c r="I11" s="23" t="n">
        <f aca="false">-Assumptions!$B$11*I10</f>
        <v>-5216.68043160403</v>
      </c>
    </row>
    <row r="12" customFormat="false" ht="15" hidden="false" customHeight="false" outlineLevel="0" collapsed="false">
      <c r="A12" s="8" t="s">
        <v>152</v>
      </c>
      <c r="B12" s="24" t="n">
        <f aca="false">B10+B11</f>
        <v>20000</v>
      </c>
      <c r="C12" s="24" t="n">
        <f aca="false">C10+C11</f>
        <v>21193</v>
      </c>
      <c r="D12" s="24" t="n">
        <f aca="false">D10+D11</f>
        <v>25050</v>
      </c>
      <c r="E12" s="24" t="n">
        <f aca="false">E10+E11</f>
        <v>26424.75969</v>
      </c>
      <c r="F12" s="24" t="n">
        <f aca="false">F10+F11</f>
        <v>28512.065082</v>
      </c>
      <c r="G12" s="24" t="n">
        <f aca="false">G10+G11</f>
        <v>30597.655266738</v>
      </c>
      <c r="H12" s="24" t="n">
        <f aca="false">H10+H11</f>
        <v>32721.8308385585</v>
      </c>
      <c r="I12" s="24" t="n">
        <f aca="false">I10+I11</f>
        <v>34911.6305807347</v>
      </c>
    </row>
    <row r="13" customFormat="false" ht="15" hidden="false" customHeight="false" outlineLevel="0" collapsed="false">
      <c r="A13" s="3" t="s">
        <v>153</v>
      </c>
      <c r="B13" s="17" t="n">
        <v>-700</v>
      </c>
      <c r="C13" s="17" t="n">
        <v>-800</v>
      </c>
      <c r="D13" s="17" t="n">
        <v>-1000</v>
      </c>
      <c r="E13" s="23" t="n">
        <f aca="false">-Assumptions!B42</f>
        <v>-1100</v>
      </c>
      <c r="F13" s="23" t="n">
        <f aca="false">-Assumptions!C42</f>
        <v>-1200</v>
      </c>
      <c r="G13" s="23" t="n">
        <f aca="false">-Assumptions!D42</f>
        <v>-1250</v>
      </c>
      <c r="H13" s="23" t="n">
        <f aca="false">-Assumptions!E42</f>
        <v>-1300</v>
      </c>
      <c r="I13" s="23" t="n">
        <f aca="false">-Assumptions!F42</f>
        <v>-1350</v>
      </c>
    </row>
    <row r="14" customFormat="false" ht="15" hidden="false" customHeight="false" outlineLevel="0" collapsed="false">
      <c r="A14" s="8" t="s">
        <v>154</v>
      </c>
      <c r="B14" s="24" t="n">
        <f aca="false">B12+B13</f>
        <v>19300</v>
      </c>
      <c r="C14" s="24" t="n">
        <f aca="false">C12+C13</f>
        <v>20393</v>
      </c>
      <c r="D14" s="24" t="n">
        <f aca="false">D12+D13</f>
        <v>24050</v>
      </c>
      <c r="E14" s="24" t="n">
        <f aca="false">E12+E13</f>
        <v>25324.75969</v>
      </c>
      <c r="F14" s="24" t="n">
        <f aca="false">F12+F13</f>
        <v>27312.065082</v>
      </c>
      <c r="G14" s="24" t="n">
        <f aca="false">G12+G13</f>
        <v>29347.655266738</v>
      </c>
      <c r="H14" s="24" t="n">
        <f aca="false">H12+H13</f>
        <v>31421.8308385585</v>
      </c>
      <c r="I14" s="24" t="n">
        <f aca="false">I12+I13</f>
        <v>33561.6305807347</v>
      </c>
    </row>
    <row r="16" customFormat="false" ht="15" hidden="false" customHeight="false" outlineLevel="0" collapsed="false">
      <c r="A16" s="3" t="s">
        <v>83</v>
      </c>
      <c r="B16" s="10" t="n">
        <f aca="false">B14/Assumptions!$B$5</f>
        <v>3.21666666666667</v>
      </c>
      <c r="C16" s="10" t="n">
        <f aca="false">C14/Assumptions!$B$5</f>
        <v>3.39883333333333</v>
      </c>
      <c r="D16" s="10" t="n">
        <f aca="false">D14/Assumptions!$B$5</f>
        <v>4.00833333333333</v>
      </c>
      <c r="E16" s="10" t="n">
        <f aca="false">E14/Assumptions!$B$5</f>
        <v>4.22079328166667</v>
      </c>
      <c r="F16" s="10" t="n">
        <f aca="false">F14/Assumptions!$B$5</f>
        <v>4.552010847</v>
      </c>
      <c r="G16" s="10" t="n">
        <f aca="false">G14/Assumptions!$B$5</f>
        <v>4.89127587778967</v>
      </c>
      <c r="H16" s="10" t="n">
        <f aca="false">H14/Assumptions!$B$5</f>
        <v>5.23697180642641</v>
      </c>
      <c r="I16" s="10" t="n">
        <f aca="false">I14/Assumptions!$B$5</f>
        <v>5.59360509678911</v>
      </c>
    </row>
    <row r="18" customFormat="false" ht="15" hidden="false" customHeight="false" outlineLevel="0" collapsed="false">
      <c r="A18" s="25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3" customFormat="false" ht="15" hidden="false" customHeight="false" outlineLevel="0" collapsed="false">
      <c r="B3" s="5" t="s">
        <v>97</v>
      </c>
      <c r="C3" s="5" t="s">
        <v>98</v>
      </c>
      <c r="D3" s="5" t="s">
        <v>99</v>
      </c>
      <c r="E3" s="5" t="s">
        <v>66</v>
      </c>
      <c r="F3" s="5" t="s">
        <v>67</v>
      </c>
      <c r="G3" s="5" t="s">
        <v>68</v>
      </c>
      <c r="H3" s="5" t="s">
        <v>69</v>
      </c>
      <c r="I3" s="5" t="s">
        <v>70</v>
      </c>
    </row>
    <row r="4" customFormat="false" ht="15" hidden="false" customHeight="false" outlineLevel="0" collapsed="false">
      <c r="A4" s="3" t="s">
        <v>158</v>
      </c>
      <c r="B4" s="17" t="n">
        <v>600000</v>
      </c>
      <c r="C4" s="17" t="n">
        <v>654000</v>
      </c>
      <c r="D4" s="17" t="n">
        <v>728000</v>
      </c>
      <c r="E4" s="23" t="n">
        <f aca="false">D4*(1+Assumptions!B33)</f>
        <v>786240</v>
      </c>
      <c r="F4" s="23" t="n">
        <f aca="false">E4*(1+Assumptions!C33)</f>
        <v>845208</v>
      </c>
      <c r="G4" s="23" t="n">
        <f aca="false">F4*(1+Assumptions!D33)</f>
        <v>904372.56</v>
      </c>
      <c r="H4" s="23" t="n">
        <f aca="false">G4*(1+Assumptions!E33)</f>
        <v>963156.7764</v>
      </c>
      <c r="I4" s="23" t="n">
        <f aca="false">H4*(1+Assumptions!F33)</f>
        <v>1020946.182984</v>
      </c>
    </row>
    <row r="5" customFormat="false" ht="15" hidden="false" customHeight="false" outlineLevel="0" collapsed="false">
      <c r="A5" s="3" t="s">
        <v>159</v>
      </c>
      <c r="B5" s="17" t="n">
        <v>270000</v>
      </c>
      <c r="C5" s="17" t="n">
        <v>300000</v>
      </c>
      <c r="D5" s="17" t="n">
        <v>340000</v>
      </c>
      <c r="E5" s="23" t="n">
        <f aca="false">D5*(1+Assumptions!B34)</f>
        <v>363800</v>
      </c>
      <c r="F5" s="23" t="n">
        <f aca="false">E5*(1+Assumptions!C34)</f>
        <v>389266</v>
      </c>
      <c r="G5" s="23" t="n">
        <f aca="false">F5*(1+Assumptions!D34)</f>
        <v>416514.62</v>
      </c>
      <c r="H5" s="23" t="n">
        <f aca="false">G5*(1+Assumptions!E34)</f>
        <v>445670.6434</v>
      </c>
      <c r="I5" s="23" t="n">
        <f aca="false">H5*(1+Assumptions!F34)</f>
        <v>476867.588438</v>
      </c>
    </row>
    <row r="6" customFormat="false" ht="15" hidden="false" customHeight="false" outlineLevel="0" collapsed="false">
      <c r="A6" s="3" t="s">
        <v>160</v>
      </c>
      <c r="B6" s="17" t="n">
        <v>167000</v>
      </c>
      <c r="C6" s="17" t="n">
        <v>150000</v>
      </c>
      <c r="D6" s="17" t="n">
        <v>187000</v>
      </c>
      <c r="E6" s="23" t="n">
        <f aca="false">D6*1.06</f>
        <v>198220</v>
      </c>
      <c r="F6" s="23" t="n">
        <f aca="false">E6*1.06</f>
        <v>210113.2</v>
      </c>
      <c r="G6" s="23" t="n">
        <f aca="false">F6*1.06</f>
        <v>222719.992</v>
      </c>
      <c r="H6" s="23" t="n">
        <f aca="false">G6*1.06</f>
        <v>236083.19152</v>
      </c>
      <c r="I6" s="23" t="n">
        <f aca="false">H6*1.06</f>
        <v>250248.1830112</v>
      </c>
    </row>
    <row r="7" customFormat="false" ht="15" hidden="false" customHeight="false" outlineLevel="0" collapsed="false">
      <c r="A7" s="8" t="s">
        <v>161</v>
      </c>
      <c r="B7" s="24" t="n">
        <f aca="false">B4+B5+B6</f>
        <v>1037000</v>
      </c>
      <c r="C7" s="24" t="n">
        <f aca="false">C4+C5+C6</f>
        <v>1104000</v>
      </c>
      <c r="D7" s="24" t="n">
        <f aca="false">D4+D5+D6</f>
        <v>1255000</v>
      </c>
      <c r="E7" s="24" t="n">
        <f aca="false">E4+E5+E6</f>
        <v>1348260</v>
      </c>
      <c r="F7" s="24" t="n">
        <f aca="false">F4+F5+F6</f>
        <v>1444587.2</v>
      </c>
      <c r="G7" s="24" t="n">
        <f aca="false">G4+G5+G6</f>
        <v>1543607.172</v>
      </c>
      <c r="H7" s="24" t="n">
        <f aca="false">H4+H5+H6</f>
        <v>1644910.61132</v>
      </c>
      <c r="I7" s="24" t="n">
        <f aca="false">I4+I5+I6</f>
        <v>1748061.9544332</v>
      </c>
    </row>
    <row r="9" customFormat="false" ht="15" hidden="false" customHeight="false" outlineLevel="0" collapsed="false">
      <c r="A9" s="3" t="s">
        <v>162</v>
      </c>
      <c r="B9" s="17" t="n">
        <v>638000</v>
      </c>
      <c r="C9" s="17" t="n">
        <v>625000</v>
      </c>
      <c r="D9" s="17" t="n">
        <v>690000</v>
      </c>
      <c r="E9" s="23" t="n">
        <f aca="false">D9*(1+Assumptions!B35)</f>
        <v>746580</v>
      </c>
      <c r="F9" s="23" t="n">
        <f aca="false">E9*(1+Assumptions!C35)</f>
        <v>804813.24</v>
      </c>
      <c r="G9" s="23" t="n">
        <f aca="false">F9*(1+Assumptions!D35)</f>
        <v>861150.1668</v>
      </c>
      <c r="H9" s="23" t="n">
        <f aca="false">G9*(1+Assumptions!E35)</f>
        <v>917986.0778088</v>
      </c>
      <c r="I9" s="23" t="n">
        <f aca="false">H9*(1+Assumptions!F35)</f>
        <v>974901.214632946</v>
      </c>
    </row>
    <row r="10" customFormat="false" ht="15" hidden="false" customHeight="false" outlineLevel="0" collapsed="false">
      <c r="A10" s="3" t="s">
        <v>163</v>
      </c>
      <c r="B10" s="23" t="n">
        <f aca="false">B7-B12-B9</f>
        <v>233000</v>
      </c>
      <c r="C10" s="23" t="n">
        <f aca="false">C7-C12-C9</f>
        <v>303000</v>
      </c>
      <c r="D10" s="23" t="n">
        <f aca="false">D7-D12-D9</f>
        <v>368000</v>
      </c>
      <c r="E10" s="23" t="n">
        <f aca="false">E7-E12-E9</f>
        <v>392777.3629457</v>
      </c>
      <c r="F10" s="23" t="n">
        <f aca="false">F7-F12-F9</f>
        <v>418580.8936588</v>
      </c>
      <c r="G10" s="23" t="n">
        <f aca="false">G7-G12-G9</f>
        <v>448644.447094103</v>
      </c>
      <c r="H10" s="23" t="n">
        <f aca="false">H7-H12-H9</f>
        <v>480229.024761494</v>
      </c>
      <c r="I10" s="23" t="n">
        <f aca="false">I7-I12-I9</f>
        <v>513040.578818254</v>
      </c>
    </row>
    <row r="12" customFormat="false" ht="15" hidden="false" customHeight="false" outlineLevel="0" collapsed="false">
      <c r="A12" s="3" t="s">
        <v>164</v>
      </c>
      <c r="B12" s="17" t="n">
        <v>166000</v>
      </c>
      <c r="C12" s="17" t="n">
        <v>176000</v>
      </c>
      <c r="D12" s="17" t="n">
        <v>197000</v>
      </c>
      <c r="E12" s="23" t="n">
        <f aca="false">D12+'Income Statement'!E14*(1-Assumptions!B40)</f>
        <v>208902.6370543</v>
      </c>
      <c r="F12" s="23" t="n">
        <f aca="false">E12+'Income Statement'!F14*(1-Assumptions!C40)</f>
        <v>221193.0663412</v>
      </c>
      <c r="G12" s="23" t="n">
        <f aca="false">F12+'Income Statement'!G14*(1-Assumptions!D40)</f>
        <v>233812.558105897</v>
      </c>
      <c r="H12" s="23" t="n">
        <f aca="false">G12+'Income Statement'!H14*(1-Assumptions!E40)</f>
        <v>246695.508749706</v>
      </c>
      <c r="I12" s="23" t="n">
        <f aca="false">H12+'Income Statement'!I14*(1-Assumptions!F40)</f>
        <v>260120.160982</v>
      </c>
    </row>
    <row r="13" customFormat="false" ht="15" hidden="false" customHeight="false" outlineLevel="0" collapsed="false">
      <c r="A13" s="8" t="s">
        <v>165</v>
      </c>
      <c r="B13" s="24" t="n">
        <f aca="false">B9+B10+B12</f>
        <v>1037000</v>
      </c>
      <c r="C13" s="24" t="n">
        <f aca="false">C9+C10+C12</f>
        <v>1104000</v>
      </c>
      <c r="D13" s="24" t="n">
        <f aca="false">D9+D10+D12</f>
        <v>1255000</v>
      </c>
      <c r="E13" s="24" t="n">
        <f aca="false">E9+E10+E12</f>
        <v>1348260</v>
      </c>
      <c r="F13" s="24" t="n">
        <f aca="false">F9+F10+F12</f>
        <v>1444587.2</v>
      </c>
      <c r="G13" s="24" t="n">
        <f aca="false">G9+G10+G12</f>
        <v>1543607.172</v>
      </c>
      <c r="H13" s="24" t="n">
        <f aca="false">H9+H10+H12</f>
        <v>1644910.61132</v>
      </c>
      <c r="I13" s="24" t="n">
        <f aca="false">I9+I10+I12</f>
        <v>1748061.9544332</v>
      </c>
    </row>
    <row r="14" customFormat="false" ht="15" hidden="false" customHeight="false" outlineLevel="0" collapsed="false">
      <c r="A14" s="3" t="s">
        <v>166</v>
      </c>
      <c r="B14" s="23" t="n">
        <f aca="false">B7-B13</f>
        <v>0</v>
      </c>
      <c r="C14" s="23" t="n">
        <f aca="false">C7-C13</f>
        <v>0</v>
      </c>
      <c r="D14" s="23" t="n">
        <f aca="false">D7-D13</f>
        <v>0</v>
      </c>
      <c r="E14" s="23" t="n">
        <f aca="false">E7-E13</f>
        <v>0</v>
      </c>
      <c r="F14" s="23" t="n">
        <f aca="false">F7-F13</f>
        <v>0</v>
      </c>
      <c r="G14" s="23" t="n">
        <f aca="false">G7-G13</f>
        <v>0</v>
      </c>
      <c r="H14" s="23" t="n">
        <f aca="false">H7-H13</f>
        <v>0</v>
      </c>
      <c r="I14" s="23" t="n">
        <f aca="false">I7-I13</f>
        <v>0</v>
      </c>
    </row>
    <row r="15" customFormat="false" ht="15" hidden="false" customHeight="false" outlineLevel="0" collapsed="false">
      <c r="A15" s="3" t="s">
        <v>167</v>
      </c>
      <c r="B15" s="17" t="n">
        <v>700000</v>
      </c>
      <c r="C15" s="17" t="n">
        <v>750000</v>
      </c>
      <c r="D15" s="17" t="n">
        <v>830000</v>
      </c>
      <c r="E15" s="23" t="n">
        <f aca="false">D15*(1+Assumptions!B41)</f>
        <v>899720</v>
      </c>
      <c r="F15" s="23" t="n">
        <f aca="false">E15*(1+Assumptions!C41)</f>
        <v>969898.16</v>
      </c>
      <c r="G15" s="23" t="n">
        <f aca="false">F15*(1+Assumptions!D41)</f>
        <v>1039730.82752</v>
      </c>
      <c r="H15" s="23" t="n">
        <f aca="false">G15*(1+Assumptions!E41)</f>
        <v>1114591.44710144</v>
      </c>
      <c r="I15" s="23" t="n">
        <f aca="false">H15*(1+Assumptions!F41)</f>
        <v>1189269.07405724</v>
      </c>
    </row>
    <row r="16" customFormat="false" ht="15" hidden="false" customHeight="false" outlineLevel="0" collapsed="false">
      <c r="A16" s="3" t="s">
        <v>168</v>
      </c>
      <c r="B16" s="17" t="n">
        <v>12000</v>
      </c>
      <c r="C16" s="17" t="n">
        <v>14000</v>
      </c>
      <c r="D16" s="17" t="n">
        <v>14000</v>
      </c>
      <c r="E16" s="17" t="n">
        <v>15000</v>
      </c>
      <c r="F16" s="17" t="n">
        <v>15000</v>
      </c>
      <c r="G16" s="17" t="n">
        <v>16000</v>
      </c>
      <c r="H16" s="17" t="n">
        <v>16000</v>
      </c>
      <c r="I16" s="17" t="n">
        <v>16000</v>
      </c>
    </row>
    <row r="17" customFormat="false" ht="15" hidden="false" customHeight="false" outlineLevel="0" collapsed="false">
      <c r="A17" s="3" t="s">
        <v>169</v>
      </c>
      <c r="B17" s="23" t="n">
        <f aca="false">B12-B16</f>
        <v>154000</v>
      </c>
      <c r="C17" s="23" t="n">
        <f aca="false">C12-C16</f>
        <v>162000</v>
      </c>
      <c r="D17" s="23" t="n">
        <f aca="false">D12-D16</f>
        <v>183000</v>
      </c>
      <c r="E17" s="23" t="n">
        <f aca="false">E12-E16</f>
        <v>193902.6370543</v>
      </c>
      <c r="F17" s="23" t="n">
        <f aca="false">F12-F16</f>
        <v>206193.0663412</v>
      </c>
      <c r="G17" s="23" t="n">
        <f aca="false">G12-G16</f>
        <v>217812.558105897</v>
      </c>
      <c r="H17" s="23" t="n">
        <f aca="false">H12-H16</f>
        <v>230695.508749706</v>
      </c>
      <c r="I17" s="23" t="n">
        <f aca="false">I12-I16</f>
        <v>244120.160982</v>
      </c>
    </row>
    <row r="18" customFormat="false" ht="15" hidden="false" customHeight="false" outlineLevel="0" collapsed="false">
      <c r="A18" s="3" t="s">
        <v>170</v>
      </c>
      <c r="B18" s="11" t="n">
        <f aca="false">B4/B9</f>
        <v>0.940438871473354</v>
      </c>
      <c r="C18" s="11" t="n">
        <f aca="false">C4/C9</f>
        <v>1.0464</v>
      </c>
      <c r="D18" s="11" t="n">
        <f aca="false">D4/D9</f>
        <v>1.05507246376812</v>
      </c>
      <c r="E18" s="11" t="n">
        <f aca="false">E4/E9</f>
        <v>1.05312223740256</v>
      </c>
      <c r="F18" s="11" t="n">
        <f aca="false">F4/F9</f>
        <v>1.05019147050811</v>
      </c>
      <c r="G18" s="11" t="n">
        <f aca="false">G4/G9</f>
        <v>1.05019147050811</v>
      </c>
      <c r="H18" s="11" t="n">
        <f aca="false">H4/H9</f>
        <v>1.04920630027312</v>
      </c>
      <c r="I18" s="11" t="n">
        <f aca="false">I4/I9</f>
        <v>1.04723039386959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3" customFormat="false" ht="15" hidden="false" customHeight="false" outlineLevel="0" collapsed="false">
      <c r="B3" s="5" t="s">
        <v>66</v>
      </c>
      <c r="C3" s="5" t="s">
        <v>67</v>
      </c>
      <c r="D3" s="5" t="s">
        <v>68</v>
      </c>
      <c r="E3" s="5" t="s">
        <v>69</v>
      </c>
      <c r="F3" s="5" t="s">
        <v>70</v>
      </c>
    </row>
    <row r="4" customFormat="false" ht="15" hidden="false" customHeight="false" outlineLevel="0" collapsed="false">
      <c r="A4" s="3" t="s">
        <v>154</v>
      </c>
      <c r="B4" s="26" t="n">
        <f aca="false">'Income Statement'!E14</f>
        <v>25324.75969</v>
      </c>
      <c r="C4" s="26" t="n">
        <f aca="false">'Income Statement'!F14</f>
        <v>27312.065082</v>
      </c>
      <c r="D4" s="26" t="n">
        <f aca="false">'Income Statement'!G14</f>
        <v>29347.655266738</v>
      </c>
      <c r="E4" s="26" t="n">
        <f aca="false">'Income Statement'!H14</f>
        <v>31421.8308385585</v>
      </c>
      <c r="F4" s="26" t="n">
        <f aca="false">'Income Statement'!I14</f>
        <v>33561.6305807347</v>
      </c>
    </row>
    <row r="5" customFormat="false" ht="15" hidden="false" customHeight="false" outlineLevel="0" collapsed="false">
      <c r="A5" s="3" t="s">
        <v>173</v>
      </c>
      <c r="B5" s="23" t="n">
        <f aca="false">-'Income Statement'!E14*Assumptions!B40</f>
        <v>-13422.1226357</v>
      </c>
      <c r="C5" s="23" t="n">
        <f aca="false">-'Income Statement'!F14*Assumptions!C40</f>
        <v>-15021.6357951</v>
      </c>
      <c r="D5" s="23" t="n">
        <f aca="false">-'Income Statement'!G14*Assumptions!D40</f>
        <v>-16728.1635020407</v>
      </c>
      <c r="E5" s="23" t="n">
        <f aca="false">-'Income Statement'!H14*Assumptions!E40</f>
        <v>-18538.8801947495</v>
      </c>
      <c r="F5" s="23" t="n">
        <f aca="false">-'Income Statement'!I14*Assumptions!F40</f>
        <v>-20136.9783484408</v>
      </c>
    </row>
    <row r="6" customFormat="false" ht="15" hidden="false" customHeight="false" outlineLevel="0" collapsed="false">
      <c r="A6" s="8" t="s">
        <v>174</v>
      </c>
      <c r="B6" s="24" t="n">
        <f aca="false">B4+B5</f>
        <v>11902.6370543</v>
      </c>
      <c r="C6" s="24" t="n">
        <f aca="false">C4+C5</f>
        <v>12290.4292869</v>
      </c>
      <c r="D6" s="24" t="n">
        <f aca="false">D4+D5</f>
        <v>12619.4917646973</v>
      </c>
      <c r="E6" s="24" t="n">
        <f aca="false">E4+E5</f>
        <v>12882.950643809</v>
      </c>
      <c r="F6" s="24" t="n">
        <f aca="false">F4+F5</f>
        <v>13424.6522322939</v>
      </c>
    </row>
    <row r="7" customFormat="false" ht="15" hidden="false" customHeight="false" outlineLevel="0" collapsed="false">
      <c r="A7" s="3" t="s">
        <v>175</v>
      </c>
      <c r="B7" s="26" t="n">
        <f aca="false">-('Balance Sheet'!E15-'Balance Sheet'!D15)*Assumptions!$B$16</f>
        <v>-11852.4</v>
      </c>
      <c r="C7" s="26" t="n">
        <f aca="false">-('Balance Sheet'!F15-'Balance Sheet'!E15)*Assumptions!$B$16</f>
        <v>-11930.2872</v>
      </c>
      <c r="D7" s="26" t="n">
        <f aca="false">-('Balance Sheet'!G15-'Balance Sheet'!F15)*Assumptions!$B$16</f>
        <v>-11871.5534784</v>
      </c>
      <c r="E7" s="26" t="n">
        <f aca="false">-('Balance Sheet'!H15-'Balance Sheet'!G15)*Assumptions!$B$16</f>
        <v>-12726.3053288448</v>
      </c>
      <c r="F7" s="26" t="n">
        <f aca="false">-('Balance Sheet'!I15-'Balance Sheet'!H15)*Assumptions!$B$16</f>
        <v>-12695.1965824854</v>
      </c>
    </row>
    <row r="8" customFormat="false" ht="15" hidden="false" customHeight="false" outlineLevel="0" collapsed="false">
      <c r="A8" s="8" t="s">
        <v>176</v>
      </c>
      <c r="B8" s="24" t="n">
        <f aca="false">B6+B7</f>
        <v>50.2370542999779</v>
      </c>
      <c r="C8" s="24" t="n">
        <f aca="false">C6+C7</f>
        <v>360.142086899992</v>
      </c>
      <c r="D8" s="24" t="n">
        <f aca="false">D6+D7</f>
        <v>747.938286297336</v>
      </c>
      <c r="E8" s="24" t="n">
        <f aca="false">E6+E7</f>
        <v>156.645314964146</v>
      </c>
      <c r="F8" s="24" t="n">
        <f aca="false">F6+F7</f>
        <v>729.455649808468</v>
      </c>
    </row>
    <row r="10" customFormat="false" ht="15" hidden="false" customHeight="false" outlineLevel="0" collapsed="false">
      <c r="A10" s="3" t="s">
        <v>177</v>
      </c>
      <c r="B10" s="26" t="n">
        <f aca="false">'Balance Sheet'!E17</f>
        <v>193902.6370543</v>
      </c>
      <c r="C10" s="26" t="n">
        <f aca="false">'Balance Sheet'!F17</f>
        <v>206193.0663412</v>
      </c>
      <c r="D10" s="26" t="n">
        <f aca="false">'Balance Sheet'!G17</f>
        <v>217812.558105897</v>
      </c>
      <c r="E10" s="26" t="n">
        <f aca="false">'Balance Sheet'!H17</f>
        <v>230695.508749706</v>
      </c>
      <c r="F10" s="26" t="n">
        <f aca="false">'Balance Sheet'!I17</f>
        <v>244120.160982</v>
      </c>
    </row>
    <row r="11" customFormat="false" ht="15" hidden="false" customHeight="false" outlineLevel="0" collapsed="false">
      <c r="A11" s="3" t="s">
        <v>178</v>
      </c>
      <c r="B11" s="11" t="n">
        <f aca="false">'Balance Sheet'!E17/'Balance Sheet'!E15</f>
        <v>0.215514423436514</v>
      </c>
      <c r="C11" s="11" t="n">
        <f aca="false">'Balance Sheet'!F17/'Balance Sheet'!F15</f>
        <v>0.212592491505706</v>
      </c>
      <c r="D11" s="11" t="n">
        <f aca="false">'Balance Sheet'!G17/'Balance Sheet'!G15</f>
        <v>0.209489371999704</v>
      </c>
      <c r="E11" s="11" t="n">
        <f aca="false">'Balance Sheet'!H17/'Balance Sheet'!H15</f>
        <v>0.206977641313903</v>
      </c>
      <c r="F11" s="11" t="n">
        <f aca="false">'Balance Sheet'!I17/'Balance Sheet'!I15</f>
        <v>0.205269073506784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3" customFormat="false" ht="15" hidden="false" customHeight="false" outlineLevel="0" collapsed="false">
      <c r="B3" s="5" t="s">
        <v>97</v>
      </c>
      <c r="C3" s="5" t="s">
        <v>98</v>
      </c>
      <c r="D3" s="5" t="s">
        <v>99</v>
      </c>
      <c r="E3" s="5" t="s">
        <v>66</v>
      </c>
      <c r="F3" s="5" t="s">
        <v>67</v>
      </c>
      <c r="G3" s="5" t="s">
        <v>68</v>
      </c>
      <c r="H3" s="5" t="s">
        <v>69</v>
      </c>
      <c r="I3" s="5" t="s">
        <v>70</v>
      </c>
    </row>
    <row r="4" customFormat="false" ht="15" hidden="false" customHeight="false" outlineLevel="0" collapsed="false">
      <c r="A4" s="3" t="s">
        <v>105</v>
      </c>
      <c r="B4" s="26" t="n">
        <f aca="false">'Income Statement'!B6</f>
        <v>34000</v>
      </c>
      <c r="C4" s="26" t="n">
        <f aca="false">'Income Statement'!C6</f>
        <v>36000</v>
      </c>
      <c r="D4" s="26" t="n">
        <f aca="false">'Income Statement'!D6</f>
        <v>40500</v>
      </c>
      <c r="E4" s="26" t="n">
        <f aca="false">'Income Statement'!E6</f>
        <v>43570.6</v>
      </c>
      <c r="F4" s="26" t="n">
        <f aca="false">'Income Statement'!F6</f>
        <v>46685.71</v>
      </c>
      <c r="G4" s="26" t="n">
        <f aca="false">'Income Statement'!G6</f>
        <v>49958.0877</v>
      </c>
      <c r="H4" s="26" t="n">
        <f aca="false">'Income Statement'!H6</f>
        <v>53329.187547</v>
      </c>
      <c r="I4" s="26" t="n">
        <f aca="false">'Income Statement'!I6</f>
        <v>56726.09453133</v>
      </c>
    </row>
    <row r="5" customFormat="false" ht="15" hidden="false" customHeight="false" outlineLevel="0" collapsed="false">
      <c r="A5" s="3" t="s">
        <v>148</v>
      </c>
      <c r="B5" s="26" t="n">
        <f aca="false">'Income Statement'!B8</f>
        <v>24650</v>
      </c>
      <c r="C5" s="26" t="n">
        <f aca="false">'Income Statement'!C8</f>
        <v>25810</v>
      </c>
      <c r="D5" s="26" t="n">
        <f aca="false">'Income Statement'!D8</f>
        <v>29565</v>
      </c>
      <c r="E5" s="26" t="n">
        <f aca="false">'Income Statement'!E8</f>
        <v>32024.391</v>
      </c>
      <c r="F5" s="26" t="n">
        <f aca="false">'Income Statement'!F8</f>
        <v>34547.4254</v>
      </c>
      <c r="G5" s="26" t="n">
        <f aca="false">'Income Statement'!G8</f>
        <v>37068.9010734</v>
      </c>
      <c r="H5" s="26" t="n">
        <f aca="false">'Income Statement'!H8</f>
        <v>39730.244722515</v>
      </c>
      <c r="I5" s="26" t="n">
        <f aca="false">'Income Statement'!I8</f>
        <v>42374.3926149035</v>
      </c>
    </row>
    <row r="6" customFormat="false" ht="15" hidden="false" customHeight="false" outlineLevel="0" collapsed="false">
      <c r="A6" s="3" t="s">
        <v>152</v>
      </c>
      <c r="B6" s="26" t="n">
        <f aca="false">'Income Statement'!B12</f>
        <v>20000</v>
      </c>
      <c r="C6" s="26" t="n">
        <f aca="false">'Income Statement'!C12</f>
        <v>21193</v>
      </c>
      <c r="D6" s="26" t="n">
        <f aca="false">'Income Statement'!D12</f>
        <v>25050</v>
      </c>
      <c r="E6" s="26" t="n">
        <f aca="false">'Income Statement'!E12</f>
        <v>26424.75969</v>
      </c>
      <c r="F6" s="26" t="n">
        <f aca="false">'Income Statement'!F12</f>
        <v>28512.065082</v>
      </c>
      <c r="G6" s="26" t="n">
        <f aca="false">'Income Statement'!G12</f>
        <v>30597.655266738</v>
      </c>
      <c r="H6" s="26" t="n">
        <f aca="false">'Income Statement'!H12</f>
        <v>32721.8308385585</v>
      </c>
      <c r="I6" s="26" t="n">
        <f aca="false">'Income Statement'!I12</f>
        <v>34911.6305807347</v>
      </c>
    </row>
    <row r="7" customFormat="false" ht="15" hidden="false" customHeight="false" outlineLevel="0" collapsed="false">
      <c r="A7" s="3" t="s">
        <v>158</v>
      </c>
      <c r="B7" s="26" t="n">
        <f aca="false">'Balance Sheet'!B4</f>
        <v>600000</v>
      </c>
      <c r="C7" s="26" t="n">
        <f aca="false">'Balance Sheet'!C4</f>
        <v>654000</v>
      </c>
      <c r="D7" s="26" t="n">
        <f aca="false">'Balance Sheet'!D4</f>
        <v>728000</v>
      </c>
      <c r="E7" s="26" t="n">
        <f aca="false">'Balance Sheet'!E4</f>
        <v>786240</v>
      </c>
      <c r="F7" s="26" t="n">
        <f aca="false">'Balance Sheet'!F4</f>
        <v>845208</v>
      </c>
      <c r="G7" s="26" t="n">
        <f aca="false">'Balance Sheet'!G4</f>
        <v>904372.56</v>
      </c>
      <c r="H7" s="26" t="n">
        <f aca="false">'Balance Sheet'!H4</f>
        <v>963156.7764</v>
      </c>
      <c r="I7" s="26" t="n">
        <f aca="false">'Balance Sheet'!I4</f>
        <v>1020946.182984</v>
      </c>
    </row>
    <row r="8" customFormat="false" ht="15" hidden="false" customHeight="false" outlineLevel="0" collapsed="false">
      <c r="A8" s="3" t="s">
        <v>162</v>
      </c>
      <c r="B8" s="26" t="n">
        <f aca="false">'Balance Sheet'!B9</f>
        <v>638000</v>
      </c>
      <c r="C8" s="26" t="n">
        <f aca="false">'Balance Sheet'!C9</f>
        <v>625000</v>
      </c>
      <c r="D8" s="26" t="n">
        <f aca="false">'Balance Sheet'!D9</f>
        <v>690000</v>
      </c>
      <c r="E8" s="26" t="n">
        <f aca="false">'Balance Sheet'!E9</f>
        <v>746580</v>
      </c>
      <c r="F8" s="26" t="n">
        <f aca="false">'Balance Sheet'!F9</f>
        <v>804813.24</v>
      </c>
      <c r="G8" s="26" t="n">
        <f aca="false">'Balance Sheet'!G9</f>
        <v>861150.1668</v>
      </c>
      <c r="H8" s="26" t="n">
        <f aca="false">'Balance Sheet'!H9</f>
        <v>917986.0778088</v>
      </c>
      <c r="I8" s="26" t="n">
        <f aca="false">'Balance Sheet'!I9</f>
        <v>974901.214632946</v>
      </c>
    </row>
    <row r="9" customFormat="false" ht="15" hidden="false" customHeight="false" outlineLevel="0" collapsed="false">
      <c r="A9" s="3" t="s">
        <v>161</v>
      </c>
      <c r="B9" s="26" t="n">
        <f aca="false">'Balance Sheet'!B7</f>
        <v>1037000</v>
      </c>
      <c r="C9" s="26" t="n">
        <f aca="false">'Balance Sheet'!C7</f>
        <v>1104000</v>
      </c>
      <c r="D9" s="26" t="n">
        <f aca="false">'Balance Sheet'!D7</f>
        <v>1255000</v>
      </c>
      <c r="E9" s="26" t="n">
        <f aca="false">'Balance Sheet'!E7</f>
        <v>1348260</v>
      </c>
      <c r="F9" s="26" t="n">
        <f aca="false">'Balance Sheet'!F7</f>
        <v>1444587.2</v>
      </c>
      <c r="G9" s="26" t="n">
        <f aca="false">'Balance Sheet'!G7</f>
        <v>1543607.172</v>
      </c>
      <c r="H9" s="26" t="n">
        <f aca="false">'Balance Sheet'!H7</f>
        <v>1644910.61132</v>
      </c>
      <c r="I9" s="26" t="n">
        <f aca="false">'Balance Sheet'!I7</f>
        <v>1748061.9544332</v>
      </c>
    </row>
    <row r="10" customFormat="false" ht="15" hidden="false" customHeight="false" outlineLevel="0" collapsed="false">
      <c r="A10" s="3" t="s">
        <v>164</v>
      </c>
      <c r="B10" s="26" t="n">
        <f aca="false">'Balance Sheet'!B12</f>
        <v>166000</v>
      </c>
      <c r="C10" s="26" t="n">
        <f aca="false">'Balance Sheet'!C12</f>
        <v>176000</v>
      </c>
      <c r="D10" s="26" t="n">
        <f aca="false">'Balance Sheet'!D12</f>
        <v>197000</v>
      </c>
      <c r="E10" s="26" t="n">
        <f aca="false">'Balance Sheet'!E12</f>
        <v>208902.6370543</v>
      </c>
      <c r="F10" s="26" t="n">
        <f aca="false">'Balance Sheet'!F12</f>
        <v>221193.0663412</v>
      </c>
      <c r="G10" s="26" t="n">
        <f aca="false">'Balance Sheet'!G12</f>
        <v>233812.558105897</v>
      </c>
      <c r="H10" s="26" t="n">
        <f aca="false">'Balance Sheet'!H12</f>
        <v>246695.508749706</v>
      </c>
      <c r="I10" s="26" t="n">
        <f aca="false">'Balance Sheet'!I12</f>
        <v>260120.160982</v>
      </c>
    </row>
    <row r="11" customFormat="false" ht="15" hidden="false" customHeight="false" outlineLevel="0" collapsed="false">
      <c r="A11" s="3" t="s">
        <v>181</v>
      </c>
      <c r="B11" s="26" t="n">
        <f aca="false">'Balance Sheet'!B15</f>
        <v>700000</v>
      </c>
      <c r="C11" s="26" t="n">
        <f aca="false">'Balance Sheet'!C15</f>
        <v>750000</v>
      </c>
      <c r="D11" s="26" t="n">
        <f aca="false">'Balance Sheet'!D15</f>
        <v>830000</v>
      </c>
      <c r="E11" s="26" t="n">
        <f aca="false">'Balance Sheet'!E15</f>
        <v>899720</v>
      </c>
      <c r="F11" s="26" t="n">
        <f aca="false">'Balance Sheet'!F15</f>
        <v>969898.16</v>
      </c>
      <c r="G11" s="26" t="n">
        <f aca="false">'Balance Sheet'!G15</f>
        <v>1039730.82752</v>
      </c>
      <c r="H11" s="26" t="n">
        <f aca="false">'Balance Sheet'!H15</f>
        <v>1114591.44710144</v>
      </c>
      <c r="I11" s="26" t="n">
        <f aca="false">'Balance Sheet'!I15</f>
        <v>1189269.07405724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15" hidden="false" customHeight="false" outlineLevel="0" collapsed="false">
      <c r="A4" s="28" t="s">
        <v>184</v>
      </c>
    </row>
    <row r="5" customFormat="false" ht="15" hidden="false" customHeight="false" outlineLevel="0" collapsed="false">
      <c r="A5" s="12" t="s">
        <v>185</v>
      </c>
      <c r="B5" s="5" t="s">
        <v>186</v>
      </c>
      <c r="C5" s="5" t="s">
        <v>187</v>
      </c>
      <c r="D5" s="5" t="s">
        <v>188</v>
      </c>
      <c r="E5" s="5" t="s">
        <v>189</v>
      </c>
      <c r="F5" s="5" t="s">
        <v>190</v>
      </c>
    </row>
    <row r="6" customFormat="false" ht="15" hidden="false" customHeight="false" outlineLevel="0" collapsed="false">
      <c r="A6" s="3" t="s">
        <v>191</v>
      </c>
      <c r="B6" s="10" t="n">
        <v>33.75</v>
      </c>
      <c r="C6" s="10" t="n">
        <v>37.1</v>
      </c>
      <c r="D6" s="10" t="n">
        <v>39.03</v>
      </c>
      <c r="E6" s="10" t="n">
        <v>40.93</v>
      </c>
      <c r="F6" s="10" t="n">
        <v>44.44</v>
      </c>
    </row>
    <row r="7" customFormat="false" ht="15" hidden="false" customHeight="false" outlineLevel="0" collapsed="false">
      <c r="A7" s="3" t="s">
        <v>192</v>
      </c>
      <c r="B7" s="10" t="n">
        <v>30.81</v>
      </c>
      <c r="C7" s="10" t="n">
        <v>35.62</v>
      </c>
      <c r="D7" s="10" t="n">
        <v>39</v>
      </c>
      <c r="E7" s="10" t="n">
        <v>42.56</v>
      </c>
      <c r="F7" s="10" t="n">
        <v>48.66</v>
      </c>
    </row>
    <row r="9" customFormat="false" ht="15" hidden="false" customHeight="false" outlineLevel="0" collapsed="false">
      <c r="A9" s="28" t="s">
        <v>193</v>
      </c>
    </row>
    <row r="10" customFormat="false" ht="15" hidden="false" customHeight="false" outlineLevel="0" collapsed="false">
      <c r="A10" s="3" t="s">
        <v>59</v>
      </c>
      <c r="D10" s="7" t="n">
        <f aca="false">Assumptions!$B$27</f>
        <v>0.2119</v>
      </c>
    </row>
    <row r="11" customFormat="false" ht="15" hidden="false" customHeight="false" outlineLevel="0" collapsed="false">
      <c r="A11" s="3" t="s">
        <v>60</v>
      </c>
      <c r="D11" s="7" t="n">
        <f aca="false">Assumptions!$B$28</f>
        <v>0.019</v>
      </c>
    </row>
    <row r="12" customFormat="false" ht="15" hidden="false" customHeight="false" outlineLevel="0" collapsed="false">
      <c r="A12" s="3" t="s">
        <v>194</v>
      </c>
      <c r="D12" s="3" t="s">
        <v>195</v>
      </c>
    </row>
    <row r="14" customFormat="false" ht="15" hidden="false" customHeight="false" outlineLevel="0" collapsed="false">
      <c r="A14" s="28" t="s">
        <v>196</v>
      </c>
    </row>
    <row r="15" customFormat="false" ht="15" hidden="false" customHeight="false" outlineLevel="0" collapsed="false">
      <c r="A15" s="12" t="s">
        <v>197</v>
      </c>
      <c r="B15" s="5" t="s">
        <v>198</v>
      </c>
      <c r="C15" s="5" t="s">
        <v>199</v>
      </c>
    </row>
    <row r="16" customFormat="false" ht="15" hidden="false" customHeight="false" outlineLevel="0" collapsed="false">
      <c r="A16" s="10" t="n">
        <v>46</v>
      </c>
      <c r="B16" s="11" t="n">
        <v>0.035</v>
      </c>
      <c r="C16" s="11" t="n">
        <v>0.182</v>
      </c>
    </row>
    <row r="17" customFormat="false" ht="15" hidden="false" customHeight="false" outlineLevel="0" collapsed="false">
      <c r="A17" s="10" t="n">
        <v>44</v>
      </c>
      <c r="B17" s="11" t="n">
        <v>0.092</v>
      </c>
      <c r="C17" s="11" t="n">
        <v>0.31</v>
      </c>
    </row>
    <row r="18" customFormat="false" ht="15" hidden="false" customHeight="false" outlineLevel="0" collapsed="false">
      <c r="A18" s="10" t="n">
        <v>42</v>
      </c>
      <c r="B18" s="11" t="n">
        <v>0.239</v>
      </c>
      <c r="C18" s="11" t="n">
        <v>0.498</v>
      </c>
    </row>
    <row r="19" customFormat="false" ht="15" hidden="false" customHeight="false" outlineLevel="0" collapsed="false">
      <c r="A19" s="10" t="n">
        <v>40</v>
      </c>
      <c r="B19" s="11" t="n">
        <v>0.588</v>
      </c>
      <c r="C19" s="11" t="n">
        <v>0.762</v>
      </c>
    </row>
    <row r="20" customFormat="false" ht="15" hidden="false" customHeight="false" outlineLevel="0" collapsed="false">
      <c r="A20" s="10" t="n">
        <v>38</v>
      </c>
      <c r="B20" s="11" t="n">
        <v>0.573</v>
      </c>
      <c r="C20" s="11" t="n">
        <v>0.751</v>
      </c>
    </row>
    <row r="21" customFormat="false" ht="15" hidden="false" customHeight="false" outlineLevel="0" collapsed="false">
      <c r="A21" s="10" t="n">
        <v>36</v>
      </c>
      <c r="B21" s="11" t="n">
        <v>0.229</v>
      </c>
      <c r="C21" s="11" t="n">
        <v>0.476</v>
      </c>
    </row>
    <row r="22" customFormat="false" ht="15" hidden="false" customHeight="false" outlineLevel="0" collapsed="false">
      <c r="A22" s="10" t="n">
        <v>34</v>
      </c>
      <c r="B22" s="11" t="n">
        <v>0.084</v>
      </c>
      <c r="C22" s="11" t="n">
        <v>0.274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" t="s">
        <v>201</v>
      </c>
    </row>
    <row r="4" customFormat="false" ht="15" hidden="false" customHeight="false" outlineLevel="0" collapsed="false">
      <c r="A4" s="12" t="s">
        <v>202</v>
      </c>
      <c r="B4" s="29" t="n">
        <v>0.035</v>
      </c>
      <c r="C4" s="29" t="n">
        <v>0.04</v>
      </c>
      <c r="D4" s="29" t="n">
        <v>0.045</v>
      </c>
      <c r="E4" s="29" t="n">
        <v>0.05</v>
      </c>
      <c r="F4" s="29" t="n">
        <v>0.055</v>
      </c>
    </row>
    <row r="5" customFormat="false" ht="15" hidden="false" customHeight="false" outlineLevel="0" collapsed="false">
      <c r="A5" s="30" t="n">
        <v>0.095</v>
      </c>
      <c r="B5" s="10" t="n">
        <f aca="false">DDM!$B$6/(1+$A5)^1+DDM!$C$6/(1+$A5)^2+DDM!$D$6/(1+$A5)^3+DDM!$E$6/(1+$A5)^4+DDM!$F$6/(1+$A5)^5+(DDM!$F$6*(1+B$4)/($A5-B$4))/(1+$A5)^5</f>
        <v>47.3113614477118</v>
      </c>
      <c r="C5" s="10" t="n">
        <f aca="false">DDM!$B$6/(1+$A5)^1+DDM!$C$6/(1+$A5)^2+DDM!$D$6/(1+$A5)^3+DDM!$E$6/(1+$A5)^4+DDM!$F$6/(1+$A5)^5+(DDM!$F$6*(1+C$4)/($A5-C$4))/(1+$A5)^5</f>
        <v>50.8484231870077</v>
      </c>
      <c r="D5" s="10" t="n">
        <f aca="false">DDM!$B$6/(1+$A5)^1+DDM!$C$6/(1+$A5)^2+DDM!$D$6/(1+$A5)^3+DDM!$E$6/(1+$A5)^4+DDM!$F$6/(1+$A5)^5+(DDM!$F$6*(1+D$4)/($A5-D$4))/(1+$A5)^5</f>
        <v>55.0928972741629</v>
      </c>
      <c r="E5" s="10" t="n">
        <f aca="false">DDM!$B$6/(1+$A5)^1+DDM!$C$6/(1+$A5)^2+DDM!$D$6/(1+$A5)^3+DDM!$E$6/(1+$A5)^4+DDM!$F$6/(1+$A5)^5+(DDM!$F$6*(1+E$4)/($A5-E$4))/(1+$A5)^5</f>
        <v>60.2805878251303</v>
      </c>
      <c r="F5" s="10" t="n">
        <f aca="false">DDM!$B$6/(1+$A5)^1+DDM!$C$6/(1+$A5)^2+DDM!$D$6/(1+$A5)^3+DDM!$E$6/(1+$A5)^4+DDM!$F$6/(1+$A5)^5+(DDM!$F$6*(1+F$4)/($A5-F$4))/(1+$A5)^5</f>
        <v>66.7652010138396</v>
      </c>
    </row>
    <row r="6" customFormat="false" ht="15" hidden="false" customHeight="false" outlineLevel="0" collapsed="false">
      <c r="A6" s="30" t="n">
        <v>0.1</v>
      </c>
      <c r="B6" s="10" t="n">
        <f aca="false">DDM!$B$6/(1+$A6)^1+DDM!$C$6/(1+$A6)^2+DDM!$D$6/(1+$A6)^3+DDM!$E$6/(1+$A6)^4+DDM!$F$6/(1+$A6)^5+(DDM!$F$6*(1+B$4)/($A6-B$4))/(1+$A6)^5</f>
        <v>43.5740445195309</v>
      </c>
      <c r="C6" s="10" t="n">
        <f aca="false">DDM!$B$6/(1+$A6)^1+DDM!$C$6/(1+$A6)^2+DDM!$D$6/(1+$A6)^3+DDM!$E$6/(1+$A6)^4+DDM!$F$6/(1+$A6)^5+(DDM!$F$6*(1+C$4)/($A6-C$4))/(1+$A6)^5</f>
        <v>46.5128964773044</v>
      </c>
      <c r="D6" s="10" t="n">
        <f aca="false">DDM!$B$6/(1+$A6)^1+DDM!$C$6/(1+$A6)^2+DDM!$D$6/(1+$A6)^3+DDM!$E$6/(1+$A6)^4+DDM!$F$6/(1+$A6)^5+(DDM!$F$6*(1+D$4)/($A6-D$4))/(1+$A6)^5</f>
        <v>49.9860851546732</v>
      </c>
      <c r="E6" s="10" t="n">
        <f aca="false">DDM!$B$6/(1+$A6)^1+DDM!$C$6/(1+$A6)^2+DDM!$D$6/(1+$A6)^3+DDM!$E$6/(1+$A6)^4+DDM!$F$6/(1+$A6)^5+(DDM!$F$6*(1+E$4)/($A6-E$4))/(1+$A6)^5</f>
        <v>54.1539115675156</v>
      </c>
      <c r="F6" s="10" t="n">
        <f aca="false">DDM!$B$6/(1+$A6)^1+DDM!$C$6/(1+$A6)^2+DDM!$D$6/(1+$A6)^3+DDM!$E$6/(1+$A6)^4+DDM!$F$6/(1+$A6)^5+(DDM!$F$6*(1+F$4)/($A6-F$4))/(1+$A6)^5</f>
        <v>59.2479216276564</v>
      </c>
    </row>
    <row r="7" customFormat="false" ht="15" hidden="false" customHeight="false" outlineLevel="0" collapsed="false">
      <c r="A7" s="30" t="n">
        <v>0.107</v>
      </c>
      <c r="B7" s="10" t="n">
        <f aca="false">DDM!$B$6/(1+$A7)^1+DDM!$C$6/(1+$A7)^2+DDM!$D$6/(1+$A7)^3+DDM!$E$6/(1+$A7)^4+DDM!$F$6/(1+$A7)^5+(DDM!$F$6*(1+B$4)/($A7-B$4))/(1+$A7)^5</f>
        <v>39.2163986658044</v>
      </c>
      <c r="C7" s="10" t="n">
        <f aca="false">DDM!$B$6/(1+$A7)^1+DDM!$C$6/(1+$A7)^2+DDM!$D$6/(1+$A7)^3+DDM!$E$6/(1+$A7)^4+DDM!$F$6/(1+$A7)^5+(DDM!$F$6*(1+C$4)/($A7-C$4))/(1+$A7)^5</f>
        <v>41.5328078299378</v>
      </c>
      <c r="D7" s="10" t="n">
        <f aca="false">DDM!$B$6/(1+$A7)^1+DDM!$C$6/(1+$A7)^2+DDM!$D$6/(1+$A7)^3+DDM!$E$6/(1+$A7)^4+DDM!$F$6/(1+$A7)^5+(DDM!$F$6*(1+D$4)/($A7-D$4))/(1+$A7)^5</f>
        <v>44.2228313753831</v>
      </c>
      <c r="E7" s="10" t="n">
        <f aca="false">DDM!$B$6/(1+$A7)^1+DDM!$C$6/(1+$A7)^2+DDM!$D$6/(1+$A7)^3+DDM!$E$6/(1+$A7)^4+DDM!$F$6/(1+$A7)^5+(DDM!$F$6*(1+E$4)/($A7-E$4))/(1+$A7)^5</f>
        <v>47.3847888761696</v>
      </c>
      <c r="F7" s="10" t="n">
        <f aca="false">DDM!$B$6/(1+$A7)^1+DDM!$C$6/(1+$A7)^2+DDM!$D$6/(1+$A7)^3+DDM!$E$6/(1+$A7)^4+DDM!$F$6/(1+$A7)^5+(DDM!$F$6*(1+F$4)/($A7-F$4))/(1+$A7)^5</f>
        <v>51.1548151271074</v>
      </c>
    </row>
    <row r="8" customFormat="false" ht="15" hidden="false" customHeight="false" outlineLevel="0" collapsed="false">
      <c r="A8" s="30" t="n">
        <v>0.115</v>
      </c>
      <c r="B8" s="10" t="n">
        <f aca="false">DDM!$B$6/(1+$A8)^1+DDM!$C$6/(1+$A8)^2+DDM!$D$6/(1+$A8)^3+DDM!$E$6/(1+$A8)^4+DDM!$F$6/(1+$A8)^5+(DDM!$F$6*(1+B$4)/($A8-B$4))/(1+$A8)^5</f>
        <v>35.1732016893639</v>
      </c>
      <c r="C8" s="10" t="n">
        <f aca="false">DDM!$B$6/(1+$A8)^1+DDM!$C$6/(1+$A8)^2+DDM!$D$6/(1+$A8)^3+DDM!$E$6/(1+$A8)^4+DDM!$F$6/(1+$A8)^5+(DDM!$F$6*(1+C$4)/($A8-C$4))/(1+$A8)^5</f>
        <v>36.9827173126379</v>
      </c>
      <c r="D8" s="10" t="n">
        <f aca="false">DDM!$B$6/(1+$A8)^1+DDM!$C$6/(1+$A8)^2+DDM!$D$6/(1+$A8)^3+DDM!$E$6/(1+$A8)^4+DDM!$F$6/(1+$A8)^5+(DDM!$F$6*(1+D$4)/($A8-D$4))/(1+$A8)^5</f>
        <v>39.0507351678083</v>
      </c>
      <c r="E8" s="10" t="n">
        <f aca="false">DDM!$B$6/(1+$A8)^1+DDM!$C$6/(1+$A8)^2+DDM!$D$6/(1+$A8)^3+DDM!$E$6/(1+$A8)^4+DDM!$F$6/(1+$A8)^5+(DDM!$F$6*(1+E$4)/($A8-E$4))/(1+$A8)^5</f>
        <v>41.4369096160818</v>
      </c>
      <c r="F8" s="10" t="n">
        <f aca="false">DDM!$B$6/(1+$A8)^1+DDM!$C$6/(1+$A8)^2+DDM!$D$6/(1+$A8)^3+DDM!$E$6/(1+$A8)^4+DDM!$F$6/(1+$A8)^5+(DDM!$F$6*(1+F$4)/($A8-F$4))/(1+$A8)^5</f>
        <v>44.2207798057341</v>
      </c>
    </row>
    <row r="9" customFormat="false" ht="15" hidden="false" customHeight="false" outlineLevel="0" collapsed="false">
      <c r="A9" s="30" t="n">
        <v>0.125</v>
      </c>
      <c r="B9" s="10" t="n">
        <f aca="false">DDM!$B$6/(1+$A9)^1+DDM!$C$6/(1+$A9)^2+DDM!$D$6/(1+$A9)^3+DDM!$E$6/(1+$A9)^4+DDM!$F$6/(1+$A9)^5+(DDM!$F$6*(1+B$4)/($A9-B$4))/(1+$A9)^5</f>
        <v>31.1340971631923</v>
      </c>
      <c r="C9" s="10" t="n">
        <f aca="false">DDM!$B$6/(1+$A9)^1+DDM!$C$6/(1+$A9)^2+DDM!$D$6/(1+$A9)^3+DDM!$E$6/(1+$A9)^4+DDM!$F$6/(1+$A9)^5+(DDM!$F$6*(1+C$4)/($A9-C$4))/(1+$A9)^5</f>
        <v>32.5035325061098</v>
      </c>
      <c r="D9" s="10" t="n">
        <f aca="false">DDM!$B$6/(1+$A9)^1+DDM!$C$6/(1+$A9)^2+DDM!$D$6/(1+$A9)^3+DDM!$E$6/(1+$A9)^4+DDM!$F$6/(1+$A9)^5+(DDM!$F$6*(1+D$4)/($A9-D$4))/(1+$A9)^5</f>
        <v>34.0441472668919</v>
      </c>
      <c r="E9" s="10" t="n">
        <f aca="false">DDM!$B$6/(1+$A9)^1+DDM!$C$6/(1+$A9)^2+DDM!$D$6/(1+$A9)^3+DDM!$E$6/(1+$A9)^4+DDM!$F$6/(1+$A9)^5+(DDM!$F$6*(1+E$4)/($A9-E$4))/(1+$A9)^5</f>
        <v>35.7901773291117</v>
      </c>
      <c r="F9" s="10" t="n">
        <f aca="false">DDM!$B$6/(1+$A9)^1+DDM!$C$6/(1+$A9)^2+DDM!$D$6/(1+$A9)^3+DDM!$E$6/(1+$A9)^4+DDM!$F$6/(1+$A9)^5+(DDM!$F$6*(1+F$4)/($A9-F$4))/(1+$A9)^5</f>
        <v>37.7856402573629</v>
      </c>
    </row>
    <row r="11" customFormat="false" ht="15" hidden="false" customHeight="false" outlineLevel="0" collapsed="false">
      <c r="A11" s="25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3" customFormat="false" ht="15" hidden="false" customHeight="false" outlineLevel="0" collapsed="false">
      <c r="B3" s="5" t="s">
        <v>97</v>
      </c>
      <c r="C3" s="5" t="s">
        <v>98</v>
      </c>
      <c r="D3" s="5" t="s">
        <v>99</v>
      </c>
      <c r="E3" s="5" t="s">
        <v>66</v>
      </c>
      <c r="F3" s="5" t="s">
        <v>67</v>
      </c>
      <c r="G3" s="5" t="s">
        <v>68</v>
      </c>
      <c r="H3" s="5" t="s">
        <v>69</v>
      </c>
      <c r="I3" s="5" t="s">
        <v>70</v>
      </c>
    </row>
    <row r="4" customFormat="false" ht="15" hidden="false" customHeight="false" outlineLevel="0" collapsed="false">
      <c r="A4" s="3" t="s">
        <v>206</v>
      </c>
      <c r="B4" s="6" t="n">
        <f aca="false">'Income Statement'!B16</f>
        <v>3.21666666666667</v>
      </c>
      <c r="C4" s="6" t="n">
        <f aca="false">'Income Statement'!C16</f>
        <v>3.39883333333333</v>
      </c>
      <c r="D4" s="6" t="n">
        <f aca="false">'Income Statement'!D16</f>
        <v>4.00833333333333</v>
      </c>
      <c r="E4" s="6" t="n">
        <f aca="false">'Income Statement'!E16</f>
        <v>4.22079328166667</v>
      </c>
      <c r="F4" s="6" t="n">
        <f aca="false">'Income Statement'!F16</f>
        <v>4.552010847</v>
      </c>
      <c r="G4" s="6" t="n">
        <f aca="false">'Income Statement'!G16</f>
        <v>4.89127587778967</v>
      </c>
      <c r="H4" s="6" t="n">
        <f aca="false">'Income Statement'!H16</f>
        <v>5.23697180642641</v>
      </c>
      <c r="I4" s="6" t="n">
        <f aca="false">'Income Statement'!I16</f>
        <v>5.59360509678911</v>
      </c>
    </row>
    <row r="5" customFormat="false" ht="15" hidden="false" customHeight="false" outlineLevel="0" collapsed="false">
      <c r="A5" s="3" t="s">
        <v>84</v>
      </c>
      <c r="B5" s="13" t="n">
        <v>1.67</v>
      </c>
      <c r="C5" s="13" t="n">
        <v>1.81</v>
      </c>
      <c r="D5" s="13" t="n">
        <v>2.04</v>
      </c>
      <c r="E5" s="10" t="n">
        <f aca="false">Assumptions!B40*E4</f>
        <v>2.23702043928333</v>
      </c>
      <c r="F5" s="10" t="n">
        <f aca="false">Assumptions!C40*F4</f>
        <v>2.50360596585</v>
      </c>
      <c r="G5" s="10" t="n">
        <f aca="false">Assumptions!D40*G4</f>
        <v>2.78802725034011</v>
      </c>
      <c r="H5" s="10" t="n">
        <f aca="false">Assumptions!E40*H4</f>
        <v>3.08981336579158</v>
      </c>
      <c r="I5" s="10" t="n">
        <f aca="false">Assumptions!F40*I4</f>
        <v>3.35616305807347</v>
      </c>
    </row>
    <row r="6" customFormat="false" ht="15" hidden="false" customHeight="false" outlineLevel="0" collapsed="false">
      <c r="A6" s="3" t="s">
        <v>207</v>
      </c>
      <c r="B6" s="6" t="n">
        <f aca="false">'Balance Sheet'!B17/Assumptions!$B$5</f>
        <v>25.6666666666667</v>
      </c>
      <c r="C6" s="6" t="n">
        <f aca="false">'Balance Sheet'!C17/Assumptions!$B$5</f>
        <v>27</v>
      </c>
      <c r="D6" s="6" t="n">
        <f aca="false">'Balance Sheet'!D17/Assumptions!$B$5</f>
        <v>30.5</v>
      </c>
      <c r="E6" s="6" t="n">
        <f aca="false">'Balance Sheet'!E17/Assumptions!$B$5</f>
        <v>32.3171061757167</v>
      </c>
      <c r="F6" s="6" t="n">
        <f aca="false">'Balance Sheet'!F17/Assumptions!$B$5</f>
        <v>34.3655110568667</v>
      </c>
      <c r="G6" s="6" t="n">
        <f aca="false">'Balance Sheet'!G17/Assumptions!$B$5</f>
        <v>36.3020930176496</v>
      </c>
      <c r="H6" s="6" t="n">
        <f aca="false">'Balance Sheet'!H17/Assumptions!$B$5</f>
        <v>38.4492514582844</v>
      </c>
      <c r="I6" s="6" t="n">
        <f aca="false">'Balance Sheet'!I17/Assumptions!$B$5</f>
        <v>40.686693497</v>
      </c>
    </row>
    <row r="7" customFormat="false" ht="15" hidden="false" customHeight="false" outlineLevel="0" collapsed="false">
      <c r="A7" s="3" t="s">
        <v>208</v>
      </c>
      <c r="B7" s="11" t="n">
        <f aca="false">B5/Assumptions!$B$4</f>
        <v>0.042864476386037</v>
      </c>
      <c r="C7" s="11" t="n">
        <f aca="false">C5/Assumptions!$B$4</f>
        <v>0.0464579055441478</v>
      </c>
      <c r="D7" s="11" t="n">
        <f aca="false">D5/Assumptions!$B$4</f>
        <v>0.0523613963039014</v>
      </c>
      <c r="E7" s="11" t="n">
        <f aca="false">E5/Assumptions!$B$4</f>
        <v>0.0574183890986482</v>
      </c>
      <c r="F7" s="11" t="n">
        <f aca="false">F5/Assumptions!$B$4</f>
        <v>0.0642609334150411</v>
      </c>
      <c r="G7" s="11" t="n">
        <f aca="false">G5/Assumptions!$B$4</f>
        <v>0.0715612743927133</v>
      </c>
      <c r="H7" s="11" t="n">
        <f aca="false">H5/Assumptions!$B$4</f>
        <v>0.0793073245839728</v>
      </c>
      <c r="I7" s="11" t="n">
        <f aca="false">I5/Assumptions!$B$4</f>
        <v>0.0861438156589699</v>
      </c>
    </row>
    <row r="8" customFormat="false" ht="15" hidden="false" customHeight="false" outlineLevel="0" collapsed="false">
      <c r="A8" s="3" t="s">
        <v>209</v>
      </c>
      <c r="B8" s="22" t="n">
        <f aca="false">Assumptions!$B$4/B4</f>
        <v>12.1119170984456</v>
      </c>
      <c r="C8" s="22" t="n">
        <f aca="false">Assumptions!$B$4/C4</f>
        <v>11.4627568283234</v>
      </c>
      <c r="D8" s="22" t="n">
        <f aca="false">Assumptions!$B$4/D4</f>
        <v>9.71975051975052</v>
      </c>
      <c r="E8" s="22" t="n">
        <f aca="false">Assumptions!$B$4/E4</f>
        <v>9.2304923269343</v>
      </c>
      <c r="F8" s="22" t="n">
        <f aca="false">Assumptions!$B$4/F4</f>
        <v>8.55885482471479</v>
      </c>
      <c r="G8" s="22" t="n">
        <f aca="false">Assumptions!$B$4/G4</f>
        <v>7.96520191733813</v>
      </c>
      <c r="H8" s="22" t="n">
        <f aca="false">Assumptions!$B$4/H4</f>
        <v>7.43941373757088</v>
      </c>
      <c r="I8" s="22" t="n">
        <f aca="false">Assumptions!$B$4/I4</f>
        <v>6.96509662835586</v>
      </c>
    </row>
    <row r="9" customFormat="false" ht="15" hidden="false" customHeight="false" outlineLevel="0" collapsed="false">
      <c r="A9" s="3" t="s">
        <v>210</v>
      </c>
      <c r="B9" s="22" t="n">
        <f aca="false">Assumptions!$B$4/B6</f>
        <v>1.51792207792208</v>
      </c>
      <c r="C9" s="22" t="n">
        <f aca="false">Assumptions!$B$4/C6</f>
        <v>1.44296296296296</v>
      </c>
      <c r="D9" s="22" t="n">
        <f aca="false">Assumptions!$B$4/D6</f>
        <v>1.27737704918033</v>
      </c>
      <c r="E9" s="22" t="n">
        <f aca="false">Assumptions!$B$4/E6</f>
        <v>1.20555348576584</v>
      </c>
      <c r="F9" s="22" t="n">
        <f aca="false">Assumptions!$B$4/F6</f>
        <v>1.13369476553195</v>
      </c>
      <c r="G9" s="22" t="n">
        <f aca="false">Assumptions!$B$4/G6</f>
        <v>1.07321635645246</v>
      </c>
      <c r="H9" s="22" t="n">
        <f aca="false">Assumptions!$B$4/H6</f>
        <v>1.01328370572493</v>
      </c>
      <c r="I9" s="22" t="n">
        <f aca="false">Assumptions!$B$4/I6</f>
        <v>0.957561223373255</v>
      </c>
    </row>
    <row r="10" customFormat="false" ht="15" hidden="false" customHeight="false" outlineLevel="0" collapsed="false">
      <c r="A10" s="3" t="s">
        <v>211</v>
      </c>
      <c r="B10" s="21" t="n">
        <v>0.0313</v>
      </c>
      <c r="C10" s="21" t="n">
        <v>0.03</v>
      </c>
      <c r="D10" s="21" t="n">
        <v>0.0305</v>
      </c>
      <c r="E10" s="31" t="n">
        <f aca="false">Assumptions!B36</f>
        <v>0.03</v>
      </c>
      <c r="F10" s="31" t="n">
        <f aca="false">Assumptions!C36</f>
        <v>0.03</v>
      </c>
      <c r="G10" s="31" t="n">
        <f aca="false">Assumptions!D36</f>
        <v>0.03</v>
      </c>
      <c r="H10" s="31" t="n">
        <f aca="false">Assumptions!E36</f>
        <v>0.03</v>
      </c>
      <c r="I10" s="31" t="n">
        <f aca="false">Assumptions!F36</f>
        <v>0.03</v>
      </c>
    </row>
    <row r="11" customFormat="false" ht="15" hidden="false" customHeight="false" outlineLevel="0" collapsed="false">
      <c r="A11" s="3" t="s">
        <v>212</v>
      </c>
      <c r="B11" s="11" t="n">
        <f aca="false">-'Income Statement'!B7/'Income Statement'!B6</f>
        <v>0.275</v>
      </c>
      <c r="C11" s="11" t="n">
        <f aca="false">-'Income Statement'!C7/'Income Statement'!C6</f>
        <v>0.283055555555556</v>
      </c>
      <c r="D11" s="11" t="n">
        <f aca="false">-'Income Statement'!D7/'Income Statement'!D6</f>
        <v>0.27</v>
      </c>
      <c r="E11" s="11" t="n">
        <f aca="false">-'Income Statement'!E7/'Income Statement'!E6</f>
        <v>0.265</v>
      </c>
      <c r="F11" s="11" t="n">
        <f aca="false">-'Income Statement'!F7/'Income Statement'!F6</f>
        <v>0.26</v>
      </c>
      <c r="G11" s="11" t="n">
        <f aca="false">-'Income Statement'!G7/'Income Statement'!G6</f>
        <v>0.258</v>
      </c>
      <c r="H11" s="11" t="n">
        <f aca="false">-'Income Statement'!H7/'Income Statement'!H6</f>
        <v>0.255</v>
      </c>
      <c r="I11" s="11" t="n">
        <f aca="false">-'Income Statement'!I7/'Income Statement'!I6</f>
        <v>0.253</v>
      </c>
    </row>
    <row r="12" customFormat="false" ht="15" hidden="false" customHeight="false" outlineLevel="0" collapsed="false">
      <c r="A12" s="3" t="s">
        <v>213</v>
      </c>
      <c r="B12" s="11" t="n">
        <f aca="false">'Income Statement'!B14/'Balance Sheet'!B17</f>
        <v>0.125324675324675</v>
      </c>
      <c r="C12" s="11" t="n">
        <f aca="false">'Income Statement'!C14/AVERAGE('Balance Sheet'!B17,'Balance Sheet'!C17)</f>
        <v>0.129069620253165</v>
      </c>
      <c r="D12" s="11" t="n">
        <f aca="false">'Income Statement'!D14/AVERAGE('Balance Sheet'!C17,'Balance Sheet'!D17)</f>
        <v>0.139420289855072</v>
      </c>
      <c r="E12" s="11" t="n">
        <f aca="false">'Income Statement'!E14/AVERAGE('Balance Sheet'!D17,'Balance Sheet'!E17)</f>
        <v>0.134383563287998</v>
      </c>
      <c r="F12" s="11" t="n">
        <f aca="false">'Income Statement'!F14/AVERAGE('Balance Sheet'!E17,'Balance Sheet'!F17)</f>
        <v>0.136527660008394</v>
      </c>
      <c r="G12" s="11" t="n">
        <f aca="false">'Income Statement'!G14/AVERAGE('Balance Sheet'!F17,'Balance Sheet'!G17)</f>
        <v>0.138430499854842</v>
      </c>
      <c r="H12" s="11" t="n">
        <f aca="false">'Income Statement'!H14/AVERAGE('Balance Sheet'!G17,'Balance Sheet'!H17)</f>
        <v>0.140117126805992</v>
      </c>
      <c r="I12" s="11" t="n">
        <f aca="false">'Income Statement'!I14/AVERAGE('Balance Sheet'!H17,'Balance Sheet'!I17)</f>
        <v>0.141366988160684</v>
      </c>
    </row>
    <row r="13" customFormat="false" ht="15" hidden="false" customHeight="false" outlineLevel="0" collapsed="false">
      <c r="A13" s="3" t="s">
        <v>77</v>
      </c>
      <c r="B13" s="23" t="n">
        <f aca="false">-'Income Statement'!B9/'Balance Sheet'!B4*10000</f>
        <v>15</v>
      </c>
      <c r="C13" s="23" t="n">
        <f aca="false">-'Income Statement'!C9/'Balance Sheet'!C4*10000</f>
        <v>15.9938837920489</v>
      </c>
      <c r="D13" s="23" t="n">
        <f aca="false">-'Income Statement'!D9/'Balance Sheet'!D4*10000</f>
        <v>17.9945054945055</v>
      </c>
      <c r="E13" s="23" t="n">
        <f aca="false">-'Income Statement'!E9/'Balance Sheet'!E4*10000</f>
        <v>21</v>
      </c>
      <c r="F13" s="23" t="n">
        <f aca="false">-'Income Statement'!F9/'Balance Sheet'!F4*10000</f>
        <v>21</v>
      </c>
      <c r="G13" s="23" t="n">
        <f aca="false">-'Income Statement'!G9/'Balance Sheet'!G4*10000</f>
        <v>21</v>
      </c>
      <c r="H13" s="23" t="n">
        <f aca="false">-'Income Statement'!H9/'Balance Sheet'!H4*10000</f>
        <v>22</v>
      </c>
      <c r="I13" s="23" t="n">
        <f aca="false">-'Income Statement'!I9/'Balance Sheet'!I4*10000</f>
        <v>22</v>
      </c>
    </row>
    <row r="14" customFormat="false" ht="15" hidden="false" customHeight="false" outlineLevel="0" collapsed="false">
      <c r="A14" s="3" t="s">
        <v>214</v>
      </c>
      <c r="B14" s="21" t="n">
        <v>0.012</v>
      </c>
      <c r="C14" s="21" t="n">
        <v>0.0116</v>
      </c>
      <c r="D14" s="21" t="n">
        <v>0.0115</v>
      </c>
      <c r="E14" s="21" t="n">
        <v>0.012</v>
      </c>
      <c r="F14" s="21" t="n">
        <v>0.0122</v>
      </c>
      <c r="G14" s="21" t="n">
        <v>0.0124</v>
      </c>
      <c r="H14" s="21" t="n">
        <v>0.0125</v>
      </c>
      <c r="I14" s="21" t="n">
        <v>0.0125</v>
      </c>
    </row>
    <row r="15" customFormat="false" ht="15" hidden="false" customHeight="false" outlineLevel="0" collapsed="false">
      <c r="A15" s="3" t="s">
        <v>215</v>
      </c>
      <c r="B15" s="11" t="n">
        <f aca="false">'Balance Sheet'!B17/'Balance Sheet'!B15</f>
        <v>0.22</v>
      </c>
      <c r="C15" s="11" t="n">
        <f aca="false">'Balance Sheet'!C17/'Balance Sheet'!C15</f>
        <v>0.216</v>
      </c>
      <c r="D15" s="11" t="n">
        <f aca="false">'Balance Sheet'!D17/'Balance Sheet'!D15</f>
        <v>0.220481927710843</v>
      </c>
      <c r="E15" s="11" t="n">
        <f aca="false">'Balance Sheet'!E17/'Balance Sheet'!E15</f>
        <v>0.215514423436514</v>
      </c>
      <c r="F15" s="11" t="n">
        <f aca="false">'Balance Sheet'!F17/'Balance Sheet'!F15</f>
        <v>0.212592491505706</v>
      </c>
      <c r="G15" s="11" t="n">
        <f aca="false">'Balance Sheet'!G17/'Balance Sheet'!G15</f>
        <v>0.209489371999704</v>
      </c>
      <c r="H15" s="11" t="n">
        <f aca="false">'Balance Sheet'!H17/'Balance Sheet'!H15</f>
        <v>0.206977641313903</v>
      </c>
      <c r="I15" s="11" t="n">
        <f aca="false">'Balance Sheet'!I17/'Balance Sheet'!I15</f>
        <v>0.205269073506784</v>
      </c>
    </row>
    <row r="16" customFormat="false" ht="15" hidden="false" customHeight="false" outlineLevel="0" collapsed="false">
      <c r="A16" s="3" t="s">
        <v>216</v>
      </c>
      <c r="B16" s="7" t="n">
        <f aca="false">'Balance Sheet'!B18</f>
        <v>0.940438871473354</v>
      </c>
      <c r="C16" s="7" t="n">
        <f aca="false">'Balance Sheet'!C18</f>
        <v>1.0464</v>
      </c>
      <c r="D16" s="7" t="n">
        <f aca="false">'Balance Sheet'!D18</f>
        <v>1.05507246376812</v>
      </c>
      <c r="E16" s="7" t="n">
        <f aca="false">'Balance Sheet'!E18</f>
        <v>1.05312223740256</v>
      </c>
      <c r="F16" s="7" t="n">
        <f aca="false">'Balance Sheet'!F18</f>
        <v>1.05019147050811</v>
      </c>
      <c r="G16" s="7" t="n">
        <f aca="false">'Balance Sheet'!G18</f>
        <v>1.05019147050811</v>
      </c>
      <c r="H16" s="7" t="n">
        <f aca="false">'Balance Sheet'!H18</f>
        <v>1.04920630027312</v>
      </c>
      <c r="I16" s="7" t="n">
        <f aca="false">'Balance Sheet'!I18</f>
        <v>1.04723039386959</v>
      </c>
    </row>
    <row r="17" customFormat="false" ht="15" hidden="false" customHeight="false" outlineLevel="0" collapsed="false">
      <c r="A17" s="3" t="s">
        <v>217</v>
      </c>
      <c r="B17" s="11"/>
      <c r="C17" s="11" t="n">
        <f aca="false">'Balance Sheet'!C4/'Balance Sheet'!B4-1</f>
        <v>0.0900000000000001</v>
      </c>
      <c r="D17" s="11" t="n">
        <f aca="false">'Balance Sheet'!D4/'Balance Sheet'!C4-1</f>
        <v>0.113149847094801</v>
      </c>
      <c r="E17" s="11" t="n">
        <f aca="false">'Balance Sheet'!E4/'Balance Sheet'!D4-1</f>
        <v>0.0800000000000001</v>
      </c>
      <c r="F17" s="11" t="n">
        <f aca="false">'Balance Sheet'!F4/'Balance Sheet'!E4-1</f>
        <v>0.075</v>
      </c>
      <c r="G17" s="11" t="n">
        <f aca="false">'Balance Sheet'!G4/'Balance Sheet'!F4-1</f>
        <v>0.0700000000000001</v>
      </c>
      <c r="H17" s="11" t="n">
        <f aca="false">'Balance Sheet'!H4/'Balance Sheet'!G4-1</f>
        <v>0.065</v>
      </c>
      <c r="I17" s="11" t="n">
        <f aca="false">'Balance Sheet'!I4/'Balance Sheet'!H4-1</f>
        <v>0.0600000000000001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3" customFormat="false" ht="15" hidden="false" customHeight="false" outlineLevel="0" collapsed="false">
      <c r="A3" s="12" t="s">
        <v>220</v>
      </c>
      <c r="B3" s="5" t="s">
        <v>221</v>
      </c>
      <c r="C3" s="5" t="s">
        <v>222</v>
      </c>
    </row>
    <row r="4" customFormat="false" ht="15" hidden="false" customHeight="false" outlineLevel="0" collapsed="false">
      <c r="A4" s="3" t="s">
        <v>223</v>
      </c>
      <c r="B4" s="3" t="s">
        <v>224</v>
      </c>
      <c r="C4" s="3" t="s">
        <v>225</v>
      </c>
    </row>
    <row r="5" customFormat="false" ht="15" hidden="false" customHeight="false" outlineLevel="0" collapsed="false">
      <c r="A5" s="3" t="s">
        <v>226</v>
      </c>
      <c r="B5" s="3" t="s">
        <v>227</v>
      </c>
      <c r="C5" s="3" t="s">
        <v>228</v>
      </c>
    </row>
    <row r="6" customFormat="false" ht="15" hidden="false" customHeight="false" outlineLevel="0" collapsed="false">
      <c r="A6" s="3" t="s">
        <v>229</v>
      </c>
      <c r="B6" s="3" t="s">
        <v>230</v>
      </c>
      <c r="C6" s="3" t="s">
        <v>231</v>
      </c>
    </row>
    <row r="8" customFormat="false" ht="15" hidden="false" customHeight="false" outlineLevel="0" collapsed="false">
      <c r="A8" s="25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2026-07-04T19:34:52Z</dcterms:created>
  <dc:creator>openpyxl</dc:creator>
  <dc:description/>
  <dc:language>en-US</dc:language>
  <cp:lastModifiedBy/>
  <dcterms:modified xsi:type="dcterms:W3CDTF">2026-07-04T19:34:52Z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