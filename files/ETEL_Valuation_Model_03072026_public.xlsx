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FIRST" sheetId="1" state="visible" r:id="rId3"/>
    <sheet name="Summary" sheetId="2" state="visible" r:id="rId4"/>
    <sheet name="Fundamental Valuation" sheetId="3" state="visible" r:id="rId5"/>
    <sheet name="Assumptions" sheetId="4" state="visible" r:id="rId6"/>
    <sheet name="SOTP" sheetId="5" state="visible" r:id="rId7"/>
    <sheet name="Segments" sheetId="6" state="visible" r:id="rId8"/>
    <sheet name="Relative &amp; Normalized" sheetId="7" state="visible" r:id="rId9"/>
    <sheet name="DCF" sheetId="8" state="visible" r:id="rId10"/>
    <sheet name="Income Statement" sheetId="9" state="visible" r:id="rId11"/>
    <sheet name="Balance Sheet" sheetId="10" state="visible" r:id="rId12"/>
    <sheet name="Cash Flow" sheetId="11" state="visible" r:id="rId13"/>
    <sheet name="Summary Financials" sheetId="12" state="visible" r:id="rId14"/>
    <sheet name="Monte Carlo" sheetId="13" state="visible" r:id="rId15"/>
    <sheet name="Sensitivity" sheetId="14" state="visible" r:id="rId16"/>
    <sheet name="Per-Share &amp; Ratios" sheetId="15" state="visible" r:id="rId17"/>
    <sheet name="Peer &amp; Sector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<sst xmlns="http://schemas.openxmlformats.org/spreadsheetml/2006/main" count="475" uniqueCount="389">
  <si>
    <t xml:space="preserve">Telecom Egypt (EGX: ETEL) — Independent Valuation Model · Educational Analysis</t>
  </si>
  <si>
    <t xml:space="preserve">READ FIRST — what this workbook is, and is not.</t>
  </si>
  <si>
    <t xml:space="preserve">This model is a valuation exercise and an expression of personal analytical opinion, published free of charge for educational purposes. It is NOT investment</t>
  </si>
  <si>
    <t xml:space="preserve">advice, NOT a recommendation or solicitation to buy, sell or hold any security, and NOT directed at the circumstances of any reader. The preparer is not</t>
  </si>
  <si>
    <t xml:space="preserve">licensed by any securities regulator in any jurisdiction (including the Egyptian FRA), provides no financial consultancy, manages no money, and accepts no</t>
  </si>
  <si>
    <t xml:space="preserve">fees, funds or clients. All values are model outputs presented as ranges and distributions because no single number should be relied on.</t>
  </si>
  <si>
    <t xml:space="preserve">How to use: the Assumptions sheet is the single input layer — every blue cell is an input, every other sheet links to it, so changing one input (the VFE</t>
  </si>
  <si>
    <t xml:space="preserve">mark, the complexity discount, a growth rate) reprices the whole model. Black cells are formulas; do not overwrite them.</t>
  </si>
  <si>
    <t xml:space="preserve">Reported figures are drawn from Telecom Egypt public disclosure (FY2025 audited results, 26 Feb 2026; Q1 2026 release, May 2026; FY2024 and FY2023</t>
  </si>
  <si>
    <t xml:space="preserve">releases), EGX/LSE filings and market data as of 01 Jul 2026. Forward-looking inputs — the SOTP marks, the VFE stake mark, the complexity discount,</t>
  </si>
  <si>
    <t xml:space="preserve">projections, multiples, the DCF and the Monte-Carlo factor probabilities — are the preparer’s own judgments and are flagged as inputs.</t>
  </si>
  <si>
    <t xml:space="preserve">Holdings disclosure: the preparer may hold, and may in the future take or dispose of, a position in the security discussed in this report.</t>
  </si>
  <si>
    <t xml:space="preserve">Companion document: ETEL_Valuation_Study_03-07-2026_public.docx (same edition, same inputs).</t>
  </si>
  <si>
    <t xml:space="preserve">Telecom Egypt (EGX: ETEL) — summary · edition 03-07-2026</t>
  </si>
  <si>
    <t xml:space="preserve">Spot (01 Jul 2026)</t>
  </si>
  <si>
    <t xml:space="preserve">Market cap (EGP bn)</t>
  </si>
  <si>
    <t xml:space="preserve">Weighted central fair value (EGP/share)</t>
  </si>
  <si>
    <t xml:space="preserve">40/20/15/25 across SOTP · DCF · Relative · Normalized</t>
  </si>
  <si>
    <t xml:space="preserve">vs spot</t>
  </si>
  <si>
    <t xml:space="preserve">Bear – Bull central</t>
  </si>
  <si>
    <t xml:space="preserve">SOTP (primary)</t>
  </si>
  <si>
    <t xml:space="preserve">Market-implied discount at spot: SOTP!C19</t>
  </si>
  <si>
    <t xml:space="preserve">DCF cross-check</t>
  </si>
  <si>
    <t xml:space="preserve">Relative / Normalized</t>
  </si>
  <si>
    <t xml:space="preserve">MC T+60 median (EGP)</t>
  </si>
  <si>
    <t xml:space="preserve">p5–p95: 78–145 · IQR 94–119</t>
  </si>
  <si>
    <t xml:space="preserve">MC T+20 median (EGP)</t>
  </si>
  <si>
    <t xml:space="preserve">Step 0 verdict</t>
  </si>
  <si>
    <t xml:space="preserve">PASS — drift-ON</t>
  </si>
  <si>
    <t xml:space="preserve">CRPS skill +13.0%, Winkler +20.3%, PIT KS p=0.54, n=17 non-overlapping</t>
  </si>
  <si>
    <t xml:space="preserve">Dividend (FY25, paid 30 Apr 2026)</t>
  </si>
  <si>
    <t xml:space="preserve">Proposed/paid EGP 1.50; payout ~12.6%</t>
  </si>
  <si>
    <t xml:space="preserve">State ownership</t>
  </si>
  <si>
    <t xml:space="preserve">MoF ~70% since May-2023 9.5%+0.5% sale; free float ~30%</t>
  </si>
  <si>
    <t xml:space="preserve">Synthesis — four lenses, one weighted central (EGP/share)</t>
  </si>
  <si>
    <t xml:space="preserve">Lens</t>
  </si>
  <si>
    <t xml:space="preserve">Weight</t>
  </si>
  <si>
    <t xml:space="preserve">Bear</t>
  </si>
  <si>
    <t xml:space="preserve">Base</t>
  </si>
  <si>
    <t xml:space="preserve">Bull</t>
  </si>
  <si>
    <t xml:space="preserve">Reference</t>
  </si>
  <si>
    <t xml:space="preserve">Sum-of-the-parts</t>
  </si>
  <si>
    <t xml:space="preserve">SOTP sheet</t>
  </si>
  <si>
    <t xml:space="preserve">Core-FCFF DCF + stake</t>
  </si>
  <si>
    <t xml:space="preserve">DCF sheet (bear/bull re-run at 25%/10% and 21.5%/12%)</t>
  </si>
  <si>
    <t xml:space="preserve">Relative multiples</t>
  </si>
  <si>
    <t xml:space="preserve">Relative &amp; Normalized</t>
  </si>
  <si>
    <t xml:space="preserve">Normalized earnings</t>
  </si>
  <si>
    <t xml:space="preserve">Weighted central</t>
  </si>
  <si>
    <t xml:space="preserve">Spot / market cap</t>
  </si>
  <si>
    <t xml:space="preserve">Assumptions — the single input layer</t>
  </si>
  <si>
    <t xml:space="preserve">All blue cells are inputs. Every other sheet links here. Source and as-of date noted beside each anchor.</t>
  </si>
  <si>
    <t xml:space="preserve">ANCHORS</t>
  </si>
  <si>
    <t xml:space="preserve">Spot price (EGP/share)</t>
  </si>
  <si>
    <t xml:space="preserve">Uploaded daily history, close 01 Jul 2026 (Investing.com export)</t>
  </si>
  <si>
    <t xml:space="preserve">Shares outstanding (mn)</t>
  </si>
  <si>
    <t xml:space="preserve">1,707,071,600 shares; company/EGX disclosure</t>
  </si>
  <si>
    <t xml:space="preserve">spot × shares</t>
  </si>
  <si>
    <t xml:space="preserve">USD/EGP</t>
  </si>
  <si>
    <t xml:space="preserve">Investing.com / TradingEconomics, 01 Jul 2026</t>
  </si>
  <si>
    <t xml:space="preserve">Net debt, latest (EGP bn)</t>
  </si>
  <si>
    <t xml:space="preserve">FY25 BS: gross 73.8 − cash 7.7 = 66.1; Q1-26 release: net debt −EGP 8bn QoQ, ND/EBITDA 1.3×</t>
  </si>
  <si>
    <t xml:space="preserve">Complexity / control discount</t>
  </si>
  <si>
    <t xml:space="preserve">Judgment: 70% state holding, associate-heavy NAV; market implies ~33% (SOTP sheet)</t>
  </si>
  <si>
    <t xml:space="preserve">WACC (EGP nominal)</t>
  </si>
  <si>
    <t xml:space="preserve">Judgment: EGP risk-free ~19% + equity premium; CBE easing cycle</t>
  </si>
  <si>
    <t xml:space="preserve">Terminal growth (nominal)</t>
  </si>
  <si>
    <t xml:space="preserve">Judgment: long-run EGP inflation ~8–10% + ~2% real</t>
  </si>
  <si>
    <t xml:space="preserve">Effective tax + minorities rate</t>
  </si>
  <si>
    <t xml:space="preserve">Balances FY25 reported NPAT (see Income Statement)</t>
  </si>
  <si>
    <t xml:space="preserve">Employee / board profit share (EPS wedge)</t>
  </si>
  <si>
    <t xml:space="preserve">EPS ≈ NPAT×(1−share)/shares; reconciles reported EPS 11.93 FY25</t>
  </si>
  <si>
    <t xml:space="preserve">SOTP — BASE MARKS</t>
  </si>
  <si>
    <t xml:space="preserve">Core 2026E EBITDA (EGP bn)</t>
  </si>
  <si>
    <t xml:space="preserve">FY25 47.5 reported; Q1-26 12.6 (45% margin); NTRA +13–15% tariffs → 2026E</t>
  </si>
  <si>
    <t xml:space="preserve">Core EV/EBITDA multiple</t>
  </si>
  <si>
    <t xml:space="preserve">Judgment: EM incumbent, heavy capex; peers ~3–5.5× (Peer &amp; Sector)</t>
  </si>
  <si>
    <t xml:space="preserve">VFE income to TE, FY25 (EGP bn)</t>
  </si>
  <si>
    <t xml:space="preserve">FY25 release: VFE investment income +71% YoY</t>
  </si>
  <si>
    <t xml:space="preserve">TE stake in Vodafone Egypt</t>
  </si>
  <si>
    <t xml:space="preserve">Company disclosure</t>
  </si>
  <si>
    <t xml:space="preserve">VFE mark — P/E on 100% attributable profit</t>
  </si>
  <si>
    <t xml:space="preserve">Judgment; cross-check: Vodacom 2021-22 deal ~US$2.7bn for 55%</t>
  </si>
  <si>
    <t xml:space="preserve">Other assets (data-hub JV, land, non-core) (EGP bn)</t>
  </si>
  <si>
    <t xml:space="preserve">Judgment</t>
  </si>
  <si>
    <t xml:space="preserve">FORECAST DRIVERS (FY26E–FY30E)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</si>
  <si>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</si>
  <si>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</si>
  <si>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</si>
  <si>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</si>
  <si>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</si>
  <si>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Revenue growth</t>
  </si>
  <si>
    <t xml:space="preserve">EBITDA margin</t>
  </si>
  <si>
    <t xml:space="preserve">D&amp;A % of revenue</t>
  </si>
  <si>
    <t xml:space="preserve">VFE income growth</t>
  </si>
  <si>
    <t xml:space="preserve">Net finance cost (EGP bn)</t>
  </si>
  <si>
    <t xml:space="preserve">In-service capex % of revenue (DCF basis)</t>
  </si>
  <si>
    <t xml:space="preserve">DCF capex basis = in-service (maintainable); cash capex incl. licences drives the CF statement — judgment, flagged</t>
  </si>
  <si>
    <t xml:space="preserve">Dividend per share (EGP)</t>
  </si>
  <si>
    <t xml:space="preserve">Cash capex % of revenue</t>
  </si>
  <si>
    <t xml:space="preserve">VFE dividends received, net (EGP bn)</t>
  </si>
  <si>
    <t xml:space="preserve">Core cash-tax rate (DCF)</t>
  </si>
  <si>
    <t xml:space="preserve">ΔWC, % of incremental revenue (DCF)</t>
  </si>
  <si>
    <t xml:space="preserve">RELATIVE &amp; NORMALIZED</t>
  </si>
  <si>
    <t xml:space="preserve">Relative blended EPS (EGP)</t>
  </si>
  <si>
    <t xml:space="preserve">Relative justified P/E</t>
  </si>
  <si>
    <t xml:space="preserve">Normalized mid-cycle NPAT (EGP bn)</t>
  </si>
  <si>
    <t xml:space="preserve">Normalized justified P/E</t>
  </si>
  <si>
    <t xml:space="preserve">LENS WEIGHTS</t>
  </si>
  <si>
    <t xml:space="preserve">MONTE CARLO — ENGINE REFERENCE (mc_v2, seed 42)</t>
  </si>
  <si>
    <t xml:space="preserve">HAR forward daily variance (log-HAR, YZ proxy)</t>
  </si>
  <si>
    <t xml:space="preserve">Annualized path vol (%)</t>
  </si>
  <si>
    <t xml:space="preserve">Secular drift, 3M (%) — EGX class ON</t>
  </si>
  <si>
    <t xml:space="preserve">Net continuous-factor drift, 3M (%)</t>
  </si>
  <si>
    <t xml:space="preserve">Net discrete-event expectation, 3M (%)</t>
  </si>
  <si>
    <t xml:space="preserve">Sum-of-the-parts — the primary lens (EGP bn; per share in EGP)</t>
  </si>
  <si>
    <t xml:space="preserve">Each part marked on the basis that best fits it; net debt deducted; a complexity / state-control discount applied. Bear and bull marks are inputs on this sheet.</t>
  </si>
  <si>
    <t xml:space="preserve">Basis</t>
  </si>
  <si>
    <t xml:space="preserve">Core EBITDA 2026E</t>
  </si>
  <si>
    <t xml:space="preserve">FY25 47.5; Q1-26 12.6 at 45%; NTRA tariffs</t>
  </si>
  <si>
    <t xml:space="preserve">Core EV/EBITDA</t>
  </si>
  <si>
    <t xml:space="preserve">EM incumbent, capex-heavy</t>
  </si>
  <si>
    <t xml:space="preserve">Core enterprise value</t>
  </si>
  <si>
    <t xml:space="preserve">VFE 100% profit (FY25)</t>
  </si>
  <si>
    <t xml:space="preserve">14.8 / 45% = 32.9</t>
  </si>
  <si>
    <t xml:space="preserve">VFE P/E mark</t>
  </si>
  <si>
    <t xml:space="preserve">Cross-check: Vodacom 2021-22 deal ~US$2.7bn for 55% ≈ EGP 110bn for 45% at 49.1</t>
  </si>
  <si>
    <t xml:space="preserve">VFE stake (45%)</t>
  </si>
  <si>
    <t xml:space="preserve">Other (data-hub JV, land, non-core)</t>
  </si>
  <si>
    <t xml:space="preserve">Σ Enterprise value</t>
  </si>
  <si>
    <t xml:space="preserve">less: net debt</t>
  </si>
  <si>
    <t xml:space="preserve">FY25 BS 66.1; Q1-26 −8bn QoQ</t>
  </si>
  <si>
    <t xml:space="preserve">Equity value (pre-discount)</t>
  </si>
  <si>
    <t xml:space="preserve">  per share, pre-discount</t>
  </si>
  <si>
    <t xml:space="preserve">Complexity / state-control discount</t>
  </si>
  <si>
    <t xml:space="preserve">Market-implied at spot ≈ row 19</t>
  </si>
  <si>
    <t xml:space="preserve">SOTP equity value</t>
  </si>
  <si>
    <t xml:space="preserve">SOTP per share</t>
  </si>
  <si>
    <t xml:space="preserve">Market-implied discount at spot</t>
  </si>
  <si>
    <t xml:space="preserve">1 − market cap / pre-discount equity</t>
  </si>
  <si>
    <t xml:space="preserve">Segment revenue and the three engines (EGP bn)</t>
  </si>
  <si>
    <t xml:space="preserve">Segment</t>
  </si>
  <si>
    <t xml:space="preserve">FY24</t>
  </si>
  <si>
    <t xml:space="preserve">FY25</t>
  </si>
  <si>
    <t xml:space="preserve">Growth</t>
  </si>
  <si>
    <t xml:space="preserve">Mix FY25</t>
  </si>
  <si>
    <t xml:space="preserve">Scorecard</t>
  </si>
  <si>
    <t xml:space="preserve">Home &amp; Consumer</t>
  </si>
  <si>
    <t xml:space="preserve">Retail engine: data +46%; NTRA +13–15% tariffs from mid-2026</t>
  </si>
  <si>
    <t xml:space="preserve">Enterprise</t>
  </si>
  <si>
    <t xml:space="preserve">Steady; data centers and cloud attach</t>
  </si>
  <si>
    <t xml:space="preserve">Domestic wholesale</t>
  </si>
  <si>
    <t xml:space="preserve">VFE EGP 30bn infrastructure agreements to 2034</t>
  </si>
  <si>
    <t xml:space="preserve">Int’l carrier affairs (ICA)</t>
  </si>
  <si>
    <t xml:space="preserve">IIC 13.1bn (+30%); USD-linked</t>
  </si>
  <si>
    <t xml:space="preserve">Int’l customers &amp; networks (IC&amp;N)</t>
  </si>
  <si>
    <t xml:space="preserve">Subsea/cables +31%; Red Sea corridor</t>
  </si>
  <si>
    <t xml:space="preserve">Total</t>
  </si>
  <si>
    <t xml:space="preserve">Three engines scorecard</t>
  </si>
  <si>
    <t xml:space="preserve">Part</t>
  </si>
  <si>
    <t xml:space="preserve">FX sensitivity</t>
  </si>
  <si>
    <t xml:space="preserve">Capital intensity</t>
  </si>
  <si>
    <t xml:space="preserve">Swing role</t>
  </si>
  <si>
    <t xml:space="preserve">Core retail (H&amp;C + Enterprise)</t>
  </si>
  <si>
    <t xml:space="preserve">High (tariffs + data)</t>
  </si>
  <si>
    <t xml:space="preserve">Low (EGP)</t>
  </si>
  <si>
    <t xml:space="preserve">High (fibre, 5G)</t>
  </si>
  <si>
    <t xml:space="preserve">Cash engine</t>
  </si>
  <si>
    <t xml:space="preserve">Core wholesale &amp; int’l (DW+ICA+IC&amp;N)</t>
  </si>
  <si>
    <t xml:space="preserve">High (subsea, IIC)</t>
  </si>
  <si>
    <t xml:space="preserve">High (USD-linked)</t>
  </si>
  <si>
    <t xml:space="preserve">Moderate</t>
  </si>
  <si>
    <t xml:space="preserve">Growth + FX hedge</t>
  </si>
  <si>
    <t xml:space="preserve">VFE 45% stake</t>
  </si>
  <si>
    <t xml:space="preserve">High (+71% income)</t>
  </si>
  <si>
    <t xml:space="preserve">Nil to TE (associate)</t>
  </si>
  <si>
    <t xml:space="preserve">Dominant value swing</t>
  </si>
  <si>
    <t xml:space="preserve">Relative multiples and normalized earnings power</t>
  </si>
  <si>
    <t xml:space="preserve">RELATIVE — EPS basis (EGP)</t>
  </si>
  <si>
    <t xml:space="preserve">Bear: FY25 reported; base: blended FY25/26E; bull: 2026E model</t>
  </si>
  <si>
    <t xml:space="preserve">Justified P/E</t>
  </si>
  <si>
    <t xml:space="preserve">EM incumbents ~6–10×</t>
  </si>
  <si>
    <t xml:space="preserve">Relative fair value / share</t>
  </si>
  <si>
    <t xml:space="preserve">NORMALIZED — mid-cycle NPAT (EGP bn)</t>
  </si>
  <si>
    <t xml:space="preserve">2026–27 run-rate ex-FX noise</t>
  </si>
  <si>
    <t xml:space="preserve">  normalized EPS</t>
  </si>
  <si>
    <t xml:space="preserve">Through-cycle, sub-peer</t>
  </si>
  <si>
    <t xml:space="preserve">Normalized fair value / share</t>
  </si>
  <si>
    <t xml:space="preserve">Core-FCFF DCF + the stake — the cash-flow cross-check (FCFF built from the forecast statements)</t>
  </si>
  <si>
    <t xml:space="preserve">FCFF derived per year: EBITDA − D&amp;A = EBIT → less cash tax → NOPAT → + D&amp;A − in-service capex − ΔWC. WACC, growth, tax and capex basis are Assumptions inputs.</t>
  </si>
  <si>
    <t xml:space="preserve">Revenue</t>
  </si>
  <si>
    <t xml:space="preserve">EBITDA</t>
  </si>
  <si>
    <t xml:space="preserve">less: D&amp;A</t>
  </si>
  <si>
    <t xml:space="preserve">EBIT</t>
  </si>
  <si>
    <t xml:space="preserve">less: cash tax</t>
  </si>
  <si>
    <t xml:space="preserve">NOPAT</t>
  </si>
  <si>
    <t xml:space="preserve">add: D&amp;A</t>
  </si>
  <si>
    <t xml:space="preserve">less: in-service capex (DCF basis)</t>
  </si>
  <si>
    <t xml:space="preserve">less: ΔWC</t>
  </si>
  <si>
    <t xml:space="preserve">Core FCFF (built)</t>
  </si>
  <si>
    <t xml:space="preserve">Discount factor</t>
  </si>
  <si>
    <t xml:space="preserve">PV of FCFF</t>
  </si>
  <si>
    <t xml:space="preserve">Σ PV, explicit years FY26E–FY30E</t>
  </si>
  <si>
    <t xml:space="preserve">Terminal value (Gordon on FY30E FCFF)</t>
  </si>
  <si>
    <t xml:space="preserve">PV of terminal value</t>
  </si>
  <si>
    <t xml:space="preserve">+ VFE stake (SOTP mark)</t>
  </si>
  <si>
    <t xml:space="preserve">− Net debt</t>
  </si>
  <si>
    <t xml:space="preserve">× (1 − complexity discount)</t>
  </si>
  <si>
    <t xml:space="preserve">DCF fair value per share (EGP)</t>
  </si>
  <si>
    <t xml:space="preserve">Per-share sensitivity — WACC × terminal growth</t>
  </si>
  <si>
    <t xml:space="preserve">Income statement — consolidated (EGP bn)</t>
  </si>
  <si>
    <t xml:space="preserve">FY23–FY25 as reported / derived from company releases; FY26E–FY30E model. EBIT here = EBITDA − D&amp;A (model definition; the EAS summary line differs).</t>
  </si>
  <si>
    <t xml:space="preserve">FY23</t>
  </si>
  <si>
    <t xml:space="preserve">Source / note</t>
  </si>
  <si>
    <t xml:space="preserve">FY25/FY24: FY25 earnings release (26 Feb 2026); FY23: FY23 release / Daily News Egypt (Mar 2024)</t>
  </si>
  <si>
    <t xml:space="preserve">  growth %</t>
  </si>
  <si>
    <t xml:space="preserve">n/d</t>
  </si>
  <si>
    <t xml:space="preserve">FY25/FY24 reported; FY23 derived from FY24 release “EBITDA +45%”</t>
  </si>
  <si>
    <t xml:space="preserve">  margin</t>
  </si>
  <si>
    <t xml:space="preserve">D&amp;A</t>
  </si>
  <si>
    <t xml:space="preserve">FY25: release “D&amp;A +16%”; FY24 “+48%”; chained</t>
  </si>
  <si>
    <t xml:space="preserve">EBIT (model)</t>
  </si>
  <si>
    <t xml:space="preserve">VFE investment income</t>
  </si>
  <si>
    <t xml:space="preserve">FY25 release: +71% YoY; FY24 release: +64% YoY; chained</t>
  </si>
  <si>
    <t xml:space="preserve">Net finance cost &amp; other</t>
  </si>
  <si>
    <t xml:space="preserve">Historical = balancing to reported NPAT at the stated effective rate (incl. FX losses: 4.9 FY24; Q1-26 5.3 non-cash)</t>
  </si>
  <si>
    <t xml:space="preserve">PBT</t>
  </si>
  <si>
    <t xml:space="preserve">NPAT</t>
  </si>
  <si>
    <t xml:space="preserve">Reported: 11.5 / 10.098 / 22.555; effective tax+minorities 24% / 28% / 30.5%</t>
  </si>
  <si>
    <t xml:space="preserve">EPS, reported basis (EGP)</t>
  </si>
  <si>
    <t xml:space="preserve">Reported EPS: ~5.4 / 4.79 / 11.93 (post profit-share wedge)</t>
  </si>
  <si>
    <t xml:space="preserve">Balance sheet — consolidated (EGP bn)</t>
  </si>
  <si>
    <t xml:space="preserve">FY24/FY25 per FY2025 earnings release; FY23 anchored to disclosed items (cash, gross-debt growth, ND/EBITDA 1.7×), remainder estimated. Forecast is a simplified roll-forward.</t>
  </si>
  <si>
    <t xml:space="preserve">Cash &amp; equivalents</t>
  </si>
  <si>
    <t xml:space="preserve">FY23 = FY24 opening cash (FY25 CF stmt); held flat in forecast</t>
  </si>
  <si>
    <t xml:space="preserve">Other current assets</t>
  </si>
  <si>
    <t xml:space="preserve">FY23 est.; forecast ≈ 37% of revenue</t>
  </si>
  <si>
    <t xml:space="preserve">Current assets</t>
  </si>
  <si>
    <t xml:space="preserve">Net fixed assets</t>
  </si>
  <si>
    <t xml:space="preserve">FY23 est.; forecast: + cash capex − D&amp;A</t>
  </si>
  <si>
    <t xml:space="preserve">Investments (VFE, equity method)</t>
  </si>
  <si>
    <t xml:space="preserve">FY23 est.; forecast: + VFE income − dividends received</t>
  </si>
  <si>
    <t xml:space="preserve">Other non-current assets (bal.)</t>
  </si>
  <si>
    <t xml:space="preserve">Balancing line in forecast</t>
  </si>
  <si>
    <t xml:space="preserve">Total assets</t>
  </si>
  <si>
    <t xml:space="preserve">Gross debt</t>
  </si>
  <si>
    <t xml:space="preserve">FY24: ST 43.1 + LT 38.4; FY25: 38.4 + 35.3; FY23 derived (FY24 “gross debt +64%”)</t>
  </si>
  <si>
    <t xml:space="preserve">Other liabilities</t>
  </si>
  <si>
    <t xml:space="preserve">FY24/FY25 = other current 46.4/53.7 + other non-current 24.1/34.7; FY23 est.; forecast scales slowly with revenue</t>
  </si>
  <si>
    <t xml:space="preserve">Total liabilities</t>
  </si>
  <si>
    <t xml:space="preserve">Equity</t>
  </si>
  <si>
    <t xml:space="preserve">FY23 est.; forecast: + NPAT − dividends declared</t>
  </si>
  <si>
    <t xml:space="preserve">Total liabilities + equity</t>
  </si>
  <si>
    <t xml:space="preserve">Check (TA − TL+E)</t>
  </si>
  <si>
    <t xml:space="preserve">Net debt</t>
  </si>
  <si>
    <t xml:space="preserve">Forecast: − FCFF + net finance cost + dividends paid</t>
  </si>
  <si>
    <t xml:space="preserve">Net debt / EBITDA</t>
  </si>
  <si>
    <t xml:space="preserve">Company-stated: 1.7× FY23, 2.2× FY24, 1.3× FY25</t>
  </si>
  <si>
    <t xml:space="preserve">Cash flow — consolidated (EGP bn)</t>
  </si>
  <si>
    <t xml:space="preserve">FY24/FY25 as reported (FY2025 release); FY23 partially disclosed. Forecast is a simplified indirect build.</t>
  </si>
  <si>
    <t xml:space="preserve">Operating cash flow</t>
  </si>
  <si>
    <t xml:space="preserve">Forecast: NPAT + D&amp;A − (VFE income − dividends) − ΔWC 0.6</t>
  </si>
  <si>
    <t xml:space="preserve">Investing cash flow</t>
  </si>
  <si>
    <t xml:space="preserve">Forecast = − cash capex (incl. licences)</t>
  </si>
  <si>
    <t xml:space="preserve">Financing cash flow</t>
  </si>
  <si>
    <t xml:space="preserve">Forecast plug: cash held flat</t>
  </si>
  <si>
    <t xml:space="preserve">Net change in cash</t>
  </si>
  <si>
    <t xml:space="preserve">Cash, end of period</t>
  </si>
  <si>
    <t xml:space="preserve">FY23 = FY24 opening balance per FY25 CF statement</t>
  </si>
  <si>
    <t xml:space="preserve">Cash capex (incl. licences), memo</t>
  </si>
  <si>
    <t xml:space="preserve">Company releases: FY23 26.4 · FY24 35.1 · FY25 29.6 (28% of sales)</t>
  </si>
  <si>
    <t xml:space="preserve">FCFF (core, DCF build), memo</t>
  </si>
  <si>
    <t xml:space="preserve">FY25 release (company definition): 21.1 vs (1.6) FY24; forecast = the DCF sheet build</t>
  </si>
  <si>
    <t xml:space="preserve">Summary financials — every cell links to the statement sheets (EGP bn)</t>
  </si>
  <si>
    <t xml:space="preserve">EPS (EGP)</t>
  </si>
  <si>
    <t xml:space="preserve">FCFF (memo)</t>
  </si>
  <si>
    <t xml:space="preserve">Monte Carlo — the probabilistic price map (engine outputs, mc_v2, 50,000 paths, seed 42)</t>
  </si>
  <si>
    <t xml:space="preserve">Width: pooled log-HAR (lags 1/5/22) on a Yang-Zhang variance proxy · Shape: unit-variance Student-t(5) per-path mixture · Drift: EGX secular ON + factor layer. Paths diffuse from spot; the §1 value gap is kept out of the drift.</t>
  </si>
  <si>
    <t xml:space="preserve">Anchor (EGP)</t>
  </si>
  <si>
    <t xml:space="preserve">Secular drift, 3M (%)</t>
  </si>
  <si>
    <t xml:space="preserve">Continuous-factor drift, 3M (%)</t>
  </si>
  <si>
    <t xml:space="preserve">Discrete-event expectation, 3M (%)</t>
  </si>
  <si>
    <t xml:space="preserve">Percentile map (EGP/share)</t>
  </si>
  <si>
    <t xml:space="preserve">Horizon</t>
  </si>
  <si>
    <t xml:space="preserve">p5</t>
  </si>
  <si>
    <t xml:space="preserve">p25</t>
  </si>
  <si>
    <t xml:space="preserve">p50</t>
  </si>
  <si>
    <t xml:space="preserve">p75</t>
  </si>
  <si>
    <t xml:space="preserve">p95</t>
  </si>
  <si>
    <t xml:space="preserve">T+20 sessions</t>
  </si>
  <si>
    <t xml:space="preserve">T+60 sessions</t>
  </si>
  <si>
    <t xml:space="preserve">Level-touch ladder (running max/min)</t>
  </si>
  <si>
    <t xml:space="preserve">Level</t>
  </si>
  <si>
    <t xml:space="preserve">T+20 touch</t>
  </si>
  <si>
    <t xml:space="preserve">T+60 touch</t>
  </si>
  <si>
    <t xml:space="preserve">Probability zones at T+60</t>
  </si>
  <si>
    <t xml:space="preserve">Zone</t>
  </si>
  <si>
    <t xml:space="preserve">Range (EGP)</t>
  </si>
  <si>
    <t xml:space="preserve">Probability</t>
  </si>
  <si>
    <t xml:space="preserve">Deep downside</t>
  </si>
  <si>
    <t xml:space="preserve">&lt; 75</t>
  </si>
  <si>
    <t xml:space="preserve">Lower band</t>
  </si>
  <si>
    <t xml:space="preserve">75–87</t>
  </si>
  <si>
    <t xml:space="preserve">Around spot</t>
  </si>
  <si>
    <t xml:space="preserve">87–100</t>
  </si>
  <si>
    <t xml:space="preserve">Upper band</t>
  </si>
  <si>
    <t xml:space="preserve">100–115</t>
  </si>
  <si>
    <t xml:space="preserve">Strong upside</t>
  </si>
  <si>
    <t xml:space="preserve">&gt; 115</t>
  </si>
  <si>
    <t xml:space="preserve">Factor stack — 7 continuous + 9 discrete (judgment inputs, calibrated=False pending sign-off)</t>
  </si>
  <si>
    <t xml:space="preserve">Continuous factor</t>
  </si>
  <si>
    <t xml:space="preserve">3M drift</t>
  </si>
  <si>
    <t xml:space="preserve">Discrete event</t>
  </si>
  <si>
    <t xml:space="preserve">Prob.</t>
  </si>
  <si>
    <t xml:space="preserve">Mean impact</t>
  </si>
  <si>
    <t xml:space="preserve">Spread</t>
  </si>
  <si>
    <t xml:space="preserve">CBE policy-rate path (easing)</t>
  </si>
  <si>
    <t xml:space="preserve">Q2 2026 results (13 Aug)</t>
  </si>
  <si>
    <t xml:space="preserve">EGP/USD path (appreciation)</t>
  </si>
  <si>
    <t xml:space="preserve">NTRA tariff implementation read-through</t>
  </si>
  <si>
    <t xml:space="preserve">Inflation / NTRA tariff pass-through</t>
  </si>
  <si>
    <t xml:space="preserve">Government sell-down / placement (overhang)</t>
  </si>
  <si>
    <t xml:space="preserve">EGX30 &amp; foreign flows</t>
  </si>
  <si>
    <t xml:space="preserve">VFE monetization / stake headline</t>
  </si>
  <si>
    <t xml:space="preserve">Data demand / broadband ARPU</t>
  </si>
  <si>
    <t xml:space="preserve">New EGP step-move (either direction)</t>
  </si>
  <si>
    <t xml:space="preserve">VFE earnings momentum</t>
  </si>
  <si>
    <t xml:space="preserve">Dividend-policy / payout surprise</t>
  </si>
  <si>
    <t xml:space="preserve">Capex intensity / FCF drag</t>
  </si>
  <si>
    <t xml:space="preserve">Red Sea / subsea disruption</t>
  </si>
  <si>
    <t xml:space="preserve">New cable / IRU / data-hub deal (Helios close)</t>
  </si>
  <si>
    <t xml:space="preserve">Index / MSCI flow event</t>
  </si>
  <si>
    <t xml:space="preserve">SOTP sensitivity — VFE mark × complexity discount (EGP/share, post-discount, live formulas)</t>
  </si>
  <si>
    <t xml:space="preserve">Discount \ VFE P/E</t>
  </si>
  <si>
    <t xml:space="preserve">Every 1.0× on the VFE mark ≈ EGP 7.4/share post-discount; every 5pp of discount ≈ EGP 7.0/share.</t>
  </si>
  <si>
    <t xml:space="preserve">Per-share and ratios</t>
  </si>
  <si>
    <t xml:space="preserve">DPS (EGP)</t>
  </si>
  <si>
    <t xml:space="preserve">DPS FY24/FY25 EGP 1.50 declared (paid 30 Apr 2026)</t>
  </si>
  <si>
    <t xml:space="preserve">Payout (DPS/EPS)</t>
  </si>
  <si>
    <t xml:space="preserve">BVPS (EGP)</t>
  </si>
  <si>
    <t xml:space="preserve">P/E at spot</t>
  </si>
  <si>
    <t xml:space="preserve">EV/EBITDA at spot (core)</t>
  </si>
  <si>
    <t xml:space="preserve">FCFF yield on EV</t>
  </si>
  <si>
    <t xml:space="preserve">ROE</t>
  </si>
  <si>
    <t xml:space="preserve">Peer set, sector structure, and risks</t>
  </si>
  <si>
    <t xml:space="preserve">Peer</t>
  </si>
  <si>
    <t xml:space="preserve">Market</t>
  </si>
  <si>
    <t xml:space="preserve">Typical EV/EBITDA</t>
  </si>
  <si>
    <t xml:space="preserve">Typical P/E</t>
  </si>
  <si>
    <t xml:space="preserve">Note</t>
  </si>
  <si>
    <t xml:space="preserve">Vodacom Group</t>
  </si>
  <si>
    <t xml:space="preserve">JSE</t>
  </si>
  <si>
    <t xml:space="preserve">4.0–5.0×</t>
  </si>
  <si>
    <t xml:space="preserve">9–11×</t>
  </si>
  <si>
    <t xml:space="preserve">Owns 55% of VFE; the natural read-across for the stake</t>
  </si>
  <si>
    <t xml:space="preserve">stc (Saudi Telecom)</t>
  </si>
  <si>
    <t xml:space="preserve">Tadawul</t>
  </si>
  <si>
    <t xml:space="preserve">7–8×</t>
  </si>
  <si>
    <t xml:space="preserve">15–17×</t>
  </si>
  <si>
    <t xml:space="preserve">GCC quality premium</t>
  </si>
  <si>
    <t xml:space="preserve">e&amp; (Etisalat)</t>
  </si>
  <si>
    <t xml:space="preserve">ADX</t>
  </si>
  <si>
    <t xml:space="preserve">5.5–6.5×</t>
  </si>
  <si>
    <t xml:space="preserve">10–12×</t>
  </si>
  <si>
    <t xml:space="preserve">Regional incumbent</t>
  </si>
  <si>
    <t xml:space="preserve">Ooredoo</t>
  </si>
  <si>
    <t xml:space="preserve">QSE</t>
  </si>
  <si>
    <t xml:space="preserve">4.5–5.5×</t>
  </si>
  <si>
    <t xml:space="preserve">MENA multi-market</t>
  </si>
  <si>
    <t xml:space="preserve">Turk Telekom</t>
  </si>
  <si>
    <t xml:space="preserve">BIST</t>
  </si>
  <si>
    <t xml:space="preserve">3–4×</t>
  </si>
  <si>
    <t xml:space="preserve">5–8×</t>
  </si>
  <si>
    <t xml:space="preserve">High-inflation EM incumbent — closest macro analogue</t>
  </si>
  <si>
    <t xml:space="preserve">Mobily</t>
  </si>
  <si>
    <t xml:space="preserve">6–7×</t>
  </si>
  <si>
    <t xml:space="preserve">13–15×</t>
  </si>
  <si>
    <t xml:space="preserve">Mobile pure-play</t>
  </si>
  <si>
    <t xml:space="preserve">Egypt market structure</t>
  </si>
  <si>
    <t xml:space="preserve">Mobile: Vodafone Egypt (~42–43% share) · Orange Egypt · e&amp; Egypt · WE (Telecom Egypt, ~10–13%)</t>
  </si>
  <si>
    <t xml:space="preserve">Fixed: Telecom Egypt is the monopoly fixed-line and fibre incumbent; wholesale to all MNOs</t>
  </si>
  <si>
    <t xml:space="preserve">Subsea: Egypt carries a dominant share of Europe–Asia traffic; TE lands/operates the corridor (SEA-ME-WE, AAE, Coral Bridge)</t>
  </si>
  <si>
    <t xml:space="preserve">Principal risks</t>
  </si>
  <si>
    <t xml:space="preserve">State sell-down overhang (70% MoF holding under the divestment programme)</t>
  </si>
  <si>
    <t xml:space="preserve">EGP regime: appreciation cuts USD wholesale; a new step-devaluation resets costs and FX losses</t>
  </si>
  <si>
    <t xml:space="preserve">NTRA / regulatory pricing risk in both directions</t>
  </si>
  <si>
    <t xml:space="preserve">Capex intensity: cash capex ~28–31% of sales suppresses FCF</t>
  </si>
  <si>
    <t xml:space="preserve">VFE mark is judgmental — associate, unlisted, one 2022 transaction reference</t>
  </si>
  <si>
    <t xml:space="preserve">Red Sea / subsea geopolitical disruption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</si>
</sst>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"/>
    <numFmt numFmtId="166" formatCode="#,##0.0"/>
    <numFmt numFmtId="167" formatCode="0.0%"/>
    <numFmt numFmtId="168" formatCode="#,##0"/>
    <numFmt numFmtId="169" formatCode="0.00\×"/>
    <numFmt numFmtId="170" formatCode="0.000000"/>
    <numFmt numFmtId="171" formatCode="0.000"/>
    <numFmt numFmtId="172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B5E5E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8"/>
      <color rgb="FF666666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AF2F2"/>
        <bgColor rgb="FFFFFFFF"/>
      </patternFill>
    </fill>
    <fill>
      <patternFill patternType="solid">
        <fgColor rgb="FF1B5E5E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2E2"/>
      </left>
      <right style="thin">
        <color rgb="FFD9E2E2"/>
      </right>
      <top style="thin">
        <color rgb="FFD9E2E2"/>
      </top>
      <bottom style="thin">
        <color rgb="FFD9E2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5E5E"/>
      <rgbColor rgb="FFC0C0C0"/>
      <rgbColor rgb="FF808080"/>
      <rgbColor rgb="FF9999FF"/>
      <rgbColor rgb="FF993366"/>
      <rgbColor rgb="FFFFFFCC"/>
      <rgbColor rgb="FFEAF2F2"/>
      <rgbColor rgb="FF660066"/>
      <rgbColor rgb="FFFF8080"/>
      <rgbColor rgb="FF0066CC"/>
      <rgbColor rgb="FFD9E2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6"/>
    <col collapsed="false" customWidth="true" hidden="false" outlineLevel="0" max="4" min="4" style="0" width="52"/>
  </cols>
  <sheetData>
    <row r="1" customFormat="false" ht="15" hidden="false" customHeight="false" outlineLevel="0" collapsed="false">
      <c r="A1" s="1" t="s">
        <v>13</v>
      </c>
    </row>
    <row r="3" customFormat="false" ht="15" hidden="false" customHeight="false" outlineLevel="0" collapsed="false">
      <c r="A3" s="4" t="s">
        <v>14</v>
      </c>
      <c r="B3" s="5" t="n">
        <f aca="false">Assumptions!$B$5</f>
        <v>92.61</v>
      </c>
    </row>
    <row r="4" customFormat="false" ht="15" hidden="false" customHeight="false" outlineLevel="0" collapsed="false">
      <c r="A4" s="4" t="s">
        <v>15</v>
      </c>
      <c r="B4" s="6" t="n">
        <f aca="false">Assumptions!$B$5*Assumptions!$B$6/1000</f>
        <v>158.0917527</v>
      </c>
    </row>
    <row r="5" customFormat="false" ht="15" hidden="false" customHeight="false" outlineLevel="0" collapsed="false">
      <c r="A5" s="4" t="s">
        <v>16</v>
      </c>
      <c r="B5" s="5" t="n">
        <f aca="false">'Fundamental Valuation'!D9</f>
        <v>117.667905647399</v>
      </c>
      <c r="D5" s="7" t="s">
        <v>17</v>
      </c>
    </row>
    <row r="6" customFormat="false" ht="15" hidden="false" customHeight="false" outlineLevel="0" collapsed="false">
      <c r="A6" s="4" t="s">
        <v>18</v>
      </c>
      <c r="B6" s="8" t="n">
        <f aca="false">'Fundamental Valuation'!D9/Assumptions!$B$5-1</f>
        <v>0.270574512983468</v>
      </c>
    </row>
    <row r="7" customFormat="false" ht="15" hidden="false" customHeight="false" outlineLevel="0" collapsed="false">
      <c r="A7" s="4" t="s">
        <v>19</v>
      </c>
      <c r="B7" s="5" t="n">
        <f aca="false">'Fundamental Valuation'!C9</f>
        <v>82.0084656589947</v>
      </c>
      <c r="C7" s="5" t="n">
        <f aca="false">'Fundamental Valuation'!E9</f>
        <v>160.012405613127</v>
      </c>
    </row>
    <row r="8" customFormat="false" ht="15" hidden="false" customHeight="false" outlineLevel="0" collapsed="false">
      <c r="A8" s="4" t="s">
        <v>20</v>
      </c>
      <c r="B8" s="5" t="n">
        <f aca="false">SOTP!C18</f>
        <v>118.183495697306</v>
      </c>
      <c r="D8" s="7" t="s">
        <v>21</v>
      </c>
    </row>
    <row r="9" customFormat="false" ht="15" hidden="false" customHeight="false" outlineLevel="0" collapsed="false">
      <c r="A9" s="4" t="s">
        <v>22</v>
      </c>
      <c r="B9" s="5" t="n">
        <f aca="false">DCF!B26</f>
        <v>106.521431732458</v>
      </c>
    </row>
    <row r="10" customFormat="false" ht="15" hidden="false" customHeight="false" outlineLevel="0" collapsed="false">
      <c r="A10" s="4" t="s">
        <v>23</v>
      </c>
      <c r="B10" s="5" t="n">
        <f aca="false">'Relative &amp; Normalized'!C7</f>
        <v>103.2</v>
      </c>
      <c r="C10" s="5" t="n">
        <f aca="false">'Relative &amp; Normalized'!C12</f>
        <v>134.44088408794</v>
      </c>
    </row>
    <row r="11" customFormat="false" ht="15" hidden="false" customHeight="false" outlineLevel="0" collapsed="false">
      <c r="A11" s="4" t="s">
        <v>24</v>
      </c>
      <c r="B11" s="5" t="n">
        <v>106.3</v>
      </c>
      <c r="D11" s="7" t="s">
        <v>25</v>
      </c>
    </row>
    <row r="12" customFormat="false" ht="15" hidden="false" customHeight="false" outlineLevel="0" collapsed="false">
      <c r="A12" s="4" t="s">
        <v>26</v>
      </c>
      <c r="B12" s="5" t="n">
        <v>96.9</v>
      </c>
    </row>
    <row r="13" customFormat="false" ht="15" hidden="false" customHeight="false" outlineLevel="0" collapsed="false">
      <c r="A13" s="4" t="s">
        <v>27</v>
      </c>
      <c r="B13" s="4" t="s">
        <v>28</v>
      </c>
      <c r="D13" s="7" t="s">
        <v>29</v>
      </c>
    </row>
    <row r="14" customFormat="false" ht="15" hidden="false" customHeight="false" outlineLevel="0" collapsed="false">
      <c r="A14" s="4" t="s">
        <v>30</v>
      </c>
      <c r="B14" s="5" t="n">
        <v>1.5</v>
      </c>
      <c r="D14" s="7" t="s">
        <v>31</v>
      </c>
    </row>
    <row r="15" customFormat="false" ht="15" hidden="false" customHeight="false" outlineLevel="0" collapsed="false">
      <c r="A15" s="4" t="s">
        <v>32</v>
      </c>
      <c r="B15" s="8" t="n">
        <v>0.7</v>
      </c>
      <c r="D15" s="7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10"/>
    <col collapsed="false" customWidth="true" hidden="false" outlineLevel="0" max="6" min="6" style="0" width="34"/>
  </cols>
  <sheetData>
    <row r="1" customFormat="false" ht="15" hidden="false" customHeight="false" outlineLevel="0" collapsed="false">
      <c r="A1" s="1" t="s">
        <v>34</v>
      </c>
    </row>
    <row r="4" customFormat="false" ht="15" hidden="false" customHeight="false" outlineLevel="0" collapsed="false">
      <c r="A4" s="9" t="s">
        <v>35</v>
      </c>
      <c r="B4" s="9" t="s">
        <v>36</v>
      </c>
      <c r="C4" s="9" t="s">
        <v>37</v>
      </c>
      <c r="D4" s="9" t="s">
        <v>38</v>
      </c>
      <c r="E4" s="9" t="s">
        <v>39</v>
      </c>
      <c r="F4" s="9" t="s">
        <v>40</v>
      </c>
    </row>
    <row r="5" customFormat="false" ht="15" hidden="false" customHeight="false" outlineLevel="0" collapsed="false">
      <c r="A5" s="4" t="s">
        <v>41</v>
      </c>
      <c r="B5" s="8" t="n">
        <f aca="false">Assumptions!$B$45</f>
        <v>0.4</v>
      </c>
      <c r="C5" s="5" t="n">
        <f aca="false">SOTP!B18</f>
        <v>83.2771942568261</v>
      </c>
      <c r="D5" s="5" t="n">
        <f aca="false">SOTP!C18</f>
        <v>118.183495697306</v>
      </c>
      <c r="E5" s="5" t="n">
        <f aca="false">SOTP!D18</f>
        <v>157.559443959533</v>
      </c>
      <c r="F5" s="7" t="s">
        <v>42</v>
      </c>
    </row>
    <row r="6" customFormat="false" ht="15" hidden="false" customHeight="false" outlineLevel="0" collapsed="false">
      <c r="A6" s="4" t="s">
        <v>43</v>
      </c>
      <c r="B6" s="8" t="n">
        <f aca="false">Assumptions!$B$46</f>
        <v>0.2</v>
      </c>
      <c r="C6" s="10" t="n">
        <v>70</v>
      </c>
      <c r="D6" s="5" t="n">
        <f aca="false">DCF!B26</f>
        <v>106.521431732458</v>
      </c>
      <c r="E6" s="10" t="n">
        <v>154</v>
      </c>
      <c r="F6" s="7" t="s">
        <v>44</v>
      </c>
    </row>
    <row r="7" customFormat="false" ht="15" hidden="false" customHeight="false" outlineLevel="0" collapsed="false">
      <c r="A7" s="4" t="s">
        <v>45</v>
      </c>
      <c r="B7" s="8" t="n">
        <f aca="false">Assumptions!$B$47</f>
        <v>0.15</v>
      </c>
      <c r="C7" s="5" t="n">
        <f aca="false">'Relative &amp; Normalized'!B7</f>
        <v>77.545</v>
      </c>
      <c r="D7" s="5" t="n">
        <f aca="false">'Relative &amp; Normalized'!C7</f>
        <v>103.2</v>
      </c>
      <c r="E7" s="5" t="n">
        <f aca="false">'Relative &amp; Normalized'!D7</f>
        <v>142.5</v>
      </c>
      <c r="F7" s="7" t="s">
        <v>46</v>
      </c>
    </row>
    <row r="8" customFormat="false" ht="15" hidden="false" customHeight="false" outlineLevel="0" collapsed="false">
      <c r="A8" s="4" t="s">
        <v>47</v>
      </c>
      <c r="B8" s="8" t="n">
        <f aca="false">Assumptions!$B$48</f>
        <v>0.25</v>
      </c>
      <c r="C8" s="5" t="n">
        <f aca="false">'Relative &amp; Normalized'!B12</f>
        <v>92.263351825057</v>
      </c>
      <c r="D8" s="5" t="n">
        <f aca="false">'Relative &amp; Normalized'!C12</f>
        <v>134.44088408794</v>
      </c>
      <c r="E8" s="5" t="n">
        <f aca="false">'Relative &amp; Normalized'!D12</f>
        <v>179.254512117254</v>
      </c>
      <c r="F8" s="7" t="s">
        <v>46</v>
      </c>
    </row>
    <row r="9" customFormat="false" ht="15" hidden="false" customHeight="false" outlineLevel="0" collapsed="false">
      <c r="A9" s="11" t="s">
        <v>48</v>
      </c>
      <c r="C9" s="12" t="n">
        <f aca="false">SUMPRODUCT($B$5:$B$8,C5:C8)</f>
        <v>82.0084656589947</v>
      </c>
      <c r="D9" s="12" t="n">
        <f aca="false">SUMPRODUCT($B$5:$B$8,D5:D8)</f>
        <v>117.667905647399</v>
      </c>
      <c r="E9" s="12" t="n">
        <f aca="false">SUMPRODUCT($B$5:$B$8,E5:E8)</f>
        <v>160.012405613127</v>
      </c>
    </row>
    <row r="10" customFormat="false" ht="15" hidden="false" customHeight="false" outlineLevel="0" collapsed="false">
      <c r="A10" s="4" t="s">
        <v>18</v>
      </c>
      <c r="D10" s="8" t="n">
        <f aca="false">D9/Assumptions!$B$5-1</f>
        <v>0.270574512983468</v>
      </c>
    </row>
    <row r="11" customFormat="false" ht="15" hidden="false" customHeight="false" outlineLevel="0" collapsed="false">
      <c r="A11" s="4" t="s">
        <v>49</v>
      </c>
      <c r="D11" s="5" t="n">
        <f aca="false">Assumptions!$B$5</f>
        <v>92.61</v>
      </c>
      <c r="E11" s="6" t="n">
        <f aca="false">Assumptions!$B$5*Assumptions!$B$6/1000</f>
        <v>158.0917527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2"/>
    <col collapsed="false" customWidth="true" hidden="false" outlineLevel="0" max="7" min="7" style="0" width="10"/>
    <col collapsed="false" customWidth="true" hidden="false" outlineLevel="0" max="8" min="8" style="0" width="64"/>
  </cols>
  <sheetData>
    <row r="1" customFormat="false" ht="15" hidden="false" customHeight="false" outlineLevel="0" collapsed="false">
      <c r="A1" s="1" t="s">
        <v>50</v>
      </c>
    </row>
    <row r="2" customFormat="false" ht="15" hidden="false" customHeight="false" outlineLevel="0" collapsed="false">
      <c r="A2" s="13" t="s">
        <v>51</v>
      </c>
    </row>
    <row r="4" customFormat="false" ht="15" hidden="false" customHeight="false" outlineLevel="0" collapsed="false">
      <c r="A4" s="14" t="s">
        <v>52</v>
      </c>
      <c r="B4" s="15"/>
      <c r="C4" s="15"/>
      <c r="D4" s="15"/>
      <c r="E4" s="15"/>
      <c r="F4" s="15"/>
      <c r="G4" s="15"/>
    </row>
    <row r="5" customFormat="false" ht="15" hidden="false" customHeight="false" outlineLevel="0" collapsed="false">
      <c r="A5" s="4" t="s">
        <v>53</v>
      </c>
      <c r="B5" s="10" t="n">
        <v>92.61</v>
      </c>
      <c r="H5" s="7" t="s">
        <v>54</v>
      </c>
    </row>
    <row r="6" customFormat="false" ht="15" hidden="false" customHeight="false" outlineLevel="0" collapsed="false">
      <c r="A6" s="4" t="s">
        <v>55</v>
      </c>
      <c r="B6" s="16" t="n">
        <v>1707.07</v>
      </c>
      <c r="H6" s="7" t="s">
        <v>56</v>
      </c>
    </row>
    <row r="7" customFormat="false" ht="15" hidden="false" customHeight="false" outlineLevel="0" collapsed="false">
      <c r="A7" s="4" t="s">
        <v>15</v>
      </c>
      <c r="B7" s="6" t="n">
        <f aca="false">B5*B6/1000</f>
        <v>158.0917527</v>
      </c>
      <c r="H7" s="7" t="s">
        <v>57</v>
      </c>
    </row>
    <row r="8" customFormat="false" ht="15" hidden="false" customHeight="false" outlineLevel="0" collapsed="false">
      <c r="A8" s="4" t="s">
        <v>58</v>
      </c>
      <c r="B8" s="10" t="n">
        <v>49.1</v>
      </c>
      <c r="H8" s="7" t="s">
        <v>59</v>
      </c>
    </row>
    <row r="9" customFormat="false" ht="15" hidden="false" customHeight="false" outlineLevel="0" collapsed="false">
      <c r="A9" s="4" t="s">
        <v>60</v>
      </c>
      <c r="B9" s="17" t="n">
        <v>58</v>
      </c>
      <c r="H9" s="7" t="s">
        <v>61</v>
      </c>
    </row>
    <row r="10" customFormat="false" ht="15" hidden="false" customHeight="false" outlineLevel="0" collapsed="false">
      <c r="A10" s="4" t="s">
        <v>62</v>
      </c>
      <c r="B10" s="18" t="n">
        <v>0.15</v>
      </c>
      <c r="H10" s="7" t="s">
        <v>63</v>
      </c>
    </row>
    <row r="11" customFormat="false" ht="15" hidden="false" customHeight="false" outlineLevel="0" collapsed="false">
      <c r="A11" s="4" t="s">
        <v>64</v>
      </c>
      <c r="B11" s="18" t="n">
        <v>0.23</v>
      </c>
      <c r="H11" s="7" t="s">
        <v>65</v>
      </c>
    </row>
    <row r="12" customFormat="false" ht="15" hidden="false" customHeight="false" outlineLevel="0" collapsed="false">
      <c r="A12" s="4" t="s">
        <v>66</v>
      </c>
      <c r="B12" s="18" t="n">
        <v>0.11</v>
      </c>
      <c r="H12" s="7" t="s">
        <v>67</v>
      </c>
    </row>
    <row r="13" customFormat="false" ht="15" hidden="false" customHeight="false" outlineLevel="0" collapsed="false">
      <c r="A13" s="4" t="s">
        <v>68</v>
      </c>
      <c r="B13" s="18" t="n">
        <v>0.305</v>
      </c>
      <c r="H13" s="7" t="s">
        <v>69</v>
      </c>
    </row>
    <row r="14" customFormat="false" ht="15" hidden="false" customHeight="false" outlineLevel="0" collapsed="false">
      <c r="A14" s="4" t="s">
        <v>70</v>
      </c>
      <c r="B14" s="18" t="n">
        <v>0.1</v>
      </c>
      <c r="H14" s="7" t="s">
        <v>71</v>
      </c>
    </row>
    <row r="16" customFormat="false" ht="15" hidden="false" customHeight="false" outlineLevel="0" collapsed="false">
      <c r="A16" s="14" t="s">
        <v>72</v>
      </c>
      <c r="B16" s="15"/>
      <c r="C16" s="15"/>
      <c r="D16" s="15"/>
      <c r="E16" s="15"/>
      <c r="F16" s="15"/>
      <c r="G16" s="15"/>
    </row>
    <row r="17" customFormat="false" ht="15" hidden="false" customHeight="false" outlineLevel="0" collapsed="false">
      <c r="A17" s="4" t="s">
        <v>73</v>
      </c>
      <c r="B17" s="17" t="n">
        <v>52.6</v>
      </c>
      <c r="H17" s="7" t="s">
        <v>74</v>
      </c>
    </row>
    <row r="18" customFormat="false" ht="15" hidden="false" customHeight="false" outlineLevel="0" collapsed="false">
      <c r="A18" s="4" t="s">
        <v>75</v>
      </c>
      <c r="B18" s="19" t="n">
        <v>3.25</v>
      </c>
      <c r="H18" s="7" t="s">
        <v>76</v>
      </c>
    </row>
    <row r="19" customFormat="false" ht="15" hidden="false" customHeight="false" outlineLevel="0" collapsed="false">
      <c r="A19" s="4" t="s">
        <v>77</v>
      </c>
      <c r="B19" s="17" t="n">
        <v>14.8</v>
      </c>
      <c r="H19" s="7" t="s">
        <v>78</v>
      </c>
    </row>
    <row r="20" customFormat="false" ht="15" hidden="false" customHeight="false" outlineLevel="0" collapsed="false">
      <c r="A20" s="4" t="s">
        <v>79</v>
      </c>
      <c r="B20" s="18" t="n">
        <v>0.45</v>
      </c>
      <c r="H20" s="7" t="s">
        <v>80</v>
      </c>
    </row>
    <row r="21" customFormat="false" ht="15" hidden="false" customHeight="false" outlineLevel="0" collapsed="false">
      <c r="A21" s="4" t="s">
        <v>81</v>
      </c>
      <c r="B21" s="19" t="n">
        <v>8</v>
      </c>
      <c r="H21" s="7" t="s">
        <v>82</v>
      </c>
    </row>
    <row r="22" customFormat="false" ht="15" hidden="false" customHeight="false" outlineLevel="0" collapsed="false">
      <c r="A22" s="4" t="s">
        <v>83</v>
      </c>
      <c r="B22" s="17" t="n">
        <v>6</v>
      </c>
      <c r="H22" s="7" t="s">
        <v>84</v>
      </c>
    </row>
    <row r="24" customFormat="false" ht="15" hidden="false" customHeight="false" outlineLevel="0" collapsed="false">
      <c r="A24" s="14" t="s">
        <v>85</v>
      </c>
      <c r="B24" s="15"/>
      <c r="C24" s="15"/>
      <c r="D24" s="15"/>
      <c r="E24" s="15"/>
      <c r="F24" s="15"/>
      <c r="G24" s="15"/>
    </row>
    <row r="25" customFormat="false" ht="15" hidden="false" customHeight="false" outlineLevel="0" collapsed="false">
      <c r="A25" s="11"/>
      <c r="B25" s="11" t="s">
        <v>86</v>
      </c>
      <c r="C25" s="11" t="s">
        <v>87</v>
      </c>
      <c r="D25" s="11" t="s">
        <v>88</v>
      </c>
      <c r="E25" s="11" t="s">
        <v>89</v>
      </c>
      <c r="F25" s="11" t="s">
        <v>90</v>
      </c>
    </row>
    <row r="26" customFormat="false" ht="15" hidden="false" customHeight="false" outlineLevel="0" collapsed="false">
      <c r="A26" s="4" t="s">
        <v>91</v>
      </c>
      <c r="B26" s="18" t="n">
        <v>0.12</v>
      </c>
      <c r="C26" s="18" t="n">
        <v>0.1</v>
      </c>
      <c r="D26" s="18" t="n">
        <v>0.09</v>
      </c>
      <c r="E26" s="18" t="n">
        <v>0.08</v>
      </c>
      <c r="F26" s="18" t="n">
        <v>0.07</v>
      </c>
    </row>
    <row r="27" customFormat="false" ht="15" hidden="false" customHeight="false" outlineLevel="0" collapsed="false">
      <c r="A27" s="4" t="s">
        <v>92</v>
      </c>
      <c r="B27" s="18" t="n">
        <v>0.44</v>
      </c>
      <c r="C27" s="18" t="n">
        <v>0.435</v>
      </c>
      <c r="D27" s="18" t="n">
        <v>0.43</v>
      </c>
      <c r="E27" s="18" t="n">
        <v>0.43</v>
      </c>
      <c r="F27" s="18" t="n">
        <v>0.43</v>
      </c>
    </row>
    <row r="28" customFormat="false" ht="15" hidden="false" customHeight="false" outlineLevel="0" collapsed="false">
      <c r="A28" s="4" t="s">
        <v>93</v>
      </c>
      <c r="B28" s="18" t="n">
        <v>0.131</v>
      </c>
      <c r="C28" s="18" t="n">
        <v>0.131</v>
      </c>
      <c r="D28" s="18" t="n">
        <v>0.13</v>
      </c>
      <c r="E28" s="18" t="n">
        <v>0.128</v>
      </c>
      <c r="F28" s="18" t="n">
        <v>0.127</v>
      </c>
    </row>
    <row r="29" customFormat="false" ht="15" hidden="false" customHeight="false" outlineLevel="0" collapsed="false">
      <c r="A29" s="4" t="s">
        <v>94</v>
      </c>
      <c r="B29" s="18" t="n">
        <v>0.2</v>
      </c>
      <c r="C29" s="18" t="n">
        <v>0.15</v>
      </c>
      <c r="D29" s="18" t="n">
        <v>0.12</v>
      </c>
      <c r="E29" s="18" t="n">
        <v>0.1</v>
      </c>
      <c r="F29" s="18" t="n">
        <v>0.09</v>
      </c>
    </row>
    <row r="30" customFormat="false" ht="15" hidden="false" customHeight="false" outlineLevel="0" collapsed="false">
      <c r="A30" s="4" t="s">
        <v>95</v>
      </c>
      <c r="B30" s="17" t="n">
        <v>14.5</v>
      </c>
      <c r="C30" s="17" t="n">
        <v>12.5</v>
      </c>
      <c r="D30" s="17" t="n">
        <v>11</v>
      </c>
      <c r="E30" s="17" t="n">
        <v>10</v>
      </c>
      <c r="F30" s="17" t="n">
        <v>9</v>
      </c>
    </row>
    <row r="31" customFormat="false" ht="15" hidden="false" customHeight="false" outlineLevel="0" collapsed="false">
      <c r="A31" s="4" t="s">
        <v>96</v>
      </c>
      <c r="B31" s="18" t="n">
        <v>0.21</v>
      </c>
      <c r="C31" s="18" t="n">
        <v>0.205</v>
      </c>
      <c r="D31" s="18" t="n">
        <v>0.2</v>
      </c>
      <c r="E31" s="18" t="n">
        <v>0.195</v>
      </c>
      <c r="F31" s="18" t="n">
        <v>0.19</v>
      </c>
      <c r="H31" s="7" t="s">
        <v>97</v>
      </c>
    </row>
    <row r="32" customFormat="false" ht="15" hidden="false" customHeight="false" outlineLevel="0" collapsed="false">
      <c r="A32" s="4" t="s">
        <v>98</v>
      </c>
      <c r="B32" s="10" t="n">
        <v>2</v>
      </c>
      <c r="C32" s="10" t="n">
        <v>2.6</v>
      </c>
      <c r="D32" s="10" t="n">
        <v>3.3</v>
      </c>
      <c r="E32" s="10" t="n">
        <v>4</v>
      </c>
      <c r="F32" s="10" t="n">
        <v>4.7</v>
      </c>
    </row>
    <row r="33" customFormat="false" ht="15" hidden="false" customHeight="false" outlineLevel="0" collapsed="false">
      <c r="A33" s="4" t="s">
        <v>99</v>
      </c>
      <c r="B33" s="18" t="n">
        <v>0.26</v>
      </c>
      <c r="C33" s="18" t="n">
        <v>0.24</v>
      </c>
      <c r="D33" s="18" t="n">
        <v>0.23</v>
      </c>
      <c r="E33" s="18" t="n">
        <v>0.22</v>
      </c>
      <c r="F33" s="18" t="n">
        <v>0.21</v>
      </c>
    </row>
    <row r="34" customFormat="false" ht="15" hidden="false" customHeight="false" outlineLevel="0" collapsed="false">
      <c r="A34" s="4" t="s">
        <v>100</v>
      </c>
      <c r="B34" s="17" t="n">
        <v>4.5</v>
      </c>
      <c r="C34" s="17" t="n">
        <v>5.5</v>
      </c>
      <c r="D34" s="17" t="n">
        <v>6.5</v>
      </c>
      <c r="E34" s="17" t="n">
        <v>7.5</v>
      </c>
      <c r="F34" s="17" t="n">
        <v>8.5</v>
      </c>
    </row>
    <row r="35" customFormat="false" ht="15" hidden="false" customHeight="false" outlineLevel="0" collapsed="false">
      <c r="A35" s="4" t="s">
        <v>101</v>
      </c>
      <c r="B35" s="18" t="n">
        <v>0.225</v>
      </c>
    </row>
    <row r="36" customFormat="false" ht="15" hidden="false" customHeight="false" outlineLevel="0" collapsed="false">
      <c r="A36" s="4" t="s">
        <v>102</v>
      </c>
      <c r="B36" s="18" t="n">
        <v>0.05</v>
      </c>
    </row>
    <row r="38" customFormat="false" ht="15" hidden="false" customHeight="false" outlineLevel="0" collapsed="false">
      <c r="A38" s="14" t="s">
        <v>103</v>
      </c>
      <c r="B38" s="15"/>
      <c r="C38" s="15"/>
      <c r="D38" s="15"/>
      <c r="E38" s="15"/>
      <c r="F38" s="15"/>
      <c r="G38" s="15"/>
    </row>
    <row r="39" customFormat="false" ht="15" hidden="false" customHeight="false" outlineLevel="0" collapsed="false">
      <c r="A39" s="4" t="s">
        <v>104</v>
      </c>
      <c r="B39" s="10" t="n">
        <v>12.9</v>
      </c>
    </row>
    <row r="40" customFormat="false" ht="15" hidden="false" customHeight="false" outlineLevel="0" collapsed="false">
      <c r="A40" s="4" t="s">
        <v>105</v>
      </c>
      <c r="B40" s="19" t="n">
        <v>8</v>
      </c>
    </row>
    <row r="41" customFormat="false" ht="15" hidden="false" customHeight="false" outlineLevel="0" collapsed="false">
      <c r="A41" s="4" t="s">
        <v>106</v>
      </c>
      <c r="B41" s="17" t="n">
        <v>30</v>
      </c>
    </row>
    <row r="42" customFormat="false" ht="15" hidden="false" customHeight="false" outlineLevel="0" collapsed="false">
      <c r="A42" s="4" t="s">
        <v>107</v>
      </c>
      <c r="B42" s="19" t="n">
        <v>8.5</v>
      </c>
    </row>
    <row r="44" customFormat="false" ht="15" hidden="false" customHeight="false" outlineLevel="0" collapsed="false">
      <c r="A44" s="14" t="s">
        <v>108</v>
      </c>
      <c r="B44" s="15"/>
      <c r="C44" s="15"/>
      <c r="D44" s="15"/>
      <c r="E44" s="15"/>
      <c r="F44" s="15"/>
      <c r="G44" s="15"/>
    </row>
    <row r="45" customFormat="false" ht="15" hidden="false" customHeight="false" outlineLevel="0" collapsed="false">
      <c r="A45" s="4" t="s">
        <v>41</v>
      </c>
      <c r="B45" s="18" t="n">
        <v>0.4</v>
      </c>
    </row>
    <row r="46" customFormat="false" ht="15" hidden="false" customHeight="false" outlineLevel="0" collapsed="false">
      <c r="A46" s="4" t="s">
        <v>43</v>
      </c>
      <c r="B46" s="18" t="n">
        <v>0.2</v>
      </c>
    </row>
    <row r="47" customFormat="false" ht="15" hidden="false" customHeight="false" outlineLevel="0" collapsed="false">
      <c r="A47" s="4" t="s">
        <v>45</v>
      </c>
      <c r="B47" s="18" t="n">
        <v>0.15</v>
      </c>
    </row>
    <row r="48" customFormat="false" ht="15" hidden="false" customHeight="false" outlineLevel="0" collapsed="false">
      <c r="A48" s="4" t="s">
        <v>47</v>
      </c>
      <c r="B48" s="18" t="n">
        <v>0.25</v>
      </c>
    </row>
    <row r="50" customFormat="false" ht="15" hidden="false" customHeight="false" outlineLevel="0" collapsed="false">
      <c r="A50" s="14" t="s">
        <v>109</v>
      </c>
      <c r="B50" s="15"/>
      <c r="C50" s="15"/>
      <c r="D50" s="15"/>
      <c r="E50" s="15"/>
      <c r="F50" s="15"/>
      <c r="G50" s="15"/>
    </row>
    <row r="51" customFormat="false" ht="15" hidden="false" customHeight="false" outlineLevel="0" collapsed="false">
      <c r="A51" s="4" t="s">
        <v>110</v>
      </c>
      <c r="B51" s="20" t="n">
        <v>0.000581043319525444</v>
      </c>
    </row>
    <row r="52" customFormat="false" ht="15" hidden="false" customHeight="false" outlineLevel="0" collapsed="false">
      <c r="A52" s="4" t="s">
        <v>111</v>
      </c>
      <c r="B52" s="5" t="n">
        <v>38.3</v>
      </c>
    </row>
    <row r="53" customFormat="false" ht="15" hidden="false" customHeight="false" outlineLevel="0" collapsed="false">
      <c r="A53" s="4" t="s">
        <v>112</v>
      </c>
      <c r="B53" s="5" t="n">
        <v>9.7</v>
      </c>
    </row>
    <row r="54" customFormat="false" ht="15" hidden="false" customHeight="false" outlineLevel="0" collapsed="false">
      <c r="A54" s="4" t="s">
        <v>113</v>
      </c>
      <c r="B54" s="5" t="n">
        <v>2.3</v>
      </c>
    </row>
    <row r="55" customFormat="false" ht="15" hidden="false" customHeight="false" outlineLevel="0" collapsed="false">
      <c r="A55" s="4" t="s">
        <v>114</v>
      </c>
      <c r="B55" s="5" t="n">
        <v>2.2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4"/>
    <col collapsed="false" customWidth="true" hidden="false" outlineLevel="0" max="5" min="5" style="0" width="52"/>
  </cols>
  <sheetData>
    <row r="1" customFormat="false" ht="15" hidden="false" customHeight="false" outlineLevel="0" collapsed="false">
      <c r="A1" s="1" t="s">
        <v>115</v>
      </c>
    </row>
    <row r="2" customFormat="false" ht="15" hidden="false" customHeight="false" outlineLevel="0" collapsed="false">
      <c r="A2" s="13" t="s">
        <v>116</v>
      </c>
    </row>
    <row r="4" customFormat="false" ht="15" hidden="false" customHeight="false" outlineLevel="0" collapsed="false">
      <c r="A4" s="9"/>
      <c r="B4" s="9" t="s">
        <v>37</v>
      </c>
      <c r="C4" s="9" t="s">
        <v>38</v>
      </c>
      <c r="D4" s="9" t="s">
        <v>39</v>
      </c>
      <c r="E4" s="9" t="s">
        <v>117</v>
      </c>
    </row>
    <row r="5" customFormat="false" ht="15" hidden="false" customHeight="false" outlineLevel="0" collapsed="false">
      <c r="A5" s="4" t="s">
        <v>118</v>
      </c>
      <c r="B5" s="17" t="n">
        <v>50</v>
      </c>
      <c r="C5" s="6" t="n">
        <f aca="false">Assumptions!$B$17</f>
        <v>52.6</v>
      </c>
      <c r="D5" s="17" t="n">
        <v>55</v>
      </c>
      <c r="E5" s="7" t="s">
        <v>119</v>
      </c>
    </row>
    <row r="6" customFormat="false" ht="15" hidden="false" customHeight="false" outlineLevel="0" collapsed="false">
      <c r="A6" s="4" t="s">
        <v>120</v>
      </c>
      <c r="B6" s="19" t="n">
        <v>2.75</v>
      </c>
      <c r="C6" s="21" t="n">
        <f aca="false">Assumptions!$B$18</f>
        <v>3.25</v>
      </c>
      <c r="D6" s="19" t="n">
        <v>3.75</v>
      </c>
      <c r="E6" s="7" t="s">
        <v>121</v>
      </c>
    </row>
    <row r="7" customFormat="false" ht="15" hidden="false" customHeight="false" outlineLevel="0" collapsed="false">
      <c r="A7" s="4" t="s">
        <v>122</v>
      </c>
      <c r="B7" s="6" t="n">
        <f aca="false">B5*B6</f>
        <v>137.5</v>
      </c>
      <c r="C7" s="6" t="n">
        <f aca="false">C5*C6</f>
        <v>170.95</v>
      </c>
      <c r="D7" s="6" t="n">
        <f aca="false">D5*D6</f>
        <v>206.25</v>
      </c>
      <c r="E7" s="7"/>
    </row>
    <row r="8" customFormat="false" ht="15" hidden="false" customHeight="false" outlineLevel="0" collapsed="false">
      <c r="A8" s="4" t="s">
        <v>123</v>
      </c>
      <c r="B8" s="6" t="n">
        <f aca="false">C8</f>
        <v>32.8888888888889</v>
      </c>
      <c r="C8" s="6" t="n">
        <f aca="false">Assumptions!$B$19/Assumptions!$B$20</f>
        <v>32.8888888888889</v>
      </c>
      <c r="D8" s="6" t="n">
        <f aca="false">C8</f>
        <v>32.8888888888889</v>
      </c>
      <c r="E8" s="7" t="s">
        <v>124</v>
      </c>
    </row>
    <row r="9" customFormat="false" ht="15" hidden="false" customHeight="false" outlineLevel="0" collapsed="false">
      <c r="A9" s="4" t="s">
        <v>125</v>
      </c>
      <c r="B9" s="19" t="n">
        <v>6.5</v>
      </c>
      <c r="C9" s="21" t="n">
        <f aca="false">Assumptions!$B$21</f>
        <v>8</v>
      </c>
      <c r="D9" s="19" t="n">
        <v>9.5</v>
      </c>
      <c r="E9" s="7" t="s">
        <v>126</v>
      </c>
    </row>
    <row r="10" customFormat="false" ht="15" hidden="false" customHeight="false" outlineLevel="0" collapsed="false">
      <c r="A10" s="4" t="s">
        <v>127</v>
      </c>
      <c r="B10" s="6" t="n">
        <f aca="false">B8*B9*Assumptions!$B$20</f>
        <v>96.2</v>
      </c>
      <c r="C10" s="6" t="n">
        <f aca="false">C8*C9*Assumptions!$B$20</f>
        <v>118.4</v>
      </c>
      <c r="D10" s="6" t="n">
        <f aca="false">D8*D9*Assumptions!$B$20</f>
        <v>140.6</v>
      </c>
      <c r="E10" s="7"/>
    </row>
    <row r="11" customFormat="false" ht="15" hidden="false" customHeight="false" outlineLevel="0" collapsed="false">
      <c r="A11" s="4" t="s">
        <v>128</v>
      </c>
      <c r="B11" s="17" t="n">
        <v>4</v>
      </c>
      <c r="C11" s="6" t="n">
        <f aca="false">Assumptions!$B$22</f>
        <v>6</v>
      </c>
      <c r="D11" s="17" t="n">
        <v>8</v>
      </c>
      <c r="E11" s="7" t="s">
        <v>84</v>
      </c>
    </row>
    <row r="12" customFormat="false" ht="15" hidden="false" customHeight="false" outlineLevel="0" collapsed="false">
      <c r="A12" s="11" t="s">
        <v>129</v>
      </c>
      <c r="B12" s="6" t="n">
        <f aca="false">B7+B10+B11</f>
        <v>237.7</v>
      </c>
      <c r="C12" s="6" t="n">
        <f aca="false">C7+C10+C11</f>
        <v>295.35</v>
      </c>
      <c r="D12" s="6" t="n">
        <f aca="false">D7+D10+D11</f>
        <v>354.85</v>
      </c>
      <c r="E12" s="7"/>
    </row>
    <row r="13" customFormat="false" ht="15" hidden="false" customHeight="false" outlineLevel="0" collapsed="false">
      <c r="A13" s="4" t="s">
        <v>130</v>
      </c>
      <c r="B13" s="17" t="n">
        <v>60</v>
      </c>
      <c r="C13" s="6" t="n">
        <f aca="false">Assumptions!$B$9</f>
        <v>58</v>
      </c>
      <c r="D13" s="17" t="n">
        <v>56</v>
      </c>
      <c r="E13" s="7" t="s">
        <v>131</v>
      </c>
    </row>
    <row r="14" customFormat="false" ht="15" hidden="false" customHeight="false" outlineLevel="0" collapsed="false">
      <c r="A14" s="11" t="s">
        <v>132</v>
      </c>
      <c r="B14" s="6" t="n">
        <f aca="false">B12-B13</f>
        <v>177.7</v>
      </c>
      <c r="C14" s="6" t="n">
        <f aca="false">C12-C13</f>
        <v>237.35</v>
      </c>
      <c r="D14" s="6" t="n">
        <f aca="false">D12-D13</f>
        <v>298.85</v>
      </c>
      <c r="E14" s="7"/>
    </row>
    <row r="15" customFormat="false" ht="15" hidden="false" customHeight="false" outlineLevel="0" collapsed="false">
      <c r="A15" s="4" t="s">
        <v>133</v>
      </c>
      <c r="B15" s="5" t="n">
        <f aca="false">B14*1000/Assumptions!$B$6</f>
        <v>104.096492821033</v>
      </c>
      <c r="C15" s="5" t="n">
        <f aca="false">C14*1000/Assumptions!$B$6</f>
        <v>139.039406702713</v>
      </c>
      <c r="D15" s="5" t="n">
        <f aca="false">D14*1000/Assumptions!$B$6</f>
        <v>175.066048843926</v>
      </c>
      <c r="E15" s="7"/>
    </row>
    <row r="16" customFormat="false" ht="15" hidden="false" customHeight="false" outlineLevel="0" collapsed="false">
      <c r="A16" s="4" t="s">
        <v>134</v>
      </c>
      <c r="B16" s="18" t="n">
        <v>0.2</v>
      </c>
      <c r="C16" s="8" t="n">
        <f aca="false">Assumptions!$B$10</f>
        <v>0.15</v>
      </c>
      <c r="D16" s="18" t="n">
        <v>0.1</v>
      </c>
      <c r="E16" s="7" t="s">
        <v>135</v>
      </c>
    </row>
    <row r="17" customFormat="false" ht="15" hidden="false" customHeight="false" outlineLevel="0" collapsed="false">
      <c r="A17" s="11" t="s">
        <v>136</v>
      </c>
      <c r="B17" s="6" t="n">
        <f aca="false">B14*(1-B16)</f>
        <v>142.16</v>
      </c>
      <c r="C17" s="6" t="n">
        <f aca="false">C14*(1-C16)</f>
        <v>201.7475</v>
      </c>
      <c r="D17" s="6" t="n">
        <f aca="false">D14*(1-D16)</f>
        <v>268.965</v>
      </c>
      <c r="E17" s="7"/>
    </row>
    <row r="18" customFormat="false" ht="15" hidden="false" customHeight="false" outlineLevel="0" collapsed="false">
      <c r="A18" s="11" t="s">
        <v>137</v>
      </c>
      <c r="B18" s="5" t="n">
        <f aca="false">B17*1000/Assumptions!$B$6</f>
        <v>83.2771942568261</v>
      </c>
      <c r="C18" s="5" t="n">
        <f aca="false">C17*1000/Assumptions!$B$6</f>
        <v>118.183495697306</v>
      </c>
      <c r="D18" s="5" t="n">
        <f aca="false">D17*1000/Assumptions!$B$6</f>
        <v>157.559443959533</v>
      </c>
      <c r="E18" s="7"/>
    </row>
    <row r="19" customFormat="false" ht="15" hidden="false" customHeight="false" outlineLevel="0" collapsed="false">
      <c r="A19" s="4" t="s">
        <v>138</v>
      </c>
      <c r="C19" s="8" t="n">
        <f aca="false">1-Assumptions!$B$5*Assumptions!$B$6/1000/C14</f>
        <v>0.333929839056246</v>
      </c>
      <c r="E19" s="7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2"/>
    <col collapsed="false" customWidth="true" hidden="false" outlineLevel="0" max="6" min="6" style="0" width="44"/>
  </cols>
  <sheetData>
    <row r="1" customFormat="false" ht="15" hidden="false" customHeight="false" outlineLevel="0" collapsed="false">
      <c r="A1" s="1" t="s">
        <v>140</v>
      </c>
    </row>
    <row r="4" customFormat="false" ht="15" hidden="false" customHeight="false" outlineLevel="0" collapsed="false">
      <c r="A4" s="9" t="s">
        <v>141</v>
      </c>
      <c r="B4" s="9" t="s">
        <v>142</v>
      </c>
      <c r="C4" s="9" t="s">
        <v>143</v>
      </c>
      <c r="D4" s="9" t="s">
        <v>144</v>
      </c>
      <c r="E4" s="9" t="s">
        <v>145</v>
      </c>
      <c r="F4" s="9" t="s">
        <v>146</v>
      </c>
    </row>
    <row r="5" customFormat="false" ht="15" hidden="false" customHeight="false" outlineLevel="0" collapsed="false">
      <c r="A5" s="4" t="s">
        <v>147</v>
      </c>
      <c r="B5" s="17" t="n">
        <v>36.034</v>
      </c>
      <c r="C5" s="17" t="n">
        <v>52.086</v>
      </c>
      <c r="D5" s="8" t="n">
        <f aca="false">C5/B5-1</f>
        <v>0.445468168951546</v>
      </c>
      <c r="E5" s="8" t="n">
        <f aca="false">C5/$C$10</f>
        <v>0.488277258537774</v>
      </c>
      <c r="F5" s="7" t="s">
        <v>148</v>
      </c>
    </row>
    <row r="6" customFormat="false" ht="15" hidden="false" customHeight="false" outlineLevel="0" collapsed="false">
      <c r="A6" s="4" t="s">
        <v>149</v>
      </c>
      <c r="B6" s="17" t="n">
        <v>8.312</v>
      </c>
      <c r="C6" s="17" t="n">
        <v>9.788</v>
      </c>
      <c r="D6" s="8" t="n">
        <f aca="false">C6/B6-1</f>
        <v>0.177574590952839</v>
      </c>
      <c r="E6" s="8" t="n">
        <f aca="false">C6/$C$10</f>
        <v>0.091757051925042</v>
      </c>
      <c r="F6" s="7" t="s">
        <v>150</v>
      </c>
    </row>
    <row r="7" customFormat="false" ht="15" hidden="false" customHeight="false" outlineLevel="0" collapsed="false">
      <c r="A7" s="4" t="s">
        <v>151</v>
      </c>
      <c r="B7" s="17" t="n">
        <v>9.293</v>
      </c>
      <c r="C7" s="17" t="n">
        <v>10.294</v>
      </c>
      <c r="D7" s="8" t="n">
        <f aca="false">C7/B7-1</f>
        <v>0.107715484773486</v>
      </c>
      <c r="E7" s="8" t="n">
        <f aca="false">C7/$C$10</f>
        <v>0.0965005202816083</v>
      </c>
      <c r="F7" s="7" t="s">
        <v>152</v>
      </c>
    </row>
    <row r="8" customFormat="false" ht="15" hidden="false" customHeight="false" outlineLevel="0" collapsed="false">
      <c r="A8" s="4" t="s">
        <v>153</v>
      </c>
      <c r="B8" s="17" t="n">
        <v>14.21</v>
      </c>
      <c r="C8" s="17" t="n">
        <v>18.202</v>
      </c>
      <c r="D8" s="8" t="n">
        <f aca="false">C8/B8-1</f>
        <v>0.280928923293455</v>
      </c>
      <c r="E8" s="8" t="n">
        <f aca="false">C8/$C$10</f>
        <v>0.170633618628894</v>
      </c>
      <c r="F8" s="7" t="s">
        <v>154</v>
      </c>
    </row>
    <row r="9" customFormat="false" ht="15" hidden="false" customHeight="false" outlineLevel="0" collapsed="false">
      <c r="A9" s="4" t="s">
        <v>155</v>
      </c>
      <c r="B9" s="17" t="n">
        <v>13.829</v>
      </c>
      <c r="C9" s="17" t="n">
        <v>16.303</v>
      </c>
      <c r="D9" s="8" t="n">
        <f aca="false">C9/B9-1</f>
        <v>0.178899414274351</v>
      </c>
      <c r="E9" s="8" t="n">
        <f aca="false">C9/$C$10</f>
        <v>0.152831550626682</v>
      </c>
      <c r="F9" s="7" t="s">
        <v>156</v>
      </c>
    </row>
    <row r="10" customFormat="false" ht="15" hidden="false" customHeight="false" outlineLevel="0" collapsed="false">
      <c r="A10" s="11" t="s">
        <v>157</v>
      </c>
      <c r="B10" s="17" t="n">
        <v>81.678</v>
      </c>
      <c r="C10" s="17" t="n">
        <v>106.673</v>
      </c>
      <c r="D10" s="8" t="n">
        <f aca="false">C10/B10-1</f>
        <v>0.30601875658072</v>
      </c>
      <c r="E10" s="8" t="n">
        <f aca="false">C10/$C$10</f>
        <v>1</v>
      </c>
      <c r="F10" s="7"/>
    </row>
    <row r="12" customFormat="false" ht="15" hidden="false" customHeight="false" outlineLevel="0" collapsed="false">
      <c r="A12" s="11" t="s">
        <v>158</v>
      </c>
    </row>
    <row r="13" customFormat="false" ht="15" hidden="false" customHeight="false" outlineLevel="0" collapsed="false">
      <c r="A13" s="9" t="s">
        <v>159</v>
      </c>
      <c r="B13" s="9" t="s">
        <v>144</v>
      </c>
      <c r="C13" s="9" t="s">
        <v>160</v>
      </c>
      <c r="D13" s="9" t="s">
        <v>161</v>
      </c>
      <c r="E13" s="9" t="s">
        <v>162</v>
      </c>
    </row>
    <row r="14" customFormat="false" ht="15" hidden="false" customHeight="false" outlineLevel="0" collapsed="false">
      <c r="A14" s="4" t="s">
        <v>163</v>
      </c>
      <c r="B14" s="4" t="s">
        <v>164</v>
      </c>
      <c r="C14" s="4" t="s">
        <v>165</v>
      </c>
      <c r="D14" s="4" t="s">
        <v>166</v>
      </c>
      <c r="E14" s="4" t="s">
        <v>167</v>
      </c>
    </row>
    <row r="15" customFormat="false" ht="15" hidden="false" customHeight="false" outlineLevel="0" collapsed="false">
      <c r="A15" s="4" t="s">
        <v>168</v>
      </c>
      <c r="B15" s="4" t="s">
        <v>169</v>
      </c>
      <c r="C15" s="4" t="s">
        <v>170</v>
      </c>
      <c r="D15" s="4" t="s">
        <v>171</v>
      </c>
      <c r="E15" s="4" t="s">
        <v>172</v>
      </c>
    </row>
    <row r="16" customFormat="false" ht="15" hidden="false" customHeight="false" outlineLevel="0" collapsed="false">
      <c r="A16" s="4" t="s">
        <v>173</v>
      </c>
      <c r="B16" s="4" t="s">
        <v>174</v>
      </c>
      <c r="C16" s="4" t="s">
        <v>171</v>
      </c>
      <c r="D16" s="4" t="s">
        <v>175</v>
      </c>
      <c r="E16" s="4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2"/>
    <col collapsed="false" customWidth="true" hidden="false" outlineLevel="0" max="5" min="5" style="0" width="46"/>
  </cols>
  <sheetData>
    <row r="1" customFormat="false" ht="15" hidden="false" customHeight="false" outlineLevel="0" collapsed="false">
      <c r="A1" s="1" t="s">
        <v>177</v>
      </c>
    </row>
    <row r="4" customFormat="false" ht="15" hidden="false" customHeight="false" outlineLevel="0" collapsed="false">
      <c r="A4" s="9"/>
      <c r="B4" s="9" t="s">
        <v>37</v>
      </c>
      <c r="C4" s="9" t="s">
        <v>38</v>
      </c>
      <c r="D4" s="9" t="s">
        <v>39</v>
      </c>
      <c r="E4" s="9" t="s">
        <v>117</v>
      </c>
    </row>
    <row r="5" customFormat="false" ht="15" hidden="false" customHeight="false" outlineLevel="0" collapsed="false">
      <c r="A5" s="4" t="s">
        <v>178</v>
      </c>
      <c r="B5" s="10" t="n">
        <v>11.93</v>
      </c>
      <c r="C5" s="5" t="n">
        <f aca="false">Assumptions!$B$39</f>
        <v>12.9</v>
      </c>
      <c r="D5" s="10" t="n">
        <v>15</v>
      </c>
      <c r="E5" s="7" t="s">
        <v>179</v>
      </c>
    </row>
    <row r="6" customFormat="false" ht="15" hidden="false" customHeight="false" outlineLevel="0" collapsed="false">
      <c r="A6" s="4" t="s">
        <v>180</v>
      </c>
      <c r="B6" s="19" t="n">
        <v>6.5</v>
      </c>
      <c r="C6" s="21" t="n">
        <f aca="false">Assumptions!$B$40</f>
        <v>8</v>
      </c>
      <c r="D6" s="19" t="n">
        <v>9.5</v>
      </c>
      <c r="E6" s="7" t="s">
        <v>181</v>
      </c>
    </row>
    <row r="7" customFormat="false" ht="15" hidden="false" customHeight="false" outlineLevel="0" collapsed="false">
      <c r="A7" s="11" t="s">
        <v>182</v>
      </c>
      <c r="B7" s="5" t="n">
        <f aca="false">B5*B6</f>
        <v>77.545</v>
      </c>
      <c r="C7" s="5" t="n">
        <f aca="false">C5*C6</f>
        <v>103.2</v>
      </c>
      <c r="D7" s="5" t="n">
        <f aca="false">D5*D6</f>
        <v>142.5</v>
      </c>
      <c r="E7" s="7"/>
    </row>
    <row r="9" customFormat="false" ht="15" hidden="false" customHeight="false" outlineLevel="0" collapsed="false">
      <c r="A9" s="4" t="s">
        <v>183</v>
      </c>
      <c r="B9" s="17" t="n">
        <v>25</v>
      </c>
      <c r="C9" s="6" t="n">
        <f aca="false">Assumptions!$B$41</f>
        <v>30</v>
      </c>
      <c r="D9" s="17" t="n">
        <v>34</v>
      </c>
      <c r="E9" s="7" t="s">
        <v>184</v>
      </c>
    </row>
    <row r="10" customFormat="false" ht="15" hidden="false" customHeight="false" outlineLevel="0" collapsed="false">
      <c r="A10" s="4" t="s">
        <v>185</v>
      </c>
      <c r="B10" s="5" t="n">
        <f aca="false">B9*(1-Assumptions!$B$14)*1000/Assumptions!$B$6</f>
        <v>13.180478832151</v>
      </c>
      <c r="C10" s="5" t="n">
        <f aca="false">C9*(1-Assumptions!$B$14)*1000/Assumptions!$B$6</f>
        <v>15.8165745985812</v>
      </c>
      <c r="D10" s="5" t="n">
        <f aca="false">D9*(1-Assumptions!$B$14)*1000/Assumptions!$B$6</f>
        <v>17.9254512117254</v>
      </c>
      <c r="E10" s="7"/>
    </row>
    <row r="11" customFormat="false" ht="15" hidden="false" customHeight="false" outlineLevel="0" collapsed="false">
      <c r="A11" s="4" t="s">
        <v>180</v>
      </c>
      <c r="B11" s="19" t="n">
        <v>7</v>
      </c>
      <c r="C11" s="21" t="n">
        <f aca="false">Assumptions!$B$42</f>
        <v>8.5</v>
      </c>
      <c r="D11" s="19" t="n">
        <v>10</v>
      </c>
      <c r="E11" s="7" t="s">
        <v>186</v>
      </c>
    </row>
    <row r="12" customFormat="false" ht="15" hidden="false" customHeight="false" outlineLevel="0" collapsed="false">
      <c r="A12" s="11" t="s">
        <v>187</v>
      </c>
      <c r="B12" s="5" t="n">
        <f aca="false">B10*B11</f>
        <v>92.263351825057</v>
      </c>
      <c r="C12" s="5" t="n">
        <f aca="false">C10*C11</f>
        <v>134.44088408794</v>
      </c>
      <c r="D12" s="5" t="n">
        <f aca="false">D10*D11</f>
        <v>179.254512117254</v>
      </c>
      <c r="E12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2"/>
    <col collapsed="false" customWidth="true" hidden="false" outlineLevel="0" max="8" min="8" style="0" width="42"/>
  </cols>
  <sheetData>
    <row r="1" customFormat="false" ht="15" hidden="false" customHeight="false" outlineLevel="0" collapsed="false">
      <c r="A1" s="1" t="s">
        <v>188</v>
      </c>
    </row>
    <row r="2" customFormat="false" ht="15" hidden="false" customHeight="false" outlineLevel="0" collapsed="false">
      <c r="A2" s="13" t="s">
        <v>189</v>
      </c>
    </row>
    <row r="4" customFormat="false" ht="15" hidden="false" customHeight="false" outlineLevel="0" collapsed="false">
      <c r="A4" s="9"/>
      <c r="B4" s="9" t="s">
        <v>86</v>
      </c>
      <c r="C4" s="9" t="s">
        <v>87</v>
      </c>
      <c r="D4" s="9" t="s">
        <v>88</v>
      </c>
      <c r="E4" s="9" t="s">
        <v>89</v>
      </c>
      <c r="F4" s="9" t="s">
        <v>90</v>
      </c>
      <c r="G4" s="9"/>
      <c r="H4" s="9"/>
    </row>
    <row r="5" customFormat="false" ht="15" hidden="false" customHeight="false" outlineLevel="0" collapsed="false">
      <c r="A5" s="4" t="s">
        <v>190</v>
      </c>
      <c r="B5" s="6" t="n">
        <f aca="false">'Income Statement'!E5</f>
        <v>119.47376</v>
      </c>
      <c r="C5" s="6" t="n">
        <f aca="false">'Income Statement'!F5</f>
        <v>131.421136</v>
      </c>
      <c r="D5" s="6" t="n">
        <f aca="false">'Income Statement'!G5</f>
        <v>143.24903824</v>
      </c>
      <c r="E5" s="6" t="n">
        <f aca="false">'Income Statement'!H5</f>
        <v>154.7089612992</v>
      </c>
      <c r="F5" s="6" t="n">
        <f aca="false">'Income Statement'!I5</f>
        <v>165.538588590144</v>
      </c>
    </row>
    <row r="6" customFormat="false" ht="15" hidden="false" customHeight="false" outlineLevel="0" collapsed="false">
      <c r="A6" s="4" t="s">
        <v>191</v>
      </c>
      <c r="B6" s="6" t="n">
        <f aca="false">'Income Statement'!E7</f>
        <v>52.5684544</v>
      </c>
      <c r="C6" s="6" t="n">
        <f aca="false">'Income Statement'!F7</f>
        <v>57.16819416</v>
      </c>
      <c r="D6" s="6" t="n">
        <f aca="false">'Income Statement'!G7</f>
        <v>61.5970864432</v>
      </c>
      <c r="E6" s="6" t="n">
        <f aca="false">'Income Statement'!H7</f>
        <v>66.524853358656</v>
      </c>
      <c r="F6" s="6" t="n">
        <f aca="false">'Income Statement'!I7</f>
        <v>71.181593093762</v>
      </c>
    </row>
    <row r="7" customFormat="false" ht="15" hidden="false" customHeight="false" outlineLevel="0" collapsed="false">
      <c r="A7" s="4" t="s">
        <v>192</v>
      </c>
      <c r="B7" s="6" t="n">
        <f aca="false">-'Income Statement'!E9</f>
        <v>-15.65106256</v>
      </c>
      <c r="C7" s="6" t="n">
        <f aca="false">-'Income Statement'!F9</f>
        <v>-17.216168816</v>
      </c>
      <c r="D7" s="6" t="n">
        <f aca="false">-'Income Statement'!G9</f>
        <v>-18.6223749712</v>
      </c>
      <c r="E7" s="6" t="n">
        <f aca="false">-'Income Statement'!H9</f>
        <v>-19.8027470462976</v>
      </c>
      <c r="F7" s="6" t="n">
        <f aca="false">-'Income Statement'!I9</f>
        <v>-21.0234007509483</v>
      </c>
    </row>
    <row r="8" customFormat="false" ht="15" hidden="false" customHeight="false" outlineLevel="0" collapsed="false">
      <c r="A8" s="4" t="s">
        <v>193</v>
      </c>
      <c r="B8" s="6" t="n">
        <f aca="false">B6+B7</f>
        <v>36.91739184</v>
      </c>
      <c r="C8" s="6" t="n">
        <f aca="false">C6+C7</f>
        <v>39.952025344</v>
      </c>
      <c r="D8" s="6" t="n">
        <f aca="false">D6+D7</f>
        <v>42.974711472</v>
      </c>
      <c r="E8" s="6" t="n">
        <f aca="false">E6+E7</f>
        <v>46.7221063123584</v>
      </c>
      <c r="F8" s="6" t="n">
        <f aca="false">F6+F7</f>
        <v>50.1581923428137</v>
      </c>
    </row>
    <row r="9" customFormat="false" ht="15" hidden="false" customHeight="false" outlineLevel="0" collapsed="false">
      <c r="A9" s="4" t="s">
        <v>194</v>
      </c>
      <c r="B9" s="6" t="n">
        <f aca="false">-B8*Assumptions!$B$35</f>
        <v>-8.306413164</v>
      </c>
      <c r="C9" s="6" t="n">
        <f aca="false">-C8*Assumptions!$B$35</f>
        <v>-8.9892057024</v>
      </c>
      <c r="D9" s="6" t="n">
        <f aca="false">-D8*Assumptions!$B$35</f>
        <v>-9.6693100812</v>
      </c>
      <c r="E9" s="6" t="n">
        <f aca="false">-E8*Assumptions!$B$35</f>
        <v>-10.5124739202806</v>
      </c>
      <c r="F9" s="6" t="n">
        <f aca="false">-F8*Assumptions!$B$35</f>
        <v>-11.2855932771331</v>
      </c>
    </row>
    <row r="10" customFormat="false" ht="15" hidden="false" customHeight="false" outlineLevel="0" collapsed="false">
      <c r="A10" s="4" t="s">
        <v>195</v>
      </c>
      <c r="B10" s="6" t="n">
        <f aca="false">B8+B9</f>
        <v>28.610978676</v>
      </c>
      <c r="C10" s="6" t="n">
        <f aca="false">C8+C9</f>
        <v>30.9628196416</v>
      </c>
      <c r="D10" s="6" t="n">
        <f aca="false">D8+D9</f>
        <v>33.3054013908</v>
      </c>
      <c r="E10" s="6" t="n">
        <f aca="false">E8+E9</f>
        <v>36.2096323920778</v>
      </c>
      <c r="F10" s="6" t="n">
        <f aca="false">F8+F9</f>
        <v>38.8725990656806</v>
      </c>
    </row>
    <row r="11" customFormat="false" ht="15" hidden="false" customHeight="false" outlineLevel="0" collapsed="false">
      <c r="A11" s="4" t="s">
        <v>196</v>
      </c>
      <c r="B11" s="6" t="n">
        <f aca="false">'Income Statement'!E9</f>
        <v>15.65106256</v>
      </c>
      <c r="C11" s="6" t="n">
        <f aca="false">'Income Statement'!F9</f>
        <v>17.216168816</v>
      </c>
      <c r="D11" s="6" t="n">
        <f aca="false">'Income Statement'!G9</f>
        <v>18.6223749712</v>
      </c>
      <c r="E11" s="6" t="n">
        <f aca="false">'Income Statement'!H9</f>
        <v>19.8027470462976</v>
      </c>
      <c r="F11" s="6" t="n">
        <f aca="false">'Income Statement'!I9</f>
        <v>21.0234007509483</v>
      </c>
    </row>
    <row r="12" customFormat="false" ht="15" hidden="false" customHeight="false" outlineLevel="0" collapsed="false">
      <c r="A12" s="4" t="s">
        <v>197</v>
      </c>
      <c r="B12" s="6" t="n">
        <f aca="false">-B5*Assumptions!B$31</f>
        <v>-25.0894896</v>
      </c>
      <c r="C12" s="6" t="n">
        <f aca="false">-C5*Assumptions!C$31</f>
        <v>-26.94133288</v>
      </c>
      <c r="D12" s="6" t="n">
        <f aca="false">-D5*Assumptions!D$31</f>
        <v>-28.649807648</v>
      </c>
      <c r="E12" s="6" t="n">
        <f aca="false">-E5*Assumptions!E$31</f>
        <v>-30.168247453344</v>
      </c>
      <c r="F12" s="6" t="n">
        <f aca="false">-F5*Assumptions!F$31</f>
        <v>-31.4523318321274</v>
      </c>
    </row>
    <row r="13" customFormat="false" ht="15" hidden="false" customHeight="false" outlineLevel="0" collapsed="false">
      <c r="A13" s="4" t="s">
        <v>198</v>
      </c>
      <c r="B13" s="6" t="n">
        <f aca="false">-('Income Statement'!E5-'Income Statement'!D5)*Assumptions!$B$36</f>
        <v>-0.640038000000001</v>
      </c>
      <c r="C13" s="6" t="n">
        <f aca="false">-('Income Statement'!F5-'Income Statement'!E5)*Assumptions!$B$36</f>
        <v>-0.5973688</v>
      </c>
      <c r="D13" s="6" t="n">
        <f aca="false">-('Income Statement'!G5-'Income Statement'!F5)*Assumptions!$B$36</f>
        <v>-0.591395112000001</v>
      </c>
      <c r="E13" s="6" t="n">
        <f aca="false">-('Income Statement'!H5-'Income Statement'!G5)*Assumptions!$B$36</f>
        <v>-0.57299615296</v>
      </c>
      <c r="F13" s="6" t="n">
        <f aca="false">-('Income Statement'!I5-'Income Statement'!H5)*Assumptions!$B$36</f>
        <v>-0.541481364547201</v>
      </c>
    </row>
    <row r="14" customFormat="false" ht="15" hidden="false" customHeight="false" outlineLevel="0" collapsed="false">
      <c r="A14" s="11" t="s">
        <v>199</v>
      </c>
      <c r="B14" s="22" t="n">
        <f aca="false">B10+B11+B12+B13</f>
        <v>18.532513636</v>
      </c>
      <c r="C14" s="22" t="n">
        <f aca="false">C10+C11+C12+C13</f>
        <v>20.6402867776</v>
      </c>
      <c r="D14" s="22" t="n">
        <f aca="false">D10+D11+D12+D13</f>
        <v>22.686573602</v>
      </c>
      <c r="E14" s="22" t="n">
        <f aca="false">E10+E11+E12+E13</f>
        <v>25.2711358320714</v>
      </c>
      <c r="F14" s="22" t="n">
        <f aca="false">F10+F11+F12+F13</f>
        <v>27.9021866199543</v>
      </c>
    </row>
    <row r="15" customFormat="false" ht="15" hidden="false" customHeight="false" outlineLevel="0" collapsed="false">
      <c r="A15" s="4" t="s">
        <v>200</v>
      </c>
      <c r="B15" s="23" t="n">
        <f aca="false">1/(1+Assumptions!$B$11)^1</f>
        <v>0.813008130081301</v>
      </c>
      <c r="C15" s="23" t="n">
        <f aca="false">1/(1+Assumptions!$B$11)^2</f>
        <v>0.660982219578293</v>
      </c>
      <c r="D15" s="23" t="n">
        <f aca="false">1/(1+Assumptions!$B$11)^3</f>
        <v>0.537383918356336</v>
      </c>
      <c r="E15" s="23" t="n">
        <f aca="false">1/(1+Assumptions!$B$11)^4</f>
        <v>0.436897494598647</v>
      </c>
      <c r="F15" s="23" t="n">
        <f aca="false">1/(1+Assumptions!$B$11)^5</f>
        <v>0.355201215120851</v>
      </c>
    </row>
    <row r="16" customFormat="false" ht="15" hidden="false" customHeight="false" outlineLevel="0" collapsed="false">
      <c r="A16" s="4" t="s">
        <v>201</v>
      </c>
      <c r="B16" s="6" t="n">
        <f aca="false">B14*B15</f>
        <v>15.0670842569106</v>
      </c>
      <c r="C16" s="6" t="n">
        <f aca="false">C14*C15</f>
        <v>13.6428625669906</v>
      </c>
      <c r="D16" s="6" t="n">
        <f aca="false">D14*D15</f>
        <v>12.1913998163222</v>
      </c>
      <c r="E16" s="6" t="n">
        <f aca="false">E14*E15</f>
        <v>11.0408959306941</v>
      </c>
      <c r="F16" s="6" t="n">
        <f aca="false">F14*F15</f>
        <v>9.91089059193653</v>
      </c>
    </row>
    <row r="18" customFormat="false" ht="15" hidden="false" customHeight="false" outlineLevel="0" collapsed="false">
      <c r="A18" s="4" t="s">
        <v>202</v>
      </c>
      <c r="B18" s="6" t="n">
        <f aca="false">SUM(B16:F16)</f>
        <v>61.8531331628539</v>
      </c>
    </row>
    <row r="19" customFormat="false" ht="15" hidden="false" customHeight="false" outlineLevel="0" collapsed="false">
      <c r="A19" s="4" t="s">
        <v>203</v>
      </c>
      <c r="B19" s="6" t="n">
        <f aca="false">F14*(1+Assumptions!$B$12)/(Assumptions!$B$11-Assumptions!$B$12)</f>
        <v>258.095226234577</v>
      </c>
    </row>
    <row r="20" customFormat="false" ht="15" hidden="false" customHeight="false" outlineLevel="0" collapsed="false">
      <c r="A20" s="4" t="s">
        <v>204</v>
      </c>
      <c r="B20" s="6" t="n">
        <f aca="false">B19*F15</f>
        <v>91.6757379754129</v>
      </c>
    </row>
    <row r="21" customFormat="false" ht="15" hidden="false" customHeight="false" outlineLevel="0" collapsed="false">
      <c r="A21" s="11" t="s">
        <v>122</v>
      </c>
      <c r="B21" s="22" t="n">
        <f aca="false">B18+B20</f>
        <v>153.528871138267</v>
      </c>
    </row>
    <row r="22" customFormat="false" ht="15" hidden="false" customHeight="false" outlineLevel="0" collapsed="false">
      <c r="A22" s="4" t="s">
        <v>205</v>
      </c>
      <c r="B22" s="6" t="n">
        <f aca="false">SOTP!C10</f>
        <v>118.4</v>
      </c>
    </row>
    <row r="23" customFormat="false" ht="15" hidden="false" customHeight="false" outlineLevel="0" collapsed="false">
      <c r="A23" s="4" t="s">
        <v>206</v>
      </c>
      <c r="B23" s="6" t="n">
        <f aca="false">-Assumptions!$B$9</f>
        <v>-58</v>
      </c>
    </row>
    <row r="24" customFormat="false" ht="15" hidden="false" customHeight="false" outlineLevel="0" collapsed="false">
      <c r="A24" s="11" t="s">
        <v>132</v>
      </c>
      <c r="B24" s="6" t="n">
        <f aca="false">B21+B22+B23</f>
        <v>213.928871138267</v>
      </c>
    </row>
    <row r="25" customFormat="false" ht="15" hidden="false" customHeight="false" outlineLevel="0" collapsed="false">
      <c r="A25" s="4" t="s">
        <v>207</v>
      </c>
      <c r="B25" s="6" t="n">
        <f aca="false">B24*(1-Assumptions!$B$10)</f>
        <v>181.839540467527</v>
      </c>
    </row>
    <row r="26" customFormat="false" ht="15" hidden="false" customHeight="false" outlineLevel="0" collapsed="false">
      <c r="A26" s="11" t="s">
        <v>208</v>
      </c>
      <c r="B26" s="12" t="n">
        <f aca="false">B25*1000/Assumptions!$B$6</f>
        <v>106.521431732458</v>
      </c>
    </row>
    <row r="28" customFormat="false" ht="15" hidden="false" customHeight="false" outlineLevel="0" collapsed="false">
      <c r="A28" s="11" t="s">
        <v>209</v>
      </c>
    </row>
    <row r="29" customFormat="false" ht="15" hidden="false" customHeight="false" outlineLevel="0" collapsed="false">
      <c r="C29" s="18" t="n">
        <v>0.1</v>
      </c>
      <c r="D29" s="18" t="n">
        <v>0.11</v>
      </c>
      <c r="E29" s="18" t="n">
        <v>0.12</v>
      </c>
    </row>
    <row r="30" customFormat="false" ht="15" hidden="false" customHeight="false" outlineLevel="0" collapsed="false">
      <c r="B30" s="18" t="n">
        <v>0.215</v>
      </c>
      <c r="C30" s="5" t="n">
        <f aca="false">((SUMPRODUCT($B$14:$F$14,1/(1+$B30)^{1,2,3,4,5})+$F$14*(1+C$29)/($B30-C$29)/(1+$B30)^5)+$B$22+$B$23)*(1-Assumptions!$B$10)*1000/Assumptions!$B$6</f>
        <v>112.141449821987</v>
      </c>
      <c r="D30" s="5" t="n">
        <f aca="false">((SUMPRODUCT($B$14:$F$14,1/(1+$B30)^{1,2,3,4,5})+$F$14*(1+D$29)/($B30-D$29)/(1+$B30)^5)+$B$22+$B$23)*(1-Assumptions!$B$10)*1000/Assumptions!$B$6</f>
        <v>117.421202553305</v>
      </c>
      <c r="E30" s="5" t="n">
        <f aca="false">((SUMPRODUCT($B$14:$F$14,1/(1+$B30)^{1,2,3,4,5})+$F$14*(1+E$29)/($B30-E$29)/(1+$B30)^5)+$B$22+$B$23)*(1-Assumptions!$B$10)*1000/Assumptions!$B$6</f>
        <v>123.812482175426</v>
      </c>
    </row>
    <row r="31" customFormat="false" ht="15" hidden="false" customHeight="false" outlineLevel="0" collapsed="false">
      <c r="B31" s="18" t="n">
        <v>0.23</v>
      </c>
      <c r="C31" s="5" t="n">
        <f aca="false">((SUMPRODUCT($B$14:$F$14,1/(1+$B31)^{1,2,3,4,5})+$F$14*(1+C$29)/($B31-C$29)/(1+$B31)^5)+$B$22+$B$23)*(1-Assumptions!$B$10)*1000/Assumptions!$B$6</f>
        <v>102.630435676587</v>
      </c>
      <c r="D31" s="5" t="n">
        <f aca="false">((SUMPRODUCT($B$14:$F$14,1/(1+$B31)^{1,2,3,4,5})+$F$14*(1+D$29)/($B31-D$29)/(1+$B31)^5)+$B$22+$B$23)*(1-Assumptions!$B$10)*1000/Assumptions!$B$6</f>
        <v>106.521431732458</v>
      </c>
      <c r="E31" s="5" t="n">
        <f aca="false">((SUMPRODUCT($B$14:$F$14,1/(1+$B31)^{1,2,3,4,5})+$F$14*(1+E$29)/($B31-E$29)/(1+$B31)^5)+$B$22+$B$23)*(1-Assumptions!$B$10)*1000/Assumptions!$B$6</f>
        <v>111.119881616669</v>
      </c>
    </row>
    <row r="32" customFormat="false" ht="15" hidden="false" customHeight="false" outlineLevel="0" collapsed="false">
      <c r="B32" s="18" t="n">
        <v>0.25</v>
      </c>
      <c r="C32" s="5" t="n">
        <f aca="false">((SUMPRODUCT($B$14:$F$14,1/(1+$B32)^{1,2,3,4,5})+$F$14*(1+C$29)/($B32-C$29)/(1+$B32)^5)+$B$22+$B$23)*(1-Assumptions!$B$10)*1000/Assumptions!$B$6</f>
        <v>92.9105754615027</v>
      </c>
      <c r="D32" s="5" t="n">
        <f aca="false">((SUMPRODUCT($B$14:$F$14,1/(1+$B32)^{1,2,3,4,5})+$F$14*(1+D$29)/($B32-D$29)/(1+$B32)^5)+$B$22+$B$23)*(1-Assumptions!$B$10)*1000/Assumptions!$B$6</f>
        <v>95.6204331747059</v>
      </c>
      <c r="E32" s="5" t="n">
        <f aca="false">((SUMPRODUCT($B$14:$F$14,1/(1+$B32)^{1,2,3,4,5})+$F$14*(1+E$29)/($B32-E$29)/(1+$B32)^5)+$B$22+$B$23)*(1-Assumptions!$B$10)*1000/Assumptions!$B$6</f>
        <v>98.7471920745557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9" min="2" style="0" width="11"/>
    <col collapsed="false" customWidth="true" hidden="false" outlineLevel="0" max="10" min="10" style="0" width="60"/>
  </cols>
  <sheetData>
    <row r="1" customFormat="false" ht="15" hidden="false" customHeight="false" outlineLevel="0" collapsed="false">
      <c r="A1" s="1" t="s">
        <v>210</v>
      </c>
    </row>
    <row r="2" customFormat="false" ht="15" hidden="false" customHeight="false" outlineLevel="0" collapsed="false">
      <c r="A2" s="13" t="s">
        <v>211</v>
      </c>
    </row>
    <row r="4" customFormat="false" ht="15" hidden="false" customHeight="false" outlineLevel="0" collapsed="false">
      <c r="A4" s="9"/>
      <c r="B4" s="9" t="s">
        <v>212</v>
      </c>
      <c r="C4" s="9" t="s">
        <v>142</v>
      </c>
      <c r="D4" s="9" t="s">
        <v>143</v>
      </c>
      <c r="E4" s="9" t="s">
        <v>86</v>
      </c>
      <c r="F4" s="9" t="s">
        <v>87</v>
      </c>
      <c r="G4" s="9" t="s">
        <v>88</v>
      </c>
      <c r="H4" s="9" t="s">
        <v>89</v>
      </c>
      <c r="I4" s="9" t="s">
        <v>90</v>
      </c>
      <c r="J4" s="9" t="s">
        <v>213</v>
      </c>
    </row>
    <row r="5" customFormat="false" ht="15" hidden="false" customHeight="false" outlineLevel="0" collapsed="false">
      <c r="A5" s="4" t="s">
        <v>190</v>
      </c>
      <c r="B5" s="17" t="n">
        <v>56.7</v>
      </c>
      <c r="C5" s="17" t="n">
        <v>81.678</v>
      </c>
      <c r="D5" s="17" t="n">
        <v>106.673</v>
      </c>
      <c r="E5" s="6" t="n">
        <f aca="false">D5*(1+Assumptions!B$26)</f>
        <v>119.47376</v>
      </c>
      <c r="F5" s="6" t="n">
        <f aca="false">E5*(1+Assumptions!C$26)</f>
        <v>131.421136</v>
      </c>
      <c r="G5" s="6" t="n">
        <f aca="false">F5*(1+Assumptions!D$26)</f>
        <v>143.24903824</v>
      </c>
      <c r="H5" s="6" t="n">
        <f aca="false">G5*(1+Assumptions!E$26)</f>
        <v>154.7089612992</v>
      </c>
      <c r="I5" s="6" t="n">
        <f aca="false">H5*(1+Assumptions!F$26)</f>
        <v>165.538588590144</v>
      </c>
      <c r="J5" s="7" t="s">
        <v>214</v>
      </c>
    </row>
    <row r="6" customFormat="false" ht="15" hidden="false" customHeight="false" outlineLevel="0" collapsed="false">
      <c r="A6" s="4" t="s">
        <v>215</v>
      </c>
      <c r="B6" s="4" t="s">
        <v>216</v>
      </c>
      <c r="C6" s="18" t="n">
        <f aca="false">C5/B5-1</f>
        <v>0.4405291005291</v>
      </c>
      <c r="D6" s="18" t="n">
        <f aca="false">D5/C5-1</f>
        <v>0.30601875658072</v>
      </c>
      <c r="E6" s="8" t="n">
        <f aca="false">E5/D5-1</f>
        <v>0.12</v>
      </c>
      <c r="F6" s="8" t="n">
        <f aca="false">F5/E5-1</f>
        <v>0.1</v>
      </c>
      <c r="G6" s="8" t="n">
        <f aca="false">G5/F5-1</f>
        <v>0.0900000000000001</v>
      </c>
      <c r="H6" s="8" t="n">
        <f aca="false">H5/G5-1</f>
        <v>0.0800000000000001</v>
      </c>
      <c r="I6" s="8" t="n">
        <f aca="false">I5/H5-1</f>
        <v>0.0700000000000001</v>
      </c>
    </row>
    <row r="7" customFormat="false" ht="15" hidden="false" customHeight="false" outlineLevel="0" collapsed="false">
      <c r="A7" s="4" t="s">
        <v>191</v>
      </c>
      <c r="B7" s="17" t="n">
        <v>22.5</v>
      </c>
      <c r="C7" s="17" t="n">
        <v>32.623</v>
      </c>
      <c r="D7" s="17" t="n">
        <v>47.495</v>
      </c>
      <c r="E7" s="6" t="n">
        <f aca="false">E5*Assumptions!B$27</f>
        <v>52.5684544</v>
      </c>
      <c r="F7" s="6" t="n">
        <f aca="false">F5*Assumptions!C$27</f>
        <v>57.16819416</v>
      </c>
      <c r="G7" s="6" t="n">
        <f aca="false">G5*Assumptions!D$27</f>
        <v>61.5970864432</v>
      </c>
      <c r="H7" s="6" t="n">
        <f aca="false">H5*Assumptions!E$27</f>
        <v>66.524853358656</v>
      </c>
      <c r="I7" s="6" t="n">
        <f aca="false">I5*Assumptions!F$27</f>
        <v>71.181593093762</v>
      </c>
      <c r="J7" s="7" t="s">
        <v>217</v>
      </c>
    </row>
    <row r="8" customFormat="false" ht="15" hidden="false" customHeight="false" outlineLevel="0" collapsed="false">
      <c r="A8" s="4" t="s">
        <v>218</v>
      </c>
      <c r="B8" s="18" t="n">
        <f aca="false">B7/B5</f>
        <v>0.396825396825397</v>
      </c>
      <c r="C8" s="18" t="n">
        <f aca="false">C7/C5</f>
        <v>0.399409877812875</v>
      </c>
      <c r="D8" s="18" t="n">
        <f aca="false">D7/D5</f>
        <v>0.445239188923158</v>
      </c>
      <c r="E8" s="8" t="n">
        <f aca="false">E7/E5</f>
        <v>0.44</v>
      </c>
      <c r="F8" s="8" t="n">
        <f aca="false">F7/F5</f>
        <v>0.435</v>
      </c>
      <c r="G8" s="8" t="n">
        <f aca="false">G7/G5</f>
        <v>0.43</v>
      </c>
      <c r="H8" s="8" t="n">
        <f aca="false">H7/H5</f>
        <v>0.43</v>
      </c>
      <c r="I8" s="8" t="n">
        <f aca="false">I7/I5</f>
        <v>0.43</v>
      </c>
    </row>
    <row r="9" customFormat="false" ht="15" hidden="false" customHeight="false" outlineLevel="0" collapsed="false">
      <c r="A9" s="4" t="s">
        <v>219</v>
      </c>
      <c r="B9" s="17" t="n">
        <v>7.9</v>
      </c>
      <c r="C9" s="17" t="n">
        <v>11.7</v>
      </c>
      <c r="D9" s="17" t="n">
        <v>13.6</v>
      </c>
      <c r="E9" s="6" t="n">
        <f aca="false">E5*Assumptions!B$28</f>
        <v>15.65106256</v>
      </c>
      <c r="F9" s="6" t="n">
        <f aca="false">F5*Assumptions!C$28</f>
        <v>17.216168816</v>
      </c>
      <c r="G9" s="6" t="n">
        <f aca="false">G5*Assumptions!D$28</f>
        <v>18.6223749712</v>
      </c>
      <c r="H9" s="6" t="n">
        <f aca="false">H5*Assumptions!E$28</f>
        <v>19.8027470462976</v>
      </c>
      <c r="I9" s="6" t="n">
        <f aca="false">I5*Assumptions!F$28</f>
        <v>21.0234007509483</v>
      </c>
      <c r="J9" s="7" t="s">
        <v>220</v>
      </c>
    </row>
    <row r="10" customFormat="false" ht="15" hidden="false" customHeight="false" outlineLevel="0" collapsed="false">
      <c r="A10" s="4" t="s">
        <v>221</v>
      </c>
      <c r="B10" s="17" t="n">
        <f aca="false">B7-B9</f>
        <v>14.6</v>
      </c>
      <c r="C10" s="17" t="n">
        <f aca="false">C7-C9</f>
        <v>20.923</v>
      </c>
      <c r="D10" s="17" t="n">
        <f aca="false">D7-D9</f>
        <v>33.895</v>
      </c>
      <c r="E10" s="6" t="n">
        <f aca="false">E7-E9</f>
        <v>36.91739184</v>
      </c>
      <c r="F10" s="6" t="n">
        <f aca="false">F7-F9</f>
        <v>39.952025344</v>
      </c>
      <c r="G10" s="6" t="n">
        <f aca="false">G7-G9</f>
        <v>42.974711472</v>
      </c>
      <c r="H10" s="6" t="n">
        <f aca="false">H7-H9</f>
        <v>46.7221063123584</v>
      </c>
      <c r="I10" s="6" t="n">
        <f aca="false">I7-I9</f>
        <v>50.1581923428137</v>
      </c>
    </row>
    <row r="11" customFormat="false" ht="15" hidden="false" customHeight="false" outlineLevel="0" collapsed="false">
      <c r="A11" s="4" t="s">
        <v>222</v>
      </c>
      <c r="B11" s="17" t="n">
        <v>5.28</v>
      </c>
      <c r="C11" s="17" t="n">
        <v>8.655</v>
      </c>
      <c r="D11" s="17" t="n">
        <v>14.8</v>
      </c>
      <c r="E11" s="6" t="n">
        <f aca="false">D11*(1+Assumptions!B$29)</f>
        <v>17.76</v>
      </c>
      <c r="F11" s="6" t="n">
        <f aca="false">E11*(1+Assumptions!C$29)</f>
        <v>20.424</v>
      </c>
      <c r="G11" s="6" t="n">
        <f aca="false">F11*(1+Assumptions!D$29)</f>
        <v>22.87488</v>
      </c>
      <c r="H11" s="6" t="n">
        <f aca="false">G11*(1+Assumptions!E$29)</f>
        <v>25.162368</v>
      </c>
      <c r="I11" s="6" t="n">
        <f aca="false">H11*(1+Assumptions!F$29)</f>
        <v>27.42698112</v>
      </c>
      <c r="J11" s="7" t="s">
        <v>223</v>
      </c>
    </row>
    <row r="12" customFormat="false" ht="15" hidden="false" customHeight="false" outlineLevel="0" collapsed="false">
      <c r="A12" s="4" t="s">
        <v>224</v>
      </c>
      <c r="B12" s="17" t="n">
        <v>-4.75</v>
      </c>
      <c r="C12" s="17" t="n">
        <v>-15.55</v>
      </c>
      <c r="D12" s="17" t="n">
        <v>-16.25</v>
      </c>
      <c r="E12" s="6" t="n">
        <f aca="false">-Assumptions!B$30</f>
        <v>-14.5</v>
      </c>
      <c r="F12" s="6" t="n">
        <f aca="false">-Assumptions!C$30</f>
        <v>-12.5</v>
      </c>
      <c r="G12" s="6" t="n">
        <f aca="false">-Assumptions!D$30</f>
        <v>-11</v>
      </c>
      <c r="H12" s="6" t="n">
        <f aca="false">-Assumptions!E$30</f>
        <v>-10</v>
      </c>
      <c r="I12" s="6" t="n">
        <f aca="false">-Assumptions!F$30</f>
        <v>-9</v>
      </c>
      <c r="J12" s="7" t="s">
        <v>225</v>
      </c>
    </row>
    <row r="13" customFormat="false" ht="15" hidden="false" customHeight="false" outlineLevel="0" collapsed="false">
      <c r="A13" s="4" t="s">
        <v>226</v>
      </c>
      <c r="B13" s="17" t="n">
        <f aca="false">B10+B11+B12</f>
        <v>15.13</v>
      </c>
      <c r="C13" s="17" t="n">
        <f aca="false">C10+C11+C12</f>
        <v>14.028</v>
      </c>
      <c r="D13" s="17" t="n">
        <f aca="false">D10+D11+D12</f>
        <v>32.445</v>
      </c>
      <c r="E13" s="6" t="n">
        <f aca="false">E10+E11+E12</f>
        <v>40.17739184</v>
      </c>
      <c r="F13" s="6" t="n">
        <f aca="false">F10+F11+F12</f>
        <v>47.876025344</v>
      </c>
      <c r="G13" s="6" t="n">
        <f aca="false">G10+G11+G12</f>
        <v>54.849591472</v>
      </c>
      <c r="H13" s="6" t="n">
        <f aca="false">H10+H11+H12</f>
        <v>61.8844743123584</v>
      </c>
      <c r="I13" s="6" t="n">
        <f aca="false">I10+I11+I12</f>
        <v>68.5851734628137</v>
      </c>
    </row>
    <row r="14" customFormat="false" ht="15" hidden="false" customHeight="false" outlineLevel="0" collapsed="false">
      <c r="A14" s="11" t="s">
        <v>227</v>
      </c>
      <c r="B14" s="17" t="n">
        <f aca="false">B13*(1-0.24)</f>
        <v>11.4988</v>
      </c>
      <c r="C14" s="17" t="n">
        <f aca="false">C13*(1-0.28)</f>
        <v>10.10016</v>
      </c>
      <c r="D14" s="17" t="n">
        <f aca="false">D13*(1-Assumptions!$B$13)</f>
        <v>22.549275</v>
      </c>
      <c r="E14" s="22" t="n">
        <f aca="false">E13*(1-Assumptions!$B$13)</f>
        <v>27.9232873288</v>
      </c>
      <c r="F14" s="22" t="n">
        <f aca="false">F13*(1-Assumptions!$B$13)</f>
        <v>33.27383761408</v>
      </c>
      <c r="G14" s="22" t="n">
        <f aca="false">G13*(1-Assumptions!$B$13)</f>
        <v>38.12046607304</v>
      </c>
      <c r="H14" s="22" t="n">
        <f aca="false">H13*(1-Assumptions!$B$13)</f>
        <v>43.0097096470891</v>
      </c>
      <c r="I14" s="22" t="n">
        <f aca="false">I13*(1-Assumptions!$B$13)</f>
        <v>47.6666955566555</v>
      </c>
      <c r="J14" s="7" t="s">
        <v>228</v>
      </c>
    </row>
    <row r="15" customFormat="false" ht="15" hidden="false" customHeight="false" outlineLevel="0" collapsed="false">
      <c r="A15" s="4" t="s">
        <v>218</v>
      </c>
      <c r="B15" s="18" t="n">
        <f aca="false">B14/B5</f>
        <v>0.202800705467372</v>
      </c>
      <c r="C15" s="18" t="n">
        <f aca="false">C14/C5</f>
        <v>0.123658267832219</v>
      </c>
      <c r="D15" s="18" t="n">
        <f aca="false">D14/D5</f>
        <v>0.211386902027692</v>
      </c>
      <c r="E15" s="8" t="n">
        <f aca="false">E14/E5</f>
        <v>0.233718996780548</v>
      </c>
      <c r="F15" s="8" t="n">
        <f aca="false">F14/F5</f>
        <v>0.253184827241792</v>
      </c>
      <c r="G15" s="8" t="n">
        <f aca="false">G14/G5</f>
        <v>0.266113242653489</v>
      </c>
      <c r="H15" s="8" t="n">
        <f aca="false">H14/H5</f>
        <v>0.278003997221016</v>
      </c>
      <c r="I15" s="8" t="n">
        <f aca="false">I14/I5</f>
        <v>0.287949148066456</v>
      </c>
    </row>
    <row r="16" customFormat="false" ht="15" hidden="false" customHeight="false" outlineLevel="0" collapsed="false">
      <c r="A16" s="4" t="s">
        <v>229</v>
      </c>
      <c r="B16" s="10" t="n">
        <f aca="false">B14*(1-Assumptions!$B$14)*1000/Assumptions!$B$6</f>
        <v>6.06238759980552</v>
      </c>
      <c r="C16" s="10" t="n">
        <f aca="false">C14*(1-Assumptions!$B$14)*1000/Assumptions!$B$6</f>
        <v>5.32499780325353</v>
      </c>
      <c r="D16" s="10" t="n">
        <f aca="false">D14*(1-Assumptions!$B$14)*1000/Assumptions!$B$6</f>
        <v>11.8884096727141</v>
      </c>
      <c r="E16" s="5" t="n">
        <f aca="false">E14*(1-Assumptions!$B$14)*1000/Assumptions!$B$6</f>
        <v>14.7216919024527</v>
      </c>
      <c r="F16" s="5" t="n">
        <f aca="false">F14*(1-Assumptions!$B$14)*1000/Assumptions!$B$6</f>
        <v>17.5426044934724</v>
      </c>
      <c r="G16" s="5" t="n">
        <f aca="false">G14*(1-Assumptions!$B$14)*1000/Assumptions!$B$6</f>
        <v>20.0978398458974</v>
      </c>
      <c r="H16" s="5" t="n">
        <f aca="false">H14*(1-Assumptions!$B$14)*1000/Assumptions!$B$6</f>
        <v>22.6755427032167</v>
      </c>
      <c r="I16" s="5" t="n">
        <f aca="false">I14*(1-Assumptions!$B$14)*1000/Assumptions!$B$6</f>
        <v>25.1307948713233</v>
      </c>
      <c r="J16" s="7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9" min="2" style="0" width="11"/>
    <col collapsed="false" customWidth="true" hidden="false" outlineLevel="0" max="10" min="10" style="0" width="62"/>
  </cols>
  <sheetData>
    <row r="1" customFormat="false" ht="15" hidden="false" customHeight="false" outlineLevel="0" collapsed="false">
      <c r="A1" s="1" t="s">
        <v>231</v>
      </c>
    </row>
    <row r="2" customFormat="false" ht="15" hidden="false" customHeight="false" outlineLevel="0" collapsed="false">
      <c r="A2" s="13" t="s">
        <v>232</v>
      </c>
    </row>
    <row r="4" customFormat="false" ht="15" hidden="false" customHeight="false" outlineLevel="0" collapsed="false">
      <c r="A4" s="9"/>
      <c r="B4" s="9" t="s">
        <v>212</v>
      </c>
      <c r="C4" s="9" t="s">
        <v>142</v>
      </c>
      <c r="D4" s="9" t="s">
        <v>143</v>
      </c>
      <c r="E4" s="9" t="s">
        <v>86</v>
      </c>
      <c r="F4" s="9" t="s">
        <v>87</v>
      </c>
      <c r="G4" s="9" t="s">
        <v>88</v>
      </c>
      <c r="H4" s="9" t="s">
        <v>89</v>
      </c>
      <c r="I4" s="9" t="s">
        <v>90</v>
      </c>
      <c r="J4" s="9" t="s">
        <v>213</v>
      </c>
    </row>
    <row r="5" customFormat="false" ht="15" hidden="false" customHeight="false" outlineLevel="0" collapsed="false">
      <c r="A5" s="4" t="s">
        <v>233</v>
      </c>
      <c r="B5" s="17" t="n">
        <v>10.443</v>
      </c>
      <c r="C5" s="17" t="n">
        <v>7.565</v>
      </c>
      <c r="D5" s="17" t="n">
        <v>7.685</v>
      </c>
      <c r="E5" s="6" t="n">
        <f aca="false">D5</f>
        <v>7.685</v>
      </c>
      <c r="F5" s="6" t="n">
        <f aca="false">D5</f>
        <v>7.685</v>
      </c>
      <c r="G5" s="6" t="n">
        <f aca="false">D5</f>
        <v>7.685</v>
      </c>
      <c r="H5" s="6" t="n">
        <f aca="false">D5</f>
        <v>7.685</v>
      </c>
      <c r="I5" s="6" t="n">
        <f aca="false">D5</f>
        <v>7.685</v>
      </c>
      <c r="J5" s="7" t="s">
        <v>234</v>
      </c>
    </row>
    <row r="6" customFormat="false" ht="15" hidden="false" customHeight="false" outlineLevel="0" collapsed="false">
      <c r="A6" s="4" t="s">
        <v>235</v>
      </c>
      <c r="B6" s="17" t="n">
        <v>22</v>
      </c>
      <c r="C6" s="17" t="n">
        <v>35.384</v>
      </c>
      <c r="D6" s="17" t="n">
        <v>39.079</v>
      </c>
      <c r="E6" s="6" t="n">
        <f aca="false">E5*0+'Income Statement'!E5*0.37</f>
        <v>44.2052912</v>
      </c>
      <c r="F6" s="6" t="n">
        <f aca="false">F5*0+'Income Statement'!F5*0.37</f>
        <v>48.62582032</v>
      </c>
      <c r="G6" s="6" t="n">
        <f aca="false">G5*0+'Income Statement'!G5*0.37</f>
        <v>53.0021441488</v>
      </c>
      <c r="H6" s="6" t="n">
        <f aca="false">H5*0+'Income Statement'!H5*0.37</f>
        <v>57.242315680704</v>
      </c>
      <c r="I6" s="6" t="n">
        <f aca="false">I5*0+'Income Statement'!I5*0.37</f>
        <v>61.2492777783533</v>
      </c>
      <c r="J6" s="7" t="s">
        <v>236</v>
      </c>
    </row>
    <row r="7" customFormat="false" ht="15" hidden="false" customHeight="false" outlineLevel="0" collapsed="false">
      <c r="A7" s="11" t="s">
        <v>237</v>
      </c>
      <c r="B7" s="17" t="n">
        <f aca="false">B5+B6</f>
        <v>32.443</v>
      </c>
      <c r="C7" s="17" t="n">
        <f aca="false">C5+C6</f>
        <v>42.949</v>
      </c>
      <c r="D7" s="17" t="n">
        <f aca="false">D5+D6</f>
        <v>46.764</v>
      </c>
      <c r="E7" s="22" t="n">
        <f aca="false">E5+E6</f>
        <v>51.8902912</v>
      </c>
      <c r="F7" s="22" t="n">
        <f aca="false">F5+F6</f>
        <v>56.31082032</v>
      </c>
      <c r="G7" s="22" t="n">
        <f aca="false">G5+G6</f>
        <v>60.6871441488</v>
      </c>
      <c r="H7" s="22" t="n">
        <f aca="false">H5+H6</f>
        <v>64.927315680704</v>
      </c>
      <c r="I7" s="22" t="n">
        <f aca="false">I5+I6</f>
        <v>68.9342777783533</v>
      </c>
    </row>
    <row r="8" customFormat="false" ht="15" hidden="false" customHeight="false" outlineLevel="0" collapsed="false">
      <c r="A8" s="4" t="s">
        <v>238</v>
      </c>
      <c r="B8" s="17" t="n">
        <v>72</v>
      </c>
      <c r="C8" s="17" t="n">
        <v>104.141</v>
      </c>
      <c r="D8" s="17" t="n">
        <v>119.829</v>
      </c>
      <c r="E8" s="6" t="n">
        <f aca="false">D8+'Income Statement'!E5*Assumptions!B$33-'Income Statement'!E9</f>
        <v>135.24111504</v>
      </c>
      <c r="F8" s="6" t="n">
        <f aca="false">E8+'Income Statement'!F5*Assumptions!C$33-'Income Statement'!F9</f>
        <v>149.566018864</v>
      </c>
      <c r="G8" s="6" t="n">
        <f aca="false">F8+'Income Statement'!G5*Assumptions!D$33-'Income Statement'!G9</f>
        <v>163.890922688</v>
      </c>
      <c r="H8" s="6" t="n">
        <f aca="false">G8+'Income Statement'!H5*Assumptions!E$33-'Income Statement'!H9</f>
        <v>178.124147127526</v>
      </c>
      <c r="I8" s="6" t="n">
        <f aca="false">H8+'Income Statement'!I5*Assumptions!F$33-'Income Statement'!I9</f>
        <v>191.863849980508</v>
      </c>
      <c r="J8" s="7" t="s">
        <v>239</v>
      </c>
    </row>
    <row r="9" customFormat="false" ht="15" hidden="false" customHeight="false" outlineLevel="0" collapsed="false">
      <c r="A9" s="4" t="s">
        <v>240</v>
      </c>
      <c r="B9" s="17" t="n">
        <v>12</v>
      </c>
      <c r="C9" s="17" t="n">
        <v>18.848</v>
      </c>
      <c r="D9" s="17" t="n">
        <v>30.851</v>
      </c>
      <c r="E9" s="6" t="n">
        <f aca="false">D9+'Income Statement'!E11-Assumptions!B$34</f>
        <v>44.111</v>
      </c>
      <c r="F9" s="6" t="n">
        <f aca="false">E9+'Income Statement'!F11-Assumptions!C$34</f>
        <v>59.035</v>
      </c>
      <c r="G9" s="6" t="n">
        <f aca="false">F9+'Income Statement'!G11-Assumptions!D$34</f>
        <v>75.40988</v>
      </c>
      <c r="H9" s="6" t="n">
        <f aca="false">G9+'Income Statement'!H11-Assumptions!E$34</f>
        <v>93.072248</v>
      </c>
      <c r="I9" s="6" t="n">
        <f aca="false">H9+'Income Statement'!I11-Assumptions!F$34</f>
        <v>111.99922912</v>
      </c>
      <c r="J9" s="7" t="s">
        <v>241</v>
      </c>
    </row>
    <row r="10" customFormat="false" ht="15" hidden="false" customHeight="false" outlineLevel="0" collapsed="false">
      <c r="A10" s="4" t="s">
        <v>242</v>
      </c>
      <c r="B10" s="17" t="n">
        <v>11.8</v>
      </c>
      <c r="C10" s="17" t="n">
        <v>32.014</v>
      </c>
      <c r="D10" s="17" t="n">
        <v>28.439</v>
      </c>
      <c r="E10" s="6" t="n">
        <f aca="false">E16-E7-E8-E9</f>
        <v>23.6861743303989</v>
      </c>
      <c r="F10" s="6" t="n">
        <f aca="false">F16-F7-F8-F9</f>
        <v>19.7183517058895</v>
      </c>
      <c r="G10" s="6" t="n">
        <f aca="false">G16-G7-G8-G9</f>
        <v>15.3981353007152</v>
      </c>
      <c r="H10" s="6" t="n">
        <f aca="false">H16-H7-H8-H9</f>
        <v>11.0213191398491</v>
      </c>
      <c r="I10" s="6" t="n">
        <f aca="false">I16-I7-I8-I9</f>
        <v>6.77668125125059</v>
      </c>
      <c r="J10" s="7" t="s">
        <v>243</v>
      </c>
    </row>
    <row r="11" customFormat="false" ht="15" hidden="false" customHeight="false" outlineLevel="0" collapsed="false">
      <c r="A11" s="11" t="s">
        <v>244</v>
      </c>
      <c r="B11" s="17" t="n">
        <f aca="false">B7+B8+B9+B10</f>
        <v>128.243</v>
      </c>
      <c r="C11" s="17" t="n">
        <f aca="false">C7+C8+C9+C10</f>
        <v>197.952</v>
      </c>
      <c r="D11" s="17" t="n">
        <f aca="false">D7+D8+D9+D10</f>
        <v>225.883</v>
      </c>
      <c r="E11" s="22" t="n">
        <f aca="false">E7+E8+E9+E10</f>
        <v>254.928580570399</v>
      </c>
      <c r="F11" s="22" t="n">
        <f aca="false">F7+F8+F9+F10</f>
        <v>284.63019088989</v>
      </c>
      <c r="G11" s="22" t="n">
        <f aca="false">G7+G8+G9+G10</f>
        <v>315.386082137515</v>
      </c>
      <c r="H11" s="22" t="n">
        <f aca="false">H7+H8+H9+H10</f>
        <v>347.145029948079</v>
      </c>
      <c r="I11" s="22" t="n">
        <f aca="false">I7+I8+I9+I10</f>
        <v>379.574038130112</v>
      </c>
    </row>
    <row r="12" customFormat="false" ht="15" hidden="false" customHeight="false" outlineLevel="0" collapsed="false">
      <c r="A12" s="4" t="s">
        <v>245</v>
      </c>
      <c r="B12" s="17" t="n">
        <v>49.7</v>
      </c>
      <c r="C12" s="17" t="n">
        <v>81.476</v>
      </c>
      <c r="D12" s="17" t="n">
        <v>73.759</v>
      </c>
      <c r="E12" s="6" t="n">
        <f aca="false">E18+E5</f>
        <v>73.140626364</v>
      </c>
      <c r="F12" s="6" t="n">
        <f aca="false">F18+F5</f>
        <v>69.4387215864</v>
      </c>
      <c r="G12" s="6" t="n">
        <f aca="false">G18+G5</f>
        <v>63.3854789844</v>
      </c>
      <c r="H12" s="6" t="n">
        <f aca="false">H18+H5</f>
        <v>54.9426231523286</v>
      </c>
      <c r="I12" s="6" t="n">
        <f aca="false">I18+I5</f>
        <v>44.0636655323743</v>
      </c>
      <c r="J12" s="7" t="s">
        <v>246</v>
      </c>
    </row>
    <row r="13" customFormat="false" ht="15" hidden="false" customHeight="false" outlineLevel="0" collapsed="false">
      <c r="A13" s="4" t="s">
        <v>247</v>
      </c>
      <c r="B13" s="17" t="n">
        <v>41</v>
      </c>
      <c r="C13" s="17" t="n">
        <v>70.539</v>
      </c>
      <c r="D13" s="17" t="n">
        <v>88.435</v>
      </c>
      <c r="E13" s="6" t="n">
        <f aca="false">D13*( 'Income Statement'!E5/'Income Statement'!D5 )^0.5</f>
        <v>93.5908068775988</v>
      </c>
      <c r="F13" s="6" t="n">
        <f aca="false">D13*( 'Income Statement'!F5/'Income Statement'!D5 )^0.5</f>
        <v>98.1588663606095</v>
      </c>
      <c r="G13" s="6" t="n">
        <f aca="false">D13*( 'Income Statement'!G5/'Income Statement'!D5 )^0.5</f>
        <v>102.480865137195</v>
      </c>
      <c r="H13" s="6" t="n">
        <f aca="false">D13*( 'Income Statement'!H5/'Income Statement'!D5 )^0.5</f>
        <v>106.501239132742</v>
      </c>
      <c r="I13" s="6" t="n">
        <f aca="false">D13*( 'Income Statement'!I5/'Income Statement'!D5 )^0.5</f>
        <v>110.165738378073</v>
      </c>
      <c r="J13" s="7" t="s">
        <v>248</v>
      </c>
    </row>
    <row r="14" customFormat="false" ht="15" hidden="false" customHeight="false" outlineLevel="0" collapsed="false">
      <c r="A14" s="11" t="s">
        <v>249</v>
      </c>
      <c r="B14" s="17" t="n">
        <f aca="false">B12+B13</f>
        <v>90.7</v>
      </c>
      <c r="C14" s="17" t="n">
        <f aca="false">C12+C13</f>
        <v>152.015</v>
      </c>
      <c r="D14" s="17" t="n">
        <f aca="false">D12+D13</f>
        <v>162.194</v>
      </c>
      <c r="E14" s="22" t="n">
        <f aca="false">E12+E13</f>
        <v>166.731433241599</v>
      </c>
      <c r="F14" s="22" t="n">
        <f aca="false">F12+F13</f>
        <v>167.59758794701</v>
      </c>
      <c r="G14" s="22" t="n">
        <f aca="false">G12+G13</f>
        <v>165.866344121595</v>
      </c>
      <c r="H14" s="22" t="n">
        <f aca="false">H12+H13</f>
        <v>161.44386228507</v>
      </c>
      <c r="I14" s="22" t="n">
        <f aca="false">I12+I13</f>
        <v>154.229403910448</v>
      </c>
    </row>
    <row r="15" customFormat="false" ht="15" hidden="false" customHeight="false" outlineLevel="0" collapsed="false">
      <c r="A15" s="11" t="s">
        <v>250</v>
      </c>
      <c r="B15" s="17" t="n">
        <v>37.5</v>
      </c>
      <c r="C15" s="17" t="n">
        <v>45.938</v>
      </c>
      <c r="D15" s="17" t="n">
        <v>63.688</v>
      </c>
      <c r="E15" s="22" t="n">
        <f aca="false">D15+'Income Statement'!E14-Assumptions!B$32*Assumptions!$B$6/1000</f>
        <v>88.1971473288</v>
      </c>
      <c r="F15" s="22" t="n">
        <f aca="false">E15+'Income Statement'!F14-Assumptions!C$32*Assumptions!$B$6/1000</f>
        <v>117.03260294288</v>
      </c>
      <c r="G15" s="22" t="n">
        <f aca="false">F15+'Income Statement'!G14-Assumptions!D$32*Assumptions!$B$6/1000</f>
        <v>149.51973801592</v>
      </c>
      <c r="H15" s="22" t="n">
        <f aca="false">G15+'Income Statement'!H14-Assumptions!E$32*Assumptions!$B$6/1000</f>
        <v>185.701167663009</v>
      </c>
      <c r="I15" s="22" t="n">
        <f aca="false">H15+'Income Statement'!I14-Assumptions!F$32*Assumptions!$B$6/1000</f>
        <v>225.344634219665</v>
      </c>
      <c r="J15" s="7" t="s">
        <v>251</v>
      </c>
    </row>
    <row r="16" customFormat="false" ht="15" hidden="false" customHeight="false" outlineLevel="0" collapsed="false">
      <c r="A16" s="11" t="s">
        <v>252</v>
      </c>
      <c r="B16" s="17" t="n">
        <f aca="false">B14+B15</f>
        <v>128.2</v>
      </c>
      <c r="C16" s="17" t="n">
        <f aca="false">C14+C15</f>
        <v>197.953</v>
      </c>
      <c r="D16" s="17" t="n">
        <f aca="false">D14+D15</f>
        <v>225.882</v>
      </c>
      <c r="E16" s="22" t="n">
        <f aca="false">E14+E15</f>
        <v>254.928580570399</v>
      </c>
      <c r="F16" s="22" t="n">
        <f aca="false">F14+F15</f>
        <v>284.63019088989</v>
      </c>
      <c r="G16" s="22" t="n">
        <f aca="false">G14+G15</f>
        <v>315.386082137515</v>
      </c>
      <c r="H16" s="22" t="n">
        <f aca="false">H14+H15</f>
        <v>347.145029948079</v>
      </c>
      <c r="I16" s="22" t="n">
        <f aca="false">I14+I15</f>
        <v>379.574038130112</v>
      </c>
    </row>
    <row r="17" customFormat="false" ht="15" hidden="false" customHeight="false" outlineLevel="0" collapsed="false">
      <c r="A17" s="4" t="s">
        <v>253</v>
      </c>
      <c r="B17" s="17" t="n">
        <f aca="false">B11-B16</f>
        <v>0.0430000000000064</v>
      </c>
      <c r="C17" s="17" t="n">
        <f aca="false">C11-C16</f>
        <v>-0.000999999999976353</v>
      </c>
      <c r="D17" s="17" t="n">
        <f aca="false">D11-D16</f>
        <v>0.000999999999976353</v>
      </c>
      <c r="E17" s="6" t="n">
        <f aca="false">E11-E16</f>
        <v>0</v>
      </c>
      <c r="F17" s="6" t="n">
        <f aca="false">F11-F16</f>
        <v>0</v>
      </c>
      <c r="G17" s="6" t="n">
        <f aca="false">G11-G16</f>
        <v>0</v>
      </c>
      <c r="H17" s="6" t="n">
        <f aca="false">H11-H16</f>
        <v>0</v>
      </c>
      <c r="I17" s="6" t="n">
        <f aca="false">I11-I16</f>
        <v>0</v>
      </c>
    </row>
    <row r="18" customFormat="false" ht="15" hidden="false" customHeight="false" outlineLevel="0" collapsed="false">
      <c r="A18" s="11" t="s">
        <v>254</v>
      </c>
      <c r="B18" s="17" t="n">
        <f aca="false">B12-B5</f>
        <v>39.257</v>
      </c>
      <c r="C18" s="17" t="n">
        <f aca="false">C12-C5</f>
        <v>73.911</v>
      </c>
      <c r="D18" s="17" t="n">
        <f aca="false">D12-D5</f>
        <v>66.074</v>
      </c>
      <c r="E18" s="22" t="n">
        <f aca="false">D18-DCF!B14+(-'Income Statement'!E12)+Assumptions!B$32*Assumptions!$B$6/1000</f>
        <v>65.455626364</v>
      </c>
      <c r="F18" s="22" t="n">
        <f aca="false">E18-DCF!C14+(-'Income Statement'!F12)+Assumptions!C$32*Assumptions!$B$6/1000</f>
        <v>61.7537215864</v>
      </c>
      <c r="G18" s="22" t="n">
        <f aca="false">F18-DCF!D14+(-'Income Statement'!G12)+Assumptions!D$32*Assumptions!$B$6/1000</f>
        <v>55.7004789844</v>
      </c>
      <c r="H18" s="22" t="n">
        <f aca="false">G18-DCF!E14+(-'Income Statement'!H12)+Assumptions!E$32*Assumptions!$B$6/1000</f>
        <v>47.2576231523286</v>
      </c>
      <c r="I18" s="22" t="n">
        <f aca="false">H18-DCF!F14+(-'Income Statement'!I12)+Assumptions!F$32*Assumptions!$B$6/1000</f>
        <v>36.3786655323743</v>
      </c>
      <c r="J18" s="7" t="s">
        <v>255</v>
      </c>
    </row>
    <row r="19" customFormat="false" ht="15" hidden="false" customHeight="false" outlineLevel="0" collapsed="false">
      <c r="A19" s="4" t="s">
        <v>256</v>
      </c>
      <c r="B19" s="19" t="n">
        <f aca="false">B18/'Income Statement'!B7</f>
        <v>1.74475555555556</v>
      </c>
      <c r="C19" s="19" t="n">
        <f aca="false">C18/'Income Statement'!C7</f>
        <v>2.2656101523465</v>
      </c>
      <c r="D19" s="19" t="n">
        <f aca="false">D18/'Income Statement'!D7</f>
        <v>1.39117801873881</v>
      </c>
      <c r="E19" s="21" t="n">
        <f aca="false">E18/'Income Statement'!E7</f>
        <v>1.24515029233958</v>
      </c>
      <c r="F19" s="21" t="n">
        <f aca="false">F18/'Income Statement'!F7</f>
        <v>1.08021116450812</v>
      </c>
      <c r="G19" s="21" t="n">
        <f aca="false">G18/'Income Statement'!G7</f>
        <v>0.904271325166696</v>
      </c>
      <c r="H19" s="21" t="n">
        <f aca="false">H18/'Income Statement'!H7</f>
        <v>0.710375457688695</v>
      </c>
      <c r="I19" s="21" t="n">
        <f aca="false">I18/'Income Statement'!I7</f>
        <v>0.511068437095185</v>
      </c>
      <c r="J19" s="7" t="s">
        <v>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9" min="2" style="0" width="11"/>
    <col collapsed="false" customWidth="true" hidden="false" outlineLevel="0" max="10" min="10" style="0" width="60"/>
  </cols>
  <sheetData>
    <row r="1" customFormat="false" ht="15" hidden="false" customHeight="false" outlineLevel="0" collapsed="false">
      <c r="A1" s="1" t="s">
        <v>258</v>
      </c>
    </row>
    <row r="2" customFormat="false" ht="15" hidden="false" customHeight="false" outlineLevel="0" collapsed="false">
      <c r="A2" s="13" t="s">
        <v>259</v>
      </c>
    </row>
    <row r="4" customFormat="false" ht="15" hidden="false" customHeight="false" outlineLevel="0" collapsed="false">
      <c r="A4" s="9"/>
      <c r="B4" s="9" t="s">
        <v>212</v>
      </c>
      <c r="C4" s="9" t="s">
        <v>142</v>
      </c>
      <c r="D4" s="9" t="s">
        <v>143</v>
      </c>
      <c r="E4" s="9" t="s">
        <v>86</v>
      </c>
      <c r="F4" s="9" t="s">
        <v>87</v>
      </c>
      <c r="G4" s="9" t="s">
        <v>88</v>
      </c>
      <c r="H4" s="9" t="s">
        <v>89</v>
      </c>
      <c r="I4" s="9" t="s">
        <v>90</v>
      </c>
      <c r="J4" s="9" t="s">
        <v>213</v>
      </c>
    </row>
    <row r="5" customFormat="false" ht="15" hidden="false" customHeight="false" outlineLevel="0" collapsed="false">
      <c r="A5" s="4" t="s">
        <v>260</v>
      </c>
      <c r="B5" s="4" t="s">
        <v>216</v>
      </c>
      <c r="C5" s="17" t="n">
        <v>21.52</v>
      </c>
      <c r="D5" s="17" t="n">
        <v>37.624</v>
      </c>
      <c r="E5" s="6" t="n">
        <f aca="false">'Income Statement'!E14+'Income Statement'!E9-('Income Statement'!E11-Assumptions!B$34)-0.6</f>
        <v>29.7143498888</v>
      </c>
      <c r="F5" s="6" t="n">
        <f aca="false">'Income Statement'!F14+'Income Statement'!F9-('Income Statement'!F11-Assumptions!C$34)-0.6</f>
        <v>34.96600643008</v>
      </c>
      <c r="G5" s="6" t="n">
        <f aca="false">'Income Statement'!G14+'Income Statement'!G9-('Income Statement'!G11-Assumptions!D$34)-0.6</f>
        <v>39.76796104424</v>
      </c>
      <c r="H5" s="6" t="n">
        <f aca="false">'Income Statement'!H14+'Income Statement'!H9-('Income Statement'!H11-Assumptions!E$34)-0.6</f>
        <v>44.5500886933867</v>
      </c>
      <c r="I5" s="6" t="n">
        <f aca="false">'Income Statement'!I14+'Income Statement'!I9-('Income Statement'!I11-Assumptions!F$34)-0.6</f>
        <v>49.1631151876038</v>
      </c>
      <c r="J5" s="7" t="s">
        <v>261</v>
      </c>
    </row>
    <row r="6" customFormat="false" ht="15" hidden="false" customHeight="false" outlineLevel="0" collapsed="false">
      <c r="A6" s="4" t="s">
        <v>262</v>
      </c>
      <c r="B6" s="4" t="s">
        <v>216</v>
      </c>
      <c r="C6" s="17" t="n">
        <v>-31.546</v>
      </c>
      <c r="D6" s="17" t="n">
        <v>-29.222</v>
      </c>
      <c r="E6" s="6" t="n">
        <f aca="false">-'Income Statement'!E5*Assumptions!B$33</f>
        <v>-31.0631776</v>
      </c>
      <c r="F6" s="6" t="n">
        <f aca="false">-'Income Statement'!F5*Assumptions!C$33</f>
        <v>-31.54107264</v>
      </c>
      <c r="G6" s="6" t="n">
        <f aca="false">-'Income Statement'!G5*Assumptions!D$33</f>
        <v>-32.9472787952</v>
      </c>
      <c r="H6" s="6" t="n">
        <f aca="false">-'Income Statement'!H5*Assumptions!E$33</f>
        <v>-34.035971485824</v>
      </c>
      <c r="I6" s="6" t="n">
        <f aca="false">-'Income Statement'!I5*Assumptions!F$33</f>
        <v>-34.7631036039303</v>
      </c>
      <c r="J6" s="7" t="s">
        <v>263</v>
      </c>
    </row>
    <row r="7" customFormat="false" ht="15" hidden="false" customHeight="false" outlineLevel="0" collapsed="false">
      <c r="A7" s="4" t="s">
        <v>264</v>
      </c>
      <c r="B7" s="4" t="s">
        <v>216</v>
      </c>
      <c r="C7" s="17" t="n">
        <v>6.922</v>
      </c>
      <c r="D7" s="17" t="n">
        <v>-8.307</v>
      </c>
      <c r="E7" s="6" t="n">
        <f aca="false">-(E5+E6)</f>
        <v>1.34882771119999</v>
      </c>
      <c r="F7" s="6" t="n">
        <f aca="false">-(F5+F6)</f>
        <v>-3.42493379008001</v>
      </c>
      <c r="G7" s="6" t="n">
        <f aca="false">-(G5+G6)</f>
        <v>-6.82068224904001</v>
      </c>
      <c r="H7" s="6" t="n">
        <f aca="false">-(H5+H6)</f>
        <v>-10.5141172075627</v>
      </c>
      <c r="I7" s="6" t="n">
        <f aca="false">-(I5+I6)</f>
        <v>-14.4000115836735</v>
      </c>
      <c r="J7" s="7" t="s">
        <v>265</v>
      </c>
    </row>
    <row r="8" customFormat="false" ht="15" hidden="false" customHeight="false" outlineLevel="0" collapsed="false">
      <c r="A8" s="4" t="s">
        <v>266</v>
      </c>
      <c r="B8" s="4" t="s">
        <v>216</v>
      </c>
      <c r="C8" s="17" t="n">
        <f aca="false">C5+C6+C7</f>
        <v>-3.104</v>
      </c>
      <c r="D8" s="17" t="n">
        <f aca="false">D5+D6+D7</f>
        <v>0.0950000000000006</v>
      </c>
      <c r="E8" s="6" t="n">
        <f aca="false">E5+E6+E7</f>
        <v>0</v>
      </c>
      <c r="F8" s="6" t="n">
        <f aca="false">F5+F6+F7</f>
        <v>0</v>
      </c>
      <c r="G8" s="6" t="n">
        <f aca="false">G5+G6+G7</f>
        <v>0</v>
      </c>
      <c r="H8" s="6" t="n">
        <f aca="false">H5+H6+H7</f>
        <v>0</v>
      </c>
      <c r="I8" s="6" t="n">
        <f aca="false">I5+I6+I7</f>
        <v>0</v>
      </c>
    </row>
    <row r="9" customFormat="false" ht="15" hidden="false" customHeight="false" outlineLevel="0" collapsed="false">
      <c r="A9" s="4" t="s">
        <v>267</v>
      </c>
      <c r="B9" s="17" t="n">
        <v>10.443</v>
      </c>
      <c r="C9" s="17" t="n">
        <v>7.565</v>
      </c>
      <c r="D9" s="17" t="n">
        <v>7.685</v>
      </c>
      <c r="E9" s="6" t="n">
        <f aca="false">D9+E8</f>
        <v>7.685</v>
      </c>
      <c r="F9" s="6" t="n">
        <f aca="false">E9+F8</f>
        <v>7.685</v>
      </c>
      <c r="G9" s="6" t="n">
        <f aca="false">F9+G8</f>
        <v>7.685</v>
      </c>
      <c r="H9" s="6" t="n">
        <f aca="false">G9+H8</f>
        <v>7.685</v>
      </c>
      <c r="I9" s="6" t="n">
        <f aca="false">H9+I8</f>
        <v>7.685</v>
      </c>
      <c r="J9" s="7" t="s">
        <v>268</v>
      </c>
    </row>
    <row r="10" customFormat="false" ht="15" hidden="false" customHeight="false" outlineLevel="0" collapsed="false">
      <c r="A10" s="4" t="s">
        <v>269</v>
      </c>
      <c r="B10" s="17" t="n">
        <v>26.4</v>
      </c>
      <c r="C10" s="17" t="n">
        <v>35.1</v>
      </c>
      <c r="D10" s="17" t="n">
        <v>29.6</v>
      </c>
      <c r="E10" s="6" t="n">
        <f aca="false">'Income Statement'!E5*Assumptions!B$33</f>
        <v>31.0631776</v>
      </c>
      <c r="F10" s="6" t="n">
        <f aca="false">'Income Statement'!F5*Assumptions!C$33</f>
        <v>31.54107264</v>
      </c>
      <c r="G10" s="6" t="n">
        <f aca="false">'Income Statement'!G5*Assumptions!D$33</f>
        <v>32.9472787952</v>
      </c>
      <c r="H10" s="6" t="n">
        <f aca="false">'Income Statement'!H5*Assumptions!E$33</f>
        <v>34.035971485824</v>
      </c>
      <c r="I10" s="6" t="n">
        <f aca="false">'Income Statement'!I5*Assumptions!F$33</f>
        <v>34.7631036039303</v>
      </c>
      <c r="J10" s="7" t="s">
        <v>270</v>
      </c>
    </row>
    <row r="11" customFormat="false" ht="15" hidden="false" customHeight="false" outlineLevel="0" collapsed="false">
      <c r="A11" s="11" t="s">
        <v>271</v>
      </c>
      <c r="B11" s="4" t="s">
        <v>216</v>
      </c>
      <c r="C11" s="17" t="n">
        <v>-1.6</v>
      </c>
      <c r="D11" s="17" t="n">
        <v>21.1</v>
      </c>
      <c r="E11" s="22" t="n">
        <f aca="false">DCF!B14</f>
        <v>18.532513636</v>
      </c>
      <c r="F11" s="22" t="n">
        <f aca="false">DCF!C14</f>
        <v>20.6402867776</v>
      </c>
      <c r="G11" s="22" t="n">
        <f aca="false">DCF!D14</f>
        <v>22.686573602</v>
      </c>
      <c r="H11" s="22" t="n">
        <f aca="false">DCF!E14</f>
        <v>25.2711358320714</v>
      </c>
      <c r="I11" s="22" t="n">
        <f aca="false">DCF!F14</f>
        <v>27.9021866199543</v>
      </c>
      <c r="J11" s="7" t="s">
        <v>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9" min="2" style="0" width="11"/>
  </cols>
  <sheetData>
    <row r="1" customFormat="false" ht="15" hidden="false" customHeight="false" outlineLevel="0" collapsed="false">
      <c r="A1" s="1" t="s">
        <v>273</v>
      </c>
    </row>
    <row r="4" customFormat="false" ht="15" hidden="false" customHeight="false" outlineLevel="0" collapsed="false">
      <c r="A4" s="9"/>
      <c r="B4" s="9" t="s">
        <v>212</v>
      </c>
      <c r="C4" s="9" t="s">
        <v>142</v>
      </c>
      <c r="D4" s="9" t="s">
        <v>143</v>
      </c>
      <c r="E4" s="9" t="s">
        <v>86</v>
      </c>
      <c r="F4" s="9" t="s">
        <v>87</v>
      </c>
      <c r="G4" s="9" t="s">
        <v>88</v>
      </c>
      <c r="H4" s="9" t="s">
        <v>89</v>
      </c>
      <c r="I4" s="9" t="s">
        <v>90</v>
      </c>
    </row>
    <row r="5" customFormat="false" ht="15" hidden="false" customHeight="false" outlineLevel="0" collapsed="false">
      <c r="A5" s="4" t="s">
        <v>190</v>
      </c>
      <c r="B5" s="6" t="n">
        <f aca="false">'Income Statement'!B5</f>
        <v>56.7</v>
      </c>
      <c r="C5" s="6" t="n">
        <f aca="false">'Income Statement'!C5</f>
        <v>81.678</v>
      </c>
      <c r="D5" s="6" t="n">
        <f aca="false">'Income Statement'!D5</f>
        <v>106.673</v>
      </c>
      <c r="E5" s="6" t="n">
        <f aca="false">'Income Statement'!E5</f>
        <v>119.47376</v>
      </c>
      <c r="F5" s="6" t="n">
        <f aca="false">'Income Statement'!F5</f>
        <v>131.421136</v>
      </c>
      <c r="G5" s="6" t="n">
        <f aca="false">'Income Statement'!G5</f>
        <v>143.24903824</v>
      </c>
      <c r="H5" s="6" t="n">
        <f aca="false">'Income Statement'!H5</f>
        <v>154.7089612992</v>
      </c>
      <c r="I5" s="6" t="n">
        <f aca="false">'Income Statement'!I5</f>
        <v>165.538588590144</v>
      </c>
    </row>
    <row r="6" customFormat="false" ht="15" hidden="false" customHeight="false" outlineLevel="0" collapsed="false">
      <c r="A6" s="4" t="s">
        <v>191</v>
      </c>
      <c r="B6" s="6" t="n">
        <f aca="false">'Income Statement'!B7</f>
        <v>22.5</v>
      </c>
      <c r="C6" s="6" t="n">
        <f aca="false">'Income Statement'!C7</f>
        <v>32.623</v>
      </c>
      <c r="D6" s="6" t="n">
        <f aca="false">'Income Statement'!D7</f>
        <v>47.495</v>
      </c>
      <c r="E6" s="6" t="n">
        <f aca="false">'Income Statement'!E7</f>
        <v>52.5684544</v>
      </c>
      <c r="F6" s="6" t="n">
        <f aca="false">'Income Statement'!F7</f>
        <v>57.16819416</v>
      </c>
      <c r="G6" s="6" t="n">
        <f aca="false">'Income Statement'!G7</f>
        <v>61.5970864432</v>
      </c>
      <c r="H6" s="6" t="n">
        <f aca="false">'Income Statement'!H7</f>
        <v>66.524853358656</v>
      </c>
      <c r="I6" s="6" t="n">
        <f aca="false">'Income Statement'!I7</f>
        <v>71.181593093762</v>
      </c>
    </row>
    <row r="7" customFormat="false" ht="15" hidden="false" customHeight="false" outlineLevel="0" collapsed="false">
      <c r="A7" s="4" t="s">
        <v>227</v>
      </c>
      <c r="B7" s="6" t="n">
        <f aca="false">'Income Statement'!B14</f>
        <v>11.4988</v>
      </c>
      <c r="C7" s="6" t="n">
        <f aca="false">'Income Statement'!C14</f>
        <v>10.10016</v>
      </c>
      <c r="D7" s="6" t="n">
        <f aca="false">'Income Statement'!D14</f>
        <v>22.549275</v>
      </c>
      <c r="E7" s="6" t="n">
        <f aca="false">'Income Statement'!E14</f>
        <v>27.9232873288</v>
      </c>
      <c r="F7" s="6" t="n">
        <f aca="false">'Income Statement'!F14</f>
        <v>33.27383761408</v>
      </c>
      <c r="G7" s="6" t="n">
        <f aca="false">'Income Statement'!G14</f>
        <v>38.12046607304</v>
      </c>
      <c r="H7" s="6" t="n">
        <f aca="false">'Income Statement'!H14</f>
        <v>43.0097096470891</v>
      </c>
      <c r="I7" s="6" t="n">
        <f aca="false">'Income Statement'!I14</f>
        <v>47.6666955566555</v>
      </c>
    </row>
    <row r="8" customFormat="false" ht="15" hidden="false" customHeight="false" outlineLevel="0" collapsed="false">
      <c r="A8" s="4" t="s">
        <v>274</v>
      </c>
      <c r="B8" s="5" t="n">
        <f aca="false">'Income Statement'!B16</f>
        <v>6.06238759980552</v>
      </c>
      <c r="C8" s="5" t="n">
        <f aca="false">'Income Statement'!C16</f>
        <v>5.32499780325353</v>
      </c>
      <c r="D8" s="5" t="n">
        <f aca="false">'Income Statement'!D16</f>
        <v>11.8884096727141</v>
      </c>
      <c r="E8" s="5" t="n">
        <f aca="false">'Income Statement'!E16</f>
        <v>14.7216919024527</v>
      </c>
      <c r="F8" s="5" t="n">
        <f aca="false">'Income Statement'!F16</f>
        <v>17.5426044934724</v>
      </c>
      <c r="G8" s="5" t="n">
        <f aca="false">'Income Statement'!G16</f>
        <v>20.0978398458974</v>
      </c>
      <c r="H8" s="5" t="n">
        <f aca="false">'Income Statement'!H16</f>
        <v>22.6755427032167</v>
      </c>
      <c r="I8" s="5" t="n">
        <f aca="false">'Income Statement'!I16</f>
        <v>25.1307948713233</v>
      </c>
    </row>
    <row r="9" customFormat="false" ht="15" hidden="false" customHeight="false" outlineLevel="0" collapsed="false">
      <c r="A9" s="4" t="s">
        <v>260</v>
      </c>
      <c r="B9" s="6" t="str">
        <f aca="false">'Cash Flow'!B5</f>
        <v>n/d</v>
      </c>
      <c r="C9" s="6" t="n">
        <f aca="false">'Cash Flow'!C5</f>
        <v>21.52</v>
      </c>
      <c r="D9" s="6" t="n">
        <f aca="false">'Cash Flow'!D5</f>
        <v>37.624</v>
      </c>
      <c r="E9" s="6" t="n">
        <f aca="false">'Cash Flow'!E5</f>
        <v>29.7143498888</v>
      </c>
      <c r="F9" s="6" t="n">
        <f aca="false">'Cash Flow'!F5</f>
        <v>34.96600643008</v>
      </c>
      <c r="G9" s="6" t="n">
        <f aca="false">'Cash Flow'!G5</f>
        <v>39.76796104424</v>
      </c>
      <c r="H9" s="6" t="n">
        <f aca="false">'Cash Flow'!H5</f>
        <v>44.5500886933867</v>
      </c>
      <c r="I9" s="6" t="n">
        <f aca="false">'Cash Flow'!I5</f>
        <v>49.1631151876038</v>
      </c>
    </row>
    <row r="10" customFormat="false" ht="15" hidden="false" customHeight="false" outlineLevel="0" collapsed="false">
      <c r="A10" s="4" t="s">
        <v>275</v>
      </c>
      <c r="B10" s="6" t="str">
        <f aca="false">'Cash Flow'!B11</f>
        <v>n/d</v>
      </c>
      <c r="C10" s="6" t="n">
        <f aca="false">'Cash Flow'!C11</f>
        <v>-1.6</v>
      </c>
      <c r="D10" s="6" t="n">
        <f aca="false">'Cash Flow'!D11</f>
        <v>21.1</v>
      </c>
      <c r="E10" s="6" t="n">
        <f aca="false">'Cash Flow'!E11</f>
        <v>18.532513636</v>
      </c>
      <c r="F10" s="6" t="n">
        <f aca="false">'Cash Flow'!F11</f>
        <v>20.6402867776</v>
      </c>
      <c r="G10" s="6" t="n">
        <f aca="false">'Cash Flow'!G11</f>
        <v>22.686573602</v>
      </c>
      <c r="H10" s="6" t="n">
        <f aca="false">'Cash Flow'!H11</f>
        <v>25.2711358320714</v>
      </c>
      <c r="I10" s="6" t="n">
        <f aca="false">'Cash Flow'!I11</f>
        <v>27.9021866199543</v>
      </c>
    </row>
    <row r="11" customFormat="false" ht="15" hidden="false" customHeight="false" outlineLevel="0" collapsed="false">
      <c r="A11" s="4" t="s">
        <v>254</v>
      </c>
      <c r="B11" s="6" t="n">
        <f aca="false">'Balance Sheet'!B18</f>
        <v>39.257</v>
      </c>
      <c r="C11" s="6" t="n">
        <f aca="false">'Balance Sheet'!C18</f>
        <v>73.911</v>
      </c>
      <c r="D11" s="6" t="n">
        <f aca="false">'Balance Sheet'!D18</f>
        <v>66.074</v>
      </c>
      <c r="E11" s="6" t="n">
        <f aca="false">'Balance Sheet'!E18</f>
        <v>65.455626364</v>
      </c>
      <c r="F11" s="6" t="n">
        <f aca="false">'Balance Sheet'!F18</f>
        <v>61.7537215864</v>
      </c>
      <c r="G11" s="6" t="n">
        <f aca="false">'Balance Sheet'!G18</f>
        <v>55.7004789844</v>
      </c>
      <c r="H11" s="6" t="n">
        <f aca="false">'Balance Sheet'!H18</f>
        <v>47.2576231523286</v>
      </c>
      <c r="I11" s="6" t="n">
        <f aca="false">'Balance Sheet'!I18</f>
        <v>36.3786655323743</v>
      </c>
    </row>
    <row r="12" customFormat="false" ht="15" hidden="false" customHeight="false" outlineLevel="0" collapsed="false">
      <c r="A12" s="4" t="s">
        <v>250</v>
      </c>
      <c r="B12" s="6" t="n">
        <f aca="false">'Balance Sheet'!B15</f>
        <v>37.5</v>
      </c>
      <c r="C12" s="6" t="n">
        <f aca="false">'Balance Sheet'!C15</f>
        <v>45.938</v>
      </c>
      <c r="D12" s="6" t="n">
        <f aca="false">'Balance Sheet'!D15</f>
        <v>63.688</v>
      </c>
      <c r="E12" s="6" t="n">
        <f aca="false">'Balance Sheet'!E15</f>
        <v>88.1971473288</v>
      </c>
      <c r="F12" s="6" t="n">
        <f aca="false">'Balance Sheet'!F15</f>
        <v>117.03260294288</v>
      </c>
      <c r="G12" s="6" t="n">
        <f aca="false">'Balance Sheet'!G15</f>
        <v>149.51973801592</v>
      </c>
      <c r="H12" s="6" t="n">
        <f aca="false">'Balance Sheet'!H15</f>
        <v>185.701167663009</v>
      </c>
      <c r="I12" s="6" t="n">
        <f aca="false">'Balance Sheet'!I15</f>
        <v>225.344634219665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2"/>
  </cols>
  <sheetData>
    <row r="1" customFormat="false" ht="15" hidden="false" customHeight="false" outlineLevel="0" collapsed="false">
      <c r="A1" s="1" t="s">
        <v>276</v>
      </c>
    </row>
    <row r="2" customFormat="false" ht="15" hidden="false" customHeight="false" outlineLevel="0" collapsed="false">
      <c r="A2" s="13" t="s">
        <v>277</v>
      </c>
    </row>
    <row r="4" customFormat="false" ht="15" hidden="false" customHeight="false" outlineLevel="0" collapsed="false">
      <c r="A4" s="4" t="s">
        <v>278</v>
      </c>
      <c r="B4" s="5" t="n">
        <v>92.61</v>
      </c>
    </row>
    <row r="5" customFormat="false" ht="15" hidden="false" customHeight="false" outlineLevel="0" collapsed="false">
      <c r="A5" s="4" t="s">
        <v>111</v>
      </c>
      <c r="B5" s="5" t="n">
        <v>38.3</v>
      </c>
    </row>
    <row r="6" customFormat="false" ht="15" hidden="false" customHeight="false" outlineLevel="0" collapsed="false">
      <c r="A6" s="4" t="s">
        <v>279</v>
      </c>
      <c r="B6" s="5" t="n">
        <v>9.7</v>
      </c>
    </row>
    <row r="7" customFormat="false" ht="15" hidden="false" customHeight="false" outlineLevel="0" collapsed="false">
      <c r="A7" s="4" t="s">
        <v>280</v>
      </c>
      <c r="B7" s="5" t="n">
        <v>2.3</v>
      </c>
    </row>
    <row r="8" customFormat="false" ht="15" hidden="false" customHeight="false" outlineLevel="0" collapsed="false">
      <c r="A8" s="4" t="s">
        <v>281</v>
      </c>
      <c r="B8" s="5" t="n">
        <v>2.2</v>
      </c>
    </row>
    <row r="10" customFormat="false" ht="15" hidden="false" customHeight="false" outlineLevel="0" collapsed="false">
      <c r="A10" s="11" t="s">
        <v>282</v>
      </c>
    </row>
    <row r="11" customFormat="false" ht="15" hidden="false" customHeight="false" outlineLevel="0" collapsed="false">
      <c r="A11" s="9" t="s">
        <v>283</v>
      </c>
      <c r="B11" s="9" t="s">
        <v>284</v>
      </c>
      <c r="C11" s="9" t="s">
        <v>285</v>
      </c>
      <c r="D11" s="9" t="s">
        <v>286</v>
      </c>
      <c r="E11" s="9" t="s">
        <v>287</v>
      </c>
      <c r="F11" s="9" t="s">
        <v>288</v>
      </c>
    </row>
    <row r="12" customFormat="false" ht="15" hidden="false" customHeight="false" outlineLevel="0" collapsed="false">
      <c r="A12" s="4" t="s">
        <v>289</v>
      </c>
      <c r="B12" s="5" t="n">
        <v>80.7</v>
      </c>
      <c r="C12" s="5" t="n">
        <v>90.5</v>
      </c>
      <c r="D12" s="5" t="n">
        <v>96.9</v>
      </c>
      <c r="E12" s="5" t="n">
        <v>103.7</v>
      </c>
      <c r="F12" s="5" t="n">
        <v>116.5</v>
      </c>
    </row>
    <row r="13" customFormat="false" ht="15" hidden="false" customHeight="false" outlineLevel="0" collapsed="false">
      <c r="A13" s="4" t="s">
        <v>290</v>
      </c>
      <c r="B13" s="5" t="n">
        <v>77.5</v>
      </c>
      <c r="C13" s="5" t="n">
        <v>94.3</v>
      </c>
      <c r="D13" s="5" t="n">
        <v>106.3</v>
      </c>
      <c r="E13" s="5" t="n">
        <v>119.4</v>
      </c>
      <c r="F13" s="5" t="n">
        <v>145.3</v>
      </c>
    </row>
    <row r="15" customFormat="false" ht="15" hidden="false" customHeight="false" outlineLevel="0" collapsed="false">
      <c r="A15" s="11" t="s">
        <v>291</v>
      </c>
    </row>
    <row r="16" customFormat="false" ht="15" hidden="false" customHeight="false" outlineLevel="0" collapsed="false">
      <c r="A16" s="9" t="s">
        <v>292</v>
      </c>
      <c r="B16" s="9" t="s">
        <v>293</v>
      </c>
      <c r="C16" s="9" t="s">
        <v>294</v>
      </c>
    </row>
    <row r="17" customFormat="false" ht="15" hidden="false" customHeight="false" outlineLevel="0" collapsed="false">
      <c r="A17" s="24" t="n">
        <v>120</v>
      </c>
      <c r="B17" s="25" t="n">
        <v>0.05</v>
      </c>
      <c r="C17" s="25" t="n">
        <v>0.33</v>
      </c>
    </row>
    <row r="18" customFormat="false" ht="15" hidden="false" customHeight="false" outlineLevel="0" collapsed="false">
      <c r="A18" s="24" t="n">
        <v>113</v>
      </c>
      <c r="B18" s="25" t="n">
        <v>0.11</v>
      </c>
      <c r="C18" s="25" t="n">
        <v>0.49</v>
      </c>
    </row>
    <row r="19" customFormat="false" ht="15" hidden="false" customHeight="false" outlineLevel="0" collapsed="false">
      <c r="A19" s="24" t="n">
        <v>105</v>
      </c>
      <c r="B19" s="25" t="n">
        <v>0.3</v>
      </c>
      <c r="C19" s="25" t="n">
        <v>0.7</v>
      </c>
    </row>
    <row r="20" customFormat="false" ht="15" hidden="false" customHeight="false" outlineLevel="0" collapsed="false">
      <c r="A20" s="24" t="n">
        <v>100</v>
      </c>
      <c r="B20" s="25" t="n">
        <v>0.53</v>
      </c>
      <c r="C20" s="25" t="n">
        <v>0.83</v>
      </c>
    </row>
    <row r="21" customFormat="false" ht="15" hidden="false" customHeight="false" outlineLevel="0" collapsed="false">
      <c r="A21" s="24" t="n">
        <v>95</v>
      </c>
      <c r="B21" s="25" t="n">
        <v>0.81</v>
      </c>
      <c r="C21" s="25" t="n">
        <v>0.94</v>
      </c>
    </row>
    <row r="22" customFormat="false" ht="15" hidden="false" customHeight="false" outlineLevel="0" collapsed="false">
      <c r="A22" s="24" t="n">
        <v>90</v>
      </c>
      <c r="B22" s="25" t="n">
        <v>0.53</v>
      </c>
      <c r="C22" s="25" t="n">
        <v>0.62</v>
      </c>
    </row>
    <row r="23" customFormat="false" ht="15" hidden="false" customHeight="false" outlineLevel="0" collapsed="false">
      <c r="A23" s="24" t="n">
        <v>85</v>
      </c>
      <c r="B23" s="25" t="n">
        <v>0.22</v>
      </c>
      <c r="C23" s="25" t="n">
        <v>0.34</v>
      </c>
    </row>
    <row r="24" customFormat="false" ht="15" hidden="false" customHeight="false" outlineLevel="0" collapsed="false">
      <c r="A24" s="24" t="n">
        <v>80</v>
      </c>
      <c r="B24" s="25" t="n">
        <v>0.08</v>
      </c>
      <c r="C24" s="25" t="n">
        <v>0.18</v>
      </c>
    </row>
    <row r="25" customFormat="false" ht="15" hidden="false" customHeight="false" outlineLevel="0" collapsed="false">
      <c r="A25" s="24" t="n">
        <v>75</v>
      </c>
      <c r="B25" s="25" t="n">
        <v>0.03</v>
      </c>
      <c r="C25" s="25" t="n">
        <v>0.1</v>
      </c>
    </row>
    <row r="27" customFormat="false" ht="15" hidden="false" customHeight="false" outlineLevel="0" collapsed="false">
      <c r="A27" s="11" t="s">
        <v>295</v>
      </c>
    </row>
    <row r="28" customFormat="false" ht="15" hidden="false" customHeight="false" outlineLevel="0" collapsed="false">
      <c r="A28" s="9" t="s">
        <v>296</v>
      </c>
      <c r="B28" s="9" t="s">
        <v>297</v>
      </c>
      <c r="C28" s="9" t="s">
        <v>298</v>
      </c>
    </row>
    <row r="29" customFormat="false" ht="15" hidden="false" customHeight="false" outlineLevel="0" collapsed="false">
      <c r="A29" s="4" t="s">
        <v>299</v>
      </c>
      <c r="B29" s="4" t="s">
        <v>300</v>
      </c>
      <c r="C29" s="25" t="n">
        <v>0.04</v>
      </c>
    </row>
    <row r="30" customFormat="false" ht="15" hidden="false" customHeight="false" outlineLevel="0" collapsed="false">
      <c r="A30" s="4" t="s">
        <v>301</v>
      </c>
      <c r="B30" s="4" t="s">
        <v>302</v>
      </c>
      <c r="C30" s="25" t="n">
        <v>0.1</v>
      </c>
    </row>
    <row r="31" customFormat="false" ht="15" hidden="false" customHeight="false" outlineLevel="0" collapsed="false">
      <c r="A31" s="4" t="s">
        <v>303</v>
      </c>
      <c r="B31" s="4" t="s">
        <v>304</v>
      </c>
      <c r="C31" s="25" t="n">
        <v>0.23</v>
      </c>
    </row>
    <row r="32" customFormat="false" ht="15" hidden="false" customHeight="false" outlineLevel="0" collapsed="false">
      <c r="A32" s="4" t="s">
        <v>305</v>
      </c>
      <c r="B32" s="4" t="s">
        <v>306</v>
      </c>
      <c r="C32" s="25" t="n">
        <v>0.31</v>
      </c>
    </row>
    <row r="33" customFormat="false" ht="15" hidden="false" customHeight="false" outlineLevel="0" collapsed="false">
      <c r="A33" s="4" t="s">
        <v>307</v>
      </c>
      <c r="B33" s="4" t="s">
        <v>308</v>
      </c>
      <c r="C33" s="25" t="n">
        <v>0.32</v>
      </c>
    </row>
    <row r="35" customFormat="false" ht="15" hidden="false" customHeight="false" outlineLevel="0" collapsed="false">
      <c r="A35" s="11" t="s">
        <v>309</v>
      </c>
    </row>
    <row r="36" customFormat="false" ht="15" hidden="false" customHeight="false" outlineLevel="0" collapsed="false">
      <c r="A36" s="9" t="s">
        <v>310</v>
      </c>
      <c r="B36" s="9" t="s">
        <v>311</v>
      </c>
      <c r="C36" s="9"/>
      <c r="D36" s="9" t="s">
        <v>312</v>
      </c>
      <c r="E36" s="9" t="s">
        <v>313</v>
      </c>
      <c r="F36" s="9" t="s">
        <v>314</v>
      </c>
      <c r="G36" s="9" t="s">
        <v>315</v>
      </c>
    </row>
    <row r="37" customFormat="false" ht="15" hidden="false" customHeight="false" outlineLevel="0" collapsed="false">
      <c r="A37" s="4" t="s">
        <v>316</v>
      </c>
      <c r="B37" s="18" t="n">
        <v>0.012</v>
      </c>
      <c r="D37" s="4" t="s">
        <v>317</v>
      </c>
      <c r="E37" s="26" t="n">
        <v>0.85</v>
      </c>
      <c r="F37" s="18" t="n">
        <v>0.005</v>
      </c>
      <c r="G37" s="18" t="n">
        <v>0.04</v>
      </c>
    </row>
    <row r="38" customFormat="false" ht="15" hidden="false" customHeight="false" outlineLevel="0" collapsed="false">
      <c r="A38" s="4" t="s">
        <v>318</v>
      </c>
      <c r="B38" s="18" t="n">
        <v>-0.008</v>
      </c>
      <c r="D38" s="4" t="s">
        <v>319</v>
      </c>
      <c r="E38" s="26" t="n">
        <v>0.45</v>
      </c>
      <c r="F38" s="18" t="n">
        <v>0.02</v>
      </c>
      <c r="G38" s="18" t="n">
        <v>0.03</v>
      </c>
    </row>
    <row r="39" customFormat="false" ht="15" hidden="false" customHeight="false" outlineLevel="0" collapsed="false">
      <c r="A39" s="4" t="s">
        <v>320</v>
      </c>
      <c r="B39" s="18" t="n">
        <v>0.01</v>
      </c>
      <c r="D39" s="4" t="s">
        <v>321</v>
      </c>
      <c r="E39" s="26" t="n">
        <v>0.25</v>
      </c>
      <c r="F39" s="18" t="n">
        <v>-0.04</v>
      </c>
      <c r="G39" s="18" t="n">
        <v>0.04</v>
      </c>
    </row>
    <row r="40" customFormat="false" ht="15" hidden="false" customHeight="false" outlineLevel="0" collapsed="false">
      <c r="A40" s="4" t="s">
        <v>322</v>
      </c>
      <c r="B40" s="18" t="n">
        <v>0.008</v>
      </c>
      <c r="D40" s="4" t="s">
        <v>323</v>
      </c>
      <c r="E40" s="26" t="n">
        <v>0.15</v>
      </c>
      <c r="F40" s="18" t="n">
        <v>0.06</v>
      </c>
      <c r="G40" s="18" t="n">
        <v>0.05</v>
      </c>
    </row>
    <row r="41" customFormat="false" ht="15" hidden="false" customHeight="false" outlineLevel="0" collapsed="false">
      <c r="A41" s="4" t="s">
        <v>324</v>
      </c>
      <c r="B41" s="18" t="n">
        <v>0.006</v>
      </c>
      <c r="D41" s="4" t="s">
        <v>325</v>
      </c>
      <c r="E41" s="26" t="n">
        <v>0.2</v>
      </c>
      <c r="F41" s="18" t="n">
        <v>0.01</v>
      </c>
      <c r="G41" s="18" t="n">
        <v>0.06</v>
      </c>
    </row>
    <row r="42" customFormat="false" ht="15" hidden="false" customHeight="false" outlineLevel="0" collapsed="false">
      <c r="A42" s="4" t="s">
        <v>326</v>
      </c>
      <c r="B42" s="18" t="n">
        <v>0.005</v>
      </c>
      <c r="D42" s="4" t="s">
        <v>327</v>
      </c>
      <c r="E42" s="26" t="n">
        <v>0.15</v>
      </c>
      <c r="F42" s="18" t="n">
        <v>0.015</v>
      </c>
      <c r="G42" s="18" t="n">
        <v>0.03</v>
      </c>
    </row>
    <row r="43" customFormat="false" ht="15" hidden="false" customHeight="false" outlineLevel="0" collapsed="false">
      <c r="A43" s="4" t="s">
        <v>328</v>
      </c>
      <c r="B43" s="18" t="n">
        <v>-0.01</v>
      </c>
      <c r="D43" s="4" t="s">
        <v>329</v>
      </c>
      <c r="E43" s="26" t="n">
        <v>0.25</v>
      </c>
      <c r="F43" s="18" t="n">
        <v>-0.025</v>
      </c>
      <c r="G43" s="18" t="n">
        <v>0.04</v>
      </c>
    </row>
    <row r="44" customFormat="false" ht="15" hidden="false" customHeight="false" outlineLevel="0" collapsed="false">
      <c r="D44" s="4" t="s">
        <v>330</v>
      </c>
      <c r="E44" s="26" t="n">
        <v>0.45</v>
      </c>
      <c r="F44" s="18" t="n">
        <v>0.02</v>
      </c>
      <c r="G44" s="18" t="n">
        <v>0.03</v>
      </c>
    </row>
    <row r="45" customFormat="false" ht="15" hidden="false" customHeight="false" outlineLevel="0" collapsed="false">
      <c r="D45" s="4" t="s">
        <v>331</v>
      </c>
      <c r="E45" s="26" t="n">
        <v>0.25</v>
      </c>
      <c r="F45" s="18" t="n">
        <v>0.012</v>
      </c>
      <c r="G45" s="18" t="n">
        <v>0.03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2" style="0" width="10"/>
  </cols>
  <sheetData>
    <row r="1" customFormat="false" ht="15" hidden="false" customHeight="false" outlineLevel="0" collapsed="false">
      <c r="A1" s="1" t="s">
        <v>332</v>
      </c>
    </row>
    <row r="3" customFormat="false" ht="15" hidden="false" customHeight="false" outlineLevel="0" collapsed="false">
      <c r="A3" s="9" t="s">
        <v>333</v>
      </c>
      <c r="B3" s="19" t="n">
        <v>6.5</v>
      </c>
      <c r="C3" s="19" t="n">
        <v>7</v>
      </c>
      <c r="D3" s="19" t="n">
        <v>7.5</v>
      </c>
      <c r="E3" s="19" t="n">
        <v>8</v>
      </c>
      <c r="F3" s="19" t="n">
        <v>8.5</v>
      </c>
      <c r="G3" s="19" t="n">
        <v>9</v>
      </c>
      <c r="H3" s="19" t="n">
        <v>9.5</v>
      </c>
    </row>
    <row r="4" customFormat="false" ht="15" hidden="false" customHeight="false" outlineLevel="0" collapsed="false">
      <c r="A4" s="18" t="n">
        <v>0.05</v>
      </c>
      <c r="B4" s="24" t="n">
        <f aca="false">(Assumptions!$B$17*Assumptions!$B$18+Assumptions!$B$19/Assumptions!$B$20*B$3*Assumptions!$B$20+Assumptions!$B$22-Assumptions!$B$9)*(1-$A4)*1000/Assumptions!$B$6</f>
        <v>119.732934208908</v>
      </c>
      <c r="C4" s="24" t="n">
        <f aca="false">(Assumptions!$B$17*Assumptions!$B$18+Assumptions!$B$19/Assumptions!$B$20*C$3*Assumptions!$B$20+Assumptions!$B$22-Assumptions!$B$9)*(1-$A4)*1000/Assumptions!$B$6</f>
        <v>123.851101595131</v>
      </c>
      <c r="D4" s="24" t="n">
        <f aca="false">(Assumptions!$B$17*Assumptions!$B$18+Assumptions!$B$19/Assumptions!$B$20*D$3*Assumptions!$B$20+Assumptions!$B$22-Assumptions!$B$9)*(1-$A4)*1000/Assumptions!$B$6</f>
        <v>127.969268981354</v>
      </c>
      <c r="E4" s="24" t="n">
        <f aca="false">(Assumptions!$B$17*Assumptions!$B$18+Assumptions!$B$19/Assumptions!$B$20*E$3*Assumptions!$B$20+Assumptions!$B$22-Assumptions!$B$9)*(1-$A4)*1000/Assumptions!$B$6</f>
        <v>132.087436367577</v>
      </c>
      <c r="F4" s="24" t="n">
        <f aca="false">(Assumptions!$B$17*Assumptions!$B$18+Assumptions!$B$19/Assumptions!$B$20*F$3*Assumptions!$B$20+Assumptions!$B$22-Assumptions!$B$9)*(1-$A4)*1000/Assumptions!$B$6</f>
        <v>136.2056037538</v>
      </c>
      <c r="G4" s="24" t="n">
        <f aca="false">(Assumptions!$B$17*Assumptions!$B$18+Assumptions!$B$19/Assumptions!$B$20*G$3*Assumptions!$B$20+Assumptions!$B$22-Assumptions!$B$9)*(1-$A4)*1000/Assumptions!$B$6</f>
        <v>140.323771140024</v>
      </c>
      <c r="H4" s="24" t="n">
        <f aca="false">(Assumptions!$B$17*Assumptions!$B$18+Assumptions!$B$19/Assumptions!$B$20*H$3*Assumptions!$B$20+Assumptions!$B$22-Assumptions!$B$9)*(1-$A4)*1000/Assumptions!$B$6</f>
        <v>144.441938526247</v>
      </c>
    </row>
    <row r="5" customFormat="false" ht="15" hidden="false" customHeight="false" outlineLevel="0" collapsed="false">
      <c r="A5" s="18" t="n">
        <v>0.1</v>
      </c>
      <c r="B5" s="24" t="n">
        <f aca="false">(Assumptions!$B$17*Assumptions!$B$18+Assumptions!$B$19/Assumptions!$B$20*B$3*Assumptions!$B$20+Assumptions!$B$22-Assumptions!$B$9)*(1-$A5)*1000/Assumptions!$B$6</f>
        <v>113.431200829492</v>
      </c>
      <c r="C5" s="24" t="n">
        <f aca="false">(Assumptions!$B$17*Assumptions!$B$18+Assumptions!$B$19/Assumptions!$B$20*C$3*Assumptions!$B$20+Assumptions!$B$22-Assumptions!$B$9)*(1-$A5)*1000/Assumptions!$B$6</f>
        <v>117.332622563808</v>
      </c>
      <c r="D5" s="24" t="n">
        <f aca="false">(Assumptions!$B$17*Assumptions!$B$18+Assumptions!$B$19/Assumptions!$B$20*D$3*Assumptions!$B$20+Assumptions!$B$22-Assumptions!$B$9)*(1-$A5)*1000/Assumptions!$B$6</f>
        <v>121.234044298125</v>
      </c>
      <c r="E5" s="24" t="n">
        <f aca="false">(Assumptions!$B$17*Assumptions!$B$18+Assumptions!$B$19/Assumptions!$B$20*E$3*Assumptions!$B$20+Assumptions!$B$22-Assumptions!$B$9)*(1-$A5)*1000/Assumptions!$B$6</f>
        <v>125.135466032442</v>
      </c>
      <c r="F5" s="24" t="n">
        <f aca="false">(Assumptions!$B$17*Assumptions!$B$18+Assumptions!$B$19/Assumptions!$B$20*F$3*Assumptions!$B$20+Assumptions!$B$22-Assumptions!$B$9)*(1-$A5)*1000/Assumptions!$B$6</f>
        <v>129.036887766758</v>
      </c>
      <c r="G5" s="24" t="n">
        <f aca="false">(Assumptions!$B$17*Assumptions!$B$18+Assumptions!$B$19/Assumptions!$B$20*G$3*Assumptions!$B$20+Assumptions!$B$22-Assumptions!$B$9)*(1-$A5)*1000/Assumptions!$B$6</f>
        <v>132.938309501075</v>
      </c>
      <c r="H5" s="24" t="n">
        <f aca="false">(Assumptions!$B$17*Assumptions!$B$18+Assumptions!$B$19/Assumptions!$B$20*H$3*Assumptions!$B$20+Assumptions!$B$22-Assumptions!$B$9)*(1-$A5)*1000/Assumptions!$B$6</f>
        <v>136.839731235392</v>
      </c>
    </row>
    <row r="6" customFormat="false" ht="15" hidden="false" customHeight="false" outlineLevel="0" collapsed="false">
      <c r="A6" s="18" t="n">
        <v>0.15</v>
      </c>
      <c r="B6" s="24" t="n">
        <f aca="false">(Assumptions!$B$17*Assumptions!$B$18+Assumptions!$B$19/Assumptions!$B$20*B$3*Assumptions!$B$20+Assumptions!$B$22-Assumptions!$B$9)*(1-$A6)*1000/Assumptions!$B$6</f>
        <v>107.129467450075</v>
      </c>
      <c r="C6" s="24" t="n">
        <f aca="false">(Assumptions!$B$17*Assumptions!$B$18+Assumptions!$B$19/Assumptions!$B$20*C$3*Assumptions!$B$20+Assumptions!$B$22-Assumptions!$B$9)*(1-$A6)*1000/Assumptions!$B$6</f>
        <v>110.814143532486</v>
      </c>
      <c r="D6" s="24" t="n">
        <f aca="false">(Assumptions!$B$17*Assumptions!$B$18+Assumptions!$B$19/Assumptions!$B$20*D$3*Assumptions!$B$20+Assumptions!$B$22-Assumptions!$B$9)*(1-$A6)*1000/Assumptions!$B$6</f>
        <v>114.498819614896</v>
      </c>
      <c r="E6" s="24" t="n">
        <f aca="false">(Assumptions!$B$17*Assumptions!$B$18+Assumptions!$B$19/Assumptions!$B$20*E$3*Assumptions!$B$20+Assumptions!$B$22-Assumptions!$B$9)*(1-$A6)*1000/Assumptions!$B$6</f>
        <v>118.183495697306</v>
      </c>
      <c r="F6" s="24" t="n">
        <f aca="false">(Assumptions!$B$17*Assumptions!$B$18+Assumptions!$B$19/Assumptions!$B$20*F$3*Assumptions!$B$20+Assumptions!$B$22-Assumptions!$B$9)*(1-$A6)*1000/Assumptions!$B$6</f>
        <v>121.868171779716</v>
      </c>
      <c r="G6" s="24" t="n">
        <f aca="false">(Assumptions!$B$17*Assumptions!$B$18+Assumptions!$B$19/Assumptions!$B$20*G$3*Assumptions!$B$20+Assumptions!$B$22-Assumptions!$B$9)*(1-$A6)*1000/Assumptions!$B$6</f>
        <v>125.552847862126</v>
      </c>
      <c r="H6" s="24" t="n">
        <f aca="false">(Assumptions!$B$17*Assumptions!$B$18+Assumptions!$B$19/Assumptions!$B$20*H$3*Assumptions!$B$20+Assumptions!$B$22-Assumptions!$B$9)*(1-$A6)*1000/Assumptions!$B$6</f>
        <v>129.237523944537</v>
      </c>
    </row>
    <row r="7" customFormat="false" ht="15" hidden="false" customHeight="false" outlineLevel="0" collapsed="false">
      <c r="A7" s="18" t="n">
        <v>0.2</v>
      </c>
      <c r="B7" s="24" t="n">
        <f aca="false">(Assumptions!$B$17*Assumptions!$B$18+Assumptions!$B$19/Assumptions!$B$20*B$3*Assumptions!$B$20+Assumptions!$B$22-Assumptions!$B$9)*(1-$A7)*1000/Assumptions!$B$6</f>
        <v>100.827734070659</v>
      </c>
      <c r="C7" s="24" t="n">
        <f aca="false">(Assumptions!$B$17*Assumptions!$B$18+Assumptions!$B$19/Assumptions!$B$20*C$3*Assumptions!$B$20+Assumptions!$B$22-Assumptions!$B$9)*(1-$A7)*1000/Assumptions!$B$6</f>
        <v>104.295664501163</v>
      </c>
      <c r="D7" s="24" t="n">
        <f aca="false">(Assumptions!$B$17*Assumptions!$B$18+Assumptions!$B$19/Assumptions!$B$20*D$3*Assumptions!$B$20+Assumptions!$B$22-Assumptions!$B$9)*(1-$A7)*1000/Assumptions!$B$6</f>
        <v>107.763594931667</v>
      </c>
      <c r="E7" s="24" t="n">
        <f aca="false">(Assumptions!$B$17*Assumptions!$B$18+Assumptions!$B$19/Assumptions!$B$20*E$3*Assumptions!$B$20+Assumptions!$B$22-Assumptions!$B$9)*(1-$A7)*1000/Assumptions!$B$6</f>
        <v>111.23152536217</v>
      </c>
      <c r="F7" s="24" t="n">
        <f aca="false">(Assumptions!$B$17*Assumptions!$B$18+Assumptions!$B$19/Assumptions!$B$20*F$3*Assumptions!$B$20+Assumptions!$B$22-Assumptions!$B$9)*(1-$A7)*1000/Assumptions!$B$6</f>
        <v>114.699455792674</v>
      </c>
      <c r="G7" s="24" t="n">
        <f aca="false">(Assumptions!$B$17*Assumptions!$B$18+Assumptions!$B$19/Assumptions!$B$20*G$3*Assumptions!$B$20+Assumptions!$B$22-Assumptions!$B$9)*(1-$A7)*1000/Assumptions!$B$6</f>
        <v>118.167386223178</v>
      </c>
      <c r="H7" s="24" t="n">
        <f aca="false">(Assumptions!$B$17*Assumptions!$B$18+Assumptions!$B$19/Assumptions!$B$20*H$3*Assumptions!$B$20+Assumptions!$B$22-Assumptions!$B$9)*(1-$A7)*1000/Assumptions!$B$6</f>
        <v>121.635316653682</v>
      </c>
    </row>
    <row r="8" customFormat="false" ht="15" hidden="false" customHeight="false" outlineLevel="0" collapsed="false">
      <c r="A8" s="18" t="n">
        <v>0.25</v>
      </c>
      <c r="B8" s="24" t="n">
        <f aca="false">(Assumptions!$B$17*Assumptions!$B$18+Assumptions!$B$19/Assumptions!$B$20*B$3*Assumptions!$B$20+Assumptions!$B$22-Assumptions!$B$9)*(1-$A8)*1000/Assumptions!$B$6</f>
        <v>94.5260006912429</v>
      </c>
      <c r="C8" s="24" t="n">
        <f aca="false">(Assumptions!$B$17*Assumptions!$B$18+Assumptions!$B$19/Assumptions!$B$20*C$3*Assumptions!$B$20+Assumptions!$B$22-Assumptions!$B$9)*(1-$A8)*1000/Assumptions!$B$6</f>
        <v>97.7771854698402</v>
      </c>
      <c r="D8" s="24" t="n">
        <f aca="false">(Assumptions!$B$17*Assumptions!$B$18+Assumptions!$B$19/Assumptions!$B$20*D$3*Assumptions!$B$20+Assumptions!$B$22-Assumptions!$B$9)*(1-$A8)*1000/Assumptions!$B$6</f>
        <v>101.028370248437</v>
      </c>
      <c r="E8" s="24" t="n">
        <f aca="false">(Assumptions!$B$17*Assumptions!$B$18+Assumptions!$B$19/Assumptions!$B$20*E$3*Assumptions!$B$20+Assumptions!$B$22-Assumptions!$B$9)*(1-$A8)*1000/Assumptions!$B$6</f>
        <v>104.279555027035</v>
      </c>
      <c r="F8" s="24" t="n">
        <f aca="false">(Assumptions!$B$17*Assumptions!$B$18+Assumptions!$B$19/Assumptions!$B$20*F$3*Assumptions!$B$20+Assumptions!$B$22-Assumptions!$B$9)*(1-$A8)*1000/Assumptions!$B$6</f>
        <v>107.530739805632</v>
      </c>
      <c r="G8" s="24" t="n">
        <f aca="false">(Assumptions!$B$17*Assumptions!$B$18+Assumptions!$B$19/Assumptions!$B$20*G$3*Assumptions!$B$20+Assumptions!$B$22-Assumptions!$B$9)*(1-$A8)*1000/Assumptions!$B$6</f>
        <v>110.781924584229</v>
      </c>
      <c r="H8" s="24" t="n">
        <f aca="false">(Assumptions!$B$17*Assumptions!$B$18+Assumptions!$B$19/Assumptions!$B$20*H$3*Assumptions!$B$20+Assumptions!$B$22-Assumptions!$B$9)*(1-$A8)*1000/Assumptions!$B$6</f>
        <v>114.033109362826</v>
      </c>
    </row>
    <row r="10" customFormat="false" ht="15" hidden="false" customHeight="false" outlineLevel="0" collapsed="false">
      <c r="A10" s="13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9" min="2" style="0" width="11"/>
  </cols>
  <sheetData>
    <row r="1" customFormat="false" ht="15" hidden="false" customHeight="false" outlineLevel="0" collapsed="false">
      <c r="A1" s="1" t="s">
        <v>335</v>
      </c>
    </row>
    <row r="4" customFormat="false" ht="15" hidden="false" customHeight="false" outlineLevel="0" collapsed="false">
      <c r="A4" s="9"/>
      <c r="B4" s="9" t="s">
        <v>212</v>
      </c>
      <c r="C4" s="9" t="s">
        <v>142</v>
      </c>
      <c r="D4" s="9" t="s">
        <v>143</v>
      </c>
      <c r="E4" s="9" t="s">
        <v>86</v>
      </c>
      <c r="F4" s="9" t="s">
        <v>87</v>
      </c>
      <c r="G4" s="9" t="s">
        <v>88</v>
      </c>
      <c r="H4" s="9" t="s">
        <v>89</v>
      </c>
      <c r="I4" s="9" t="s">
        <v>90</v>
      </c>
    </row>
    <row r="5" customFormat="false" ht="15" hidden="false" customHeight="false" outlineLevel="0" collapsed="false">
      <c r="A5" s="4" t="s">
        <v>274</v>
      </c>
      <c r="B5" s="5" t="n">
        <f aca="false">'Income Statement'!B16</f>
        <v>6.06238759980552</v>
      </c>
      <c r="C5" s="5" t="n">
        <f aca="false">'Income Statement'!C16</f>
        <v>5.32499780325353</v>
      </c>
      <c r="D5" s="5" t="n">
        <f aca="false">'Income Statement'!D16</f>
        <v>11.8884096727141</v>
      </c>
      <c r="E5" s="5" t="n">
        <f aca="false">'Income Statement'!E16</f>
        <v>14.7216919024527</v>
      </c>
      <c r="F5" s="5" t="n">
        <f aca="false">'Income Statement'!F16</f>
        <v>17.5426044934724</v>
      </c>
      <c r="G5" s="5" t="n">
        <f aca="false">'Income Statement'!G16</f>
        <v>20.0978398458974</v>
      </c>
      <c r="H5" s="5" t="n">
        <f aca="false">'Income Statement'!H16</f>
        <v>22.6755427032167</v>
      </c>
      <c r="I5" s="5" t="n">
        <f aca="false">'Income Statement'!I16</f>
        <v>25.1307948713233</v>
      </c>
    </row>
    <row r="6" customFormat="false" ht="15" hidden="false" customHeight="false" outlineLevel="0" collapsed="false">
      <c r="A6" s="4" t="s">
        <v>336</v>
      </c>
      <c r="B6" s="4" t="s">
        <v>216</v>
      </c>
      <c r="C6" s="10" t="n">
        <v>1.5</v>
      </c>
      <c r="D6" s="10" t="n">
        <v>1.5</v>
      </c>
      <c r="E6" s="5" t="n">
        <f aca="false">Assumptions!B$32</f>
        <v>2</v>
      </c>
      <c r="F6" s="5" t="n">
        <f aca="false">Assumptions!C$32</f>
        <v>2.6</v>
      </c>
      <c r="G6" s="5" t="n">
        <f aca="false">Assumptions!D$32</f>
        <v>3.3</v>
      </c>
      <c r="H6" s="5" t="n">
        <f aca="false">Assumptions!E$32</f>
        <v>4</v>
      </c>
      <c r="I6" s="5" t="n">
        <f aca="false">Assumptions!F$32</f>
        <v>4.7</v>
      </c>
      <c r="J6" s="7" t="s">
        <v>337</v>
      </c>
    </row>
    <row r="7" customFormat="false" ht="15" hidden="false" customHeight="false" outlineLevel="0" collapsed="false">
      <c r="A7" s="4" t="s">
        <v>338</v>
      </c>
      <c r="B7" s="8" t="str">
        <f aca="false">IFERROR(B6/B5,"")</f>
        <v/>
      </c>
      <c r="C7" s="8" t="n">
        <f aca="false">IFERROR(C6/C5,"")</f>
        <v>0.281690257052034</v>
      </c>
      <c r="D7" s="8" t="n">
        <f aca="false">IFERROR(D6/D5,"")</f>
        <v>0.126173310080553</v>
      </c>
      <c r="E7" s="8" t="n">
        <f aca="false">IFERROR(E6/E5,"")</f>
        <v>0.135853950296758</v>
      </c>
      <c r="F7" s="8" t="n">
        <f aca="false">IFERROR(F6/F5,"")</f>
        <v>0.148210603560461</v>
      </c>
      <c r="G7" s="8" t="n">
        <f aca="false">IFERROR(G6/G5,"")</f>
        <v>0.164196750760438</v>
      </c>
      <c r="H7" s="8" t="n">
        <f aca="false">IFERROR(H6/H5,"")</f>
        <v>0.176401511194374</v>
      </c>
      <c r="I7" s="8" t="n">
        <f aca="false">IFERROR(I6/I5,"")</f>
        <v>0.187021541660951</v>
      </c>
    </row>
    <row r="8" customFormat="false" ht="15" hidden="false" customHeight="false" outlineLevel="0" collapsed="false">
      <c r="A8" s="4" t="s">
        <v>339</v>
      </c>
      <c r="B8" s="5" t="n">
        <f aca="false">'Balance Sheet'!B15*1000/Assumptions!$B$6</f>
        <v>21.9674647202517</v>
      </c>
      <c r="C8" s="5" t="n">
        <f aca="false">'Balance Sheet'!C15*1000/Assumptions!$B$6</f>
        <v>26.9104371818379</v>
      </c>
      <c r="D8" s="5" t="n">
        <f aca="false">'Balance Sheet'!D15*1000/Assumptions!$B$6</f>
        <v>37.308370482757</v>
      </c>
      <c r="E8" s="5" t="n">
        <f aca="false">'Balance Sheet'!E15*1000/Assumptions!$B$6</f>
        <v>51.6658059299267</v>
      </c>
      <c r="F8" s="5" t="n">
        <f aca="false">'Balance Sheet'!F15*1000/Assumptions!$B$6</f>
        <v>68.5575887004517</v>
      </c>
      <c r="G8" s="5" t="n">
        <f aca="false">'Balance Sheet'!G15*1000/Assumptions!$B$6</f>
        <v>87.5885218625599</v>
      </c>
      <c r="H8" s="5" t="n">
        <f aca="false">'Balance Sheet'!H15*1000/Assumptions!$B$6</f>
        <v>108.783569310578</v>
      </c>
      <c r="I8" s="5" t="n">
        <f aca="false">'Balance Sheet'!I15*1000/Assumptions!$B$6</f>
        <v>132.00667472316</v>
      </c>
    </row>
    <row r="9" customFormat="false" ht="15" hidden="false" customHeight="false" outlineLevel="0" collapsed="false">
      <c r="A9" s="4" t="s">
        <v>340</v>
      </c>
      <c r="B9" s="21" t="n">
        <f aca="false">Assumptions!$B$5/'Income Statement'!B16</f>
        <v>15.2761595122969</v>
      </c>
      <c r="C9" s="21" t="n">
        <f aca="false">Assumptions!$B$5/'Income Statement'!C16</f>
        <v>17.3915564703926</v>
      </c>
      <c r="D9" s="21" t="n">
        <f aca="false">Assumptions!$B$5/'Income Statement'!D16</f>
        <v>7.78994016437336</v>
      </c>
      <c r="E9" s="21" t="n">
        <f aca="false">Assumptions!$B$5/'Income Statement'!E16</f>
        <v>6.29071716849138</v>
      </c>
      <c r="F9" s="21" t="n">
        <f aca="false">Assumptions!$B$5/'Income Statement'!F16</f>
        <v>5.27914769066702</v>
      </c>
      <c r="G9" s="21" t="n">
        <f aca="false">Assumptions!$B$5/'Income Statement'!G16</f>
        <v>4.60795790543155</v>
      </c>
      <c r="H9" s="21" t="n">
        <f aca="false">Assumptions!$B$5/'Income Statement'!H16</f>
        <v>4.08413598792775</v>
      </c>
      <c r="I9" s="21" t="n">
        <f aca="false">Assumptions!$B$5/'Income Statement'!I16</f>
        <v>3.68512020706822</v>
      </c>
    </row>
    <row r="10" customFormat="false" ht="15" hidden="false" customHeight="false" outlineLevel="0" collapsed="false">
      <c r="A10" s="4" t="s">
        <v>341</v>
      </c>
      <c r="B10" s="21" t="n">
        <f aca="false">(Assumptions!$B$5*Assumptions!$B$6/1000+'Balance Sheet'!B18)/'Income Statement'!B7</f>
        <v>8.77105567555556</v>
      </c>
      <c r="C10" s="21" t="n">
        <f aca="false">(Assumptions!$B$5*Assumptions!$B$6/1000+'Balance Sheet'!C18)/'Income Statement'!C7</f>
        <v>7.11163144713852</v>
      </c>
      <c r="D10" s="21" t="n">
        <f aca="false">(Assumptions!$B$5*Assumptions!$B$6/1000+'Balance Sheet'!D18)/'Income Statement'!D7</f>
        <v>4.71977582271818</v>
      </c>
      <c r="E10" s="21" t="n">
        <f aca="false">(Assumptions!$B$5*Assumptions!$B$6/1000+'Balance Sheet'!E18)/'Income Statement'!E7</f>
        <v>4.25250050844181</v>
      </c>
      <c r="F10" s="21" t="n">
        <f aca="false">(Assumptions!$B$5*Assumptions!$B$6/1000+'Balance Sheet'!F18)/'Income Statement'!F7</f>
        <v>3.84559067356764</v>
      </c>
      <c r="G10" s="21" t="n">
        <f aca="false">(Assumptions!$B$5*Assumptions!$B$6/1000+'Balance Sheet'!G18)/'Income Statement'!G7</f>
        <v>3.47081727447519</v>
      </c>
      <c r="H10" s="21" t="n">
        <f aca="false">(Assumptions!$B$5*Assumptions!$B$6/1000+'Balance Sheet'!H18)/'Income Statement'!H7</f>
        <v>3.08680689223359</v>
      </c>
      <c r="I10" s="21" t="n">
        <f aca="false">(Assumptions!$B$5*Assumptions!$B$6/1000+'Balance Sheet'!I18)/'Income Statement'!I7</f>
        <v>2.73203239461378</v>
      </c>
    </row>
    <row r="11" customFormat="false" ht="15" hidden="false" customHeight="false" outlineLevel="0" collapsed="false">
      <c r="A11" s="4" t="s">
        <v>342</v>
      </c>
      <c r="B11" s="8" t="str">
        <f aca="false">IFERROR('Cash Flow'!B11/(Assumptions!$B$5*Assumptions!$B$6/1000+'Balance Sheet'!B18),"n/d")</f>
        <v>n/d</v>
      </c>
      <c r="C11" s="8" t="n">
        <f aca="false">IFERROR('Cash Flow'!C11/(Assumptions!$B$5*Assumptions!$B$6/1000+'Balance Sheet'!C18),"n/d")</f>
        <v>-0.00689646989692808</v>
      </c>
      <c r="D11" s="8" t="n">
        <f aca="false">IFERROR('Cash Flow'!D11/(Assumptions!$B$5*Assumptions!$B$6/1000+'Balance Sheet'!D18),"n/d")</f>
        <v>0.0941267778233638</v>
      </c>
      <c r="E11" s="8" t="n">
        <f aca="false">IFERROR('Cash Flow'!E11/(Assumptions!$B$5*Assumptions!$B$6/1000+'Balance Sheet'!E18),"n/d")</f>
        <v>0.0829019499740781</v>
      </c>
      <c r="F11" s="8" t="n">
        <f aca="false">IFERROR('Cash Flow'!F11/(Assumptions!$B$5*Assumptions!$B$6/1000+'Balance Sheet'!F18),"n/d")</f>
        <v>0.0938854295026844</v>
      </c>
      <c r="G11" s="8" t="n">
        <f aca="false">IFERROR('Cash Flow'!G11/(Assumptions!$B$5*Assumptions!$B$6/1000+'Balance Sheet'!G18),"n/d")</f>
        <v>0.106115051156255</v>
      </c>
      <c r="H11" s="8" t="n">
        <f aca="false">IFERROR('Cash Flow'!H11/(Assumptions!$B$5*Assumptions!$B$6/1000+'Balance Sheet'!H18),"n/d")</f>
        <v>0.123064098574346</v>
      </c>
      <c r="I11" s="8" t="n">
        <f aca="false">IFERROR('Cash Flow'!I11/(Assumptions!$B$5*Assumptions!$B$6/1000+'Balance Sheet'!I18),"n/d")</f>
        <v>0.143477794070529</v>
      </c>
    </row>
    <row r="12" customFormat="false" ht="15" hidden="false" customHeight="false" outlineLevel="0" collapsed="false">
      <c r="A12" s="4" t="s">
        <v>343</v>
      </c>
      <c r="B12" s="8" t="n">
        <f aca="false">'Income Statement'!B14/'Balance Sheet'!B15</f>
        <v>0.306634666666667</v>
      </c>
      <c r="C12" s="8" t="n">
        <f aca="false">'Income Statement'!C14/'Balance Sheet'!C15</f>
        <v>0.219865035482607</v>
      </c>
      <c r="D12" s="8" t="n">
        <f aca="false">'Income Statement'!D14/'Balance Sheet'!D15</f>
        <v>0.354058456852154</v>
      </c>
      <c r="E12" s="8" t="n">
        <f aca="false">'Income Statement'!E14/'Balance Sheet'!E15</f>
        <v>0.316600799169861</v>
      </c>
      <c r="F12" s="8" t="n">
        <f aca="false">'Income Statement'!F14/'Balance Sheet'!F15</f>
        <v>0.284312548617926</v>
      </c>
      <c r="G12" s="8" t="n">
        <f aca="false">'Income Statement'!G14/'Balance Sheet'!G15</f>
        <v>0.254952734527806</v>
      </c>
      <c r="H12" s="8" t="n">
        <f aca="false">'Income Statement'!H14/'Balance Sheet'!H15</f>
        <v>0.231607103974373</v>
      </c>
      <c r="I12" s="8" t="n">
        <f aca="false">'Income Statement'!I14/'Balance Sheet'!I15</f>
        <v>0.211527981226259</v>
      </c>
    </row>
    <row r="13" customFormat="false" ht="15" hidden="false" customHeight="false" outlineLevel="0" collapsed="false">
      <c r="A13" s="4" t="s">
        <v>256</v>
      </c>
      <c r="B13" s="21" t="n">
        <f aca="false">'Balance Sheet'!B19</f>
        <v>1.74475555555556</v>
      </c>
      <c r="C13" s="21" t="n">
        <f aca="false">'Balance Sheet'!C19</f>
        <v>2.2656101523465</v>
      </c>
      <c r="D13" s="21" t="n">
        <f aca="false">'Balance Sheet'!D19</f>
        <v>1.39117801873881</v>
      </c>
      <c r="E13" s="21" t="n">
        <f aca="false">'Balance Sheet'!E19</f>
        <v>1.24515029233958</v>
      </c>
      <c r="F13" s="21" t="n">
        <f aca="false">'Balance Sheet'!F19</f>
        <v>1.08021116450812</v>
      </c>
      <c r="G13" s="21" t="n">
        <f aca="false">'Balance Sheet'!G19</f>
        <v>0.904271325166696</v>
      </c>
      <c r="H13" s="21" t="n">
        <f aca="false">'Balance Sheet'!H19</f>
        <v>0.710375457688695</v>
      </c>
      <c r="I13" s="21" t="n">
        <f aca="false">'Balance Sheet'!I19</f>
        <v>0.511068437095185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5" min="5" style="0" width="52"/>
  </cols>
  <sheetData>
    <row r="1" customFormat="false" ht="15" hidden="false" customHeight="false" outlineLevel="0" collapsed="false">
      <c r="A1" s="1" t="s">
        <v>344</v>
      </c>
    </row>
    <row r="4" customFormat="false" ht="15" hidden="false" customHeight="false" outlineLevel="0" collapsed="false">
      <c r="A4" s="9" t="s">
        <v>345</v>
      </c>
      <c r="B4" s="9" t="s">
        <v>346</v>
      </c>
      <c r="C4" s="9" t="s">
        <v>347</v>
      </c>
      <c r="D4" s="9" t="s">
        <v>348</v>
      </c>
      <c r="E4" s="9" t="s">
        <v>349</v>
      </c>
    </row>
    <row r="5" customFormat="false" ht="15" hidden="false" customHeight="false" outlineLevel="0" collapsed="false">
      <c r="A5" s="4" t="s">
        <v>350</v>
      </c>
      <c r="B5" s="4" t="s">
        <v>351</v>
      </c>
      <c r="C5" s="4" t="s">
        <v>352</v>
      </c>
      <c r="D5" s="4" t="s">
        <v>353</v>
      </c>
      <c r="E5" s="4" t="s">
        <v>354</v>
      </c>
    </row>
    <row r="6" customFormat="false" ht="15" hidden="false" customHeight="false" outlineLevel="0" collapsed="false">
      <c r="A6" s="4" t="s">
        <v>355</v>
      </c>
      <c r="B6" s="4" t="s">
        <v>356</v>
      </c>
      <c r="C6" s="4" t="s">
        <v>357</v>
      </c>
      <c r="D6" s="4" t="s">
        <v>358</v>
      </c>
      <c r="E6" s="4" t="s">
        <v>359</v>
      </c>
    </row>
    <row r="7" customFormat="false" ht="15" hidden="false" customHeight="false" outlineLevel="0" collapsed="false">
      <c r="A7" s="4" t="s">
        <v>360</v>
      </c>
      <c r="B7" s="4" t="s">
        <v>361</v>
      </c>
      <c r="C7" s="4" t="s">
        <v>362</v>
      </c>
      <c r="D7" s="4" t="s">
        <v>363</v>
      </c>
      <c r="E7" s="4" t="s">
        <v>364</v>
      </c>
    </row>
    <row r="8" customFormat="false" ht="15" hidden="false" customHeight="false" outlineLevel="0" collapsed="false">
      <c r="A8" s="4" t="s">
        <v>365</v>
      </c>
      <c r="B8" s="4" t="s">
        <v>366</v>
      </c>
      <c r="C8" s="4" t="s">
        <v>367</v>
      </c>
      <c r="D8" s="4" t="s">
        <v>363</v>
      </c>
      <c r="E8" s="4" t="s">
        <v>368</v>
      </c>
    </row>
    <row r="9" customFormat="false" ht="15" hidden="false" customHeight="false" outlineLevel="0" collapsed="false">
      <c r="A9" s="4" t="s">
        <v>369</v>
      </c>
      <c r="B9" s="4" t="s">
        <v>370</v>
      </c>
      <c r="C9" s="4" t="s">
        <v>371</v>
      </c>
      <c r="D9" s="4" t="s">
        <v>372</v>
      </c>
      <c r="E9" s="4" t="s">
        <v>373</v>
      </c>
    </row>
    <row r="10" customFormat="false" ht="15" hidden="false" customHeight="false" outlineLevel="0" collapsed="false">
      <c r="A10" s="4" t="s">
        <v>374</v>
      </c>
      <c r="B10" s="4" t="s">
        <v>356</v>
      </c>
      <c r="C10" s="4" t="s">
        <v>375</v>
      </c>
      <c r="D10" s="4" t="s">
        <v>376</v>
      </c>
      <c r="E10" s="4" t="s">
        <v>377</v>
      </c>
    </row>
    <row r="12" customFormat="false" ht="15" hidden="false" customHeight="false" outlineLevel="0" collapsed="false">
      <c r="A12" s="11" t="s">
        <v>378</v>
      </c>
    </row>
    <row r="13" customFormat="false" ht="15" hidden="false" customHeight="false" outlineLevel="0" collapsed="false">
      <c r="A13" s="4" t="s">
        <v>379</v>
      </c>
    </row>
    <row r="14" customFormat="false" ht="15" hidden="false" customHeight="false" outlineLevel="0" collapsed="false">
      <c r="A14" s="4" t="s">
        <v>380</v>
      </c>
    </row>
    <row r="15" customFormat="false" ht="15" hidden="false" customHeight="false" outlineLevel="0" collapsed="false">
      <c r="A15" s="4" t="s">
        <v>381</v>
      </c>
    </row>
    <row r="17" customFormat="false" ht="15" hidden="false" customHeight="false" outlineLevel="0" collapsed="false">
      <c r="A17" s="11" t="s">
        <v>382</v>
      </c>
    </row>
    <row r="18" customFormat="false" ht="15" hidden="false" customHeight="false" outlineLevel="0" collapsed="false">
      <c r="A18" s="4" t="s">
        <v>383</v>
      </c>
    </row>
    <row r="19" customFormat="false" ht="15" hidden="false" customHeight="false" outlineLevel="0" collapsed="false">
      <c r="A19" s="4" t="s">
        <v>384</v>
      </c>
    </row>
    <row r="20" customFormat="false" ht="15" hidden="false" customHeight="false" outlineLevel="0" collapsed="false">
      <c r="A20" s="4" t="s">
        <v>385</v>
      </c>
    </row>
    <row r="21" customFormat="false" ht="15" hidden="false" customHeight="false" outlineLevel="0" collapsed="false">
      <c r="A21" s="4" t="s">
        <v>386</v>
      </c>
    </row>
    <row r="22" customFormat="false" ht="15" hidden="false" customHeight="false" outlineLevel="0" collapsed="false">
      <c r="A22" s="4" t="s">
        <v>387</v>
      </c>
    </row>
    <row r="23" customFormat="false" ht="15" hidden="false" customHeight="false" outlineLevel="0" collapsed="false">
      <c r="A23" s="4" t="s">
        <v>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2026-07-03T14:33:54Z</dcterms:created>
  <dc:creator>openpyxl</dc:creator>
  <dc:description/>
  <dc:language>en-US</dc:language>
  <cp:lastModifiedBy/>
  <dcterms:modified xsi:type="dcterms:W3CDTF">2026-07-03T14:33:54Z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