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river Build" sheetId="4" state="visible" r:id="rId4"/>
    <sheet xmlns:r="http://schemas.openxmlformats.org/officeDocument/2006/relationships" name="DDM" sheetId="5" state="visible" r:id="rId5"/>
    <sheet xmlns:r="http://schemas.openxmlformats.org/officeDocument/2006/relationships" name="FCFE" sheetId="6" state="visible" r:id="rId6"/>
    <sheet xmlns:r="http://schemas.openxmlformats.org/officeDocument/2006/relationships" name="Residual Income" sheetId="7" state="visible" r:id="rId7"/>
    <sheet xmlns:r="http://schemas.openxmlformats.org/officeDocument/2006/relationships" name="Relative &amp; Normalized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Monte Carlo" sheetId="12" state="visible" r:id="rId12"/>
    <sheet xmlns:r="http://schemas.openxmlformats.org/officeDocument/2006/relationships" name="Sensitivity" sheetId="13" state="visible" r:id="rId13"/>
    <sheet xmlns:r="http://schemas.openxmlformats.org/officeDocument/2006/relationships" name="Per-Share &amp; Ratios" sheetId="14" state="visible" r:id="rId14"/>
    <sheet xmlns:r="http://schemas.openxmlformats.org/officeDocument/2006/relationships" name="Peer &amp; Sector" sheetId="15" state="visible" r:id="rId15"/>
    <sheet xmlns:r="http://schemas.openxmlformats.org/officeDocument/2006/relationships" name="Earnings Drivers" sheetId="16" state="visible" r:id="rId16"/>
    <sheet xmlns:r="http://schemas.openxmlformats.org/officeDocument/2006/relationships" name="Summary Financi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&quot;x&quot;"/>
    <numFmt numFmtId="165" formatCode="0.0&quot;x&quot;"/>
    <numFmt numFmtId="166" formatCode="0.0%"/>
    <numFmt numFmtId="167" formatCode="+0%;-0%"/>
    <numFmt numFmtId="168" formatCode="0.000"/>
    <numFmt numFmtId="169" formatCode="+0.0000;-0.0000"/>
    <numFmt numFmtId="170" formatCode="+0.00%;-0.00%"/>
    <numFmt numFmtId="171" formatCode="+0.00;-0.0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C3A36"/>
    </font>
    <font>
      <sz val="10"/>
    </font>
    <font>
      <b val="1"/>
      <color rgb="00B4433A"/>
    </font>
    <font>
      <b val="1"/>
      <color rgb="001C3A36"/>
      <sz val="13"/>
    </font>
    <font>
      <i val="1"/>
      <color rgb="006E7B77"/>
      <sz val="9"/>
    </font>
    <font>
      <b val="1"/>
    </font>
    <font>
      <b val="1"/>
      <color rgb="00B4433A"/>
      <sz val="10"/>
    </font>
    <font>
      <sz val="9.5"/>
    </font>
  </fonts>
  <fills count="6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DCE9F5"/>
      </patternFill>
    </fill>
    <fill>
      <patternFill patternType="solid">
        <fgColor rgb="00F2E9D2"/>
      </patternFill>
    </fill>
    <fill>
      <patternFill patternType="solid">
        <fgColor rgb="00F6DDDA"/>
      </patternFill>
    </fill>
  </fills>
  <borders count="2">
    <border>
      <left/>
      <right/>
      <top/>
      <bottom/>
      <diagonal/>
    </border>
    <border>
      <left style="thin">
        <color rgb="00D5DDDB"/>
      </left>
      <right style="thin">
        <color rgb="00D5DDDB"/>
      </right>
      <top style="thin">
        <color rgb="00D5DDDB"/>
      </top>
      <bottom style="thin">
        <color rgb="00D5DDDB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3" borderId="0" pivotButton="0" quotePrefix="0" xfId="0"/>
    <xf numFmtId="0" fontId="7" fillId="0" borderId="0" pivotButton="0" quotePrefix="0" xfId="0"/>
    <xf numFmtId="9" fontId="7" fillId="0" borderId="0" pivotButton="0" quotePrefix="0" xfId="0"/>
    <xf numFmtId="2" fontId="7" fillId="4" borderId="0" pivotButton="0" quotePrefix="0" xfId="0"/>
    <xf numFmtId="167" fontId="0" fillId="0" borderId="0" pivotButton="0" quotePrefix="0" xfId="0"/>
    <xf numFmtId="0" fontId="4" fillId="5" borderId="0" pivotButton="0" quotePrefix="0" xfId="0"/>
    <xf numFmtId="2" fontId="0" fillId="3" borderId="1" pivotButton="0" quotePrefix="0" xfId="0"/>
    <xf numFmtId="3" fontId="0" fillId="3" borderId="1" pivotButton="0" quotePrefix="0" xfId="0"/>
    <xf numFmtId="3" fontId="7" fillId="4" borderId="0" pivotButton="0" quotePrefix="0" xfId="0"/>
    <xf numFmtId="10" fontId="0" fillId="3" borderId="1" pivotButton="0" quotePrefix="0" xfId="0"/>
    <xf numFmtId="10" fontId="7" fillId="4" borderId="0" pivotButton="0" quotePrefix="0" xfId="0"/>
    <xf numFmtId="0" fontId="1" fillId="2" borderId="0" applyAlignment="1" pivotButton="0" quotePrefix="0" xfId="0">
      <alignment horizontal="center"/>
    </xf>
    <xf numFmtId="166" fontId="0" fillId="3" borderId="1" pivotButton="0" quotePrefix="0" xfId="0"/>
    <xf numFmtId="1" fontId="0" fillId="3" borderId="1" pivotButton="0" quotePrefix="0" xfId="0"/>
    <xf numFmtId="168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2" borderId="0" pivotButton="0" quotePrefix="0" xfId="0"/>
    <xf numFmtId="3" fontId="7" fillId="0" borderId="0" pivotButton="0" quotePrefix="0" xfId="0"/>
    <xf numFmtId="2" fontId="7" fillId="0" borderId="0" pivotButton="0" quotePrefix="0" xfId="0"/>
    <xf numFmtId="168" fontId="0" fillId="0" borderId="0" pivotButton="0" quotePrefix="0" xfId="0"/>
    <xf numFmtId="168" fontId="7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0" fillId="3" borderId="1" pivotButton="0" quotePrefix="0" xfId="0"/>
    <xf numFmtId="168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8" fontId="0" fillId="0" borderId="0" pivotButton="0" quotePrefix="0" xfId="0"/>
    <xf numFmtId="168" fontId="7" fillId="0" borderId="0" pivotButton="0" quotePrefix="0" xfId="0"/>
    <xf numFmtId="10" fontId="0" fillId="0" borderId="0" pivotButton="0" quotePrefix="0" xfId="0"/>
    <xf numFmtId="0" fontId="8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9" fontId="0" fillId="0" borderId="0" pivotButton="0" quotePrefix="0" xfId="0"/>
    <xf numFmtId="0" fontId="9" fillId="0" borderId="0" pivotButton="0" quotePrefix="0" xfId="0"/>
    <xf numFmtId="170" fontId="0" fillId="0" borderId="0" pivotButton="0" quotePrefix="0" xfId="0"/>
    <xf numFmtId="166" fontId="1" fillId="2" borderId="0" pivotButton="0" quotePrefix="0" xfId="0"/>
    <xf numFmtId="10" fontId="7" fillId="0" borderId="0" pivotButton="0" quotePrefix="0" xfId="0"/>
    <xf numFmtId="2" fontId="1" fillId="2" borderId="0" pivotButton="0" quotePrefix="0" xfId="0"/>
    <xf numFmtId="164" fontId="1" fillId="2" borderId="0" pivotButton="0" quotePrefix="0" xfId="0"/>
    <xf numFmtId="17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Testahil · Independent Valuation Study — Educational Analysis · Not investment advice</t>
        </is>
      </c>
    </row>
    <row r="3">
      <c r="A3" s="2" t="inlineStr">
        <is>
          <t>Dubai Islamic Bank PJSC (DFM: DIB) — companion model to the 11 July 2026 valuation study.</t>
        </is>
      </c>
    </row>
    <row r="4">
      <c r="A4" s="3" t="inlineStr"/>
    </row>
    <row r="5">
      <c r="A5" s="4" t="inlineStr">
        <is>
          <t>READ THIS FIRST — THE CALIBRATION TEST FAILED.</t>
        </is>
      </c>
    </row>
    <row r="6">
      <c r="A6" s="3" t="inlineStr">
        <is>
          <t>DIB did NOT pass our pre-publication calibration test. Under the fitted UAE market model, DIB's own five-year</t>
        </is>
      </c>
    </row>
    <row r="7">
      <c r="A7" s="3" t="inlineStr">
        <is>
          <t>backtest does NOT beat a naive random walk: skill score −0.025, with the 90% confidence interval entirely below</t>
        </is>
      </c>
    </row>
    <row r="8">
      <c r="A8" s="3" t="inlineStr">
        <is>
          <t>zero across every resampling scheme tested. Accordingly NO price-distribution forecast is published for DIB. The</t>
        </is>
      </c>
    </row>
    <row r="9">
      <c r="A9" s="3" t="inlineStr">
        <is>
          <t>"Monte Carlo" sheet is an ILLUSTRATIVE VOLATILITY MAP ONLY — it is not a validated forecast, nothing is entered on</t>
        </is>
      </c>
    </row>
    <row r="10">
      <c r="A10" s="3" t="inlineStr">
        <is>
          <t>the Calibration Ledger against it, and its percentiles must not be read as a forecast. Diagnosis in full on that sheet.</t>
        </is>
      </c>
    </row>
    <row r="11">
      <c r="A11" s="3" t="inlineStr"/>
    </row>
    <row r="12">
      <c r="A12" s="3" t="inlineStr">
        <is>
          <t>WHAT THIS IS. An independent, educational valuation model. Not investment advice, not a recommendation, no rating and</t>
        </is>
      </c>
    </row>
    <row r="13">
      <c r="A13" s="3" t="inlineStr">
        <is>
          <t>no price target. It presents fair-value ranges — distributions, not tips. The preparer is not licensed by the FRA, the SCA,</t>
        </is>
      </c>
    </row>
    <row r="14">
      <c r="A14" s="3" t="inlineStr">
        <is>
          <t>or any securities regulator, holds no CFA charter, and this file has not been reviewed by any authority.</t>
        </is>
      </c>
    </row>
    <row r="15">
      <c r="A15" s="3" t="inlineStr"/>
    </row>
    <row r="16">
      <c r="A16" s="3" t="inlineStr">
        <is>
          <t>HOW TO USE IT. Every input lives on the Assumptions sheet in a blue cell. Change one — the NPM path, the cost of risk,</t>
        </is>
      </c>
    </row>
    <row r="17">
      <c r="A17" s="3" t="inlineStr">
        <is>
          <t>the conflict adder, the beta — and the entire model reprices: driver build, all five lenses, the capital schedule and the</t>
        </is>
      </c>
    </row>
    <row r="18">
      <c r="A18" s="3" t="inlineStr">
        <is>
          <t>weighted central. Nothing downstream is hard-coded. That is the point of the file.</t>
        </is>
      </c>
    </row>
    <row r="19">
      <c r="A19" s="3" t="inlineStr"/>
    </row>
    <row r="20">
      <c r="A20" s="3" t="inlineStr">
        <is>
          <t>THE TWO CLOCKS. The weighted central (AED 10.18) is a risk-adjusted ~12-month anchor. The peace-time reference</t>
        </is>
      </c>
    </row>
    <row r="21">
      <c r="A21" s="3" t="inlineStr">
        <is>
          <t>(AED 11.86, conflict adder stripped) is a multi-year ceiling. Neither is a 3-month figure. Do not read one as the other.</t>
        </is>
      </c>
    </row>
    <row r="22">
      <c r="A22" s="3" t="inlineStr"/>
    </row>
    <row r="23">
      <c r="A23" s="3" t="inlineStr">
        <is>
          <t>PROVENANCE. Financial-statement line items come only from DIB's own disclosures — its FY25 audited consolidated</t>
        </is>
      </c>
    </row>
    <row r="24">
      <c r="A24" s="3" t="inlineStr">
        <is>
          <t>financial statements, its results press releases and its earnings presentations. Aggregators are used for market data</t>
        </is>
      </c>
    </row>
    <row r="25">
      <c r="A25" s="3" t="inlineStr">
        <is>
          <t>(price, market cap, index levels, peer multiples) only, and are labelled as such. Figures we derived rather than took</t>
        </is>
      </c>
    </row>
    <row r="26">
      <c r="A26" s="3" t="inlineStr">
        <is>
          <t>directly are flagged inline and logged on our public driver ledger.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Dubai Islamic Bank PJSC (DFM: DIB)</t>
        </is>
      </c>
    </row>
    <row r="2">
      <c r="A2" s="6" t="inlineStr">
        <is>
          <t>Independent valuation study · 11 July 2026 · all figures AED unless noted</t>
        </is>
      </c>
    </row>
    <row r="4">
      <c r="A4" t="inlineStr">
        <is>
          <t>Spot (03-Jul-2026 close)</t>
        </is>
      </c>
      <c r="B4" s="7" t="n">
        <v>7.72</v>
      </c>
    </row>
    <row r="5">
      <c r="A5" t="inlineStr">
        <is>
          <t>Spot since the data cut (09-Jul, aggregator)</t>
        </is>
      </c>
      <c r="B5" s="7" t="n">
        <v>7.54</v>
      </c>
    </row>
    <row r="6">
      <c r="A6" t="inlineStr">
        <is>
          <t>Shares outstanding (mn)</t>
        </is>
      </c>
      <c r="B6" s="8" t="n">
        <v>7227</v>
      </c>
    </row>
    <row r="7">
      <c r="A7" t="inlineStr">
        <is>
          <t>Market cap (AED mn)</t>
        </is>
      </c>
      <c r="B7" s="8">
        <f>Summary!B5*Summary!B7</f>
        <v/>
      </c>
    </row>
    <row r="8">
      <c r="A8" t="inlineStr">
        <is>
          <t>Book value per share (common, ex-AT1)</t>
        </is>
      </c>
      <c r="B8" s="7">
        <f>Assumptions!B36/Assumptions!B6</f>
        <v/>
      </c>
    </row>
    <row r="9">
      <c r="A9" t="inlineStr">
        <is>
          <t>P/B (spot / BVPS)</t>
        </is>
      </c>
      <c r="B9" s="35">
        <f>Summary!B5/Summary!B9</f>
        <v/>
      </c>
    </row>
    <row r="10">
      <c r="A10" t="inlineStr">
        <is>
          <t>FY25 EPS</t>
        </is>
      </c>
      <c r="B10" s="7" t="n">
        <v>0.98</v>
      </c>
    </row>
    <row r="11">
      <c r="A11" t="inlineStr">
        <is>
          <t>P/E (trailing)</t>
        </is>
      </c>
      <c r="B11" s="36">
        <f>Summary!B5/Summary!B11</f>
        <v/>
      </c>
    </row>
    <row r="12">
      <c r="A12" t="inlineStr">
        <is>
          <t>FY25 DPS · dividend yield</t>
        </is>
      </c>
      <c r="B12" s="7" t="n">
        <v>0.35</v>
      </c>
    </row>
    <row r="13">
      <c r="A13" t="inlineStr">
        <is>
          <t>Dividend yield</t>
        </is>
      </c>
      <c r="B13" s="37">
        <f>Summary!B13/Summary!B5</f>
        <v/>
      </c>
    </row>
    <row r="15">
      <c r="A15" s="1" t="inlineStr">
        <is>
          <t>THE FIVE LENSES</t>
        </is>
      </c>
      <c r="B15" s="1" t="inlineStr">
        <is>
          <t>Value (AED)</t>
        </is>
      </c>
      <c r="C15" s="1" t="inlineStr">
        <is>
          <t>Weight</t>
        </is>
      </c>
      <c r="D15" s="1" t="inlineStr">
        <is>
          <t>Contribution</t>
        </is>
      </c>
    </row>
    <row r="16">
      <c r="A16" t="inlineStr">
        <is>
          <t>Dividend discount model (primary)</t>
        </is>
      </c>
      <c r="B16" s="7">
        <f>DDM!B17</f>
        <v/>
      </c>
      <c r="C16" s="12" t="n">
        <v>0.3</v>
      </c>
      <c r="D16" s="7">
        <f>B16*C16</f>
        <v/>
      </c>
    </row>
    <row r="17">
      <c r="A17" t="inlineStr">
        <is>
          <t>Residual income</t>
        </is>
      </c>
      <c r="B17" s="7">
        <f>'Residual Income'!B18</f>
        <v/>
      </c>
      <c r="C17" s="12" t="n">
        <v>0.2</v>
      </c>
      <c r="D17" s="7">
        <f>B17*C17</f>
        <v/>
      </c>
    </row>
    <row r="18">
      <c r="A18" t="inlineStr">
        <is>
          <t>Equity DCF (FCFE)</t>
        </is>
      </c>
      <c r="B18" s="7">
        <f>FCFE!B28</f>
        <v/>
      </c>
      <c r="C18" s="12" t="n">
        <v>0.15</v>
      </c>
      <c r="D18" s="7">
        <f>B18*C18</f>
        <v/>
      </c>
    </row>
    <row r="19">
      <c r="A19" t="inlineStr">
        <is>
          <t>Relative multiples</t>
        </is>
      </c>
      <c r="B19" s="7">
        <f>'Relative &amp; Normalized'!B11</f>
        <v/>
      </c>
      <c r="C19" s="12" t="n">
        <v>0.2</v>
      </c>
      <c r="D19" s="7">
        <f>B19*C19</f>
        <v/>
      </c>
    </row>
    <row r="20">
      <c r="A20" t="inlineStr">
        <is>
          <t>Normalized (through-cycle)</t>
        </is>
      </c>
      <c r="B20" s="7">
        <f>'Relative &amp; Normalized'!B19</f>
        <v/>
      </c>
      <c r="C20" s="12" t="n">
        <v>0.15</v>
      </c>
      <c r="D20" s="7">
        <f>B20*C20</f>
        <v/>
      </c>
    </row>
    <row r="21">
      <c r="A21" s="13" t="inlineStr">
        <is>
          <t>Weighted central</t>
        </is>
      </c>
      <c r="C21" s="14">
        <f>SUM(C16:C20)</f>
        <v/>
      </c>
      <c r="D21" s="15">
        <f>SUM(D16:D20)</f>
        <v/>
      </c>
    </row>
    <row r="22">
      <c r="A22" t="inlineStr">
        <is>
          <t>Implied gap to spot</t>
        </is>
      </c>
      <c r="B22" s="38">
        <f>D21/B5-1</f>
        <v/>
      </c>
    </row>
    <row r="24">
      <c r="A24" t="inlineStr">
        <is>
          <t>Calibration tier</t>
        </is>
      </c>
      <c r="B24" s="17" t="inlineStr">
        <is>
          <t>FAILED — no price forecast published</t>
        </is>
      </c>
    </row>
    <row r="25">
      <c r="A25" t="inlineStr">
        <is>
          <t>Peace-time reference (adder = 0)</t>
        </is>
      </c>
      <c r="B25" s="7" t="n">
        <v>11.86362362762499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Assumptions — the single blue-input layer</t>
        </is>
      </c>
    </row>
    <row r="2">
      <c r="A2" s="6" t="inlineStr">
        <is>
          <t>Blue = change me. Every other cell in this workbook is a formula pointing here.</t>
        </is>
      </c>
    </row>
    <row r="4">
      <c r="A4" s="1" t="inlineStr">
        <is>
          <t>MARKET</t>
        </is>
      </c>
    </row>
    <row r="5">
      <c r="A5" t="inlineStr">
        <is>
          <t>Spot (AED, 03-Jul-2026 close)</t>
        </is>
      </c>
      <c r="B5" s="18" t="n">
        <v>7.72</v>
      </c>
      <c r="D5" s="6" t="inlineStr">
        <is>
          <t>last bar of the supplied price history</t>
        </is>
      </c>
    </row>
    <row r="6">
      <c r="A6" t="inlineStr">
        <is>
          <t>Shares outstanding (mn)</t>
        </is>
      </c>
      <c r="B6" s="19" t="n">
        <v>7227</v>
      </c>
      <c r="D6" s="6" t="inlineStr">
        <is>
          <t>7,240.744mn issued less ~13.7mn treasury</t>
        </is>
      </c>
    </row>
    <row r="7">
      <c r="A7" t="inlineStr">
        <is>
          <t>FY25 DPS (AED) — trailing yield anchor</t>
        </is>
      </c>
      <c r="B7" s="18" t="n">
        <v>0.35</v>
      </c>
      <c r="D7" s="6" t="inlineStr">
        <is>
          <t>cut from 45 fils; AGM-approved 02-Apr-2026</t>
        </is>
      </c>
    </row>
    <row r="8">
      <c r="A8" s="13" t="inlineStr">
        <is>
          <t>Market cap (AED mn)</t>
        </is>
      </c>
      <c r="B8" s="20">
        <f>B5*B6</f>
        <v/>
      </c>
    </row>
    <row r="10">
      <c r="A10" s="1" t="inlineStr">
        <is>
          <t>COST OF EQUITY (Ke) — built bottom-up</t>
        </is>
      </c>
    </row>
    <row r="11">
      <c r="A11" t="inlineStr">
        <is>
          <t>Risk-free (AED 10Y, constructed)</t>
        </is>
      </c>
      <c r="B11" s="21" t="n">
        <v>0.047</v>
      </c>
      <c r="D11" s="6" t="inlineStr">
        <is>
          <t>UST10Y 4.58% + ~12bp AED pickup (MoF May-26 auctions). Never UST alone (peg rule).</t>
        </is>
      </c>
    </row>
    <row r="12">
      <c r="A12" t="inlineStr">
        <is>
          <t>ERP — rating-based (Damodaran 05-Jan-2026)</t>
        </is>
      </c>
      <c r="B12" s="21" t="n">
        <v>0.0487</v>
      </c>
      <c r="D12" s="6" t="inlineStr">
        <is>
          <t>UAE Aa2: CRP 0.64% + mature-market 4.23%</t>
        </is>
      </c>
    </row>
    <row r="13">
      <c r="A13" t="inlineStr">
        <is>
          <t>ERP — CDS-based (cross-check)</t>
        </is>
      </c>
      <c r="B13" s="21" t="n">
        <v>0.0493</v>
      </c>
      <c r="D13" s="6" t="inlineStr">
        <is>
          <t>publish both bases</t>
        </is>
      </c>
    </row>
    <row r="14">
      <c r="A14" t="inlineStr">
        <is>
          <t>Beta</t>
        </is>
      </c>
      <c r="B14" s="18" t="n">
        <v>1</v>
      </c>
      <c r="D14" s="6" t="inlineStr">
        <is>
          <t>regression attempted vs the DFM index: n=19, β=0.80, R²=29.9% — below our 24-observation minimum, so beta defaults to 1.00</t>
        </is>
      </c>
    </row>
    <row r="15">
      <c r="A15" t="inlineStr">
        <is>
          <t>Conflict-risk adder (2026 Iran war)</t>
        </is>
      </c>
      <c r="B15" s="21" t="n">
        <v>0.01</v>
      </c>
      <c r="D15" s="6" t="inlineStr">
        <is>
          <t>ceasefire-holding basis; sensitized 0 ↔ 2.5pt</t>
        </is>
      </c>
    </row>
    <row r="16">
      <c r="A16" s="13" t="inlineStr">
        <is>
          <t>Ke = rf + β·ERP + adder</t>
        </is>
      </c>
      <c r="B16" s="22">
        <f>B11+B14*B12+B15</f>
        <v/>
      </c>
    </row>
    <row r="17">
      <c r="A17" t="inlineStr">
        <is>
          <t>Terminal growth g</t>
        </is>
      </c>
      <c r="B17" s="21" t="n">
        <v>0.04</v>
      </c>
    </row>
    <row r="18">
      <c r="A18" t="inlineStr">
        <is>
          <t>Terminal ROE</t>
        </is>
      </c>
      <c r="B18" s="21" t="n">
        <v>0.155</v>
      </c>
    </row>
    <row r="19">
      <c r="A19" t="inlineStr">
        <is>
          <t>Through-cycle ROE (normalized lens)</t>
        </is>
      </c>
      <c r="B19" s="21" t="n">
        <v>0.15</v>
      </c>
      <c r="D19" s="6" t="inlineStr">
        <is>
          <t>below the normalised FY24–25 average; haircut for the lower-rate regime</t>
        </is>
      </c>
    </row>
    <row r="21">
      <c r="A21" s="1" t="inlineStr">
        <is>
          <t>DRIVER PATHS (FY26E–FY30E)</t>
        </is>
      </c>
      <c r="E21" s="23" t="inlineStr">
        <is>
          <t>FY26E</t>
        </is>
      </c>
      <c r="F21" s="23" t="inlineStr">
        <is>
          <t>FY27E</t>
        </is>
      </c>
      <c r="G21" s="23" t="inlineStr">
        <is>
          <t>FY28E</t>
        </is>
      </c>
      <c r="H21" s="23" t="inlineStr">
        <is>
          <t>FY29E</t>
        </is>
      </c>
      <c r="I21" s="23" t="inlineStr">
        <is>
          <t>FY30E</t>
        </is>
      </c>
    </row>
    <row r="22">
      <c r="A22" t="inlineStr">
        <is>
          <t>Financing + sukuk growth %</t>
        </is>
      </c>
      <c r="E22" s="39" t="n">
        <v>0.1</v>
      </c>
      <c r="F22" s="39" t="n">
        <v>0.09</v>
      </c>
      <c r="G22" s="39" t="n">
        <v>0.08</v>
      </c>
      <c r="H22" s="39" t="n">
        <v>0.08</v>
      </c>
      <c r="I22" s="39" t="n">
        <v>0.07000000000000001</v>
      </c>
      <c r="K22" s="6" t="inlineStr">
        <is>
          <t>FY26 = management guidance (~10%)</t>
        </is>
      </c>
    </row>
    <row r="23">
      <c r="A23" t="inlineStr">
        <is>
          <t>Net profit margin % (the NIM analogue)</t>
        </is>
      </c>
      <c r="E23" s="21" t="n">
        <v>0.023</v>
      </c>
      <c r="F23" s="21" t="n">
        <v>0.0228</v>
      </c>
      <c r="G23" s="21" t="n">
        <v>0.0232</v>
      </c>
      <c r="H23" s="21" t="n">
        <v>0.0236</v>
      </c>
      <c r="I23" s="21" t="n">
        <v>0.024</v>
      </c>
      <c r="K23" s="6" t="inlineStr">
        <is>
          <t>FY26 = management guidance (2.3%). THE CRUX.</t>
        </is>
      </c>
    </row>
    <row r="24">
      <c r="A24" t="inlineStr">
        <is>
          <t>Non-funded income growth %</t>
        </is>
      </c>
      <c r="E24" s="39" t="n">
        <v>0.1</v>
      </c>
      <c r="F24" s="39" t="n">
        <v>0.07000000000000001</v>
      </c>
      <c r="G24" s="39" t="n">
        <v>0.07000000000000001</v>
      </c>
      <c r="H24" s="39" t="n">
        <v>0.07000000000000001</v>
      </c>
      <c r="I24" s="39" t="n">
        <v>0.07000000000000001</v>
      </c>
      <c r="K24" s="6" t="inlineStr">
        <is>
          <t>The Q1-26 +30% headline is ONE line (other income 105-&gt;587); the recurring fee lines FELL. Not extrapolated.</t>
        </is>
      </c>
    </row>
    <row r="25">
      <c r="A25" t="inlineStr">
        <is>
          <t>Cost-to-income %</t>
        </is>
      </c>
      <c r="E25" s="39" t="n">
        <v>0.28</v>
      </c>
      <c r="F25" s="39" t="n">
        <v>0.278</v>
      </c>
      <c r="G25" s="39" t="n">
        <v>0.275</v>
      </c>
      <c r="H25" s="39" t="n">
        <v>0.273</v>
      </c>
      <c r="I25" s="39" t="n">
        <v>0.27</v>
      </c>
      <c r="K25" s="6" t="inlineStr">
        <is>
          <t>FY26 = management guidance (28%)</t>
        </is>
      </c>
    </row>
    <row r="26">
      <c r="A26" t="inlineStr">
        <is>
          <t>Cost of risk (bp on avg financing+sukuk)</t>
        </is>
      </c>
      <c r="E26" s="25" t="n">
        <v>45</v>
      </c>
      <c r="F26" s="25" t="n">
        <v>45</v>
      </c>
      <c r="G26" s="25" t="n">
        <v>40</v>
      </c>
      <c r="H26" s="25" t="n">
        <v>35</v>
      </c>
      <c r="I26" s="25" t="n">
        <v>35</v>
      </c>
      <c r="K26" s="6" t="inlineStr">
        <is>
          <t>FY26 = the Q1-26 print (45bp) vs FY25 14bp</t>
        </is>
      </c>
    </row>
    <row r="27">
      <c r="A27" t="inlineStr">
        <is>
          <t>Effective tax rate %</t>
        </is>
      </c>
      <c r="E27" s="39" t="n">
        <v>0.15</v>
      </c>
      <c r="F27" s="39" t="n">
        <v>0.15</v>
      </c>
      <c r="G27" s="39" t="n">
        <v>0.15</v>
      </c>
      <c r="H27" s="39" t="n">
        <v>0.15</v>
      </c>
      <c r="I27" s="39" t="n">
        <v>0.15</v>
      </c>
      <c r="K27" s="6" t="inlineStr">
        <is>
          <t>15% minimum-tax floor. NB: FY25 ACTUALLY printed 13.3% (associates enter pre-tax profit net of their own tax), so &lt;15% IS possible — but Q1-26 printed 15.4%, so we take the floor as the conservative base.</t>
        </is>
      </c>
    </row>
    <row r="28">
      <c r="A28" t="inlineStr">
        <is>
          <t>DPS (AED) — board policy, not a plug</t>
        </is>
      </c>
      <c r="E28" s="40" t="n">
        <v>0.35</v>
      </c>
      <c r="F28" s="40" t="n">
        <v>0.39</v>
      </c>
      <c r="G28" s="40" t="n">
        <v>0.45</v>
      </c>
      <c r="H28" s="40" t="n">
        <v>0.52</v>
      </c>
      <c r="I28" s="40" t="n">
        <v>0.59</v>
      </c>
      <c r="K28" s="6" t="inlineStr">
        <is>
          <t>held at 35 fils through the FY26 dip, then progressive</t>
        </is>
      </c>
    </row>
    <row r="29">
      <c r="A29" t="inlineStr">
        <is>
          <t>RWA density (% of financing+sukuk)</t>
        </is>
      </c>
      <c r="E29" s="39" t="n">
        <v>0.8395970100157666</v>
      </c>
      <c r="F29" s="39" t="n">
        <v>0.8315970100157666</v>
      </c>
      <c r="G29" s="39" t="n">
        <v>0.8235970100157666</v>
      </c>
      <c r="H29" s="39" t="n">
        <v>0.8155970100157666</v>
      </c>
      <c r="I29" s="39" t="n">
        <v>0.8075970100157666</v>
      </c>
    </row>
    <row r="30">
      <c r="A30" t="inlineStr">
        <is>
          <t>AT1 sukuk distributions (AED mn)</t>
        </is>
      </c>
      <c r="E30" s="19" t="n">
        <v>553</v>
      </c>
      <c r="F30" s="19" t="n">
        <v>649</v>
      </c>
      <c r="G30" s="19" t="n">
        <v>649</v>
      </c>
      <c r="H30" s="19" t="n">
        <v>649</v>
      </c>
      <c r="I30" s="19" t="n">
        <v>649</v>
      </c>
      <c r="K30" s="6" t="inlineStr">
        <is>
          <t>existing 7,350 @ ~5.7% + USD1bn @ 6.25% from Jun-26</t>
        </is>
      </c>
    </row>
    <row r="32">
      <c r="A32" s="1" t="inlineStr">
        <is>
          <t>BALANCE-SHEET &amp; REGULATORY CAPITAL (Dec-2025) — ALL COMPANY-DISCLOSED</t>
        </is>
      </c>
    </row>
    <row r="33">
      <c r="A33" t="inlineStr">
        <is>
          <t>Net financing + sukuk, Dec-25 (AED mn)</t>
        </is>
      </c>
      <c r="B33" s="19" t="n">
        <v>352644</v>
      </c>
      <c r="D33" s="6" t="inlineStr">
        <is>
          <t>official (FS deck slide 13)</t>
        </is>
      </c>
    </row>
    <row r="34">
      <c r="A34" t="inlineStr">
        <is>
          <t>Total assets, Dec-25 (AED mn)</t>
        </is>
      </c>
      <c r="B34" s="19" t="n">
        <v>415948</v>
      </c>
      <c r="D34" s="6" t="inlineStr">
        <is>
          <t>official</t>
        </is>
      </c>
    </row>
    <row r="35">
      <c r="A35" t="inlineStr">
        <is>
          <t>Customer deposits, Dec-25 (AED mn)</t>
        </is>
      </c>
      <c r="B35" s="19" t="n">
        <v>320184</v>
      </c>
      <c r="D35" s="6" t="inlineStr">
        <is>
          <t>official</t>
        </is>
      </c>
    </row>
    <row r="36">
      <c r="A36" t="inlineStr">
        <is>
          <t>Equity attributable to owners, Dec-25</t>
        </is>
      </c>
      <c r="B36" s="19" t="n">
        <v>49908</v>
      </c>
      <c r="D36" s="6" t="inlineStr">
        <is>
          <t>official (audited FS)</t>
        </is>
      </c>
    </row>
    <row r="37">
      <c r="A37" t="inlineStr">
        <is>
          <t>Tier-1 sukuk outstanding, Dec-25</t>
        </is>
      </c>
      <c r="B37" s="19" t="n">
        <v>7346</v>
      </c>
      <c r="D37" s="6" t="inlineStr">
        <is>
          <t>official</t>
        </is>
      </c>
    </row>
    <row r="38">
      <c r="A38" s="13" t="inlineStr">
        <is>
          <t>Common equity (ex-AT1), Dec-25</t>
        </is>
      </c>
      <c r="B38" s="20">
        <f>B36-B37</f>
        <v/>
      </c>
    </row>
    <row r="39">
      <c r="A39" t="inlineStr">
        <is>
          <t>Risk-weighted assets, Dec-25</t>
        </is>
      </c>
      <c r="B39" s="19" t="n">
        <v>298900</v>
      </c>
      <c r="D39" s="6" t="inlineStr">
        <is>
          <t>DISCLOSED — FY25 deck slide 18 (RWA movement bridge). NOT derived.</t>
        </is>
      </c>
    </row>
    <row r="40">
      <c r="A40" t="inlineStr">
        <is>
          <t>CET1 capital, Dec-25</t>
        </is>
      </c>
      <c r="B40" s="19" t="n">
        <v>36900</v>
      </c>
      <c r="D40" s="6" t="inlineStr">
        <is>
          <t>DISCLOSED — FY25 deck slide 18 (regulatory capital). NOT derived.</t>
        </is>
      </c>
    </row>
    <row r="41">
      <c r="A41" s="13" t="inlineStr">
        <is>
          <t>CET1 ratio (check) = CET1 capital / RWA</t>
        </is>
      </c>
      <c r="B41" s="22">
        <f>B40/B39</f>
        <v/>
      </c>
      <c r="D41" s="6" t="inlineStr">
        <is>
          <t>ties to the disclosed 12.3% — this is a CHECK, not an input</t>
        </is>
      </c>
    </row>
    <row r="42">
      <c r="A42" s="13" t="inlineStr">
        <is>
          <t>RWA density, Dec-25 = RWA / (financing+sukuk)</t>
        </is>
      </c>
      <c r="B42" s="22">
        <f>B39/B33</f>
        <v/>
      </c>
    </row>
    <row r="43">
      <c r="A43" t="inlineStr">
        <is>
          <t>Avg profit-bearing assets / avg total assets</t>
        </is>
      </c>
      <c r="B43" s="39" t="n">
        <v>0.9073390603296538</v>
      </c>
      <c r="D43" s="6" t="inlineStr">
        <is>
          <t>CALIBRATED on the DISCLOSED FY25 funded income (8,972) at the disclosed 2.6% NPM; cross-checks to 0.906 on FY24</t>
        </is>
      </c>
    </row>
    <row r="44">
      <c r="A44" t="inlineStr">
        <is>
          <t>NCI share of net profit</t>
        </is>
      </c>
      <c r="B44" s="21" t="n">
        <v>0.0394</v>
      </c>
      <c r="D44" s="6" t="inlineStr">
        <is>
          <t>FY25 actual 308 / 7,808</t>
        </is>
      </c>
    </row>
    <row r="45">
      <c r="A45" t="inlineStr">
        <is>
          <t>CET1 target for the FCFE lens</t>
        </is>
      </c>
      <c r="B45" s="39" t="n">
        <v>0.1275</v>
      </c>
      <c r="D45" s="6" t="inlineStr">
        <is>
          <t>above Fitch 12% trigger + 0.5% CCyB</t>
        </is>
      </c>
    </row>
    <row r="47">
      <c r="A47" s="1" t="inlineStr">
        <is>
          <t>RELATIVE LENS</t>
        </is>
      </c>
    </row>
    <row r="48">
      <c r="A48" t="inlineStr">
        <is>
          <t>Sector P/B mark</t>
        </is>
      </c>
      <c r="B48" s="41" t="n">
        <v>1.45</v>
      </c>
      <c r="D48" s="6" t="inlineStr">
        <is>
          <t>anchored on the SAME-DAY comparator: ADCB at 1.52x book on the identical 03-Jul close (Testahil ADCB study)</t>
        </is>
      </c>
    </row>
    <row r="49">
      <c r="A49" t="inlineStr">
        <is>
          <t>Sector forward P/E mark</t>
        </is>
      </c>
      <c r="B49" s="42" t="n">
        <v>9</v>
      </c>
      <c r="D49" s="6" t="inlineStr">
        <is>
          <t>ADCB same-day fwd P/E 8.7x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Driver build — the machinery</t>
        </is>
      </c>
    </row>
    <row r="2">
      <c r="A2" s="6" t="inlineStr">
        <is>
          <t>Every line is a formula off Assumptions. AED mn.</t>
        </is>
      </c>
    </row>
    <row r="4">
      <c r="A4" s="29" t="n"/>
      <c r="E4" s="23" t="inlineStr">
        <is>
          <t>FY26E</t>
        </is>
      </c>
      <c r="F4" s="23" t="inlineStr">
        <is>
          <t>FY27E</t>
        </is>
      </c>
      <c r="G4" s="23" t="inlineStr">
        <is>
          <t>FY28E</t>
        </is>
      </c>
      <c r="H4" s="23" t="inlineStr">
        <is>
          <t>FY29E</t>
        </is>
      </c>
      <c r="I4" s="23" t="inlineStr">
        <is>
          <t>FY30E</t>
        </is>
      </c>
    </row>
    <row r="5">
      <c r="A5" t="inlineStr">
        <is>
          <t>Net financing + sukuk (close)</t>
        </is>
      </c>
      <c r="E5" s="8">
        <f>Assumptions!$B$33*(1+Assumptions!E$22)</f>
        <v/>
      </c>
      <c r="F5" s="8">
        <f>E5*(1+Assumptions!F$22)</f>
        <v/>
      </c>
      <c r="G5" s="8">
        <f>F5*(1+Assumptions!G$22)</f>
        <v/>
      </c>
      <c r="H5" s="8">
        <f>G5*(1+Assumptions!H$22)</f>
        <v/>
      </c>
      <c r="I5" s="8">
        <f>H5*(1+Assumptions!I$22)</f>
        <v/>
      </c>
    </row>
    <row r="6">
      <c r="A6" t="inlineStr">
        <is>
          <t>Total assets</t>
        </is>
      </c>
      <c r="E6" s="8">
        <f>E5*Assumptions!$B$34/Assumptions!$B$33</f>
        <v/>
      </c>
      <c r="F6" s="8">
        <f>F5*Assumptions!$B$34/Assumptions!$B$33</f>
        <v/>
      </c>
      <c r="G6" s="8">
        <f>G5*Assumptions!$B$34/Assumptions!$B$33</f>
        <v/>
      </c>
      <c r="H6" s="8">
        <f>H5*Assumptions!$B$34/Assumptions!$B$33</f>
        <v/>
      </c>
      <c r="I6" s="8">
        <f>I5*Assumptions!$B$34/Assumptions!$B$33</f>
        <v/>
      </c>
    </row>
    <row r="7">
      <c r="A7" t="inlineStr">
        <is>
          <t>Customer deposits</t>
        </is>
      </c>
      <c r="E7" s="8">
        <f>E5*Assumptions!$B$35/Assumptions!$B$33</f>
        <v/>
      </c>
      <c r="F7" s="8">
        <f>F5*Assumptions!$B$35/Assumptions!$B$33</f>
        <v/>
      </c>
      <c r="G7" s="8">
        <f>G5*Assumptions!$B$35/Assumptions!$B$33</f>
        <v/>
      </c>
      <c r="H7" s="8">
        <f>H5*Assumptions!$B$35/Assumptions!$B$33</f>
        <v/>
      </c>
      <c r="I7" s="8">
        <f>I5*Assumptions!$B$35/Assumptions!$B$33</f>
        <v/>
      </c>
    </row>
    <row r="8">
      <c r="A8" t="inlineStr">
        <is>
          <t>Average financing + sukuk</t>
        </is>
      </c>
      <c r="E8" s="8">
        <f>AVERAGE(Assumptions!$B$33,E5)</f>
        <v/>
      </c>
      <c r="F8" s="8">
        <f>AVERAGE(E5,F5)</f>
        <v/>
      </c>
      <c r="G8" s="8">
        <f>AVERAGE(F5,G5)</f>
        <v/>
      </c>
      <c r="H8" s="8">
        <f>AVERAGE(G5,H5)</f>
        <v/>
      </c>
      <c r="I8" s="8">
        <f>AVERAGE(H5,I5)</f>
        <v/>
      </c>
    </row>
    <row r="9">
      <c r="A9" t="inlineStr">
        <is>
          <t>Average profit-bearing assets</t>
        </is>
      </c>
      <c r="E9" s="8">
        <f>Assumptions!$B$43*AVERAGE(Assumptions!$B$34,E6)</f>
        <v/>
      </c>
      <c r="F9" s="8">
        <f>Assumptions!$B$43*AVERAGE(E6,F6)</f>
        <v/>
      </c>
      <c r="G9" s="8">
        <f>Assumptions!$B$43*AVERAGE(F6,G6)</f>
        <v/>
      </c>
      <c r="H9" s="8">
        <f>Assumptions!$B$43*AVERAGE(G6,H6)</f>
        <v/>
      </c>
      <c r="I9" s="8">
        <f>Assumptions!$B$43*AVERAGE(H6,I6)</f>
        <v/>
      </c>
    </row>
    <row r="11">
      <c r="A11" s="13" t="inlineStr">
        <is>
          <t>Funded income = NPM × avg profit-bearing assets</t>
        </is>
      </c>
      <c r="E11" s="30">
        <f>Assumptions!E$23*E9</f>
        <v/>
      </c>
      <c r="F11" s="30">
        <f>Assumptions!F$23*F9</f>
        <v/>
      </c>
      <c r="G11" s="30">
        <f>Assumptions!G$23*G9</f>
        <v/>
      </c>
      <c r="H11" s="30">
        <f>Assumptions!H$23*H9</f>
        <v/>
      </c>
      <c r="I11" s="30">
        <f>Assumptions!I$23*I9</f>
        <v/>
      </c>
    </row>
    <row r="12">
      <c r="A12" t="inlineStr">
        <is>
          <t>Non-funded income</t>
        </is>
      </c>
      <c r="E12" s="8">
        <f>4279*(1+Assumptions!E$24)</f>
        <v/>
      </c>
      <c r="F12" s="8">
        <f>E12*(1+Assumptions!F$24)</f>
        <v/>
      </c>
      <c r="G12" s="8">
        <f>F12*(1+Assumptions!G$24)</f>
        <v/>
      </c>
      <c r="H12" s="8">
        <f>G12*(1+Assumptions!H$24)</f>
        <v/>
      </c>
      <c r="I12" s="8">
        <f>H12*(1+Assumptions!I$24)</f>
        <v/>
      </c>
    </row>
    <row r="13">
      <c r="A13" s="13" t="inlineStr">
        <is>
          <t>Operating revenue</t>
        </is>
      </c>
      <c r="E13" s="30">
        <f>E11+E12</f>
        <v/>
      </c>
      <c r="F13" s="30">
        <f>F11+F12</f>
        <v/>
      </c>
      <c r="G13" s="30">
        <f>G11+G12</f>
        <v/>
      </c>
      <c r="H13" s="30">
        <f>H11+H12</f>
        <v/>
      </c>
      <c r="I13" s="30">
        <f>I11+I12</f>
        <v/>
      </c>
    </row>
    <row r="14">
      <c r="A14" t="inlineStr">
        <is>
          <t>Operating expenses</t>
        </is>
      </c>
      <c r="E14" s="8">
        <f>-E13*Assumptions!E$25</f>
        <v/>
      </c>
      <c r="F14" s="8">
        <f>-F13*Assumptions!F$25</f>
        <v/>
      </c>
      <c r="G14" s="8">
        <f>-G13*Assumptions!G$25</f>
        <v/>
      </c>
      <c r="H14" s="8">
        <f>-H13*Assumptions!H$25</f>
        <v/>
      </c>
      <c r="I14" s="8">
        <f>-I13*Assumptions!I$25</f>
        <v/>
      </c>
    </row>
    <row r="15">
      <c r="A15" s="13" t="inlineStr">
        <is>
          <t>Pre-provision operating profit</t>
        </is>
      </c>
      <c r="E15" s="30">
        <f>E13+E14</f>
        <v/>
      </c>
      <c r="F15" s="30">
        <f>F13+F14</f>
        <v/>
      </c>
      <c r="G15" s="30">
        <f>G13+G14</f>
        <v/>
      </c>
      <c r="H15" s="30">
        <f>H13+H14</f>
        <v/>
      </c>
      <c r="I15" s="30">
        <f>I13+I14</f>
        <v/>
      </c>
    </row>
    <row r="16">
      <c r="A16" t="inlineStr">
        <is>
          <t>Impairment charge</t>
        </is>
      </c>
      <c r="E16" s="8">
        <f>-Assumptions!E$26/10000*E8</f>
        <v/>
      </c>
      <c r="F16" s="8">
        <f>-Assumptions!F$26/10000*F8</f>
        <v/>
      </c>
      <c r="G16" s="8">
        <f>-Assumptions!G$26/10000*G8</f>
        <v/>
      </c>
      <c r="H16" s="8">
        <f>-Assumptions!H$26/10000*H8</f>
        <v/>
      </c>
      <c r="I16" s="8">
        <f>-Assumptions!I$26/10000*I8</f>
        <v/>
      </c>
    </row>
    <row r="17">
      <c r="A17" s="13" t="inlineStr">
        <is>
          <t>Profit before tax</t>
        </is>
      </c>
      <c r="E17" s="30">
        <f>E15+E16</f>
        <v/>
      </c>
      <c r="F17" s="30">
        <f>F15+F16</f>
        <v/>
      </c>
      <c r="G17" s="30">
        <f>G15+G16</f>
        <v/>
      </c>
      <c r="H17" s="30">
        <f>H15+H16</f>
        <v/>
      </c>
      <c r="I17" s="30">
        <f>I15+I16</f>
        <v/>
      </c>
    </row>
    <row r="18">
      <c r="A18" t="inlineStr">
        <is>
          <t>Tax</t>
        </is>
      </c>
      <c r="E18" s="8">
        <f>-E17*Assumptions!E$27</f>
        <v/>
      </c>
      <c r="F18" s="8">
        <f>-F17*Assumptions!F$27</f>
        <v/>
      </c>
      <c r="G18" s="8">
        <f>-G17*Assumptions!G$27</f>
        <v/>
      </c>
      <c r="H18" s="8">
        <f>-H17*Assumptions!H$27</f>
        <v/>
      </c>
      <c r="I18" s="8">
        <f>-I17*Assumptions!I$27</f>
        <v/>
      </c>
    </row>
    <row r="19">
      <c r="A19" s="13" t="inlineStr">
        <is>
          <t>Net profit after tax</t>
        </is>
      </c>
      <c r="E19" s="30">
        <f>E17+E18</f>
        <v/>
      </c>
      <c r="F19" s="30">
        <f>F17+F18</f>
        <v/>
      </c>
      <c r="G19" s="30">
        <f>G17+G18</f>
        <v/>
      </c>
      <c r="H19" s="30">
        <f>H17+H18</f>
        <v/>
      </c>
      <c r="I19" s="30">
        <f>I17+I18</f>
        <v/>
      </c>
    </row>
    <row r="20">
      <c r="A20" t="inlineStr">
        <is>
          <t>less: non-controlling interests</t>
        </is>
      </c>
      <c r="E20" s="8">
        <f>-E19*Assumptions!$B$44</f>
        <v/>
      </c>
      <c r="F20" s="8">
        <f>-F19*Assumptions!$B$44</f>
        <v/>
      </c>
      <c r="G20" s="8">
        <f>-G19*Assumptions!$B$44</f>
        <v/>
      </c>
      <c r="H20" s="8">
        <f>-H19*Assumptions!$B$44</f>
        <v/>
      </c>
      <c r="I20" s="8">
        <f>-I19*Assumptions!$B$44</f>
        <v/>
      </c>
    </row>
    <row r="21">
      <c r="A21" t="inlineStr">
        <is>
          <t>Profit attributable to owners</t>
        </is>
      </c>
      <c r="E21" s="8">
        <f>E19+E20</f>
        <v/>
      </c>
      <c r="F21" s="8">
        <f>F19+F20</f>
        <v/>
      </c>
      <c r="G21" s="8">
        <f>G19+G20</f>
        <v/>
      </c>
      <c r="H21" s="8">
        <f>H19+H20</f>
        <v/>
      </c>
      <c r="I21" s="8">
        <f>I19+I20</f>
        <v/>
      </c>
    </row>
    <row r="22">
      <c r="A22" t="inlineStr">
        <is>
          <t>less: AT1 sukuk distributions</t>
        </is>
      </c>
      <c r="E22" s="8">
        <f>-Assumptions!E$30</f>
        <v/>
      </c>
      <c r="F22" s="8">
        <f>-Assumptions!F$30</f>
        <v/>
      </c>
      <c r="G22" s="8">
        <f>-Assumptions!G$30</f>
        <v/>
      </c>
      <c r="H22" s="8">
        <f>-Assumptions!H$30</f>
        <v/>
      </c>
      <c r="I22" s="8">
        <f>-Assumptions!I$30</f>
        <v/>
      </c>
    </row>
    <row r="23">
      <c r="A23" s="13" t="inlineStr">
        <is>
          <t>Earnings to common</t>
        </is>
      </c>
      <c r="E23" s="20">
        <f>E21+E22</f>
        <v/>
      </c>
      <c r="F23" s="20">
        <f>F21+F22</f>
        <v/>
      </c>
      <c r="G23" s="20">
        <f>G21+G22</f>
        <v/>
      </c>
      <c r="H23" s="20">
        <f>H21+H22</f>
        <v/>
      </c>
      <c r="I23" s="20">
        <f>I21+I22</f>
        <v/>
      </c>
    </row>
    <row r="24">
      <c r="A24" s="13" t="inlineStr">
        <is>
          <t>EPS (AED)</t>
        </is>
      </c>
      <c r="E24" s="31">
        <f>E23/Assumptions!$B$6</f>
        <v/>
      </c>
      <c r="F24" s="31">
        <f>F23/Assumptions!$B$6</f>
        <v/>
      </c>
      <c r="G24" s="31">
        <f>G23/Assumptions!$B$6</f>
        <v/>
      </c>
      <c r="H24" s="31">
        <f>H23/Assumptions!$B$6</f>
        <v/>
      </c>
      <c r="I24" s="31">
        <f>I23/Assumptions!$B$6</f>
        <v/>
      </c>
    </row>
    <row r="26">
      <c r="A26" s="1" t="inlineStr">
        <is>
          <t>CAPITAL SCHEDULE — the crux</t>
        </is>
      </c>
    </row>
    <row r="27">
      <c r="A27" t="inlineStr">
        <is>
          <t>Risk-weighted assets</t>
        </is>
      </c>
      <c r="E27" s="8">
        <f>E5*Assumptions!E$29</f>
        <v/>
      </c>
      <c r="F27" s="8">
        <f>F5*Assumptions!F$29</f>
        <v/>
      </c>
      <c r="G27" s="8">
        <f>G5*Assumptions!G$29</f>
        <v/>
      </c>
      <c r="H27" s="8">
        <f>H5*Assumptions!H$29</f>
        <v/>
      </c>
      <c r="I27" s="8">
        <f>I5*Assumptions!I$29</f>
        <v/>
      </c>
    </row>
    <row r="28">
      <c r="A28" t="inlineStr">
        <is>
          <t>Dividends paid</t>
        </is>
      </c>
      <c r="E28" s="8">
        <f>-Assumptions!E$28*Assumptions!$B$6</f>
        <v/>
      </c>
      <c r="F28" s="8">
        <f>-Assumptions!F$28*Assumptions!$B$6</f>
        <v/>
      </c>
      <c r="G28" s="8">
        <f>-Assumptions!G$28*Assumptions!$B$6</f>
        <v/>
      </c>
      <c r="H28" s="8">
        <f>-Assumptions!H$28*Assumptions!$B$6</f>
        <v/>
      </c>
      <c r="I28" s="8">
        <f>-Assumptions!I$28*Assumptions!$B$6</f>
        <v/>
      </c>
    </row>
    <row r="29">
      <c r="A29" t="inlineStr">
        <is>
          <t>Retained earnings</t>
        </is>
      </c>
      <c r="E29" s="8">
        <f>E23+E28</f>
        <v/>
      </c>
      <c r="F29" s="8">
        <f>F23+F28</f>
        <v/>
      </c>
      <c r="G29" s="8">
        <f>G23+G28</f>
        <v/>
      </c>
      <c r="H29" s="8">
        <f>H23+H28</f>
        <v/>
      </c>
      <c r="I29" s="8">
        <f>I23+I28</f>
        <v/>
      </c>
    </row>
    <row r="30">
      <c r="A30" t="inlineStr">
        <is>
          <t>CET1 capital (close)</t>
        </is>
      </c>
      <c r="E30" s="8">
        <f>Assumptions!$B$40+E29</f>
        <v/>
      </c>
      <c r="F30" s="8">
        <f>E30+F29</f>
        <v/>
      </c>
      <c r="G30" s="8">
        <f>F30+G29</f>
        <v/>
      </c>
      <c r="H30" s="8">
        <f>G30+H29</f>
        <v/>
      </c>
      <c r="I30" s="8">
        <f>H30+I29</f>
        <v/>
      </c>
    </row>
    <row r="31">
      <c r="A31" s="13" t="inlineStr">
        <is>
          <t>CET1 ratio  ← OUTPUT of the dividend policy</t>
        </is>
      </c>
      <c r="E31" s="22">
        <f>E30/E27</f>
        <v/>
      </c>
      <c r="F31" s="22">
        <f>F30/F27</f>
        <v/>
      </c>
      <c r="G31" s="22">
        <f>G30/G27</f>
        <v/>
      </c>
      <c r="H31" s="22">
        <f>H30/H27</f>
        <v/>
      </c>
      <c r="I31" s="22">
        <f>I30/I27</f>
        <v/>
      </c>
    </row>
    <row r="32">
      <c r="A32" t="inlineStr">
        <is>
          <t>Payout ratio</t>
        </is>
      </c>
      <c r="E32" s="37">
        <f>-E28/E23</f>
        <v/>
      </c>
      <c r="F32" s="37">
        <f>-F28/F23</f>
        <v/>
      </c>
      <c r="G32" s="37">
        <f>-G28/G23</f>
        <v/>
      </c>
      <c r="H32" s="37">
        <f>-H28/H23</f>
        <v/>
      </c>
      <c r="I32" s="37">
        <f>-I28/I23</f>
        <v/>
      </c>
    </row>
    <row r="33">
      <c r="A33" t="inlineStr">
        <is>
          <t>Capital-constrained retention (FCFE basis)</t>
        </is>
      </c>
      <c r="E33" s="8">
        <f>E27*Assumptions!$B$45-Assumptions!$B$40</f>
        <v/>
      </c>
      <c r="F33" s="8">
        <f>(F27-E27)*Assumptions!$B$45</f>
        <v/>
      </c>
      <c r="G33" s="8">
        <f>(G27-F27)*Assumptions!$B$45</f>
        <v/>
      </c>
      <c r="H33" s="8">
        <f>(H27-G27)*Assumptions!$B$45</f>
        <v/>
      </c>
      <c r="I33" s="8">
        <f>(I27-H27)*Assumptions!$B$45</f>
        <v/>
      </c>
    </row>
    <row r="35">
      <c r="A35" s="6" t="inlineStr">
        <is>
          <t>The dividend is board policy (Assumptions row 28); CET1 is what falls out of it. That inversion is deliberate — letting the payout be a pure capital residual produces a cut to 28 fils and then a tripling, and no board behaves that way.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Dividend discount model — the primary lens</t>
        </is>
      </c>
    </row>
    <row r="2">
      <c r="A2" s="6" t="inlineStr">
        <is>
          <t>For a bank, deposits are an operating input: everything discounts at Ke.</t>
        </is>
      </c>
    </row>
    <row r="4">
      <c r="A4" s="29" t="n"/>
      <c r="E4" s="23" t="inlineStr">
        <is>
          <t>FY26E</t>
        </is>
      </c>
      <c r="F4" s="23" t="inlineStr">
        <is>
          <t>FY27E</t>
        </is>
      </c>
      <c r="G4" s="23" t="inlineStr">
        <is>
          <t>FY28E</t>
        </is>
      </c>
      <c r="H4" s="23" t="inlineStr">
        <is>
          <t>FY29E</t>
        </is>
      </c>
      <c r="I4" s="23" t="inlineStr">
        <is>
          <t>FY30E</t>
        </is>
      </c>
    </row>
    <row r="5">
      <c r="A5" t="inlineStr">
        <is>
          <t>EPS (AED)</t>
        </is>
      </c>
      <c r="E5" s="7">
        <f>'Driver Build'!E24</f>
        <v/>
      </c>
      <c r="F5" s="7">
        <f>'Driver Build'!F24</f>
        <v/>
      </c>
      <c r="G5" s="7">
        <f>'Driver Build'!G24</f>
        <v/>
      </c>
      <c r="H5" s="7">
        <f>'Driver Build'!H24</f>
        <v/>
      </c>
      <c r="I5" s="7">
        <f>'Driver Build'!I24</f>
        <v/>
      </c>
    </row>
    <row r="6">
      <c r="A6" t="inlineStr">
        <is>
          <t>DPS (AED)</t>
        </is>
      </c>
      <c r="E6" s="7">
        <f>Assumptions!E$28</f>
        <v/>
      </c>
      <c r="F6" s="7">
        <f>Assumptions!F$28</f>
        <v/>
      </c>
      <c r="G6" s="7">
        <f>Assumptions!G$28</f>
        <v/>
      </c>
      <c r="H6" s="7">
        <f>Assumptions!H$28</f>
        <v/>
      </c>
      <c r="I6" s="7">
        <f>Assumptions!I$28</f>
        <v/>
      </c>
    </row>
    <row r="7">
      <c r="A7" t="inlineStr">
        <is>
          <t>Payout</t>
        </is>
      </c>
      <c r="E7" s="37">
        <f>E6/E5</f>
        <v/>
      </c>
      <c r="F7" s="37">
        <f>F6/F5</f>
        <v/>
      </c>
      <c r="G7" s="37">
        <f>G6/G5</f>
        <v/>
      </c>
      <c r="H7" s="37">
        <f>H6/H5</f>
        <v/>
      </c>
      <c r="I7" s="37">
        <f>I6/I5</f>
        <v/>
      </c>
    </row>
    <row r="8">
      <c r="A8" t="inlineStr">
        <is>
          <t>Discount factor @ Ke</t>
        </is>
      </c>
      <c r="E8" s="43">
        <f>1/(1+Assumptions!$B$16)^1</f>
        <v/>
      </c>
      <c r="F8" s="43">
        <f>1/(1+Assumptions!$B$16)^2</f>
        <v/>
      </c>
      <c r="G8" s="43">
        <f>1/(1+Assumptions!$B$16)^3</f>
        <v/>
      </c>
      <c r="H8" s="43">
        <f>1/(1+Assumptions!$B$16)^4</f>
        <v/>
      </c>
      <c r="I8" s="43">
        <f>1/(1+Assumptions!$B$16)^5</f>
        <v/>
      </c>
    </row>
    <row r="9">
      <c r="A9" s="13" t="inlineStr">
        <is>
          <t>PV of dividend</t>
        </is>
      </c>
      <c r="E9" s="44">
        <f>E6*E8</f>
        <v/>
      </c>
      <c r="F9" s="44">
        <f>F6*F8</f>
        <v/>
      </c>
      <c r="G9" s="44">
        <f>G6*G8</f>
        <v/>
      </c>
      <c r="H9" s="44">
        <f>H6*H8</f>
        <v/>
      </c>
      <c r="I9" s="44">
        <f>I6*I8</f>
        <v/>
      </c>
    </row>
    <row r="11">
      <c r="A11" s="1" t="inlineStr">
        <is>
          <t>TERMINAL BLOCK</t>
        </is>
      </c>
    </row>
    <row r="12">
      <c r="A12" t="inlineStr">
        <is>
          <t>Terminal payout = 1 − g / terminal ROE</t>
        </is>
      </c>
      <c r="B12" s="37">
        <f>1-Assumptions!$B$17/Assumptions!$B$18</f>
        <v/>
      </c>
    </row>
    <row r="13">
      <c r="A13" t="inlineStr">
        <is>
          <t>Terminal DPS (FY31) = EPS(FY30) × (1+g) × payout</t>
        </is>
      </c>
      <c r="B13" s="7">
        <f>'Driver Build'!I24*(1+Assumptions!$B$17)*B12</f>
        <v/>
      </c>
    </row>
    <row r="14">
      <c r="A14" t="inlineStr">
        <is>
          <t>Terminal value = terminal DPS / (Ke − g)</t>
        </is>
      </c>
      <c r="B14" s="7">
        <f>B13/(Assumptions!$B$16-Assumptions!$B$17)</f>
        <v/>
      </c>
    </row>
    <row r="15">
      <c r="A15" t="inlineStr">
        <is>
          <t>PV of terminal value</t>
        </is>
      </c>
      <c r="B15" s="7">
        <f>B14*I8</f>
        <v/>
      </c>
    </row>
    <row r="16">
      <c r="A16" t="inlineStr">
        <is>
          <t>Σ PV of explicit dividends (FY26–30)</t>
        </is>
      </c>
      <c r="B16" s="7">
        <f>SUM(E9:I9)</f>
        <v/>
      </c>
    </row>
    <row r="17">
      <c r="A17" s="13" t="inlineStr">
        <is>
          <t>DDM FAIR VALUE (AED / share)</t>
        </is>
      </c>
      <c r="B17" s="15">
        <f>B15+B16</f>
        <v/>
      </c>
    </row>
    <row r="18">
      <c r="A18" t="inlineStr">
        <is>
          <t>Terminal value as % of total  (how much of this number is the terminal assumption?)</t>
        </is>
      </c>
      <c r="B18" s="34">
        <f>B15/B17</f>
        <v/>
      </c>
    </row>
    <row r="20">
      <c r="A20" s="6" t="inlineStr">
        <is>
          <t>85% of the DDM sits in the terminal block. That makes this number a claim about DIB's steady state (a 15.5% ROE growing at 4%), not about the next five dividends. The Sensitivity sheet stresses exactly that claim.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Equity DCF (FCFE) — the full build, revenue to cash</t>
        </is>
      </c>
    </row>
    <row r="2">
      <c r="A2" s="6" t="inlineStr">
        <is>
          <t>Not what the board chooses to pay: what the bank COULD pay after funding its own growth at target capital.</t>
        </is>
      </c>
    </row>
    <row r="4">
      <c r="A4" s="29" t="n"/>
      <c r="E4" s="23" t="inlineStr">
        <is>
          <t>FY26E</t>
        </is>
      </c>
      <c r="F4" s="23" t="inlineStr">
        <is>
          <t>FY27E</t>
        </is>
      </c>
      <c r="G4" s="23" t="inlineStr">
        <is>
          <t>FY28E</t>
        </is>
      </c>
      <c r="H4" s="23" t="inlineStr">
        <is>
          <t>FY29E</t>
        </is>
      </c>
      <c r="I4" s="23" t="inlineStr">
        <is>
          <t>FY30E</t>
        </is>
      </c>
    </row>
    <row r="5">
      <c r="A5" t="inlineStr">
        <is>
          <t>Operating revenue</t>
        </is>
      </c>
      <c r="E5" s="8">
        <f>'Driver Build'!E13</f>
        <v/>
      </c>
      <c r="F5" s="8">
        <f>'Driver Build'!F13</f>
        <v/>
      </c>
      <c r="G5" s="8">
        <f>'Driver Build'!G13</f>
        <v/>
      </c>
      <c r="H5" s="8">
        <f>'Driver Build'!H13</f>
        <v/>
      </c>
      <c r="I5" s="8">
        <f>'Driver Build'!I13</f>
        <v/>
      </c>
    </row>
    <row r="6">
      <c r="A6" t="inlineStr">
        <is>
          <t>Operating expenses</t>
        </is>
      </c>
      <c r="E6" s="8">
        <f>'Driver Build'!E14</f>
        <v/>
      </c>
      <c r="F6" s="8">
        <f>'Driver Build'!F14</f>
        <v/>
      </c>
      <c r="G6" s="8">
        <f>'Driver Build'!G14</f>
        <v/>
      </c>
      <c r="H6" s="8">
        <f>'Driver Build'!H14</f>
        <v/>
      </c>
      <c r="I6" s="8">
        <f>'Driver Build'!I14</f>
        <v/>
      </c>
    </row>
    <row r="7">
      <c r="A7" s="13" t="inlineStr">
        <is>
          <t>Pre-provision operating profit</t>
        </is>
      </c>
      <c r="E7" s="30">
        <f>'Driver Build'!E15</f>
        <v/>
      </c>
      <c r="F7" s="30">
        <f>'Driver Build'!F15</f>
        <v/>
      </c>
      <c r="G7" s="30">
        <f>'Driver Build'!G15</f>
        <v/>
      </c>
      <c r="H7" s="30">
        <f>'Driver Build'!H15</f>
        <v/>
      </c>
      <c r="I7" s="30">
        <f>'Driver Build'!I15</f>
        <v/>
      </c>
    </row>
    <row r="8">
      <c r="A8" t="inlineStr">
        <is>
          <t>Impairment charge</t>
        </is>
      </c>
      <c r="E8" s="8">
        <f>'Driver Build'!E16</f>
        <v/>
      </c>
      <c r="F8" s="8">
        <f>'Driver Build'!F16</f>
        <v/>
      </c>
      <c r="G8" s="8">
        <f>'Driver Build'!G16</f>
        <v/>
      </c>
      <c r="H8" s="8">
        <f>'Driver Build'!H16</f>
        <v/>
      </c>
      <c r="I8" s="8">
        <f>'Driver Build'!I16</f>
        <v/>
      </c>
    </row>
    <row r="9">
      <c r="A9" s="13" t="inlineStr">
        <is>
          <t>Profit before tax</t>
        </is>
      </c>
      <c r="E9" s="30">
        <f>'Driver Build'!E17</f>
        <v/>
      </c>
      <c r="F9" s="30">
        <f>'Driver Build'!F17</f>
        <v/>
      </c>
      <c r="G9" s="30">
        <f>'Driver Build'!G17</f>
        <v/>
      </c>
      <c r="H9" s="30">
        <f>'Driver Build'!H17</f>
        <v/>
      </c>
      <c r="I9" s="30">
        <f>'Driver Build'!I17</f>
        <v/>
      </c>
    </row>
    <row r="10">
      <c r="A10" t="inlineStr">
        <is>
          <t>Tax</t>
        </is>
      </c>
      <c r="E10" s="8">
        <f>'Driver Build'!E18</f>
        <v/>
      </c>
      <c r="F10" s="8">
        <f>'Driver Build'!F18</f>
        <v/>
      </c>
      <c r="G10" s="8">
        <f>'Driver Build'!G18</f>
        <v/>
      </c>
      <c r="H10" s="8">
        <f>'Driver Build'!H18</f>
        <v/>
      </c>
      <c r="I10" s="8">
        <f>'Driver Build'!I18</f>
        <v/>
      </c>
    </row>
    <row r="11">
      <c r="A11" t="inlineStr">
        <is>
          <t>Net profit after tax</t>
        </is>
      </c>
      <c r="E11" s="8">
        <f>'Driver Build'!E19</f>
        <v/>
      </c>
      <c r="F11" s="8">
        <f>'Driver Build'!F19</f>
        <v/>
      </c>
      <c r="G11" s="8">
        <f>'Driver Build'!G19</f>
        <v/>
      </c>
      <c r="H11" s="8">
        <f>'Driver Build'!H19</f>
        <v/>
      </c>
      <c r="I11" s="8">
        <f>'Driver Build'!I19</f>
        <v/>
      </c>
    </row>
    <row r="12">
      <c r="A12" t="inlineStr">
        <is>
          <t>less: non-controlling interests</t>
        </is>
      </c>
      <c r="E12" s="8">
        <f>'Driver Build'!E20</f>
        <v/>
      </c>
      <c r="F12" s="8">
        <f>'Driver Build'!F20</f>
        <v/>
      </c>
      <c r="G12" s="8">
        <f>'Driver Build'!G20</f>
        <v/>
      </c>
      <c r="H12" s="8">
        <f>'Driver Build'!H20</f>
        <v/>
      </c>
      <c r="I12" s="8">
        <f>'Driver Build'!I20</f>
        <v/>
      </c>
    </row>
    <row r="13">
      <c r="A13" t="inlineStr">
        <is>
          <t>Profit attributable to owners</t>
        </is>
      </c>
      <c r="E13" s="8">
        <f>'Driver Build'!E21</f>
        <v/>
      </c>
      <c r="F13" s="8">
        <f>'Driver Build'!F21</f>
        <v/>
      </c>
      <c r="G13" s="8">
        <f>'Driver Build'!G21</f>
        <v/>
      </c>
      <c r="H13" s="8">
        <f>'Driver Build'!H21</f>
        <v/>
      </c>
      <c r="I13" s="8">
        <f>'Driver Build'!I21</f>
        <v/>
      </c>
    </row>
    <row r="14">
      <c r="A14" t="inlineStr">
        <is>
          <t>less: AT1 sukuk distributions</t>
        </is>
      </c>
      <c r="E14" s="8">
        <f>'Driver Build'!E22</f>
        <v/>
      </c>
      <c r="F14" s="8">
        <f>'Driver Build'!F22</f>
        <v/>
      </c>
      <c r="G14" s="8">
        <f>'Driver Build'!G22</f>
        <v/>
      </c>
      <c r="H14" s="8">
        <f>'Driver Build'!H22</f>
        <v/>
      </c>
      <c r="I14" s="8">
        <f>'Driver Build'!I22</f>
        <v/>
      </c>
    </row>
    <row r="15">
      <c r="A15" s="13" t="inlineStr">
        <is>
          <t>Earnings to common</t>
        </is>
      </c>
      <c r="E15" s="30">
        <f>'Driver Build'!E23</f>
        <v/>
      </c>
      <c r="F15" s="30">
        <f>'Driver Build'!F23</f>
        <v/>
      </c>
      <c r="G15" s="30">
        <f>'Driver Build'!G23</f>
        <v/>
      </c>
      <c r="H15" s="30">
        <f>'Driver Build'!H23</f>
        <v/>
      </c>
      <c r="I15" s="30">
        <f>'Driver Build'!I23</f>
        <v/>
      </c>
    </row>
    <row r="16">
      <c r="A16" t="inlineStr">
        <is>
          <t>less: equity retained for RWA growth (at target CET1)</t>
        </is>
      </c>
      <c r="E16" s="8">
        <f>-'Driver Build'!E33</f>
        <v/>
      </c>
      <c r="F16" s="8">
        <f>-'Driver Build'!F33</f>
        <v/>
      </c>
      <c r="G16" s="8">
        <f>-'Driver Build'!G33</f>
        <v/>
      </c>
      <c r="H16" s="8">
        <f>-'Driver Build'!H33</f>
        <v/>
      </c>
      <c r="I16" s="8">
        <f>-'Driver Build'!I33</f>
        <v/>
      </c>
    </row>
    <row r="17">
      <c r="A17" s="13" t="inlineStr">
        <is>
          <t>Free cash flow to equity (FCFE)</t>
        </is>
      </c>
      <c r="E17" s="20">
        <f>E15+E16</f>
        <v/>
      </c>
      <c r="F17" s="20">
        <f>F15+F16</f>
        <v/>
      </c>
      <c r="G17" s="20">
        <f>G15+G16</f>
        <v/>
      </c>
      <c r="H17" s="20">
        <f>H15+H16</f>
        <v/>
      </c>
      <c r="I17" s="20">
        <f>I15+I16</f>
        <v/>
      </c>
    </row>
    <row r="18">
      <c r="A18" t="inlineStr">
        <is>
          <t>Discount factor @ Ke</t>
        </is>
      </c>
      <c r="E18" s="43">
        <f>1/(1+Assumptions!$B$16)^1</f>
        <v/>
      </c>
      <c r="F18" s="43">
        <f>1/(1+Assumptions!$B$16)^2</f>
        <v/>
      </c>
      <c r="G18" s="43">
        <f>1/(1+Assumptions!$B$16)^3</f>
        <v/>
      </c>
      <c r="H18" s="43">
        <f>1/(1+Assumptions!$B$16)^4</f>
        <v/>
      </c>
      <c r="I18" s="43">
        <f>1/(1+Assumptions!$B$16)^5</f>
        <v/>
      </c>
    </row>
    <row r="19">
      <c r="A19" s="13" t="inlineStr">
        <is>
          <t>PV of FCFE</t>
        </is>
      </c>
      <c r="E19" s="30">
        <f>E17*E18</f>
        <v/>
      </c>
      <c r="F19" s="30">
        <f>F17*F18</f>
        <v/>
      </c>
      <c r="G19" s="30">
        <f>G17*G18</f>
        <v/>
      </c>
      <c r="H19" s="30">
        <f>H17*H18</f>
        <v/>
      </c>
      <c r="I19" s="30">
        <f>I17*I18</f>
        <v/>
      </c>
    </row>
    <row r="21">
      <c r="A21" s="1" t="inlineStr">
        <is>
          <t>TERMINAL VALUE &amp; BRIDGE TO PER-SHARE</t>
        </is>
      </c>
    </row>
    <row r="22">
      <c r="A22" t="inlineStr">
        <is>
          <t>Σ PV of explicit FCFE (FY26–30)</t>
        </is>
      </c>
      <c r="B22" s="8">
        <f>SUM(E19:I19)</f>
        <v/>
      </c>
    </row>
    <row r="23">
      <c r="A23" t="inlineStr">
        <is>
          <t>Terminal FCFE (FY31) = FY30 × (1+g)</t>
        </is>
      </c>
      <c r="B23" s="8">
        <f>I17*(1+Assumptions!$B$17)</f>
        <v/>
      </c>
    </row>
    <row r="24">
      <c r="A24" t="inlineStr">
        <is>
          <t>Terminal value = terminal FCFE / (Ke − g)</t>
        </is>
      </c>
      <c r="B24" s="8">
        <f>B23/(Assumptions!$B$16-Assumptions!$B$17)</f>
        <v/>
      </c>
    </row>
    <row r="25">
      <c r="A25" t="inlineStr">
        <is>
          <t>PV of terminal value</t>
        </is>
      </c>
      <c r="B25" s="8">
        <f>B24*I18</f>
        <v/>
      </c>
    </row>
    <row r="26">
      <c r="A26" t="inlineStr">
        <is>
          <t>Equity value = Σ PV explicit + PV terminal</t>
        </is>
      </c>
      <c r="B26" s="8">
        <f>B22+B25</f>
        <v/>
      </c>
    </row>
    <row r="27">
      <c r="A27" t="inlineStr">
        <is>
          <t>÷ shares outstanding (mn)</t>
        </is>
      </c>
      <c r="B27" s="8">
        <f>Assumptions!$B$6</f>
        <v/>
      </c>
    </row>
    <row r="28">
      <c r="A28" s="13" t="inlineStr">
        <is>
          <t>FCFE VALUE PER SHARE (AED)</t>
        </is>
      </c>
      <c r="B28" s="15">
        <f>B26/B27</f>
        <v/>
      </c>
    </row>
    <row r="29">
      <c r="A29" t="inlineStr">
        <is>
          <t>Memo: terminal value as % of equity value</t>
        </is>
      </c>
      <c r="B29" s="34">
        <f>B25/B26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Residual income — book value plus the value of excess returns</t>
        </is>
      </c>
    </row>
    <row r="2">
      <c r="A2" s="6" t="inlineStr">
        <is>
          <t>The lens least dependent on terminal assumptions, and the natural cross-check on both DCFs.</t>
        </is>
      </c>
    </row>
    <row r="4">
      <c r="A4" s="29" t="n"/>
      <c r="E4" s="23" t="inlineStr">
        <is>
          <t>FY26E</t>
        </is>
      </c>
      <c r="F4" s="23" t="inlineStr">
        <is>
          <t>FY27E</t>
        </is>
      </c>
      <c r="G4" s="23" t="inlineStr">
        <is>
          <t>FY28E</t>
        </is>
      </c>
      <c r="H4" s="23" t="inlineStr">
        <is>
          <t>FY29E</t>
        </is>
      </c>
      <c r="I4" s="23" t="inlineStr">
        <is>
          <t>FY30E</t>
        </is>
      </c>
    </row>
    <row r="5">
      <c r="A5" t="inlineStr">
        <is>
          <t>Opening common equity</t>
        </is>
      </c>
      <c r="E5" s="8">
        <f>Assumptions!$B$38</f>
        <v/>
      </c>
      <c r="F5" s="8">
        <f>E6</f>
        <v/>
      </c>
      <c r="G5" s="8">
        <f>F6</f>
        <v/>
      </c>
      <c r="H5" s="8">
        <f>G6</f>
        <v/>
      </c>
      <c r="I5" s="8">
        <f>H6</f>
        <v/>
      </c>
    </row>
    <row r="6">
      <c r="A6" t="inlineStr">
        <is>
          <t>Closing common equity</t>
        </is>
      </c>
      <c r="E6" s="8">
        <f>E5+'Driver Build'!E23+'Driver Build'!E28</f>
        <v/>
      </c>
      <c r="F6" s="8">
        <f>F5+'Driver Build'!F23+'Driver Build'!F28</f>
        <v/>
      </c>
      <c r="G6" s="8">
        <f>G5+'Driver Build'!G23+'Driver Build'!G28</f>
        <v/>
      </c>
      <c r="H6" s="8">
        <f>H5+'Driver Build'!H23+'Driver Build'!H28</f>
        <v/>
      </c>
      <c r="I6" s="8">
        <f>I5+'Driver Build'!I23+'Driver Build'!I28</f>
        <v/>
      </c>
    </row>
    <row r="7">
      <c r="A7" t="inlineStr">
        <is>
          <t>Net profit to common</t>
        </is>
      </c>
      <c r="E7" s="8">
        <f>'Driver Build'!E23</f>
        <v/>
      </c>
      <c r="F7" s="8">
        <f>'Driver Build'!F23</f>
        <v/>
      </c>
      <c r="G7" s="8">
        <f>'Driver Build'!G23</f>
        <v/>
      </c>
      <c r="H7" s="8">
        <f>'Driver Build'!H23</f>
        <v/>
      </c>
      <c r="I7" s="8">
        <f>'Driver Build'!I23</f>
        <v/>
      </c>
    </row>
    <row r="8">
      <c r="A8" t="inlineStr">
        <is>
          <t>Equity charge (Ke × opening equity)</t>
        </is>
      </c>
      <c r="E8" s="8">
        <f>-Assumptions!$B$16*E5</f>
        <v/>
      </c>
      <c r="F8" s="8">
        <f>-Assumptions!$B$16*F5</f>
        <v/>
      </c>
      <c r="G8" s="8">
        <f>-Assumptions!$B$16*G5</f>
        <v/>
      </c>
      <c r="H8" s="8">
        <f>-Assumptions!$B$16*H5</f>
        <v/>
      </c>
      <c r="I8" s="8">
        <f>-Assumptions!$B$16*I5</f>
        <v/>
      </c>
    </row>
    <row r="9">
      <c r="A9" s="13" t="inlineStr">
        <is>
          <t>Residual income</t>
        </is>
      </c>
      <c r="E9" s="20">
        <f>E7+E8</f>
        <v/>
      </c>
      <c r="F9" s="20">
        <f>F7+F8</f>
        <v/>
      </c>
      <c r="G9" s="20">
        <f>G7+G8</f>
        <v/>
      </c>
      <c r="H9" s="20">
        <f>H7+H8</f>
        <v/>
      </c>
      <c r="I9" s="20">
        <f>I7+I8</f>
        <v/>
      </c>
    </row>
    <row r="10">
      <c r="A10" t="inlineStr">
        <is>
          <t>Discount factor @ Ke</t>
        </is>
      </c>
      <c r="E10" s="43">
        <f>1/(1+Assumptions!$B$16)^1</f>
        <v/>
      </c>
      <c r="F10" s="43">
        <f>1/(1+Assumptions!$B$16)^2</f>
        <v/>
      </c>
      <c r="G10" s="43">
        <f>1/(1+Assumptions!$B$16)^3</f>
        <v/>
      </c>
      <c r="H10" s="43">
        <f>1/(1+Assumptions!$B$16)^4</f>
        <v/>
      </c>
      <c r="I10" s="43">
        <f>1/(1+Assumptions!$B$16)^5</f>
        <v/>
      </c>
    </row>
    <row r="11">
      <c r="A11" t="inlineStr">
        <is>
          <t>PV of residual income</t>
        </is>
      </c>
      <c r="E11" s="8">
        <f>E9*E10</f>
        <v/>
      </c>
      <c r="F11" s="8">
        <f>F9*F10</f>
        <v/>
      </c>
      <c r="G11" s="8">
        <f>G9*G10</f>
        <v/>
      </c>
      <c r="H11" s="8">
        <f>H9*H10</f>
        <v/>
      </c>
      <c r="I11" s="8">
        <f>I9*I10</f>
        <v/>
      </c>
    </row>
    <row r="13">
      <c r="A13" t="inlineStr">
        <is>
          <t>Common book value (Dec-2025)</t>
        </is>
      </c>
      <c r="B13" s="8">
        <f>Assumptions!$B$38</f>
        <v/>
      </c>
    </row>
    <row r="14">
      <c r="A14" t="inlineStr">
        <is>
          <t>Σ PV of explicit residual income</t>
        </is>
      </c>
      <c r="B14" s="8">
        <f>SUM(E11:I11)</f>
        <v/>
      </c>
    </row>
    <row r="15">
      <c r="A15" t="inlineStr">
        <is>
          <t>PV of terminal residual income</t>
        </is>
      </c>
      <c r="B15" s="8">
        <f>I9*(1+Assumptions!$B$17)/(Assumptions!$B$16-Assumptions!$B$17)*I10</f>
        <v/>
      </c>
    </row>
    <row r="16">
      <c r="A16" t="inlineStr">
        <is>
          <t>Equity value</t>
        </is>
      </c>
      <c r="B16" s="8">
        <f>B13+B14+B15</f>
        <v/>
      </c>
    </row>
    <row r="17">
      <c r="A17" t="inlineStr">
        <is>
          <t>÷ shares (mn)</t>
        </is>
      </c>
      <c r="B17" s="8">
        <f>Assumptions!$B$6</f>
        <v/>
      </c>
    </row>
    <row r="18">
      <c r="A18" s="13" t="inlineStr">
        <is>
          <t>RESIDUAL-INCOME VALUE PER SHARE (AED)</t>
        </is>
      </c>
      <c r="B18" s="15">
        <f>B16/B17</f>
        <v/>
      </c>
    </row>
    <row r="19">
      <c r="A19" t="inlineStr">
        <is>
          <t>Implied P/B on current common book</t>
        </is>
      </c>
      <c r="B19" s="35">
        <f>B18/(Assumptions!$B$38/Assumptions!$B$6)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Relative multiples and normalized (through-cycle) value</t>
        </is>
      </c>
    </row>
    <row r="2">
      <c r="A2" s="6" t="inlineStr">
        <is>
          <t>The two market-anchored lenses — the discipline on the DCF family.</t>
        </is>
      </c>
    </row>
    <row r="4">
      <c r="A4" s="1" t="inlineStr">
        <is>
          <t>RELATIVE</t>
        </is>
      </c>
    </row>
    <row r="5">
      <c r="A5" t="inlineStr">
        <is>
          <t>DIB book value per share (common, ex-AT1)</t>
        </is>
      </c>
      <c r="B5" s="7">
        <f>Assumptions!$B$38/Assumptions!$B$6</f>
        <v/>
      </c>
    </row>
    <row r="6">
      <c r="A6" t="inlineStr">
        <is>
          <t>Sector P/B mark (UAE large-cap band)</t>
        </is>
      </c>
      <c r="B6" s="35">
        <f>Assumptions!$B$48</f>
        <v/>
      </c>
    </row>
    <row r="7">
      <c r="A7" t="inlineStr">
        <is>
          <t>Value on P/B</t>
        </is>
      </c>
      <c r="B7" s="7">
        <f>B5*B6</f>
        <v/>
      </c>
    </row>
    <row r="8">
      <c r="A8" t="inlineStr">
        <is>
          <t>FY26E EPS</t>
        </is>
      </c>
      <c r="B8" s="7">
        <f>'Driver Build'!E24</f>
        <v/>
      </c>
    </row>
    <row r="9">
      <c r="A9" t="inlineStr">
        <is>
          <t>Sector forward P/E mark</t>
        </is>
      </c>
      <c r="B9" s="36">
        <f>Assumptions!$B$49</f>
        <v/>
      </c>
    </row>
    <row r="10">
      <c r="A10" t="inlineStr">
        <is>
          <t>Value on P/E</t>
        </is>
      </c>
      <c r="B10" s="7">
        <f>B8*B9</f>
        <v/>
      </c>
    </row>
    <row r="11">
      <c r="A11" s="13" t="inlineStr">
        <is>
          <t>RELATIVE VALUE (50/50 blend)</t>
        </is>
      </c>
      <c r="B11" s="15">
        <f>AVERAGE(B7,B10)</f>
        <v/>
      </c>
    </row>
    <row r="12">
      <c r="A12" t="inlineStr">
        <is>
          <t>DIB's OWN P/B at spot</t>
        </is>
      </c>
      <c r="B12" s="35">
        <f>Assumptions!$B$5/(Assumptions!$B$38/Assumptions!$B$6)</f>
        <v/>
      </c>
    </row>
    <row r="13">
      <c r="A13" t="inlineStr">
        <is>
          <t>DIB's OWN trailing P/E at spot</t>
        </is>
      </c>
      <c r="B13" s="36">
        <f>Assumptions!$B$5/0.98</f>
        <v/>
      </c>
    </row>
    <row r="15">
      <c r="A15" s="1" t="inlineStr">
        <is>
          <t>NORMALIZED (THROUGH-CYCLE)</t>
        </is>
      </c>
    </row>
    <row r="16">
      <c r="A16" t="inlineStr">
        <is>
          <t>Through-cycle ROE</t>
        </is>
      </c>
      <c r="B16" s="37">
        <f>Assumptions!$B$19</f>
        <v/>
      </c>
    </row>
    <row r="17">
      <c r="A17" t="inlineStr">
        <is>
          <t>Normalized EPS = ROE × BVPS</t>
        </is>
      </c>
      <c r="B17" s="7">
        <f>B16*(Assumptions!$B$38/Assumptions!$B$6)</f>
        <v/>
      </c>
    </row>
    <row r="18">
      <c r="A18" t="inlineStr">
        <is>
          <t>Justified P/B = (ROE − g) / (Ke − g)</t>
        </is>
      </c>
      <c r="B18" s="35">
        <f>(B16-Assumptions!$B$17)/(Assumptions!$B$16-Assumptions!$B$17)</f>
        <v/>
      </c>
    </row>
    <row r="19">
      <c r="A19" s="13" t="inlineStr">
        <is>
          <t>NORMALIZED VALUE (AED / share)</t>
        </is>
      </c>
      <c r="B19" s="15">
        <f>B18*(Assumptions!$B$38/Assumptions!$B$6)</f>
        <v/>
      </c>
    </row>
    <row r="20">
      <c r="A20" t="inlineStr">
        <is>
          <t>Implied P/E on normalized earnings</t>
        </is>
      </c>
      <c r="B20" s="36">
        <f>B19/B18</f>
        <v/>
      </c>
    </row>
    <row r="22">
      <c r="A22" s="6" t="inlineStr">
        <is>
          <t>Valuing normalized earnings at the P/B their ROE justifies — rather than an arbitrarily low multiple — keeps this lens internally consistent with the other four, which all discount at the same Ke.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5" t="inlineStr">
        <is>
          <t>Income statement — 3 years history + 5-year model</t>
        </is>
      </c>
    </row>
    <row r="2">
      <c r="A2" s="6" t="inlineStr">
        <is>
          <t>AED mn. History: DIB press releases + FY25 audited consolidated FS.</t>
        </is>
      </c>
    </row>
    <row r="4">
      <c r="A4" s="29" t="n"/>
      <c r="B4" s="23" t="inlineStr">
        <is>
          <t>FY23</t>
        </is>
      </c>
      <c r="C4" s="23" t="inlineStr">
        <is>
          <t>FY24</t>
        </is>
      </c>
      <c r="D4" s="23" t="inlineStr">
        <is>
          <t>FY25</t>
        </is>
      </c>
      <c r="E4" s="23" t="inlineStr">
        <is>
          <t>FY26E</t>
        </is>
      </c>
      <c r="F4" s="23" t="inlineStr">
        <is>
          <t>FY27E</t>
        </is>
      </c>
      <c r="G4" s="23" t="inlineStr">
        <is>
          <t>FY28E</t>
        </is>
      </c>
      <c r="H4" s="23" t="inlineStr">
        <is>
          <t>FY29E</t>
        </is>
      </c>
      <c r="I4" s="23" t="inlineStr">
        <is>
          <t>FY30E</t>
        </is>
      </c>
    </row>
    <row r="5">
      <c r="A5" t="inlineStr">
        <is>
          <t>Funded income (the spread)</t>
        </is>
      </c>
      <c r="D5" s="8" t="n">
        <v>8972</v>
      </c>
      <c r="E5" s="8">
        <f>'Driver Build'!E11</f>
        <v/>
      </c>
      <c r="F5" s="8">
        <f>'Driver Build'!F11</f>
        <v/>
      </c>
      <c r="G5" s="8">
        <f>'Driver Build'!G11</f>
        <v/>
      </c>
      <c r="H5" s="8">
        <f>'Driver Build'!H11</f>
        <v/>
      </c>
      <c r="I5" s="8">
        <f>'Driver Build'!I11</f>
        <v/>
      </c>
    </row>
    <row r="6">
      <c r="A6" t="inlineStr">
        <is>
          <t>Non-funded income (fees, FX, trading)</t>
        </is>
      </c>
      <c r="D6" s="8" t="n">
        <v>4279</v>
      </c>
      <c r="E6" s="8">
        <f>'Driver Build'!E12</f>
        <v/>
      </c>
      <c r="F6" s="8">
        <f>'Driver Build'!F12</f>
        <v/>
      </c>
      <c r="G6" s="8">
        <f>'Driver Build'!G12</f>
        <v/>
      </c>
      <c r="H6" s="8">
        <f>'Driver Build'!H12</f>
        <v/>
      </c>
      <c r="I6" s="8">
        <f>'Driver Build'!I12</f>
        <v/>
      </c>
    </row>
    <row r="7">
      <c r="A7" s="13" t="inlineStr">
        <is>
          <t>Operating revenue</t>
        </is>
      </c>
      <c r="B7" s="30" t="n">
        <v>11665</v>
      </c>
      <c r="C7" s="30" t="n">
        <v>12837</v>
      </c>
      <c r="D7" s="30" t="n">
        <v>13251</v>
      </c>
      <c r="E7" s="30">
        <f>'Driver Build'!E13</f>
        <v/>
      </c>
      <c r="F7" s="30">
        <f>'Driver Build'!F13</f>
        <v/>
      </c>
      <c r="G7" s="30">
        <f>'Driver Build'!G13</f>
        <v/>
      </c>
      <c r="H7" s="30">
        <f>'Driver Build'!H13</f>
        <v/>
      </c>
      <c r="I7" s="30">
        <f>'Driver Build'!I13</f>
        <v/>
      </c>
    </row>
    <row r="8">
      <c r="A8" t="inlineStr">
        <is>
          <t>Operating expenses</t>
        </is>
      </c>
      <c r="B8" s="8" t="n">
        <v>-3161</v>
      </c>
      <c r="C8" s="8" t="n">
        <v>-3425</v>
      </c>
      <c r="D8" s="8" t="n">
        <v>-3763</v>
      </c>
      <c r="E8" s="8">
        <f>'Driver Build'!E14</f>
        <v/>
      </c>
      <c r="F8" s="8">
        <f>'Driver Build'!F14</f>
        <v/>
      </c>
      <c r="G8" s="8">
        <f>'Driver Build'!G14</f>
        <v/>
      </c>
      <c r="H8" s="8">
        <f>'Driver Build'!H14</f>
        <v/>
      </c>
      <c r="I8" s="8">
        <f>'Driver Build'!I14</f>
        <v/>
      </c>
    </row>
    <row r="9">
      <c r="A9" s="13" t="inlineStr">
        <is>
          <t>Pre-provision operating profit</t>
        </is>
      </c>
      <c r="B9" s="30" t="n">
        <v>8504</v>
      </c>
      <c r="C9" s="30" t="n">
        <v>9412</v>
      </c>
      <c r="D9" s="30" t="n">
        <v>9488</v>
      </c>
      <c r="E9" s="30">
        <f>'Driver Build'!E15</f>
        <v/>
      </c>
      <c r="F9" s="30">
        <f>'Driver Build'!F15</f>
        <v/>
      </c>
      <c r="G9" s="30">
        <f>'Driver Build'!G15</f>
        <v/>
      </c>
      <c r="H9" s="30">
        <f>'Driver Build'!H15</f>
        <v/>
      </c>
      <c r="I9" s="30">
        <f>'Driver Build'!I15</f>
        <v/>
      </c>
    </row>
    <row r="10">
      <c r="A10" t="inlineStr">
        <is>
          <t>Impairment charge (net)</t>
        </is>
      </c>
      <c r="B10" s="8" t="n">
        <v>-1396</v>
      </c>
      <c r="C10" s="8" t="n">
        <v>-407</v>
      </c>
      <c r="D10" s="8" t="n">
        <v>-485</v>
      </c>
      <c r="E10" s="8">
        <f>'Driver Build'!E16</f>
        <v/>
      </c>
      <c r="F10" s="8">
        <f>'Driver Build'!F16</f>
        <v/>
      </c>
      <c r="G10" s="8">
        <f>'Driver Build'!G16</f>
        <v/>
      </c>
      <c r="H10" s="8">
        <f>'Driver Build'!H16</f>
        <v/>
      </c>
      <c r="I10" s="8">
        <f>'Driver Build'!I16</f>
        <v/>
      </c>
    </row>
    <row r="11">
      <c r="A11" s="13" t="inlineStr">
        <is>
          <t>Profit before tax  (REPORTED)</t>
        </is>
      </c>
      <c r="B11" s="20" t="n">
        <v>7108</v>
      </c>
      <c r="C11" s="20" t="n">
        <v>9005</v>
      </c>
      <c r="D11" s="20" t="n">
        <v>9003</v>
      </c>
      <c r="E11" s="20">
        <f>'Driver Build'!E17</f>
        <v/>
      </c>
      <c r="F11" s="20">
        <f>'Driver Build'!F17</f>
        <v/>
      </c>
      <c r="G11" s="20">
        <f>'Driver Build'!G17</f>
        <v/>
      </c>
      <c r="H11" s="20">
        <f>'Driver Build'!H17</f>
        <v/>
      </c>
      <c r="I11" s="20">
        <f>'Driver Build'!I17</f>
        <v/>
      </c>
    </row>
    <row r="13">
      <c r="A13" s="1" t="inlineStr">
        <is>
          <t>FY24 NORMALISATION — DISCLOSED LINE BY LINE (FY25 deck, slide 10)</t>
        </is>
      </c>
      <c r="B13" t="inlineStr">
        <is>
          <t>FY24 reported</t>
        </is>
      </c>
      <c r="C13" t="inlineStr">
        <is>
          <t>FY24 normalised</t>
        </is>
      </c>
      <c r="D13" t="inlineStr">
        <is>
          <t>legacy recovery</t>
        </is>
      </c>
    </row>
    <row r="14">
      <c r="A14" t="inlineStr">
        <is>
          <t>Net funded income</t>
        </is>
      </c>
      <c r="B14" s="8" t="n">
        <v>8949</v>
      </c>
      <c r="C14" s="8" t="n">
        <v>8691</v>
      </c>
      <c r="D14" s="8" t="n">
        <v>258</v>
      </c>
    </row>
    <row r="15">
      <c r="A15" t="inlineStr">
        <is>
          <t>Non-funded income</t>
        </is>
      </c>
      <c r="B15" s="8" t="n">
        <v>3887</v>
      </c>
      <c r="C15" s="8" t="n">
        <v>3887</v>
      </c>
      <c r="D15" s="8" t="n">
        <v>0</v>
      </c>
    </row>
    <row r="16">
      <c r="A16" t="inlineStr">
        <is>
          <t>Operating revenue</t>
        </is>
      </c>
      <c r="B16" s="8" t="n">
        <v>12837</v>
      </c>
      <c r="C16" s="8" t="n">
        <v>12579</v>
      </c>
      <c r="D16" s="8" t="n">
        <v>258</v>
      </c>
    </row>
    <row r="17">
      <c r="A17" t="inlineStr">
        <is>
          <t>Operating expenses</t>
        </is>
      </c>
      <c r="B17" s="8" t="n">
        <v>-3425</v>
      </c>
      <c r="C17" s="8" t="n">
        <v>-3425</v>
      </c>
      <c r="D17" s="8" t="n">
        <v>0</v>
      </c>
    </row>
    <row r="18">
      <c r="A18" t="inlineStr">
        <is>
          <t>Pre-provision operating profit</t>
        </is>
      </c>
      <c r="B18" s="8" t="n">
        <v>9412</v>
      </c>
      <c r="C18" s="8" t="n">
        <v>9154</v>
      </c>
      <c r="D18" s="8" t="n">
        <v>258</v>
      </c>
    </row>
    <row r="19">
      <c r="A19" s="13" t="inlineStr">
        <is>
          <t>Net impairment charges</t>
        </is>
      </c>
      <c r="B19" s="30" t="n">
        <v>-407</v>
      </c>
      <c r="C19" s="30" t="n">
        <v>-1677</v>
      </c>
      <c r="D19" s="30" t="n">
        <v>1270</v>
      </c>
    </row>
    <row r="20">
      <c r="A20" s="13" t="inlineStr">
        <is>
          <t>Profit before tax</t>
        </is>
      </c>
      <c r="B20" s="30" t="n">
        <v>9005</v>
      </c>
      <c r="C20" s="30" t="n">
        <v>7477</v>
      </c>
      <c r="D20" s="30" t="n">
        <v>1528</v>
      </c>
    </row>
    <row r="21">
      <c r="A21" t="inlineStr">
        <is>
          <t>Net profit after tax</t>
        </is>
      </c>
      <c r="B21" s="8" t="n">
        <v>8165</v>
      </c>
      <c r="C21" s="8" t="n">
        <v>6637</v>
      </c>
      <c r="D21" s="8" t="n">
        <v>1528</v>
      </c>
    </row>
    <row r="23">
      <c r="A23" t="inlineStr">
        <is>
          <t>Tax</t>
        </is>
      </c>
      <c r="B23" s="8" t="n">
        <v>-98</v>
      </c>
      <c r="C23" s="8" t="n">
        <v>-840</v>
      </c>
      <c r="D23" s="8" t="n">
        <v>-1195</v>
      </c>
      <c r="E23" s="8">
        <f>'Driver Build'!E18</f>
        <v/>
      </c>
      <c r="F23" s="8">
        <f>'Driver Build'!F18</f>
        <v/>
      </c>
      <c r="G23" s="8">
        <f>'Driver Build'!G18</f>
        <v/>
      </c>
      <c r="H23" s="8">
        <f>'Driver Build'!H18</f>
        <v/>
      </c>
      <c r="I23" s="8">
        <f>'Driver Build'!I18</f>
        <v/>
      </c>
    </row>
    <row r="24">
      <c r="A24" s="13" t="inlineStr">
        <is>
          <t>Net profit after tax</t>
        </is>
      </c>
      <c r="B24" s="30" t="n">
        <v>7010</v>
      </c>
      <c r="C24" s="30" t="n">
        <v>8165</v>
      </c>
      <c r="D24" s="30" t="n">
        <v>7808</v>
      </c>
      <c r="E24" s="30">
        <f>'Driver Build'!E19</f>
        <v/>
      </c>
      <c r="F24" s="30">
        <f>'Driver Build'!F19</f>
        <v/>
      </c>
      <c r="G24" s="30">
        <f>'Driver Build'!G19</f>
        <v/>
      </c>
      <c r="H24" s="30">
        <f>'Driver Build'!H19</f>
        <v/>
      </c>
      <c r="I24" s="30">
        <f>'Driver Build'!I19</f>
        <v/>
      </c>
    </row>
    <row r="25">
      <c r="A25" t="inlineStr">
        <is>
          <t>less: non-controlling interests</t>
        </is>
      </c>
      <c r="B25" s="8" t="n">
        <v>-200</v>
      </c>
      <c r="C25" s="8" t="n">
        <v>-231</v>
      </c>
      <c r="D25" s="8" t="n">
        <v>-308</v>
      </c>
      <c r="E25" s="8">
        <f>'Driver Build'!E20</f>
        <v/>
      </c>
      <c r="F25" s="8">
        <f>'Driver Build'!F20</f>
        <v/>
      </c>
      <c r="G25" s="8">
        <f>'Driver Build'!G20</f>
        <v/>
      </c>
      <c r="H25" s="8">
        <f>'Driver Build'!H20</f>
        <v/>
      </c>
      <c r="I25" s="8">
        <f>'Driver Build'!I20</f>
        <v/>
      </c>
    </row>
    <row r="26">
      <c r="A26" t="inlineStr">
        <is>
          <t>Profit attributable to owners</t>
        </is>
      </c>
      <c r="B26" s="8" t="n">
        <v>6810</v>
      </c>
      <c r="C26" s="8" t="n">
        <v>7934</v>
      </c>
      <c r="D26" s="8" t="n">
        <v>7500</v>
      </c>
      <c r="E26" s="8">
        <f>'Driver Build'!E21</f>
        <v/>
      </c>
      <c r="F26" s="8">
        <f>'Driver Build'!F21</f>
        <v/>
      </c>
      <c r="G26" s="8">
        <f>'Driver Build'!G21</f>
        <v/>
      </c>
      <c r="H26" s="8">
        <f>'Driver Build'!H21</f>
        <v/>
      </c>
      <c r="I26" s="8">
        <f>'Driver Build'!I21</f>
        <v/>
      </c>
    </row>
    <row r="27">
      <c r="A27" t="inlineStr">
        <is>
          <t>less: AT1 sukuk distributions</t>
        </is>
      </c>
      <c r="B27" s="8" t="n">
        <v>-576</v>
      </c>
      <c r="C27" s="8" t="n">
        <v>-576</v>
      </c>
      <c r="D27" s="8" t="n">
        <v>-419</v>
      </c>
      <c r="E27" s="8">
        <f>'Driver Build'!E22</f>
        <v/>
      </c>
      <c r="F27" s="8">
        <f>'Driver Build'!F22</f>
        <v/>
      </c>
      <c r="G27" s="8">
        <f>'Driver Build'!G22</f>
        <v/>
      </c>
      <c r="H27" s="8">
        <f>'Driver Build'!H22</f>
        <v/>
      </c>
      <c r="I27" s="8">
        <f>'Driver Build'!I22</f>
        <v/>
      </c>
    </row>
    <row r="28">
      <c r="A28" s="13" t="inlineStr">
        <is>
          <t>Earnings to common</t>
        </is>
      </c>
      <c r="B28" s="20" t="n">
        <v>6234</v>
      </c>
      <c r="C28" s="20" t="n">
        <v>7358</v>
      </c>
      <c r="D28" s="20" t="n">
        <v>7081</v>
      </c>
      <c r="E28" s="20">
        <f>'Driver Build'!E23</f>
        <v/>
      </c>
      <c r="F28" s="20">
        <f>'Driver Build'!F23</f>
        <v/>
      </c>
      <c r="G28" s="20">
        <f>'Driver Build'!G23</f>
        <v/>
      </c>
      <c r="H28" s="20">
        <f>'Driver Build'!H23</f>
        <v/>
      </c>
      <c r="I28" s="20">
        <f>'Driver Build'!I23</f>
        <v/>
      </c>
    </row>
    <row r="29">
      <c r="A29" s="13" t="inlineStr">
        <is>
          <t>EPS (AED)</t>
        </is>
      </c>
      <c r="B29" s="31" t="n">
        <v>0.863</v>
      </c>
      <c r="C29" s="31" t="n">
        <v>1.018</v>
      </c>
      <c r="D29" s="31" t="n">
        <v>0.98</v>
      </c>
      <c r="E29" s="31">
        <f>'Driver Build'!E24</f>
        <v/>
      </c>
      <c r="F29" s="31">
        <f>'Driver Build'!F24</f>
        <v/>
      </c>
      <c r="G29" s="31">
        <f>'Driver Build'!G24</f>
        <v/>
      </c>
      <c r="H29" s="31">
        <f>'Driver Build'!H24</f>
        <v/>
      </c>
      <c r="I29" s="31">
        <f>'Driver Build'!I24</f>
        <v/>
      </c>
    </row>
    <row r="30">
      <c r="A30" t="inlineStr">
        <is>
          <t>DPS (AED)</t>
        </is>
      </c>
      <c r="B30" s="7" t="n">
        <v>0.45</v>
      </c>
      <c r="C30" s="7" t="n">
        <v>0.45</v>
      </c>
      <c r="D30" s="7" t="n">
        <v>0.35</v>
      </c>
      <c r="E30" s="7">
        <f>Assumptions!E$28</f>
        <v/>
      </c>
      <c r="F30" s="7">
        <f>Assumptions!F$28</f>
        <v/>
      </c>
      <c r="G30" s="7">
        <f>Assumptions!G$28</f>
        <v/>
      </c>
      <c r="H30" s="7">
        <f>Assumptions!H$28</f>
        <v/>
      </c>
      <c r="I30" s="7">
        <f>Assumptions!I$28</f>
        <v/>
      </c>
    </row>
    <row r="32">
      <c r="A32" s="6" t="inlineStr">
        <is>
          <t>THE DUAL FRAME. DIB's FY25 pre-tax profit of AED 9,003mn is FLAT against the REPORTED FY24 base (9,005) and +20% against the</t>
        </is>
      </c>
    </row>
    <row r="33">
      <c r="A33" s="6" t="inlineStr">
        <is>
          <t>NORMALISED one (7,477). Net profit reads -4% or +18% on the same two bases. Operating revenue is +3% reported, +5% normalised —</t>
        </is>
      </c>
    </row>
    <row r="34">
      <c r="A34" s="6" t="inlineStr">
        <is>
          <t>DIB's own words: 'growth of 5% YoY over normalized revenues of FY24'. Both framings are stated everywhere the figure appears.</t>
        </is>
      </c>
    </row>
    <row r="35">
      <c r="A35" s="6" t="inlineStr">
        <is>
          <t>SOURCE: the AED 1,528mn split (258 into funded income, 1,270 into impairment) is DIB's own disclosure — the income-statement</t>
        </is>
      </c>
    </row>
    <row r="36">
      <c r="A36" s="6" t="inlineStr">
        <is>
          <t>slide of the FY2025 investor presentation. It is not our derivation. The reported FY24 cost of risk of 14bp is flattered by it;</t>
        </is>
      </c>
    </row>
    <row r="37">
      <c r="A37" s="6" t="inlineStr">
        <is>
          <t>the bank's own normalised charge is 1,677mn, or 58bp. That is the number the cost-of-risk debate in this study turns 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5" t="inlineStr">
        <is>
          <t>Balance sheet &amp; capital</t>
        </is>
      </c>
    </row>
    <row r="2">
      <c r="A2" s="6" t="inlineStr">
        <is>
          <t>AED mn. FY26E+ assets and deposits held at the Dec-25 mix — presentation scaffolding, not drivers.</t>
        </is>
      </c>
    </row>
    <row r="4">
      <c r="A4" s="29" t="n"/>
      <c r="B4" s="23" t="inlineStr">
        <is>
          <t>FY23</t>
        </is>
      </c>
      <c r="C4" s="23" t="inlineStr">
        <is>
          <t>FY24</t>
        </is>
      </c>
      <c r="D4" s="23" t="inlineStr">
        <is>
          <t>FY25</t>
        </is>
      </c>
      <c r="E4" s="23" t="inlineStr">
        <is>
          <t>FY26E</t>
        </is>
      </c>
      <c r="F4" s="23" t="inlineStr">
        <is>
          <t>FY27E</t>
        </is>
      </c>
      <c r="G4" s="23" t="inlineStr">
        <is>
          <t>FY28E</t>
        </is>
      </c>
      <c r="H4" s="23" t="inlineStr">
        <is>
          <t>FY29E</t>
        </is>
      </c>
      <c r="I4" s="23" t="inlineStr">
        <is>
          <t>FY30E</t>
        </is>
      </c>
    </row>
    <row r="5">
      <c r="A5" s="13" t="inlineStr">
        <is>
          <t>Total assets</t>
        </is>
      </c>
      <c r="B5" s="30" t="n">
        <v>314000</v>
      </c>
      <c r="C5" s="30" t="n">
        <v>344687</v>
      </c>
      <c r="D5" s="30" t="n">
        <v>415948</v>
      </c>
      <c r="E5" s="30">
        <f>'Driver Build'!E6</f>
        <v/>
      </c>
      <c r="F5" s="30">
        <f>'Driver Build'!F6</f>
        <v/>
      </c>
      <c r="G5" s="30">
        <f>'Driver Build'!G6</f>
        <v/>
      </c>
      <c r="H5" s="30">
        <f>'Driver Build'!H6</f>
        <v/>
      </c>
      <c r="I5" s="30">
        <f>'Driver Build'!I6</f>
        <v/>
      </c>
    </row>
    <row r="6">
      <c r="A6" t="inlineStr">
        <is>
          <t>Net financing + sukuk investments</t>
        </is>
      </c>
      <c r="B6" s="8" t="n">
        <v>274000</v>
      </c>
      <c r="C6" s="8" t="n">
        <v>294588</v>
      </c>
      <c r="D6" s="8" t="n">
        <v>352644</v>
      </c>
      <c r="E6" s="8">
        <f>'Driver Build'!E5</f>
        <v/>
      </c>
      <c r="F6" s="8">
        <f>'Driver Build'!F5</f>
        <v/>
      </c>
      <c r="G6" s="8">
        <f>'Driver Build'!G5</f>
        <v/>
      </c>
      <c r="H6" s="8">
        <f>'Driver Build'!H5</f>
        <v/>
      </c>
      <c r="I6" s="8">
        <f>'Driver Build'!I5</f>
        <v/>
      </c>
    </row>
    <row r="7">
      <c r="A7" t="inlineStr">
        <is>
          <t>Customer deposits</t>
        </is>
      </c>
      <c r="B7" s="8" t="n">
        <v>222000</v>
      </c>
      <c r="C7" s="8" t="n">
        <v>248546</v>
      </c>
      <c r="D7" s="8" t="n">
        <v>320184</v>
      </c>
      <c r="E7" s="8">
        <f>'Driver Build'!E7</f>
        <v/>
      </c>
      <c r="F7" s="8">
        <f>'Driver Build'!F7</f>
        <v/>
      </c>
      <c r="G7" s="8">
        <f>'Driver Build'!G7</f>
        <v/>
      </c>
      <c r="H7" s="8">
        <f>'Driver Build'!H7</f>
        <v/>
      </c>
      <c r="I7" s="8">
        <f>'Driver Build'!I7</f>
        <v/>
      </c>
    </row>
    <row r="8">
      <c r="A8" t="inlineStr">
        <is>
          <t>Financing-to-deposit ratio</t>
        </is>
      </c>
      <c r="B8" s="37">
        <f>B6/B7</f>
        <v/>
      </c>
      <c r="C8" s="37">
        <f>C6/C7</f>
        <v/>
      </c>
      <c r="D8" s="37">
        <f>D6/D7</f>
        <v/>
      </c>
      <c r="E8" s="37">
        <f>E6/E7</f>
        <v/>
      </c>
      <c r="F8" s="37">
        <f>F6/F7</f>
        <v/>
      </c>
      <c r="G8" s="37">
        <f>G6/G7</f>
        <v/>
      </c>
      <c r="H8" s="37">
        <f>H6/H7</f>
        <v/>
      </c>
      <c r="I8" s="37">
        <f>I6/I7</f>
        <v/>
      </c>
    </row>
    <row r="10">
      <c r="A10" t="inlineStr">
        <is>
          <t>Equity attributable to owners</t>
        </is>
      </c>
      <c r="D10" s="8">
        <f>Assumptions!$B$36</f>
        <v/>
      </c>
    </row>
    <row r="11">
      <c r="A11" t="inlineStr">
        <is>
          <t>less: Tier-1 (AT1) sukuk</t>
        </is>
      </c>
      <c r="D11" s="8">
        <f>-Assumptions!$B$37</f>
        <v/>
      </c>
    </row>
    <row r="12">
      <c r="A12" s="13" t="inlineStr">
        <is>
          <t>Common equity (ex-AT1)</t>
        </is>
      </c>
      <c r="D12" s="30">
        <f>Assumptions!$B$38</f>
        <v/>
      </c>
      <c r="E12" s="30">
        <f>'Residual Income'!E8</f>
        <v/>
      </c>
      <c r="F12" s="30">
        <f>'Residual Income'!F8</f>
        <v/>
      </c>
      <c r="G12" s="30">
        <f>'Residual Income'!G8</f>
        <v/>
      </c>
      <c r="H12" s="30">
        <f>'Residual Income'!H8</f>
        <v/>
      </c>
      <c r="I12" s="30">
        <f>'Residual Income'!I8</f>
        <v/>
      </c>
    </row>
    <row r="13">
      <c r="A13" s="13" t="inlineStr">
        <is>
          <t>CET1 capital  (DISCLOSED, not derived)</t>
        </is>
      </c>
      <c r="C13" s="30" t="n">
        <v>34000</v>
      </c>
      <c r="D13" s="30">
        <f>Assumptions!$B$40</f>
        <v/>
      </c>
      <c r="E13" s="30">
        <f>'Driver Build'!E30</f>
        <v/>
      </c>
      <c r="F13" s="30">
        <f>'Driver Build'!F30</f>
        <v/>
      </c>
      <c r="G13" s="30">
        <f>'Driver Build'!G30</f>
        <v/>
      </c>
      <c r="H13" s="30">
        <f>'Driver Build'!H30</f>
        <v/>
      </c>
      <c r="I13" s="30">
        <f>'Driver Build'!I30</f>
        <v/>
      </c>
    </row>
    <row r="14">
      <c r="A14" t="inlineStr">
        <is>
          <t>Risk-weighted assets  (DISCLOSED, not derived)</t>
        </is>
      </c>
      <c r="C14" s="8" t="n">
        <v>257200</v>
      </c>
      <c r="D14" s="8">
        <f>Assumptions!$B$39</f>
        <v/>
      </c>
      <c r="E14" s="8">
        <f>'Driver Build'!E27</f>
        <v/>
      </c>
      <c r="F14" s="8">
        <f>'Driver Build'!F27</f>
        <v/>
      </c>
      <c r="G14" s="8">
        <f>'Driver Build'!G27</f>
        <v/>
      </c>
      <c r="H14" s="8">
        <f>'Driver Build'!H27</f>
        <v/>
      </c>
      <c r="I14" s="8">
        <f>'Driver Build'!I27</f>
        <v/>
      </c>
    </row>
    <row r="15">
      <c r="A15" s="13" t="inlineStr">
        <is>
          <t>CET1 ratio</t>
        </is>
      </c>
      <c r="C15" s="22" t="n">
        <v>0.132</v>
      </c>
      <c r="D15" s="22">
        <f>Assumptions!$B$40/Assumptions!$B$39</f>
        <v/>
      </c>
      <c r="E15" s="22">
        <f>'Driver Build'!E31</f>
        <v/>
      </c>
      <c r="F15" s="22">
        <f>'Driver Build'!F31</f>
        <v/>
      </c>
      <c r="G15" s="22">
        <f>'Driver Build'!G31</f>
        <v/>
      </c>
      <c r="H15" s="22">
        <f>'Driver Build'!H31</f>
        <v/>
      </c>
      <c r="I15" s="22">
        <f>'Driver Build'!I31</f>
        <v/>
      </c>
    </row>
    <row r="16">
      <c r="A16" t="inlineStr">
        <is>
          <t>Effective regulatory floor (Fitch 12% + 0.5% CCyB)</t>
        </is>
      </c>
      <c r="D16" s="45" t="n">
        <v>0.125</v>
      </c>
      <c r="E16" s="45" t="n">
        <v>0.125</v>
      </c>
      <c r="F16" s="45" t="n">
        <v>0.125</v>
      </c>
      <c r="G16" s="45" t="n">
        <v>0.125</v>
      </c>
      <c r="H16" s="45" t="n">
        <v>0.125</v>
      </c>
      <c r="I16" s="45" t="n">
        <v>0.125</v>
      </c>
    </row>
    <row r="18">
      <c r="A18" t="inlineStr">
        <is>
          <t>CAR (total capital, reported)</t>
        </is>
      </c>
      <c r="B18" s="37" t="n">
        <v>0.173</v>
      </c>
      <c r="C18" s="37" t="n">
        <v>0.183</v>
      </c>
      <c r="D18" s="37" t="n">
        <v>0.155</v>
      </c>
    </row>
    <row r="19">
      <c r="A19" t="inlineStr">
        <is>
          <t>NPF ratio (reported)</t>
        </is>
      </c>
      <c r="B19" s="45" t="n">
        <v>0.054</v>
      </c>
      <c r="C19" s="45" t="n">
        <v>0.04</v>
      </c>
      <c r="D19" s="45" t="n">
        <v>0.0265</v>
      </c>
    </row>
    <row r="20">
      <c r="A20" t="inlineStr">
        <is>
          <t>Coverage incl. collateral (reported)</t>
        </is>
      </c>
      <c r="B20" s="34" t="n">
        <v>1.21</v>
      </c>
      <c r="C20" s="34" t="n">
        <v>1.38</v>
      </c>
      <c r="D20" s="34" t="n">
        <v>1.6</v>
      </c>
    </row>
    <row r="22">
      <c r="A22" s="6" t="inlineStr">
        <is>
          <t>RISK-WEIGHTED ASSETS AND CET1 CAPITAL ARE PUBLISHED FIGURES, and this model uses them directly. Both come from the</t>
        </is>
      </c>
    </row>
    <row r="23">
      <c r="A23" s="6" t="inlineStr">
        <is>
          <t>regulatory-capital slide of the FY2025 and Q1-2026 investor presentations (RWA movement bridge and CET1 capital bridge):</t>
        </is>
      </c>
    </row>
    <row r="24">
      <c r="A24" s="6" t="inlineStr">
        <is>
          <t>RWA 257.2bn (Dec-24) -&gt; 298.9bn (Dec-25) -&gt; 305.0bn (Q1-26); CET1 capital 34.0 -&gt; 36.9 -&gt; 38.5bn. The check ties:</t>
        </is>
      </c>
    </row>
    <row r="25">
      <c r="A25" s="6" t="inlineStr">
        <is>
          <t>36,900 / 298,900 = 12.35%, against the 12.3% CET1 ratio the bank reports. Only the forward DENSITY FADE is our own assumption.</t>
        </is>
      </c>
    </row>
    <row r="26">
      <c r="A26" s="6" t="inlineStr">
        <is>
          <t>The CET1 GLIDE (FY26E+) is an OUTPUT of the dividend policy, not an input — see the Driver Build sheet.</t>
        </is>
      </c>
    </row>
    <row r="27">
      <c r="A27" s="6" t="inlineStr">
        <is>
          <t>Q1-2026 anchors (official): total assets 420,000 · financing+sukuk 364,000 · deposits 322,000 · CET1 12.6% · CAR 15.8% · NPF 2.5%.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5" t="inlineStr">
        <is>
          <t>Cash flow — the capital equation</t>
        </is>
      </c>
    </row>
    <row r="2">
      <c r="A2" s="6" t="inlineStr">
        <is>
          <t>For a bank the meaningful cash statement is the capital walk: what is earned, what growth consumes, what is left to pay.</t>
        </is>
      </c>
    </row>
    <row r="4">
      <c r="A4" s="29" t="n"/>
      <c r="E4" s="23" t="inlineStr">
        <is>
          <t>FY26E</t>
        </is>
      </c>
      <c r="F4" s="23" t="inlineStr">
        <is>
          <t>FY27E</t>
        </is>
      </c>
      <c r="G4" s="23" t="inlineStr">
        <is>
          <t>FY28E</t>
        </is>
      </c>
      <c r="H4" s="23" t="inlineStr">
        <is>
          <t>FY29E</t>
        </is>
      </c>
      <c r="I4" s="23" t="inlineStr">
        <is>
          <t>FY30E</t>
        </is>
      </c>
    </row>
    <row r="5">
      <c r="A5" s="13" t="inlineStr">
        <is>
          <t>Earnings to common</t>
        </is>
      </c>
      <c r="E5" s="30">
        <f>'Driver Build'!E23</f>
        <v/>
      </c>
      <c r="F5" s="30">
        <f>'Driver Build'!F23</f>
        <v/>
      </c>
      <c r="G5" s="30">
        <f>'Driver Build'!G23</f>
        <v/>
      </c>
      <c r="H5" s="30">
        <f>'Driver Build'!H23</f>
        <v/>
      </c>
      <c r="I5" s="30">
        <f>'Driver Build'!I23</f>
        <v/>
      </c>
    </row>
    <row r="6">
      <c r="A6" t="inlineStr">
        <is>
          <t>less: dividends paid (board policy)</t>
        </is>
      </c>
      <c r="E6" s="8">
        <f>'Driver Build'!E28</f>
        <v/>
      </c>
      <c r="F6" s="8">
        <f>'Driver Build'!F28</f>
        <v/>
      </c>
      <c r="G6" s="8">
        <f>'Driver Build'!G28</f>
        <v/>
      </c>
      <c r="H6" s="8">
        <f>'Driver Build'!H28</f>
        <v/>
      </c>
      <c r="I6" s="8">
        <f>'Driver Build'!I28</f>
        <v/>
      </c>
    </row>
    <row r="7">
      <c r="A7" s="13" t="inlineStr">
        <is>
          <t>Retained earnings → CET1</t>
        </is>
      </c>
      <c r="E7" s="30">
        <f>E5+E6</f>
        <v/>
      </c>
      <c r="F7" s="30">
        <f>F5+F6</f>
        <v/>
      </c>
      <c r="G7" s="30">
        <f>G5+G6</f>
        <v/>
      </c>
      <c r="H7" s="30">
        <f>H5+H6</f>
        <v/>
      </c>
      <c r="I7" s="30">
        <f>I5+I6</f>
        <v/>
      </c>
    </row>
    <row r="9">
      <c r="A9" t="inlineStr">
        <is>
          <t>Capital ABSORBED by RWA growth (at target CET1)</t>
        </is>
      </c>
      <c r="E9" s="8">
        <f>-'Driver Build'!E33</f>
        <v/>
      </c>
      <c r="F9" s="8">
        <f>-'Driver Build'!F33</f>
        <v/>
      </c>
      <c r="G9" s="8">
        <f>-'Driver Build'!G33</f>
        <v/>
      </c>
      <c r="H9" s="8">
        <f>-'Driver Build'!H33</f>
        <v/>
      </c>
      <c r="I9" s="8">
        <f>-'Driver Build'!I33</f>
        <v/>
      </c>
    </row>
    <row r="10">
      <c r="A10" s="13" t="inlineStr">
        <is>
          <t>Free cash flow to equity (distributable capacity)</t>
        </is>
      </c>
      <c r="E10" s="20">
        <f>E5+E9</f>
        <v/>
      </c>
      <c r="F10" s="20">
        <f>F5+F9</f>
        <v/>
      </c>
      <c r="G10" s="20">
        <f>G5+G9</f>
        <v/>
      </c>
      <c r="H10" s="20">
        <f>H5+H9</f>
        <v/>
      </c>
      <c r="I10" s="20">
        <f>I5+I9</f>
        <v/>
      </c>
    </row>
    <row r="11">
      <c r="A11" t="inlineStr">
        <is>
          <t>Dividend cover (FCFE / dividends paid)</t>
        </is>
      </c>
      <c r="E11" s="35">
        <f>E10/-E6</f>
        <v/>
      </c>
      <c r="F11" s="35">
        <f>F10/-F6</f>
        <v/>
      </c>
      <c r="G11" s="35">
        <f>G10/-G6</f>
        <v/>
      </c>
      <c r="H11" s="35">
        <f>H10/-H6</f>
        <v/>
      </c>
      <c r="I11" s="35">
        <f>I10/-I6</f>
        <v/>
      </c>
    </row>
    <row r="13">
      <c r="A13" t="inlineStr">
        <is>
          <t>Cumulative FY26–30 dividends (AED mn)</t>
        </is>
      </c>
      <c r="B13" s="8">
        <f>-SUM(E6:I6)</f>
        <v/>
      </c>
    </row>
    <row r="14">
      <c r="A14" t="inlineStr">
        <is>
          <t>Cumulative FY26–30 FCFE (AED mn)</t>
        </is>
      </c>
      <c r="B14" s="8">
        <f>SUM(E10:I10)</f>
        <v/>
      </c>
    </row>
    <row r="16">
      <c r="A16" s="6" t="inlineStr">
        <is>
          <t>A bank has no capex line and no working-capital line. The item it cannot avoid is the fresh equity it must retain each year to hold its</t>
        </is>
      </c>
    </row>
    <row r="17">
      <c r="A17" s="6" t="inlineStr">
        <is>
          <t>capital ratio as the balance sheet grows — that is the analogue of capex, and it is the line above. FCFE is what remains: genuinely</t>
        </is>
      </c>
    </row>
    <row r="18">
      <c r="A18" s="6" t="inlineStr">
        <is>
          <t>distributable, whether or not it is actually paid. The gap between FCFE and the declared dividend is the capital DIB is accumulating.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5" t="inlineStr">
        <is>
          <t>Monte Carlo — ILLUSTRATIVE VOLATILITY MAP ONLY</t>
        </is>
      </c>
    </row>
    <row r="2">
      <c r="A2" s="46" t="inlineStr">
        <is>
          <t>NOT a validated forecast. The calibration test FAILED.</t>
        </is>
      </c>
    </row>
    <row r="3">
      <c r="A3" s="17" t="inlineStr">
        <is>
          <t>THE CALIBRATION TEST FAILED. No price-distribution forecast is published for DIB. The percentiles below describe the width of the engine's cone; they are NOT a forecast and nothing is entered on the Calibration Ledger against them.</t>
        </is>
      </c>
    </row>
    <row r="5">
      <c r="A5" s="1" t="inlineStr">
        <is>
          <t>THE BACKTEST, IN THE OPEN</t>
        </is>
      </c>
    </row>
    <row r="6">
      <c r="A6" t="inlineStr">
        <is>
          <t>Design</t>
        </is>
      </c>
      <c r="B6" s="47" t="inlineStr">
        <is>
          <t>walk-forward, h=60 trading days, non-overlapping, post-2022 break</t>
        </is>
      </c>
    </row>
    <row r="7">
      <c r="A7" t="inlineStr">
        <is>
          <t>Windows</t>
        </is>
      </c>
      <c r="B7" s="48" t="n">
        <v>14</v>
      </c>
    </row>
    <row r="8">
      <c r="A8" t="inlineStr">
        <is>
          <t>Skill score vs a naive random walk</t>
        </is>
      </c>
      <c r="B8" s="49" t="n">
        <v>-0.02470065484382666</v>
      </c>
    </row>
    <row r="9">
      <c r="A9" t="inlineStr">
        <is>
          <t>Skill score on median placement</t>
        </is>
      </c>
      <c r="B9" s="49" t="n">
        <v>0.002993383705902186</v>
      </c>
    </row>
    <row r="10">
      <c r="A10" t="inlineStr">
        <is>
          <t>Skill score on interval width</t>
        </is>
      </c>
      <c r="B10" s="49" t="n">
        <v>-0.03077414455492056</v>
      </c>
    </row>
    <row r="11">
      <c r="A11" t="inlineStr">
        <is>
          <t>Coverage 50 / 80 / 90</t>
        </is>
      </c>
      <c r="B11" s="47" t="inlineStr">
        <is>
          <t>0.43 / 0.79 / 1.00</t>
        </is>
      </c>
    </row>
    <row r="12">
      <c r="A12" t="inlineStr">
        <is>
          <t>Calibration mean (0.50 = perfectly centred)</t>
        </is>
      </c>
      <c r="B12" s="7" t="n">
        <v>0.575857142857143</v>
      </c>
    </row>
    <row r="13">
      <c r="A13" t="inlineStr">
        <is>
          <t>Bootstrap 90% CI — resampling scheme 1</t>
        </is>
      </c>
      <c r="B13" s="47" t="inlineStr">
        <is>
          <t>[-0.0346, -0.0028]</t>
        </is>
      </c>
    </row>
    <row r="14">
      <c r="A14" t="inlineStr">
        <is>
          <t>Bootstrap 90% CI — resampling scheme 2</t>
        </is>
      </c>
      <c r="B14" s="47" t="inlineStr">
        <is>
          <t>[-0.0349, -0.0028]</t>
        </is>
      </c>
    </row>
    <row r="15">
      <c r="A15" t="inlineStr">
        <is>
          <t>Bootstrap 90% CI — resampling scheme 3</t>
        </is>
      </c>
      <c r="B15" s="47" t="inlineStr">
        <is>
          <t>[-0.0345, -0.0014]</t>
        </is>
      </c>
    </row>
    <row r="16">
      <c r="A16" t="inlineStr">
        <is>
          <t>VERDICT (all three schemes agree)</t>
        </is>
      </c>
      <c r="B16" s="47" t="inlineStr">
        <is>
          <t>FAIL</t>
        </is>
      </c>
    </row>
    <row r="18">
      <c r="A18" s="1" t="inlineStr">
        <is>
          <t>DIAGNOSIS — why it failed, and why that is not the same as "the model is broken"</t>
        </is>
      </c>
    </row>
    <row r="19">
      <c r="A19" s="50" t="inlineStr">
        <is>
          <t>No structural defect was found. The three causes a FAIL is meant to flag are all absent:</t>
        </is>
      </c>
    </row>
    <row r="20">
      <c r="A20" s="50" t="inlineStr">
        <is>
          <t xml:space="preserve">  · price-limit censoring — none (largest daily move in the sample 8.99%; the DFM limit was never struck)</t>
        </is>
      </c>
    </row>
    <row r="21">
      <c r="A21" s="50" t="inlineStr">
        <is>
          <t xml:space="preserve">  · degenerate volatility — none (9.2% zero-return days, normal for a DFM large-cap)</t>
        </is>
      </c>
    </row>
    <row r="22">
      <c r="A22" s="50" t="inlineStr">
        <is>
          <t xml:space="preserve">  · data quality — the Yang-Zhang variance proxy is unbiased at 1.017× close-to-close realized vol</t>
        </is>
      </c>
    </row>
    <row r="23">
      <c r="A23" s="50" t="inlineStr"/>
    </row>
    <row r="24">
      <c r="A24" s="50" t="inlineStr">
        <is>
          <t>The mechanism is this. The UAE profile is CARRY-ONLY (no signal survived the AE panel), and DIB's carry is ~0 because</t>
        </is>
      </c>
    </row>
    <row r="25">
      <c r="A25" s="50" t="inlineStr">
        <is>
          <t>its dividend yield (4.53%) almost exactly offsets the risk-free rate (3.65%). Engine and benchmark therefore share an</t>
        </is>
      </c>
    </row>
    <row r="26">
      <c r="A26" s="50" t="inlineStr">
        <is>
          <t>IDENTICAL centre — the median-placement skill score is 0.000, a dead heat. The test collapses to a pure WIDTH contest.</t>
        </is>
      </c>
    </row>
    <row r="27">
      <c r="A27" s="50" t="inlineStr"/>
    </row>
    <row r="28">
      <c r="A28" s="50" t="inlineStr">
        <is>
          <t>And on width the engine is right, not wrong: its 60-day sigma (0.105) matches the full-sample realized 60-day dispersion</t>
        </is>
      </c>
    </row>
    <row r="29">
      <c r="A29" s="50" t="inlineStr">
        <is>
          <t>(0.114) far better than the naive benchmark does (0.093, ~19% too narrow — DIB's 60-day variance is 1.23x what</t>
        </is>
      </c>
    </row>
    <row r="30">
      <c r="A30" s="50" t="inlineStr">
        <is>
          <t>square-root-of-time scaling implies, so the random walk systematically under-disperses). But the 14 non-overlapping</t>
        </is>
      </c>
    </row>
    <row r="31">
      <c r="A31" s="50" t="inlineStr">
        <is>
          <t>windows we specified in advance happened to draw a QUIET subsample (realized sd 0.083). Against quiet outcomes, the</t>
        </is>
      </c>
    </row>
    <row r="32">
      <c r="A32" s="50" t="inlineStr">
        <is>
          <t>narrower (mis-specified) benchmark wins. On higher-powered designs the two are level:</t>
        </is>
      </c>
    </row>
    <row r="33">
      <c r="A33" s="50" t="inlineStr"/>
    </row>
    <row r="34">
      <c r="A34" s="50" t="inlineStr">
        <is>
          <t xml:space="preserve">     non-overlapping, n=14 (our specified test)     skill score -0.0247   → FAIL</t>
        </is>
      </c>
    </row>
    <row r="35">
      <c r="A35" s="50" t="inlineStr">
        <is>
          <t xml:space="preserve">     monthly origins,  n=39                          skill score +0.0025   → level</t>
        </is>
      </c>
    </row>
    <row r="36">
      <c r="A36" s="50" t="inlineStr">
        <is>
          <t xml:space="preserve">     bi-weekly origins, n=81                        skill score -0.0002   → level</t>
        </is>
      </c>
    </row>
    <row r="37">
      <c r="A37" s="50" t="inlineStr"/>
    </row>
    <row r="38">
      <c r="A38" s="50" t="inlineStr">
        <is>
          <t>The honest reading: DIB has NO demonstrable single-name edge. The failure stands on the design we specified in advance,</t>
        </is>
      </c>
    </row>
    <row r="39">
      <c r="A39" s="50" t="inlineStr">
        <is>
          <t>and the forecast is withheld. Re-specifying a test until it passes is precisely the self-deception this exercise exists to</t>
        </is>
      </c>
    </row>
    <row r="40">
      <c r="A40" s="50" t="inlineStr">
        <is>
          <t>prevent, so it was not done. Narrowing the cone does not rescue it either: at cone widths of 0.90 and 0.85 the skill score</t>
        </is>
      </c>
    </row>
    <row r="41">
      <c r="A41" s="50" t="inlineStr">
        <is>
          <t>gets WORSE (−0.039, −0.045). Every variant tried (fat-tail parameter 4, 6, 12; cone width 0.85 → 1.07) is negative.</t>
        </is>
      </c>
    </row>
    <row r="43">
      <c r="A43" s="1" t="inlineStr">
        <is>
          <t>ILLUSTRATIVE CONE (width only — read as a volatility map, NOT a forecast)</t>
        </is>
      </c>
    </row>
    <row r="44">
      <c r="B44" s="1" t="inlineStr">
        <is>
          <t>T+20 (AED)</t>
        </is>
      </c>
      <c r="C44" s="1" t="inlineStr">
        <is>
          <t>T+60 (AED)</t>
        </is>
      </c>
    </row>
    <row r="45">
      <c r="A45" t="inlineStr">
        <is>
          <t>5th percentile</t>
        </is>
      </c>
      <c r="B45" s="7" t="n">
        <v>6.968420137644999</v>
      </c>
      <c r="C45" s="7" t="n">
        <v>6.463320820960597</v>
      </c>
    </row>
    <row r="46">
      <c r="A46" t="inlineStr">
        <is>
          <t>25th percentile</t>
        </is>
      </c>
      <c r="B46" s="7" t="n">
        <v>7.449762730345338</v>
      </c>
      <c r="C46" s="7" t="n">
        <v>7.250832674201779</v>
      </c>
    </row>
    <row r="47">
      <c r="A47" t="inlineStr">
        <is>
          <t>50th percentile</t>
        </is>
      </c>
      <c r="B47" s="7" t="n">
        <v>7.715666006027906</v>
      </c>
      <c r="C47" s="7" t="n">
        <v>7.706937599928119</v>
      </c>
    </row>
    <row r="48">
      <c r="A48" t="inlineStr">
        <is>
          <t>75th percentile</t>
        </is>
      </c>
      <c r="B48" s="7" t="n">
        <v>7.99410345843847</v>
      </c>
      <c r="C48" s="7" t="n">
        <v>8.193400504315592</v>
      </c>
    </row>
    <row r="49">
      <c r="A49" t="inlineStr">
        <is>
          <t>95th percentile</t>
        </is>
      </c>
      <c r="B49" s="7" t="n">
        <v>8.550014933469861</v>
      </c>
      <c r="C49" s="7" t="n">
        <v>9.177029414784521</v>
      </c>
    </row>
    <row r="51">
      <c r="A51" t="inlineStr">
        <is>
          <t>Anchor vol (annualized, YZ-HAR)</t>
        </is>
      </c>
      <c r="B51" s="37" t="n">
        <v>0.2249633687424194</v>
      </c>
    </row>
    <row r="52">
      <c r="A52" t="inlineStr">
        <is>
          <t>Carry over 60d = ln(1+rf) − ln(1+q)</t>
        </is>
      </c>
      <c r="B52" s="51" t="n">
        <v>-0.002021301274160811</v>
      </c>
    </row>
    <row r="53">
      <c r="A53" t="inlineStr">
        <is>
          <t xml:space="preserve">  rf (CBUAE base rate)</t>
        </is>
      </c>
      <c r="B53" s="45" t="n">
        <v>0.0365</v>
      </c>
    </row>
    <row r="54">
      <c r="A54" t="inlineStr">
        <is>
          <t xml:space="preserve">  q (DIB dividend yield at spot)</t>
        </is>
      </c>
      <c r="B54" s="45" t="n">
        <v>0.04533678756476684</v>
      </c>
    </row>
    <row r="55">
      <c r="A55" t="inlineStr">
        <is>
          <t>Paths · seed · shape</t>
        </is>
      </c>
      <c r="B55" s="47" t="inlineStr">
        <is>
          <t>50,000 · 42 · Student-t(4)</t>
        </is>
      </c>
    </row>
    <row r="57">
      <c r="A57" s="6" t="inlineStr">
        <is>
          <t>Carry is essentially zero: DIB pays out its risk-free carry as dividend. Expected total return ~ the risk-free rate, delivered as</t>
        </is>
      </c>
    </row>
    <row r="58">
      <c r="A58" s="6" t="inlineStr">
        <is>
          <t>dividend rather than as price drift, so the cone's centre sits a hair below spot in PRICE terms. That is an explained flat median,</t>
        </is>
      </c>
    </row>
    <row r="59">
      <c r="A59" s="6" t="inlineStr">
        <is>
          <t>not a view. And it is not a forecast: the calibration test failed, so no forecast is published.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Sensitivity — Ke × terminal growth, beta, and the crux in real units</t>
        </is>
      </c>
    </row>
    <row r="4">
      <c r="A4" s="1" t="inlineStr">
        <is>
          <t>WEIGHTED CENTRAL (AED)</t>
        </is>
      </c>
    </row>
    <row r="5">
      <c r="A5" t="inlineStr">
        <is>
          <t>Ke ↓  /  g →</t>
        </is>
      </c>
      <c r="B5" s="52" t="n">
        <v>0.03</v>
      </c>
      <c r="C5" s="52" t="n">
        <v>0.035</v>
      </c>
      <c r="D5" s="52" t="n">
        <v>0.04</v>
      </c>
      <c r="E5" s="52" t="n">
        <v>0.045</v>
      </c>
    </row>
    <row r="6">
      <c r="A6" s="53" t="n">
        <v>0.09569999999999999</v>
      </c>
      <c r="B6" s="7" t="n">
        <v>10.99</v>
      </c>
      <c r="C6" s="7" t="n">
        <v>11.39</v>
      </c>
      <c r="D6" s="7" t="n">
        <v>11.86</v>
      </c>
      <c r="E6" s="7" t="n">
        <v>12.43</v>
      </c>
    </row>
    <row r="7">
      <c r="A7" s="53" t="n">
        <v>0.1007</v>
      </c>
      <c r="B7" s="7" t="n">
        <v>10.26</v>
      </c>
      <c r="C7" s="7" t="n">
        <v>10.58</v>
      </c>
      <c r="D7" s="7" t="n">
        <v>10.95</v>
      </c>
      <c r="E7" s="7" t="n">
        <v>11.39</v>
      </c>
    </row>
    <row r="8">
      <c r="A8" s="53" t="n">
        <v>0.1057</v>
      </c>
      <c r="B8" s="7" t="n">
        <v>9.630000000000001</v>
      </c>
      <c r="C8" s="7" t="n">
        <v>9.890000000000001</v>
      </c>
      <c r="D8" s="15" t="n">
        <v>10.18</v>
      </c>
      <c r="E8" s="7" t="n">
        <v>10.53</v>
      </c>
    </row>
    <row r="9">
      <c r="A9" s="53" t="n">
        <v>0.1107</v>
      </c>
      <c r="B9" s="7" t="n">
        <v>9.08</v>
      </c>
      <c r="C9" s="7" t="n">
        <v>9.289999999999999</v>
      </c>
      <c r="D9" s="7" t="n">
        <v>9.52</v>
      </c>
      <c r="E9" s="7" t="n">
        <v>9.789999999999999</v>
      </c>
    </row>
    <row r="10">
      <c r="A10" s="53" t="n">
        <v>0.1157</v>
      </c>
      <c r="B10" s="7" t="n">
        <v>8.59</v>
      </c>
      <c r="C10" s="7" t="n">
        <v>8.76</v>
      </c>
      <c r="D10" s="7" t="n">
        <v>8.949999999999999</v>
      </c>
      <c r="E10" s="7" t="n">
        <v>9.17</v>
      </c>
    </row>
    <row r="11">
      <c r="A11" s="53" t="n">
        <v>0.1207</v>
      </c>
      <c r="B11" s="7" t="n">
        <v>8.16</v>
      </c>
      <c r="C11" s="7" t="n">
        <v>8.300000000000001</v>
      </c>
      <c r="D11" s="7" t="n">
        <v>8.449999999999999</v>
      </c>
      <c r="E11" s="7" t="n">
        <v>8.619999999999999</v>
      </c>
    </row>
    <row r="13">
      <c r="A13" s="1" t="inlineStr">
        <is>
          <t>DDM ALONE (AED)</t>
        </is>
      </c>
    </row>
    <row r="14">
      <c r="A14" t="inlineStr">
        <is>
          <t>Ke ↓  /  g →</t>
        </is>
      </c>
      <c r="B14" s="52" t="n">
        <v>0.03</v>
      </c>
      <c r="C14" s="52" t="n">
        <v>0.035</v>
      </c>
      <c r="D14" s="52" t="n">
        <v>0.04</v>
      </c>
      <c r="E14" s="52" t="n">
        <v>0.045</v>
      </c>
    </row>
    <row r="15">
      <c r="A15" s="53" t="n">
        <v>0.09569999999999999</v>
      </c>
      <c r="B15" s="7" t="n">
        <v>12.12</v>
      </c>
      <c r="C15" s="7" t="n">
        <v>12.57</v>
      </c>
      <c r="D15" s="7" t="n">
        <v>13.11</v>
      </c>
      <c r="E15" s="7" t="n">
        <v>13.75</v>
      </c>
    </row>
    <row r="16">
      <c r="A16" s="53" t="n">
        <v>0.1007</v>
      </c>
      <c r="B16" s="7" t="n">
        <v>11.14</v>
      </c>
      <c r="C16" s="7" t="n">
        <v>11.5</v>
      </c>
      <c r="D16" s="7" t="n">
        <v>11.91</v>
      </c>
      <c r="E16" s="7" t="n">
        <v>12.4</v>
      </c>
    </row>
    <row r="17">
      <c r="A17" s="53" t="n">
        <v>0.1057</v>
      </c>
      <c r="B17" s="7" t="n">
        <v>10.29</v>
      </c>
      <c r="C17" s="7" t="n">
        <v>10.58</v>
      </c>
      <c r="D17" s="7" t="n">
        <v>10.9</v>
      </c>
      <c r="E17" s="7" t="n">
        <v>11.27</v>
      </c>
    </row>
    <row r="18">
      <c r="A18" s="53" t="n">
        <v>0.1107</v>
      </c>
      <c r="B18" s="7" t="n">
        <v>9.56</v>
      </c>
      <c r="C18" s="7" t="n">
        <v>9.779999999999999</v>
      </c>
      <c r="D18" s="7" t="n">
        <v>10.03</v>
      </c>
      <c r="E18" s="7" t="n">
        <v>10.32</v>
      </c>
    </row>
    <row r="19">
      <c r="A19" s="53" t="n">
        <v>0.1157</v>
      </c>
      <c r="B19" s="7" t="n">
        <v>8.91</v>
      </c>
      <c r="C19" s="7" t="n">
        <v>9.09</v>
      </c>
      <c r="D19" s="7" t="n">
        <v>9.279999999999999</v>
      </c>
      <c r="E19" s="7" t="n">
        <v>9.51</v>
      </c>
    </row>
    <row r="20">
      <c r="A20" s="53" t="n">
        <v>0.1207</v>
      </c>
      <c r="B20" s="7" t="n">
        <v>8.33</v>
      </c>
      <c r="C20" s="7" t="n">
        <v>8.470000000000001</v>
      </c>
      <c r="D20" s="7" t="n">
        <v>8.630000000000001</v>
      </c>
      <c r="E20" s="7" t="n">
        <v>8.800000000000001</v>
      </c>
    </row>
    <row r="22">
      <c r="A22" s="1" t="inlineStr">
        <is>
          <t>BETA GRID (beta defaults to 1.0 — the regression had only 19 observations, below our 24 minimum)</t>
        </is>
      </c>
    </row>
    <row r="23">
      <c r="A23" t="inlineStr">
        <is>
          <t>Beta</t>
        </is>
      </c>
      <c r="B23" s="54" t="n">
        <v>0.8</v>
      </c>
      <c r="C23" s="54" t="n">
        <v>0.9</v>
      </c>
      <c r="D23" s="54" t="n">
        <v>1</v>
      </c>
      <c r="E23" s="54" t="n">
        <v>1.1</v>
      </c>
      <c r="F23" s="54" t="n">
        <v>1.2</v>
      </c>
      <c r="G23" s="54" t="n">
        <v>1.3</v>
      </c>
    </row>
    <row r="24">
      <c r="A24" t="inlineStr">
        <is>
          <t>Weighted central (AED)</t>
        </is>
      </c>
      <c r="B24" s="7" t="n">
        <v>11.81</v>
      </c>
      <c r="C24" s="7" t="n">
        <v>10.93</v>
      </c>
      <c r="D24" s="15" t="n">
        <v>10.18</v>
      </c>
      <c r="E24" s="7" t="n">
        <v>9.539999999999999</v>
      </c>
      <c r="F24" s="7" t="n">
        <v>8.98</v>
      </c>
      <c r="G24" s="7" t="n">
        <v>8.49</v>
      </c>
    </row>
    <row r="25">
      <c r="A25" s="1" t="inlineStr">
        <is>
          <t>SECTOR P/B MARK — the relative lens is 20% of the central, so this input is sensitized</t>
        </is>
      </c>
    </row>
    <row r="26">
      <c r="A26" t="inlineStr">
        <is>
          <t>Sector P/B mark</t>
        </is>
      </c>
      <c r="B26" s="55" t="n">
        <v>1.3</v>
      </c>
      <c r="C26" s="55" t="n">
        <v>1.4</v>
      </c>
      <c r="D26" s="55" t="n">
        <v>1.45</v>
      </c>
      <c r="E26" s="55" t="n">
        <v>1.52</v>
      </c>
      <c r="F26" s="55" t="n">
        <v>1.6</v>
      </c>
    </row>
    <row r="27">
      <c r="A27" t="inlineStr">
        <is>
          <t>Relative-lens value (AED)</t>
        </is>
      </c>
      <c r="B27" s="7" t="n">
        <v>7.69573374264788</v>
      </c>
      <c r="C27" s="7" t="n">
        <v>7.990198942592532</v>
      </c>
      <c r="D27" s="15" t="n">
        <v>8.137431542564858</v>
      </c>
      <c r="E27" s="7" t="n">
        <v>8.343557182526116</v>
      </c>
      <c r="F27" s="7" t="n">
        <v>8.579129342481837</v>
      </c>
    </row>
    <row r="29">
      <c r="A29" s="1" t="inlineStr">
        <is>
          <t>THE CRUX, IN REAL UNITS</t>
        </is>
      </c>
      <c r="B29" s="1" t="inlineStr">
        <is>
          <t>Effect on central (AED/share)</t>
        </is>
      </c>
    </row>
    <row r="30">
      <c r="A30" t="inlineStr">
        <is>
          <t>NPM +10bp across the path (≈ AED 0.47bn revenue/yr)</t>
        </is>
      </c>
      <c r="B30" s="56" t="n">
        <v>0.3239492944276741</v>
      </c>
    </row>
    <row r="31">
      <c r="A31" t="inlineStr">
        <is>
          <t>NPM −10bp across the path</t>
        </is>
      </c>
      <c r="B31" s="56" t="n">
        <v>-0.3239492944276741</v>
      </c>
    </row>
    <row r="32">
      <c r="A32" t="inlineStr">
        <is>
          <t>NPM −20bp (the bear rate path)</t>
        </is>
      </c>
      <c r="B32" s="56" t="n">
        <v>-0.6478985888553499</v>
      </c>
    </row>
    <row r="33">
      <c r="A33" t="inlineStr">
        <is>
          <t>Cost of risk +10bp (≈ AED 0.44bn pre-tax/yr)</t>
        </is>
      </c>
      <c r="B33" s="56" t="n">
        <v>-0.4155670841873818</v>
      </c>
    </row>
    <row r="34">
      <c r="A34" t="inlineStr">
        <is>
          <t>Cost of risk −10bp</t>
        </is>
      </c>
      <c r="B34" s="56" t="n">
        <v>0.41556708418738</v>
      </c>
    </row>
    <row r="35">
      <c r="A35" t="inlineStr">
        <is>
          <t>Cost of risk to 60bp (the FY24 NORMALISED charge)</t>
        </is>
      </c>
      <c r="B35" s="56" t="n">
        <v>-0.6233506262810717</v>
      </c>
    </row>
    <row r="36">
      <c r="A36" t="inlineStr">
        <is>
          <t>Effective tax back to 9% (management's stated aim)</t>
        </is>
      </c>
      <c r="B36" s="56" t="n">
        <v>0.6974887717733935</v>
      </c>
    </row>
    <row r="37">
      <c r="A37" t="inlineStr">
        <is>
          <t>Conflict adder → 0 (peace)</t>
        </is>
      </c>
      <c r="B37" s="56" t="n">
        <v>1.680565314116299</v>
      </c>
    </row>
    <row r="38">
      <c r="A38" t="inlineStr">
        <is>
          <t>Conflict adder → 2.5pt (renewed Hormuz closure)</t>
        </is>
      </c>
      <c r="B38" s="56" t="n">
        <v>-1.731722089905979</v>
      </c>
    </row>
    <row r="40">
      <c r="A40" s="6" t="inlineStr">
        <is>
          <t>Both ERP bases are carried: rating-based Ke 10.57% and CDS-based 10.63%. The published central uses the rating basis.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5" t="inlineStr">
        <is>
          <t>Per-share and ratio dashboard</t>
        </is>
      </c>
    </row>
    <row r="2">
      <c r="A2" s="6" t="inlineStr">
        <is>
          <t>The same fixed panel is carried in every Testahil study, so names can be compared like for like.</t>
        </is>
      </c>
    </row>
    <row r="4">
      <c r="A4" s="29" t="n"/>
      <c r="B4" s="23" t="inlineStr">
        <is>
          <t>FY23</t>
        </is>
      </c>
      <c r="C4" s="23" t="inlineStr">
        <is>
          <t>FY24</t>
        </is>
      </c>
      <c r="D4" s="23" t="inlineStr">
        <is>
          <t>FY25</t>
        </is>
      </c>
      <c r="E4" s="23" t="inlineStr">
        <is>
          <t>FY26E</t>
        </is>
      </c>
      <c r="F4" s="23" t="inlineStr">
        <is>
          <t>FY27E</t>
        </is>
      </c>
      <c r="G4" s="23" t="inlineStr">
        <is>
          <t>FY28E</t>
        </is>
      </c>
      <c r="H4" s="23" t="inlineStr">
        <is>
          <t>FY29E</t>
        </is>
      </c>
      <c r="I4" s="23" t="inlineStr">
        <is>
          <t>FY30E</t>
        </is>
      </c>
    </row>
    <row r="5">
      <c r="A5" s="13" t="inlineStr">
        <is>
          <t>EPS (AED)</t>
        </is>
      </c>
      <c r="B5" s="31" t="n">
        <v>0.863</v>
      </c>
      <c r="C5" s="31" t="n">
        <v>1.018</v>
      </c>
      <c r="D5" s="31" t="n">
        <v>0.98</v>
      </c>
      <c r="E5" s="31">
        <f>'Driver Build'!E24</f>
        <v/>
      </c>
      <c r="F5" s="31">
        <f>'Driver Build'!F24</f>
        <v/>
      </c>
      <c r="G5" s="31">
        <f>'Driver Build'!G24</f>
        <v/>
      </c>
      <c r="H5" s="31">
        <f>'Driver Build'!H24</f>
        <v/>
      </c>
      <c r="I5" s="31">
        <f>'Driver Build'!I24</f>
        <v/>
      </c>
    </row>
    <row r="6">
      <c r="A6" t="inlineStr">
        <is>
          <t>DPS (AED)</t>
        </is>
      </c>
      <c r="B6" s="7" t="n">
        <v>0.45</v>
      </c>
      <c r="C6" s="7" t="n">
        <v>0.45</v>
      </c>
      <c r="D6" s="7" t="n">
        <v>0.35</v>
      </c>
      <c r="E6" s="7">
        <f>Assumptions!E$28</f>
        <v/>
      </c>
      <c r="F6" s="7">
        <f>Assumptions!F$28</f>
        <v/>
      </c>
      <c r="G6" s="7">
        <f>Assumptions!G$28</f>
        <v/>
      </c>
      <c r="H6" s="7">
        <f>Assumptions!H$28</f>
        <v/>
      </c>
      <c r="I6" s="7">
        <f>Assumptions!I$28</f>
        <v/>
      </c>
    </row>
    <row r="7">
      <c r="A7" t="inlineStr">
        <is>
          <t>BVPS — common, ex-AT1 (AED)</t>
        </is>
      </c>
      <c r="D7" s="7">
        <f>Assumptions!$B$38/Assumptions!$B$6</f>
        <v/>
      </c>
      <c r="E7" s="7">
        <f>'Residual Income'!E8/Assumptions!$B$6</f>
        <v/>
      </c>
      <c r="F7" s="7">
        <f>'Residual Income'!F8/Assumptions!$B$6</f>
        <v/>
      </c>
      <c r="G7" s="7">
        <f>'Residual Income'!G8/Assumptions!$B$6</f>
        <v/>
      </c>
      <c r="H7" s="7">
        <f>'Residual Income'!H8/Assumptions!$B$6</f>
        <v/>
      </c>
      <c r="I7" s="7">
        <f>'Residual Income'!I8/Assumptions!$B$6</f>
        <v/>
      </c>
    </row>
    <row r="8">
      <c r="A8" t="inlineStr">
        <is>
          <t>Payout ratio</t>
        </is>
      </c>
      <c r="B8" s="37" t="n">
        <v>0.522</v>
      </c>
      <c r="C8" s="37" t="n">
        <v>0.442</v>
      </c>
      <c r="D8" s="37" t="n">
        <v>0.357</v>
      </c>
      <c r="E8" s="37">
        <f>Assumptions!E$28/'Driver Build'!E24</f>
        <v/>
      </c>
      <c r="F8" s="37">
        <f>Assumptions!F$28/'Driver Build'!F24</f>
        <v/>
      </c>
      <c r="G8" s="37">
        <f>Assumptions!G$28/'Driver Build'!G24</f>
        <v/>
      </c>
      <c r="H8" s="37">
        <f>Assumptions!H$28/'Driver Build'!H24</f>
        <v/>
      </c>
      <c r="I8" s="37">
        <f>Assumptions!I$28/'Driver Build'!I24</f>
        <v/>
      </c>
    </row>
    <row r="10">
      <c r="A10" t="inlineStr">
        <is>
          <t>P/E (at spot)</t>
        </is>
      </c>
      <c r="B10" s="36">
        <f>Assumptions!$B$5/B5</f>
        <v/>
      </c>
      <c r="C10" s="36">
        <f>Assumptions!$B$5/C5</f>
        <v/>
      </c>
      <c r="D10" s="36">
        <f>Assumptions!$B$5/D5</f>
        <v/>
      </c>
      <c r="E10" s="36">
        <f>Assumptions!$B$5/E5</f>
        <v/>
      </c>
      <c r="F10" s="36">
        <f>Assumptions!$B$5/F5</f>
        <v/>
      </c>
      <c r="G10" s="36">
        <f>Assumptions!$B$5/G5</f>
        <v/>
      </c>
      <c r="H10" s="36">
        <f>Assumptions!$B$5/H5</f>
        <v/>
      </c>
      <c r="I10" s="36">
        <f>Assumptions!$B$5/I5</f>
        <v/>
      </c>
    </row>
    <row r="11">
      <c r="A11" t="inlineStr">
        <is>
          <t>P/B (at spot)</t>
        </is>
      </c>
      <c r="D11" s="35">
        <f>Assumptions!$B$5/D7</f>
        <v/>
      </c>
      <c r="E11" s="35">
        <f>Assumptions!$B$5/E7</f>
        <v/>
      </c>
      <c r="F11" s="35">
        <f>Assumptions!$B$5/F7</f>
        <v/>
      </c>
      <c r="G11" s="35">
        <f>Assumptions!$B$5/G7</f>
        <v/>
      </c>
      <c r="H11" s="35">
        <f>Assumptions!$B$5/H7</f>
        <v/>
      </c>
      <c r="I11" s="35">
        <f>Assumptions!$B$5/I7</f>
        <v/>
      </c>
    </row>
    <row r="12">
      <c r="A12" t="inlineStr">
        <is>
          <t>Dividend yield (at spot)</t>
        </is>
      </c>
      <c r="B12" s="37">
        <f>B6/Assumptions!$B$5</f>
        <v/>
      </c>
      <c r="C12" s="37">
        <f>C6/Assumptions!$B$5</f>
        <v/>
      </c>
      <c r="D12" s="37">
        <f>D6/Assumptions!$B$5</f>
        <v/>
      </c>
      <c r="E12" s="37">
        <f>E6/Assumptions!$B$5</f>
        <v/>
      </c>
      <c r="F12" s="37">
        <f>F6/Assumptions!$B$5</f>
        <v/>
      </c>
      <c r="G12" s="37">
        <f>G6/Assumptions!$B$5</f>
        <v/>
      </c>
      <c r="H12" s="37">
        <f>H6/Assumptions!$B$5</f>
        <v/>
      </c>
      <c r="I12" s="37">
        <f>I6/Assumptions!$B$5</f>
        <v/>
      </c>
    </row>
    <row r="14">
      <c r="A14" t="inlineStr">
        <is>
          <t>Net profit margin (NPM)</t>
        </is>
      </c>
      <c r="B14" s="45" t="n">
        <v>0.03</v>
      </c>
      <c r="C14" s="45" t="n">
        <v>0.03</v>
      </c>
      <c r="D14" s="45" t="n">
        <v>0.026</v>
      </c>
      <c r="E14" s="45">
        <f>Assumptions!E$23</f>
        <v/>
      </c>
      <c r="F14" s="45">
        <f>Assumptions!F$23</f>
        <v/>
      </c>
      <c r="G14" s="45">
        <f>Assumptions!G$23</f>
        <v/>
      </c>
      <c r="H14" s="45">
        <f>Assumptions!H$23</f>
        <v/>
      </c>
      <c r="I14" s="45">
        <f>Assumptions!I$23</f>
        <v/>
      </c>
    </row>
    <row r="15">
      <c r="A15" t="inlineStr">
        <is>
          <t>Cost-to-income</t>
        </is>
      </c>
      <c r="B15" s="37" t="n">
        <v>0.271</v>
      </c>
      <c r="C15" s="37" t="n">
        <v>0.2668</v>
      </c>
      <c r="D15" s="37" t="n">
        <v>0.284</v>
      </c>
      <c r="E15" s="37" t="n">
        <v>0.28</v>
      </c>
      <c r="F15" s="37" t="n">
        <v>0.278</v>
      </c>
      <c r="G15" s="37" t="n">
        <v>0.275</v>
      </c>
      <c r="H15" s="37" t="n">
        <v>0.273</v>
      </c>
      <c r="I15" s="37" t="n">
        <v>0.27</v>
      </c>
    </row>
    <row r="16">
      <c r="A16" t="inlineStr">
        <is>
          <t>Cost of risk (bp)</t>
        </is>
      </c>
      <c r="B16" s="48" t="n">
        <v>57</v>
      </c>
      <c r="C16" s="48" t="n">
        <v>14</v>
      </c>
      <c r="D16" s="48" t="n">
        <v>14</v>
      </c>
      <c r="E16" s="48" t="n">
        <v>45</v>
      </c>
      <c r="F16" s="48" t="n">
        <v>45</v>
      </c>
      <c r="G16" s="48" t="n">
        <v>40</v>
      </c>
      <c r="H16" s="48" t="n">
        <v>35</v>
      </c>
      <c r="I16" s="48" t="n">
        <v>35</v>
      </c>
    </row>
    <row r="17">
      <c r="A17" t="inlineStr">
        <is>
          <t>Effective tax rate</t>
        </is>
      </c>
      <c r="B17" s="37" t="n">
        <v>0.0138</v>
      </c>
      <c r="C17" s="37" t="n">
        <v>0.09329999999999999</v>
      </c>
      <c r="D17" s="37" t="n">
        <v>0.1327</v>
      </c>
      <c r="E17" s="37" t="n">
        <v>0.15</v>
      </c>
      <c r="F17" s="37" t="n">
        <v>0.15</v>
      </c>
      <c r="G17" s="37" t="n">
        <v>0.15</v>
      </c>
      <c r="H17" s="37" t="n">
        <v>0.15</v>
      </c>
      <c r="I17" s="37" t="n">
        <v>0.15</v>
      </c>
    </row>
    <row r="18">
      <c r="A18" t="inlineStr">
        <is>
          <t>RoAA (post-tax)</t>
        </is>
      </c>
      <c r="D18" s="45" t="n">
        <v>0.0205</v>
      </c>
      <c r="E18" s="45" t="n">
        <v>0.0161</v>
      </c>
      <c r="F18" s="45" t="n">
        <v>0.0159</v>
      </c>
      <c r="G18" s="45" t="n">
        <v>0.0165</v>
      </c>
      <c r="H18" s="45" t="n">
        <v>0.0171</v>
      </c>
      <c r="I18" s="45" t="n">
        <v>0.0173</v>
      </c>
    </row>
    <row r="19">
      <c r="A19" t="inlineStr">
        <is>
          <t>ROE (on common equity)</t>
        </is>
      </c>
      <c r="D19" s="37" t="n">
        <v>0.1721</v>
      </c>
      <c r="E19" s="37" t="n">
        <v>0.1399</v>
      </c>
      <c r="F19" s="37" t="n">
        <v>0.1383</v>
      </c>
      <c r="G19" s="37" t="n">
        <v>0.1449</v>
      </c>
      <c r="H19" s="37" t="n">
        <v>0.1503</v>
      </c>
      <c r="I19" s="37" t="n">
        <v>0.152</v>
      </c>
    </row>
    <row r="20">
      <c r="A20" t="inlineStr">
        <is>
          <t>RoTE — post-tax (DIB DISCLOSED, FY23-25)</t>
        </is>
      </c>
      <c r="C20" s="37" t="n">
        <v>0.22</v>
      </c>
      <c r="D20" s="37" t="n">
        <v>0.19</v>
      </c>
    </row>
    <row r="21">
      <c r="A21" t="inlineStr">
        <is>
          <t>RoTE — pre-tax (DIB DISCLOSED)</t>
        </is>
      </c>
      <c r="D21" s="37" t="n">
        <v>0.22</v>
      </c>
    </row>
    <row r="22">
      <c r="A22" t="inlineStr">
        <is>
          <t xml:space="preserve">   memo: FY24 RoTE NORMALISED (post-tax)</t>
        </is>
      </c>
      <c r="C22" s="37" t="n">
        <v>0.18</v>
      </c>
    </row>
    <row r="23">
      <c r="A23" t="inlineStr">
        <is>
          <t>CET1 ratio</t>
        </is>
      </c>
      <c r="D23" s="45" t="n">
        <v>0.123</v>
      </c>
      <c r="E23" s="45">
        <f>'Driver Build'!E31</f>
        <v/>
      </c>
      <c r="F23" s="45">
        <f>'Driver Build'!F31</f>
        <v/>
      </c>
      <c r="G23" s="45">
        <f>'Driver Build'!G31</f>
        <v/>
      </c>
      <c r="H23" s="45">
        <f>'Driver Build'!H31</f>
        <v/>
      </c>
      <c r="I23" s="45">
        <f>'Driver Build'!I31</f>
        <v/>
      </c>
    </row>
    <row r="24">
      <c r="A24" t="inlineStr">
        <is>
          <t>Financing + sukuk growth</t>
        </is>
      </c>
      <c r="C24" s="37" t="n">
        <v>0.075</v>
      </c>
      <c r="D24" s="37" t="n">
        <v>0.197</v>
      </c>
      <c r="E24" s="37">
        <f>Assumptions!E$22</f>
        <v/>
      </c>
      <c r="F24" s="37">
        <f>Assumptions!F$22</f>
        <v/>
      </c>
      <c r="G24" s="37">
        <f>Assumptions!G$22</f>
        <v/>
      </c>
      <c r="H24" s="37">
        <f>Assumptions!H$22</f>
        <v/>
      </c>
      <c r="I24" s="37">
        <f>Assumptions!I$22</f>
        <v/>
      </c>
    </row>
    <row r="26">
      <c r="A26" s="6" t="inlineStr">
        <is>
          <t>RoTE figures are DIB's OWN disclosure (the income-statement slide of the FY2025 investor presentation), not a third-party</t>
        </is>
      </c>
    </row>
    <row r="27">
      <c r="A27" s="6" t="inlineStr">
        <is>
          <t>computation. Third-party peer tables are not used here — see the Peer &amp; Sector sheet for why.</t>
        </is>
      </c>
    </row>
    <row r="28">
      <c r="A28" s="6" t="inlineStr">
        <is>
          <t>NORMALISED RETURN ON COMMON EQUITY: FY24 (excluding the legacy recovery) 15.5%, FY25 17.2% -&gt; a two-year average of 16.3%.</t>
        </is>
      </c>
    </row>
    <row r="29">
      <c r="A29" s="6" t="inlineStr">
        <is>
          <t>The FY26E-30E path (13.8-15.2%) sits deliberately BELOW that history: margin compression and a normalised cost of risk.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Peer set and sector</t>
        </is>
      </c>
    </row>
    <row r="2">
      <c r="A2" s="6" t="inlineStr">
        <is>
          <t>Market multiples are aggregator-sourced MARKET DATA (KAMCO Invest research, prices 12-Feb-2026) — never used for statement lines.</t>
        </is>
      </c>
    </row>
    <row r="4">
      <c r="A4" s="1" t="inlineStr">
        <is>
          <t>Bank</t>
        </is>
      </c>
      <c r="B4" s="1" t="inlineStr">
        <is>
          <t>P/B</t>
        </is>
      </c>
      <c r="C4" s="1" t="inlineStr">
        <is>
          <t>ROTE</t>
        </is>
      </c>
      <c r="D4" s="1" t="inlineStr">
        <is>
          <t>Div yield</t>
        </is>
      </c>
      <c r="E4" s="1" t="inlineStr">
        <is>
          <t>Cost-to-income</t>
        </is>
      </c>
      <c r="F4" s="1" t="inlineStr">
        <is>
          <t>Read vs DIB</t>
        </is>
      </c>
    </row>
    <row r="6">
      <c r="A6" s="6" t="inlineStr">
        <is>
          <t>THE SECTOR MARK IS ANCHORED SAME-DAY. Applying a peer multiple struck months ago to today's share price manufactures cheapness</t>
        </is>
      </c>
    </row>
    <row r="7">
      <c r="A7" s="6" t="inlineStr">
        <is>
          <t>out of nothing more than the passage of time — and after a war, that error would be large. So the marks (1.45x book, 9.0x forward</t>
        </is>
      </c>
    </row>
    <row r="8">
      <c r="A8" s="6" t="inlineStr">
        <is>
          <t>earnings) are anchored on the only rigorous same-day comparator available: ADCB at 1.52x book and 8.7x forward earnings at the</t>
        </is>
      </c>
    </row>
    <row r="9">
      <c r="A9" s="6" t="inlineStr">
        <is>
          <t>IDENTICAL 03-Jul close (Testahil ADCB study, 10-Jul-2026). Third-party peer tables struck earlier in the year are NOT used here:</t>
        </is>
      </c>
    </row>
    <row r="10">
      <c r="A10" s="6" t="inlineStr">
        <is>
          <t>one widely circulated set carried ADCB at 11.4% RoTE against ADCB's own Q1-26 disclosure of 18.1%.</t>
        </is>
      </c>
    </row>
    <row r="11">
      <c r="A11" s="6" t="inlineStr">
        <is>
          <t>Like-for-like, same day: DIB 1.31x vs ADCB 1.52x — a ~14% discount on a comparable return. That gap is real.</t>
        </is>
      </c>
    </row>
    <row r="13">
      <c r="A13" s="1" t="inlineStr">
        <is>
          <t>SECTOR</t>
        </is>
      </c>
    </row>
    <row r="14">
      <c r="A14" t="inlineStr">
        <is>
          <t>UAE banking sector total assets (Q1-2026)</t>
        </is>
      </c>
      <c r="B14" t="inlineStr">
        <is>
          <t>AED 5.56tn, +17.7% YoY</t>
        </is>
      </c>
    </row>
    <row r="15">
      <c r="A15" t="inlineStr">
        <is>
          <t>Sector loan growth / deposit growth</t>
        </is>
      </c>
      <c r="B15" t="inlineStr">
        <is>
          <t>+20.3% / +17.4% YoY</t>
        </is>
      </c>
    </row>
    <row r="16">
      <c r="A16" t="inlineStr">
        <is>
          <t>Sector CAR / net NPL</t>
        </is>
      </c>
      <c r="B16" t="inlineStr">
        <is>
          <t>16.8% / 1.5%</t>
        </is>
      </c>
    </row>
    <row r="17">
      <c r="A17" t="inlineStr">
        <is>
          <t>CBUAE base rate</t>
        </is>
      </c>
      <c r="B17" t="inlineStr">
        <is>
          <t>3.65% (cut Dec-2025, held Jan/Mar/Jun-2026)</t>
        </is>
      </c>
    </row>
    <row r="18">
      <c r="A18" t="inlineStr">
        <is>
          <t>CBUAE 2026 GDP forecast</t>
        </is>
      </c>
      <c r="B18" t="inlineStr">
        <is>
          <t>1.7% — CUT from 5.6% (June-2026 QER, the war's bill)</t>
        </is>
      </c>
    </row>
    <row r="19">
      <c r="A19" t="inlineStr">
        <is>
          <t>Counter-cyclical buffer on UAE private-sector credit</t>
        </is>
      </c>
      <c r="B19" t="inlineStr">
        <is>
          <t>0.5% from 2026</t>
        </is>
      </c>
    </row>
    <row r="20">
      <c r="A20" t="inlineStr">
        <is>
          <t>DIB ratings</t>
        </is>
      </c>
      <c r="B20" t="inlineStr">
        <is>
          <t>Moody's A3 stable · Fitch A</t>
        </is>
      </c>
    </row>
    <row r="21">
      <c r="A21" t="inlineStr">
        <is>
          <t>Fitch downgrade trigger</t>
        </is>
      </c>
      <c r="B21" t="inlineStr">
        <is>
          <t>CET1 sustainably below 12%, or impaired financing above 7%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88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5" t="inlineStr">
        <is>
          <t>Driver table — how each assumption was set</t>
        </is>
      </c>
    </row>
    <row r="2">
      <c r="A2" s="6" t="inlineStr">
        <is>
          <t>Every driver names the research-register line that justifies it. See the study, Appendix B.</t>
        </is>
      </c>
    </row>
    <row r="4">
      <c r="A4" s="1" t="inlineStr">
        <is>
          <t>Driver</t>
        </is>
      </c>
      <c r="B4" s="1" t="inlineStr">
        <is>
          <t>Mode</t>
        </is>
      </c>
      <c r="C4" s="1" t="inlineStr">
        <is>
          <t>Justification, and the research-register line that supports it</t>
        </is>
      </c>
      <c r="D4" s="1" t="inlineStr">
        <is>
          <t>Logged?</t>
        </is>
      </c>
    </row>
    <row r="5" ht="46" customHeight="1">
      <c r="A5" s="57" t="inlineStr">
        <is>
          <t>Financing + sukuk growth (10%→7%)</t>
        </is>
      </c>
      <c r="B5" s="57" t="inlineStr">
        <is>
          <t>Top-down</t>
        </is>
      </c>
      <c r="C5" s="57" t="inlineStr">
        <is>
          <t>FY26 IS management guidance (10%). No unit-level pipeline disclosure exists. The FY27–30 fade is our own assumption. [F14, F25]</t>
        </is>
      </c>
      <c r="D5" s="58" t="inlineStr">
        <is>
          <t>YES</t>
        </is>
      </c>
    </row>
    <row r="6" ht="46" customHeight="1">
      <c r="A6" s="57" t="inlineStr">
        <is>
          <t>NPM (2.30% trough 2.28% → 2.40%)</t>
        </is>
      </c>
      <c r="B6" s="57" t="inlineStr">
        <is>
          <t>Top-down</t>
        </is>
      </c>
      <c r="C6" s="57" t="inlineStr">
        <is>
          <t>FY26 IS management guidance (2.3%). DIB does NOT publish a 25bp/100bp margin-sensitivity table — we searched the FY25 presentation, the results release, the audited statements and Pillar 3, and recorded the negative finding (F09). The path is anchored on the disclosed quarterly margin series (3.0 → 2.6 → 2.5) and the central-bank rate path. [F01, F09, F15]</t>
        </is>
      </c>
      <c r="D6" s="58" t="inlineStr">
        <is>
          <t>YES</t>
        </is>
      </c>
    </row>
    <row r="7" ht="46" customHeight="1">
      <c r="A7" s="57" t="inlineStr">
        <is>
          <t>Non-funded income (+10% then +7%)</t>
        </is>
      </c>
      <c r="B7" s="57" t="inlineStr">
        <is>
          <t>Top-down</t>
        </is>
      </c>
      <c r="C7" s="57" t="inlineStr">
        <is>
          <t>The Q1-26 headline was +30% YoY — but the composition (disclosed) shows it is ONE line: other income 105 → 587. Fees/commission/FX FELL 505 → 427; property income FELL 274 → 162. The recurring franchise lines are declining, so the headline is not extrapolated. [F24]</t>
        </is>
      </c>
      <c r="D7" s="58" t="inlineStr">
        <is>
          <t>YES</t>
        </is>
      </c>
    </row>
    <row r="8" ht="46" customHeight="1">
      <c r="A8" s="57" t="inlineStr">
        <is>
          <t>Cost-to-income (28.5% → 27.2%)</t>
        </is>
      </c>
      <c r="B8" s="57" t="inlineStr">
        <is>
          <t>Top-down</t>
        </is>
      </c>
      <c r="C8" s="57" t="inlineStr">
        <is>
          <t>FY26 IS management guidance (28%). Reported quarterly; unit economics are not. The glide beyond FY26 is held deliberately SHALLOW — assumed operating leverage is the most common way a forecast flatters itself. [F17]</t>
        </is>
      </c>
      <c r="D8" s="58" t="inlineStr">
        <is>
          <t>YES</t>
        </is>
      </c>
    </row>
    <row r="9" ht="46" customHeight="1">
      <c r="A9" s="57" t="inlineStr">
        <is>
          <t>Cost of risk (45bp flat → 35bp)</t>
        </is>
      </c>
      <c r="B9" s="57" t="inlineStr">
        <is>
          <t>Top-down</t>
        </is>
      </c>
      <c r="C9" s="57" t="inlineStr">
        <is>
          <t>FY26 IS the Q1-26 print (45bp), not a forecast. It steps up hard from FY25's 14bp — a benign base, and the FY24 figure is flattered by the legacy recovery (normalised: 58bp). Counter-evidence, disclosed: asset quality is IMPROVING (Q1-26 NPF 2.5%, a decade low; cash coverage 122%). [F11, F15, F26]</t>
        </is>
      </c>
      <c r="D9" s="58" t="inlineStr">
        <is>
          <t>YES</t>
        </is>
      </c>
    </row>
    <row r="10" ht="46" customHeight="1">
      <c r="A10" s="57" t="inlineStr">
        <is>
          <t>Effective tax rate (15.0% flat)</t>
        </is>
      </c>
      <c r="B10" s="57" t="inlineStr">
        <is>
          <t>Top-down</t>
        </is>
      </c>
      <c r="C10" s="57" t="inlineStr">
        <is>
          <t>Q1-26 printed 15.4%, so we take the 15% minimum-tax rate as the base. NOTE the countervailing evidence, all disclosed: FY25 ACTUALLY printed 13.3% — in the FIRST year the top-up tax applied — and Q1-25 ran 14.75% against a 13.3% full year, so the first quarter runs ABOVE the year. A sub-15% consolidated rate is demonstrably POSSIBLE (associates enter pre-tax profit already net of their own tax). 15.0% is therefore a conservative floor we have chosen, not a statutory necessity. [F06, F12]</t>
        </is>
      </c>
      <c r="D10" s="58" t="inlineStr">
        <is>
          <t>YES</t>
        </is>
      </c>
    </row>
    <row r="11" ht="46" customHeight="1">
      <c r="A11" s="57" t="inlineStr">
        <is>
          <t>DPS (0.35 held, then progressive)</t>
        </is>
      </c>
      <c r="B11" s="57" t="inlineStr">
        <is>
          <t>Board policy</t>
        </is>
      </c>
      <c r="C11" s="57" t="inlineStr">
        <is>
          <t>FY25 DPS of 35 fils is DISCLOSED (approved at the AGM on 02-Apr-2026, AED 2.53bn). Held flat through the FY26 earnings dip (no second cut), then progressive. CET1 is the OUTPUT, not an input. [F17]</t>
        </is>
      </c>
      <c r="D11" s="58" t="inlineStr">
        <is>
          <t>YES</t>
        </is>
      </c>
    </row>
    <row r="12" ht="46" customHeight="1">
      <c r="A12" s="57" t="inlineStr">
        <is>
          <t>RWA density (84.8%, −0.8pt/yr)</t>
        </is>
      </c>
      <c r="B12" s="57" t="inlineStr">
        <is>
          <t>DISCLOSED</t>
        </is>
      </c>
      <c r="C12" s="57" t="inlineStr">
        <is>
          <t>Risk-weighted assets are PUBLISHED — the regulatory-capital slide of both investor presentations: 257.2bn Dec-24, 298.9bn Dec-25, 305.0bn Q1-26. CET1 capital likewise (34.0 / 36.9 / 38.5bn). Only the forward DENSITY FADE (−0.8pt/yr) is our own assumption. [F19]</t>
        </is>
      </c>
      <c r="D12" s="57" t="inlineStr">
        <is>
          <t>fade only</t>
        </is>
      </c>
    </row>
    <row r="13" ht="46" customHeight="1">
      <c r="A13" s="57" t="inlineStr">
        <is>
          <t>Beta (1.00)</t>
        </is>
      </c>
      <c r="B13" s="57" t="inlineStr">
        <is>
          <t>FALLBACK</t>
        </is>
      </c>
      <c r="C13" s="57" t="inlineStr">
        <is>
          <t>A regression against the DFM General Index was genuinely attempted: n=19, beta 0.796, R-sq 29.9%, SE 0.296. The fit quality and sign are fine; the sample is 19 observations against our 24-observation minimum. Two sources tried (investing.com serves 20 rows only; dfm.ae renders client-side). Beta therefore defaults to 1.00 and is sensitized 0.8–1.3. [F20]</t>
        </is>
      </c>
      <c r="D13" s="58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5" t="inlineStr">
        <is>
          <t>Summary financials</t>
        </is>
      </c>
    </row>
    <row r="2">
      <c r="A2" s="6" t="inlineStr">
        <is>
          <t>Every cell on this sheet is a link. Nothing here is typed.</t>
        </is>
      </c>
    </row>
    <row r="4">
      <c r="A4" s="29" t="n"/>
      <c r="B4" s="23" t="inlineStr">
        <is>
          <t>FY23</t>
        </is>
      </c>
      <c r="C4" s="23" t="inlineStr">
        <is>
          <t>FY24</t>
        </is>
      </c>
      <c r="D4" s="23" t="inlineStr">
        <is>
          <t>FY25</t>
        </is>
      </c>
      <c r="E4" s="23" t="inlineStr">
        <is>
          <t>FY26E</t>
        </is>
      </c>
      <c r="F4" s="23" t="inlineStr">
        <is>
          <t>FY27E</t>
        </is>
      </c>
      <c r="G4" s="23" t="inlineStr">
        <is>
          <t>FY28E</t>
        </is>
      </c>
      <c r="H4" s="23" t="inlineStr">
        <is>
          <t>FY29E</t>
        </is>
      </c>
      <c r="I4" s="23" t="inlineStr">
        <is>
          <t>FY30E</t>
        </is>
      </c>
    </row>
    <row r="5">
      <c r="A5" s="13" t="inlineStr">
        <is>
          <t>Operating revenue</t>
        </is>
      </c>
      <c r="B5" s="30">
        <f>'Income Statement'!B7</f>
        <v/>
      </c>
      <c r="C5" s="30">
        <f>'Income Statement'!C7</f>
        <v/>
      </c>
      <c r="D5" s="30">
        <f>'Income Statement'!D7</f>
        <v/>
      </c>
      <c r="E5" s="30">
        <f>'Income Statement'!E7</f>
        <v/>
      </c>
      <c r="F5" s="30">
        <f>'Income Statement'!F7</f>
        <v/>
      </c>
      <c r="G5" s="30">
        <f>'Income Statement'!G7</f>
        <v/>
      </c>
      <c r="H5" s="30">
        <f>'Income Statement'!H7</f>
        <v/>
      </c>
      <c r="I5" s="30">
        <f>'Income Statement'!I7</f>
        <v/>
      </c>
    </row>
    <row r="6">
      <c r="A6" t="inlineStr">
        <is>
          <t>Pre-provision operating profit</t>
        </is>
      </c>
      <c r="B6" s="8">
        <f>'Income Statement'!B9</f>
        <v/>
      </c>
      <c r="C6" s="8">
        <f>'Income Statement'!C9</f>
        <v/>
      </c>
      <c r="D6" s="8">
        <f>'Income Statement'!D9</f>
        <v/>
      </c>
      <c r="E6" s="8">
        <f>'Income Statement'!E9</f>
        <v/>
      </c>
      <c r="F6" s="8">
        <f>'Income Statement'!F9</f>
        <v/>
      </c>
      <c r="G6" s="8">
        <f>'Income Statement'!G9</f>
        <v/>
      </c>
      <c r="H6" s="8">
        <f>'Income Statement'!H9</f>
        <v/>
      </c>
      <c r="I6" s="8">
        <f>'Income Statement'!I9</f>
        <v/>
      </c>
    </row>
    <row r="7">
      <c r="A7" t="inlineStr">
        <is>
          <t>Impairment charge</t>
        </is>
      </c>
      <c r="B7" s="8">
        <f>'Income Statement'!B10</f>
        <v/>
      </c>
      <c r="C7" s="8">
        <f>'Income Statement'!C10</f>
        <v/>
      </c>
      <c r="D7" s="8">
        <f>'Income Statement'!D10</f>
        <v/>
      </c>
      <c r="E7" s="8">
        <f>'Income Statement'!E10</f>
        <v/>
      </c>
      <c r="F7" s="8">
        <f>'Income Statement'!F10</f>
        <v/>
      </c>
      <c r="G7" s="8">
        <f>'Income Statement'!G10</f>
        <v/>
      </c>
      <c r="H7" s="8">
        <f>'Income Statement'!H10</f>
        <v/>
      </c>
      <c r="I7" s="8">
        <f>'Income Statement'!I10</f>
        <v/>
      </c>
    </row>
    <row r="8">
      <c r="A8" t="inlineStr">
        <is>
          <t>Profit before tax (reported)</t>
        </is>
      </c>
      <c r="B8" s="8">
        <f>'Income Statement'!B11</f>
        <v/>
      </c>
      <c r="C8" s="8">
        <f>'Income Statement'!C11</f>
        <v/>
      </c>
      <c r="D8" s="8">
        <f>'Income Statement'!D11</f>
        <v/>
      </c>
      <c r="E8" s="8">
        <f>'Income Statement'!E11</f>
        <v/>
      </c>
      <c r="F8" s="8">
        <f>'Income Statement'!F11</f>
        <v/>
      </c>
      <c r="G8" s="8">
        <f>'Income Statement'!G11</f>
        <v/>
      </c>
      <c r="H8" s="8">
        <f>'Income Statement'!H11</f>
        <v/>
      </c>
      <c r="I8" s="8">
        <f>'Income Statement'!I11</f>
        <v/>
      </c>
    </row>
    <row r="9">
      <c r="A9" t="inlineStr">
        <is>
          <t>Net profit after tax</t>
        </is>
      </c>
      <c r="B9" s="8">
        <f>'Income Statement'!B15</f>
        <v/>
      </c>
      <c r="C9" s="8">
        <f>'Income Statement'!C15</f>
        <v/>
      </c>
      <c r="D9" s="8">
        <f>'Income Statement'!D15</f>
        <v/>
      </c>
      <c r="E9" s="8">
        <f>'Income Statement'!E15</f>
        <v/>
      </c>
      <c r="F9" s="8">
        <f>'Income Statement'!F15</f>
        <v/>
      </c>
      <c r="G9" s="8">
        <f>'Income Statement'!G15</f>
        <v/>
      </c>
      <c r="H9" s="8">
        <f>'Income Statement'!H15</f>
        <v/>
      </c>
      <c r="I9" s="8">
        <f>'Income Statement'!I15</f>
        <v/>
      </c>
    </row>
    <row r="10">
      <c r="A10" s="13" t="inlineStr">
        <is>
          <t>Earnings to common</t>
        </is>
      </c>
      <c r="B10" s="30">
        <f>'Income Statement'!B19</f>
        <v/>
      </c>
      <c r="C10" s="30">
        <f>'Income Statement'!C19</f>
        <v/>
      </c>
      <c r="D10" s="30">
        <f>'Income Statement'!D19</f>
        <v/>
      </c>
      <c r="E10" s="30">
        <f>'Income Statement'!E19</f>
        <v/>
      </c>
      <c r="F10" s="30">
        <f>'Income Statement'!F19</f>
        <v/>
      </c>
      <c r="G10" s="30">
        <f>'Income Statement'!G19</f>
        <v/>
      </c>
      <c r="H10" s="30">
        <f>'Income Statement'!H19</f>
        <v/>
      </c>
      <c r="I10" s="30">
        <f>'Income Statement'!I19</f>
        <v/>
      </c>
    </row>
    <row r="11">
      <c r="A11" t="inlineStr">
        <is>
          <t>EPS (AED)</t>
        </is>
      </c>
      <c r="B11" s="7">
        <f>'Income Statement'!B20</f>
        <v/>
      </c>
      <c r="C11" s="7">
        <f>'Income Statement'!C20</f>
        <v/>
      </c>
      <c r="D11" s="7">
        <f>'Income Statement'!D20</f>
        <v/>
      </c>
      <c r="E11" s="7">
        <f>'Income Statement'!E20</f>
        <v/>
      </c>
      <c r="F11" s="7">
        <f>'Income Statement'!F20</f>
        <v/>
      </c>
      <c r="G11" s="7">
        <f>'Income Statement'!G20</f>
        <v/>
      </c>
      <c r="H11" s="7">
        <f>'Income Statement'!H20</f>
        <v/>
      </c>
      <c r="I11" s="7">
        <f>'Income Statement'!I20</f>
        <v/>
      </c>
    </row>
    <row r="12">
      <c r="A12" t="inlineStr">
        <is>
          <t>DPS (AED)</t>
        </is>
      </c>
      <c r="B12" s="7">
        <f>'Income Statement'!B21</f>
        <v/>
      </c>
      <c r="C12" s="7">
        <f>'Income Statement'!C21</f>
        <v/>
      </c>
      <c r="D12" s="7">
        <f>'Income Statement'!D21</f>
        <v/>
      </c>
      <c r="E12" s="7">
        <f>'Income Statement'!E21</f>
        <v/>
      </c>
      <c r="F12" s="7">
        <f>'Income Statement'!F21</f>
        <v/>
      </c>
      <c r="G12" s="7">
        <f>'Income Statement'!G21</f>
        <v/>
      </c>
      <c r="H12" s="7">
        <f>'Income Statement'!H21</f>
        <v/>
      </c>
      <c r="I12" s="7">
        <f>'Income Statement'!I21</f>
        <v/>
      </c>
    </row>
    <row r="14">
      <c r="A14" t="inlineStr">
        <is>
          <t>Total assets</t>
        </is>
      </c>
      <c r="B14" s="8">
        <f>'Balance Sheet'!B5</f>
        <v/>
      </c>
      <c r="C14" s="8">
        <f>'Balance Sheet'!C5</f>
        <v/>
      </c>
      <c r="D14" s="8">
        <f>'Balance Sheet'!D5</f>
        <v/>
      </c>
      <c r="E14" s="8">
        <f>'Balance Sheet'!E5</f>
        <v/>
      </c>
      <c r="F14" s="8">
        <f>'Balance Sheet'!F5</f>
        <v/>
      </c>
      <c r="G14" s="8">
        <f>'Balance Sheet'!G5</f>
        <v/>
      </c>
      <c r="H14" s="8">
        <f>'Balance Sheet'!H5</f>
        <v/>
      </c>
      <c r="I14" s="8">
        <f>'Balance Sheet'!I5</f>
        <v/>
      </c>
    </row>
    <row r="15">
      <c r="A15" t="inlineStr">
        <is>
          <t>Net financing + sukuk</t>
        </is>
      </c>
      <c r="B15" s="8">
        <f>'Balance Sheet'!B6</f>
        <v/>
      </c>
      <c r="C15" s="8">
        <f>'Balance Sheet'!C6</f>
        <v/>
      </c>
      <c r="D15" s="8">
        <f>'Balance Sheet'!D6</f>
        <v/>
      </c>
      <c r="E15" s="8">
        <f>'Balance Sheet'!E6</f>
        <v/>
      </c>
      <c r="F15" s="8">
        <f>'Balance Sheet'!F6</f>
        <v/>
      </c>
      <c r="G15" s="8">
        <f>'Balance Sheet'!G6</f>
        <v/>
      </c>
      <c r="H15" s="8">
        <f>'Balance Sheet'!H6</f>
        <v/>
      </c>
      <c r="I15" s="8">
        <f>'Balance Sheet'!I6</f>
        <v/>
      </c>
    </row>
    <row r="16">
      <c r="A16" t="inlineStr">
        <is>
          <t>Customer deposits</t>
        </is>
      </c>
      <c r="B16" s="8">
        <f>'Balance Sheet'!B7</f>
        <v/>
      </c>
      <c r="C16" s="8">
        <f>'Balance Sheet'!C7</f>
        <v/>
      </c>
      <c r="D16" s="8">
        <f>'Balance Sheet'!D7</f>
        <v/>
      </c>
      <c r="E16" s="8">
        <f>'Balance Sheet'!E7</f>
        <v/>
      </c>
      <c r="F16" s="8">
        <f>'Balance Sheet'!F7</f>
        <v/>
      </c>
      <c r="G16" s="8">
        <f>'Balance Sheet'!G7</f>
        <v/>
      </c>
      <c r="H16" s="8">
        <f>'Balance Sheet'!H7</f>
        <v/>
      </c>
      <c r="I16" s="8">
        <f>'Balance Sheet'!I7</f>
        <v/>
      </c>
    </row>
    <row r="17">
      <c r="A17" t="inlineStr">
        <is>
          <t>CET1 capital</t>
        </is>
      </c>
      <c r="B17" s="8">
        <f>'Balance Sheet'!B13</f>
        <v/>
      </c>
      <c r="C17" s="8">
        <f>'Balance Sheet'!C13</f>
        <v/>
      </c>
      <c r="D17" s="8">
        <f>'Balance Sheet'!D13</f>
        <v/>
      </c>
      <c r="E17" s="8">
        <f>'Balance Sheet'!E13</f>
        <v/>
      </c>
      <c r="F17" s="8">
        <f>'Balance Sheet'!F13</f>
        <v/>
      </c>
      <c r="G17" s="8">
        <f>'Balance Sheet'!G13</f>
        <v/>
      </c>
      <c r="H17" s="8">
        <f>'Balance Sheet'!H13</f>
        <v/>
      </c>
      <c r="I17" s="8">
        <f>'Balance Sheet'!I13</f>
        <v/>
      </c>
    </row>
    <row r="18">
      <c r="A18" t="inlineStr">
        <is>
          <t>Risk-weighted assets</t>
        </is>
      </c>
      <c r="B18" s="8">
        <f>'Balance Sheet'!B14</f>
        <v/>
      </c>
      <c r="C18" s="8">
        <f>'Balance Sheet'!C14</f>
        <v/>
      </c>
      <c r="D18" s="8">
        <f>'Balance Sheet'!D14</f>
        <v/>
      </c>
      <c r="E18" s="8">
        <f>'Balance Sheet'!E14</f>
        <v/>
      </c>
      <c r="F18" s="8">
        <f>'Balance Sheet'!F14</f>
        <v/>
      </c>
      <c r="G18" s="8">
        <f>'Balance Sheet'!G14</f>
        <v/>
      </c>
      <c r="H18" s="8">
        <f>'Balance Sheet'!H14</f>
        <v/>
      </c>
      <c r="I18" s="8">
        <f>'Balance Sheet'!I14</f>
        <v/>
      </c>
    </row>
    <row r="19">
      <c r="A19" s="13" t="inlineStr">
        <is>
          <t>CET1 ratio</t>
        </is>
      </c>
      <c r="B19" s="53">
        <f>'Balance Sheet'!B15</f>
        <v/>
      </c>
      <c r="C19" s="53">
        <f>'Balance Sheet'!C15</f>
        <v/>
      </c>
      <c r="D19" s="53">
        <f>'Balance Sheet'!D15</f>
        <v/>
      </c>
      <c r="E19" s="53">
        <f>'Balance Sheet'!E15</f>
        <v/>
      </c>
      <c r="F19" s="53">
        <f>'Balance Sheet'!F15</f>
        <v/>
      </c>
      <c r="G19" s="53">
        <f>'Balance Sheet'!G15</f>
        <v/>
      </c>
      <c r="H19" s="53">
        <f>'Balance Sheet'!H15</f>
        <v/>
      </c>
      <c r="I19" s="53">
        <f>'Balance Sheet'!I15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2026-07-11T18:03:00Z</dcterms:created>
  <dcterms:modified xmlns:dcterms="http://purl.org/dc/terms/" xmlns:xsi="http://www.w3.org/2001/XMLSchema-instance" xsi:type="dcterms:W3CDTF">2026-07-11T18:03:00Z</dcterms:modified>
</cp:coreProperties>
</file>