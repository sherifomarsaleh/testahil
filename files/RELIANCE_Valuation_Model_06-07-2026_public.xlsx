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;(#,##0);&quot;-&quot;"/>
    <numFmt numFmtId="166" formatCode="0.0%"/>
    <numFmt numFmtId="167" formatCode="0.0x"/>
    <numFmt numFmtId="168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B5E5E"/>
      <sz val="11"/>
    </font>
    <font>
      <name val="Arial"/>
      <i val="1"/>
      <color rgb="00555555"/>
      <sz val="9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B5E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6" fillId="2" borderId="0" applyAlignment="1" pivotButton="0" quotePrefix="0" xfId="0">
      <alignment horizontal="center"/>
    </xf>
    <xf numFmtId="165" fontId="3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5" fontId="7" fillId="0" borderId="0" pivotButton="0" quotePrefix="0" xfId="0"/>
    <xf numFmtId="3" fontId="5" fillId="0" borderId="0" pivotButton="0" quotePrefix="0" xfId="0"/>
    <xf numFmtId="3" fontId="7" fillId="0" borderId="0" pivotButton="0" quotePrefix="0" xfId="0"/>
    <xf numFmtId="166" fontId="7" fillId="0" borderId="0" pivotButton="0" quotePrefix="0" xfId="0"/>
    <xf numFmtId="3" fontId="4" fillId="0" borderId="0" pivotButton="0" quotePrefix="0" xfId="0"/>
    <xf numFmtId="4" fontId="7" fillId="0" borderId="0" pivotButton="0" quotePrefix="0" xfId="0"/>
    <xf numFmtId="0" fontId="6" fillId="2" borderId="0" pivotButton="0" quotePrefix="0" xfId="0"/>
    <xf numFmtId="3" fontId="3" fillId="0" borderId="0" pivotButton="0" quotePrefix="0" xfId="0"/>
    <xf numFmtId="164" fontId="3" fillId="0" borderId="0" pivotButton="0" quotePrefix="0" xfId="0"/>
    <xf numFmtId="168" fontId="3" fillId="0" borderId="0" pivotButton="0" quotePrefix="0" xfId="0"/>
    <xf numFmtId="164" fontId="7" fillId="0" borderId="0" pivotButton="0" quotePrefix="0" xfId="0"/>
    <xf numFmtId="167" fontId="3" fillId="0" borderId="0" pivotButton="0" quotePrefix="0" xfId="0"/>
    <xf numFmtId="167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Testahil — Reliance Industries Ltd (NSE: RELIANCE)</t>
        </is>
      </c>
    </row>
    <row r="2">
      <c r="A2" s="2" t="inlineStr">
        <is>
          <t>Companion model · Independent Valuation Study · Educational analysis · Not investment advice</t>
        </is>
      </c>
    </row>
    <row r="5">
      <c r="A5" s="3" t="inlineStr">
        <is>
          <t>What this workbook is. A transparent companion to the Reliance valuation study. Every blue cell is an input; every</t>
        </is>
      </c>
    </row>
    <row r="6">
      <c r="A6" s="3" t="inlineStr">
        <is>
          <t>black cell is a formula; green cells link across sheets. All inputs live on the Assumptions sheet — change one</t>
        </is>
      </c>
    </row>
    <row r="7">
      <c r="A7" s="3" t="inlineStr">
        <is>
          <t>(the holdco discount, a Jio EV/EBITDA multiple, a growth rate) and the whole model reprices.</t>
        </is>
      </c>
    </row>
    <row r="8">
      <c r="A8" s="3" t="inlineStr"/>
    </row>
    <row r="9">
      <c r="A9" s="3" t="inlineStr">
        <is>
          <t>What it is not. It is not investment advice, a recommendation, or a price target. Values are model outputs shown</t>
        </is>
      </c>
    </row>
    <row r="10">
      <c r="A10" s="3" t="inlineStr">
        <is>
          <t>as ranges. The preparer is not licensed by any securities regulator and may hold a position in the security.</t>
        </is>
      </c>
    </row>
    <row r="11">
      <c r="A11" s="3" t="inlineStr"/>
    </row>
    <row r="12">
      <c r="A12" s="3" t="inlineStr">
        <is>
          <t>Entity note. Reliance is valued as a holding company (holdco sum-of-the-parts): each business is marked on the basis</t>
        </is>
      </c>
    </row>
    <row r="13">
      <c r="A13" s="3" t="inlineStr">
        <is>
          <t>that fits it and RIL's economic ownership stake applied, minority interests and consolidated net debt deducted.</t>
        </is>
      </c>
    </row>
    <row r="14">
      <c r="A14" s="3" t="inlineStr"/>
    </row>
    <row r="15">
      <c r="A15" s="3" t="inlineStr">
        <is>
          <t>Currency. Rs crore unless stated; USD/INR 88 at study date. Spot Rs1,321.30 (06 Jul 2026). Shares ~1,353 crore.</t>
        </is>
      </c>
    </row>
    <row r="16">
      <c r="A16" s="3" t="inlineStr">
        <is>
          <t>Historical financials are company disclosure (FY26 results, 24 Apr 2026); some P&amp;L / balance-sheet line items are</t>
        </is>
      </c>
    </row>
    <row r="17">
      <c r="A17" s="3" t="inlineStr">
        <is>
          <t>estimated to tie to disclosed totals (EBITDA, PAT attributable, net debt, equity) — flagged on the statements.</t>
        </is>
      </c>
    </row>
    <row r="18">
      <c r="A18" s="3" t="inlineStr"/>
    </row>
    <row r="19">
      <c r="A19" s="3" t="inlineStr">
        <is>
          <t>Sheets: Summary · Fundamental Valuation · Assumptions · SOTP · Segments · Relative &amp; Normalized · DCF ·</t>
        </is>
      </c>
    </row>
    <row r="20">
      <c r="A20" s="3" t="inlineStr">
        <is>
          <t>Income Statement · Balance Sheet · Cash Flow · Summary Financials · Monte Carlo · 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Valuation summary — Reliance Industries (NSE: RELIANCE)</t>
        </is>
      </c>
    </row>
    <row r="2">
      <c r="A2" s="2" t="inlineStr">
        <is>
          <t>Four-lens fair value vs spot. Base links live; bear/bull are scenario outputs (see study §1.5).</t>
        </is>
      </c>
    </row>
    <row r="3">
      <c r="B3" s="10" t="inlineStr">
        <is>
          <t>Bear</t>
        </is>
      </c>
      <c r="C3" s="10" t="inlineStr">
        <is>
          <t>Base</t>
        </is>
      </c>
      <c r="D3" s="10" t="inlineStr">
        <is>
          <t>Bull</t>
        </is>
      </c>
      <c r="E3" s="10" t="inlineStr">
        <is>
          <t>Weight</t>
        </is>
      </c>
    </row>
    <row r="4">
      <c r="A4" s="3" t="inlineStr">
        <is>
          <t>Sum-of-the-parts</t>
        </is>
      </c>
      <c r="B4" s="15" t="n">
        <v>1008</v>
      </c>
      <c r="C4" s="16">
        <f>SOTP!C18</f>
        <v/>
      </c>
      <c r="D4" s="15" t="n">
        <v>1712</v>
      </c>
      <c r="E4" s="17">
        <f>Assumptions!$B$38</f>
        <v/>
      </c>
    </row>
    <row r="5">
      <c r="A5" s="3" t="inlineStr">
        <is>
          <t>Consolidated DCF</t>
        </is>
      </c>
      <c r="B5" s="15" t="n">
        <v>1120</v>
      </c>
      <c r="C5" s="16">
        <f>DCF!B19</f>
        <v/>
      </c>
      <c r="D5" s="15" t="n">
        <v>1660</v>
      </c>
      <c r="E5" s="17">
        <f>Assumptions!$B$39</f>
        <v/>
      </c>
    </row>
    <row r="6">
      <c r="A6" s="3" t="inlineStr">
        <is>
          <t>Relative multiples</t>
        </is>
      </c>
      <c r="B6" s="15" t="n">
        <v>1179</v>
      </c>
      <c r="C6" s="16">
        <f>'Relative &amp; Normalized'!C4</f>
        <v/>
      </c>
      <c r="D6" s="15" t="n">
        <v>1509</v>
      </c>
      <c r="E6" s="17">
        <f>Assumptions!$B$40</f>
        <v/>
      </c>
    </row>
    <row r="7">
      <c r="A7" s="3" t="inlineStr">
        <is>
          <t>Normalized earnings</t>
        </is>
      </c>
      <c r="B7" s="15" t="n">
        <v>1231</v>
      </c>
      <c r="C7" s="16">
        <f>'Relative &amp; Normalized'!C6</f>
        <v/>
      </c>
      <c r="D7" s="15" t="n">
        <v>1904</v>
      </c>
      <c r="E7" s="17">
        <f>Assumptions!$B$41</f>
        <v/>
      </c>
    </row>
    <row r="8">
      <c r="A8" s="4" t="inlineStr">
        <is>
          <t>Weighted central</t>
        </is>
      </c>
      <c r="B8" s="18">
        <f>SUMPRODUCT(B4:B7,E4:E7)</f>
        <v/>
      </c>
      <c r="C8" s="18">
        <f>SUMPRODUCT(C4:C7,E4:E7)</f>
        <v/>
      </c>
      <c r="D8" s="18">
        <f>SUMPRODUCT(D4:D7,E4:E7)</f>
        <v/>
      </c>
    </row>
    <row r="10">
      <c r="A10" s="3" t="inlineStr">
        <is>
          <t>Spot price (Rs)</t>
        </is>
      </c>
      <c r="C10" s="19">
        <f>Assumptions!$B$4</f>
        <v/>
      </c>
    </row>
    <row r="11">
      <c r="A11" s="3" t="inlineStr">
        <is>
          <t>Upside to central base</t>
        </is>
      </c>
      <c r="C11" s="13">
        <f>C8/C10-1</f>
        <v/>
      </c>
    </row>
    <row r="13">
      <c r="A13" s="2" t="inlineStr">
        <is>
          <t>Read: modestly undervalued; swing factors are the Jio IPO value-crystallisation, O2C margins and the holdco discount.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Fundamental valuation — football field data</t>
        </is>
      </c>
    </row>
    <row r="2">
      <c r="A2" s="2" t="inlineStr">
        <is>
          <t>Bear/base/bull per lens (links to Summary).</t>
        </is>
      </c>
    </row>
    <row r="3">
      <c r="A3" s="20" t="inlineStr">
        <is>
          <t>Lens</t>
        </is>
      </c>
      <c r="B3" s="10" t="inlineStr">
        <is>
          <t>Bear</t>
        </is>
      </c>
      <c r="C3" s="10" t="inlineStr">
        <is>
          <t>Base</t>
        </is>
      </c>
      <c r="D3" s="10" t="inlineStr">
        <is>
          <t>Bull</t>
        </is>
      </c>
    </row>
    <row r="4">
      <c r="A4" s="3" t="inlineStr">
        <is>
          <t>Sum-of-the-parts</t>
        </is>
      </c>
      <c r="B4" s="16">
        <f>Summary!B4</f>
        <v/>
      </c>
      <c r="C4" s="16">
        <f>Summary!C4</f>
        <v/>
      </c>
      <c r="D4" s="16">
        <f>Summary!D4</f>
        <v/>
      </c>
    </row>
    <row r="5">
      <c r="A5" s="3" t="inlineStr">
        <is>
          <t>Consolidated DCF</t>
        </is>
      </c>
      <c r="B5" s="16">
        <f>Summary!B5</f>
        <v/>
      </c>
      <c r="C5" s="16">
        <f>Summary!C5</f>
        <v/>
      </c>
      <c r="D5" s="16">
        <f>Summary!D5</f>
        <v/>
      </c>
    </row>
    <row r="6">
      <c r="A6" s="3" t="inlineStr">
        <is>
          <t>Relative multiples</t>
        </is>
      </c>
      <c r="B6" s="16">
        <f>Summary!B6</f>
        <v/>
      </c>
      <c r="C6" s="16">
        <f>Summary!C6</f>
        <v/>
      </c>
      <c r="D6" s="16">
        <f>Summary!D6</f>
        <v/>
      </c>
    </row>
    <row r="7">
      <c r="A7" s="3" t="inlineStr">
        <is>
          <t>Normalized earnings</t>
        </is>
      </c>
      <c r="B7" s="16">
        <f>Summary!B7</f>
        <v/>
      </c>
      <c r="C7" s="16">
        <f>Summary!C7</f>
        <v/>
      </c>
      <c r="D7" s="16">
        <f>Summary!D7</f>
        <v/>
      </c>
    </row>
    <row r="8">
      <c r="A8" s="3" t="inlineStr">
        <is>
          <t>Weighted central</t>
        </is>
      </c>
      <c r="B8" s="16">
        <f>Summary!B8</f>
        <v/>
      </c>
      <c r="C8" s="16">
        <f>Summary!C8</f>
        <v/>
      </c>
      <c r="D8" s="16">
        <f>Summary!D8</f>
        <v/>
      </c>
    </row>
    <row r="9">
      <c r="A9" s="3" t="inlineStr">
        <is>
          <t>Spot</t>
        </is>
      </c>
      <c r="C9" s="19">
        <f>Assumptions!$B$4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Assumptions — the single input layer</t>
        </is>
      </c>
    </row>
    <row r="2">
      <c r="A2" s="2" t="inlineStr">
        <is>
          <t>All blue cells are inputs. Every other sheet links here.</t>
        </is>
      </c>
    </row>
    <row r="3">
      <c r="A3" s="4" t="inlineStr">
        <is>
          <t>ANCHORS</t>
        </is>
      </c>
    </row>
    <row r="4">
      <c r="A4" s="3" t="inlineStr">
        <is>
          <t>Spot price (Rs/share)</t>
        </is>
      </c>
      <c r="B4" s="5" t="n">
        <v>1321.3</v>
      </c>
    </row>
    <row r="5">
      <c r="A5" s="3" t="inlineStr">
        <is>
          <t>Shares outstanding (cr)</t>
        </is>
      </c>
      <c r="B5" s="6" t="n">
        <v>1353</v>
      </c>
    </row>
    <row r="6">
      <c r="A6" s="3" t="inlineStr">
        <is>
          <t>USD/INR</t>
        </is>
      </c>
      <c r="B6" s="6" t="n">
        <v>88</v>
      </c>
    </row>
    <row r="7">
      <c r="A7" s="3" t="inlineStr">
        <is>
          <t>Consolidated net debt (Rs cr)</t>
        </is>
      </c>
      <c r="B7" s="7" t="n">
        <v>124717</v>
      </c>
    </row>
    <row r="8">
      <c r="A8" s="3" t="inlineStr">
        <is>
          <t>WACC</t>
        </is>
      </c>
      <c r="B8" s="8" t="n">
        <v>0.115</v>
      </c>
    </row>
    <row r="9">
      <c r="A9" s="3" t="inlineStr">
        <is>
          <t>Terminal growth</t>
        </is>
      </c>
      <c r="B9" s="8" t="n">
        <v>0.05</v>
      </c>
    </row>
    <row r="10">
      <c r="A10" s="3" t="inlineStr">
        <is>
          <t>Tax rate</t>
        </is>
      </c>
      <c r="B10" s="8" t="n">
        <v>0.25</v>
      </c>
    </row>
    <row r="12">
      <c r="A12" s="4" t="inlineStr">
        <is>
          <t>SOTP — base marks</t>
        </is>
      </c>
    </row>
    <row r="13">
      <c r="A13" s="3" t="inlineStr">
        <is>
          <t>Jio Platforms FY26 EBITDA (Rs cr)</t>
        </is>
      </c>
      <c r="B13" s="7" t="n">
        <v>76255</v>
      </c>
    </row>
    <row r="14">
      <c r="A14" s="3" t="inlineStr">
        <is>
          <t>Jio EV/EBITDA multiple</t>
        </is>
      </c>
      <c r="B14" s="9" t="n">
        <v>13.5</v>
      </c>
    </row>
    <row r="15">
      <c r="A15" s="3" t="inlineStr">
        <is>
          <t>Jio net debt (Rs cr)</t>
        </is>
      </c>
      <c r="B15" s="7" t="n">
        <v>70781</v>
      </c>
    </row>
    <row r="16">
      <c r="A16" s="3" t="inlineStr">
        <is>
          <t>Jio — RIL stake</t>
        </is>
      </c>
      <c r="B16" s="8" t="n">
        <v>0.6643</v>
      </c>
    </row>
    <row r="17">
      <c r="A17" s="3" t="inlineStr">
        <is>
          <t>Reliance Retail FY26 EBITDA (Rs cr)</t>
        </is>
      </c>
      <c r="B17" s="7" t="n">
        <v>27033</v>
      </c>
    </row>
    <row r="18">
      <c r="A18" s="3" t="inlineStr">
        <is>
          <t>Retail EV/EBITDA multiple</t>
        </is>
      </c>
      <c r="B18" s="9" t="n">
        <v>28</v>
      </c>
    </row>
    <row r="19">
      <c r="A19" s="3" t="inlineStr">
        <is>
          <t>Retail net debt (Rs cr)</t>
        </is>
      </c>
      <c r="B19" s="7" t="n">
        <v>15000</v>
      </c>
    </row>
    <row r="20">
      <c r="A20" s="3" t="inlineStr">
        <is>
          <t>Retail — RIL stake</t>
        </is>
      </c>
      <c r="B20" s="8" t="n">
        <v>0.85</v>
      </c>
    </row>
    <row r="21">
      <c r="A21" s="3" t="inlineStr">
        <is>
          <t>O2C FY26 EBITDA (Rs cr)</t>
        </is>
      </c>
      <c r="B21" s="7" t="n">
        <v>60546</v>
      </c>
    </row>
    <row r="22">
      <c r="A22" s="3" t="inlineStr">
        <is>
          <t>O2C EV/EBITDA multiple</t>
        </is>
      </c>
      <c r="B22" s="9" t="n">
        <v>7</v>
      </c>
    </row>
    <row r="23">
      <c r="A23" s="3" t="inlineStr">
        <is>
          <t>Oil &amp; Gas (E&amp;P) FY26 EBITDA (Rs cr)</t>
        </is>
      </c>
      <c r="B23" s="7" t="n">
        <v>19050</v>
      </c>
    </row>
    <row r="24">
      <c r="A24" s="3" t="inlineStr">
        <is>
          <t>E&amp;P EV/EBITDA multiple</t>
        </is>
      </c>
      <c r="B24" s="9" t="n">
        <v>5</v>
      </c>
    </row>
    <row r="25">
      <c r="A25" s="3" t="inlineStr">
        <is>
          <t>Media (JioStar) FY26 EBITDA (Rs cr)</t>
        </is>
      </c>
      <c r="B25" s="7" t="n">
        <v>4885</v>
      </c>
    </row>
    <row r="26">
      <c r="A26" s="3" t="inlineStr">
        <is>
          <t>Media EV/EBITDA multiple</t>
        </is>
      </c>
      <c r="B26" s="9" t="n">
        <v>14</v>
      </c>
    </row>
    <row r="27">
      <c r="A27" s="3" t="inlineStr">
        <is>
          <t>Media — RIL stake</t>
        </is>
      </c>
      <c r="B27" s="8" t="n">
        <v>0.63</v>
      </c>
    </row>
    <row r="28">
      <c r="A28" s="3" t="inlineStr">
        <is>
          <t>New Energy + other (Rs cr)</t>
        </is>
      </c>
      <c r="B28" s="7" t="n">
        <v>120000</v>
      </c>
    </row>
    <row r="29">
      <c r="A29" s="3" t="inlineStr">
        <is>
          <t>Holdco / complexity discount</t>
        </is>
      </c>
      <c r="B29" s="8" t="n">
        <v>0.05</v>
      </c>
    </row>
    <row r="31">
      <c r="A31" s="4" t="inlineStr">
        <is>
          <t>RELATIVE &amp; NORMALIZED</t>
        </is>
      </c>
    </row>
    <row r="32">
      <c r="A32" s="3" t="inlineStr">
        <is>
          <t>Normalized consolidated EBITDA (Rs cr)</t>
        </is>
      </c>
      <c r="B32" s="7" t="n">
        <v>220000</v>
      </c>
    </row>
    <row r="33">
      <c r="A33" s="3" t="inlineStr">
        <is>
          <t>EV/EBITDA target multiple</t>
        </is>
      </c>
      <c r="B33" s="9" t="n">
        <v>8.699999999999999</v>
      </c>
    </row>
    <row r="34">
      <c r="A34" s="3" t="inlineStr">
        <is>
          <t>Mid-cycle PAT attributable (Rs cr)</t>
        </is>
      </c>
      <c r="B34" s="7" t="n">
        <v>105000</v>
      </c>
    </row>
    <row r="35">
      <c r="A35" s="3" t="inlineStr">
        <is>
          <t>Justified P/E</t>
        </is>
      </c>
      <c r="B35" s="9" t="n">
        <v>20</v>
      </c>
    </row>
    <row r="37">
      <c r="A37" s="4" t="inlineStr">
        <is>
          <t>SYNTHESIS WEIGHTS</t>
        </is>
      </c>
    </row>
    <row r="38">
      <c r="A38" s="3" t="inlineStr">
        <is>
          <t>SOTP weight</t>
        </is>
      </c>
      <c r="B38" s="8" t="n">
        <v>0.4</v>
      </c>
    </row>
    <row r="39">
      <c r="A39" s="3" t="inlineStr">
        <is>
          <t>DCF weight</t>
        </is>
      </c>
      <c r="B39" s="8" t="n">
        <v>0.2</v>
      </c>
    </row>
    <row r="40">
      <c r="A40" s="3" t="inlineStr">
        <is>
          <t>Relative weight</t>
        </is>
      </c>
      <c r="B40" s="8" t="n">
        <v>0.15</v>
      </c>
    </row>
    <row r="41">
      <c r="A41" s="3" t="inlineStr">
        <is>
          <t>Normalized-earnings weight</t>
        </is>
      </c>
      <c r="B41" s="8" t="n">
        <v>0.25</v>
      </c>
    </row>
    <row r="43">
      <c r="A43" s="4" t="inlineStr">
        <is>
          <t>WORKING CAPITAL (% of revenue)</t>
        </is>
      </c>
    </row>
    <row r="44">
      <c r="A44" s="3" t="inlineStr">
        <is>
          <t>Inventory</t>
        </is>
      </c>
      <c r="B44" s="8" t="n">
        <v>0.09</v>
      </c>
    </row>
    <row r="45">
      <c r="A45" s="3" t="inlineStr">
        <is>
          <t>Receivables</t>
        </is>
      </c>
      <c r="B45" s="8" t="n">
        <v>0.045</v>
      </c>
    </row>
    <row r="46">
      <c r="A46" s="3" t="inlineStr">
        <is>
          <t>Payables</t>
        </is>
      </c>
      <c r="B46" s="8" t="n">
        <v>0.16</v>
      </c>
    </row>
    <row r="48">
      <c r="A48" s="4" t="inlineStr">
        <is>
          <t>MONTE CARLO</t>
        </is>
      </c>
    </row>
    <row r="49">
      <c r="A49" s="3" t="inlineStr">
        <is>
          <t>Diffusion volatility (annualized)</t>
        </is>
      </c>
      <c r="B49" s="8" t="n">
        <v>0.25</v>
      </c>
    </row>
    <row r="50">
      <c r="A50" s="3" t="inlineStr">
        <is>
          <t>Net 3-month drift</t>
        </is>
      </c>
      <c r="B50" s="8" t="n">
        <v>0.0252</v>
      </c>
    </row>
    <row r="52">
      <c r="A52" s="4" t="inlineStr">
        <is>
          <t>FORECAST DRIVERS (FY27E–FY31E)</t>
        </is>
      </c>
    </row>
    <row r="53">
      <c r="E53" s="10" t="inlineStr">
        <is>
          <t>FY27E</t>
        </is>
      </c>
      <c r="F53" s="10" t="inlineStr">
        <is>
          <t>FY28E</t>
        </is>
      </c>
      <c r="G53" s="10" t="inlineStr">
        <is>
          <t>FY29E</t>
        </is>
      </c>
      <c r="H53" s="10" t="inlineStr">
        <is>
          <t>FY30E</t>
        </is>
      </c>
      <c r="I53" s="10" t="inlineStr">
        <is>
          <t>FY31E</t>
        </is>
      </c>
    </row>
    <row r="54">
      <c r="A54" s="3" t="inlineStr">
        <is>
          <t>O2C revenue growth</t>
        </is>
      </c>
      <c r="E54" s="8" t="n">
        <v>0.04</v>
      </c>
      <c r="F54" s="8" t="n">
        <v>0.05</v>
      </c>
      <c r="G54" s="8" t="n">
        <v>0.05</v>
      </c>
      <c r="H54" s="8" t="n">
        <v>0.04</v>
      </c>
      <c r="I54" s="8" t="n">
        <v>0.04</v>
      </c>
    </row>
    <row r="55">
      <c r="A55" s="3" t="inlineStr">
        <is>
          <t>Jio revenue growth</t>
        </is>
      </c>
      <c r="E55" s="8" t="n">
        <v>0.15</v>
      </c>
      <c r="F55" s="8" t="n">
        <v>0.14</v>
      </c>
      <c r="G55" s="8" t="n">
        <v>0.13</v>
      </c>
      <c r="H55" s="8" t="n">
        <v>0.12</v>
      </c>
      <c r="I55" s="8" t="n">
        <v>0.11</v>
      </c>
    </row>
    <row r="56">
      <c r="A56" s="3" t="inlineStr">
        <is>
          <t>Retail revenue growth</t>
        </is>
      </c>
      <c r="E56" s="8" t="n">
        <v>0.13</v>
      </c>
      <c r="F56" s="8" t="n">
        <v>0.14</v>
      </c>
      <c r="G56" s="8" t="n">
        <v>0.14</v>
      </c>
      <c r="H56" s="8" t="n">
        <v>0.13</v>
      </c>
      <c r="I56" s="8" t="n">
        <v>0.12</v>
      </c>
    </row>
    <row r="57">
      <c r="A57" s="3" t="inlineStr">
        <is>
          <t>Other revenue growth</t>
        </is>
      </c>
      <c r="E57" s="8" t="n">
        <v>0.06</v>
      </c>
      <c r="F57" s="8" t="n">
        <v>0.06</v>
      </c>
      <c r="G57" s="8" t="n">
        <v>0.06</v>
      </c>
      <c r="H57" s="8" t="n">
        <v>0.06</v>
      </c>
      <c r="I57" s="8" t="n">
        <v>0.06</v>
      </c>
    </row>
    <row r="58">
      <c r="A58" s="3" t="inlineStr">
        <is>
          <t>O2C EBITDA margin</t>
        </is>
      </c>
      <c r="E58" s="8" t="n">
        <v>0.095</v>
      </c>
      <c r="F58" s="8" t="n">
        <v>0.1</v>
      </c>
      <c r="G58" s="8" t="n">
        <v>0.1</v>
      </c>
      <c r="H58" s="8" t="n">
        <v>0.1</v>
      </c>
      <c r="I58" s="8" t="n">
        <v>0.1</v>
      </c>
    </row>
    <row r="59">
      <c r="A59" s="3" t="inlineStr">
        <is>
          <t>Jio EBITDA margin</t>
        </is>
      </c>
      <c r="E59" s="8" t="n">
        <v>0.52</v>
      </c>
      <c r="F59" s="8" t="n">
        <v>0.53</v>
      </c>
      <c r="G59" s="8" t="n">
        <v>0.53</v>
      </c>
      <c r="H59" s="8" t="n">
        <v>0.54</v>
      </c>
      <c r="I59" s="8" t="n">
        <v>0.54</v>
      </c>
    </row>
    <row r="60">
      <c r="A60" s="3" t="inlineStr">
        <is>
          <t>Retail EBITDA margin</t>
        </is>
      </c>
      <c r="E60" s="8" t="n">
        <v>0.078</v>
      </c>
      <c r="F60" s="8" t="n">
        <v>0.082</v>
      </c>
      <c r="G60" s="8" t="n">
        <v>0.08500000000000001</v>
      </c>
      <c r="H60" s="8" t="n">
        <v>0.08799999999999999</v>
      </c>
      <c r="I60" s="8" t="n">
        <v>0.09</v>
      </c>
    </row>
    <row r="61">
      <c r="A61" s="3" t="inlineStr">
        <is>
          <t>Other EBITDA margin</t>
        </is>
      </c>
      <c r="E61" s="8" t="n">
        <v>0.4</v>
      </c>
      <c r="F61" s="8" t="n">
        <v>0.38</v>
      </c>
      <c r="G61" s="8" t="n">
        <v>0.36</v>
      </c>
      <c r="H61" s="8" t="n">
        <v>0.35</v>
      </c>
      <c r="I61" s="8" t="n">
        <v>0.34</v>
      </c>
    </row>
    <row r="62">
      <c r="A62" s="3" t="inlineStr">
        <is>
          <t>Corporate/New-Energy EBITDA (Rs cr)</t>
        </is>
      </c>
      <c r="E62" s="7" t="n">
        <v>22000</v>
      </c>
      <c r="F62" s="7" t="n">
        <v>25000</v>
      </c>
      <c r="G62" s="7" t="n">
        <v>30000</v>
      </c>
      <c r="H62" s="7" t="n">
        <v>35000</v>
      </c>
      <c r="I62" s="7" t="n">
        <v>40000</v>
      </c>
    </row>
    <row r="63">
      <c r="A63" s="3" t="inlineStr">
        <is>
          <t>Inter-segment elimination (% gross)</t>
        </is>
      </c>
      <c r="E63" s="8" t="n">
        <v>-0.128</v>
      </c>
      <c r="F63" s="8" t="n">
        <v>-0.128</v>
      </c>
      <c r="G63" s="8" t="n">
        <v>-0.128</v>
      </c>
      <c r="H63" s="8" t="n">
        <v>-0.128</v>
      </c>
      <c r="I63" s="8" t="n">
        <v>-0.128</v>
      </c>
    </row>
    <row r="64">
      <c r="A64" s="3" t="inlineStr">
        <is>
          <t>D&amp;A (% of revenue)</t>
        </is>
      </c>
      <c r="E64" s="8" t="n">
        <v>0.052</v>
      </c>
      <c r="F64" s="8" t="n">
        <v>0.053</v>
      </c>
      <c r="G64" s="8" t="n">
        <v>0.053</v>
      </c>
      <c r="H64" s="8" t="n">
        <v>0.052</v>
      </c>
      <c r="I64" s="8" t="n">
        <v>0.051</v>
      </c>
    </row>
    <row r="65">
      <c r="A65" s="3" t="inlineStr">
        <is>
          <t>Finance cost (Rs cr)</t>
        </is>
      </c>
      <c r="E65" s="7" t="n">
        <v>24000</v>
      </c>
      <c r="F65" s="7" t="n">
        <v>22000</v>
      </c>
      <c r="G65" s="7" t="n">
        <v>20000</v>
      </c>
      <c r="H65" s="7" t="n">
        <v>19000</v>
      </c>
      <c r="I65" s="7" t="n">
        <v>18000</v>
      </c>
    </row>
    <row r="66">
      <c r="A66" s="3" t="inlineStr">
        <is>
          <t>Tax rate (forecast)</t>
        </is>
      </c>
      <c r="E66" s="8" t="n">
        <v>0.25</v>
      </c>
      <c r="F66" s="8" t="n">
        <v>0.25</v>
      </c>
      <c r="G66" s="8" t="n">
        <v>0.25</v>
      </c>
      <c r="H66" s="8" t="n">
        <v>0.25</v>
      </c>
      <c r="I66" s="8" t="n">
        <v>0.25</v>
      </c>
    </row>
    <row r="67">
      <c r="A67" s="3" t="inlineStr">
        <is>
          <t>Minority interest (% of PAT)</t>
        </is>
      </c>
      <c r="E67" s="8" t="n">
        <v>0.16</v>
      </c>
      <c r="F67" s="8" t="n">
        <v>0.17</v>
      </c>
      <c r="G67" s="8" t="n">
        <v>0.17</v>
      </c>
      <c r="H67" s="8" t="n">
        <v>0.18</v>
      </c>
      <c r="I67" s="8" t="n">
        <v>0.18</v>
      </c>
    </row>
    <row r="68">
      <c r="A68" s="3" t="inlineStr">
        <is>
          <t>Capex (Rs cr)</t>
        </is>
      </c>
      <c r="E68" s="7" t="n">
        <v>145000</v>
      </c>
      <c r="F68" s="7" t="n">
        <v>140000</v>
      </c>
      <c r="G68" s="7" t="n">
        <v>130000</v>
      </c>
      <c r="H68" s="7" t="n">
        <v>125000</v>
      </c>
      <c r="I68" s="7" t="n">
        <v>120000</v>
      </c>
    </row>
    <row r="69">
      <c r="A69" s="3" t="inlineStr">
        <is>
          <t>Dividend (Rs cr)</t>
        </is>
      </c>
      <c r="E69" s="7" t="n">
        <v>9000</v>
      </c>
      <c r="F69" s="7" t="n">
        <v>10500</v>
      </c>
      <c r="G69" s="7" t="n">
        <v>12000</v>
      </c>
      <c r="H69" s="7" t="n">
        <v>14000</v>
      </c>
      <c r="I69" s="7" t="n">
        <v>16000</v>
      </c>
    </row>
    <row r="70">
      <c r="A70" s="3" t="inlineStr">
        <is>
          <t>Debt repayment (Rs cr)</t>
        </is>
      </c>
      <c r="E70" s="7" t="n">
        <v>27500</v>
      </c>
      <c r="F70" s="7" t="n">
        <v>10000</v>
      </c>
      <c r="G70" s="7" t="n">
        <v>15000</v>
      </c>
      <c r="H70" s="7" t="n">
        <v>15000</v>
      </c>
      <c r="I70" s="7" t="n">
        <v>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5" customWidth="1" min="3" max="3"/>
  </cols>
  <sheetData>
    <row r="1">
      <c r="A1" s="1" t="inlineStr">
        <is>
          <t>Holding-company sum-of-the-parts (primary lens)</t>
        </is>
      </c>
    </row>
    <row r="2">
      <c r="A2" s="2" t="inlineStr">
        <is>
          <t>Each business marked on the basis that fits it; RIL stake applied; minority &amp; net debt deducted. Links to Assumptions.</t>
        </is>
      </c>
    </row>
    <row r="3">
      <c r="A3" s="20" t="inlineStr">
        <is>
          <t>Part</t>
        </is>
      </c>
      <c r="B3" s="20" t="inlineStr">
        <is>
          <t>Basis</t>
        </is>
      </c>
      <c r="C3" s="20" t="inlineStr">
        <is>
          <t>EV / value (Rs cr)</t>
        </is>
      </c>
    </row>
    <row r="4">
      <c r="A4" s="3" t="inlineStr">
        <is>
          <t>Jio Platforms</t>
        </is>
      </c>
      <c r="B4" s="3" t="inlineStr">
        <is>
          <t>EBITDA × EV/EBITDA</t>
        </is>
      </c>
      <c r="C4" s="11">
        <f>Assumptions!$B$13*Assumptions!$B$14</f>
        <v/>
      </c>
    </row>
    <row r="5">
      <c r="A5" s="3" t="inlineStr">
        <is>
          <t>Reliance Retail</t>
        </is>
      </c>
      <c r="B5" s="3" t="inlineStr">
        <is>
          <t>EBITDA × EV/EBITDA</t>
        </is>
      </c>
      <c r="C5" s="11">
        <f>Assumptions!$B$17*Assumptions!$B$18</f>
        <v/>
      </c>
    </row>
    <row r="6">
      <c r="A6" s="3" t="inlineStr">
        <is>
          <t>O2C</t>
        </is>
      </c>
      <c r="B6" s="3" t="inlineStr">
        <is>
          <t>EBITDA × EV/EBITDA</t>
        </is>
      </c>
      <c r="C6" s="11">
        <f>Assumptions!$B$21*Assumptions!$B$22</f>
        <v/>
      </c>
    </row>
    <row r="7">
      <c r="A7" s="3" t="inlineStr">
        <is>
          <t>Oil &amp; Gas (E&amp;P)</t>
        </is>
      </c>
      <c r="B7" s="3" t="inlineStr">
        <is>
          <t>EBITDA × EV/EBITDA</t>
        </is>
      </c>
      <c r="C7" s="11">
        <f>Assumptions!$B$23*Assumptions!$B$24</f>
        <v/>
      </c>
    </row>
    <row r="8">
      <c r="A8" s="3" t="inlineStr">
        <is>
          <t>Media (JioStar)</t>
        </is>
      </c>
      <c r="B8" s="3" t="inlineStr">
        <is>
          <t>EBITDA × EV/EBITDA</t>
        </is>
      </c>
      <c r="C8" s="11">
        <f>Assumptions!$B$25*Assumptions!$B$26</f>
        <v/>
      </c>
    </row>
    <row r="9">
      <c r="A9" s="3" t="inlineStr">
        <is>
          <t>New Energy + other</t>
        </is>
      </c>
      <c r="B9" s="3" t="inlineStr">
        <is>
          <t>Invested capital + option value</t>
        </is>
      </c>
      <c r="C9" s="11">
        <f>Assumptions!$B$28</f>
        <v/>
      </c>
    </row>
    <row r="10">
      <c r="A10" s="4" t="inlineStr">
        <is>
          <t>Σ Gross enterprise value (100%)</t>
        </is>
      </c>
      <c r="C10" s="12">
        <f>SUM(C4:C9)</f>
        <v/>
      </c>
    </row>
    <row r="11">
      <c r="A11" s="3" t="inlineStr">
        <is>
          <t>less: consolidated net debt</t>
        </is>
      </c>
      <c r="C11" s="11">
        <f>-Assumptions!$B$7</f>
        <v/>
      </c>
    </row>
    <row r="12">
      <c r="A12" s="4" t="inlineStr">
        <is>
          <t>Equity value (100% basis)</t>
        </is>
      </c>
      <c r="C12" s="12">
        <f>C10+C11</f>
        <v/>
      </c>
    </row>
    <row r="13">
      <c r="A13" s="3" t="inlineStr">
        <is>
          <t>less: minority interest (Jio/Retail/Media ext.)</t>
        </is>
      </c>
      <c r="C13" s="11">
        <f>-((Assumptions!$B$13*Assumptions!$B$14-Assumptions!$B$15)*(1-Assumptions!$B$16)+(Assumptions!$B$17*Assumptions!$B$18-Assumptions!$B$19)*(1-Assumptions!$B$20)+(Assumptions!$B$25*Assumptions!$B$26)*(1-Assumptions!$B$27))</f>
        <v/>
      </c>
    </row>
    <row r="14">
      <c r="A14" s="4" t="inlineStr">
        <is>
          <t>RIL-attributable equity (pre-discount)</t>
        </is>
      </c>
      <c r="C14" s="12">
        <f>C12+C13</f>
        <v/>
      </c>
    </row>
    <row r="15">
      <c r="A15" s="3" t="inlineStr">
        <is>
          <t xml:space="preserve">  per share (Rs)</t>
        </is>
      </c>
      <c r="C15" s="21">
        <f>C14/Assumptions!$B$5</f>
        <v/>
      </c>
    </row>
    <row r="16">
      <c r="A16" s="3" t="inlineStr">
        <is>
          <t>less: holdco / complexity discount</t>
        </is>
      </c>
      <c r="C16" s="11">
        <f>-C14*Assumptions!$B$29</f>
        <v/>
      </c>
    </row>
    <row r="17">
      <c r="A17" s="4" t="inlineStr">
        <is>
          <t>SOTP equity value</t>
        </is>
      </c>
      <c r="C17" s="12">
        <f>C14+C16</f>
        <v/>
      </c>
    </row>
    <row r="18">
      <c r="A18" s="4" t="inlineStr">
        <is>
          <t>SOTP fair value per share (Rs)</t>
        </is>
      </c>
      <c r="C18" s="18">
        <f>C17/Assumptions!$B$5</f>
        <v/>
      </c>
    </row>
    <row r="19">
      <c r="A19" s="3" t="inlineStr">
        <is>
          <t>Implied market discount to pre-disc NAV</t>
        </is>
      </c>
      <c r="C19" s="13">
        <f>1-Assumptions!$B$4/C15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Segment view</t>
        </is>
      </c>
    </row>
    <row r="2">
      <c r="A2" s="2" t="inlineStr">
        <is>
          <t>Revenue and EBITDA by segment, FY24–FY31 (links to Income Statement).</t>
        </is>
      </c>
    </row>
    <row r="3">
      <c r="B3" s="10" t="inlineStr">
        <is>
          <t>FY24</t>
        </is>
      </c>
      <c r="C3" s="10" t="inlineStr">
        <is>
          <t>FY25</t>
        </is>
      </c>
      <c r="D3" s="10" t="inlineStr">
        <is>
          <t>FY26</t>
        </is>
      </c>
      <c r="E3" s="10" t="inlineStr">
        <is>
          <t>FY27E</t>
        </is>
      </c>
      <c r="F3" s="10" t="inlineStr">
        <is>
          <t>FY28E</t>
        </is>
      </c>
      <c r="G3" s="10" t="inlineStr">
        <is>
          <t>FY29E</t>
        </is>
      </c>
      <c r="H3" s="10" t="inlineStr">
        <is>
          <t>FY30E</t>
        </is>
      </c>
      <c r="I3" s="10" t="inlineStr">
        <is>
          <t>FY31E</t>
        </is>
      </c>
    </row>
    <row r="4">
      <c r="A4" s="3" t="inlineStr">
        <is>
          <t>O2C revenue</t>
        </is>
      </c>
      <c r="B4" s="14">
        <f>'Income Statement'!B4</f>
        <v/>
      </c>
      <c r="C4" s="14">
        <f>'Income Statement'!C4</f>
        <v/>
      </c>
      <c r="D4" s="14">
        <f>'Income Statement'!D4</f>
        <v/>
      </c>
      <c r="E4" s="14">
        <f>'Income Statement'!E4</f>
        <v/>
      </c>
      <c r="F4" s="14">
        <f>'Income Statement'!F4</f>
        <v/>
      </c>
      <c r="G4" s="14">
        <f>'Income Statement'!G4</f>
        <v/>
      </c>
      <c r="H4" s="14">
        <f>'Income Statement'!H4</f>
        <v/>
      </c>
      <c r="I4" s="14">
        <f>'Income Statement'!I4</f>
        <v/>
      </c>
    </row>
    <row r="5">
      <c r="A5" s="3" t="inlineStr">
        <is>
          <t>Jio (Digital) revenue</t>
        </is>
      </c>
      <c r="B5" s="14">
        <f>'Income Statement'!B5</f>
        <v/>
      </c>
      <c r="C5" s="14">
        <f>'Income Statement'!C5</f>
        <v/>
      </c>
      <c r="D5" s="14">
        <f>'Income Statement'!D5</f>
        <v/>
      </c>
      <c r="E5" s="14">
        <f>'Income Statement'!E5</f>
        <v/>
      </c>
      <c r="F5" s="14">
        <f>'Income Statement'!F5</f>
        <v/>
      </c>
      <c r="G5" s="14">
        <f>'Income Statement'!G5</f>
        <v/>
      </c>
      <c r="H5" s="14">
        <f>'Income Statement'!H5</f>
        <v/>
      </c>
      <c r="I5" s="14">
        <f>'Income Statement'!I5</f>
        <v/>
      </c>
    </row>
    <row r="6">
      <c r="A6" s="3" t="inlineStr">
        <is>
          <t>Retail revenue</t>
        </is>
      </c>
      <c r="B6" s="14">
        <f>'Income Statement'!B6</f>
        <v/>
      </c>
      <c r="C6" s="14">
        <f>'Income Statement'!C6</f>
        <v/>
      </c>
      <c r="D6" s="14">
        <f>'Income Statement'!D6</f>
        <v/>
      </c>
      <c r="E6" s="14">
        <f>'Income Statement'!E6</f>
        <v/>
      </c>
      <c r="F6" s="14">
        <f>'Income Statement'!F6</f>
        <v/>
      </c>
      <c r="G6" s="14">
        <f>'Income Statement'!G6</f>
        <v/>
      </c>
      <c r="H6" s="14">
        <f>'Income Statement'!H6</f>
        <v/>
      </c>
      <c r="I6" s="14">
        <f>'Income Statement'!I6</f>
        <v/>
      </c>
    </row>
    <row r="7">
      <c r="A7" s="3" t="inlineStr">
        <is>
          <t>O&amp;G / Media / other revenue</t>
        </is>
      </c>
      <c r="B7" s="14">
        <f>'Income Statement'!B7</f>
        <v/>
      </c>
      <c r="C7" s="14">
        <f>'Income Statement'!C7</f>
        <v/>
      </c>
      <c r="D7" s="14">
        <f>'Income Statement'!D7</f>
        <v/>
      </c>
      <c r="E7" s="14">
        <f>'Income Statement'!E7</f>
        <v/>
      </c>
      <c r="F7" s="14">
        <f>'Income Statement'!F7</f>
        <v/>
      </c>
      <c r="G7" s="14">
        <f>'Income Statement'!G7</f>
        <v/>
      </c>
      <c r="H7" s="14">
        <f>'Income Statement'!H7</f>
        <v/>
      </c>
      <c r="I7" s="14">
        <f>'Income Statement'!I7</f>
        <v/>
      </c>
    </row>
    <row r="8">
      <c r="A8" s="3" t="inlineStr">
        <is>
          <t>O2C EBITDA</t>
        </is>
      </c>
      <c r="B8" s="14">
        <f>'Income Statement'!B11</f>
        <v/>
      </c>
      <c r="C8" s="14">
        <f>'Income Statement'!C11</f>
        <v/>
      </c>
      <c r="D8" s="14">
        <f>'Income Statement'!D11</f>
        <v/>
      </c>
      <c r="E8" s="14">
        <f>'Income Statement'!E11</f>
        <v/>
      </c>
      <c r="F8" s="14">
        <f>'Income Statement'!F11</f>
        <v/>
      </c>
      <c r="G8" s="14">
        <f>'Income Statement'!G11</f>
        <v/>
      </c>
      <c r="H8" s="14">
        <f>'Income Statement'!H11</f>
        <v/>
      </c>
      <c r="I8" s="14">
        <f>'Income Statement'!I11</f>
        <v/>
      </c>
    </row>
    <row r="9">
      <c r="A9" s="3" t="inlineStr">
        <is>
          <t>Jio EBITDA</t>
        </is>
      </c>
      <c r="B9" s="14">
        <f>'Income Statement'!B12</f>
        <v/>
      </c>
      <c r="C9" s="14">
        <f>'Income Statement'!C12</f>
        <v/>
      </c>
      <c r="D9" s="14">
        <f>'Income Statement'!D12</f>
        <v/>
      </c>
      <c r="E9" s="14">
        <f>'Income Statement'!E12</f>
        <v/>
      </c>
      <c r="F9" s="14">
        <f>'Income Statement'!F12</f>
        <v/>
      </c>
      <c r="G9" s="14">
        <f>'Income Statement'!G12</f>
        <v/>
      </c>
      <c r="H9" s="14">
        <f>'Income Statement'!H12</f>
        <v/>
      </c>
      <c r="I9" s="14">
        <f>'Income Statement'!I12</f>
        <v/>
      </c>
    </row>
    <row r="10">
      <c r="A10" s="3" t="inlineStr">
        <is>
          <t>Retail EBITDA</t>
        </is>
      </c>
      <c r="B10" s="14">
        <f>'Income Statement'!B13</f>
        <v/>
      </c>
      <c r="C10" s="14">
        <f>'Income Statement'!C13</f>
        <v/>
      </c>
      <c r="D10" s="14">
        <f>'Income Statement'!D13</f>
        <v/>
      </c>
      <c r="E10" s="14">
        <f>'Income Statement'!E13</f>
        <v/>
      </c>
      <c r="F10" s="14">
        <f>'Income Statement'!F13</f>
        <v/>
      </c>
      <c r="G10" s="14">
        <f>'Income Statement'!G13</f>
        <v/>
      </c>
      <c r="H10" s="14">
        <f>'Income Statement'!H13</f>
        <v/>
      </c>
      <c r="I10" s="14">
        <f>'Income Statement'!I13</f>
        <v/>
      </c>
    </row>
    <row r="11">
      <c r="A11" s="3" t="inlineStr">
        <is>
          <t>O&amp;G/Media/other EBITDA</t>
        </is>
      </c>
      <c r="B11" s="14">
        <f>'Income Statement'!B14</f>
        <v/>
      </c>
      <c r="C11" s="14">
        <f>'Income Statement'!C14</f>
        <v/>
      </c>
      <c r="D11" s="14">
        <f>'Income Statement'!D14</f>
        <v/>
      </c>
      <c r="E11" s="14">
        <f>'Income Statement'!E14</f>
        <v/>
      </c>
      <c r="F11" s="14">
        <f>'Income Statement'!F14</f>
        <v/>
      </c>
      <c r="G11" s="14">
        <f>'Income Statement'!G14</f>
        <v/>
      </c>
      <c r="H11" s="14">
        <f>'Income Statement'!H14</f>
        <v/>
      </c>
      <c r="I11" s="14">
        <f>'Income Statement'!I14</f>
        <v/>
      </c>
    </row>
    <row r="12">
      <c r="A12" s="3" t="inlineStr">
        <is>
          <t>Jio EBITDA margin</t>
        </is>
      </c>
      <c r="B12" s="13">
        <f>B9/B5</f>
        <v/>
      </c>
      <c r="C12" s="13">
        <f>C9/C5</f>
        <v/>
      </c>
      <c r="D12" s="13">
        <f>D9/D5</f>
        <v/>
      </c>
      <c r="E12" s="13">
        <f>E9/E5</f>
        <v/>
      </c>
      <c r="F12" s="13">
        <f>F9/F5</f>
        <v/>
      </c>
      <c r="G12" s="13">
        <f>G9/G5</f>
        <v/>
      </c>
      <c r="H12" s="13">
        <f>H9/H5</f>
        <v/>
      </c>
      <c r="I12" s="13">
        <f>I9/I5</f>
        <v/>
      </c>
    </row>
    <row r="13">
      <c r="A13" s="3" t="inlineStr">
        <is>
          <t>O2C EBITDA margin</t>
        </is>
      </c>
      <c r="B13" s="13">
        <f>B8/B4</f>
        <v/>
      </c>
      <c r="C13" s="13">
        <f>C8/C4</f>
        <v/>
      </c>
      <c r="D13" s="13">
        <f>D8/D4</f>
        <v/>
      </c>
      <c r="E13" s="13">
        <f>E8/E4</f>
        <v/>
      </c>
      <c r="F13" s="13">
        <f>F8/F4</f>
        <v/>
      </c>
      <c r="G13" s="13">
        <f>G8/G4</f>
        <v/>
      </c>
      <c r="H13" s="13">
        <f>H8/H4</f>
        <v/>
      </c>
      <c r="I13" s="13">
        <f>I8/I4</f>
        <v/>
      </c>
    </row>
    <row r="14">
      <c r="A14" s="3" t="inlineStr">
        <is>
          <t>Retail EBITDA margin</t>
        </is>
      </c>
      <c r="B14" s="13">
        <f>B10/B6</f>
        <v/>
      </c>
      <c r="C14" s="13">
        <f>C10/C6</f>
        <v/>
      </c>
      <c r="D14" s="13">
        <f>D10/D6</f>
        <v/>
      </c>
      <c r="E14" s="13">
        <f>E10/E6</f>
        <v/>
      </c>
      <c r="F14" s="13">
        <f>F10/F6</f>
        <v/>
      </c>
      <c r="G14" s="13">
        <f>G10/G6</f>
        <v/>
      </c>
      <c r="H14" s="13">
        <f>H10/H6</f>
        <v/>
      </c>
      <c r="I14" s="13">
        <f>I10/I6</f>
        <v/>
      </c>
    </row>
    <row r="15">
      <c r="A15" s="3" t="inlineStr">
        <is>
          <t>Jio % of consolidated EBITDA</t>
        </is>
      </c>
      <c r="B15" s="13">
        <f>B9/'Income Statement'!B16</f>
        <v/>
      </c>
      <c r="C15" s="13">
        <f>C9/'Income Statement'!C16</f>
        <v/>
      </c>
      <c r="D15" s="13">
        <f>D9/'Income Statement'!D16</f>
        <v/>
      </c>
      <c r="E15" s="13">
        <f>E9/'Income Statement'!E16</f>
        <v/>
      </c>
      <c r="F15" s="13">
        <f>F9/'Income Statement'!F16</f>
        <v/>
      </c>
      <c r="G15" s="13">
        <f>G9/'Income Statement'!G16</f>
        <v/>
      </c>
      <c r="H15" s="13">
        <f>H9/'Income Statement'!H16</f>
        <v/>
      </c>
      <c r="I15" s="13">
        <f>I9/'Income Statement'!I16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</cols>
  <sheetData>
    <row r="1">
      <c r="A1" s="1" t="inlineStr">
        <is>
          <t>Relative &amp; normalized-earnings lenses</t>
        </is>
      </c>
    </row>
    <row r="2">
      <c r="A2" s="2" t="inlineStr">
        <is>
          <t>Links to Assumptions.</t>
        </is>
      </c>
    </row>
    <row r="3">
      <c r="A3" s="20" t="inlineStr">
        <is>
          <t>Lens</t>
        </is>
      </c>
      <c r="B3" s="20" t="inlineStr">
        <is>
          <t>Workings</t>
        </is>
      </c>
      <c r="C3" s="20" t="inlineStr">
        <is>
          <t>Rs/share</t>
        </is>
      </c>
    </row>
    <row r="4">
      <c r="A4" s="3" t="inlineStr">
        <is>
          <t>Relative EV/EBITDA</t>
        </is>
      </c>
      <c r="B4" s="3" t="inlineStr">
        <is>
          <t>Norm EBITDA × mult − net debt, /sh</t>
        </is>
      </c>
      <c r="C4" s="21">
        <f>(Assumptions!$B$32*Assumptions!$B$33-Assumptions!$B$7)/Assumptions!$B$5</f>
        <v/>
      </c>
    </row>
    <row r="5">
      <c r="A5" s="3" t="inlineStr">
        <is>
          <t xml:space="preserve">  implied EV (Rs cr)</t>
        </is>
      </c>
      <c r="C5" s="11">
        <f>Assumptions!$B$32*Assumptions!$B$33</f>
        <v/>
      </c>
    </row>
    <row r="6">
      <c r="A6" s="3" t="inlineStr">
        <is>
          <t>Normalized earnings</t>
        </is>
      </c>
      <c r="B6" s="3" t="inlineStr">
        <is>
          <t>Mid-cycle PAT × P/E, /sh</t>
        </is>
      </c>
      <c r="C6" s="21">
        <f>Assumptions!$B$34*Assumptions!$B$35/Assumptions!$B$5</f>
        <v/>
      </c>
    </row>
    <row r="7">
      <c r="A7" s="3" t="inlineStr">
        <is>
          <t xml:space="preserve">  normalized EPS (Rs)</t>
        </is>
      </c>
      <c r="C7" s="22">
        <f>Assumptions!$B$34/Assumptions!$B$5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Discounted cash flow — explicit 5-year FCFF</t>
        </is>
      </c>
    </row>
    <row r="2">
      <c r="A2" s="2" t="inlineStr">
        <is>
          <t>NOPAT + D&amp;A − capex − ΔWC, discounted at WACC. Links to Income Statement / Balance Sheet / Assumptions.</t>
        </is>
      </c>
    </row>
    <row r="3">
      <c r="E3" s="10" t="inlineStr">
        <is>
          <t>FY27E</t>
        </is>
      </c>
      <c r="F3" s="10" t="inlineStr">
        <is>
          <t>FY28E</t>
        </is>
      </c>
      <c r="G3" s="10" t="inlineStr">
        <is>
          <t>FY29E</t>
        </is>
      </c>
      <c r="H3" s="10" t="inlineStr">
        <is>
          <t>FY30E</t>
        </is>
      </c>
      <c r="I3" s="10" t="inlineStr">
        <is>
          <t>FY31E</t>
        </is>
      </c>
    </row>
    <row r="4">
      <c r="A4" s="3" t="inlineStr">
        <is>
          <t>EBIT</t>
        </is>
      </c>
      <c r="E4" s="14">
        <f>'Income Statement'!E19</f>
        <v/>
      </c>
      <c r="F4" s="14">
        <f>'Income Statement'!F19</f>
        <v/>
      </c>
      <c r="G4" s="14">
        <f>'Income Statement'!G19</f>
        <v/>
      </c>
      <c r="H4" s="14">
        <f>'Income Statement'!H19</f>
        <v/>
      </c>
      <c r="I4" s="14">
        <f>'Income Statement'!I19</f>
        <v/>
      </c>
    </row>
    <row r="5">
      <c r="A5" s="3" t="inlineStr">
        <is>
          <t>NOPAT = EBIT×(1−tax)</t>
        </is>
      </c>
      <c r="E5" s="11">
        <f>E4*(1-Assumptions!$B$10)</f>
        <v/>
      </c>
      <c r="F5" s="11">
        <f>F4*(1-Assumptions!$B$10)</f>
        <v/>
      </c>
      <c r="G5" s="11">
        <f>G4*(1-Assumptions!$B$10)</f>
        <v/>
      </c>
      <c r="H5" s="11">
        <f>H4*(1-Assumptions!$B$10)</f>
        <v/>
      </c>
      <c r="I5" s="11">
        <f>I4*(1-Assumptions!$B$10)</f>
        <v/>
      </c>
    </row>
    <row r="6">
      <c r="A6" s="3" t="inlineStr">
        <is>
          <t>+ D&amp;A</t>
        </is>
      </c>
      <c r="E6" s="14">
        <f>'Income Statement'!E18</f>
        <v/>
      </c>
      <c r="F6" s="14">
        <f>'Income Statement'!F18</f>
        <v/>
      </c>
      <c r="G6" s="14">
        <f>'Income Statement'!G18</f>
        <v/>
      </c>
      <c r="H6" s="14">
        <f>'Income Statement'!H18</f>
        <v/>
      </c>
      <c r="I6" s="14">
        <f>'Income Statement'!I18</f>
        <v/>
      </c>
    </row>
    <row r="7">
      <c r="A7" s="3" t="inlineStr">
        <is>
          <t>− Capex</t>
        </is>
      </c>
      <c r="E7" s="11">
        <f>-Assumptions!E68</f>
        <v/>
      </c>
      <c r="F7" s="11">
        <f>-Assumptions!F68</f>
        <v/>
      </c>
      <c r="G7" s="11">
        <f>-Assumptions!G68</f>
        <v/>
      </c>
      <c r="H7" s="11">
        <f>-Assumptions!H68</f>
        <v/>
      </c>
      <c r="I7" s="11">
        <f>-Assumptions!I68</f>
        <v/>
      </c>
    </row>
    <row r="8">
      <c r="A8" s="3" t="inlineStr">
        <is>
          <t>− Increase in net working capital</t>
        </is>
      </c>
      <c r="E8" s="14">
        <f>-(('Balance Sheet'!E5+'Balance Sheet'!E6-'Balance Sheet'!E15)-('Balance Sheet'!D5+'Balance Sheet'!D6-'Balance Sheet'!D15))</f>
        <v/>
      </c>
      <c r="F8" s="14">
        <f>-(('Balance Sheet'!F5+'Balance Sheet'!F6-'Balance Sheet'!F15)-('Balance Sheet'!E5+'Balance Sheet'!E6-'Balance Sheet'!E15))</f>
        <v/>
      </c>
      <c r="G8" s="14">
        <f>-(('Balance Sheet'!G5+'Balance Sheet'!G6-'Balance Sheet'!G15)-('Balance Sheet'!F5+'Balance Sheet'!F6-'Balance Sheet'!F15))</f>
        <v/>
      </c>
      <c r="H8" s="14">
        <f>-(('Balance Sheet'!H5+'Balance Sheet'!H6-'Balance Sheet'!H15)-('Balance Sheet'!G5+'Balance Sheet'!G6-'Balance Sheet'!G15))</f>
        <v/>
      </c>
      <c r="I8" s="14">
        <f>-(('Balance Sheet'!I5+'Balance Sheet'!I6-'Balance Sheet'!I15)-('Balance Sheet'!H5+'Balance Sheet'!H6-'Balance Sheet'!H15))</f>
        <v/>
      </c>
    </row>
    <row r="9">
      <c r="A9" s="4" t="inlineStr">
        <is>
          <t>Free cash flow to firm</t>
        </is>
      </c>
      <c r="E9" s="12">
        <f>E5+E6+E7+E8</f>
        <v/>
      </c>
      <c r="F9" s="12">
        <f>F5+F6+F7+F8</f>
        <v/>
      </c>
      <c r="G9" s="12">
        <f>G5+G6+G7+G8</f>
        <v/>
      </c>
      <c r="H9" s="12">
        <f>H5+H6+H7+H8</f>
        <v/>
      </c>
      <c r="I9" s="12">
        <f>I5+I6+I7+I8</f>
        <v/>
      </c>
    </row>
    <row r="10">
      <c r="A10" s="3" t="inlineStr">
        <is>
          <t>Discount factor</t>
        </is>
      </c>
      <c r="E10" s="23">
        <f>1/(1+Assumptions!$B$8)^1</f>
        <v/>
      </c>
      <c r="F10" s="23">
        <f>1/(1+Assumptions!$B$8)^2</f>
        <v/>
      </c>
      <c r="G10" s="23">
        <f>1/(1+Assumptions!$B$8)^3</f>
        <v/>
      </c>
      <c r="H10" s="23">
        <f>1/(1+Assumptions!$B$8)^4</f>
        <v/>
      </c>
      <c r="I10" s="23">
        <f>1/(1+Assumptions!$B$8)^5</f>
        <v/>
      </c>
    </row>
    <row r="11">
      <c r="A11" s="3" t="inlineStr">
        <is>
          <t>PV of FCFF</t>
        </is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</row>
    <row r="13">
      <c r="A13" s="4" t="inlineStr">
        <is>
          <t>Σ PV of explicit FCFF (FY27–31)</t>
        </is>
      </c>
      <c r="B13" s="12">
        <f>SUM(E11:I11)</f>
        <v/>
      </c>
    </row>
    <row r="14">
      <c r="A14" s="3" t="inlineStr">
        <is>
          <t>Terminal value (Gordon)</t>
        </is>
      </c>
      <c r="B14" s="11">
        <f>I9*(1+Assumptions!$B$9)/(Assumptions!$B$8-Assumptions!$B$9)</f>
        <v/>
      </c>
    </row>
    <row r="15">
      <c r="A15" s="3" t="inlineStr">
        <is>
          <t>PV of terminal value</t>
        </is>
      </c>
      <c r="B15" s="11">
        <f>B14/(1+Assumptions!$B$8)^5</f>
        <v/>
      </c>
    </row>
    <row r="16">
      <c r="A16" s="4" t="inlineStr">
        <is>
          <t>Enterprise value</t>
        </is>
      </c>
      <c r="B16" s="12">
        <f>B13+B15</f>
        <v/>
      </c>
    </row>
    <row r="17">
      <c r="A17" s="3" t="inlineStr">
        <is>
          <t>less: consolidated net debt</t>
        </is>
      </c>
      <c r="B17" s="11">
        <f>-Assumptions!$B$7</f>
        <v/>
      </c>
    </row>
    <row r="18">
      <c r="A18" s="4" t="inlineStr">
        <is>
          <t>Equity value</t>
        </is>
      </c>
      <c r="B18" s="12">
        <f>B16+B17</f>
        <v/>
      </c>
    </row>
    <row r="19">
      <c r="A19" s="4" t="inlineStr">
        <is>
          <t>Fair value per share (Rs)</t>
        </is>
      </c>
      <c r="B19" s="18">
        <f>B18/Assumptions!$B$5</f>
        <v/>
      </c>
    </row>
    <row r="20">
      <c r="A20" s="3" t="inlineStr">
        <is>
          <t>% terminal of EV</t>
        </is>
      </c>
      <c r="B20" s="13">
        <f>B15/B16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Income statement (Rs cr, consolidated)</t>
        </is>
      </c>
    </row>
    <row r="2">
      <c r="A2" s="2" t="inlineStr">
        <is>
          <t>FY24–FY26 disclosed / tied to reported totals (blue); FY27–FY31 forecast (formulas linking to Assumptions)</t>
        </is>
      </c>
    </row>
    <row r="3">
      <c r="B3" s="10" t="inlineStr">
        <is>
          <t>FY24</t>
        </is>
      </c>
      <c r="C3" s="10" t="inlineStr">
        <is>
          <t>FY25</t>
        </is>
      </c>
      <c r="D3" s="10" t="inlineStr">
        <is>
          <t>FY26</t>
        </is>
      </c>
      <c r="E3" s="10" t="inlineStr">
        <is>
          <t>FY27E</t>
        </is>
      </c>
      <c r="F3" s="10" t="inlineStr">
        <is>
          <t>FY28E</t>
        </is>
      </c>
      <c r="G3" s="10" t="inlineStr">
        <is>
          <t>FY29E</t>
        </is>
      </c>
      <c r="H3" s="10" t="inlineStr">
        <is>
          <t>FY30E</t>
        </is>
      </c>
      <c r="I3" s="10" t="inlineStr">
        <is>
          <t>FY31E</t>
        </is>
      </c>
    </row>
    <row r="4">
      <c r="A4" s="3" t="inlineStr">
        <is>
          <t>O2C revenue</t>
        </is>
      </c>
      <c r="B4" s="7" t="n">
        <v>564794</v>
      </c>
      <c r="C4" s="7" t="n">
        <v>626921</v>
      </c>
      <c r="D4" s="7" t="n">
        <v>662401</v>
      </c>
      <c r="E4" s="11">
        <f>D4*(1+Assumptions!E54)</f>
        <v/>
      </c>
      <c r="F4" s="11">
        <f>E4*(1+Assumptions!F54)</f>
        <v/>
      </c>
      <c r="G4" s="11">
        <f>F4*(1+Assumptions!G54)</f>
        <v/>
      </c>
      <c r="H4" s="11">
        <f>G4*(1+Assumptions!H54)</f>
        <v/>
      </c>
      <c r="I4" s="11">
        <f>H4*(1+Assumptions!I54)</f>
        <v/>
      </c>
    </row>
    <row r="5">
      <c r="A5" s="3" t="inlineStr">
        <is>
          <t>Digital Services (Jio) revenue</t>
        </is>
      </c>
      <c r="B5" s="7" t="n">
        <v>110175</v>
      </c>
      <c r="C5" s="7" t="n">
        <v>129333</v>
      </c>
      <c r="D5" s="7" t="n">
        <v>146885</v>
      </c>
      <c r="E5" s="11">
        <f>D5*(1+Assumptions!E55)</f>
        <v/>
      </c>
      <c r="F5" s="11">
        <f>E5*(1+Assumptions!F55)</f>
        <v/>
      </c>
      <c r="G5" s="11">
        <f>F5*(1+Assumptions!G55)</f>
        <v/>
      </c>
      <c r="H5" s="11">
        <f>G5*(1+Assumptions!H55)</f>
        <v/>
      </c>
      <c r="I5" s="11">
        <f>H5*(1+Assumptions!I55)</f>
        <v/>
      </c>
    </row>
    <row r="6">
      <c r="A6" s="3" t="inlineStr">
        <is>
          <t>Reliance Retail revenue</t>
        </is>
      </c>
      <c r="B6" s="7" t="n">
        <v>306645</v>
      </c>
      <c r="C6" s="7" t="n">
        <v>330870</v>
      </c>
      <c r="D6" s="7" t="n">
        <v>370026</v>
      </c>
      <c r="E6" s="11">
        <f>D6*(1+Assumptions!E56)</f>
        <v/>
      </c>
      <c r="F6" s="11">
        <f>E6*(1+Assumptions!F56)</f>
        <v/>
      </c>
      <c r="G6" s="11">
        <f>F6*(1+Assumptions!G56)</f>
        <v/>
      </c>
      <c r="H6" s="11">
        <f>G6*(1+Assumptions!H56)</f>
        <v/>
      </c>
      <c r="I6" s="11">
        <f>H6*(1+Assumptions!I56)</f>
        <v/>
      </c>
    </row>
    <row r="7">
      <c r="A7" s="3" t="inlineStr">
        <is>
          <t>Oil &amp; Gas / Media / other revenue</t>
        </is>
      </c>
      <c r="B7" s="7" t="n">
        <v>42000</v>
      </c>
      <c r="C7" s="7" t="n">
        <v>48000</v>
      </c>
      <c r="D7" s="7" t="n">
        <v>54909</v>
      </c>
      <c r="E7" s="11">
        <f>D7*(1+Assumptions!E57)</f>
        <v/>
      </c>
      <c r="F7" s="11">
        <f>E7*(1+Assumptions!F57)</f>
        <v/>
      </c>
      <c r="G7" s="11">
        <f>F7*(1+Assumptions!G57)</f>
        <v/>
      </c>
      <c r="H7" s="11">
        <f>G7*(1+Assumptions!H57)</f>
        <v/>
      </c>
      <c r="I7" s="11">
        <f>H7*(1+Assumptions!I57)</f>
        <v/>
      </c>
    </row>
    <row r="8">
      <c r="A8" s="3" t="inlineStr">
        <is>
          <t>less: inter-segment eliminations</t>
        </is>
      </c>
      <c r="B8" s="7" t="n">
        <v>-124552</v>
      </c>
      <c r="C8" s="7" t="n">
        <v>-170431</v>
      </c>
      <c r="D8" s="7" t="n">
        <v>-158546</v>
      </c>
      <c r="E8" s="11">
        <f>Assumptions!E63*SUM(E4:E7)</f>
        <v/>
      </c>
      <c r="F8" s="11">
        <f>Assumptions!F63*SUM(F4:F7)</f>
        <v/>
      </c>
      <c r="G8" s="11">
        <f>Assumptions!G63*SUM(G4:G7)</f>
        <v/>
      </c>
      <c r="H8" s="11">
        <f>Assumptions!H63*SUM(H4:H7)</f>
        <v/>
      </c>
      <c r="I8" s="11">
        <f>Assumptions!I63*SUM(I4:I7)</f>
        <v/>
      </c>
    </row>
    <row r="9">
      <c r="A9" s="4" t="inlineStr">
        <is>
          <t>Total revenue</t>
        </is>
      </c>
      <c r="B9" s="12">
        <f>SUM(B4:B8)</f>
        <v/>
      </c>
      <c r="C9" s="12">
        <f>SUM(C4:C8)</f>
        <v/>
      </c>
      <c r="D9" s="12">
        <f>SUM(D4:D8)</f>
        <v/>
      </c>
      <c r="E9" s="12">
        <f>SUM(E4:E8)</f>
        <v/>
      </c>
      <c r="F9" s="12">
        <f>SUM(F4:F8)</f>
        <v/>
      </c>
      <c r="G9" s="12">
        <f>SUM(G4:G8)</f>
        <v/>
      </c>
      <c r="H9" s="12">
        <f>SUM(H4:H8)</f>
        <v/>
      </c>
      <c r="I9" s="12">
        <f>SUM(I4:I8)</f>
        <v/>
      </c>
    </row>
    <row r="11">
      <c r="A11" s="3" t="inlineStr">
        <is>
          <t>O2C EBITDA</t>
        </is>
      </c>
      <c r="B11" s="7" t="n">
        <v>62000</v>
      </c>
      <c r="C11" s="7" t="n">
        <v>54988</v>
      </c>
      <c r="D11" s="7" t="n">
        <v>60546</v>
      </c>
      <c r="E11" s="11">
        <f>E4*Assumptions!E58</f>
        <v/>
      </c>
      <c r="F11" s="11">
        <f>F4*Assumptions!F58</f>
        <v/>
      </c>
      <c r="G11" s="11">
        <f>G4*Assumptions!G58</f>
        <v/>
      </c>
      <c r="H11" s="11">
        <f>H4*Assumptions!H58</f>
        <v/>
      </c>
      <c r="I11" s="11">
        <f>I4*Assumptions!I58</f>
        <v/>
      </c>
    </row>
    <row r="12">
      <c r="A12" s="3" t="inlineStr">
        <is>
          <t>Digital Services (Jio) EBITDA</t>
        </is>
      </c>
      <c r="B12" s="7" t="n">
        <v>54959</v>
      </c>
      <c r="C12" s="7" t="n">
        <v>64170</v>
      </c>
      <c r="D12" s="7" t="n">
        <v>76255</v>
      </c>
      <c r="E12" s="11">
        <f>E5*Assumptions!E59</f>
        <v/>
      </c>
      <c r="F12" s="11">
        <f>F5*Assumptions!F59</f>
        <v/>
      </c>
      <c r="G12" s="11">
        <f>G5*Assumptions!G59</f>
        <v/>
      </c>
      <c r="H12" s="11">
        <f>H5*Assumptions!H59</f>
        <v/>
      </c>
      <c r="I12" s="11">
        <f>I5*Assumptions!I59</f>
        <v/>
      </c>
    </row>
    <row r="13">
      <c r="A13" s="3" t="inlineStr">
        <is>
          <t>Reliance Retail EBITDA</t>
        </is>
      </c>
      <c r="B13" s="7" t="n">
        <v>21500</v>
      </c>
      <c r="C13" s="7" t="n">
        <v>25053</v>
      </c>
      <c r="D13" s="7" t="n">
        <v>27033</v>
      </c>
      <c r="E13" s="11">
        <f>E6*Assumptions!E60</f>
        <v/>
      </c>
      <c r="F13" s="11">
        <f>F6*Assumptions!F60</f>
        <v/>
      </c>
      <c r="G13" s="11">
        <f>G6*Assumptions!G60</f>
        <v/>
      </c>
      <c r="H13" s="11">
        <f>H6*Assumptions!H60</f>
        <v/>
      </c>
      <c r="I13" s="11">
        <f>I6*Assumptions!I60</f>
        <v/>
      </c>
    </row>
    <row r="14">
      <c r="A14" s="3" t="inlineStr">
        <is>
          <t>Oil &amp; Gas / Media / other EBITDA</t>
        </is>
      </c>
      <c r="B14" s="7" t="n">
        <v>19000</v>
      </c>
      <c r="C14" s="7" t="n">
        <v>21000</v>
      </c>
      <c r="D14" s="7" t="n">
        <v>23935</v>
      </c>
      <c r="E14" s="11">
        <f>E7*Assumptions!E61</f>
        <v/>
      </c>
      <c r="F14" s="11">
        <f>F7*Assumptions!F61</f>
        <v/>
      </c>
      <c r="G14" s="11">
        <f>G7*Assumptions!G61</f>
        <v/>
      </c>
      <c r="H14" s="11">
        <f>H7*Assumptions!H61</f>
        <v/>
      </c>
      <c r="I14" s="11">
        <f>I7*Assumptions!I61</f>
        <v/>
      </c>
    </row>
    <row r="15">
      <c r="A15" s="3" t="inlineStr">
        <is>
          <t>Corporate / New Energy / unallocated EBITDA</t>
        </is>
      </c>
      <c r="B15" s="7" t="n">
        <v>21218</v>
      </c>
      <c r="C15" s="7" t="n">
        <v>18133</v>
      </c>
      <c r="D15" s="7" t="n">
        <v>20142</v>
      </c>
      <c r="E15" s="11">
        <f>Assumptions!E62</f>
        <v/>
      </c>
      <c r="F15" s="11">
        <f>Assumptions!F62</f>
        <v/>
      </c>
      <c r="G15" s="11">
        <f>Assumptions!G62</f>
        <v/>
      </c>
      <c r="H15" s="11">
        <f>Assumptions!H62</f>
        <v/>
      </c>
      <c r="I15" s="11">
        <f>Assumptions!I62</f>
        <v/>
      </c>
    </row>
    <row r="16">
      <c r="A16" s="4" t="inlineStr">
        <is>
          <t>Consolidated EBITDA</t>
        </is>
      </c>
      <c r="B16" s="12">
        <f>SUM(B11:B15)</f>
        <v/>
      </c>
      <c r="C16" s="12">
        <f>SUM(C11:C15)</f>
        <v/>
      </c>
      <c r="D16" s="12">
        <f>SUM(D11:D15)</f>
        <v/>
      </c>
      <c r="E16" s="12">
        <f>SUM(E11:E15)</f>
        <v/>
      </c>
      <c r="F16" s="12">
        <f>SUM(F11:F15)</f>
        <v/>
      </c>
      <c r="G16" s="12">
        <f>SUM(G11:G15)</f>
        <v/>
      </c>
      <c r="H16" s="12">
        <f>SUM(H11:H15)</f>
        <v/>
      </c>
      <c r="I16" s="12">
        <f>SUM(I11:I15)</f>
        <v/>
      </c>
    </row>
    <row r="17">
      <c r="A17" s="3" t="inlineStr">
        <is>
          <t>EBITDA margin</t>
        </is>
      </c>
      <c r="B17" s="13">
        <f>B16/B9</f>
        <v/>
      </c>
      <c r="C17" s="13">
        <f>C16/C9</f>
        <v/>
      </c>
      <c r="D17" s="13">
        <f>D16/D9</f>
        <v/>
      </c>
      <c r="E17" s="13">
        <f>E16/E9</f>
        <v/>
      </c>
      <c r="F17" s="13">
        <f>F16/F9</f>
        <v/>
      </c>
      <c r="G17" s="13">
        <f>G16/G9</f>
        <v/>
      </c>
      <c r="H17" s="13">
        <f>H16/H9</f>
        <v/>
      </c>
      <c r="I17" s="13">
        <f>I16/I9</f>
        <v/>
      </c>
    </row>
    <row r="18">
      <c r="A18" s="3" t="inlineStr">
        <is>
          <t>Depreciation &amp; amortisation</t>
        </is>
      </c>
      <c r="B18" s="7" t="n">
        <v>40012</v>
      </c>
      <c r="C18" s="7" t="n">
        <v>52000</v>
      </c>
      <c r="D18" s="7" t="n">
        <v>55000</v>
      </c>
      <c r="E18" s="11">
        <f>E9*Assumptions!E64</f>
        <v/>
      </c>
      <c r="F18" s="11">
        <f>F9*Assumptions!F64</f>
        <v/>
      </c>
      <c r="G18" s="11">
        <f>G9*Assumptions!G64</f>
        <v/>
      </c>
      <c r="H18" s="11">
        <f>H9*Assumptions!H64</f>
        <v/>
      </c>
      <c r="I18" s="11">
        <f>I9*Assumptions!I64</f>
        <v/>
      </c>
    </row>
    <row r="19">
      <c r="A19" s="4" t="inlineStr">
        <is>
          <t>EBIT</t>
        </is>
      </c>
      <c r="B19" s="12">
        <f>B16-B18</f>
        <v/>
      </c>
      <c r="C19" s="12">
        <f>C16-C18</f>
        <v/>
      </c>
      <c r="D19" s="12">
        <f>D16-D18</f>
        <v/>
      </c>
      <c r="E19" s="12">
        <f>E16-E18</f>
        <v/>
      </c>
      <c r="F19" s="12">
        <f>F16-F18</f>
        <v/>
      </c>
      <c r="G19" s="12">
        <f>G16-G18</f>
        <v/>
      </c>
      <c r="H19" s="12">
        <f>H16-H18</f>
        <v/>
      </c>
      <c r="I19" s="12">
        <f>I16-I18</f>
        <v/>
      </c>
    </row>
    <row r="20">
      <c r="A20" s="3" t="inlineStr">
        <is>
          <t>Finance cost</t>
        </is>
      </c>
      <c r="B20" s="7" t="n">
        <v>23118</v>
      </c>
      <c r="C20" s="7" t="n">
        <v>23000</v>
      </c>
      <c r="D20" s="7" t="n">
        <v>27157</v>
      </c>
      <c r="E20" s="11">
        <f>Assumptions!E65</f>
        <v/>
      </c>
      <c r="F20" s="11">
        <f>Assumptions!F65</f>
        <v/>
      </c>
      <c r="G20" s="11">
        <f>Assumptions!G65</f>
        <v/>
      </c>
      <c r="H20" s="11">
        <f>Assumptions!H65</f>
        <v/>
      </c>
      <c r="I20" s="11">
        <f>Assumptions!I65</f>
        <v/>
      </c>
    </row>
    <row r="21">
      <c r="A21" s="4" t="inlineStr">
        <is>
          <t>PBT</t>
        </is>
      </c>
      <c r="B21" s="12">
        <f>B19-B20</f>
        <v/>
      </c>
      <c r="C21" s="12">
        <f>C19-C20</f>
        <v/>
      </c>
      <c r="D21" s="12">
        <f>D19-D20</f>
        <v/>
      </c>
      <c r="E21" s="12">
        <f>E19-E20</f>
        <v/>
      </c>
      <c r="F21" s="12">
        <f>F19-F20</f>
        <v/>
      </c>
      <c r="G21" s="12">
        <f>G19-G20</f>
        <v/>
      </c>
      <c r="H21" s="12">
        <f>H19-H20</f>
        <v/>
      </c>
      <c r="I21" s="12">
        <f>I19-I20</f>
        <v/>
      </c>
    </row>
    <row r="22">
      <c r="A22" s="3" t="inlineStr">
        <is>
          <t>Tax</t>
        </is>
      </c>
      <c r="B22" s="7" t="n">
        <v>35926</v>
      </c>
      <c r="C22" s="7" t="n">
        <v>27000</v>
      </c>
      <c r="D22" s="7" t="n">
        <v>30000</v>
      </c>
      <c r="E22" s="11">
        <f>MAX(0,E21)*Assumptions!E66</f>
        <v/>
      </c>
      <c r="F22" s="11">
        <f>MAX(0,F21)*Assumptions!F66</f>
        <v/>
      </c>
      <c r="G22" s="11">
        <f>MAX(0,G21)*Assumptions!G66</f>
        <v/>
      </c>
      <c r="H22" s="11">
        <f>MAX(0,H21)*Assumptions!H66</f>
        <v/>
      </c>
      <c r="I22" s="11">
        <f>MAX(0,I21)*Assumptions!I66</f>
        <v/>
      </c>
    </row>
    <row r="23">
      <c r="A23" s="4" t="inlineStr">
        <is>
          <t>PAT (total, incl. minority)</t>
        </is>
      </c>
      <c r="B23" s="12">
        <f>B21-B22</f>
        <v/>
      </c>
      <c r="C23" s="12">
        <f>C21-C22</f>
        <v/>
      </c>
      <c r="D23" s="12">
        <f>D21-D22</f>
        <v/>
      </c>
      <c r="E23" s="12">
        <f>E21-E22</f>
        <v/>
      </c>
      <c r="F23" s="12">
        <f>F21-F22</f>
        <v/>
      </c>
      <c r="G23" s="12">
        <f>G21-G22</f>
        <v/>
      </c>
      <c r="H23" s="12">
        <f>H21-H22</f>
        <v/>
      </c>
      <c r="I23" s="12">
        <f>I21-I22</f>
        <v/>
      </c>
    </row>
    <row r="24">
      <c r="A24" s="3" t="inlineStr">
        <is>
          <t>less: minority interest &amp; associates</t>
        </is>
      </c>
      <c r="B24" s="7" t="n">
        <v>10000</v>
      </c>
      <c r="C24" s="7" t="n">
        <v>11696</v>
      </c>
      <c r="D24" s="7" t="n">
        <v>14979</v>
      </c>
      <c r="E24" s="11">
        <f>E23*Assumptions!E67</f>
        <v/>
      </c>
      <c r="F24" s="11">
        <f>F23*Assumptions!F67</f>
        <v/>
      </c>
      <c r="G24" s="11">
        <f>G23*Assumptions!G67</f>
        <v/>
      </c>
      <c r="H24" s="11">
        <f>H23*Assumptions!H67</f>
        <v/>
      </c>
      <c r="I24" s="11">
        <f>I23*Assumptions!I67</f>
        <v/>
      </c>
    </row>
    <row r="25">
      <c r="A25" s="4" t="inlineStr">
        <is>
          <t>PAT attributable to owners</t>
        </is>
      </c>
      <c r="B25" s="12">
        <f>B23-B24</f>
        <v/>
      </c>
      <c r="C25" s="12">
        <f>C23-C24</f>
        <v/>
      </c>
      <c r="D25" s="12">
        <f>D23-D24</f>
        <v/>
      </c>
      <c r="E25" s="12">
        <f>E23-E24</f>
        <v/>
      </c>
      <c r="F25" s="12">
        <f>F23-F24</f>
        <v/>
      </c>
      <c r="G25" s="12">
        <f>G23-G24</f>
        <v/>
      </c>
      <c r="H25" s="12">
        <f>H23-H24</f>
        <v/>
      </c>
      <c r="I25" s="12">
        <f>I23-I24</f>
        <v/>
      </c>
    </row>
    <row r="27">
      <c r="A27" s="2" t="inlineStr">
        <is>
          <t>Source: RIL FY26 results (24 Apr 2026), Jio Platforms DRHP (19 Jun 2026); segment splits per company disclosure. Some finance/tax/minority lines estimated to tie to reported PAT. Forecast = formulas.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Balance sheet (Rs cr, consolidated)</t>
        </is>
      </c>
    </row>
    <row r="2">
      <c r="A2" s="2" t="inlineStr">
        <is>
          <t>Historical anchored to disclosed equity/borrowings/cash/net-debt; PP&amp;E plugs to balance. Forecast rolls forward.</t>
        </is>
      </c>
    </row>
    <row r="3">
      <c r="B3" s="10" t="inlineStr">
        <is>
          <t>FY24</t>
        </is>
      </c>
      <c r="C3" s="10" t="inlineStr">
        <is>
          <t>FY25</t>
        </is>
      </c>
      <c r="D3" s="10" t="inlineStr">
        <is>
          <t>FY26</t>
        </is>
      </c>
      <c r="E3" s="10" t="inlineStr">
        <is>
          <t>FY27E</t>
        </is>
      </c>
      <c r="F3" s="10" t="inlineStr">
        <is>
          <t>FY28E</t>
        </is>
      </c>
      <c r="G3" s="10" t="inlineStr">
        <is>
          <t>FY29E</t>
        </is>
      </c>
      <c r="H3" s="10" t="inlineStr">
        <is>
          <t>FY30E</t>
        </is>
      </c>
      <c r="I3" s="10" t="inlineStr">
        <is>
          <t>FY31E</t>
        </is>
      </c>
    </row>
    <row r="4">
      <c r="A4" s="3" t="inlineStr">
        <is>
          <t>PP&amp;E + intangibles (incl. CWIP)</t>
        </is>
      </c>
      <c r="B4" s="11">
        <f>(B12+B13+B14+B15+B16)-(B5+B6+B7+B8+B9)</f>
        <v/>
      </c>
      <c r="C4" s="11">
        <f>(C12+C13+C14+C15+C16)-(C5+C6+C7+C8+C9)</f>
        <v/>
      </c>
      <c r="D4" s="11">
        <f>(D12+D13+D14+D15+D16)-(D5+D6+D7+D8+D9)</f>
        <v/>
      </c>
      <c r="E4" s="11">
        <f>D4+Assumptions!E68-'Income Statement'!E18</f>
        <v/>
      </c>
      <c r="F4" s="11">
        <f>E4+Assumptions!F68-'Income Statement'!F18</f>
        <v/>
      </c>
      <c r="G4" s="11">
        <f>F4+Assumptions!G68-'Income Statement'!G18</f>
        <v/>
      </c>
      <c r="H4" s="11">
        <f>G4+Assumptions!H68-'Income Statement'!H18</f>
        <v/>
      </c>
      <c r="I4" s="11">
        <f>H4+Assumptions!I68-'Income Statement'!I18</f>
        <v/>
      </c>
    </row>
    <row r="5">
      <c r="A5" s="3" t="inlineStr">
        <is>
          <t>Inventory</t>
        </is>
      </c>
      <c r="B5" s="14">
        <f>'Income Statement'!B9*Assumptions!$B$44</f>
        <v/>
      </c>
      <c r="C5" s="14">
        <f>'Income Statement'!C9*Assumptions!$B$44</f>
        <v/>
      </c>
      <c r="D5" s="14">
        <f>'Income Statement'!D9*Assumptions!$B$44</f>
        <v/>
      </c>
      <c r="E5" s="14">
        <f>'Income Statement'!E9*Assumptions!$B$44</f>
        <v/>
      </c>
      <c r="F5" s="14">
        <f>'Income Statement'!F9*Assumptions!$B$44</f>
        <v/>
      </c>
      <c r="G5" s="14">
        <f>'Income Statement'!G9*Assumptions!$B$44</f>
        <v/>
      </c>
      <c r="H5" s="14">
        <f>'Income Statement'!H9*Assumptions!$B$44</f>
        <v/>
      </c>
      <c r="I5" s="14">
        <f>'Income Statement'!I9*Assumptions!$B$44</f>
        <v/>
      </c>
    </row>
    <row r="6">
      <c r="A6" s="3" t="inlineStr">
        <is>
          <t>Receivables</t>
        </is>
      </c>
      <c r="B6" s="14">
        <f>'Income Statement'!B9*Assumptions!$B$45</f>
        <v/>
      </c>
      <c r="C6" s="14">
        <f>'Income Statement'!C9*Assumptions!$B$45</f>
        <v/>
      </c>
      <c r="D6" s="14">
        <f>'Income Statement'!D9*Assumptions!$B$45</f>
        <v/>
      </c>
      <c r="E6" s="14">
        <f>'Income Statement'!E9*Assumptions!$B$45</f>
        <v/>
      </c>
      <c r="F6" s="14">
        <f>'Income Statement'!F9*Assumptions!$B$45</f>
        <v/>
      </c>
      <c r="G6" s="14">
        <f>'Income Statement'!G9*Assumptions!$B$45</f>
        <v/>
      </c>
      <c r="H6" s="14">
        <f>'Income Statement'!H9*Assumptions!$B$45</f>
        <v/>
      </c>
      <c r="I6" s="14">
        <f>'Income Statement'!I9*Assumptions!$B$45</f>
        <v/>
      </c>
    </row>
    <row r="7">
      <c r="A7" s="3" t="inlineStr">
        <is>
          <t>Cash &amp; equivalents</t>
        </is>
      </c>
      <c r="B7" s="7" t="n">
        <v>80000</v>
      </c>
      <c r="C7" s="7" t="n">
        <v>85000</v>
      </c>
      <c r="D7" s="7" t="n">
        <v>90000</v>
      </c>
      <c r="E7" s="11">
        <f>D7+('Income Statement'!E23+'Income Statement'!E18-((E5+E6-E15)-(D5+D6-D15)))-Assumptions!E68-Assumptions!E69-Assumptions!E70</f>
        <v/>
      </c>
      <c r="F7" s="11">
        <f>E7+('Income Statement'!F23+'Income Statement'!F18-((F5+F6-F15)-(E5+E6-E15)))-Assumptions!F68-Assumptions!F69-Assumptions!F70</f>
        <v/>
      </c>
      <c r="G7" s="11">
        <f>F7+('Income Statement'!G23+'Income Statement'!G18-((G5+G6-G15)-(F5+F6-F15)))-Assumptions!G68-Assumptions!G69-Assumptions!G70</f>
        <v/>
      </c>
      <c r="H7" s="11">
        <f>G7+('Income Statement'!H23+'Income Statement'!H18-((H5+H6-H15)-(G5+G6-G15)))-Assumptions!H68-Assumptions!H69-Assumptions!H70</f>
        <v/>
      </c>
      <c r="I7" s="11">
        <f>H7+('Income Statement'!I23+'Income Statement'!I18-((I5+I6-I15)-(H5+H6-H15)))-Assumptions!I68-Assumptions!I69-Assumptions!I70</f>
        <v/>
      </c>
    </row>
    <row r="8">
      <c r="A8" s="3" t="inlineStr">
        <is>
          <t>Current investments</t>
        </is>
      </c>
      <c r="B8" s="7" t="n">
        <v>134000</v>
      </c>
      <c r="C8" s="7" t="n">
        <v>145447</v>
      </c>
      <c r="D8" s="7" t="n">
        <v>159704</v>
      </c>
      <c r="E8" s="11">
        <f>D8</f>
        <v/>
      </c>
      <c r="F8" s="11">
        <f>E8</f>
        <v/>
      </c>
      <c r="G8" s="11">
        <f>F8</f>
        <v/>
      </c>
      <c r="H8" s="11">
        <f>G8</f>
        <v/>
      </c>
      <c r="I8" s="11">
        <f>H8</f>
        <v/>
      </c>
    </row>
    <row r="9">
      <c r="A9" s="3" t="inlineStr">
        <is>
          <t>Other assets</t>
        </is>
      </c>
      <c r="B9" s="7" t="n">
        <v>620000</v>
      </c>
      <c r="C9" s="7" t="n">
        <v>700000</v>
      </c>
      <c r="D9" s="7" t="n">
        <v>760000</v>
      </c>
      <c r="E9" s="11">
        <f>D9</f>
        <v/>
      </c>
      <c r="F9" s="11">
        <f>E9</f>
        <v/>
      </c>
      <c r="G9" s="11">
        <f>F9</f>
        <v/>
      </c>
      <c r="H9" s="11">
        <f>G9</f>
        <v/>
      </c>
      <c r="I9" s="11">
        <f>H9</f>
        <v/>
      </c>
    </row>
    <row r="10">
      <c r="A10" s="4" t="inlineStr">
        <is>
          <t>Total assets</t>
        </is>
      </c>
      <c r="B10" s="12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2">
        <f>SUM(F4:F9)</f>
        <v/>
      </c>
      <c r="G10" s="12">
        <f>SUM(G4:G9)</f>
        <v/>
      </c>
      <c r="H10" s="12">
        <f>SUM(H4:H9)</f>
        <v/>
      </c>
      <c r="I10" s="12">
        <f>SUM(I4:I9)</f>
        <v/>
      </c>
    </row>
    <row r="12">
      <c r="A12" s="3" t="inlineStr">
        <is>
          <t>Equity (incl. minority)</t>
        </is>
      </c>
      <c r="B12" s="7" t="n">
        <v>900000</v>
      </c>
      <c r="C12" s="7" t="n">
        <v>1010000</v>
      </c>
      <c r="D12" s="7" t="n">
        <v>1120000</v>
      </c>
      <c r="E12" s="11">
        <f>D12+'Income Statement'!E23-Assumptions!E69</f>
        <v/>
      </c>
      <c r="F12" s="11">
        <f>E12+'Income Statement'!F23-Assumptions!F69</f>
        <v/>
      </c>
      <c r="G12" s="11">
        <f>F12+'Income Statement'!G23-Assumptions!G69</f>
        <v/>
      </c>
      <c r="H12" s="11">
        <f>G12+'Income Statement'!H23-Assumptions!H69</f>
        <v/>
      </c>
      <c r="I12" s="11">
        <f>H12+'Income Statement'!I23-Assumptions!I69</f>
        <v/>
      </c>
    </row>
    <row r="13">
      <c r="A13" s="3" t="inlineStr">
        <is>
          <t>Borrowings (gross debt)</t>
        </is>
      </c>
      <c r="B13" s="7" t="n">
        <v>330000</v>
      </c>
      <c r="C13" s="7" t="n">
        <v>347530</v>
      </c>
      <c r="D13" s="7" t="n">
        <v>374421</v>
      </c>
      <c r="E13" s="11">
        <f>D13-Assumptions!E70</f>
        <v/>
      </c>
      <c r="F13" s="11">
        <f>E13-Assumptions!F70</f>
        <v/>
      </c>
      <c r="G13" s="11">
        <f>F13-Assumptions!G70</f>
        <v/>
      </c>
      <c r="H13" s="11">
        <f>G13-Assumptions!H70</f>
        <v/>
      </c>
      <c r="I13" s="11">
        <f>H13-Assumptions!I70</f>
        <v/>
      </c>
    </row>
    <row r="14">
      <c r="A14" s="3" t="inlineStr">
        <is>
          <t>Provisions</t>
        </is>
      </c>
      <c r="B14" s="7" t="n">
        <v>70000</v>
      </c>
      <c r="C14" s="7" t="n">
        <v>78000</v>
      </c>
      <c r="D14" s="7" t="n">
        <v>85000</v>
      </c>
      <c r="E14" s="11">
        <f>D14</f>
        <v/>
      </c>
      <c r="F14" s="11">
        <f>E14</f>
        <v/>
      </c>
      <c r="G14" s="11">
        <f>F14</f>
        <v/>
      </c>
      <c r="H14" s="11">
        <f>G14</f>
        <v/>
      </c>
      <c r="I14" s="11">
        <f>H14</f>
        <v/>
      </c>
    </row>
    <row r="15">
      <c r="A15" s="3" t="inlineStr">
        <is>
          <t>Payables</t>
        </is>
      </c>
      <c r="B15" s="14">
        <f>'Income Statement'!B9*Assumptions!$B$46</f>
        <v/>
      </c>
      <c r="C15" s="14">
        <f>'Income Statement'!C9*Assumptions!$B$46</f>
        <v/>
      </c>
      <c r="D15" s="14">
        <f>'Income Statement'!D9*Assumptions!$B$46</f>
        <v/>
      </c>
      <c r="E15" s="14">
        <f>'Income Statement'!E9*Assumptions!$B$46</f>
        <v/>
      </c>
      <c r="F15" s="14">
        <f>'Income Statement'!F9*Assumptions!$B$46</f>
        <v/>
      </c>
      <c r="G15" s="14">
        <f>'Income Statement'!G9*Assumptions!$B$46</f>
        <v/>
      </c>
      <c r="H15" s="14">
        <f>'Income Statement'!H9*Assumptions!$B$46</f>
        <v/>
      </c>
      <c r="I15" s="14">
        <f>'Income Statement'!I9*Assumptions!$B$46</f>
        <v/>
      </c>
    </row>
    <row r="16">
      <c r="A16" s="3" t="inlineStr">
        <is>
          <t>Other liabilities</t>
        </is>
      </c>
      <c r="B16" s="7" t="n">
        <v>260000</v>
      </c>
      <c r="C16" s="7" t="n">
        <v>290000</v>
      </c>
      <c r="D16" s="7" t="n">
        <v>320000</v>
      </c>
      <c r="E16" s="11">
        <f>D16</f>
        <v/>
      </c>
      <c r="F16" s="11">
        <f>E16</f>
        <v/>
      </c>
      <c r="G16" s="11">
        <f>F16</f>
        <v/>
      </c>
      <c r="H16" s="11">
        <f>G16</f>
        <v/>
      </c>
      <c r="I16" s="11">
        <f>H16</f>
        <v/>
      </c>
    </row>
    <row r="17">
      <c r="A17" s="4" t="inlineStr">
        <is>
          <t>Total liabilities &amp; equity</t>
        </is>
      </c>
      <c r="B17" s="12">
        <f>B12+B13+B14+B15+B16</f>
        <v/>
      </c>
      <c r="C17" s="12">
        <f>C12+C13+C14+C15+C16</f>
        <v/>
      </c>
      <c r="D17" s="12">
        <f>D12+D13+D14+D15+D16</f>
        <v/>
      </c>
      <c r="E17" s="12">
        <f>E12+E13+E14+E15+E16</f>
        <v/>
      </c>
      <c r="F17" s="12">
        <f>F12+F13+F14+F15+F16</f>
        <v/>
      </c>
      <c r="G17" s="12">
        <f>G12+G13+G14+G15+G16</f>
        <v/>
      </c>
      <c r="H17" s="12">
        <f>H12+H13+H14+H15+H16</f>
        <v/>
      </c>
      <c r="I17" s="12">
        <f>I12+I13+I14+I15+I16</f>
        <v/>
      </c>
    </row>
    <row r="19">
      <c r="A19" s="3" t="inlineStr">
        <is>
          <t>Balance check (assets − L&amp;E)</t>
        </is>
      </c>
      <c r="B19" s="11">
        <f>B10-B17</f>
        <v/>
      </c>
      <c r="C19" s="11">
        <f>C10-C17</f>
        <v/>
      </c>
      <c r="D19" s="11">
        <f>D10-D17</f>
        <v/>
      </c>
      <c r="E19" s="11">
        <f>E10-E17</f>
        <v/>
      </c>
      <c r="F19" s="11">
        <f>F10-F17</f>
        <v/>
      </c>
      <c r="G19" s="11">
        <f>G10-G17</f>
        <v/>
      </c>
      <c r="H19" s="11">
        <f>H10-H17</f>
        <v/>
      </c>
      <c r="I19" s="11">
        <f>I10-I17</f>
        <v/>
      </c>
    </row>
    <row r="20">
      <c r="A20" s="3" t="inlineStr">
        <is>
          <t>Net debt</t>
        </is>
      </c>
      <c r="B20" s="11">
        <f>B13-B7-B8</f>
        <v/>
      </c>
      <c r="C20" s="11">
        <f>C13-C7-C8</f>
        <v/>
      </c>
      <c r="D20" s="11">
        <f>D13-D7-D8</f>
        <v/>
      </c>
      <c r="E20" s="11">
        <f>E13-E7-E8</f>
        <v/>
      </c>
      <c r="F20" s="11">
        <f>F13-F7-F8</f>
        <v/>
      </c>
      <c r="G20" s="11">
        <f>G13-G7-G8</f>
        <v/>
      </c>
      <c r="H20" s="11">
        <f>H13-H7-H8</f>
        <v/>
      </c>
      <c r="I20" s="11">
        <f>I13-I7-I8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Cash flow (Rs cr, forecast)</t>
        </is>
      </c>
    </row>
    <row r="2">
      <c r="A2" s="2" t="inlineStr">
        <is>
          <t>Derived from the Income Statement and Balance Sheet. Closing cash ties to the Balance Sheet.</t>
        </is>
      </c>
    </row>
    <row r="3">
      <c r="E3" s="10" t="inlineStr">
        <is>
          <t>FY27E</t>
        </is>
      </c>
      <c r="F3" s="10" t="inlineStr">
        <is>
          <t>FY28E</t>
        </is>
      </c>
      <c r="G3" s="10" t="inlineStr">
        <is>
          <t>FY29E</t>
        </is>
      </c>
      <c r="H3" s="10" t="inlineStr">
        <is>
          <t>FY30E</t>
        </is>
      </c>
      <c r="I3" s="10" t="inlineStr">
        <is>
          <t>FY31E</t>
        </is>
      </c>
    </row>
    <row r="4">
      <c r="A4" s="3" t="inlineStr">
        <is>
          <t>PAT (total)</t>
        </is>
      </c>
      <c r="E4" s="14">
        <f>'Income Statement'!E23</f>
        <v/>
      </c>
      <c r="F4" s="14">
        <f>'Income Statement'!F23</f>
        <v/>
      </c>
      <c r="G4" s="14">
        <f>'Income Statement'!G23</f>
        <v/>
      </c>
      <c r="H4" s="14">
        <f>'Income Statement'!H23</f>
        <v/>
      </c>
      <c r="I4" s="14">
        <f>'Income Statement'!I23</f>
        <v/>
      </c>
    </row>
    <row r="5">
      <c r="A5" s="3" t="inlineStr">
        <is>
          <t>+ D&amp;A</t>
        </is>
      </c>
      <c r="E5" s="14">
        <f>'Income Statement'!E18</f>
        <v/>
      </c>
      <c r="F5" s="14">
        <f>'Income Statement'!F18</f>
        <v/>
      </c>
      <c r="G5" s="14">
        <f>'Income Statement'!G18</f>
        <v/>
      </c>
      <c r="H5" s="14">
        <f>'Income Statement'!H18</f>
        <v/>
      </c>
      <c r="I5" s="14">
        <f>'Income Statement'!I18</f>
        <v/>
      </c>
    </row>
    <row r="6">
      <c r="A6" s="3" t="inlineStr">
        <is>
          <t>− Increase in net working capital</t>
        </is>
      </c>
      <c r="E6" s="14">
        <f>-(('Balance Sheet'!E5+'Balance Sheet'!E6-'Balance Sheet'!E15)-('Balance Sheet'!D5+'Balance Sheet'!D6-'Balance Sheet'!D15))</f>
        <v/>
      </c>
      <c r="F6" s="14">
        <f>-(('Balance Sheet'!F5+'Balance Sheet'!F6-'Balance Sheet'!F15)-('Balance Sheet'!E5+'Balance Sheet'!E6-'Balance Sheet'!E15))</f>
        <v/>
      </c>
      <c r="G6" s="14">
        <f>-(('Balance Sheet'!G5+'Balance Sheet'!G6-'Balance Sheet'!G15)-('Balance Sheet'!F5+'Balance Sheet'!F6-'Balance Sheet'!F15))</f>
        <v/>
      </c>
      <c r="H6" s="14">
        <f>-(('Balance Sheet'!H5+'Balance Sheet'!H6-'Balance Sheet'!H15)-('Balance Sheet'!G5+'Balance Sheet'!G6-'Balance Sheet'!G15))</f>
        <v/>
      </c>
      <c r="I6" s="14">
        <f>-(('Balance Sheet'!I5+'Balance Sheet'!I6-'Balance Sheet'!I15)-('Balance Sheet'!H5+'Balance Sheet'!H6-'Balance Sheet'!H15))</f>
        <v/>
      </c>
    </row>
    <row r="7">
      <c r="A7" s="4" t="inlineStr">
        <is>
          <t>Operating cash flow</t>
        </is>
      </c>
      <c r="E7" s="12">
        <f>E4+E5+E6</f>
        <v/>
      </c>
      <c r="F7" s="12">
        <f>F4+F5+F6</f>
        <v/>
      </c>
      <c r="G7" s="12">
        <f>G4+G5+G6</f>
        <v/>
      </c>
      <c r="H7" s="12">
        <f>H4+H5+H6</f>
        <v/>
      </c>
      <c r="I7" s="12">
        <f>I4+I5+I6</f>
        <v/>
      </c>
    </row>
    <row r="8">
      <c r="A8" s="3" t="inlineStr">
        <is>
          <t>− Capex</t>
        </is>
      </c>
      <c r="E8" s="11">
        <f>-Assumptions!E68</f>
        <v/>
      </c>
      <c r="F8" s="11">
        <f>-Assumptions!F68</f>
        <v/>
      </c>
      <c r="G8" s="11">
        <f>-Assumptions!G68</f>
        <v/>
      </c>
      <c r="H8" s="11">
        <f>-Assumptions!H68</f>
        <v/>
      </c>
      <c r="I8" s="11">
        <f>-Assumptions!I68</f>
        <v/>
      </c>
    </row>
    <row r="9">
      <c r="A9" s="4" t="inlineStr">
        <is>
          <t>Free cash flow</t>
        </is>
      </c>
      <c r="E9" s="12">
        <f>E7+E8</f>
        <v/>
      </c>
      <c r="F9" s="12">
        <f>F7+F8</f>
        <v/>
      </c>
      <c r="G9" s="12">
        <f>G7+G8</f>
        <v/>
      </c>
      <c r="H9" s="12">
        <f>H7+H8</f>
        <v/>
      </c>
      <c r="I9" s="12">
        <f>I7+I8</f>
        <v/>
      </c>
    </row>
    <row r="10">
      <c r="A10" s="3" t="inlineStr">
        <is>
          <t>− Dividend</t>
        </is>
      </c>
      <c r="E10" s="11">
        <f>-Assumptions!E69</f>
        <v/>
      </c>
      <c r="F10" s="11">
        <f>-Assumptions!F69</f>
        <v/>
      </c>
      <c r="G10" s="11">
        <f>-Assumptions!G69</f>
        <v/>
      </c>
      <c r="H10" s="11">
        <f>-Assumptions!H69</f>
        <v/>
      </c>
      <c r="I10" s="11">
        <f>-Assumptions!I69</f>
        <v/>
      </c>
    </row>
    <row r="11">
      <c r="A11" s="3" t="inlineStr">
        <is>
          <t>− Debt repayment</t>
        </is>
      </c>
      <c r="E11" s="11">
        <f>-Assumptions!E70</f>
        <v/>
      </c>
      <c r="F11" s="11">
        <f>-Assumptions!F70</f>
        <v/>
      </c>
      <c r="G11" s="11">
        <f>-Assumptions!G70</f>
        <v/>
      </c>
      <c r="H11" s="11">
        <f>-Assumptions!H70</f>
        <v/>
      </c>
      <c r="I11" s="11">
        <f>-Assumptions!I70</f>
        <v/>
      </c>
    </row>
    <row r="12">
      <c r="A12" s="4" t="inlineStr">
        <is>
          <t>Net change in cash</t>
        </is>
      </c>
      <c r="E12" s="12">
        <f>E9+E10+E11</f>
        <v/>
      </c>
      <c r="F12" s="12">
        <f>F9+F10+F11</f>
        <v/>
      </c>
      <c r="G12" s="12">
        <f>G9+G10+G11</f>
        <v/>
      </c>
      <c r="H12" s="12">
        <f>H9+H10+H11</f>
        <v/>
      </c>
      <c r="I12" s="12">
        <f>I9+I10+I11</f>
        <v/>
      </c>
    </row>
    <row r="13">
      <c r="A13" s="3" t="inlineStr">
        <is>
          <t>Opening cash</t>
        </is>
      </c>
      <c r="E13" s="14">
        <f>'Balance Sheet'!D7</f>
        <v/>
      </c>
      <c r="F13" s="14">
        <f>'Balance Sheet'!E7</f>
        <v/>
      </c>
      <c r="G13" s="14">
        <f>'Balance Sheet'!F7</f>
        <v/>
      </c>
      <c r="H13" s="14">
        <f>'Balance Sheet'!G7</f>
        <v/>
      </c>
      <c r="I13" s="14">
        <f>'Balance Sheet'!H7</f>
        <v/>
      </c>
    </row>
    <row r="14">
      <c r="A14" s="4" t="inlineStr">
        <is>
          <t>Closing cash</t>
        </is>
      </c>
      <c r="E14" s="12">
        <f>E13+E12</f>
        <v/>
      </c>
      <c r="F14" s="12">
        <f>F13+F12</f>
        <v/>
      </c>
      <c r="G14" s="12">
        <f>G13+G12</f>
        <v/>
      </c>
      <c r="H14" s="12">
        <f>H13+H12</f>
        <v/>
      </c>
      <c r="I14" s="12">
        <f>I13+I12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Summary financials (Rs cr)</t>
        </is>
      </c>
    </row>
    <row r="2">
      <c r="A2" s="2" t="inlineStr">
        <is>
          <t>Every cell links to the statement sheets.</t>
        </is>
      </c>
    </row>
    <row r="3">
      <c r="B3" s="10" t="inlineStr">
        <is>
          <t>FY24</t>
        </is>
      </c>
      <c r="C3" s="10" t="inlineStr">
        <is>
          <t>FY25</t>
        </is>
      </c>
      <c r="D3" s="10" t="inlineStr">
        <is>
          <t>FY26</t>
        </is>
      </c>
      <c r="E3" s="10" t="inlineStr">
        <is>
          <t>FY27E</t>
        </is>
      </c>
      <c r="F3" s="10" t="inlineStr">
        <is>
          <t>FY28E</t>
        </is>
      </c>
      <c r="G3" s="10" t="inlineStr">
        <is>
          <t>FY29E</t>
        </is>
      </c>
      <c r="H3" s="10" t="inlineStr">
        <is>
          <t>FY30E</t>
        </is>
      </c>
      <c r="I3" s="10" t="inlineStr">
        <is>
          <t>FY31E</t>
        </is>
      </c>
    </row>
    <row r="4">
      <c r="A4" s="3" t="inlineStr">
        <is>
          <t>Revenue</t>
        </is>
      </c>
      <c r="B4" s="14">
        <f>'Income Statement'!B9</f>
        <v/>
      </c>
      <c r="C4" s="14">
        <f>'Income Statement'!C9</f>
        <v/>
      </c>
      <c r="D4" s="14">
        <f>'Income Statement'!D9</f>
        <v/>
      </c>
      <c r="E4" s="14">
        <f>'Income Statement'!E9</f>
        <v/>
      </c>
      <c r="F4" s="14">
        <f>'Income Statement'!F9</f>
        <v/>
      </c>
      <c r="G4" s="14">
        <f>'Income Statement'!G9</f>
        <v/>
      </c>
      <c r="H4" s="14">
        <f>'Income Statement'!H9</f>
        <v/>
      </c>
      <c r="I4" s="14">
        <f>'Income Statement'!I9</f>
        <v/>
      </c>
    </row>
    <row r="5">
      <c r="A5" s="3" t="inlineStr">
        <is>
          <t>EBITDA</t>
        </is>
      </c>
      <c r="B5" s="14">
        <f>'Income Statement'!B16</f>
        <v/>
      </c>
      <c r="C5" s="14">
        <f>'Income Statement'!C16</f>
        <v/>
      </c>
      <c r="D5" s="14">
        <f>'Income Statement'!D16</f>
        <v/>
      </c>
      <c r="E5" s="14">
        <f>'Income Statement'!E16</f>
        <v/>
      </c>
      <c r="F5" s="14">
        <f>'Income Statement'!F16</f>
        <v/>
      </c>
      <c r="G5" s="14">
        <f>'Income Statement'!G16</f>
        <v/>
      </c>
      <c r="H5" s="14">
        <f>'Income Statement'!H16</f>
        <v/>
      </c>
      <c r="I5" s="14">
        <f>'Income Statement'!I16</f>
        <v/>
      </c>
    </row>
    <row r="6">
      <c r="A6" s="3" t="inlineStr">
        <is>
          <t>EBIT</t>
        </is>
      </c>
      <c r="B6" s="14">
        <f>'Income Statement'!B19</f>
        <v/>
      </c>
      <c r="C6" s="14">
        <f>'Income Statement'!C19</f>
        <v/>
      </c>
      <c r="D6" s="14">
        <f>'Income Statement'!D19</f>
        <v/>
      </c>
      <c r="E6" s="14">
        <f>'Income Statement'!E19</f>
        <v/>
      </c>
      <c r="F6" s="14">
        <f>'Income Statement'!F19</f>
        <v/>
      </c>
      <c r="G6" s="14">
        <f>'Income Statement'!G19</f>
        <v/>
      </c>
      <c r="H6" s="14">
        <f>'Income Statement'!H19</f>
        <v/>
      </c>
      <c r="I6" s="14">
        <f>'Income Statement'!I19</f>
        <v/>
      </c>
    </row>
    <row r="7">
      <c r="A7" s="3" t="inlineStr">
        <is>
          <t>PAT (total)</t>
        </is>
      </c>
      <c r="B7" s="14">
        <f>'Income Statement'!B23</f>
        <v/>
      </c>
      <c r="C7" s="14">
        <f>'Income Statement'!C23</f>
        <v/>
      </c>
      <c r="D7" s="14">
        <f>'Income Statement'!D23</f>
        <v/>
      </c>
      <c r="E7" s="14">
        <f>'Income Statement'!E23</f>
        <v/>
      </c>
      <c r="F7" s="14">
        <f>'Income Statement'!F23</f>
        <v/>
      </c>
      <c r="G7" s="14">
        <f>'Income Statement'!G23</f>
        <v/>
      </c>
      <c r="H7" s="14">
        <f>'Income Statement'!H23</f>
        <v/>
      </c>
      <c r="I7" s="14">
        <f>'Income Statement'!I23</f>
        <v/>
      </c>
    </row>
    <row r="8">
      <c r="A8" s="3" t="inlineStr">
        <is>
          <t>PAT attributable</t>
        </is>
      </c>
      <c r="B8" s="14">
        <f>'Income Statement'!B25</f>
        <v/>
      </c>
      <c r="C8" s="14">
        <f>'Income Statement'!C25</f>
        <v/>
      </c>
      <c r="D8" s="14">
        <f>'Income Statement'!D25</f>
        <v/>
      </c>
      <c r="E8" s="14">
        <f>'Income Statement'!E25</f>
        <v/>
      </c>
      <c r="F8" s="14">
        <f>'Income Statement'!F25</f>
        <v/>
      </c>
      <c r="G8" s="14">
        <f>'Income Statement'!G25</f>
        <v/>
      </c>
      <c r="H8" s="14">
        <f>'Income Statement'!H25</f>
        <v/>
      </c>
      <c r="I8" s="14">
        <f>'Income Statement'!I25</f>
        <v/>
      </c>
    </row>
    <row r="9">
      <c r="A9" s="3" t="inlineStr">
        <is>
          <t>Total assets</t>
        </is>
      </c>
      <c r="B9" s="14">
        <f>'Balance Sheet'!B10</f>
        <v/>
      </c>
      <c r="C9" s="14">
        <f>'Balance Sheet'!C10</f>
        <v/>
      </c>
      <c r="D9" s="14">
        <f>'Balance Sheet'!D10</f>
        <v/>
      </c>
      <c r="E9" s="14">
        <f>'Balance Sheet'!E10</f>
        <v/>
      </c>
      <c r="F9" s="14">
        <f>'Balance Sheet'!F10</f>
        <v/>
      </c>
      <c r="G9" s="14">
        <f>'Balance Sheet'!G10</f>
        <v/>
      </c>
      <c r="H9" s="14">
        <f>'Balance Sheet'!H10</f>
        <v/>
      </c>
      <c r="I9" s="14">
        <f>'Balance Sheet'!I10</f>
        <v/>
      </c>
    </row>
    <row r="10">
      <c r="A10" s="3" t="inlineStr">
        <is>
          <t>Equity</t>
        </is>
      </c>
      <c r="B10" s="14">
        <f>'Balance Sheet'!B12</f>
        <v/>
      </c>
      <c r="C10" s="14">
        <f>'Balance Sheet'!C12</f>
        <v/>
      </c>
      <c r="D10" s="14">
        <f>'Balance Sheet'!D12</f>
        <v/>
      </c>
      <c r="E10" s="14">
        <f>'Balance Sheet'!E12</f>
        <v/>
      </c>
      <c r="F10" s="14">
        <f>'Balance Sheet'!F12</f>
        <v/>
      </c>
      <c r="G10" s="14">
        <f>'Balance Sheet'!G12</f>
        <v/>
      </c>
      <c r="H10" s="14">
        <f>'Balance Sheet'!H12</f>
        <v/>
      </c>
      <c r="I10" s="14">
        <f>'Balance Sheet'!I12</f>
        <v/>
      </c>
    </row>
    <row r="11">
      <c r="A11" s="3" t="inlineStr">
        <is>
          <t>Net debt</t>
        </is>
      </c>
      <c r="B11" s="14">
        <f>'Balance Sheet'!B20</f>
        <v/>
      </c>
      <c r="C11" s="14">
        <f>'Balance Sheet'!C20</f>
        <v/>
      </c>
      <c r="D11" s="14">
        <f>'Balance Sheet'!D20</f>
        <v/>
      </c>
      <c r="E11" s="14">
        <f>'Balance Sheet'!E20</f>
        <v/>
      </c>
      <c r="F11" s="14">
        <f>'Balance Sheet'!F20</f>
        <v/>
      </c>
      <c r="G11" s="14">
        <f>'Balance Sheet'!G20</f>
        <v/>
      </c>
      <c r="H11" s="14">
        <f>'Balance Sheet'!H20</f>
        <v/>
      </c>
      <c r="I11" s="14">
        <f>'Balance Sheet'!I20</f>
        <v/>
      </c>
    </row>
    <row r="12">
      <c r="A12" s="3" t="inlineStr">
        <is>
          <t>Free cash flow</t>
        </is>
      </c>
      <c r="E12" s="14">
        <f>'Cash Flow'!E9</f>
        <v/>
      </c>
      <c r="F12" s="14">
        <f>'Cash Flow'!F9</f>
        <v/>
      </c>
      <c r="G12" s="14">
        <f>'Cash Flow'!G9</f>
        <v/>
      </c>
      <c r="H12" s="14">
        <f>'Cash Flow'!H9</f>
        <v/>
      </c>
      <c r="I12" s="14">
        <f>'Cash Flow'!I9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Monte Carlo — engine outputs</t>
        </is>
      </c>
    </row>
    <row r="2">
      <c r="A2" s="2" t="inlineStr">
        <is>
          <t>50,000 paths · 16 factors · seed 42 · YZ-HAR width, Student-t(5), zero secular drift (values, not a sheet simulation).</t>
        </is>
      </c>
    </row>
    <row r="3">
      <c r="A3" s="4" t="inlineStr">
        <is>
          <t>Percentile map (Rs/share)</t>
        </is>
      </c>
    </row>
    <row r="4">
      <c r="A4" s="20" t="inlineStr">
        <is>
          <t>Horizon</t>
        </is>
      </c>
      <c r="B4" s="10" t="inlineStr">
        <is>
          <t>p5</t>
        </is>
      </c>
      <c r="C4" s="10" t="inlineStr">
        <is>
          <t>p25</t>
        </is>
      </c>
      <c r="D4" s="10" t="inlineStr">
        <is>
          <t>p50</t>
        </is>
      </c>
      <c r="E4" s="10" t="inlineStr">
        <is>
          <t>p75</t>
        </is>
      </c>
      <c r="F4" s="10" t="inlineStr">
        <is>
          <t>p95</t>
        </is>
      </c>
    </row>
    <row r="5">
      <c r="A5" s="3" t="inlineStr">
        <is>
          <t>T+20 sessions</t>
        </is>
      </c>
      <c r="B5" s="21" t="n">
        <v>1160</v>
      </c>
      <c r="C5" s="21" t="n">
        <v>1266</v>
      </c>
      <c r="D5" s="21" t="n">
        <v>1331</v>
      </c>
      <c r="E5" s="21" t="n">
        <v>1400</v>
      </c>
      <c r="F5" s="21" t="n">
        <v>1526</v>
      </c>
    </row>
    <row r="6">
      <c r="A6" s="3" t="inlineStr">
        <is>
          <t>T+60 sessions</t>
        </is>
      </c>
      <c r="B6" s="21" t="n">
        <v>1067</v>
      </c>
      <c r="C6" s="21" t="n">
        <v>1235</v>
      </c>
      <c r="D6" s="21" t="n">
        <v>1351</v>
      </c>
      <c r="E6" s="21" t="n">
        <v>1478</v>
      </c>
      <c r="F6" s="21" t="n">
        <v>1707</v>
      </c>
    </row>
    <row r="8">
      <c r="A8" s="3" t="inlineStr">
        <is>
          <t>Inputs (from Assumptions): σ</t>
        </is>
      </c>
      <c r="D8" s="17">
        <f>Assumptions!$B$49</f>
        <v/>
      </c>
    </row>
    <row r="9">
      <c r="A9" s="3" t="inlineStr">
        <is>
          <t>net 3-month drift</t>
        </is>
      </c>
      <c r="D9" s="17">
        <f>Assumptions!$B$50</f>
        <v/>
      </c>
    </row>
    <row r="11">
      <c r="A11" s="4" t="inlineStr">
        <is>
          <t>Level-touch ladder</t>
        </is>
      </c>
    </row>
    <row r="12">
      <c r="A12" s="20" t="inlineStr">
        <is>
          <t>Level</t>
        </is>
      </c>
      <c r="B12" s="20" t="inlineStr">
        <is>
          <t>T+20</t>
        </is>
      </c>
      <c r="C12" s="20" t="inlineStr">
        <is>
          <t>T+60</t>
        </is>
      </c>
    </row>
    <row r="13">
      <c r="A13" s="21" t="n">
        <v>1550</v>
      </c>
      <c r="B13" s="13" t="n">
        <v>0.05542</v>
      </c>
      <c r="C13" s="13" t="n">
        <v>0.25138</v>
      </c>
    </row>
    <row r="14">
      <c r="A14" s="21" t="n">
        <v>1500</v>
      </c>
      <c r="B14" s="13" t="n">
        <v>0.10888</v>
      </c>
      <c r="C14" s="13" t="n">
        <v>0.35574</v>
      </c>
    </row>
    <row r="15">
      <c r="A15" s="21" t="n">
        <v>1450</v>
      </c>
      <c r="B15" s="13" t="n">
        <v>0.2094</v>
      </c>
      <c r="C15" s="13" t="n">
        <v>0.48842</v>
      </c>
    </row>
    <row r="16">
      <c r="A16" s="21" t="n">
        <v>1400</v>
      </c>
      <c r="B16" s="13" t="n">
        <v>0.39148</v>
      </c>
      <c r="C16" s="13" t="n">
        <v>0.65036</v>
      </c>
    </row>
    <row r="17">
      <c r="A17" s="21" t="n">
        <v>1350</v>
      </c>
      <c r="B17" s="13" t="n">
        <v>0.68206</v>
      </c>
      <c r="C17" s="13" t="n">
        <v>0.83284</v>
      </c>
    </row>
    <row r="18">
      <c r="A18" s="21" t="n">
        <v>1300</v>
      </c>
      <c r="B18" s="13" t="n">
        <v>0.68004</v>
      </c>
      <c r="C18" s="13" t="n">
        <v>0.79636</v>
      </c>
    </row>
    <row r="19">
      <c r="A19" s="21" t="n">
        <v>1250</v>
      </c>
      <c r="B19" s="13" t="n">
        <v>0.33888</v>
      </c>
      <c r="C19" s="13" t="n">
        <v>0.54914</v>
      </c>
    </row>
    <row r="20">
      <c r="A20" s="21" t="n">
        <v>1200</v>
      </c>
      <c r="B20" s="13" t="n">
        <v>0.1536</v>
      </c>
      <c r="C20" s="13" t="n">
        <v>0.36272</v>
      </c>
    </row>
    <row r="21">
      <c r="A21" s="21" t="n">
        <v>1150</v>
      </c>
      <c r="B21" s="13" t="n">
        <v>0.0653</v>
      </c>
      <c r="C21" s="13" t="n">
        <v>0.22714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SOTP sensitivity — the Jio-value swing</t>
        </is>
      </c>
    </row>
    <row r="2">
      <c r="A2" s="2" t="inlineStr">
        <is>
          <t>Fair value (Rs/share, post-discount) by Jio EV/EBITDA × holdco discount. Live off Assumptions.</t>
        </is>
      </c>
    </row>
    <row r="4">
      <c r="A4" s="4" t="inlineStr">
        <is>
          <t>Jio mult \ disc</t>
        </is>
      </c>
      <c r="B4" s="8" t="n">
        <v>0</v>
      </c>
      <c r="C4" s="8" t="n">
        <v>0.025</v>
      </c>
      <c r="D4" s="8" t="n">
        <v>0.05</v>
      </c>
      <c r="E4" s="8" t="n">
        <v>0.075</v>
      </c>
      <c r="F4" s="8" t="n">
        <v>0.1</v>
      </c>
      <c r="G4" s="8" t="n">
        <v>0.125</v>
      </c>
    </row>
    <row r="5">
      <c r="A5" s="9" t="n">
        <v>11</v>
      </c>
      <c r="B5" s="21">
        <f>(($A5*Assumptions!$B$13+Assumptions!$B$17*Assumptions!$B$18+Assumptions!$B$21*Assumptions!$B$22+Assumptions!$B$23*Assumptions!$B$24+Assumptions!$B$25*Assumptions!$B$26+Assumptions!$B$28-Assumptions!$B$7)-(($A5*Assumptions!$B$13-Assumptions!$B$15)*(1-Assumptions!$B$16)+(Assumptions!$B$17*Assumptions!$B$18-Assumptions!$B$19)*(1-Assumptions!$B$20)+(Assumptions!$B$25*Assumptions!$B$26)*(1-Assumptions!$B$27)))*(1-B$4)/Assumptions!$B$5</f>
        <v/>
      </c>
      <c r="C5" s="21">
        <f>(($A5*Assumptions!$B$13+Assumptions!$B$17*Assumptions!$B$18+Assumptions!$B$21*Assumptions!$B$22+Assumptions!$B$23*Assumptions!$B$24+Assumptions!$B$25*Assumptions!$B$26+Assumptions!$B$28-Assumptions!$B$7)-(($A5*Assumptions!$B$13-Assumptions!$B$15)*(1-Assumptions!$B$16)+(Assumptions!$B$17*Assumptions!$B$18-Assumptions!$B$19)*(1-Assumptions!$B$20)+(Assumptions!$B$25*Assumptions!$B$26)*(1-Assumptions!$B$27)))*(1-C$4)/Assumptions!$B$5</f>
        <v/>
      </c>
      <c r="D5" s="21">
        <f>(($A5*Assumptions!$B$13+Assumptions!$B$17*Assumptions!$B$18+Assumptions!$B$21*Assumptions!$B$22+Assumptions!$B$23*Assumptions!$B$24+Assumptions!$B$25*Assumptions!$B$26+Assumptions!$B$28-Assumptions!$B$7)-(($A5*Assumptions!$B$13-Assumptions!$B$15)*(1-Assumptions!$B$16)+(Assumptions!$B$17*Assumptions!$B$18-Assumptions!$B$19)*(1-Assumptions!$B$20)+(Assumptions!$B$25*Assumptions!$B$26)*(1-Assumptions!$B$27)))*(1-D$4)/Assumptions!$B$5</f>
        <v/>
      </c>
      <c r="E5" s="21">
        <f>(($A5*Assumptions!$B$13+Assumptions!$B$17*Assumptions!$B$18+Assumptions!$B$21*Assumptions!$B$22+Assumptions!$B$23*Assumptions!$B$24+Assumptions!$B$25*Assumptions!$B$26+Assumptions!$B$28-Assumptions!$B$7)-(($A5*Assumptions!$B$13-Assumptions!$B$15)*(1-Assumptions!$B$16)+(Assumptions!$B$17*Assumptions!$B$18-Assumptions!$B$19)*(1-Assumptions!$B$20)+(Assumptions!$B$25*Assumptions!$B$26)*(1-Assumptions!$B$27)))*(1-E$4)/Assumptions!$B$5</f>
        <v/>
      </c>
      <c r="F5" s="21">
        <f>(($A5*Assumptions!$B$13+Assumptions!$B$17*Assumptions!$B$18+Assumptions!$B$21*Assumptions!$B$22+Assumptions!$B$23*Assumptions!$B$24+Assumptions!$B$25*Assumptions!$B$26+Assumptions!$B$28-Assumptions!$B$7)-(($A5*Assumptions!$B$13-Assumptions!$B$15)*(1-Assumptions!$B$16)+(Assumptions!$B$17*Assumptions!$B$18-Assumptions!$B$19)*(1-Assumptions!$B$20)+(Assumptions!$B$25*Assumptions!$B$26)*(1-Assumptions!$B$27)))*(1-F$4)/Assumptions!$B$5</f>
        <v/>
      </c>
      <c r="G5" s="21">
        <f>(($A5*Assumptions!$B$13+Assumptions!$B$17*Assumptions!$B$18+Assumptions!$B$21*Assumptions!$B$22+Assumptions!$B$23*Assumptions!$B$24+Assumptions!$B$25*Assumptions!$B$26+Assumptions!$B$28-Assumptions!$B$7)-(($A5*Assumptions!$B$13-Assumptions!$B$15)*(1-Assumptions!$B$16)+(Assumptions!$B$17*Assumptions!$B$18-Assumptions!$B$19)*(1-Assumptions!$B$20)+(Assumptions!$B$25*Assumptions!$B$26)*(1-Assumptions!$B$27)))*(1-G$4)/Assumptions!$B$5</f>
        <v/>
      </c>
    </row>
    <row r="6">
      <c r="A6" s="9" t="n">
        <v>12</v>
      </c>
      <c r="B6" s="21">
        <f>(($A6*Assumptions!$B$13+Assumptions!$B$17*Assumptions!$B$18+Assumptions!$B$21*Assumptions!$B$22+Assumptions!$B$23*Assumptions!$B$24+Assumptions!$B$25*Assumptions!$B$26+Assumptions!$B$28-Assumptions!$B$7)-(($A6*Assumptions!$B$13-Assumptions!$B$15)*(1-Assumptions!$B$16)+(Assumptions!$B$17*Assumptions!$B$18-Assumptions!$B$19)*(1-Assumptions!$B$20)+(Assumptions!$B$25*Assumptions!$B$26)*(1-Assumptions!$B$27)))*(1-B$4)/Assumptions!$B$5</f>
        <v/>
      </c>
      <c r="C6" s="21">
        <f>(($A6*Assumptions!$B$13+Assumptions!$B$17*Assumptions!$B$18+Assumptions!$B$21*Assumptions!$B$22+Assumptions!$B$23*Assumptions!$B$24+Assumptions!$B$25*Assumptions!$B$26+Assumptions!$B$28-Assumptions!$B$7)-(($A6*Assumptions!$B$13-Assumptions!$B$15)*(1-Assumptions!$B$16)+(Assumptions!$B$17*Assumptions!$B$18-Assumptions!$B$19)*(1-Assumptions!$B$20)+(Assumptions!$B$25*Assumptions!$B$26)*(1-Assumptions!$B$27)))*(1-C$4)/Assumptions!$B$5</f>
        <v/>
      </c>
      <c r="D6" s="21">
        <f>(($A6*Assumptions!$B$13+Assumptions!$B$17*Assumptions!$B$18+Assumptions!$B$21*Assumptions!$B$22+Assumptions!$B$23*Assumptions!$B$24+Assumptions!$B$25*Assumptions!$B$26+Assumptions!$B$28-Assumptions!$B$7)-(($A6*Assumptions!$B$13-Assumptions!$B$15)*(1-Assumptions!$B$16)+(Assumptions!$B$17*Assumptions!$B$18-Assumptions!$B$19)*(1-Assumptions!$B$20)+(Assumptions!$B$25*Assumptions!$B$26)*(1-Assumptions!$B$27)))*(1-D$4)/Assumptions!$B$5</f>
        <v/>
      </c>
      <c r="E6" s="21">
        <f>(($A6*Assumptions!$B$13+Assumptions!$B$17*Assumptions!$B$18+Assumptions!$B$21*Assumptions!$B$22+Assumptions!$B$23*Assumptions!$B$24+Assumptions!$B$25*Assumptions!$B$26+Assumptions!$B$28-Assumptions!$B$7)-(($A6*Assumptions!$B$13-Assumptions!$B$15)*(1-Assumptions!$B$16)+(Assumptions!$B$17*Assumptions!$B$18-Assumptions!$B$19)*(1-Assumptions!$B$20)+(Assumptions!$B$25*Assumptions!$B$26)*(1-Assumptions!$B$27)))*(1-E$4)/Assumptions!$B$5</f>
        <v/>
      </c>
      <c r="F6" s="21">
        <f>(($A6*Assumptions!$B$13+Assumptions!$B$17*Assumptions!$B$18+Assumptions!$B$21*Assumptions!$B$22+Assumptions!$B$23*Assumptions!$B$24+Assumptions!$B$25*Assumptions!$B$26+Assumptions!$B$28-Assumptions!$B$7)-(($A6*Assumptions!$B$13-Assumptions!$B$15)*(1-Assumptions!$B$16)+(Assumptions!$B$17*Assumptions!$B$18-Assumptions!$B$19)*(1-Assumptions!$B$20)+(Assumptions!$B$25*Assumptions!$B$26)*(1-Assumptions!$B$27)))*(1-F$4)/Assumptions!$B$5</f>
        <v/>
      </c>
      <c r="G6" s="21">
        <f>(($A6*Assumptions!$B$13+Assumptions!$B$17*Assumptions!$B$18+Assumptions!$B$21*Assumptions!$B$22+Assumptions!$B$23*Assumptions!$B$24+Assumptions!$B$25*Assumptions!$B$26+Assumptions!$B$28-Assumptions!$B$7)-(($A6*Assumptions!$B$13-Assumptions!$B$15)*(1-Assumptions!$B$16)+(Assumptions!$B$17*Assumptions!$B$18-Assumptions!$B$19)*(1-Assumptions!$B$20)+(Assumptions!$B$25*Assumptions!$B$26)*(1-Assumptions!$B$27)))*(1-G$4)/Assumptions!$B$5</f>
        <v/>
      </c>
    </row>
    <row r="7">
      <c r="A7" s="9" t="n">
        <v>13</v>
      </c>
      <c r="B7" s="21">
        <f>(($A7*Assumptions!$B$13+Assumptions!$B$17*Assumptions!$B$18+Assumptions!$B$21*Assumptions!$B$22+Assumptions!$B$23*Assumptions!$B$24+Assumptions!$B$25*Assumptions!$B$26+Assumptions!$B$28-Assumptions!$B$7)-(($A7*Assumptions!$B$13-Assumptions!$B$15)*(1-Assumptions!$B$16)+(Assumptions!$B$17*Assumptions!$B$18-Assumptions!$B$19)*(1-Assumptions!$B$20)+(Assumptions!$B$25*Assumptions!$B$26)*(1-Assumptions!$B$27)))*(1-B$4)/Assumptions!$B$5</f>
        <v/>
      </c>
      <c r="C7" s="21">
        <f>(($A7*Assumptions!$B$13+Assumptions!$B$17*Assumptions!$B$18+Assumptions!$B$21*Assumptions!$B$22+Assumptions!$B$23*Assumptions!$B$24+Assumptions!$B$25*Assumptions!$B$26+Assumptions!$B$28-Assumptions!$B$7)-(($A7*Assumptions!$B$13-Assumptions!$B$15)*(1-Assumptions!$B$16)+(Assumptions!$B$17*Assumptions!$B$18-Assumptions!$B$19)*(1-Assumptions!$B$20)+(Assumptions!$B$25*Assumptions!$B$26)*(1-Assumptions!$B$27)))*(1-C$4)/Assumptions!$B$5</f>
        <v/>
      </c>
      <c r="D7" s="21">
        <f>(($A7*Assumptions!$B$13+Assumptions!$B$17*Assumptions!$B$18+Assumptions!$B$21*Assumptions!$B$22+Assumptions!$B$23*Assumptions!$B$24+Assumptions!$B$25*Assumptions!$B$26+Assumptions!$B$28-Assumptions!$B$7)-(($A7*Assumptions!$B$13-Assumptions!$B$15)*(1-Assumptions!$B$16)+(Assumptions!$B$17*Assumptions!$B$18-Assumptions!$B$19)*(1-Assumptions!$B$20)+(Assumptions!$B$25*Assumptions!$B$26)*(1-Assumptions!$B$27)))*(1-D$4)/Assumptions!$B$5</f>
        <v/>
      </c>
      <c r="E7" s="21">
        <f>(($A7*Assumptions!$B$13+Assumptions!$B$17*Assumptions!$B$18+Assumptions!$B$21*Assumptions!$B$22+Assumptions!$B$23*Assumptions!$B$24+Assumptions!$B$25*Assumptions!$B$26+Assumptions!$B$28-Assumptions!$B$7)-(($A7*Assumptions!$B$13-Assumptions!$B$15)*(1-Assumptions!$B$16)+(Assumptions!$B$17*Assumptions!$B$18-Assumptions!$B$19)*(1-Assumptions!$B$20)+(Assumptions!$B$25*Assumptions!$B$26)*(1-Assumptions!$B$27)))*(1-E$4)/Assumptions!$B$5</f>
        <v/>
      </c>
      <c r="F7" s="21">
        <f>(($A7*Assumptions!$B$13+Assumptions!$B$17*Assumptions!$B$18+Assumptions!$B$21*Assumptions!$B$22+Assumptions!$B$23*Assumptions!$B$24+Assumptions!$B$25*Assumptions!$B$26+Assumptions!$B$28-Assumptions!$B$7)-(($A7*Assumptions!$B$13-Assumptions!$B$15)*(1-Assumptions!$B$16)+(Assumptions!$B$17*Assumptions!$B$18-Assumptions!$B$19)*(1-Assumptions!$B$20)+(Assumptions!$B$25*Assumptions!$B$26)*(1-Assumptions!$B$27)))*(1-F$4)/Assumptions!$B$5</f>
        <v/>
      </c>
      <c r="G7" s="21">
        <f>(($A7*Assumptions!$B$13+Assumptions!$B$17*Assumptions!$B$18+Assumptions!$B$21*Assumptions!$B$22+Assumptions!$B$23*Assumptions!$B$24+Assumptions!$B$25*Assumptions!$B$26+Assumptions!$B$28-Assumptions!$B$7)-(($A7*Assumptions!$B$13-Assumptions!$B$15)*(1-Assumptions!$B$16)+(Assumptions!$B$17*Assumptions!$B$18-Assumptions!$B$19)*(1-Assumptions!$B$20)+(Assumptions!$B$25*Assumptions!$B$26)*(1-Assumptions!$B$27)))*(1-G$4)/Assumptions!$B$5</f>
        <v/>
      </c>
    </row>
    <row r="8">
      <c r="A8" s="9" t="n">
        <v>14</v>
      </c>
      <c r="B8" s="21">
        <f>(($A8*Assumptions!$B$13+Assumptions!$B$17*Assumptions!$B$18+Assumptions!$B$21*Assumptions!$B$22+Assumptions!$B$23*Assumptions!$B$24+Assumptions!$B$25*Assumptions!$B$26+Assumptions!$B$28-Assumptions!$B$7)-(($A8*Assumptions!$B$13-Assumptions!$B$15)*(1-Assumptions!$B$16)+(Assumptions!$B$17*Assumptions!$B$18-Assumptions!$B$19)*(1-Assumptions!$B$20)+(Assumptions!$B$25*Assumptions!$B$26)*(1-Assumptions!$B$27)))*(1-B$4)/Assumptions!$B$5</f>
        <v/>
      </c>
      <c r="C8" s="21">
        <f>(($A8*Assumptions!$B$13+Assumptions!$B$17*Assumptions!$B$18+Assumptions!$B$21*Assumptions!$B$22+Assumptions!$B$23*Assumptions!$B$24+Assumptions!$B$25*Assumptions!$B$26+Assumptions!$B$28-Assumptions!$B$7)-(($A8*Assumptions!$B$13-Assumptions!$B$15)*(1-Assumptions!$B$16)+(Assumptions!$B$17*Assumptions!$B$18-Assumptions!$B$19)*(1-Assumptions!$B$20)+(Assumptions!$B$25*Assumptions!$B$26)*(1-Assumptions!$B$27)))*(1-C$4)/Assumptions!$B$5</f>
        <v/>
      </c>
      <c r="D8" s="21">
        <f>(($A8*Assumptions!$B$13+Assumptions!$B$17*Assumptions!$B$18+Assumptions!$B$21*Assumptions!$B$22+Assumptions!$B$23*Assumptions!$B$24+Assumptions!$B$25*Assumptions!$B$26+Assumptions!$B$28-Assumptions!$B$7)-(($A8*Assumptions!$B$13-Assumptions!$B$15)*(1-Assumptions!$B$16)+(Assumptions!$B$17*Assumptions!$B$18-Assumptions!$B$19)*(1-Assumptions!$B$20)+(Assumptions!$B$25*Assumptions!$B$26)*(1-Assumptions!$B$27)))*(1-D$4)/Assumptions!$B$5</f>
        <v/>
      </c>
      <c r="E8" s="21">
        <f>(($A8*Assumptions!$B$13+Assumptions!$B$17*Assumptions!$B$18+Assumptions!$B$21*Assumptions!$B$22+Assumptions!$B$23*Assumptions!$B$24+Assumptions!$B$25*Assumptions!$B$26+Assumptions!$B$28-Assumptions!$B$7)-(($A8*Assumptions!$B$13-Assumptions!$B$15)*(1-Assumptions!$B$16)+(Assumptions!$B$17*Assumptions!$B$18-Assumptions!$B$19)*(1-Assumptions!$B$20)+(Assumptions!$B$25*Assumptions!$B$26)*(1-Assumptions!$B$27)))*(1-E$4)/Assumptions!$B$5</f>
        <v/>
      </c>
      <c r="F8" s="21">
        <f>(($A8*Assumptions!$B$13+Assumptions!$B$17*Assumptions!$B$18+Assumptions!$B$21*Assumptions!$B$22+Assumptions!$B$23*Assumptions!$B$24+Assumptions!$B$25*Assumptions!$B$26+Assumptions!$B$28-Assumptions!$B$7)-(($A8*Assumptions!$B$13-Assumptions!$B$15)*(1-Assumptions!$B$16)+(Assumptions!$B$17*Assumptions!$B$18-Assumptions!$B$19)*(1-Assumptions!$B$20)+(Assumptions!$B$25*Assumptions!$B$26)*(1-Assumptions!$B$27)))*(1-F$4)/Assumptions!$B$5</f>
        <v/>
      </c>
      <c r="G8" s="21">
        <f>(($A8*Assumptions!$B$13+Assumptions!$B$17*Assumptions!$B$18+Assumptions!$B$21*Assumptions!$B$22+Assumptions!$B$23*Assumptions!$B$24+Assumptions!$B$25*Assumptions!$B$26+Assumptions!$B$28-Assumptions!$B$7)-(($A8*Assumptions!$B$13-Assumptions!$B$15)*(1-Assumptions!$B$16)+(Assumptions!$B$17*Assumptions!$B$18-Assumptions!$B$19)*(1-Assumptions!$B$20)+(Assumptions!$B$25*Assumptions!$B$26)*(1-Assumptions!$B$27)))*(1-G$4)/Assumptions!$B$5</f>
        <v/>
      </c>
    </row>
    <row r="9">
      <c r="A9" s="9" t="n">
        <v>15</v>
      </c>
      <c r="B9" s="21">
        <f>(($A9*Assumptions!$B$13+Assumptions!$B$17*Assumptions!$B$18+Assumptions!$B$21*Assumptions!$B$22+Assumptions!$B$23*Assumptions!$B$24+Assumptions!$B$25*Assumptions!$B$26+Assumptions!$B$28-Assumptions!$B$7)-(($A9*Assumptions!$B$13-Assumptions!$B$15)*(1-Assumptions!$B$16)+(Assumptions!$B$17*Assumptions!$B$18-Assumptions!$B$19)*(1-Assumptions!$B$20)+(Assumptions!$B$25*Assumptions!$B$26)*(1-Assumptions!$B$27)))*(1-B$4)/Assumptions!$B$5</f>
        <v/>
      </c>
      <c r="C9" s="21">
        <f>(($A9*Assumptions!$B$13+Assumptions!$B$17*Assumptions!$B$18+Assumptions!$B$21*Assumptions!$B$22+Assumptions!$B$23*Assumptions!$B$24+Assumptions!$B$25*Assumptions!$B$26+Assumptions!$B$28-Assumptions!$B$7)-(($A9*Assumptions!$B$13-Assumptions!$B$15)*(1-Assumptions!$B$16)+(Assumptions!$B$17*Assumptions!$B$18-Assumptions!$B$19)*(1-Assumptions!$B$20)+(Assumptions!$B$25*Assumptions!$B$26)*(1-Assumptions!$B$27)))*(1-C$4)/Assumptions!$B$5</f>
        <v/>
      </c>
      <c r="D9" s="21">
        <f>(($A9*Assumptions!$B$13+Assumptions!$B$17*Assumptions!$B$18+Assumptions!$B$21*Assumptions!$B$22+Assumptions!$B$23*Assumptions!$B$24+Assumptions!$B$25*Assumptions!$B$26+Assumptions!$B$28-Assumptions!$B$7)-(($A9*Assumptions!$B$13-Assumptions!$B$15)*(1-Assumptions!$B$16)+(Assumptions!$B$17*Assumptions!$B$18-Assumptions!$B$19)*(1-Assumptions!$B$20)+(Assumptions!$B$25*Assumptions!$B$26)*(1-Assumptions!$B$27)))*(1-D$4)/Assumptions!$B$5</f>
        <v/>
      </c>
      <c r="E9" s="21">
        <f>(($A9*Assumptions!$B$13+Assumptions!$B$17*Assumptions!$B$18+Assumptions!$B$21*Assumptions!$B$22+Assumptions!$B$23*Assumptions!$B$24+Assumptions!$B$25*Assumptions!$B$26+Assumptions!$B$28-Assumptions!$B$7)-(($A9*Assumptions!$B$13-Assumptions!$B$15)*(1-Assumptions!$B$16)+(Assumptions!$B$17*Assumptions!$B$18-Assumptions!$B$19)*(1-Assumptions!$B$20)+(Assumptions!$B$25*Assumptions!$B$26)*(1-Assumptions!$B$27)))*(1-E$4)/Assumptions!$B$5</f>
        <v/>
      </c>
      <c r="F9" s="21">
        <f>(($A9*Assumptions!$B$13+Assumptions!$B$17*Assumptions!$B$18+Assumptions!$B$21*Assumptions!$B$22+Assumptions!$B$23*Assumptions!$B$24+Assumptions!$B$25*Assumptions!$B$26+Assumptions!$B$28-Assumptions!$B$7)-(($A9*Assumptions!$B$13-Assumptions!$B$15)*(1-Assumptions!$B$16)+(Assumptions!$B$17*Assumptions!$B$18-Assumptions!$B$19)*(1-Assumptions!$B$20)+(Assumptions!$B$25*Assumptions!$B$26)*(1-Assumptions!$B$27)))*(1-F$4)/Assumptions!$B$5</f>
        <v/>
      </c>
      <c r="G9" s="21">
        <f>(($A9*Assumptions!$B$13+Assumptions!$B$17*Assumptions!$B$18+Assumptions!$B$21*Assumptions!$B$22+Assumptions!$B$23*Assumptions!$B$24+Assumptions!$B$25*Assumptions!$B$26+Assumptions!$B$28-Assumptions!$B$7)-(($A9*Assumptions!$B$13-Assumptions!$B$15)*(1-Assumptions!$B$16)+(Assumptions!$B$17*Assumptions!$B$18-Assumptions!$B$19)*(1-Assumptions!$B$20)+(Assumptions!$B$25*Assumptions!$B$26)*(1-Assumptions!$B$27)))*(1-G$4)/Assumptions!$B$5</f>
        <v/>
      </c>
    </row>
    <row r="10">
      <c r="A10" s="9" t="n">
        <v>16</v>
      </c>
      <c r="B10" s="21">
        <f>(($A10*Assumptions!$B$13+Assumptions!$B$17*Assumptions!$B$18+Assumptions!$B$21*Assumptions!$B$22+Assumptions!$B$23*Assumptions!$B$24+Assumptions!$B$25*Assumptions!$B$26+Assumptions!$B$28-Assumptions!$B$7)-(($A10*Assumptions!$B$13-Assumptions!$B$15)*(1-Assumptions!$B$16)+(Assumptions!$B$17*Assumptions!$B$18-Assumptions!$B$19)*(1-Assumptions!$B$20)+(Assumptions!$B$25*Assumptions!$B$26)*(1-Assumptions!$B$27)))*(1-B$4)/Assumptions!$B$5</f>
        <v/>
      </c>
      <c r="C10" s="21">
        <f>(($A10*Assumptions!$B$13+Assumptions!$B$17*Assumptions!$B$18+Assumptions!$B$21*Assumptions!$B$22+Assumptions!$B$23*Assumptions!$B$24+Assumptions!$B$25*Assumptions!$B$26+Assumptions!$B$28-Assumptions!$B$7)-(($A10*Assumptions!$B$13-Assumptions!$B$15)*(1-Assumptions!$B$16)+(Assumptions!$B$17*Assumptions!$B$18-Assumptions!$B$19)*(1-Assumptions!$B$20)+(Assumptions!$B$25*Assumptions!$B$26)*(1-Assumptions!$B$27)))*(1-C$4)/Assumptions!$B$5</f>
        <v/>
      </c>
      <c r="D10" s="21">
        <f>(($A10*Assumptions!$B$13+Assumptions!$B$17*Assumptions!$B$18+Assumptions!$B$21*Assumptions!$B$22+Assumptions!$B$23*Assumptions!$B$24+Assumptions!$B$25*Assumptions!$B$26+Assumptions!$B$28-Assumptions!$B$7)-(($A10*Assumptions!$B$13-Assumptions!$B$15)*(1-Assumptions!$B$16)+(Assumptions!$B$17*Assumptions!$B$18-Assumptions!$B$19)*(1-Assumptions!$B$20)+(Assumptions!$B$25*Assumptions!$B$26)*(1-Assumptions!$B$27)))*(1-D$4)/Assumptions!$B$5</f>
        <v/>
      </c>
      <c r="E10" s="21">
        <f>(($A10*Assumptions!$B$13+Assumptions!$B$17*Assumptions!$B$18+Assumptions!$B$21*Assumptions!$B$22+Assumptions!$B$23*Assumptions!$B$24+Assumptions!$B$25*Assumptions!$B$26+Assumptions!$B$28-Assumptions!$B$7)-(($A10*Assumptions!$B$13-Assumptions!$B$15)*(1-Assumptions!$B$16)+(Assumptions!$B$17*Assumptions!$B$18-Assumptions!$B$19)*(1-Assumptions!$B$20)+(Assumptions!$B$25*Assumptions!$B$26)*(1-Assumptions!$B$27)))*(1-E$4)/Assumptions!$B$5</f>
        <v/>
      </c>
      <c r="F10" s="21">
        <f>(($A10*Assumptions!$B$13+Assumptions!$B$17*Assumptions!$B$18+Assumptions!$B$21*Assumptions!$B$22+Assumptions!$B$23*Assumptions!$B$24+Assumptions!$B$25*Assumptions!$B$26+Assumptions!$B$28-Assumptions!$B$7)-(($A10*Assumptions!$B$13-Assumptions!$B$15)*(1-Assumptions!$B$16)+(Assumptions!$B$17*Assumptions!$B$18-Assumptions!$B$19)*(1-Assumptions!$B$20)+(Assumptions!$B$25*Assumptions!$B$26)*(1-Assumptions!$B$27)))*(1-F$4)/Assumptions!$B$5</f>
        <v/>
      </c>
      <c r="G10" s="21">
        <f>(($A10*Assumptions!$B$13+Assumptions!$B$17*Assumptions!$B$18+Assumptions!$B$21*Assumptions!$B$22+Assumptions!$B$23*Assumptions!$B$24+Assumptions!$B$25*Assumptions!$B$26+Assumptions!$B$28-Assumptions!$B$7)-(($A10*Assumptions!$B$13-Assumptions!$B$15)*(1-Assumptions!$B$16)+(Assumptions!$B$17*Assumptions!$B$18-Assumptions!$B$19)*(1-Assumptions!$B$20)+(Assumptions!$B$25*Assumptions!$B$26)*(1-Assumptions!$B$27)))*(1-G$4)/Assumptions!$B$5</f>
        <v/>
      </c>
    </row>
    <row r="12">
      <c r="A12" s="2" t="inlineStr">
        <is>
          <t>Cells near spot (Rs1,321) show how much Jio value-crystallisation is already in the price.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Per-share &amp; ratios</t>
        </is>
      </c>
    </row>
    <row r="2">
      <c r="A2" s="2" t="inlineStr">
        <is>
          <t>Links to statements / Assumptions.</t>
        </is>
      </c>
    </row>
    <row r="3">
      <c r="B3" s="10" t="inlineStr">
        <is>
          <t>FY24</t>
        </is>
      </c>
      <c r="C3" s="10" t="inlineStr">
        <is>
          <t>FY25</t>
        </is>
      </c>
      <c r="D3" s="10" t="inlineStr">
        <is>
          <t>FY26</t>
        </is>
      </c>
      <c r="E3" s="10" t="inlineStr">
        <is>
          <t>FY27E</t>
        </is>
      </c>
      <c r="F3" s="10" t="inlineStr">
        <is>
          <t>FY28E</t>
        </is>
      </c>
      <c r="G3" s="10" t="inlineStr">
        <is>
          <t>FY29E</t>
        </is>
      </c>
      <c r="H3" s="10" t="inlineStr">
        <is>
          <t>FY30E</t>
        </is>
      </c>
      <c r="I3" s="10" t="inlineStr">
        <is>
          <t>FY31E</t>
        </is>
      </c>
    </row>
    <row r="4">
      <c r="A4" s="3" t="inlineStr">
        <is>
          <t>EPS attributable (Rs)</t>
        </is>
      </c>
      <c r="B4" s="24">
        <f>'Income Statement'!B25/Assumptions!$B$5</f>
        <v/>
      </c>
      <c r="C4" s="24">
        <f>'Income Statement'!C25/Assumptions!$B$5</f>
        <v/>
      </c>
      <c r="D4" s="24">
        <f>'Income Statement'!D25/Assumptions!$B$5</f>
        <v/>
      </c>
      <c r="E4" s="24">
        <f>'Income Statement'!E25/Assumptions!$B$5</f>
        <v/>
      </c>
      <c r="F4" s="24">
        <f>'Income Statement'!F25/Assumptions!$B$5</f>
        <v/>
      </c>
      <c r="G4" s="24">
        <f>'Income Statement'!G25/Assumptions!$B$5</f>
        <v/>
      </c>
      <c r="H4" s="24">
        <f>'Income Statement'!H25/Assumptions!$B$5</f>
        <v/>
      </c>
      <c r="I4" s="24">
        <f>'Income Statement'!I25/Assumptions!$B$5</f>
        <v/>
      </c>
    </row>
    <row r="5">
      <c r="A5" s="3" t="inlineStr">
        <is>
          <t>Book value/share (Rs)</t>
        </is>
      </c>
      <c r="B5" s="16">
        <f>'Balance Sheet'!B12/Assumptions!$B$5</f>
        <v/>
      </c>
      <c r="C5" s="16">
        <f>'Balance Sheet'!C12/Assumptions!$B$5</f>
        <v/>
      </c>
      <c r="D5" s="16">
        <f>'Balance Sheet'!D12/Assumptions!$B$5</f>
        <v/>
      </c>
      <c r="E5" s="16">
        <f>'Balance Sheet'!E12/Assumptions!$B$5</f>
        <v/>
      </c>
      <c r="F5" s="16">
        <f>'Balance Sheet'!F12/Assumptions!$B$5</f>
        <v/>
      </c>
      <c r="G5" s="16">
        <f>'Balance Sheet'!G12/Assumptions!$B$5</f>
        <v/>
      </c>
      <c r="H5" s="16">
        <f>'Balance Sheet'!H12/Assumptions!$B$5</f>
        <v/>
      </c>
      <c r="I5" s="16">
        <f>'Balance Sheet'!I12/Assumptions!$B$5</f>
        <v/>
      </c>
    </row>
    <row r="6">
      <c r="A6" s="3" t="inlineStr">
        <is>
          <t>P/E (× spot)</t>
        </is>
      </c>
      <c r="B6" s="25">
        <f>Assumptions!$B$4/B4</f>
        <v/>
      </c>
      <c r="C6" s="25">
        <f>Assumptions!$B$4/C4</f>
        <v/>
      </c>
      <c r="D6" s="25">
        <f>Assumptions!$B$4/D4</f>
        <v/>
      </c>
      <c r="E6" s="25">
        <f>Assumptions!$B$4/E4</f>
        <v/>
      </c>
      <c r="F6" s="25">
        <f>Assumptions!$B$4/F4</f>
        <v/>
      </c>
      <c r="G6" s="25">
        <f>Assumptions!$B$4/G4</f>
        <v/>
      </c>
      <c r="H6" s="25">
        <f>Assumptions!$B$4/H4</f>
        <v/>
      </c>
      <c r="I6" s="25">
        <f>Assumptions!$B$4/I4</f>
        <v/>
      </c>
    </row>
    <row r="7">
      <c r="A7" s="3" t="inlineStr">
        <is>
          <t>EBITDA margin</t>
        </is>
      </c>
      <c r="B7" s="17">
        <f>'Income Statement'!B16/'Income Statement'!B9</f>
        <v/>
      </c>
      <c r="C7" s="17">
        <f>'Income Statement'!C16/'Income Statement'!C9</f>
        <v/>
      </c>
      <c r="D7" s="17">
        <f>'Income Statement'!D16/'Income Statement'!D9</f>
        <v/>
      </c>
      <c r="E7" s="17">
        <f>'Income Statement'!E16/'Income Statement'!E9</f>
        <v/>
      </c>
      <c r="F7" s="17">
        <f>'Income Statement'!F16/'Income Statement'!F9</f>
        <v/>
      </c>
      <c r="G7" s="17">
        <f>'Income Statement'!G16/'Income Statement'!G9</f>
        <v/>
      </c>
      <c r="H7" s="17">
        <f>'Income Statement'!H16/'Income Statement'!H9</f>
        <v/>
      </c>
      <c r="I7" s="17">
        <f>'Income Statement'!I16/'Income Statement'!I9</f>
        <v/>
      </c>
    </row>
    <row r="8">
      <c r="A8" s="3" t="inlineStr">
        <is>
          <t>Net debt / EBITDA</t>
        </is>
      </c>
      <c r="B8" s="26">
        <f>'Balance Sheet'!B20/'Income Statement'!B16</f>
        <v/>
      </c>
      <c r="C8" s="26">
        <f>'Balance Sheet'!C20/'Income Statement'!C16</f>
        <v/>
      </c>
      <c r="D8" s="26">
        <f>'Balance Sheet'!D20/'Income Statement'!D16</f>
        <v/>
      </c>
      <c r="E8" s="26">
        <f>'Balance Sheet'!E20/'Income Statement'!E16</f>
        <v/>
      </c>
      <c r="F8" s="26">
        <f>'Balance Sheet'!F20/'Income Statement'!F16</f>
        <v/>
      </c>
      <c r="G8" s="26">
        <f>'Balance Sheet'!G20/'Income Statement'!G16</f>
        <v/>
      </c>
      <c r="H8" s="26">
        <f>'Balance Sheet'!H20/'Income Statement'!H16</f>
        <v/>
      </c>
      <c r="I8" s="26">
        <f>'Balance Sheet'!I20/'Income Statement'!I16</f>
        <v/>
      </c>
    </row>
    <row r="9">
      <c r="A9" s="3" t="inlineStr">
        <is>
          <t>Revenue YoY</t>
        </is>
      </c>
      <c r="C9" s="17">
        <f>'Income Statement'!C9/'Income Statement'!B9-1</f>
        <v/>
      </c>
      <c r="D9" s="17">
        <f>'Income Statement'!D9/'Income Statement'!C9-1</f>
        <v/>
      </c>
      <c r="E9" s="17">
        <f>'Income Statement'!E9/'Income Statement'!D9-1</f>
        <v/>
      </c>
      <c r="F9" s="17">
        <f>'Income Statement'!F9/'Income Statement'!E9-1</f>
        <v/>
      </c>
      <c r="G9" s="17">
        <f>'Income Statement'!G9/'Income Statement'!F9-1</f>
        <v/>
      </c>
      <c r="H9" s="17">
        <f>'Income Statement'!H9/'Income Statement'!G9-1</f>
        <v/>
      </c>
      <c r="I9" s="17">
        <f>'Income Statement'!I9/'Income Statement'!H9-1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</cols>
  <sheetData>
    <row r="1">
      <c r="A1" s="1" t="inlineStr">
        <is>
          <t>Peer set &amp; sector</t>
        </is>
      </c>
    </row>
    <row r="2">
      <c r="A2" s="2" t="inlineStr">
        <is>
          <t>No clean comparable — split by part.</t>
        </is>
      </c>
    </row>
    <row r="3">
      <c r="A3" s="20" t="inlineStr">
        <is>
          <t>Part</t>
        </is>
      </c>
      <c r="B3" s="20" t="inlineStr">
        <is>
          <t>Closest peers</t>
        </is>
      </c>
      <c r="C3" s="20" t="inlineStr">
        <is>
          <t>Typical valuation</t>
        </is>
      </c>
    </row>
    <row r="4">
      <c r="A4" s="3" t="inlineStr">
        <is>
          <t>Jio (digital/telecom)</t>
        </is>
      </c>
      <c r="B4" s="3" t="inlineStr">
        <is>
          <t>Bharti Airtel; global telcos</t>
        </is>
      </c>
      <c r="C4" s="3" t="inlineStr">
        <is>
          <t>EV/EBITDA ~11–17x; growth</t>
        </is>
      </c>
    </row>
    <row r="5">
      <c r="A5" s="3" t="inlineStr">
        <is>
          <t>Reliance Retail</t>
        </is>
      </c>
      <c r="B5" s="3" t="inlineStr">
        <is>
          <t>DMart, Trent, Zomato/Eternal</t>
        </is>
      </c>
      <c r="C5" s="3" t="inlineStr">
        <is>
          <t>EV/EBITDA ~25–35x; growth</t>
        </is>
      </c>
    </row>
    <row r="6">
      <c r="A6" s="3" t="inlineStr">
        <is>
          <t>O2C (refining+petchem)</t>
        </is>
      </c>
      <c r="B6" s="3" t="inlineStr">
        <is>
          <t>RIL peers: IOC/BPCL; global refiners</t>
        </is>
      </c>
      <c r="C6" s="3" t="inlineStr">
        <is>
          <t>EV/EBITDA ~6–8x; cyclical</t>
        </is>
      </c>
    </row>
    <row r="7">
      <c r="A7" s="3" t="inlineStr">
        <is>
          <t>Oil &amp; Gas (E&amp;P)</t>
        </is>
      </c>
      <c r="B7" s="3" t="inlineStr">
        <is>
          <t>ONGC, Oil India</t>
        </is>
      </c>
      <c r="C7" s="3" t="inlineStr">
        <is>
          <t>EV/EBITDA ~4–6x; depleting</t>
        </is>
      </c>
    </row>
    <row r="8">
      <c r="A8" s="3" t="inlineStr">
        <is>
          <t>New Energy</t>
        </is>
      </c>
      <c r="B8" s="3" t="inlineStr">
        <is>
          <t>global solar / green-H2</t>
        </is>
      </c>
      <c r="C8" s="3" t="inlineStr">
        <is>
          <t>strategic / optionality</t>
        </is>
      </c>
    </row>
    <row r="10">
      <c r="A10" s="2" t="inlineStr">
        <is>
          <t>Analyst context (not model inputs): SOTP targets cluster Rs1,400–1,600; Jio IPO band ~$130–180bn (DRHP 19-Jun-2026).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2026-07-06T18:50:43Z</dcterms:created>
  <dcterms:modified xmlns:dcterms="http://purl.org/dc/terms/" xmlns:xsi="http://www.w3.org/2001/XMLSchema-instance" xsi:type="dcterms:W3CDTF">2026-07-06T18:51:46Z</dcterms:modified>
</cp:coreProperties>
</file>