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;(0.00);&quot;-&quot;"/>
    <numFmt numFmtId="165" formatCode="0.0%;(0.0%);&quot;-&quot;"/>
    <numFmt numFmtId="166" formatCode="0.00x"/>
    <numFmt numFmtId="167" formatCode="#,##0;(#,##0);&quot;-&quot;"/>
    <numFmt numFmtId="168" formatCode="#,##0.0;(#,##0.0);&quot;-&quot;"/>
    <numFmt numFmtId="169" formatCode="#,##0.00;(#,##0.00);&quot;-&quot;"/>
    <numFmt numFmtId="170" formatCode="0.000"/>
    <numFmt numFmtId="171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color rgb="00008000"/>
    </font>
    <font>
      <b val="1"/>
      <color rgb="00000000"/>
    </font>
    <font>
      <b val="1"/>
      <color rgb="000000FF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5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8" fillId="4" borderId="0" pivotButton="0" quotePrefix="0" xfId="0"/>
    <xf numFmtId="164" fontId="8" fillId="4" borderId="0" pivotButton="0" quotePrefix="0" xfId="0"/>
    <xf numFmtId="165" fontId="8" fillId="4" borderId="0" pivotButton="0" quotePrefix="0" xfId="0"/>
    <xf numFmtId="0" fontId="4" fillId="4" borderId="0" pivotButton="0" quotePrefix="0" xfId="0"/>
    <xf numFmtId="165" fontId="7" fillId="0" borderId="0" pivotButton="0" quotePrefix="0" xfId="0"/>
    <xf numFmtId="164" fontId="9" fillId="4" borderId="0" pivotButton="0" quotePrefix="0" xfId="0"/>
    <xf numFmtId="167" fontId="7" fillId="0" borderId="0" pivotButton="0" quotePrefix="0" xfId="0"/>
    <xf numFmtId="164" fontId="10" fillId="4" borderId="0" pivotButton="0" quotePrefix="0" xfId="0"/>
    <xf numFmtId="0" fontId="8" fillId="0" borderId="0" pivotButton="0" quotePrefix="0" xfId="0"/>
    <xf numFmtId="166" fontId="6" fillId="0" borderId="0" pivotButton="0" quotePrefix="0" xfId="0"/>
    <xf numFmtId="0" fontId="5" fillId="0" borderId="0" applyAlignment="1" pivotButton="0" quotePrefix="0" xfId="0">
      <alignment vertical="top" wrapText="1"/>
    </xf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167" fontId="4" fillId="4" borderId="0" pivotButton="0" quotePrefix="0" xfId="0"/>
    <xf numFmtId="164" fontId="4" fillId="4" borderId="0" pivotButton="0" quotePrefix="0" xfId="0"/>
    <xf numFmtId="167" fontId="5" fillId="0" borderId="0" pivotButton="0" quotePrefix="0" xfId="0"/>
    <xf numFmtId="167" fontId="8" fillId="4" borderId="0" pivotButton="0" quotePrefix="0" xfId="0"/>
    <xf numFmtId="169" fontId="5" fillId="0" borderId="0" pivotButton="0" quotePrefix="0" xfId="0"/>
    <xf numFmtId="169" fontId="8" fillId="4" borderId="0" pivotButton="0" quotePrefix="0" xfId="0"/>
    <xf numFmtId="168" fontId="5" fillId="0" borderId="0" pivotButton="0" quotePrefix="0" xfId="0"/>
    <xf numFmtId="166" fontId="7" fillId="0" borderId="0" pivotButton="0" quotePrefix="0" xfId="0"/>
    <xf numFmtId="171" fontId="7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71" fontId="5" fillId="0" borderId="0" pivotButton="0" quotePrefix="0" xfId="0"/>
    <xf numFmtId="10" fontId="7" fillId="0" borderId="0" pivotButton="0" quotePrefix="0" xfId="0"/>
    <xf numFmtId="170" fontId="7" fillId="0" borderId="0" pivotButton="0" quotePrefix="0" xfId="0"/>
    <xf numFmtId="10" fontId="4" fillId="4" borderId="0" pivotButton="0" quotePrefix="0" xfId="0"/>
    <xf numFmtId="0" fontId="6" fillId="0" borderId="0" pivotButton="0" quotePrefix="0" xfId="0"/>
    <xf numFmtId="168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Emirates Integrated Telecommunications Company PJSC (DFM: DU)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du valuation study. Every blue cell is an input;</t>
        </is>
      </c>
    </row>
    <row r="6">
      <c r="A6" s="3" t="inlineStr">
        <is>
          <t>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risk-free rate net of the sovereign spread, beta and the premium rather than pasted; the discount</t>
        </is>
      </c>
    </row>
    <row r="11">
      <c r="A11" s="3" t="inlineStr">
        <is>
          <t>factors compound from the glide; and the income statement, balance sheet, cash flow, ratios and all four</t>
        </is>
      </c>
    </row>
    <row r="12">
      <c r="A12" s="3" t="inlineStr">
        <is>
          <t>lenses chain off the same cells.</t>
        </is>
      </c>
    </row>
    <row r="13">
      <c r="A13" s="3" t="inlineStr"/>
    </row>
    <row r="14">
      <c r="A14" s="3" t="inlineStr">
        <is>
          <t>THREE THINGS ARE PASTED VALUES, and it is worth knowing exactly which. First, audited and disclosed</t>
        </is>
      </c>
    </row>
    <row r="15">
      <c r="A15" s="3" t="inlineStr">
        <is>
          <t>history — the primary record, not a calculation. Second, the unit build's output: forecast revenue for</t>
        </is>
      </c>
    </row>
    <row r="16">
      <c r="A16" s="3" t="inlineStr">
        <is>
          <t>the four segments the company itself discloses (Mobile, Fixed, Wholesale, ICT and associated telecom</t>
        </is>
      </c>
    </row>
    <row r="17">
      <c r="A17" s="3" t="inlineStr">
        <is>
          <t>services). Mobile and Fixed are built bottom-up as subscribers x ARPU — the driver table is shown on the</t>
        </is>
      </c>
    </row>
    <row r="18">
      <c r="A18" s="3" t="inlineStr">
        <is>
          <t>Segments sheet — and Wholesale and ICT are grown at segment level because the company discloses no unit</t>
        </is>
      </c>
    </row>
    <row r="19">
      <c r="A19" s="3" t="inlineStr">
        <is>
          <t>KPIs for them; only the build's OUTPUT (segment revenue per year) is pasted, and everything downstream of</t>
        </is>
      </c>
    </row>
    <row r="20">
      <c r="A20" s="3" t="inlineStr">
        <is>
          <t>it is formula. Third, whole-model engine outputs, where each figure is a complete re-run of the entire</t>
        </is>
      </c>
    </row>
    <row r="21">
      <c r="A21" s="3" t="inlineStr">
        <is>
          <t>valuation and so cannot be a single formula: the Monte Carlo price map, the sensitivity grids, and the</t>
        </is>
      </c>
    </row>
    <row r="22">
      <c r="A22" s="3" t="inlineStr">
        <is>
          <t>DCF scenario bear/bull bounds. Everything else — including every lens base value, the relative/normalised/</t>
        </is>
      </c>
    </row>
    <row r="23">
      <c r="A23" s="3" t="inlineStr">
        <is>
          <t>book bear and bull bounds, and the anchor-date roll — is a live formula. Changing a driver reprices the</t>
        </is>
      </c>
    </row>
    <row r="24">
      <c r="A24" s="3" t="inlineStr">
        <is>
          <t>model but does NOT redraw the engine outputs.</t>
        </is>
      </c>
    </row>
    <row r="25">
      <c r="A25" s="3" t="inlineStr"/>
    </row>
    <row r="26">
      <c r="A26" s="3" t="inlineStr">
        <is>
          <t>How revenue is built. Not as one growth rate. Mobile = average subscriber base x blended ARPU x 12; the</t>
        </is>
      </c>
    </row>
    <row r="27">
      <c r="A27" s="3" t="inlineStr">
        <is>
          <t>subscribers-x-ARPU frame reproduces the audited FY2025 mobile segment to within 0.1%. Fixed = subscriber</t>
        </is>
      </c>
    </row>
    <row r="28">
      <c r="A28" s="3" t="inlineStr">
        <is>
          <t>base x implied revenue per subscriber (a consumer-plus-enterprise blend, so an intensity metric, not a</t>
        </is>
      </c>
    </row>
    <row r="29">
      <c r="A29" s="3" t="inlineStr">
        <is>
          <t>tariff). Wholesale and ICT are grown on their own paths — the war-hit roaming/transit recovery and the</t>
        </is>
      </c>
    </row>
    <row r="30">
      <c r="A30" s="3" t="inlineStr">
        <is>
          <t>data-centre ramp respectively.</t>
        </is>
      </c>
    </row>
    <row r="31">
      <c r="A31" s="3" t="inlineStr"/>
    </row>
    <row r="32">
      <c r="A32" s="3" t="inlineStr">
        <is>
          <t>How cost is built, and why no margin is an input. Direct cost is a COST PER UNIT, not a margin. Mobile</t>
        </is>
      </c>
    </row>
    <row r="33">
      <c r="A33" s="3" t="inlineStr">
        <is>
          <t>carries three separate per-subscriber lines - interconnect, commission, and devices - each with its own</t>
        </is>
      </c>
    </row>
    <row r="34">
      <c r="A34" s="3" t="inlineStr">
        <is>
          <t>escalator, because they are driven by physically different things: termination rates and messaging-app</t>
        </is>
      </c>
    </row>
    <row r="35">
      <c r="A35" s="3" t="inlineStr">
        <is>
          <t>substitution, the cost of winning a customer, and handset volume. Fixed carries a per-subscriber capacity</t>
        </is>
      </c>
    </row>
    <row r="36">
      <c r="A36" s="3" t="inlineStr">
        <is>
          <t>cost. Wholesale and ICT carry a cost rate on their own revenue because the company discloses no volume</t>
        </is>
      </c>
    </row>
    <row r="37">
      <c r="A37" s="3" t="inlineStr">
        <is>
          <t>unit for either - that gap is flagged rather than filled. Every rate is anchored on the H1-2026 reviewed</t>
        </is>
      </c>
    </row>
    <row r="38">
      <c r="A38" s="3" t="inlineStr">
        <is>
          <t>actual and held flat unless a named mechanism has a measured direction in the half-year pair. CONTRIBUTION</t>
        </is>
      </c>
    </row>
    <row r="39">
      <c r="A39" s="3" t="inlineStr">
        <is>
          <t>MARGIN AND GROUP EBITDA MARGIN ARE THEREFORE OUTPUTS, computed on the Segments sheet, never typed in.</t>
        </is>
      </c>
    </row>
    <row r="40">
      <c r="A40" s="3" t="inlineStr"/>
    </row>
    <row r="41">
      <c r="A41" s="3" t="inlineStr">
        <is>
          <t>The contested judgement — the required return. This is the one judgement that moves the answer more</t>
        </is>
      </c>
    </row>
    <row r="42">
      <c r="A42" s="3" t="inlineStr">
        <is>
          <t>than any other, so it is computed BOTH WAYS on the Fundamental Valuation sheet and never averaged.</t>
        </is>
      </c>
    </row>
    <row r="43">
      <c r="A43" s="3" t="inlineStr">
        <is>
          <t>Framing 1 takes du's own measured beta and capitalises the terminal at the Gordon rate. Framing 2</t>
        </is>
      </c>
    </row>
    <row r="44">
      <c r="A44" s="3" t="inlineStr">
        <is>
          <t>refuses the re-rating that implies and holds du's CURRENT trailing EV/EBITDA into perpetuity instead.</t>
        </is>
      </c>
    </row>
    <row r="45">
      <c r="A45" s="3" t="inlineStr">
        <is>
          <t>The gap between them is the study, and it is published, not resolved. (The post-2026 fiscal regime</t>
        </is>
      </c>
    </row>
    <row r="46">
      <c r="A46" s="3" t="inlineStr">
        <is>
          <t>was the prior edition's contested judgement; it is no longer contested — du disclosed the 2027-2029</t>
        </is>
      </c>
    </row>
    <row r="47">
      <c r="A47" s="3" t="inlineStr">
        <is>
          <t>extension itself on 24 July 2026 on the same structure, with the AED 1.8bn combined floor retained.</t>
        </is>
      </c>
    </row>
    <row r="48">
      <c r="A48" s="3" t="inlineStr">
        <is>
          <t>A reversion after 2029 is still priced, as a named tail, on the same sheet.)</t>
        </is>
      </c>
    </row>
    <row r="49">
      <c r="A49" s="3" t="inlineStr"/>
    </row>
    <row r="50">
      <c r="A50" s="3" t="inlineStr">
        <is>
          <t>What it is not. It is not investment advice, a recommendation, or a price target. Values are model outputs</t>
        </is>
      </c>
    </row>
    <row r="51">
      <c r="A51" s="3" t="inlineStr">
        <is>
          <t>shown as ranges.</t>
        </is>
      </c>
    </row>
    <row r="52">
      <c r="A52" s="3" t="inlineStr"/>
    </row>
    <row r="53">
      <c r="A53" s="3" t="inlineStr">
        <is>
          <t>Sourcing note, up front. FY2023, FY2024 and FY2025 all come from the company's own audited consolidated</t>
        </is>
      </c>
    </row>
    <row r="54">
      <c r="A54" s="3" t="inlineStr">
        <is>
          <t>financial statements read from investors.du.ae, and H1-2026 from the KPMG-reviewed interims — every</t>
        </is>
      </c>
    </row>
    <row r="55">
      <c r="A55" s="3" t="inlineStr">
        <is>
          <t>income-statement, balance-sheet and segment line is the filed figure. Segment revenue ties EXACTLY to</t>
        </is>
      </c>
    </row>
    <row r="56">
      <c r="A56" s="3" t="inlineStr">
        <is>
          <t>consolidated revenue in every year (Note 38). du carries ZERO drawn borrowings in every year studied; the</t>
        </is>
      </c>
    </row>
    <row r="57">
      <c r="A57" s="3" t="inlineStr">
        <is>
          <t>only debt-like item is IFRS-16 lease liabilities, and the bridge treats them as debt. Every input is</t>
        </is>
      </c>
    </row>
    <row r="58">
      <c r="A58" s="3" t="inlineStr">
        <is>
          <t>annotated where it appears and listed with source and date in the companion bibliography document.</t>
        </is>
      </c>
    </row>
    <row r="59">
      <c r="A59" s="3" t="inlineStr"/>
    </row>
    <row r="60">
      <c r="A60" s="3" t="inlineStr">
        <is>
          <t>Leases are debt, and charged once. du has no drawn borrowings; its only debt-like item is the IFRS-16</t>
        </is>
      </c>
    </row>
    <row r="61">
      <c r="A61" s="3" t="inlineStr">
        <is>
          <t>lease liability. That liability is deducted in the enterprise-to-equity bridge and carries a debt</t>
        </is>
      </c>
    </row>
    <row r="62">
      <c r="A62" s="3" t="inlineStr">
        <is>
          <t>weight in the cost of capital, so NO lease charge belongs in the cash-flow waterfall as well —</t>
        </is>
      </c>
    </row>
    <row r="63">
      <c r="A63" s="3" t="inlineStr">
        <is>
          <t>perpetual renewal is already paid for in the terminal, where invested capital includes the</t>
        </is>
      </c>
    </row>
    <row r="64">
      <c r="A64" s="3" t="inlineStr">
        <is>
          <t>right-of-use asset and terminal reinvestment maintains it. The right-of-use book is held flat because</t>
        </is>
      </c>
    </row>
    <row r="65">
      <c r="A65" s="3" t="inlineStr">
        <is>
          <t>a new lease creates an asset and a liability together and is non-cash.</t>
        </is>
      </c>
    </row>
    <row r="66">
      <c r="A66" s="3" t="inlineStr"/>
    </row>
    <row r="67">
      <c r="A67" s="3" t="inlineStr">
        <is>
          <t>Discount convention, stated. Each explicit year is discounted at its own forward cost of capital,</t>
        </is>
      </c>
    </row>
    <row r="68">
      <c r="A68" s="3" t="inlineStr">
        <is>
          <t>at full-year END-of-period factors, gliding 6.41% -&gt; 6.17% on the AED risk-free path (du has no debt whose cost could</t>
        </is>
      </c>
    </row>
    <row r="69">
      <c r="A69" s="3" t="inlineStr">
        <is>
          <t>define the glide); the terminal value, a value dated at the end of year five, is discounted at the</t>
        </is>
      </c>
    </row>
    <row r="70">
      <c r="A70" s="3" t="inlineStr">
        <is>
          <t>year-five factor. A mid-year convention would raise the answer and is not adopted.</t>
        </is>
      </c>
    </row>
    <row r="71">
      <c r="A71" s="3" t="inlineStr">
        <is>
          <t>One date, one price of time: the bridge is dated 31-Dec-2025 and rolled to the 07-Aug-2026 anchor at</t>
        </is>
      </c>
    </row>
    <row r="72">
      <c r="A72" s="3" t="inlineStr">
        <is>
          <t>the cost of equity, net of the AED 0.66 of dividends whose EX-dates fall in that</t>
        </is>
      </c>
    </row>
    <row r="73">
      <c r="A73" s="3" t="inlineStr">
        <is>
          <t>window (the 0.40 final, paid 28-Apr-2026, and the 0.26 interim, ex 31-Jul-2026).</t>
        </is>
      </c>
    </row>
    <row r="74">
      <c r="A74" s="3" t="inlineStr"/>
    </row>
    <row r="75">
      <c r="A75" s="3" t="inlineStr">
        <is>
          <t>Currency. AED million unless stated. Spot AED 12.30 (2026-08-07 close). Sheets: READ FIRST · Summary ·</t>
        </is>
      </c>
    </row>
    <row r="76">
      <c r="A76" s="3" t="inlineStr">
        <is>
          <t>Fundamental Valuation · Assumptions · SOTP Bridge · Segments · Relative &amp; Normalized · DCF · Income</t>
        </is>
      </c>
    </row>
    <row r="77">
      <c r="A77" s="3" t="inlineStr">
        <is>
          <t>Statement · Balance Sheet · Cash Flow · Summary Financials · Monte Carlo · Sensitivity · Per-Share &amp;</t>
        </is>
      </c>
    </row>
    <row r="78">
      <c r="A78" s="3" t="inlineStr">
        <is>
          <t>Ratios · Peer &amp; Sector.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 t="n">
        <v>11.02686991091756</v>
      </c>
      <c r="C5" s="8">
        <f>DCF!C63</f>
        <v/>
      </c>
      <c r="D5" s="7" t="n">
        <v>28.6533036884854</v>
      </c>
      <c r="E5" s="9" t="n">
        <v>0.45</v>
      </c>
      <c r="F5" s="10">
        <f>C5*E5</f>
        <v/>
      </c>
      <c r="G5" s="11">
        <f>C5/$C$14-1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Normalized'!D12</f>
        <v/>
      </c>
      <c r="E6" s="9" t="n">
        <v>0.25</v>
      </c>
      <c r="F6" s="10">
        <f>C6*E6</f>
        <v/>
      </c>
      <c r="G6" s="11">
        <f>C6/$C$14-1</f>
        <v/>
      </c>
    </row>
    <row r="7">
      <c r="A7" s="6" t="inlineStr">
        <is>
          <t>Normalised earnings power</t>
        </is>
      </c>
      <c r="B7" s="8">
        <f>'Relative &amp; Normalized'!E27</f>
        <v/>
      </c>
      <c r="C7" s="8">
        <f>'Relative &amp; Normalized'!C27</f>
        <v/>
      </c>
      <c r="D7" s="8">
        <f>'Relative &amp; Normalized'!F27</f>
        <v/>
      </c>
      <c r="E7" s="9" t="n">
        <v>0.2</v>
      </c>
      <c r="F7" s="10">
        <f>C7*E7</f>
        <v/>
      </c>
      <c r="G7" s="11">
        <f>C7/$C$14-1</f>
        <v/>
      </c>
    </row>
    <row r="8">
      <c r="A8" s="6" t="inlineStr">
        <is>
          <t>Book value and sustainable return</t>
        </is>
      </c>
      <c r="B8" s="8">
        <f>'Relative &amp; Normalized'!E35</f>
        <v/>
      </c>
      <c r="C8" s="8">
        <f>'Relative &amp; Normalized'!C35</f>
        <v/>
      </c>
      <c r="D8" s="8">
        <f>'Relative &amp; Normalized'!F35</f>
        <v/>
      </c>
      <c r="E8" s="9" t="n">
        <v>0.1</v>
      </c>
      <c r="F8" s="10">
        <f>C8*E8</f>
        <v/>
      </c>
      <c r="G8" s="11">
        <f>C8/$C$14-1</f>
        <v/>
      </c>
    </row>
    <row r="9">
      <c r="A9" s="12" t="inlineStr">
        <is>
          <t>Weighted central</t>
        </is>
      </c>
      <c r="B9" s="13">
        <f>B5*E5+B6*E6+B7*E7+B8*E8</f>
        <v/>
      </c>
      <c r="C9" s="13">
        <f>SUM(F5:F8)</f>
        <v/>
      </c>
      <c r="D9" s="13">
        <f>D5*E5+D6*E6+D7*E7+D8*E8</f>
        <v/>
      </c>
      <c r="E9" s="14">
        <f>SUM(E5:E8)</f>
        <v/>
      </c>
      <c r="F9" s="15" t="n"/>
      <c r="G9" s="14">
        <f>C9/$C$14-1</f>
        <v/>
      </c>
    </row>
    <row r="10">
      <c r="A10" s="6" t="inlineStr">
        <is>
          <t>Span across lenses (min/max — NOT weighted)</t>
        </is>
      </c>
      <c r="B10" s="10">
        <f>MIN(B5:B8)</f>
        <v/>
      </c>
      <c r="D10" s="10">
        <f>MAX(D5:D8)</f>
        <v/>
      </c>
    </row>
    <row r="11">
      <c r="A11" s="6" t="inlineStr">
        <is>
          <t>Contested judgement, other way — no terminal re-rating (Framing 2)</t>
        </is>
      </c>
      <c r="C11" s="8">
        <f>'Fundamental Valuation'!C18</f>
        <v/>
      </c>
      <c r="G11" s="11">
        <f>C11/$C$14-1</f>
        <v/>
      </c>
    </row>
    <row r="12">
      <c r="A12" s="6" t="inlineStr">
        <is>
          <t>Terminal value share of DCF enterprise value</t>
        </is>
      </c>
      <c r="C12" s="16">
        <f>DCF!C29</f>
        <v/>
      </c>
    </row>
    <row r="13">
      <c r="A13" s="6" t="inlineStr">
        <is>
          <t>Expert panel median</t>
        </is>
      </c>
      <c r="C13" s="8">
        <f>'Fundamental Valuation'!C27</f>
        <v/>
      </c>
      <c r="G13" s="11">
        <f>C13/$C$14-1</f>
        <v/>
      </c>
    </row>
    <row r="14">
      <c r="A14" s="12" t="inlineStr">
        <is>
          <t>Market price (anchor)</t>
        </is>
      </c>
      <c r="B14" s="15" t="n"/>
      <c r="C14" s="17" t="n">
        <v>12.3</v>
      </c>
      <c r="D14" s="15" t="n"/>
      <c r="E14" s="15" t="n"/>
      <c r="F14" s="15" t="n"/>
      <c r="G14" s="15" t="n"/>
    </row>
    <row r="16">
      <c r="A16" s="5" t="inlineStr">
        <is>
          <t>Key figure</t>
        </is>
      </c>
      <c r="B16" s="5" t="inlineStr">
        <is>
          <t>Value</t>
        </is>
      </c>
    </row>
    <row r="17">
      <c r="A17" s="6" t="inlineStr">
        <is>
          <t>Shares outstanding (mn)</t>
        </is>
      </c>
      <c r="C17" s="18">
        <f>Assumptions!$C$6</f>
        <v/>
      </c>
    </row>
    <row r="18">
      <c r="A18" s="6" t="inlineStr">
        <is>
          <t>Market capitalisation (AED mn)</t>
        </is>
      </c>
      <c r="C18" s="18">
        <f>$C$14*C17</f>
        <v/>
      </c>
    </row>
    <row r="19">
      <c r="A19" s="6" t="inlineStr">
        <is>
          <t>Lease liabilities, FY2025 (AED mn) — the only debt-like item</t>
        </is>
      </c>
      <c r="C19" s="18">
        <f>Assumptions!$C$83</f>
        <v/>
      </c>
    </row>
    <row r="20">
      <c r="A20" s="6" t="inlineStr">
        <is>
          <t>Cash and term deposits, FY2025 (AED mn)</t>
        </is>
      </c>
      <c r="C20" s="18">
        <f>Assumptions!$C$84</f>
        <v/>
      </c>
    </row>
    <row r="21">
      <c r="A21" s="6" t="inlineStr">
        <is>
          <t>FY2025 revenue (AED mn)</t>
        </is>
      </c>
      <c r="C21" s="18">
        <f>'Income Statement'!D5</f>
        <v/>
      </c>
    </row>
    <row r="22">
      <c r="A22" s="6" t="inlineStr">
        <is>
          <t>FY2025 EBITDA (AED mn)</t>
        </is>
      </c>
      <c r="C22" s="18">
        <f>'Income Statement'!D9</f>
        <v/>
      </c>
    </row>
    <row r="23">
      <c r="A23" s="6" t="inlineStr">
        <is>
          <t>FY2025 net profit (AED mn)</t>
        </is>
      </c>
      <c r="C23" s="18">
        <f>'Income Statement'!D18</f>
        <v/>
      </c>
    </row>
    <row r="24">
      <c r="A24" s="6" t="inlineStr">
        <is>
          <t>Cost of capital — explicit window</t>
        </is>
      </c>
      <c r="C24" s="16">
        <f>DCF!C47</f>
        <v/>
      </c>
    </row>
    <row r="25">
      <c r="A25" s="6" t="inlineStr">
        <is>
          <t>Cost of capital — terminal</t>
        </is>
      </c>
      <c r="C25" s="16">
        <f>DCF!C54</f>
        <v/>
      </c>
    </row>
    <row r="26">
      <c r="A26" s="6" t="inlineStr">
        <is>
          <t>Terminal growth</t>
        </is>
      </c>
      <c r="C26" s="16">
        <f>DCF!C24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the four lenses and the contested judgement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</t>
        </is>
      </c>
      <c r="B5" s="6" t="inlineStr">
        <is>
          <t>links to the DCF sheet</t>
        </is>
      </c>
      <c r="C5" s="8">
        <f>DCF!C63</f>
        <v/>
      </c>
    </row>
    <row r="6">
      <c r="A6" s="6" t="inlineStr">
        <is>
          <t xml:space="preserve">  bear</t>
        </is>
      </c>
      <c r="B6" s="6" t="inlineStr">
        <is>
          <t>ARPU −5%, subscribers −250k, margins −3%, +100bp cost of capital, g 2%</t>
        </is>
      </c>
      <c r="C6" s="7" t="n">
        <v>11.02686991091756</v>
      </c>
    </row>
    <row r="7">
      <c r="A7" s="6" t="inlineStr">
        <is>
          <t xml:space="preserve">  bull</t>
        </is>
      </c>
      <c r="B7" s="6" t="inlineStr">
        <is>
          <t>ARPU +3%, subscribers +200k, margins +1.5%, −50bp cost of capital, g 3%</t>
        </is>
      </c>
      <c r="C7" s="7" t="n">
        <v>28.6533036884854</v>
      </c>
    </row>
    <row r="8">
      <c r="A8" s="6" t="inlineStr">
        <is>
          <t>Relative multiples</t>
        </is>
      </c>
      <c r="B8" s="6" t="inlineStr">
        <is>
          <t>12.9x justified P/E on FY2026E earnings</t>
        </is>
      </c>
      <c r="C8" s="8">
        <f>'Relative &amp; Normalized'!C11</f>
        <v/>
      </c>
    </row>
    <row r="9">
      <c r="A9" s="6" t="inlineStr">
        <is>
          <t>Normalised earnings power</t>
        </is>
      </c>
      <c r="B9" s="6" t="inlineStr">
        <is>
          <t>12.9x normalised earnings per share</t>
        </is>
      </c>
      <c r="C9" s="8">
        <f>'Relative &amp; Normalized'!C27</f>
        <v/>
      </c>
    </row>
    <row r="10">
      <c r="A10" s="6" t="inlineStr">
        <is>
          <t>Book value and sustainable return</t>
        </is>
      </c>
      <c r="B10" s="6" t="inlineStr">
        <is>
          <t>justified price-to-book on sustainable return on equity</t>
        </is>
      </c>
      <c r="C10" s="8">
        <f>'Relative &amp; Normalized'!C35</f>
        <v/>
      </c>
    </row>
    <row r="12">
      <c r="A12" s="12" t="inlineStr">
        <is>
          <t>Weighted central</t>
        </is>
      </c>
      <c r="B12" s="15" t="n"/>
      <c r="C12" s="19">
        <f>Summary!C9</f>
        <v/>
      </c>
    </row>
    <row r="14">
      <c r="A14" s="20" t="inlineStr">
        <is>
          <t>THE CONTESTED JUDGEMENT — THE REQUIRED RETURN, BOTH WAYS</t>
        </is>
      </c>
    </row>
    <row r="15">
      <c r="A15" s="6" t="inlineStr">
        <is>
          <t>Framing 1: du's own measured beta sets the cost of equity</t>
        </is>
      </c>
      <c r="C15" s="8">
        <f>DCF!C63</f>
        <v/>
      </c>
    </row>
    <row r="16">
      <c r="A16" s="6" t="inlineStr">
        <is>
          <t xml:space="preserve">  the terminal that implies — exit multiple on terminal EBITDA</t>
        </is>
      </c>
      <c r="C16" s="21" t="n">
        <v>10.08649012975652</v>
      </c>
    </row>
    <row r="17">
      <c r="A17" s="6" t="inlineStr">
        <is>
          <t xml:space="preserve">  against du's OWN current trailing EV/EBITDA</t>
        </is>
      </c>
      <c r="C17" s="21" t="n">
        <v>7.555316462511931</v>
      </c>
    </row>
    <row r="18">
      <c r="A18" s="6" t="inlineStr">
        <is>
          <t>Framing 2: no terminal re-rating — du's current multiple held in perpetuity</t>
        </is>
      </c>
      <c r="C18" s="7" t="n">
        <v>14.81218441814286</v>
      </c>
    </row>
    <row r="19">
      <c r="A19" s="6" t="inlineStr">
        <is>
          <t>The judgement is worth (Framing 1 less Framing 2, per share)</t>
        </is>
      </c>
      <c r="C19" s="10">
        <f>C15-C18</f>
        <v/>
      </c>
    </row>
    <row r="20">
      <c r="A20" s="6" t="inlineStr">
        <is>
          <t>Post-2029 fiscal tail: the pre-2024 royalty construction returns after the disclosed 2027-2029 extension lapses</t>
        </is>
      </c>
      <c r="C20" s="7" t="n">
        <v>16.11429287425042</v>
      </c>
    </row>
    <row r="22">
      <c r="A22" s="20" t="inlineStr">
        <is>
          <t>EXPERT PANEL</t>
        </is>
      </c>
    </row>
    <row r="23">
      <c r="A23" s="5" t="inlineStr">
        <is>
          <t>Expert</t>
        </is>
      </c>
      <c r="B23" s="5" t="inlineStr">
        <is>
          <t>Method</t>
        </is>
      </c>
      <c r="C23" s="5" t="inlineStr">
        <is>
          <t>Base (AED/share)</t>
        </is>
      </c>
      <c r="D23" s="5" t="inlineStr">
        <is>
          <t>Low</t>
        </is>
      </c>
      <c r="E23" s="5" t="inlineStr">
        <is>
          <t>High</t>
        </is>
      </c>
    </row>
    <row r="24">
      <c r="A24" s="6" t="inlineStr">
        <is>
          <t>Expert 1</t>
        </is>
      </c>
      <c r="B24" s="6" t="inlineStr">
        <is>
          <t>earnings power</t>
        </is>
      </c>
      <c r="C24" s="7" t="n">
        <v>11.53634760090742</v>
      </c>
      <c r="D24" s="7" t="n">
        <v>9.557590446229586</v>
      </c>
      <c r="E24" s="7" t="n">
        <v>13.18531189647228</v>
      </c>
    </row>
    <row r="25">
      <c r="A25" s="6" t="inlineStr">
        <is>
          <t>Expert 2</t>
        </is>
      </c>
      <c r="B25" s="6" t="inlineStr">
        <is>
          <t>dividend stream</t>
        </is>
      </c>
      <c r="C25" s="7" t="n">
        <v>18.57393404235861</v>
      </c>
      <c r="D25" s="7" t="n">
        <v>9.836466254461905</v>
      </c>
      <c r="E25" s="7" t="n">
        <v>21.54947017920073</v>
      </c>
    </row>
    <row r="26">
      <c r="A26" s="6" t="inlineStr">
        <is>
          <t>Expert 3</t>
        </is>
      </c>
      <c r="B26" s="6" t="inlineStr">
        <is>
          <t>cash returns vs cost of capital</t>
        </is>
      </c>
      <c r="C26" s="7" t="n">
        <v>18.45966756100478</v>
      </c>
      <c r="D26" s="7" t="n">
        <v>12.19616318319305</v>
      </c>
      <c r="E26" s="7" t="n">
        <v>20.67482766832535</v>
      </c>
    </row>
    <row r="27">
      <c r="A27" s="12" t="inlineStr">
        <is>
          <t>Panel median</t>
        </is>
      </c>
      <c r="B27" s="15" t="n"/>
      <c r="C27" s="13">
        <f>MEDIAN(C24:C26)</f>
        <v/>
      </c>
      <c r="D27" s="15" t="n"/>
      <c r="E27" s="15" t="n"/>
    </row>
    <row r="29">
      <c r="A29" s="6" t="inlineStr">
        <is>
          <t>The risk-free tenor question, priced</t>
        </is>
      </c>
    </row>
    <row r="30" ht="40" customHeight="1">
      <c r="A30" s="22" t="inlineStr">
        <is>
          <t>There is no liquid 10-year AED government point. The base model uses the Jan-2031 AED T-bond (4.48%); discounting instead at the peg-extrapolated 10-year proxy (4.69%) is an engine re-run worth the figure at right</t>
        </is>
      </c>
      <c r="C30" s="7" t="n">
        <v>17.89729092471108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Assumptions — every input in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inputs. Change one and the model reprices: everything downstream is a formula.</t>
        </is>
      </c>
    </row>
    <row r="3">
      <c r="A3" s="5" t="inlineStr">
        <is>
          <t>Input</t>
        </is>
      </c>
      <c r="B3" s="5" t="inlineStr">
        <is>
          <t>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</row>
    <row r="4">
      <c r="A4" s="12" t="inlineStr">
        <is>
          <t>Anchors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6" t="inlineStr">
        <is>
          <t>Spot price (AED)</t>
        </is>
      </c>
      <c r="C5" s="7" t="n">
        <v>12.3</v>
      </c>
    </row>
    <row r="6">
      <c r="A6" s="6" t="inlineStr">
        <is>
          <t>Shares outstanding (mn)</t>
        </is>
      </c>
      <c r="C6" s="23" t="n">
        <v>4532.905989</v>
      </c>
    </row>
    <row r="7">
      <c r="A7" s="6" t="inlineStr">
        <is>
          <t>Combined federal royalty + income tax rate (Framing A, audited FY2025)</t>
        </is>
      </c>
      <c r="C7" s="9" t="n">
        <v>0.4357</v>
      </c>
    </row>
    <row r="8">
      <c r="A8" s="6" t="inlineStr">
        <is>
          <t>Regulated revenue share (Framing B base, audited FY2023)</t>
        </is>
      </c>
      <c r="C8" s="9" t="n">
        <v>0.6899999999999999</v>
      </c>
    </row>
    <row r="9">
      <c r="A9" s="6" t="inlineStr">
        <is>
          <t>Framing B — royalty rate on regulated revenue</t>
        </is>
      </c>
      <c r="C9" s="9" t="n">
        <v>0.15</v>
      </c>
    </row>
    <row r="10">
      <c r="A10" s="6" t="inlineStr">
        <is>
          <t>Framing B — royalty rate on regulated profit</t>
        </is>
      </c>
      <c r="C10" s="9" t="n">
        <v>0.3</v>
      </c>
    </row>
    <row r="12">
      <c r="A12" s="12" t="inlineStr">
        <is>
          <t>H1-2026 reviewed segment actuals — the base the FY2026 build chains off</t>
        </is>
      </c>
      <c r="B12" s="15" t="n"/>
      <c r="C12" s="15" t="n"/>
      <c r="D12" s="15" t="n"/>
      <c r="E12" s="15" t="n"/>
      <c r="F12" s="15" t="n"/>
      <c r="G12" s="15" t="n"/>
      <c r="H12" s="15" t="n"/>
    </row>
    <row r="13">
      <c r="A13" s="6" t="inlineStr">
        <is>
          <t>Mobile revenue, six months to 30-Jun-2026 (AED mn, reviewed)</t>
        </is>
      </c>
      <c r="C13" s="23" t="n">
        <v>3646.314</v>
      </c>
    </row>
    <row r="14">
      <c r="A14" s="6" t="inlineStr">
        <is>
          <t>Fixed revenue, six months to 30-Jun-2026 (AED mn, reviewed)</t>
        </is>
      </c>
      <c r="C14" s="23" t="n">
        <v>2382.608</v>
      </c>
    </row>
    <row r="15">
      <c r="A15" s="6" t="inlineStr">
        <is>
          <t>Mobile subscribers at 30-Jun-2026 ('000, reviewed period end)</t>
        </is>
      </c>
      <c r="C15" s="23" t="n">
        <v>9280</v>
      </c>
    </row>
    <row r="16">
      <c r="A16" s="6" t="inlineStr">
        <is>
          <t>Fixed subscribers at 30-Jun-2026 ('000, reviewed period end)</t>
        </is>
      </c>
      <c r="C16" s="23" t="n">
        <v>744</v>
      </c>
    </row>
    <row r="17">
      <c r="A17" s="6" t="inlineStr">
        <is>
          <t>Wholesale revenue FY2025 (AED mn, audited)</t>
        </is>
      </c>
      <c r="C17" s="23" t="n">
        <v>2568.222</v>
      </c>
    </row>
    <row r="18">
      <c r="A18" s="6" t="inlineStr">
        <is>
          <t>ICT revenue FY2025 (AED mn, audited)</t>
        </is>
      </c>
      <c r="C18" s="23" t="n">
        <v>1882.558</v>
      </c>
    </row>
    <row r="19">
      <c r="A19" s="6" t="inlineStr">
        <is>
          <t>Wholesale revenue, six months to 30-Jun-2026 (AED mn, reviewed)</t>
        </is>
      </c>
      <c r="C19" s="23" t="n">
        <v>1257.566</v>
      </c>
    </row>
    <row r="20">
      <c r="A20" s="6" t="inlineStr">
        <is>
          <t>ICT revenue, six months to 30-Jun-2026 (AED mn, reviewed)</t>
        </is>
      </c>
      <c r="C20" s="23" t="n">
        <v>911.085</v>
      </c>
    </row>
    <row r="22">
      <c r="A22" s="12" t="inlineStr">
        <is>
          <t>Unit build — mobile and fixed (subscribers x ARPU)</t>
        </is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6" t="inlineStr">
        <is>
          <t>Mobile subscribers, end of year ('000)</t>
        </is>
      </c>
      <c r="B23" s="23" t="n">
        <v>9450</v>
      </c>
      <c r="C23" s="23" t="n">
        <v>9760</v>
      </c>
      <c r="D23" s="23" t="n">
        <v>10010</v>
      </c>
      <c r="E23" s="23" t="n">
        <v>10240</v>
      </c>
      <c r="F23" s="23" t="n">
        <v>10450</v>
      </c>
    </row>
    <row r="24">
      <c r="A24" s="6" t="inlineStr">
        <is>
          <t>Fixed subscribers, end of year ('000)</t>
        </is>
      </c>
      <c r="B24" s="23" t="n">
        <v>760</v>
      </c>
      <c r="C24" s="23" t="n">
        <v>790</v>
      </c>
      <c r="D24" s="23" t="n">
        <v>815</v>
      </c>
      <c r="E24" s="23" t="n">
        <v>838</v>
      </c>
      <c r="F24" s="23" t="n">
        <v>858</v>
      </c>
    </row>
    <row r="25">
      <c r="A25" s="6" t="inlineStr">
        <is>
          <t>Blended mobile ARPU (AED/month)</t>
        </is>
      </c>
      <c r="B25" s="24" t="n">
        <v>63.4</v>
      </c>
      <c r="C25" s="24" t="n">
        <v>63.6</v>
      </c>
      <c r="D25" s="24" t="n">
        <v>63.8</v>
      </c>
      <c r="E25" s="24" t="n">
        <v>64</v>
      </c>
      <c r="F25" s="24" t="n">
        <v>64.2</v>
      </c>
    </row>
    <row r="26">
      <c r="A26" s="6" t="inlineStr">
        <is>
          <t>Implied fixed revenue per subscriber (AED/month)</t>
        </is>
      </c>
      <c r="B26" s="23" t="n">
        <v>537</v>
      </c>
      <c r="C26" s="23" t="n">
        <v>545</v>
      </c>
      <c r="D26" s="23" t="n">
        <v>553</v>
      </c>
      <c r="E26" s="23" t="n">
        <v>561</v>
      </c>
      <c r="F26" s="23" t="n">
        <v>569</v>
      </c>
    </row>
    <row r="27">
      <c r="A27" s="6" t="inlineStr">
        <is>
          <t>Wholesale revenue growth</t>
        </is>
      </c>
      <c r="B27" s="9" t="n">
        <v>-0.008</v>
      </c>
      <c r="C27" s="9" t="n">
        <v>0.015</v>
      </c>
      <c r="D27" s="9" t="n">
        <v>0.02</v>
      </c>
      <c r="E27" s="9" t="n">
        <v>0.02</v>
      </c>
      <c r="F27" s="9" t="n">
        <v>0.02</v>
      </c>
    </row>
    <row r="28">
      <c r="A28" s="6" t="inlineStr">
        <is>
          <t>ICT and associated telecom revenue growth</t>
        </is>
      </c>
      <c r="B28" s="9" t="n">
        <v>0.079</v>
      </c>
      <c r="C28" s="9" t="n">
        <v>0.11</v>
      </c>
      <c r="D28" s="9" t="n">
        <v>0.1</v>
      </c>
      <c r="E28" s="9" t="n">
        <v>0.09</v>
      </c>
      <c r="F28" s="9" t="n">
        <v>0.08</v>
      </c>
    </row>
    <row r="30">
      <c r="A30" s="12" t="inlineStr">
        <is>
          <t>Direct-cost stack — cost per unit, one escalator per driver class. CONTRIBUTION MARGIN IS NOT AN INPUT HERE: it is computed on the Segments sheet as what is left after each cost line is grown on its own physical driver.</t>
        </is>
      </c>
      <c r="B30" s="15" t="n"/>
      <c r="C30" s="15" t="n"/>
      <c r="D30" s="15" t="n"/>
      <c r="E30" s="15" t="n"/>
      <c r="F30" s="15" t="n"/>
      <c r="G30" s="15" t="n"/>
      <c r="H30" s="15" t="n"/>
    </row>
    <row r="31">
      <c r="A31" s="6" t="inlineStr">
        <is>
          <t>Mobile interconnect cost, H1-2026 actual (AED/subscriber/month)</t>
        </is>
      </c>
      <c r="C31" s="25" t="n">
        <v>16.81380811911785</v>
      </c>
    </row>
    <row r="32">
      <c r="A32" s="6" t="inlineStr">
        <is>
          <t>Mobile interconnect escalator (termination rates, OTT substitution)</t>
        </is>
      </c>
      <c r="C32" s="9" t="n">
        <v>-0.015</v>
      </c>
    </row>
    <row r="33">
      <c r="A33" s="6" t="inlineStr">
        <is>
          <t>Mobile commission cost, H1-2026 actual (AED/subscriber/month)</t>
        </is>
      </c>
      <c r="C33" s="25" t="n">
        <v>6.306854895350471</v>
      </c>
    </row>
    <row r="34">
      <c r="A34" s="6" t="inlineStr">
        <is>
          <t>Mobile commission escalator (acquisition/retention cost)</t>
        </is>
      </c>
      <c r="C34" s="9" t="n">
        <v>0.03</v>
      </c>
    </row>
    <row r="35">
      <c r="A35" s="6" t="inlineStr">
        <is>
          <t>Mobile devices and direct services, H1-2026 actual (AED/subscriber/month)</t>
        </is>
      </c>
      <c r="C35" s="25" t="n">
        <v>0.9565423514538555</v>
      </c>
    </row>
    <row r="36">
      <c r="A36" s="6" t="inlineStr">
        <is>
          <t>Mobile devices escalator (held flat — lumpy, no trend read into it)</t>
        </is>
      </c>
      <c r="C36" s="9" t="n">
        <v>0</v>
      </c>
    </row>
    <row r="37">
      <c r="A37" s="6" t="inlineStr">
        <is>
          <t>Fixed capacity and direct cost, H1-2026 actual (AED/subscriber/month)</t>
        </is>
      </c>
      <c r="C37" s="25" t="n">
        <v>68.35316655397791</v>
      </c>
    </row>
    <row r="38">
      <c r="A38" s="6" t="inlineStr">
        <is>
          <t>Fixed capacity escalator (held flat against an observed decline)</t>
        </is>
      </c>
      <c r="C38" s="9" t="n">
        <v>0</v>
      </c>
    </row>
    <row r="39">
      <c r="A39" s="6" t="inlineStr">
        <is>
          <t>Wholesale direct cost / wholesale revenue (H1-2026 rate, held flat)</t>
        </is>
      </c>
      <c r="C39" s="9" t="n">
        <v>0.1558</v>
      </c>
    </row>
    <row r="40">
      <c r="A40" s="6" t="inlineStr">
        <is>
          <t>ICT direct cost / ICT revenue (H1-2026 rate, held flat)</t>
        </is>
      </c>
      <c r="C40" s="9" t="n">
        <v>0.7848000000000001</v>
      </c>
    </row>
    <row r="41">
      <c r="A41" s="6" t="inlineStr">
        <is>
          <t>Mobile direct cost, six months to 30-Jun-2026 (AED mn, reviewed)</t>
        </is>
      </c>
      <c r="C41" s="23" t="n">
        <v>1371.245</v>
      </c>
    </row>
    <row r="42">
      <c r="A42" s="6" t="inlineStr">
        <is>
          <t>Fixed direct cost, six months to 30-Jun-2026 (AED mn, reviewed)</t>
        </is>
      </c>
      <c r="C42" s="23" t="n">
        <v>303.283</v>
      </c>
    </row>
    <row r="43">
      <c r="A43" s="6" t="inlineStr">
        <is>
          <t>Wholesale direct cost, six months to 30-Jun-2026 (AED mn, reviewed)</t>
        </is>
      </c>
      <c r="C43" s="23" t="n">
        <v>195.926</v>
      </c>
    </row>
    <row r="44">
      <c r="A44" s="6" t="inlineStr">
        <is>
          <t>ICT direct cost, six months to 30-Jun-2026 (AED mn, reviewed)</t>
        </is>
      </c>
      <c r="C44" s="23" t="n">
        <v>714.99</v>
      </c>
    </row>
    <row r="45">
      <c r="A45" s="6" t="inlineStr">
        <is>
          <t>Blended ARPU drift (mix-exhaustion sensitivity; zero in the base case)</t>
        </is>
      </c>
      <c r="C45" s="9" t="n">
        <v>0</v>
      </c>
    </row>
    <row r="47">
      <c r="A47" s="12" t="inlineStr">
        <is>
          <t>Operating expense stack — one escalator per cost class</t>
        </is>
      </c>
      <c r="B47" s="15" t="n"/>
      <c r="C47" s="15" t="n"/>
      <c r="D47" s="15" t="n"/>
      <c r="E47" s="15" t="n"/>
      <c r="F47" s="15" t="n"/>
      <c r="G47" s="15" t="n"/>
      <c r="H47" s="15" t="n"/>
    </row>
    <row r="48">
      <c r="A48" s="6" t="inlineStr">
        <is>
          <t>Staff cost, FY2026E level (AED mn)</t>
        </is>
      </c>
      <c r="C48" s="23" t="n">
        <v>1035.16</v>
      </c>
    </row>
    <row r="49">
      <c r="A49" s="6" t="inlineStr">
        <is>
          <t>Staff escalator (UAE wage inflation)</t>
        </is>
      </c>
      <c r="C49" s="9" t="n">
        <v>0.02</v>
      </c>
    </row>
    <row r="50">
      <c r="A50" s="6" t="inlineStr">
        <is>
          <t>Network &amp; maintenance, FY2025 base (AED mn, audited)</t>
        </is>
      </c>
      <c r="C50" s="23" t="n">
        <v>963.878</v>
      </c>
    </row>
    <row r="51">
      <c r="A51" s="6" t="inlineStr">
        <is>
          <t>Network escalator (network scale)</t>
        </is>
      </c>
      <c r="C51" s="9" t="n">
        <v>0.03</v>
      </c>
    </row>
    <row r="52">
      <c r="A52" s="6" t="inlineStr">
        <is>
          <t>Administrative expense, FY2025 base (AED mn, audited)</t>
        </is>
      </c>
      <c r="C52" s="23" t="n">
        <v>189.654</v>
      </c>
    </row>
    <row r="53">
      <c r="A53" s="6" t="inlineStr">
        <is>
          <t>Administrative escalator (CPI)</t>
        </is>
      </c>
      <c r="C53" s="9" t="n">
        <v>0.02</v>
      </c>
    </row>
    <row r="54">
      <c r="A54" s="6" t="inlineStr">
        <is>
          <t>Other operating expense, FY2025 base (AED mn, audited)</t>
        </is>
      </c>
      <c r="C54" s="23" t="n">
        <v>133.192</v>
      </c>
    </row>
    <row r="55">
      <c r="A55" s="6" t="inlineStr">
        <is>
          <t>Other-expense escalator (CPI)</t>
        </is>
      </c>
      <c r="C55" s="9" t="n">
        <v>0.02</v>
      </c>
    </row>
    <row r="56">
      <c r="A56" s="6" t="inlineStr">
        <is>
          <t>Marketing / revenue</t>
        </is>
      </c>
      <c r="C56" s="9" t="n">
        <v>0.018</v>
      </c>
    </row>
    <row r="57">
      <c r="A57" s="6" t="inlineStr">
        <is>
          <t>Telecom licence and related fees / revenue (regulatory revenue share)</t>
        </is>
      </c>
      <c r="C57" s="9" t="n">
        <v>0.027</v>
      </c>
    </row>
    <row r="58">
      <c r="A58" s="6" t="inlineStr">
        <is>
          <t>Expected credit losses / revenue</t>
        </is>
      </c>
      <c r="C58" s="9" t="n">
        <v>0.0145</v>
      </c>
    </row>
    <row r="59">
      <c r="A59" s="6" t="inlineStr">
        <is>
          <t>Other operating income (AED mn/yr)</t>
        </is>
      </c>
      <c r="C59" s="23" t="n">
        <v>15</v>
      </c>
    </row>
    <row r="61">
      <c r="A61" s="12" t="inlineStr">
        <is>
          <t>Capital intensity and working capital</t>
        </is>
      </c>
      <c r="B61" s="15" t="n"/>
      <c r="C61" s="15" t="n"/>
      <c r="D61" s="15" t="n"/>
      <c r="E61" s="15" t="n"/>
      <c r="F61" s="15" t="n"/>
      <c r="G61" s="15" t="n"/>
      <c r="H61" s="15" t="n"/>
    </row>
    <row r="62">
      <c r="A62" s="6" t="inlineStr">
        <is>
          <t>Capital expenditure / revenue</t>
        </is>
      </c>
      <c r="B62" s="9" t="n">
        <v>0.155</v>
      </c>
      <c r="C62" s="9" t="n">
        <v>0.15</v>
      </c>
      <c r="D62" s="9" t="n">
        <v>0.145</v>
      </c>
      <c r="E62" s="9" t="n">
        <v>0.135</v>
      </c>
      <c r="F62" s="9" t="n">
        <v>0.13</v>
      </c>
    </row>
    <row r="63">
      <c r="A63" s="6" t="inlineStr">
        <is>
          <t>Tangible share of capex (audited FY2025)</t>
        </is>
      </c>
      <c r="C63" s="9" t="n">
        <v>0.866</v>
      </c>
    </row>
    <row r="64">
      <c r="A64" s="6" t="inlineStr">
        <is>
          <t>PP&amp;E depreciation rate on opening balance (audited FY2025)</t>
        </is>
      </c>
      <c r="C64" s="9" t="n">
        <v>0.1583</v>
      </c>
    </row>
    <row r="65">
      <c r="A65" s="6" t="inlineStr">
        <is>
          <t>Intangibles amortisation rate on opening balance (audited FY2025)</t>
        </is>
      </c>
      <c r="C65" s="9" t="n">
        <v>0.289</v>
      </c>
    </row>
    <row r="66">
      <c r="A66" s="6" t="inlineStr">
        <is>
          <t>Right-of-use depreciation, matched by non-cash lease additions (AED mn)</t>
        </is>
      </c>
      <c r="B66" s="23" t="n">
        <v>355</v>
      </c>
      <c r="C66" s="23" t="n">
        <v>350</v>
      </c>
      <c r="D66" s="23" t="n">
        <v>345</v>
      </c>
      <c r="E66" s="23" t="n">
        <v>340</v>
      </c>
      <c r="F66" s="23" t="n">
        <v>335</v>
      </c>
    </row>
    <row r="67">
      <c r="A67" s="6" t="inlineStr">
        <is>
          <t>Net working capital / revenue (audited FY2025 component days)</t>
        </is>
      </c>
      <c r="C67" s="9" t="n">
        <v>-0.0667974774135183</v>
      </c>
    </row>
    <row r="69">
      <c r="A69" s="12" t="inlineStr">
        <is>
          <t>Cost of capital</t>
        </is>
      </c>
      <c r="B69" s="15" t="n"/>
      <c r="C69" s="15" t="n"/>
      <c r="D69" s="15" t="n"/>
      <c r="E69" s="15" t="n"/>
      <c r="F69" s="15" t="n"/>
      <c r="G69" s="15" t="n"/>
      <c r="H69" s="15" t="n"/>
    </row>
    <row r="70">
      <c r="A70" s="6" t="inlineStr">
        <is>
          <t>Risk-free rate — Jan-2031 AED T-bond (longest liquid AED tenor)</t>
        </is>
      </c>
      <c r="C70" s="9" t="n">
        <v>0.0448</v>
      </c>
    </row>
    <row r="71">
      <c r="A71" s="6" t="inlineStr">
        <is>
          <t>UAE sovereign default spread (netted out; Aa2 rating basis)</t>
        </is>
      </c>
      <c r="C71" s="9" t="n">
        <v>0.0004</v>
      </c>
    </row>
    <row r="72">
      <c r="A72" s="6" t="inlineStr">
        <is>
          <t>Equity risk premium (UAE total, rating basis)</t>
        </is>
      </c>
      <c r="C72" s="9" t="n">
        <v>0.0429</v>
      </c>
    </row>
    <row r="73">
      <c r="A73" s="6" t="inlineStr">
        <is>
          <t>Beta (DU weekly vs FTSE ADX General, 5y)</t>
        </is>
      </c>
      <c r="C73" s="26" t="n">
        <v>0.488</v>
      </c>
    </row>
    <row r="74">
      <c r="A74" s="6" t="inlineStr">
        <is>
          <t>Marginal cost of debt (AED sovereign + GCC telecom spread)</t>
        </is>
      </c>
      <c r="C74" s="9" t="n">
        <v>0.051</v>
      </c>
    </row>
    <row r="75">
      <c r="A75" s="6" t="inlineStr">
        <is>
          <t>AED risk-free path (defines the glide)</t>
        </is>
      </c>
      <c r="B75" s="9" t="n">
        <v>0.0448</v>
      </c>
      <c r="C75" s="9" t="n">
        <v>0.0444</v>
      </c>
      <c r="D75" s="9" t="n">
        <v>0.0439</v>
      </c>
      <c r="E75" s="9" t="n">
        <v>0.0435</v>
      </c>
      <c r="F75" s="9" t="n">
        <v>0.043</v>
      </c>
    </row>
    <row r="76">
      <c r="A76" s="6" t="inlineStr">
        <is>
          <t>Terminal risk-free rate</t>
        </is>
      </c>
      <c r="C76" s="9" t="n">
        <v>0.043</v>
      </c>
    </row>
    <row r="77">
      <c r="A77" s="6" t="inlineStr">
        <is>
          <t>Terminal equity risk premium</t>
        </is>
      </c>
      <c r="C77" s="9" t="n">
        <v>0.0429</v>
      </c>
    </row>
    <row r="78">
      <c r="A78" s="6" t="inlineStr">
        <is>
          <t>Terminal cost of debt</t>
        </is>
      </c>
      <c r="C78" s="9" t="n">
        <v>0.049</v>
      </c>
    </row>
    <row r="79">
      <c r="A79" s="6" t="inlineStr">
        <is>
          <t>Terminal debt weight</t>
        </is>
      </c>
      <c r="C79" s="9" t="n">
        <v>0.05</v>
      </c>
    </row>
    <row r="80">
      <c r="A80" s="6" t="inlineStr">
        <is>
          <t>Terminal growth</t>
        </is>
      </c>
      <c r="C80" s="9" t="n">
        <v>0.025</v>
      </c>
    </row>
    <row r="82">
      <c r="A82" s="12" t="inlineStr">
        <is>
          <t>Balance-sheet and bridge anchors</t>
        </is>
      </c>
      <c r="B82" s="15" t="n"/>
      <c r="C82" s="15" t="n"/>
      <c r="D82" s="15" t="n"/>
      <c r="E82" s="15" t="n"/>
      <c r="F82" s="15" t="n"/>
      <c r="G82" s="15" t="n"/>
      <c r="H82" s="15" t="n"/>
    </row>
    <row r="83">
      <c r="A83" s="6" t="inlineStr">
        <is>
          <t>Lease liabilities at FY2025 (AED mn, audited — the only debt-like item)</t>
        </is>
      </c>
      <c r="C83" s="23" t="n">
        <v>1938.819</v>
      </c>
    </row>
    <row r="84">
      <c r="A84" s="6" t="inlineStr">
        <is>
          <t>Cash and term deposits at FY2025 (AED mn, audited)</t>
        </is>
      </c>
      <c r="C84" s="23" t="n">
        <v>2249.719</v>
      </c>
    </row>
    <row r="85">
      <c r="A85" s="6" t="inlineStr">
        <is>
          <t>Equity-accounted investees at carrying value (AED mn)</t>
        </is>
      </c>
      <c r="C85" s="24" t="n">
        <v>0.511</v>
      </c>
    </row>
    <row r="86">
      <c r="A86" s="6" t="inlineStr">
        <is>
          <t>Forecast dividend payout ratio (FY2024 actual 98%, FY2025 ~100%)</t>
        </is>
      </c>
      <c r="C86" s="9" t="n">
        <v>0.98</v>
      </c>
    </row>
    <row r="87">
      <c r="A87" s="6" t="inlineStr">
        <is>
          <t>Yield on cash and term deposits (audited FY2025 effective)</t>
        </is>
      </c>
      <c r="C87" s="9" t="n">
        <v>0.033</v>
      </c>
    </row>
    <row r="88">
      <c r="A88" s="6" t="inlineStr">
        <is>
          <t>Lease interest rate (audited FY2025 effective)</t>
        </is>
      </c>
      <c r="C88" s="9" t="n">
        <v>0.036</v>
      </c>
    </row>
    <row r="89">
      <c r="A89" s="6" t="inlineStr">
        <is>
          <t>Dividends gone ex between 31-Dec-2025 and the anchor (AED/share)</t>
        </is>
      </c>
      <c r="C89" s="7" t="n">
        <v>0.66</v>
      </c>
    </row>
    <row r="90">
      <c r="A90" s="6" t="inlineStr">
        <is>
          <t>Days from the 31-Dec-2025 valuation date to the 07-Aug-2026 anchor</t>
        </is>
      </c>
      <c r="C90" s="23" t="n">
        <v>219</v>
      </c>
    </row>
    <row r="92">
      <c r="A92" s="12" t="inlineStr">
        <is>
          <t>Lens inputs</t>
        </is>
      </c>
      <c r="B92" s="15" t="n"/>
      <c r="C92" s="15" t="n"/>
      <c r="D92" s="15" t="n"/>
      <c r="E92" s="15" t="n"/>
      <c r="F92" s="15" t="n"/>
      <c r="G92" s="15" t="n"/>
      <c r="H92" s="15" t="n"/>
    </row>
    <row r="93">
      <c r="A93" s="6" t="inlineStr">
        <is>
          <t>Justified price/earnings (GCC telecom peer median)</t>
        </is>
      </c>
      <c r="C93" s="21" t="n">
        <v>12.9</v>
      </c>
    </row>
    <row r="94">
      <c r="A94" s="6" t="inlineStr">
        <is>
          <t>Peer benchmark dividend yield</t>
        </is>
      </c>
      <c r="C94" s="9" t="n">
        <v>0.0489</v>
      </c>
    </row>
    <row r="95">
      <c r="A95" s="6" t="inlineStr">
        <is>
          <t>Sustainable return on equity</t>
        </is>
      </c>
      <c r="C95" s="9" t="n">
        <v>0.27</v>
      </c>
    </row>
    <row r="96">
      <c r="A96" s="6" t="inlineStr">
        <is>
          <t>Weight — discounted cash flow</t>
        </is>
      </c>
      <c r="C96" s="9" t="n">
        <v>0.45</v>
      </c>
    </row>
    <row r="97">
      <c r="A97" s="6" t="inlineStr">
        <is>
          <t>Weight — relative</t>
        </is>
      </c>
      <c r="C97" s="9" t="n">
        <v>0.25</v>
      </c>
    </row>
    <row r="98">
      <c r="A98" s="6" t="inlineStr">
        <is>
          <t>Weight — normalised</t>
        </is>
      </c>
      <c r="C98" s="9" t="n">
        <v>0.2</v>
      </c>
    </row>
    <row r="99">
      <c r="A99" s="6" t="inlineStr">
        <is>
          <t>Weight — book</t>
        </is>
      </c>
      <c r="C99" s="9" t="n">
        <v>0.1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Enterprise value to equity — the bridge</t>
        </is>
      </c>
      <c r="B1" s="2" t="n"/>
      <c r="C1" s="2" t="n"/>
      <c r="D1" s="2" t="n"/>
      <c r="E1" s="2" t="n"/>
    </row>
    <row r="2">
      <c r="A2" s="4" t="inlineStr">
        <is>
          <t>du has no drawn borrowings and no minority interests: the bridge is leases out, cash and deposits in</t>
        </is>
      </c>
    </row>
    <row r="4">
      <c r="A4" s="5" t="inlineStr">
        <is>
          <t>Step</t>
        </is>
      </c>
      <c r="B4" s="5" t="inlineStr">
        <is>
          <t>AED mn</t>
        </is>
      </c>
      <c r="C4" s="5" t="inlineStr">
        <is>
          <t>Per share (AED)</t>
        </is>
      </c>
    </row>
    <row r="5">
      <c r="A5" s="6" t="inlineStr">
        <is>
          <t>Present value of the five forecast years</t>
        </is>
      </c>
      <c r="C5" s="18">
        <f>DCF!C27</f>
        <v/>
      </c>
      <c r="D5" s="10">
        <f>C5/Assumptions!$C$6</f>
        <v/>
      </c>
    </row>
    <row r="6">
      <c r="A6" s="6" t="inlineStr">
        <is>
          <t>Present value of the terminal value</t>
        </is>
      </c>
      <c r="C6" s="18">
        <f>DCF!C28</f>
        <v/>
      </c>
      <c r="D6" s="10">
        <f>C6/Assumptions!$C$6</f>
        <v/>
      </c>
    </row>
    <row r="7">
      <c r="A7" s="6" t="inlineStr">
        <is>
          <t>Enterprise value</t>
        </is>
      </c>
      <c r="C7" s="27">
        <f>C5+C6</f>
        <v/>
      </c>
      <c r="D7" s="28">
        <f>C7/Assumptions!$C$6</f>
        <v/>
      </c>
    </row>
    <row r="8">
      <c r="A8" s="6" t="inlineStr">
        <is>
          <t>Less lease liabilities (the only debt-like item)</t>
        </is>
      </c>
      <c r="C8" s="18">
        <f>-Assumptions!$C$83</f>
        <v/>
      </c>
      <c r="D8" s="10">
        <f>C8/Assumptions!$C$6</f>
        <v/>
      </c>
    </row>
    <row r="9">
      <c r="A9" s="6" t="inlineStr">
        <is>
          <t>Plus cash and term deposits</t>
        </is>
      </c>
      <c r="C9" s="18">
        <f>Assumptions!$C$84</f>
        <v/>
      </c>
      <c r="D9" s="10">
        <f>C9/Assumptions!$C$6</f>
        <v/>
      </c>
    </row>
    <row r="10">
      <c r="A10" s="6" t="inlineStr">
        <is>
          <t>Plus equity-accounted investees at carrying value</t>
        </is>
      </c>
      <c r="C10" s="18">
        <f>Assumptions!$C$85</f>
        <v/>
      </c>
      <c r="D10" s="10">
        <f>C10/Assumptions!$C$6</f>
        <v/>
      </c>
    </row>
    <row r="11">
      <c r="A11" s="15" t="inlineStr">
        <is>
          <t>Equity value</t>
        </is>
      </c>
      <c r="B11" s="15" t="n"/>
      <c r="C11" s="29">
        <f>C7+C8+C9+C10</f>
        <v/>
      </c>
      <c r="D11" s="30">
        <f>C11/Assumptions!$C$6</f>
        <v/>
      </c>
    </row>
    <row r="13">
      <c r="A13" s="6" t="inlineStr">
        <is>
          <t>Terminal value as a share of enterprise value</t>
        </is>
      </c>
      <c r="C13" s="16">
        <f>DCF!C29</f>
        <v/>
      </c>
    </row>
    <row r="14">
      <c r="A14" s="4" t="inlineStr">
        <is>
          <t>No minority interests: every subsidiary is wholly owned (the two H1-2026 Cayman SPVs are 100%-held); non-controlling interests do not appear on the audited balance sheet.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Segments — the unit build and the margin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FY2025 disclosed revenue and contribution margins; forecast segment revenue is the unit build's OUTPUT (pasted, blue) and everything below it is formula</t>
        </is>
      </c>
    </row>
    <row r="4">
      <c r="A4" s="5" t="inlineStr">
        <is>
          <t>Segment</t>
        </is>
      </c>
      <c r="B4" s="5" t="inlineStr">
        <is>
          <t>FY2025 revenue</t>
        </is>
      </c>
      <c r="C4" s="5" t="inlineStr">
        <is>
          <t>Share</t>
        </is>
      </c>
      <c r="D4" s="5" t="inlineStr">
        <is>
          <t>FY2025 margin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Mobile</t>
        </is>
      </c>
      <c r="B5" s="23" t="n">
        <v>7074.936</v>
      </c>
      <c r="C5" s="11">
        <f>B5/$B$9</f>
        <v/>
      </c>
      <c r="D5" s="9" t="n">
        <v>0.6082941244980873</v>
      </c>
      <c r="E5" s="31">
        <f>Assumptions!$C$13+(Assumptions!$C$15+Assumptions!$B$23)/2*Assumptions!$B$25*6/1000</f>
        <v/>
      </c>
      <c r="F5" s="31">
        <f>(Assumptions!$B$23+Assumptions!$C$23)/2*Assumptions!$C$25*(1+Assumptions!$C$45)^1*12/1000</f>
        <v/>
      </c>
      <c r="G5" s="31">
        <f>(Assumptions!$C$23+Assumptions!$D$23)/2*Assumptions!$D$25*(1+Assumptions!$C$45)^2*12/1000</f>
        <v/>
      </c>
      <c r="H5" s="31">
        <f>(Assumptions!$D$23+Assumptions!$E$23)/2*Assumptions!$E$25*(1+Assumptions!$C$45)^3*12/1000</f>
        <v/>
      </c>
      <c r="I5" s="31">
        <f>(Assumptions!$E$23+Assumptions!$F$23)/2*Assumptions!$F$25*(1+Assumptions!$C$45)^4*12/1000</f>
        <v/>
      </c>
    </row>
    <row r="6">
      <c r="A6" s="6" t="inlineStr">
        <is>
          <t>Fixed</t>
        </is>
      </c>
      <c r="B6" s="23" t="n">
        <v>4379.705</v>
      </c>
      <c r="C6" s="11">
        <f>B6/$B$9</f>
        <v/>
      </c>
      <c r="D6" s="9" t="n">
        <v>0.858015094623953</v>
      </c>
      <c r="E6" s="31">
        <f>Assumptions!$C$14+(Assumptions!$C$16+Assumptions!$B$24)/2*Assumptions!$B$26*6/1000</f>
        <v/>
      </c>
      <c r="F6" s="31">
        <f>(Assumptions!$B$24+Assumptions!$C$24)/2*Assumptions!$C$26*(1+Assumptions!$C$45)^1*12/1000</f>
        <v/>
      </c>
      <c r="G6" s="31">
        <f>(Assumptions!$C$24+Assumptions!$D$24)/2*Assumptions!$D$26*(1+Assumptions!$C$45)^2*12/1000</f>
        <v/>
      </c>
      <c r="H6" s="31">
        <f>(Assumptions!$D$24+Assumptions!$E$24)/2*Assumptions!$E$26*(1+Assumptions!$C$45)^3*12/1000</f>
        <v/>
      </c>
      <c r="I6" s="31">
        <f>(Assumptions!$E$24+Assumptions!$F$24)/2*Assumptions!$F$26*(1+Assumptions!$C$45)^4*12/1000</f>
        <v/>
      </c>
    </row>
    <row r="7">
      <c r="A7" s="6" t="inlineStr">
        <is>
          <t>Wholesale</t>
        </is>
      </c>
      <c r="B7" s="23" t="n">
        <v>2568.222</v>
      </c>
      <c r="C7" s="11">
        <f>B7/$B$9</f>
        <v/>
      </c>
      <c r="D7" s="9" t="n">
        <v>0.8642060538380248</v>
      </c>
      <c r="E7" s="31">
        <f>Assumptions!$C$17*(1+Assumptions!$B$27)</f>
        <v/>
      </c>
      <c r="F7" s="31">
        <f>E7*(1+Assumptions!$C$27)</f>
        <v/>
      </c>
      <c r="G7" s="31">
        <f>F7*(1+Assumptions!$D$27)</f>
        <v/>
      </c>
      <c r="H7" s="31">
        <f>G7*(1+Assumptions!$E$27)</f>
        <v/>
      </c>
      <c r="I7" s="31">
        <f>H7*(1+Assumptions!$F$27)</f>
        <v/>
      </c>
    </row>
    <row r="8">
      <c r="A8" s="6" t="inlineStr">
        <is>
          <t>ICT and associated telecom services</t>
        </is>
      </c>
      <c r="B8" s="23" t="n">
        <v>1882.558</v>
      </c>
      <c r="C8" s="11">
        <f>B8/$B$9</f>
        <v/>
      </c>
      <c r="D8" s="9" t="n">
        <v>0.1939000020185301</v>
      </c>
      <c r="E8" s="31">
        <f>Assumptions!$C$18*(1+Assumptions!$B$28)</f>
        <v/>
      </c>
      <c r="F8" s="31">
        <f>E8*(1+Assumptions!$C$28)</f>
        <v/>
      </c>
      <c r="G8" s="31">
        <f>F8*(1+Assumptions!$D$28)</f>
        <v/>
      </c>
      <c r="H8" s="31">
        <f>G8*(1+Assumptions!$E$28)</f>
        <v/>
      </c>
      <c r="I8" s="31">
        <f>H8*(1+Assumptions!$F$28)</f>
        <v/>
      </c>
    </row>
    <row r="9">
      <c r="A9" s="12" t="inlineStr">
        <is>
          <t>Total revenue</t>
        </is>
      </c>
      <c r="B9" s="32">
        <f>SUM(B5:B8)</f>
        <v/>
      </c>
      <c r="C9" s="14">
        <f>SUM(C5:C8)</f>
        <v/>
      </c>
      <c r="D9" s="15" t="n"/>
      <c r="E9" s="32">
        <f>SUM(E5:E8)</f>
        <v/>
      </c>
      <c r="F9" s="32">
        <f>SUM(F5:F8)</f>
        <v/>
      </c>
      <c r="G9" s="32">
        <f>SUM(G5:G8)</f>
        <v/>
      </c>
      <c r="H9" s="32">
        <f>SUM(H5:H8)</f>
        <v/>
      </c>
      <c r="I9" s="32">
        <f>SUM(I5:I8)</f>
        <v/>
      </c>
    </row>
    <row r="11">
      <c r="A11" s="5" t="inlineStr">
        <is>
          <t>Direct cost per unit — each line grown on its own physical driver</t>
        </is>
      </c>
      <c r="B11" s="5" t="inlineStr">
        <is>
          <t>FY26E</t>
        </is>
      </c>
      <c r="C11" s="5" t="inlineStr">
        <is>
          <t>FY27E</t>
        </is>
      </c>
      <c r="D11" s="5" t="inlineStr">
        <is>
          <t>FY28E</t>
        </is>
      </c>
      <c r="E11" s="5" t="inlineStr">
        <is>
          <t>FY29E</t>
        </is>
      </c>
      <c r="F11" s="5" t="inlineStr">
        <is>
          <t>FY30E</t>
        </is>
      </c>
    </row>
    <row r="12">
      <c r="A12" s="6" t="inlineStr">
        <is>
          <t>Mobile interconnect (AED per subscriber per month)</t>
        </is>
      </c>
      <c r="B12" s="33">
        <f>Assumptions!$C$31*(1+Assumptions!$C$32)^0</f>
        <v/>
      </c>
      <c r="C12" s="33">
        <f>Assumptions!$C$31*(1+Assumptions!$C$32)^1</f>
        <v/>
      </c>
      <c r="D12" s="33">
        <f>Assumptions!$C$31*(1+Assumptions!$C$32)^2</f>
        <v/>
      </c>
      <c r="E12" s="33">
        <f>Assumptions!$C$31*(1+Assumptions!$C$32)^3</f>
        <v/>
      </c>
      <c r="F12" s="33">
        <f>Assumptions!$C$31*(1+Assumptions!$C$32)^4</f>
        <v/>
      </c>
    </row>
    <row r="13">
      <c r="A13" s="6" t="inlineStr">
        <is>
          <t>Mobile commission (AED per subscriber per month)</t>
        </is>
      </c>
      <c r="B13" s="33">
        <f>Assumptions!$C$33*(1+Assumptions!$C$34)^0</f>
        <v/>
      </c>
      <c r="C13" s="33">
        <f>Assumptions!$C$33*(1+Assumptions!$C$34)^1</f>
        <v/>
      </c>
      <c r="D13" s="33">
        <f>Assumptions!$C$33*(1+Assumptions!$C$34)^2</f>
        <v/>
      </c>
      <c r="E13" s="33">
        <f>Assumptions!$C$33*(1+Assumptions!$C$34)^3</f>
        <v/>
      </c>
      <c r="F13" s="33">
        <f>Assumptions!$C$33*(1+Assumptions!$C$34)^4</f>
        <v/>
      </c>
    </row>
    <row r="14">
      <c r="A14" s="6" t="inlineStr">
        <is>
          <t>Mobile devices and direct services (AED per subscriber per month)</t>
        </is>
      </c>
      <c r="B14" s="33">
        <f>Assumptions!$C$35*(1+Assumptions!$C$36)^0</f>
        <v/>
      </c>
      <c r="C14" s="33">
        <f>Assumptions!$C$35*(1+Assumptions!$C$36)^1</f>
        <v/>
      </c>
      <c r="D14" s="33">
        <f>Assumptions!$C$35*(1+Assumptions!$C$36)^2</f>
        <v/>
      </c>
      <c r="E14" s="33">
        <f>Assumptions!$C$35*(1+Assumptions!$C$36)^3</f>
        <v/>
      </c>
      <c r="F14" s="33">
        <f>Assumptions!$C$35*(1+Assumptions!$C$36)^4</f>
        <v/>
      </c>
    </row>
    <row r="15">
      <c r="A15" s="12" t="inlineStr">
        <is>
          <t>Mobile — total direct cost per subscriber per month</t>
        </is>
      </c>
      <c r="B15" s="34">
        <f>B12+B13+B14</f>
        <v/>
      </c>
      <c r="C15" s="34">
        <f>C12+C13+C14</f>
        <v/>
      </c>
      <c r="D15" s="34">
        <f>D12+D13+D14</f>
        <v/>
      </c>
      <c r="E15" s="34">
        <f>E12+E13+E14</f>
        <v/>
      </c>
      <c r="F15" s="34">
        <f>F12+F13+F14</f>
        <v/>
      </c>
    </row>
    <row r="16">
      <c r="A16" s="6" t="inlineStr">
        <is>
          <t>Fixed capacity and direct cost (AED per subscriber per month)</t>
        </is>
      </c>
      <c r="B16" s="33">
        <f>Assumptions!$C$37*(1+Assumptions!$C$38)^0</f>
        <v/>
      </c>
      <c r="C16" s="33">
        <f>Assumptions!$C$37*(1+Assumptions!$C$38)^1</f>
        <v/>
      </c>
      <c r="D16" s="33">
        <f>Assumptions!$C$37*(1+Assumptions!$C$38)^2</f>
        <v/>
      </c>
      <c r="E16" s="33">
        <f>Assumptions!$C$37*(1+Assumptions!$C$38)^3</f>
        <v/>
      </c>
      <c r="F16" s="33">
        <f>Assumptions!$C$37*(1+Assumptions!$C$38)^4</f>
        <v/>
      </c>
    </row>
    <row r="17">
      <c r="A17" s="6" t="inlineStr">
        <is>
          <t>Wholesale direct cost / wholesale revenue (no disclosed unit — flagged)</t>
        </is>
      </c>
      <c r="B17" s="11">
        <f>Assumptions!$C$39</f>
        <v/>
      </c>
      <c r="C17" s="11">
        <f>Assumptions!$C$39</f>
        <v/>
      </c>
      <c r="D17" s="11">
        <f>Assumptions!$C$39</f>
        <v/>
      </c>
      <c r="E17" s="11">
        <f>Assumptions!$C$39</f>
        <v/>
      </c>
      <c r="F17" s="11">
        <f>Assumptions!$C$39</f>
        <v/>
      </c>
    </row>
    <row r="18">
      <c r="A18" s="6" t="inlineStr">
        <is>
          <t>ICT direct cost / ICT revenue (no disclosed unit — flagged)</t>
        </is>
      </c>
      <c r="B18" s="11">
        <f>Assumptions!$C$40</f>
        <v/>
      </c>
      <c r="C18" s="11">
        <f>Assumptions!$C$40</f>
        <v/>
      </c>
      <c r="D18" s="11">
        <f>Assumptions!$C$40</f>
        <v/>
      </c>
      <c r="E18" s="11">
        <f>Assumptions!$C$40</f>
        <v/>
      </c>
      <c r="F18" s="11">
        <f>Assumptions!$C$40</f>
        <v/>
      </c>
    </row>
    <row r="20">
      <c r="A20" s="5" t="inlineStr">
        <is>
          <t>Direct cost (AED mn) — volume x cost per unit</t>
        </is>
      </c>
      <c r="B20" s="5" t="inlineStr">
        <is>
          <t>FY26E</t>
        </is>
      </c>
      <c r="C20" s="5" t="inlineStr">
        <is>
          <t>FY27E</t>
        </is>
      </c>
      <c r="D20" s="5" t="inlineStr">
        <is>
          <t>FY28E</t>
        </is>
      </c>
      <c r="E20" s="5" t="inlineStr">
        <is>
          <t>FY29E</t>
        </is>
      </c>
      <c r="F20" s="5" t="inlineStr">
        <is>
          <t>FY30E</t>
        </is>
      </c>
    </row>
    <row r="21">
      <c r="A21" s="6" t="inlineStr">
        <is>
          <t>Mobile</t>
        </is>
      </c>
      <c r="B21" s="31">
        <f>Assumptions!$C$41+(Assumptions!$C$15+Assumptions!$B$23)/2*B15*6/1000</f>
        <v/>
      </c>
      <c r="C21" s="31">
        <f>(Assumptions!$B$23+Assumptions!$C$23)/2*C15*12/1000</f>
        <v/>
      </c>
      <c r="D21" s="31">
        <f>(Assumptions!$C$23+Assumptions!$D$23)/2*D15*12/1000</f>
        <v/>
      </c>
      <c r="E21" s="31">
        <f>(Assumptions!$D$23+Assumptions!$E$23)/2*E15*12/1000</f>
        <v/>
      </c>
      <c r="F21" s="31">
        <f>(Assumptions!$E$23+Assumptions!$F$23)/2*F15*12/1000</f>
        <v/>
      </c>
    </row>
    <row r="22">
      <c r="A22" s="6" t="inlineStr">
        <is>
          <t>Fixed</t>
        </is>
      </c>
      <c r="B22" s="31">
        <f>Assumptions!$C$42+(Assumptions!$C$16+Assumptions!$B$24)/2*B16*6/1000</f>
        <v/>
      </c>
      <c r="C22" s="31">
        <f>(Assumptions!$B$24+Assumptions!$C$24)/2*C16*12/1000</f>
        <v/>
      </c>
      <c r="D22" s="31">
        <f>(Assumptions!$C$24+Assumptions!$D$24)/2*D16*12/1000</f>
        <v/>
      </c>
      <c r="E22" s="31">
        <f>(Assumptions!$D$24+Assumptions!$E$24)/2*E16*12/1000</f>
        <v/>
      </c>
      <c r="F22" s="31">
        <f>(Assumptions!$E$24+Assumptions!$F$24)/2*F16*12/1000</f>
        <v/>
      </c>
    </row>
    <row r="23">
      <c r="A23" s="6" t="inlineStr">
        <is>
          <t>Wholesale</t>
        </is>
      </c>
      <c r="B23" s="31">
        <f>Assumptions!$C$43+(E7-Assumptions!$C$19)*B17</f>
        <v/>
      </c>
      <c r="C23" s="31">
        <f>F7*C17</f>
        <v/>
      </c>
      <c r="D23" s="31">
        <f>G7*D17</f>
        <v/>
      </c>
      <c r="E23" s="31">
        <f>H7*E17</f>
        <v/>
      </c>
      <c r="F23" s="31">
        <f>I7*F17</f>
        <v/>
      </c>
    </row>
    <row r="24">
      <c r="A24" s="6" t="inlineStr">
        <is>
          <t>ICT and associated telecom services</t>
        </is>
      </c>
      <c r="B24" s="31">
        <f>Assumptions!$C$44+(E8-Assumptions!$C$20)*B18</f>
        <v/>
      </c>
      <c r="C24" s="31">
        <f>F8*C18</f>
        <v/>
      </c>
      <c r="D24" s="31">
        <f>G8*D18</f>
        <v/>
      </c>
      <c r="E24" s="31">
        <f>H8*E18</f>
        <v/>
      </c>
      <c r="F24" s="31">
        <f>I8*F18</f>
        <v/>
      </c>
    </row>
    <row r="25">
      <c r="A25" s="12" t="inlineStr">
        <is>
          <t>Total direct cost</t>
        </is>
      </c>
      <c r="B25" s="32">
        <f>SUM(B21:B24)</f>
        <v/>
      </c>
      <c r="C25" s="32">
        <f>SUM(C21:C24)</f>
        <v/>
      </c>
      <c r="D25" s="32">
        <f>SUM(D21:D24)</f>
        <v/>
      </c>
      <c r="E25" s="32">
        <f>SUM(E21:E24)</f>
        <v/>
      </c>
      <c r="F25" s="32">
        <f>SUM(F21:F24)</f>
        <v/>
      </c>
    </row>
    <row r="27">
      <c r="A27" s="5" t="inlineStr">
        <is>
          <t>Contribution = revenue less direct cost — AN OUTPUT, NOT AN INPUT</t>
        </is>
      </c>
      <c r="B27" s="5" t="inlineStr">
        <is>
          <t>FY26E</t>
        </is>
      </c>
      <c r="C27" s="5" t="inlineStr">
        <is>
          <t>FY27E</t>
        </is>
      </c>
      <c r="D27" s="5" t="inlineStr">
        <is>
          <t>FY28E</t>
        </is>
      </c>
      <c r="E27" s="5" t="inlineStr">
        <is>
          <t>FY29E</t>
        </is>
      </c>
      <c r="F27" s="5" t="inlineStr">
        <is>
          <t>FY30E</t>
        </is>
      </c>
    </row>
    <row r="28">
      <c r="A28" s="6" t="inlineStr">
        <is>
          <t>Mobile</t>
        </is>
      </c>
      <c r="B28" s="31">
        <f>E5-B21</f>
        <v/>
      </c>
      <c r="C28" s="31">
        <f>F5-C21</f>
        <v/>
      </c>
      <c r="D28" s="31">
        <f>G5-D21</f>
        <v/>
      </c>
      <c r="E28" s="31">
        <f>H5-E21</f>
        <v/>
      </c>
      <c r="F28" s="31">
        <f>I5-F21</f>
        <v/>
      </c>
    </row>
    <row r="29">
      <c r="A29" s="6" t="inlineStr">
        <is>
          <t>Fixed</t>
        </is>
      </c>
      <c r="B29" s="31">
        <f>E6-B22</f>
        <v/>
      </c>
      <c r="C29" s="31">
        <f>F6-C22</f>
        <v/>
      </c>
      <c r="D29" s="31">
        <f>G6-D22</f>
        <v/>
      </c>
      <c r="E29" s="31">
        <f>H6-E22</f>
        <v/>
      </c>
      <c r="F29" s="31">
        <f>I6-F22</f>
        <v/>
      </c>
    </row>
    <row r="30">
      <c r="A30" s="6" t="inlineStr">
        <is>
          <t>Wholesale</t>
        </is>
      </c>
      <c r="B30" s="31">
        <f>E7-B23</f>
        <v/>
      </c>
      <c r="C30" s="31">
        <f>F7-C23</f>
        <v/>
      </c>
      <c r="D30" s="31">
        <f>G7-D23</f>
        <v/>
      </c>
      <c r="E30" s="31">
        <f>H7-E23</f>
        <v/>
      </c>
      <c r="F30" s="31">
        <f>I7-F23</f>
        <v/>
      </c>
    </row>
    <row r="31">
      <c r="A31" s="6" t="inlineStr">
        <is>
          <t>ICT and associated telecom services</t>
        </is>
      </c>
      <c r="B31" s="31">
        <f>E8-B24</f>
        <v/>
      </c>
      <c r="C31" s="31">
        <f>F8-C24</f>
        <v/>
      </c>
      <c r="D31" s="31">
        <f>G8-D24</f>
        <v/>
      </c>
      <c r="E31" s="31">
        <f>H8-E24</f>
        <v/>
      </c>
      <c r="F31" s="31">
        <f>I8-F24</f>
        <v/>
      </c>
    </row>
    <row r="32">
      <c r="A32" s="12" t="inlineStr">
        <is>
          <t>Total contribution</t>
        </is>
      </c>
      <c r="B32" s="32">
        <f>SUM(B28:B31)</f>
        <v/>
      </c>
      <c r="C32" s="32">
        <f>SUM(C28:C31)</f>
        <v/>
      </c>
      <c r="D32" s="32">
        <f>SUM(D28:D31)</f>
        <v/>
      </c>
      <c r="E32" s="32">
        <f>SUM(E28:E31)</f>
        <v/>
      </c>
      <c r="F32" s="32">
        <f>SUM(F28:F31)</f>
        <v/>
      </c>
    </row>
    <row r="34">
      <c r="A34" s="5" t="inlineStr">
        <is>
          <t>Contribution margin — computed, never assumed</t>
        </is>
      </c>
      <c r="B34" s="5" t="inlineStr">
        <is>
          <t>FY26E</t>
        </is>
      </c>
      <c r="C34" s="5" t="inlineStr">
        <is>
          <t>FY27E</t>
        </is>
      </c>
      <c r="D34" s="5" t="inlineStr">
        <is>
          <t>FY28E</t>
        </is>
      </c>
      <c r="E34" s="5" t="inlineStr">
        <is>
          <t>FY29E</t>
        </is>
      </c>
      <c r="F34" s="5" t="inlineStr">
        <is>
          <t>FY30E</t>
        </is>
      </c>
    </row>
    <row r="35">
      <c r="A35" s="6" t="inlineStr">
        <is>
          <t>Mobile</t>
        </is>
      </c>
      <c r="B35" s="11">
        <f>B28/E5</f>
        <v/>
      </c>
      <c r="C35" s="11">
        <f>C28/F5</f>
        <v/>
      </c>
      <c r="D35" s="11">
        <f>D28/G5</f>
        <v/>
      </c>
      <c r="E35" s="11">
        <f>E28/H5</f>
        <v/>
      </c>
      <c r="F35" s="11">
        <f>F28/I5</f>
        <v/>
      </c>
    </row>
    <row r="36">
      <c r="A36" s="6" t="inlineStr">
        <is>
          <t>Fixed</t>
        </is>
      </c>
      <c r="B36" s="11">
        <f>B29/E6</f>
        <v/>
      </c>
      <c r="C36" s="11">
        <f>C29/F6</f>
        <v/>
      </c>
      <c r="D36" s="11">
        <f>D29/G6</f>
        <v/>
      </c>
      <c r="E36" s="11">
        <f>E29/H6</f>
        <v/>
      </c>
      <c r="F36" s="11">
        <f>F29/I6</f>
        <v/>
      </c>
    </row>
    <row r="37">
      <c r="A37" s="6" t="inlineStr">
        <is>
          <t>Wholesale</t>
        </is>
      </c>
      <c r="B37" s="11">
        <f>B30/E7</f>
        <v/>
      </c>
      <c r="C37" s="11">
        <f>C30/F7</f>
        <v/>
      </c>
      <c r="D37" s="11">
        <f>D30/G7</f>
        <v/>
      </c>
      <c r="E37" s="11">
        <f>E30/H7</f>
        <v/>
      </c>
      <c r="F37" s="11">
        <f>F30/I7</f>
        <v/>
      </c>
    </row>
    <row r="38">
      <c r="A38" s="6" t="inlineStr">
        <is>
          <t>ICT and associated telecom services</t>
        </is>
      </c>
      <c r="B38" s="11">
        <f>B31/E8</f>
        <v/>
      </c>
      <c r="C38" s="11">
        <f>C31/F8</f>
        <v/>
      </c>
      <c r="D38" s="11">
        <f>D31/G8</f>
        <v/>
      </c>
      <c r="E38" s="11">
        <f>E31/H8</f>
        <v/>
      </c>
      <c r="F38" s="11">
        <f>F31/I8</f>
        <v/>
      </c>
    </row>
    <row r="39">
      <c r="A39" s="12" t="inlineStr">
        <is>
          <t>Group gross margin</t>
        </is>
      </c>
      <c r="B39" s="14">
        <f>B32/E9</f>
        <v/>
      </c>
      <c r="C39" s="14">
        <f>C32/F9</f>
        <v/>
      </c>
      <c r="D39" s="14">
        <f>D32/G9</f>
        <v/>
      </c>
      <c r="E39" s="14">
        <f>E32/H9</f>
        <v/>
      </c>
      <c r="F39" s="14">
        <f>F32/I9</f>
        <v/>
      </c>
    </row>
    <row r="41">
      <c r="A41" s="5" t="inlineStr">
        <is>
          <t>Operating expense stack — one escalator per cost class</t>
        </is>
      </c>
      <c r="B41" s="5" t="inlineStr">
        <is>
          <t>FY26E</t>
        </is>
      </c>
      <c r="C41" s="5" t="inlineStr">
        <is>
          <t>FY27E</t>
        </is>
      </c>
      <c r="D41" s="5" t="inlineStr">
        <is>
          <t>FY28E</t>
        </is>
      </c>
      <c r="E41" s="5" t="inlineStr">
        <is>
          <t>FY29E</t>
        </is>
      </c>
      <c r="F41" s="5" t="inlineStr">
        <is>
          <t>FY30E</t>
        </is>
      </c>
    </row>
    <row r="42">
      <c r="A42" s="6" t="inlineStr">
        <is>
          <t>Staff (wage escalator)</t>
        </is>
      </c>
      <c r="B42" s="31">
        <f>Assumptions!$C$48*(1+Assumptions!$C$49)^0</f>
        <v/>
      </c>
      <c r="C42" s="31">
        <f>Assumptions!$C$48*(1+Assumptions!$C$49)^1</f>
        <v/>
      </c>
      <c r="D42" s="31">
        <f>Assumptions!$C$48*(1+Assumptions!$C$49)^2</f>
        <v/>
      </c>
      <c r="E42" s="31">
        <f>Assumptions!$C$48*(1+Assumptions!$C$49)^3</f>
        <v/>
      </c>
      <c r="F42" s="31">
        <f>Assumptions!$C$48*(1+Assumptions!$C$49)^4</f>
        <v/>
      </c>
    </row>
    <row r="43">
      <c r="A43" s="6" t="inlineStr">
        <is>
          <t>Network &amp; maintenance (network-scale escalator)</t>
        </is>
      </c>
      <c r="B43" s="31">
        <f>Assumptions!$C$50*(1+Assumptions!$C$51)^1</f>
        <v/>
      </c>
      <c r="C43" s="31">
        <f>Assumptions!$C$50*(1+Assumptions!$C$51)^2</f>
        <v/>
      </c>
      <c r="D43" s="31">
        <f>Assumptions!$C$50*(1+Assumptions!$C$51)^3</f>
        <v/>
      </c>
      <c r="E43" s="31">
        <f>Assumptions!$C$50*(1+Assumptions!$C$51)^4</f>
        <v/>
      </c>
      <c r="F43" s="31">
        <f>Assumptions!$C$50*(1+Assumptions!$C$51)^5</f>
        <v/>
      </c>
    </row>
    <row r="44">
      <c r="A44" s="6" t="inlineStr">
        <is>
          <t>Marketing (% of revenue)</t>
        </is>
      </c>
      <c r="B44" s="31">
        <f>E9*Assumptions!$C$56</f>
        <v/>
      </c>
      <c r="C44" s="31">
        <f>F9*Assumptions!$C$56</f>
        <v/>
      </c>
      <c r="D44" s="31">
        <f>G9*Assumptions!$C$56</f>
        <v/>
      </c>
      <c r="E44" s="31">
        <f>H9*Assumptions!$C$56</f>
        <v/>
      </c>
      <c r="F44" s="31">
        <f>I9*Assumptions!$C$56</f>
        <v/>
      </c>
    </row>
    <row r="45">
      <c r="A45" s="6" t="inlineStr">
        <is>
          <t>Telecom licence and related fees (% of revenue)</t>
        </is>
      </c>
      <c r="B45" s="31">
        <f>E9*Assumptions!$C$57</f>
        <v/>
      </c>
      <c r="C45" s="31">
        <f>F9*Assumptions!$C$57</f>
        <v/>
      </c>
      <c r="D45" s="31">
        <f>G9*Assumptions!$C$57</f>
        <v/>
      </c>
      <c r="E45" s="31">
        <f>H9*Assumptions!$C$57</f>
        <v/>
      </c>
      <c r="F45" s="31">
        <f>I9*Assumptions!$C$57</f>
        <v/>
      </c>
    </row>
    <row r="46">
      <c r="A46" s="6" t="inlineStr">
        <is>
          <t>Administrative (CPI escalator)</t>
        </is>
      </c>
      <c r="B46" s="31">
        <f>Assumptions!$C$52*(1+Assumptions!$C$53)^1</f>
        <v/>
      </c>
      <c r="C46" s="31">
        <f>Assumptions!$C$52*(1+Assumptions!$C$53)^2</f>
        <v/>
      </c>
      <c r="D46" s="31">
        <f>Assumptions!$C$52*(1+Assumptions!$C$53)^3</f>
        <v/>
      </c>
      <c r="E46" s="31">
        <f>Assumptions!$C$52*(1+Assumptions!$C$53)^4</f>
        <v/>
      </c>
      <c r="F46" s="31">
        <f>Assumptions!$C$52*(1+Assumptions!$C$53)^5</f>
        <v/>
      </c>
    </row>
    <row r="47">
      <c r="A47" s="6" t="inlineStr">
        <is>
          <t>Other operating expense (CPI escalator)</t>
        </is>
      </c>
      <c r="B47" s="31">
        <f>Assumptions!$C$54*(1+Assumptions!$C$55)^1</f>
        <v/>
      </c>
      <c r="C47" s="31">
        <f>Assumptions!$C$54*(1+Assumptions!$C$55)^2</f>
        <v/>
      </c>
      <c r="D47" s="31">
        <f>Assumptions!$C$54*(1+Assumptions!$C$55)^3</f>
        <v/>
      </c>
      <c r="E47" s="31">
        <f>Assumptions!$C$54*(1+Assumptions!$C$55)^4</f>
        <v/>
      </c>
      <c r="F47" s="31">
        <f>Assumptions!$C$54*(1+Assumptions!$C$55)^5</f>
        <v/>
      </c>
    </row>
    <row r="48">
      <c r="A48" s="6" t="inlineStr">
        <is>
          <t>Expected credit losses (% of revenue)</t>
        </is>
      </c>
      <c r="B48" s="31">
        <f>E9*Assumptions!$C$58</f>
        <v/>
      </c>
      <c r="C48" s="31">
        <f>F9*Assumptions!$C$58</f>
        <v/>
      </c>
      <c r="D48" s="31">
        <f>G9*Assumptions!$C$58</f>
        <v/>
      </c>
      <c r="E48" s="31">
        <f>H9*Assumptions!$C$58</f>
        <v/>
      </c>
      <c r="F48" s="31">
        <f>I9*Assumptions!$C$58</f>
        <v/>
      </c>
    </row>
    <row r="49">
      <c r="A49" s="6" t="inlineStr">
        <is>
          <t>Less other operating income</t>
        </is>
      </c>
      <c r="B49" s="31">
        <f>-Assumptions!$C$59</f>
        <v/>
      </c>
      <c r="C49" s="31">
        <f>-Assumptions!$C$59</f>
        <v/>
      </c>
      <c r="D49" s="31">
        <f>-Assumptions!$C$59</f>
        <v/>
      </c>
      <c r="E49" s="31">
        <f>-Assumptions!$C$59</f>
        <v/>
      </c>
      <c r="F49" s="31">
        <f>-Assumptions!$C$59</f>
        <v/>
      </c>
    </row>
    <row r="50">
      <c r="A50" s="12" t="inlineStr">
        <is>
          <t>Total operating expenses before D&amp;A</t>
        </is>
      </c>
      <c r="B50" s="32">
        <f>SUM(B42:B49)</f>
        <v/>
      </c>
      <c r="C50" s="32">
        <f>SUM(C42:C49)</f>
        <v/>
      </c>
      <c r="D50" s="32">
        <f>SUM(D42:D49)</f>
        <v/>
      </c>
      <c r="E50" s="32">
        <f>SUM(E42:E49)</f>
        <v/>
      </c>
      <c r="F50" s="32">
        <f>SUM(F42:F49)</f>
        <v/>
      </c>
    </row>
    <row r="51">
      <c r="A51" s="12" t="inlineStr">
        <is>
          <t>Group EBITDA (contribution less the opex stack)</t>
        </is>
      </c>
      <c r="B51" s="32">
        <f>B32-B50</f>
        <v/>
      </c>
      <c r="C51" s="32">
        <f>C32-C50</f>
        <v/>
      </c>
      <c r="D51" s="32">
        <f>D32-D50</f>
        <v/>
      </c>
      <c r="E51" s="32">
        <f>E32-E50</f>
        <v/>
      </c>
      <c r="F51" s="32">
        <f>F32-F50</f>
        <v/>
      </c>
    </row>
    <row r="52">
      <c r="A52" s="6" t="inlineStr">
        <is>
          <t>Group EBITDA margin</t>
        </is>
      </c>
      <c r="B52" s="11">
        <f>B51/E$9</f>
        <v/>
      </c>
      <c r="C52" s="11">
        <f>C51/F$9</f>
        <v/>
      </c>
      <c r="D52" s="11">
        <f>D51/G$9</f>
        <v/>
      </c>
      <c r="E52" s="11">
        <f>E51/H$9</f>
        <v/>
      </c>
      <c r="F52" s="11">
        <f>F51/I$9</f>
        <v/>
      </c>
    </row>
    <row r="54">
      <c r="A54" s="5" t="inlineStr">
        <is>
          <t>The unit build behind Mobile and Fixed (triangulation shown, not asserted)</t>
        </is>
      </c>
      <c r="B54" s="5" t="inlineStr">
        <is>
          <t>FY26E</t>
        </is>
      </c>
      <c r="C54" s="5" t="inlineStr">
        <is>
          <t>FY27E</t>
        </is>
      </c>
      <c r="D54" s="5" t="inlineStr">
        <is>
          <t>FY28E</t>
        </is>
      </c>
      <c r="E54" s="5" t="inlineStr">
        <is>
          <t>FY29E</t>
        </is>
      </c>
      <c r="F54" s="5" t="inlineStr">
        <is>
          <t>FY30E</t>
        </is>
      </c>
    </row>
    <row r="55">
      <c r="A55" s="6" t="inlineStr">
        <is>
          <t>Mobile subscribers, end of year ('000)</t>
        </is>
      </c>
      <c r="B55" s="31">
        <f>Assumptions!$B$23</f>
        <v/>
      </c>
      <c r="C55" s="31">
        <f>Assumptions!$C$23</f>
        <v/>
      </c>
      <c r="D55" s="31">
        <f>Assumptions!$D$23</f>
        <v/>
      </c>
      <c r="E55" s="31">
        <f>Assumptions!$E$23</f>
        <v/>
      </c>
      <c r="F55" s="31">
        <f>Assumptions!$F$23</f>
        <v/>
      </c>
    </row>
    <row r="56">
      <c r="A56" s="6" t="inlineStr">
        <is>
          <t>Average mobile base ('000) — (prior end + end)/2</t>
        </is>
      </c>
      <c r="B56" s="31">
        <f>(9280+Assumptions!$B$23)/2</f>
        <v/>
      </c>
      <c r="C56" s="31">
        <f>(Assumptions!$B$23+Assumptions!$C$23)/2</f>
        <v/>
      </c>
      <c r="D56" s="31">
        <f>(Assumptions!$C$23+Assumptions!$D$23)/2</f>
        <v/>
      </c>
      <c r="E56" s="31">
        <f>(Assumptions!$D$23+Assumptions!$E$23)/2</f>
        <v/>
      </c>
      <c r="F56" s="31">
        <f>(Assumptions!$E$23+Assumptions!$F$23)/2</f>
        <v/>
      </c>
    </row>
    <row r="57">
      <c r="A57" s="6" t="inlineStr">
        <is>
          <t>Blended mobile ARPU (AED/month)</t>
        </is>
      </c>
      <c r="B57" s="35">
        <f>Assumptions!$B$25</f>
        <v/>
      </c>
      <c r="C57" s="35">
        <f>Assumptions!$C$25</f>
        <v/>
      </c>
      <c r="D57" s="35">
        <f>Assumptions!$D$25</f>
        <v/>
      </c>
      <c r="E57" s="35">
        <f>Assumptions!$E$25</f>
        <v/>
      </c>
      <c r="F57" s="35">
        <f>Assumptions!$F$25</f>
        <v/>
      </c>
    </row>
    <row r="58">
      <c r="A58" s="6" t="inlineStr">
        <is>
          <t>Unit-implied mobile revenue — average base x ARPU x 12 (FY2026 is H1 actual + unit-built H2, so the check applies from FY2027)</t>
        </is>
      </c>
      <c r="B58" s="31" t="inlineStr">
        <is>
          <t>-</t>
        </is>
      </c>
      <c r="C58" s="31">
        <f>C56*C57*12/1000</f>
        <v/>
      </c>
      <c r="D58" s="31">
        <f>D56*D57*12/1000</f>
        <v/>
      </c>
      <c r="E58" s="31">
        <f>E56*E57*12/1000</f>
        <v/>
      </c>
      <c r="F58" s="31">
        <f>F56*F57*12/1000</f>
        <v/>
      </c>
    </row>
    <row r="59">
      <c r="A59" s="6" t="inlineStr">
        <is>
          <t>Pasted mobile segment revenue (the build output above)</t>
        </is>
      </c>
      <c r="B59" s="18">
        <f>E5</f>
        <v/>
      </c>
      <c r="C59" s="18">
        <f>F5</f>
        <v/>
      </c>
      <c r="D59" s="18">
        <f>G5</f>
        <v/>
      </c>
      <c r="E59" s="18">
        <f>H5</f>
        <v/>
      </c>
      <c r="F59" s="18">
        <f>I5</f>
        <v/>
      </c>
    </row>
    <row r="60">
      <c r="A60" s="6" t="inlineStr">
        <is>
          <t>Check — unit-implied less pasted</t>
        </is>
      </c>
      <c r="B60" s="31" t="inlineStr">
        <is>
          <t>-</t>
        </is>
      </c>
      <c r="C60" s="35">
        <f>C58-C59</f>
        <v/>
      </c>
      <c r="D60" s="35">
        <f>D58-D59</f>
        <v/>
      </c>
      <c r="E60" s="35">
        <f>E58-E59</f>
        <v/>
      </c>
      <c r="F60" s="35">
        <f>F58-F59</f>
        <v/>
      </c>
    </row>
    <row r="61">
      <c r="A61" s="4" t="inlineStr">
        <is>
          <t>FY2025 reconciliation: average base 9,310k x ARPU 63.3 x 12 = 7,072 vs the audited mobile segment 7,075 (−0.04%). Wholesale and ICT have no disclosed unit KPIs — segment-level growth is the finest sourced level, and that gap is flagged.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Relative multiples and normalised earnings power</t>
        </is>
      </c>
      <c r="B1" s="2" t="n"/>
      <c r="C1" s="2" t="n"/>
      <c r="D1" s="2" t="n"/>
      <c r="E1" s="2" t="n"/>
      <c r="F1" s="2" t="n"/>
    </row>
    <row r="4">
      <c r="A4" s="5" t="inlineStr">
        <is>
          <t>Relative lens</t>
        </is>
      </c>
      <c r="B4" s="5" t="inlineStr">
        <is>
          <t>Value</t>
        </is>
      </c>
    </row>
    <row r="5">
      <c r="A5" s="6" t="inlineStr">
        <is>
          <t>FY2026E earnings per share (AED)</t>
        </is>
      </c>
      <c r="C5" s="8">
        <f>'Income Statement'!E19</f>
        <v/>
      </c>
    </row>
    <row r="6">
      <c r="A6" s="6" t="inlineStr">
        <is>
          <t>Justified price / earnings (GCC peer median)</t>
        </is>
      </c>
      <c r="C6" s="36">
        <f>Assumptions!$C$93</f>
        <v/>
      </c>
    </row>
    <row r="7">
      <c r="A7" s="6" t="inlineStr">
        <is>
          <t>Implied value at 31-Dec-2025 (AED)</t>
        </is>
      </c>
      <c r="C7" s="10">
        <f>C5*C6</f>
        <v/>
      </c>
    </row>
    <row r="8">
      <c r="A8" s="6" t="inlineStr">
        <is>
          <t>Anchor accretion factor</t>
        </is>
      </c>
      <c r="C8" s="37">
        <f>DCF!C62</f>
        <v/>
      </c>
    </row>
    <row r="9">
      <c r="A9" s="6" t="inlineStr">
        <is>
          <t>Less final FY2025 dividend paid 28-Apr-2026 (AED)</t>
        </is>
      </c>
      <c r="C9" s="8">
        <f>Assumptions!$C$89</f>
        <v/>
      </c>
    </row>
    <row r="10">
      <c r="A10" s="6" t="inlineStr"/>
    </row>
    <row r="11">
      <c r="A11" s="15" t="inlineStr">
        <is>
          <t>Implied value per share at the anchor (AED)</t>
        </is>
      </c>
      <c r="B11" s="15" t="n"/>
      <c r="C11" s="30">
        <f>C7*C8-C9</f>
        <v/>
      </c>
    </row>
    <row r="12">
      <c r="A12" s="6" t="inlineStr">
        <is>
          <t>Bear at 12.0x (C) / bull at 18.5x (D), same construction</t>
        </is>
      </c>
      <c r="C12" s="10">
        <f>C5*12*C8-C9</f>
        <v/>
      </c>
      <c r="D12" s="10">
        <f>C5*18.5*C8-C9</f>
        <v/>
      </c>
    </row>
    <row r="13">
      <c r="A13" s="6" t="inlineStr">
        <is>
          <t>Trailing price / earnings</t>
        </is>
      </c>
      <c r="C13" s="36">
        <f>Assumptions!$C$5/'Income Statement'!D19</f>
        <v/>
      </c>
    </row>
    <row r="14">
      <c r="A14" s="6" t="inlineStr">
        <is>
          <t>Trailing enterprise value / EBITDA</t>
        </is>
      </c>
      <c r="C14" s="36">
        <f>((Assumptions!$C$5*Assumptions!$C$6)+Assumptions!$C$83-Assumptions!$C$84)/'Income Statement'!D9</f>
        <v/>
      </c>
    </row>
    <row r="15">
      <c r="A15" s="6" t="inlineStr">
        <is>
          <t>Dividend-yield cross: FY2026E dividend per share (AED)</t>
        </is>
      </c>
      <c r="C15" s="8">
        <f>'Income Statement'!E20</f>
        <v/>
      </c>
    </row>
    <row r="16">
      <c r="A16" s="6" t="inlineStr">
        <is>
          <t>Peer benchmark dividend yield</t>
        </is>
      </c>
      <c r="C16" s="11">
        <f>Assumptions!$C$94</f>
        <v/>
      </c>
    </row>
    <row r="17">
      <c r="A17" s="6" t="inlineStr">
        <is>
          <t>Implied value from the yield cross (AED)</t>
        </is>
      </c>
      <c r="C17" s="10">
        <f>C15/C16</f>
        <v/>
      </c>
    </row>
    <row r="19">
      <c r="A19" s="5" t="inlineStr">
        <is>
          <t>Normalised earnings lens — mid-cycle margin (FY2028E) at current (FY2026E) scale</t>
        </is>
      </c>
      <c r="B19" s="5" t="inlineStr">
        <is>
          <t>Value</t>
        </is>
      </c>
    </row>
    <row r="20">
      <c r="A20" s="6" t="inlineStr">
        <is>
          <t>Current-scale revenue (FY2026E, AED mn)</t>
        </is>
      </c>
      <c r="C20" s="18">
        <f>DCF!B5</f>
        <v/>
      </c>
    </row>
    <row r="21">
      <c r="A21" s="6" t="inlineStr">
        <is>
          <t>Mid-cycle EBITDA margin (FY2028E)</t>
        </is>
      </c>
      <c r="C21" s="16">
        <f>DCF!D7</f>
        <v/>
      </c>
    </row>
    <row r="22">
      <c r="A22" s="6" t="inlineStr">
        <is>
          <t>Normalised EBITDA (AED mn)</t>
        </is>
      </c>
      <c r="C22" s="31">
        <f>C20*C21</f>
        <v/>
      </c>
    </row>
    <row r="23">
      <c r="A23" s="6" t="inlineStr">
        <is>
          <t>Normalised EBIT (AED mn) — less FY2026E depreciation and amortisation</t>
        </is>
      </c>
      <c r="C23" s="18">
        <f>C22+'Income Statement'!E11</f>
        <v/>
      </c>
    </row>
    <row r="24">
      <c r="A24" s="6" t="inlineStr">
        <is>
          <t>Net finance income (FY2026E, AED mn)</t>
        </is>
      </c>
      <c r="C24" s="18">
        <f>'Income Statement'!E13+'Income Statement'!E14</f>
        <v/>
      </c>
    </row>
    <row r="25">
      <c r="A25" s="6" t="inlineStr">
        <is>
          <t>Normalised net profit (AED mn)</t>
        </is>
      </c>
      <c r="C25" s="31">
        <f>(C23+C24)*(1-Assumptions!$C$7)</f>
        <v/>
      </c>
    </row>
    <row r="26">
      <c r="A26" s="6" t="inlineStr">
        <is>
          <t>Normalised earnings per share (AED)</t>
        </is>
      </c>
      <c r="C26" s="10">
        <f>C25/Assumptions!$C$6</f>
        <v/>
      </c>
    </row>
    <row r="27">
      <c r="A27" s="15" t="inlineStr">
        <is>
          <t>Implied value per share at the anchor (AED)</t>
        </is>
      </c>
      <c r="B27" s="15" t="n"/>
      <c r="C27" s="30">
        <f>C26*Assumptions!$C$93*DCF!$C$62-Assumptions!$C$89</f>
        <v/>
      </c>
      <c r="D27" s="6" t="inlineStr">
        <is>
          <t>bear 12.0x (E) / bull 18.5x (F):</t>
        </is>
      </c>
      <c r="E27" s="10">
        <f>C26*12*DCF!$C$62-Assumptions!$C$89</f>
        <v/>
      </c>
      <c r="F27" s="10">
        <f>C26*18.5*DCF!$C$62-Assumptions!$C$89</f>
        <v/>
      </c>
    </row>
    <row r="29">
      <c r="A29" s="5" t="inlineStr">
        <is>
          <t>Book lens</t>
        </is>
      </c>
      <c r="B29" s="5" t="inlineStr">
        <is>
          <t>Value</t>
        </is>
      </c>
    </row>
    <row r="30">
      <c r="A30" s="6" t="inlineStr">
        <is>
          <t>Book value per share (AED)</t>
        </is>
      </c>
      <c r="C30" s="8">
        <f>'Balance Sheet'!D14/Assumptions!$C$6</f>
        <v/>
      </c>
    </row>
    <row r="31">
      <c r="A31" s="6" t="inlineStr">
        <is>
          <t>Sustainable return on equity</t>
        </is>
      </c>
      <c r="C31" s="11">
        <f>Assumptions!$C$95</f>
        <v/>
      </c>
    </row>
    <row r="32">
      <c r="A32" s="6" t="inlineStr">
        <is>
          <t>Trailing return on equity</t>
        </is>
      </c>
      <c r="C32" s="16">
        <f>'Income Statement'!D18/(('Balance Sheet'!C14+'Balance Sheet'!D14)/2)</f>
        <v/>
      </c>
    </row>
    <row r="33">
      <c r="A33" s="6" t="inlineStr">
        <is>
          <t>Perpetual (terminal) cost of equity — a steady-state multiple takes a steady-state rate</t>
        </is>
      </c>
      <c r="C33" s="16">
        <f>DCF!C50</f>
        <v/>
      </c>
    </row>
    <row r="34">
      <c r="A34" s="6" t="inlineStr">
        <is>
          <t>Justified price / book</t>
        </is>
      </c>
      <c r="C34" s="38">
        <f>(C31-Assumptions!$C$80)/(C33-Assumptions!$C$80)</f>
        <v/>
      </c>
    </row>
    <row r="35">
      <c r="A35" s="15" t="inlineStr">
        <is>
          <t>Implied value per share at the anchor (AED)</t>
        </is>
      </c>
      <c r="B35" s="15" t="n"/>
      <c r="C35" s="30">
        <f>C30*C34*DCF!$C$62-Assumptions!$C$89</f>
        <v/>
      </c>
      <c r="D35" s="6" t="inlineStr">
        <is>
          <t>bear / bull constructions (E / F):</t>
        </is>
      </c>
      <c r="E35" s="10">
        <f>((Assumptions!$C$95-Assumptions!$C$80)/((DCF!C40+DCF!C50)/2+0.01-Assumptions!$C$80))*C30*DCF!$C$62-Assumptions!$C$89</f>
        <v/>
      </c>
      <c r="F35" s="10">
        <f>((Assumptions!$C$95+0.02-Assumptions!$C$80)/(DCF!C50-Assumptions!$C$80))*C30*DCF!$C$62-Assumptions!$C$89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Discounted cash flow — the full waterfall</t>
        </is>
      </c>
      <c r="B1" s="2" t="n"/>
      <c r="C1" s="2" t="n"/>
      <c r="D1" s="2" t="n"/>
      <c r="E1" s="2" t="n"/>
      <c r="F1" s="2" t="n"/>
    </row>
    <row r="2">
      <c r="A2" s="4" t="inlineStr">
        <is>
          <t>Every line is a live formula: the cost of capital is built below, the glide is derived from the AED risk-free path, and the terminal value is capitalised at the terminal rate and discounted at the year-5 factor</t>
        </is>
      </c>
    </row>
    <row r="4">
      <c r="A4" s="5" t="inlineStr">
        <is>
          <t>AED mn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B5" s="18">
        <f>Segments!E9</f>
        <v/>
      </c>
      <c r="C5" s="18">
        <f>Segments!F9</f>
        <v/>
      </c>
      <c r="D5" s="18">
        <f>Segments!G9</f>
        <v/>
      </c>
      <c r="E5" s="18">
        <f>Segments!H9</f>
        <v/>
      </c>
      <c r="F5" s="18">
        <f>Segments!I9</f>
        <v/>
      </c>
    </row>
    <row r="6">
      <c r="A6" s="6" t="inlineStr">
        <is>
          <t>EBITDA</t>
        </is>
      </c>
      <c r="B6" s="18">
        <f>Segments!B51</f>
        <v/>
      </c>
      <c r="C6" s="18">
        <f>Segments!C51</f>
        <v/>
      </c>
      <c r="D6" s="18">
        <f>Segments!D51</f>
        <v/>
      </c>
      <c r="E6" s="18">
        <f>Segments!E51</f>
        <v/>
      </c>
      <c r="F6" s="18">
        <f>Segments!F51</f>
        <v/>
      </c>
    </row>
    <row r="7">
      <c r="A7" s="6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</row>
    <row r="8">
      <c r="A8" s="6" t="inlineStr">
        <is>
          <t>Less depreciation and amortisation</t>
        </is>
      </c>
      <c r="B8" s="18">
        <f>'Income Statement'!E11</f>
        <v/>
      </c>
      <c r="C8" s="18">
        <f>'Income Statement'!F11</f>
        <v/>
      </c>
      <c r="D8" s="18">
        <f>'Income Statement'!G11</f>
        <v/>
      </c>
      <c r="E8" s="18">
        <f>'Income Statement'!H11</f>
        <v/>
      </c>
      <c r="F8" s="18">
        <f>'Income Statement'!I11</f>
        <v/>
      </c>
    </row>
    <row r="9">
      <c r="A9" s="15" t="inlineStr">
        <is>
          <t>EBIT</t>
        </is>
      </c>
      <c r="B9" s="29">
        <f>B6+B8</f>
        <v/>
      </c>
      <c r="C9" s="29">
        <f>C6+C8</f>
        <v/>
      </c>
      <c r="D9" s="29">
        <f>D6+D8</f>
        <v/>
      </c>
      <c r="E9" s="29">
        <f>E6+E8</f>
        <v/>
      </c>
      <c r="F9" s="29">
        <f>F6+F8</f>
        <v/>
      </c>
    </row>
    <row r="10">
      <c r="A10" s="6" t="inlineStr">
        <is>
          <t>NOPAT — EBIT x (1 - 43.6% combined royalty and tax)</t>
        </is>
      </c>
      <c r="B10" s="31">
        <f>B9*(1-Assumptions!$C$7)</f>
        <v/>
      </c>
      <c r="C10" s="31">
        <f>C9*(1-Assumptions!$C$7)</f>
        <v/>
      </c>
      <c r="D10" s="31">
        <f>D9*(1-Assumptions!$C$7)</f>
        <v/>
      </c>
      <c r="E10" s="31">
        <f>E9*(1-Assumptions!$C$7)</f>
        <v/>
      </c>
      <c r="F10" s="31">
        <f>F9*(1-Assumptions!$C$7)</f>
        <v/>
      </c>
    </row>
    <row r="11">
      <c r="A11" s="6" t="inlineStr">
        <is>
          <t>Add back depreciation and amortisation</t>
        </is>
      </c>
      <c r="B11" s="31">
        <f>-B8</f>
        <v/>
      </c>
      <c r="C11" s="31">
        <f>-C8</f>
        <v/>
      </c>
      <c r="D11" s="31">
        <f>-D8</f>
        <v/>
      </c>
      <c r="E11" s="31">
        <f>-E8</f>
        <v/>
      </c>
      <c r="F11" s="31">
        <f>-F8</f>
        <v/>
      </c>
    </row>
    <row r="12">
      <c r="A12" s="6" t="inlineStr">
        <is>
          <t>Less capital expenditure</t>
        </is>
      </c>
      <c r="B12" s="31">
        <f>-B5*Assumptions!$B$62</f>
        <v/>
      </c>
      <c r="C12" s="31">
        <f>-C5*Assumptions!$C$62</f>
        <v/>
      </c>
      <c r="D12" s="31">
        <f>-D5*Assumptions!$D$62</f>
        <v/>
      </c>
      <c r="E12" s="31">
        <f>-E5*Assumptions!$E$62</f>
        <v/>
      </c>
      <c r="F12" s="31">
        <f>-F5*Assumptions!$F$62</f>
        <v/>
      </c>
    </row>
    <row r="13">
      <c r="A13" s="6" t="inlineStr">
        <is>
          <t>Memo — lease replacement at right-of-use depreciation, NOT deducted (leases are debt)</t>
        </is>
      </c>
      <c r="B13" s="31">
        <f>Assumptions!$B$66</f>
        <v/>
      </c>
      <c r="C13" s="31">
        <f>Assumptions!$C$66</f>
        <v/>
      </c>
      <c r="D13" s="31">
        <f>Assumptions!$D$66</f>
        <v/>
      </c>
      <c r="E13" s="31">
        <f>Assumptions!$E$66</f>
        <v/>
      </c>
      <c r="F13" s="31">
        <f>Assumptions!$F$66</f>
        <v/>
      </c>
    </row>
    <row r="14">
      <c r="A14" s="6" t="inlineStr">
        <is>
          <t>Less change in working capital</t>
        </is>
      </c>
      <c r="B14" s="31">
        <f>-(B5*Assumptions!$C$67-'Balance Sheet'!D11)</f>
        <v/>
      </c>
      <c r="C14" s="31">
        <f>-(C5-B5)*Assumptions!$C$67</f>
        <v/>
      </c>
      <c r="D14" s="31">
        <f>-(D5-C5)*Assumptions!$C$67</f>
        <v/>
      </c>
      <c r="E14" s="31">
        <f>-(E5-D5)*Assumptions!$C$67</f>
        <v/>
      </c>
      <c r="F14" s="31">
        <f>-(F5-E5)*Assumptions!$C$67</f>
        <v/>
      </c>
    </row>
    <row r="15">
      <c r="A15" s="15" t="inlineStr">
        <is>
          <t>Free cash flow to the firm</t>
        </is>
      </c>
      <c r="B15" s="29">
        <f>B10+B11+B12+B14</f>
        <v/>
      </c>
      <c r="C15" s="29">
        <f>C10+C11+C12+C14</f>
        <v/>
      </c>
      <c r="D15" s="29">
        <f>D10+D11+D12+D14</f>
        <v/>
      </c>
      <c r="E15" s="29">
        <f>E10+E11+E12+E14</f>
        <v/>
      </c>
      <c r="F15" s="29">
        <f>F10+F11+F12+F14</f>
        <v/>
      </c>
    </row>
    <row r="16">
      <c r="A16" s="6" t="inlineStr">
        <is>
          <t>Forward cost of capital</t>
        </is>
      </c>
      <c r="B16" s="39">
        <f>$C$47-($C$47-$C$54)*B58</f>
        <v/>
      </c>
      <c r="C16" s="39">
        <f>$C$47-($C$47-$C$54)*C58</f>
        <v/>
      </c>
      <c r="D16" s="39">
        <f>$C$47-($C$47-$C$54)*D58</f>
        <v/>
      </c>
      <c r="E16" s="39">
        <f>$C$47-($C$47-$C$54)*E58</f>
        <v/>
      </c>
      <c r="F16" s="39">
        <f>$C$47-($C$47-$C$54)*F58</f>
        <v/>
      </c>
    </row>
    <row r="17">
      <c r="A17" s="6" t="inlineStr">
        <is>
          <t>Discount factor</t>
        </is>
      </c>
      <c r="B17" s="40">
        <f>1/(1+B16)</f>
        <v/>
      </c>
      <c r="C17" s="40">
        <f>B17/(1+C16)</f>
        <v/>
      </c>
      <c r="D17" s="40">
        <f>C17/(1+D16)</f>
        <v/>
      </c>
      <c r="E17" s="40">
        <f>D17/(1+E16)</f>
        <v/>
      </c>
      <c r="F17" s="40">
        <f>E17/(1+F16)</f>
        <v/>
      </c>
    </row>
    <row r="18">
      <c r="A18" s="15" t="inlineStr">
        <is>
          <t>Present value of FCFF</t>
        </is>
      </c>
      <c r="B18" s="29">
        <f>B15*B17</f>
        <v/>
      </c>
      <c r="C18" s="29">
        <f>C15*C17</f>
        <v/>
      </c>
      <c r="D18" s="29">
        <f>D15*D17</f>
        <v/>
      </c>
      <c r="E18" s="29">
        <f>E15*E17</f>
        <v/>
      </c>
      <c r="F18" s="29">
        <f>F15*F17</f>
        <v/>
      </c>
    </row>
    <row r="20">
      <c r="A20" s="20" t="inlineStr">
        <is>
          <t>TERMINAL VALUE, BRIDGE AND THE ANCHOR ROLL</t>
        </is>
      </c>
    </row>
    <row r="21">
      <c r="A21" s="6" t="inlineStr">
        <is>
          <t>Terminal-year NOPAT grown one year (AED mn)</t>
        </is>
      </c>
      <c r="C21" s="31">
        <f>F10*(1+C24)</f>
        <v/>
      </c>
    </row>
    <row r="22">
      <c r="A22" s="6" t="inlineStr">
        <is>
          <t>Terminal return on invested capital</t>
        </is>
      </c>
      <c r="C22" s="16">
        <f>F10*(1+C24)/'Summary Financials'!I13</f>
        <v/>
      </c>
    </row>
    <row r="23">
      <c r="A23" s="6" t="inlineStr">
        <is>
          <t>Required reinvestment rate (g / return on capital)</t>
        </is>
      </c>
      <c r="C23" s="11">
        <f>C24/C22</f>
        <v/>
      </c>
    </row>
    <row r="24">
      <c r="A24" s="6" t="inlineStr">
        <is>
          <t>Terminal growth</t>
        </is>
      </c>
      <c r="C24" s="16">
        <f>Assumptions!$C$80</f>
        <v/>
      </c>
    </row>
    <row r="25">
      <c r="A25" s="6" t="inlineStr">
        <is>
          <t>Terminal cost of capital</t>
        </is>
      </c>
      <c r="C25" s="11">
        <f>C54</f>
        <v/>
      </c>
    </row>
    <row r="26">
      <c r="A26" s="6" t="inlineStr">
        <is>
          <t>Terminal value — terminal-year NOPAT C21 x (1−C23), capitalised (AED mn)</t>
        </is>
      </c>
      <c r="C26" s="31">
        <f>C21*(1-C23)/(C25-C24)</f>
        <v/>
      </c>
    </row>
    <row r="27">
      <c r="A27" s="6" t="inlineStr">
        <is>
          <t>Present value of the five forecast years (AED mn)</t>
        </is>
      </c>
      <c r="C27" s="31">
        <f>SUM(B18:F18)</f>
        <v/>
      </c>
    </row>
    <row r="28">
      <c r="A28" s="6" t="inlineStr">
        <is>
          <t>Present value of the terminal value (AED mn)</t>
        </is>
      </c>
      <c r="C28" s="31">
        <f>C26*F17</f>
        <v/>
      </c>
    </row>
    <row r="29">
      <c r="A29" s="6" t="inlineStr">
        <is>
          <t>Terminal value as a share of enterprise value</t>
        </is>
      </c>
      <c r="C29" s="11">
        <f>C28/(C27+C28)</f>
        <v/>
      </c>
    </row>
    <row r="30">
      <c r="A30" s="6" t="inlineStr">
        <is>
          <t>Enterprise value (AED mn)</t>
        </is>
      </c>
      <c r="C30" s="31">
        <f>C27+C28</f>
        <v/>
      </c>
    </row>
    <row r="31">
      <c r="A31" s="6" t="inlineStr">
        <is>
          <t>Equity value (AED mn)</t>
        </is>
      </c>
      <c r="C31" s="18">
        <f>'SOTP Bridge'!C11</f>
        <v/>
      </c>
    </row>
    <row r="32">
      <c r="A32" s="15" t="inlineStr">
        <is>
          <t>Fair value per share at 31-Dec-2025 (AED)</t>
        </is>
      </c>
      <c r="B32" s="15" t="n"/>
      <c r="C32" s="30">
        <f>C31/Assumptions!$C$6</f>
        <v/>
      </c>
      <c r="D32" s="15" t="n"/>
    </row>
    <row r="34">
      <c r="A34" s="20" t="inlineStr">
        <is>
          <t>COST OF CAPITAL — BUILT HERE, NOT ASSUMED</t>
        </is>
      </c>
    </row>
    <row r="35">
      <c r="A35" s="6" t="inlineStr">
        <is>
          <t>Risk-free rate — Jan-2031 AED T-bond (longest liquid AED tenor)</t>
        </is>
      </c>
      <c r="C35" s="41">
        <f>Assumptions!$C$70</f>
        <v/>
      </c>
    </row>
    <row r="36">
      <c r="A36" s="6" t="inlineStr">
        <is>
          <t>Less UAE sovereign default spread (removed to avoid double-counting)</t>
        </is>
      </c>
      <c r="C36" s="41">
        <f>Assumptions!$C$71</f>
        <v/>
      </c>
    </row>
    <row r="37">
      <c r="A37" s="6" t="inlineStr">
        <is>
          <t>Risk-free rate net of the sovereign spread</t>
        </is>
      </c>
      <c r="C37" s="39">
        <f>C35-C36</f>
        <v/>
      </c>
    </row>
    <row r="38">
      <c r="A38" s="6" t="inlineStr">
        <is>
          <t>Beta (DU weekly vs the FTSE ADX General, 5 years)</t>
        </is>
      </c>
      <c r="C38" s="42">
        <f>Assumptions!$C$73</f>
        <v/>
      </c>
    </row>
    <row r="39">
      <c r="A39" s="6" t="inlineStr">
        <is>
          <t>Equity risk premium (UAE total, rating basis)</t>
        </is>
      </c>
      <c r="C39" s="41">
        <f>Assumptions!$C$72</f>
        <v/>
      </c>
    </row>
    <row r="40">
      <c r="A40" s="6" t="inlineStr">
        <is>
          <t>Cost of equity, explicit window</t>
        </is>
      </c>
      <c r="C40" s="39">
        <f>C37+C38*C39</f>
        <v/>
      </c>
    </row>
    <row r="41">
      <c r="A41" s="6" t="inlineStr">
        <is>
          <t>Marginal cost of debt (AED sovereign + GCC telecom spread)</t>
        </is>
      </c>
      <c r="C41" s="41">
        <f>Assumptions!$C$74</f>
        <v/>
      </c>
    </row>
    <row r="42">
      <c r="A42" s="6" t="inlineStr">
        <is>
          <t>Cost of debt after tax (interest shields both fiscal legs)</t>
        </is>
      </c>
      <c r="C42" s="39">
        <f>C41*(1-Assumptions!$C$7)</f>
        <v/>
      </c>
    </row>
    <row r="43">
      <c r="A43" s="6" t="inlineStr">
        <is>
          <t>Market capitalisation (AED mn)</t>
        </is>
      </c>
      <c r="C43" s="18">
        <f>Assumptions!$C$5*Assumptions!$C$6</f>
        <v/>
      </c>
    </row>
    <row r="44">
      <c r="A44" s="6" t="inlineStr">
        <is>
          <t>Lease liabilities — the only debt-like item (AED mn)</t>
        </is>
      </c>
      <c r="C44" s="18">
        <f>Assumptions!$C$83</f>
        <v/>
      </c>
    </row>
    <row r="45">
      <c r="A45" s="6" t="inlineStr">
        <is>
          <t>Debt weight (leases / (leases + market capitalisation))</t>
        </is>
      </c>
      <c r="C45" s="39">
        <f>C44/(C44+C43)</f>
        <v/>
      </c>
    </row>
    <row r="46">
      <c r="A46" s="6" t="inlineStr">
        <is>
          <t>Equity weight</t>
        </is>
      </c>
      <c r="C46" s="39">
        <f>1-C45</f>
        <v/>
      </c>
    </row>
    <row r="47">
      <c r="A47" s="15" t="inlineStr">
        <is>
          <t>Cost of capital, explicit window</t>
        </is>
      </c>
      <c r="B47" s="15" t="n"/>
      <c r="C47" s="43">
        <f>C46*C40+C45*C42</f>
        <v/>
      </c>
      <c r="D47" s="15" t="n"/>
    </row>
    <row r="48">
      <c r="A48" s="6" t="inlineStr">
        <is>
          <t>Terminal risk-free rate</t>
        </is>
      </c>
      <c r="C48" s="41">
        <f>Assumptions!$C$76</f>
        <v/>
      </c>
    </row>
    <row r="49">
      <c r="A49" s="6" t="inlineStr">
        <is>
          <t>Terminal risk-free net of the sovereign spread</t>
        </is>
      </c>
      <c r="C49" s="39">
        <f>C48-C36</f>
        <v/>
      </c>
    </row>
    <row r="50">
      <c r="A50" s="6" t="inlineStr">
        <is>
          <t>Terminal cost of equity</t>
        </is>
      </c>
      <c r="C50" s="39">
        <f>C49+C38*Assumptions!$C$77</f>
        <v/>
      </c>
    </row>
    <row r="51">
      <c r="A51" s="6" t="inlineStr">
        <is>
          <t>Terminal cost of debt</t>
        </is>
      </c>
      <c r="C51" s="41">
        <f>Assumptions!$C$78</f>
        <v/>
      </c>
    </row>
    <row r="52">
      <c r="A52" s="6" t="inlineStr">
        <is>
          <t>Terminal cost of debt after tax</t>
        </is>
      </c>
      <c r="C52" s="39">
        <f>C51*(1-Assumptions!$C$7)</f>
        <v/>
      </c>
    </row>
    <row r="53">
      <c r="A53" s="6" t="inlineStr">
        <is>
          <t>Terminal debt weight</t>
        </is>
      </c>
      <c r="C53" s="41">
        <f>Assumptions!$C$79</f>
        <v/>
      </c>
    </row>
    <row r="54">
      <c r="A54" s="15" t="inlineStr">
        <is>
          <t>Terminal cost of capital</t>
        </is>
      </c>
      <c r="B54" s="15" t="n"/>
      <c r="C54" s="43">
        <f>(1-C53)*C50+C53*C52</f>
        <v/>
      </c>
      <c r="D54" s="15" t="n"/>
    </row>
    <row r="56">
      <c r="A56" s="5" t="inlineStr">
        <is>
          <t>The glide — inherited from the AED risk-free path, not invented</t>
        </is>
      </c>
      <c r="B56" s="5" t="inlineStr">
        <is>
          <t>FY26E</t>
        </is>
      </c>
      <c r="C56" s="5" t="inlineStr">
        <is>
          <t>FY27E</t>
        </is>
      </c>
      <c r="D56" s="5" t="inlineStr">
        <is>
          <t>FY28E</t>
        </is>
      </c>
      <c r="E56" s="5" t="inlineStr">
        <is>
          <t>FY29E</t>
        </is>
      </c>
      <c r="F56" s="5" t="inlineStr">
        <is>
          <t>FY30E</t>
        </is>
      </c>
    </row>
    <row r="57">
      <c r="A57" s="6" t="inlineStr">
        <is>
          <t>AED risk-free path</t>
        </is>
      </c>
      <c r="B57" s="41">
        <f>Assumptions!$B$75</f>
        <v/>
      </c>
      <c r="C57" s="41">
        <f>Assumptions!$C$75</f>
        <v/>
      </c>
      <c r="D57" s="41">
        <f>Assumptions!$D$75</f>
        <v/>
      </c>
      <c r="E57" s="41">
        <f>Assumptions!$E$75</f>
        <v/>
      </c>
      <c r="F57" s="41">
        <f>Assumptions!$F$75</f>
        <v/>
      </c>
    </row>
    <row r="58">
      <c r="A58" s="6" t="inlineStr">
        <is>
          <t>Glide fraction — cumulative progress of the easing</t>
        </is>
      </c>
      <c r="B58" s="39">
        <f>($B$57-B57)/($B$57-$F$57)</f>
        <v/>
      </c>
      <c r="C58" s="39">
        <f>($B$57-C57)/($B$57-$F$57)</f>
        <v/>
      </c>
      <c r="D58" s="39">
        <f>($B$57-D57)/($B$57-$F$57)</f>
        <v/>
      </c>
      <c r="E58" s="39">
        <f>($B$57-E57)/($B$57-$F$57)</f>
        <v/>
      </c>
      <c r="F58" s="39">
        <f>($B$57-F57)/($B$57-$F$57)</f>
        <v/>
      </c>
    </row>
    <row r="59">
      <c r="A59" s="4" t="inlineStr">
        <is>
          <t>Note: row 16 above is the explicit-window cost of capital walked down to the terminal rate by the glide fraction on row 58. du carries no debt whose cost could define the glide, so the cost-of-money path itself (the AED risk-free path) does — the shape is inherited, not a second free parameter.</t>
        </is>
      </c>
    </row>
    <row r="61">
      <c r="A61" s="20" t="inlineStr">
        <is>
          <t>THE ANCHOR ROLL — one date, one price of time</t>
        </is>
      </c>
    </row>
    <row r="62">
      <c r="A62" s="6" t="inlineStr">
        <is>
          <t>Anchor accretion factor — (1 + cost of equity)^(days to anchor / 365)</t>
        </is>
      </c>
      <c r="C62" s="40">
        <f>(1+C40)^(Assumptions!$C$90/365)</f>
        <v/>
      </c>
    </row>
    <row r="63">
      <c r="A63" s="15" t="inlineStr">
        <is>
          <t>Fair value per share at the 07-Aug-2026 anchor (AED)</t>
        </is>
      </c>
      <c r="B63" s="15" t="n"/>
      <c r="C63" s="30">
        <f>C32*C62-Assumptions!$C$89</f>
        <v/>
      </c>
      <c r="D63" s="15" t="n"/>
    </row>
    <row r="64">
      <c r="A64" s="4" t="inlineStr">
        <is>
          <t>The bridge on row 32 is dated 31-Dec-2025 (the audited balance-sheet date it nets leases and cash at). Row 63 rolls it to the anchor at the cost of equity, net of the AED 0.40 final FY2025 dividend paid 28-Apr-2026. Every lens on every sheet is rolled the same way. The H1-2026 interim dividend of AED 0.26 (declared 23-Jul-2026, unpaid at the anchor) stays in the share.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Income statement — three years historical, five years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mn, consolidated. History is the audited record; every forecast line is a formula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15" t="inlineStr">
        <is>
          <t>Revenue</t>
        </is>
      </c>
      <c r="B5" s="29" t="n">
        <v>13636.34</v>
      </c>
      <c r="C5" s="29" t="n">
        <v>14635.917</v>
      </c>
      <c r="D5" s="29" t="n">
        <v>15905.421</v>
      </c>
      <c r="E5" s="29">
        <f>DCF!B5</f>
        <v/>
      </c>
      <c r="F5" s="29">
        <f>DCF!C5</f>
        <v/>
      </c>
      <c r="G5" s="29">
        <f>DCF!D5</f>
        <v/>
      </c>
      <c r="H5" s="29">
        <f>DCF!E5</f>
        <v/>
      </c>
      <c r="I5" s="29">
        <f>DCF!F5</f>
        <v/>
      </c>
    </row>
    <row r="6">
      <c r="A6" s="6" t="inlineStr">
        <is>
          <t>Direct costs (interconnect, commissions, devices)</t>
        </is>
      </c>
      <c r="B6" s="31" t="inlineStr">
        <is>
          <t>-</t>
        </is>
      </c>
      <c r="C6" s="23" t="n">
        <v>-4818.442</v>
      </c>
      <c r="D6" s="23" t="n">
        <v>-5259.425</v>
      </c>
      <c r="E6" s="18">
        <f>-(DCF!B5-Segments!B32)</f>
        <v/>
      </c>
      <c r="F6" s="18">
        <f>-(DCF!C5-Segments!C32)</f>
        <v/>
      </c>
      <c r="G6" s="18">
        <f>-(DCF!D5-Segments!D32)</f>
        <v/>
      </c>
      <c r="H6" s="18">
        <f>-(DCF!E5-Segments!E32)</f>
        <v/>
      </c>
      <c r="I6" s="18">
        <f>-(DCF!F5-Segments!F32)</f>
        <v/>
      </c>
    </row>
    <row r="7">
      <c r="A7" s="6" t="inlineStr">
        <is>
          <t>Segment contribution</t>
        </is>
      </c>
      <c r="B7" s="31" t="inlineStr">
        <is>
          <t>-</t>
        </is>
      </c>
      <c r="C7" s="31">
        <f>C5+C6</f>
        <v/>
      </c>
      <c r="D7" s="31">
        <f>D5+D6</f>
        <v/>
      </c>
      <c r="E7" s="31">
        <f>E5+E6</f>
        <v/>
      </c>
      <c r="F7" s="31">
        <f>F5+F6</f>
        <v/>
      </c>
      <c r="G7" s="31">
        <f>G5+G6</f>
        <v/>
      </c>
      <c r="H7" s="31">
        <f>H5+H6</f>
        <v/>
      </c>
      <c r="I7" s="31">
        <f>I5+I6</f>
        <v/>
      </c>
    </row>
    <row r="8">
      <c r="A8" s="6" t="inlineStr">
        <is>
          <t>Operating expenses before D&amp;A</t>
        </is>
      </c>
      <c r="B8" s="31" t="inlineStr">
        <is>
          <t>-</t>
        </is>
      </c>
      <c r="C8" s="23" t="n">
        <v>-3347.636</v>
      </c>
      <c r="D8" s="23" t="n">
        <v>-3307.608</v>
      </c>
      <c r="E8" s="18">
        <f>-Segments!B50</f>
        <v/>
      </c>
      <c r="F8" s="18">
        <f>-Segments!C50</f>
        <v/>
      </c>
      <c r="G8" s="18">
        <f>-Segments!D50</f>
        <v/>
      </c>
      <c r="H8" s="18">
        <f>-Segments!E50</f>
        <v/>
      </c>
      <c r="I8" s="18">
        <f>-Segments!F50</f>
        <v/>
      </c>
    </row>
    <row r="9">
      <c r="A9" s="15" t="inlineStr">
        <is>
          <t>EBITDA</t>
        </is>
      </c>
      <c r="B9" s="29" t="n">
        <v>5799.601</v>
      </c>
      <c r="C9" s="29">
        <f>C7+C8</f>
        <v/>
      </c>
      <c r="D9" s="29">
        <f>D7+D8</f>
        <v/>
      </c>
      <c r="E9" s="29">
        <f>DCF!B6</f>
        <v/>
      </c>
      <c r="F9" s="29">
        <f>DCF!C6</f>
        <v/>
      </c>
      <c r="G9" s="29">
        <f>DCF!D6</f>
        <v/>
      </c>
      <c r="H9" s="29">
        <f>DCF!E6</f>
        <v/>
      </c>
      <c r="I9" s="29">
        <f>DCF!F6</f>
        <v/>
      </c>
    </row>
    <row r="10">
      <c r="A10" s="6" t="inlineStr">
        <is>
          <t>EBITDA margin</t>
        </is>
      </c>
      <c r="B10" s="11">
        <f>B9/B5</f>
        <v/>
      </c>
      <c r="C10" s="11">
        <f>C9/C5</f>
        <v/>
      </c>
      <c r="D10" s="11">
        <f>D9/D5</f>
        <v/>
      </c>
      <c r="E10" s="11">
        <f>E9/E5</f>
        <v/>
      </c>
      <c r="F10" s="11">
        <f>F9/F5</f>
        <v/>
      </c>
      <c r="G10" s="11">
        <f>G9/G5</f>
        <v/>
      </c>
      <c r="H10" s="11">
        <f>H9/H5</f>
        <v/>
      </c>
      <c r="I10" s="11">
        <f>I9/I5</f>
        <v/>
      </c>
    </row>
    <row r="11">
      <c r="A11" s="6" t="inlineStr">
        <is>
          <t>Depreciation and amortisation</t>
        </is>
      </c>
      <c r="B11" s="23" t="n">
        <v>-2198.277</v>
      </c>
      <c r="C11" s="23" t="n">
        <v>-2153.59</v>
      </c>
      <c r="D11" s="23" t="n">
        <v>-2167.933</v>
      </c>
      <c r="E11" s="31">
        <f>-('Balance Sheet'!E6+'Balance Sheet'!E9+Assumptions!$B$66)</f>
        <v/>
      </c>
      <c r="F11" s="31">
        <f>-('Balance Sheet'!F6+'Balance Sheet'!F9+Assumptions!$C$66)</f>
        <v/>
      </c>
      <c r="G11" s="31">
        <f>-('Balance Sheet'!G6+'Balance Sheet'!G9+Assumptions!$D$66)</f>
        <v/>
      </c>
      <c r="H11" s="31">
        <f>-('Balance Sheet'!H6+'Balance Sheet'!H9+Assumptions!$E$66)</f>
        <v/>
      </c>
      <c r="I11" s="31">
        <f>-('Balance Sheet'!I6+'Balance Sheet'!I9+Assumptions!$F$66)</f>
        <v/>
      </c>
    </row>
    <row r="12">
      <c r="A12" s="15" t="inlineStr">
        <is>
          <t>Operating profit (EBIT)</t>
        </is>
      </c>
      <c r="B12" s="29">
        <f>B9+B11</f>
        <v/>
      </c>
      <c r="C12" s="29">
        <f>C9+C11</f>
        <v/>
      </c>
      <c r="D12" s="29">
        <f>D9+D11</f>
        <v/>
      </c>
      <c r="E12" s="29">
        <f>E9+E11</f>
        <v/>
      </c>
      <c r="F12" s="29">
        <f>F9+F11</f>
        <v/>
      </c>
      <c r="G12" s="29">
        <f>G9+G11</f>
        <v/>
      </c>
      <c r="H12" s="29">
        <f>H9+H11</f>
        <v/>
      </c>
      <c r="I12" s="29">
        <f>I9+I11</f>
        <v/>
      </c>
    </row>
    <row r="13">
      <c r="A13" s="6" t="inlineStr">
        <is>
          <t>Interest income</t>
        </is>
      </c>
      <c r="B13" s="23" t="n">
        <v>61.327</v>
      </c>
      <c r="C13" s="23" t="n">
        <v>82.214</v>
      </c>
      <c r="D13" s="23" t="n">
        <v>74.672</v>
      </c>
      <c r="E13" s="31">
        <f>Assumptions!$C$87*MAX('Balance Sheet'!D12,0)</f>
        <v/>
      </c>
      <c r="F13" s="31">
        <f>Assumptions!$C$87*MAX('Balance Sheet'!E12,0)</f>
        <v/>
      </c>
      <c r="G13" s="31">
        <f>Assumptions!$C$87*MAX('Balance Sheet'!F12,0)</f>
        <v/>
      </c>
      <c r="H13" s="31">
        <f>Assumptions!$C$87*MAX('Balance Sheet'!G12,0)</f>
        <v/>
      </c>
      <c r="I13" s="31">
        <f>Assumptions!$C$87*MAX('Balance Sheet'!H12,0)</f>
        <v/>
      </c>
    </row>
    <row r="14">
      <c r="A14" s="6" t="inlineStr">
        <is>
          <t>Interest expense (principally leases)</t>
        </is>
      </c>
      <c r="B14" s="23" t="n">
        <v>-101.43</v>
      </c>
      <c r="C14" s="23" t="n">
        <v>-89.77</v>
      </c>
      <c r="D14" s="23" t="n">
        <v>-95.054</v>
      </c>
      <c r="E14" s="31">
        <f>-Assumptions!$C$88*'Balance Sheet'!E13</f>
        <v/>
      </c>
      <c r="F14" s="31">
        <f>-Assumptions!$C$88*'Balance Sheet'!F13</f>
        <v/>
      </c>
      <c r="G14" s="31">
        <f>-Assumptions!$C$88*'Balance Sheet'!G13</f>
        <v/>
      </c>
      <c r="H14" s="31">
        <f>-Assumptions!$C$88*'Balance Sheet'!H13</f>
        <v/>
      </c>
      <c r="I14" s="31">
        <f>-Assumptions!$C$88*'Balance Sheet'!I13</f>
        <v/>
      </c>
    </row>
    <row r="15">
      <c r="A15" s="6" t="inlineStr">
        <is>
          <t>Share of equity-accounted investments</t>
        </is>
      </c>
      <c r="B15" s="23" t="n">
        <v>-2.72</v>
      </c>
      <c r="C15" s="23" t="n">
        <v>-2.427</v>
      </c>
      <c r="D15" s="23" t="n">
        <v>-0.894</v>
      </c>
    </row>
    <row r="16">
      <c r="A16" s="15" t="inlineStr">
        <is>
          <t>Profit before federal royalty and income tax</t>
        </is>
      </c>
      <c r="B16" s="29" t="n">
        <v>3558.501</v>
      </c>
      <c r="C16" s="29" t="n">
        <v>4306.151</v>
      </c>
      <c r="D16" s="29" t="n">
        <v>5149.122</v>
      </c>
      <c r="E16" s="29">
        <f>E12+E13+E14</f>
        <v/>
      </c>
      <c r="F16" s="29">
        <f>F12+F13+F14</f>
        <v/>
      </c>
      <c r="G16" s="29">
        <f>G12+G13+G14</f>
        <v/>
      </c>
      <c r="H16" s="29">
        <f>H12+H13+H14</f>
        <v/>
      </c>
      <c r="I16" s="29">
        <f>I12+I13+I14</f>
        <v/>
      </c>
    </row>
    <row r="17">
      <c r="A17" s="6" t="inlineStr">
        <is>
          <t>Federal royalty and income tax</t>
        </is>
      </c>
      <c r="B17" s="23" t="n">
        <v>-1890.65</v>
      </c>
      <c r="C17" s="23" t="n">
        <v>-1818.604</v>
      </c>
      <c r="D17" s="23" t="n">
        <v>-2244.037</v>
      </c>
      <c r="E17" s="31">
        <f>-E16*Assumptions!$C$7</f>
        <v/>
      </c>
      <c r="F17" s="31">
        <f>-F16*Assumptions!$C$7</f>
        <v/>
      </c>
      <c r="G17" s="31">
        <f>-G16*Assumptions!$C$7</f>
        <v/>
      </c>
      <c r="H17" s="31">
        <f>-H16*Assumptions!$C$7</f>
        <v/>
      </c>
      <c r="I17" s="31">
        <f>-I16*Assumptions!$C$7</f>
        <v/>
      </c>
    </row>
    <row r="18">
      <c r="A18" s="15" t="inlineStr">
        <is>
          <t>Net profit</t>
        </is>
      </c>
      <c r="B18" s="29">
        <f>B16+B17</f>
        <v/>
      </c>
      <c r="C18" s="29">
        <f>C16+C17</f>
        <v/>
      </c>
      <c r="D18" s="29">
        <f>D16+D17</f>
        <v/>
      </c>
      <c r="E18" s="29">
        <f>E16+E17</f>
        <v/>
      </c>
      <c r="F18" s="29">
        <f>F16+F17</f>
        <v/>
      </c>
      <c r="G18" s="29">
        <f>G16+G17</f>
        <v/>
      </c>
      <c r="H18" s="29">
        <f>H16+H17</f>
        <v/>
      </c>
      <c r="I18" s="29">
        <f>I16+I17</f>
        <v/>
      </c>
    </row>
    <row r="19">
      <c r="A19" s="6" t="inlineStr">
        <is>
          <t>Earnings per share (AED)</t>
        </is>
      </c>
      <c r="B19" s="10">
        <f>B18/Assumptions!$C$6</f>
        <v/>
      </c>
      <c r="C19" s="10">
        <f>C18/Assumptions!$C$6</f>
        <v/>
      </c>
      <c r="D19" s="10">
        <f>D18/Assumptions!$C$6</f>
        <v/>
      </c>
      <c r="E19" s="10">
        <f>E18/Assumptions!$C$6</f>
        <v/>
      </c>
      <c r="F19" s="10">
        <f>F18/Assumptions!$C$6</f>
        <v/>
      </c>
      <c r="G19" s="10">
        <f>G18/Assumptions!$C$6</f>
        <v/>
      </c>
      <c r="H19" s="10">
        <f>H18/Assumptions!$C$6</f>
        <v/>
      </c>
      <c r="I19" s="10">
        <f>I18/Assumptions!$C$6</f>
        <v/>
      </c>
    </row>
    <row r="20">
      <c r="A20" s="6" t="inlineStr">
        <is>
          <t>Dividend per share (AED)</t>
        </is>
      </c>
      <c r="B20" s="7" t="n">
        <v>0.34</v>
      </c>
      <c r="C20" s="7" t="n">
        <v>0.54</v>
      </c>
      <c r="D20" s="7" t="n">
        <v>0.64</v>
      </c>
      <c r="E20" s="10">
        <f>E19*Assumptions!$C$86</f>
        <v/>
      </c>
      <c r="F20" s="10">
        <f>F19*Assumptions!$C$86</f>
        <v/>
      </c>
      <c r="G20" s="10">
        <f>G19*Assumptions!$C$86</f>
        <v/>
      </c>
      <c r="H20" s="10">
        <f>H19*Assumptions!$C$86</f>
        <v/>
      </c>
      <c r="I20" s="10">
        <f>I19*Assumptions!$C$86</f>
        <v/>
      </c>
    </row>
    <row r="22">
      <c r="A22" s="4" t="inlineStr">
        <is>
          <t>Notes: FY2024-25 are the audited IFRS 18 face (EBITDA is printed); FY2023 predates IFRS 18 — its by-nature split is not shown ("-") and its EBITDA is derived from audited components and flagged. The historical profit-before-royalty line is the printed figure (small net-impairment items keep it from being a three-line sum; the forecast has none). FY2023 royalty is the old-regime charge (15% of regulated revenue + 30% of regulated profit); no corporate income tax existed before 2024.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Balance sheet — condensed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mn, consolidated. Every FY2023-25 line is the audited closing figure. du carries ZERO drawn borrowings in every year shown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Property, plant and equipment</t>
        </is>
      </c>
      <c r="B5" s="23" t="n">
        <v>9722.700000000001</v>
      </c>
      <c r="C5" s="23" t="n">
        <v>9838.448</v>
      </c>
      <c r="D5" s="23" t="n">
        <v>10288.767</v>
      </c>
      <c r="E5" s="31">
        <f>D5-DCF!B12*Assumptions!$C$63-E6</f>
        <v/>
      </c>
      <c r="F5" s="31">
        <f>E5-DCF!C12*Assumptions!$C$63-F6</f>
        <v/>
      </c>
      <c r="G5" s="31">
        <f>F5-DCF!D12*Assumptions!$C$63-G6</f>
        <v/>
      </c>
      <c r="H5" s="31">
        <f>G5-DCF!E12*Assumptions!$C$63-H6</f>
        <v/>
      </c>
      <c r="I5" s="31">
        <f>H5-DCF!F12*Assumptions!$C$63-I6</f>
        <v/>
      </c>
    </row>
    <row r="6">
      <c r="A6" s="6" t="inlineStr">
        <is>
          <t xml:space="preserve">  of which depreciation charge (memo)</t>
        </is>
      </c>
      <c r="B6" s="23" t="n">
        <v>1544.182</v>
      </c>
      <c r="C6" s="23" t="n">
        <v>1569.189</v>
      </c>
      <c r="D6" s="23" t="n">
        <v>1557.989</v>
      </c>
      <c r="E6" s="31">
        <f>Assumptions!$C$64*D5</f>
        <v/>
      </c>
      <c r="F6" s="31">
        <f>Assumptions!$C$64*E5</f>
        <v/>
      </c>
      <c r="G6" s="31">
        <f>Assumptions!$C$64*F5</f>
        <v/>
      </c>
      <c r="H6" s="31">
        <f>Assumptions!$C$64*G5</f>
        <v/>
      </c>
      <c r="I6" s="31">
        <f>Assumptions!$C$64*H5</f>
        <v/>
      </c>
    </row>
    <row r="7">
      <c r="A7" s="6" t="inlineStr">
        <is>
          <t>Right-of-use assets</t>
        </is>
      </c>
      <c r="B7" s="23" t="n">
        <v>1597.185</v>
      </c>
      <c r="C7" s="23" t="n">
        <v>1657.217</v>
      </c>
      <c r="D7" s="23" t="n">
        <v>1515.395</v>
      </c>
      <c r="E7" s="31">
        <f>$D$7</f>
        <v/>
      </c>
      <c r="F7" s="31">
        <f>$D$7</f>
        <v/>
      </c>
      <c r="G7" s="31">
        <f>$D$7</f>
        <v/>
      </c>
      <c r="H7" s="31">
        <f>$D$7</f>
        <v/>
      </c>
      <c r="I7" s="31">
        <f>$D$7</f>
        <v/>
      </c>
    </row>
    <row r="8">
      <c r="A8" s="6" t="inlineStr">
        <is>
          <t>Intangible assets (excl. goodwill)</t>
        </is>
      </c>
      <c r="B8" s="23" t="n">
        <v>1110.769</v>
      </c>
      <c r="C8" s="23" t="n">
        <v>846.932</v>
      </c>
      <c r="D8" s="23" t="n">
        <v>869.6</v>
      </c>
      <c r="E8" s="31">
        <f>D8-DCF!B12*(1-Assumptions!$C$63)-E9</f>
        <v/>
      </c>
      <c r="F8" s="31">
        <f>E8-DCF!C12*(1-Assumptions!$C$63)-F9</f>
        <v/>
      </c>
      <c r="G8" s="31">
        <f>F8-DCF!D12*(1-Assumptions!$C$63)-G9</f>
        <v/>
      </c>
      <c r="H8" s="31">
        <f>G8-DCF!E12*(1-Assumptions!$C$63)-H9</f>
        <v/>
      </c>
      <c r="I8" s="31">
        <f>H8-DCF!F12*(1-Assumptions!$C$63)-I9</f>
        <v/>
      </c>
    </row>
    <row r="9">
      <c r="A9" s="6" t="inlineStr">
        <is>
          <t xml:space="preserve">  of which amortisation charge (memo)</t>
        </is>
      </c>
      <c r="B9" s="23" t="n">
        <v>209.053</v>
      </c>
      <c r="C9" s="23" t="n">
        <v>209.896</v>
      </c>
      <c r="D9" s="23" t="n">
        <v>245.881</v>
      </c>
      <c r="E9" s="31">
        <f>Assumptions!$C$65*D8</f>
        <v/>
      </c>
      <c r="F9" s="31">
        <f>Assumptions!$C$65*E8</f>
        <v/>
      </c>
      <c r="G9" s="31">
        <f>Assumptions!$C$65*F8</f>
        <v/>
      </c>
      <c r="H9" s="31">
        <f>Assumptions!$C$65*G8</f>
        <v/>
      </c>
      <c r="I9" s="31">
        <f>Assumptions!$C$65*H8</f>
        <v/>
      </c>
    </row>
    <row r="10">
      <c r="A10" s="6" t="inlineStr">
        <is>
          <t>Goodwill</t>
        </is>
      </c>
      <c r="B10" s="31" t="inlineStr">
        <is>
          <t>-</t>
        </is>
      </c>
      <c r="C10" s="23" t="n">
        <v>413.22</v>
      </c>
      <c r="D10" s="23" t="n">
        <v>413.22</v>
      </c>
      <c r="E10" s="31">
        <f>$D$10</f>
        <v/>
      </c>
      <c r="F10" s="31">
        <f>$D$10</f>
        <v/>
      </c>
      <c r="G10" s="31">
        <f>$D$10</f>
        <v/>
      </c>
      <c r="H10" s="31">
        <f>$D$10</f>
        <v/>
      </c>
      <c r="I10" s="31">
        <f>$D$10</f>
        <v/>
      </c>
    </row>
    <row r="11">
      <c r="A11" s="6" t="inlineStr">
        <is>
          <t>Net working capital (royalty accrual excluded)</t>
        </is>
      </c>
      <c r="B11" s="23" t="n">
        <v>-964.8510000000001</v>
      </c>
      <c r="C11" s="23" t="n">
        <v>-1220.184</v>
      </c>
      <c r="D11" s="23" t="n">
        <v>-1062.442</v>
      </c>
      <c r="E11" s="31">
        <f>'Income Statement'!E5*Assumptions!$C$67</f>
        <v/>
      </c>
      <c r="F11" s="31">
        <f>'Income Statement'!F5*Assumptions!$C$67</f>
        <v/>
      </c>
      <c r="G11" s="31">
        <f>'Income Statement'!G5*Assumptions!$C$67</f>
        <v/>
      </c>
      <c r="H11" s="31">
        <f>'Income Statement'!H5*Assumptions!$C$67</f>
        <v/>
      </c>
      <c r="I11" s="31">
        <f>'Income Statement'!I5*Assumptions!$C$67</f>
        <v/>
      </c>
    </row>
    <row r="12">
      <c r="A12" s="6" t="inlineStr">
        <is>
          <t>Cash and term deposits</t>
        </is>
      </c>
      <c r="B12" s="23" t="n">
        <v>1936.622</v>
      </c>
      <c r="C12" s="23" t="n">
        <v>2283.252</v>
      </c>
      <c r="D12" s="23" t="n">
        <v>2249.719</v>
      </c>
      <c r="E12" s="31">
        <f>D12+'Income Statement'!E18-'Income Statement'!E11+DCF!B12+DCF!B14-'Income Statement'!E18*Assumptions!$C$86</f>
        <v/>
      </c>
      <c r="F12" s="31">
        <f>E12+'Income Statement'!F18-'Income Statement'!F11+DCF!C12+DCF!C14-'Income Statement'!F18*Assumptions!$C$86</f>
        <v/>
      </c>
      <c r="G12" s="31">
        <f>F12+'Income Statement'!G18-'Income Statement'!G11+DCF!D12+DCF!D14-'Income Statement'!G18*Assumptions!$C$86</f>
        <v/>
      </c>
      <c r="H12" s="31">
        <f>G12+'Income Statement'!H18-'Income Statement'!H11+DCF!E12+DCF!E14-'Income Statement'!H18*Assumptions!$C$86</f>
        <v/>
      </c>
      <c r="I12" s="31">
        <f>H12+'Income Statement'!I18-'Income Statement'!I11+DCF!F12+DCF!F14-'Income Statement'!I18*Assumptions!$C$86</f>
        <v/>
      </c>
    </row>
    <row r="13">
      <c r="A13" s="6" t="inlineStr">
        <is>
          <t>Lease liabilities (the only debt-like item)</t>
        </is>
      </c>
      <c r="B13" s="23" t="n">
        <v>2104.959</v>
      </c>
      <c r="C13" s="23" t="n">
        <v>1998.687</v>
      </c>
      <c r="D13" s="23" t="n">
        <v>1938.819</v>
      </c>
      <c r="E13" s="31">
        <f>$D$13</f>
        <v/>
      </c>
      <c r="F13" s="31">
        <f>$D$13</f>
        <v/>
      </c>
      <c r="G13" s="31">
        <f>$D$13</f>
        <v/>
      </c>
      <c r="H13" s="31">
        <f>$D$13</f>
        <v/>
      </c>
      <c r="I13" s="31">
        <f>$D$13</f>
        <v/>
      </c>
    </row>
    <row r="14">
      <c r="A14" s="15" t="inlineStr">
        <is>
          <t>Total equity</t>
        </is>
      </c>
      <c r="B14" s="29" t="n">
        <v>9243.213</v>
      </c>
      <c r="C14" s="29" t="n">
        <v>9878.445</v>
      </c>
      <c r="D14" s="29" t="n">
        <v>10148.291</v>
      </c>
      <c r="E14" s="29">
        <f>D14+'Income Statement'!E18*(1-Assumptions!$C$86)</f>
        <v/>
      </c>
      <c r="F14" s="29">
        <f>E14+'Income Statement'!F18*(1-Assumptions!$C$86)</f>
        <v/>
      </c>
      <c r="G14" s="29">
        <f>F14+'Income Statement'!G18*(1-Assumptions!$C$86)</f>
        <v/>
      </c>
      <c r="H14" s="29">
        <f>G14+'Income Statement'!H18*(1-Assumptions!$C$86)</f>
        <v/>
      </c>
      <c r="I14" s="29">
        <f>H14+'Income Statement'!I18*(1-Assumptions!$C$86)</f>
        <v/>
      </c>
    </row>
    <row r="15">
      <c r="A15" s="6" t="inlineStr">
        <is>
          <t>Net cash after lease liabilities</t>
        </is>
      </c>
      <c r="B15" s="31">
        <f>B12-B13</f>
        <v/>
      </c>
      <c r="C15" s="31">
        <f>C12-C13</f>
        <v/>
      </c>
      <c r="D15" s="31">
        <f>D12-D13</f>
        <v/>
      </c>
      <c r="E15" s="31">
        <f>E12-E13</f>
        <v/>
      </c>
      <c r="F15" s="31">
        <f>F12-F13</f>
        <v/>
      </c>
      <c r="G15" s="31">
        <f>G12-G13</f>
        <v/>
      </c>
      <c r="H15" s="31">
        <f>H12-H13</f>
        <v/>
      </c>
      <c r="I15" s="31">
        <f>I12-I13</f>
        <v/>
      </c>
    </row>
    <row r="16">
      <c r="A16" s="6" t="inlineStr">
        <is>
          <t>Lease liabilities / EBITDA</t>
        </is>
      </c>
      <c r="B16" s="38">
        <f>B13/'Income Statement'!B9</f>
        <v/>
      </c>
      <c r="C16" s="38">
        <f>C13/'Income Statement'!C9</f>
        <v/>
      </c>
      <c r="D16" s="38">
        <f>D13/'Income Statement'!D9</f>
        <v/>
      </c>
      <c r="E16" s="38">
        <f>E13/'Income Statement'!E9</f>
        <v/>
      </c>
      <c r="F16" s="38">
        <f>F13/'Income Statement'!F9</f>
        <v/>
      </c>
      <c r="G16" s="38">
        <f>G13/'Income Statement'!G9</f>
        <v/>
      </c>
      <c r="H16" s="38">
        <f>H13/'Income Statement'!H9</f>
        <v/>
      </c>
      <c r="I16" s="38">
        <f>I13/'Income Statement'!I9</f>
        <v/>
      </c>
    </row>
    <row r="18">
      <c r="A18" s="4" t="inlineStr">
        <is>
          <t>Notes: a CONDENSED layout — receivables, payables, contract balances and the royalty accrual are netted inside the working-capital line, so the sheet does not foot to total assets. The FY2023 payables line still contained the royalty accrual (AED 2,033mn, separately disclosed from FY2024); it is excluded here in every year so the series is like-for-like. The lease book is held flat (replacement = depreciation); the FY2025 goodwill balance is carried unchanged. Cash and term deposits roll forward from profit less the ~98% payout — the H1-2026 interims (term deposits nil at 30-Jun-2026 after the AED 4.1bn royalty-plus-dividend outflow) show exactly this mechanic mid-year.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— historical markers and the forecast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</t>
        </is>
      </c>
    </row>
    <row r="4">
      <c r="A4" s="5" t="inlineStr">
        <is>
          <t>AED mn</t>
        </is>
      </c>
      <c r="B4" s="5" t="inlineStr">
        <is>
          <t>FY2024</t>
        </is>
      </c>
      <c r="C4" s="5" t="inlineStr">
        <is>
          <t>FY2025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5">
      <c r="A5" s="6" t="inlineStr">
        <is>
          <t>EBITDA</t>
        </is>
      </c>
      <c r="B5" s="18">
        <f>'Income Statement'!C9</f>
        <v/>
      </c>
      <c r="C5" s="18">
        <f>'Income Statement'!D9</f>
        <v/>
      </c>
      <c r="D5" s="18">
        <f>'Income Statement'!E9</f>
        <v/>
      </c>
      <c r="E5" s="18">
        <f>'Income Statement'!F9</f>
        <v/>
      </c>
      <c r="F5" s="18">
        <f>'Income Statement'!G9</f>
        <v/>
      </c>
      <c r="G5" s="18">
        <f>'Income Statement'!H9</f>
        <v/>
      </c>
      <c r="H5" s="18">
        <f>'Income Statement'!I9</f>
        <v/>
      </c>
    </row>
    <row r="6">
      <c r="A6" s="6" t="inlineStr">
        <is>
          <t>Federal royalty and income tax paid</t>
        </is>
      </c>
      <c r="B6" s="23" t="n">
        <v>-1928.939</v>
      </c>
      <c r="C6" s="23" t="n">
        <v>-1883.442</v>
      </c>
    </row>
    <row r="7">
      <c r="A7" s="6" t="inlineStr">
        <is>
          <t>Net cash generated from operating activities</t>
        </is>
      </c>
      <c r="B7" s="23" t="n">
        <v>4636.508</v>
      </c>
      <c r="C7" s="23" t="n">
        <v>5229.823</v>
      </c>
    </row>
    <row r="8">
      <c r="A8" s="6" t="inlineStr">
        <is>
          <t>Purchase of PP&amp;E and intangibles</t>
        </is>
      </c>
      <c r="B8" s="23" t="n">
        <v>-1920.468</v>
      </c>
      <c r="C8" s="23" t="n">
        <v>-2353.23</v>
      </c>
    </row>
    <row r="9">
      <c r="A9" s="6" t="inlineStr">
        <is>
          <t>NOPAT</t>
        </is>
      </c>
      <c r="B9" s="31" t="inlineStr">
        <is>
          <t>-</t>
        </is>
      </c>
      <c r="C9" s="31" t="inlineStr">
        <is>
          <t>-</t>
        </is>
      </c>
      <c r="D9" s="18">
        <f>DCF!B10</f>
        <v/>
      </c>
      <c r="E9" s="18">
        <f>DCF!C10</f>
        <v/>
      </c>
      <c r="F9" s="18">
        <f>DCF!D10</f>
        <v/>
      </c>
      <c r="G9" s="18">
        <f>DCF!E10</f>
        <v/>
      </c>
      <c r="H9" s="18">
        <f>DCF!F10</f>
        <v/>
      </c>
    </row>
    <row r="10">
      <c r="A10" s="6" t="inlineStr">
        <is>
          <t>Add back depreciation and amortisation</t>
        </is>
      </c>
      <c r="B10" s="31" t="inlineStr">
        <is>
          <t>-</t>
        </is>
      </c>
      <c r="C10" s="31" t="inlineStr">
        <is>
          <t>-</t>
        </is>
      </c>
      <c r="D10" s="18">
        <f>DCF!B11</f>
        <v/>
      </c>
      <c r="E10" s="18">
        <f>DCF!C11</f>
        <v/>
      </c>
      <c r="F10" s="18">
        <f>DCF!D11</f>
        <v/>
      </c>
      <c r="G10" s="18">
        <f>DCF!E11</f>
        <v/>
      </c>
      <c r="H10" s="18">
        <f>DCF!F11</f>
        <v/>
      </c>
    </row>
    <row r="11">
      <c r="A11" s="6" t="inlineStr">
        <is>
          <t>Capital expenditure</t>
        </is>
      </c>
      <c r="B11" s="31" t="inlineStr">
        <is>
          <t>-</t>
        </is>
      </c>
      <c r="C11" s="31" t="inlineStr">
        <is>
          <t>-</t>
        </is>
      </c>
      <c r="D11" s="18">
        <f>DCF!B12</f>
        <v/>
      </c>
      <c r="E11" s="18">
        <f>DCF!C12</f>
        <v/>
      </c>
      <c r="F11" s="18">
        <f>DCF!D12</f>
        <v/>
      </c>
      <c r="G11" s="18">
        <f>DCF!E12</f>
        <v/>
      </c>
      <c r="H11" s="18">
        <f>DCF!F12</f>
        <v/>
      </c>
    </row>
    <row r="12">
      <c r="A12" s="6" t="inlineStr">
        <is>
          <t>Memo — lease replacement, NOT deducted (leases are debt)</t>
        </is>
      </c>
      <c r="B12" s="31" t="inlineStr">
        <is>
          <t>-</t>
        </is>
      </c>
      <c r="C12" s="31" t="inlineStr">
        <is>
          <t>-</t>
        </is>
      </c>
      <c r="D12" s="18">
        <f>DCF!B13</f>
        <v/>
      </c>
      <c r="E12" s="18">
        <f>DCF!C13</f>
        <v/>
      </c>
      <c r="F12" s="18">
        <f>DCF!D13</f>
        <v/>
      </c>
      <c r="G12" s="18">
        <f>DCF!E13</f>
        <v/>
      </c>
      <c r="H12" s="18">
        <f>DCF!F13</f>
        <v/>
      </c>
    </row>
    <row r="13">
      <c r="A13" s="6" t="inlineStr">
        <is>
          <t>Change in working capital</t>
        </is>
      </c>
      <c r="B13" s="31" t="inlineStr">
        <is>
          <t>-</t>
        </is>
      </c>
      <c r="C13" s="31">
        <f>-('Balance Sheet'!D11-'Balance Sheet'!C11)</f>
        <v/>
      </c>
      <c r="D13" s="18">
        <f>DCF!B14</f>
        <v/>
      </c>
      <c r="E13" s="18">
        <f>DCF!C14</f>
        <v/>
      </c>
      <c r="F13" s="18">
        <f>DCF!D14</f>
        <v/>
      </c>
      <c r="G13" s="18">
        <f>DCF!E14</f>
        <v/>
      </c>
      <c r="H13" s="18">
        <f>DCF!F14</f>
        <v/>
      </c>
    </row>
    <row r="14">
      <c r="A14" s="15" t="inlineStr">
        <is>
          <t>Free cash flow to the firm</t>
        </is>
      </c>
      <c r="B14" s="29" t="inlineStr">
        <is>
          <t>-</t>
        </is>
      </c>
      <c r="C14" s="29" t="inlineStr">
        <is>
          <t>-</t>
        </is>
      </c>
      <c r="D14" s="29">
        <f>D9+D10+D11+D13</f>
        <v/>
      </c>
      <c r="E14" s="29">
        <f>E9+E10+E11+E13</f>
        <v/>
      </c>
      <c r="F14" s="29">
        <f>F9+F10+F11+F13</f>
        <v/>
      </c>
      <c r="G14" s="29">
        <f>G9+G10+G11+G13</f>
        <v/>
      </c>
      <c r="H14" s="29">
        <f>H9+H10+H11+H13</f>
        <v/>
      </c>
      <c r="I14" s="15" t="n"/>
    </row>
    <row r="16">
      <c r="A16" s="6" t="inlineStr">
        <is>
          <t>Dividends paid</t>
        </is>
      </c>
      <c r="B16" s="23" t="n">
        <v>-1858.491</v>
      </c>
      <c r="C16" s="23" t="n">
        <v>-2629.085</v>
      </c>
      <c r="D16" s="31">
        <f>-'Income Statement'!E18*Assumptions!$C$86</f>
        <v/>
      </c>
      <c r="E16" s="31">
        <f>-'Income Statement'!F18*Assumptions!$C$86</f>
        <v/>
      </c>
      <c r="F16" s="31">
        <f>-'Income Statement'!G18*Assumptions!$C$86</f>
        <v/>
      </c>
      <c r="G16" s="31">
        <f>-'Income Statement'!H18*Assumptions!$C$86</f>
        <v/>
      </c>
      <c r="H16" s="31">
        <f>-'Income Statement'!I18*Assumptions!$C$86</f>
        <v/>
      </c>
    </row>
    <row r="17">
      <c r="A17" s="6" t="inlineStr">
        <is>
          <t>Cash conversion — operating cash flow as a share of EBITDA, FY2025</t>
        </is>
      </c>
      <c r="C17" s="11">
        <f>C7/C5</f>
        <v/>
      </c>
    </row>
    <row r="18">
      <c r="A18" s="4" t="inlineStr">
        <is>
          <t>du converts EBITDA to operating cash at over 70% AFTER the 43.6% fiscal take — the negative-working-capital model means growth releases cash. The constraint on equity cash flow is the ~100% payout plus the data-centre capex ramp, which is why term deposits fell to nil at 30-Jun-2026.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— the eight-year picture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 unless stated. Every cell on this sheet is a link or a ratio; nothing is typed twice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B5" s="18">
        <f>'Income Statement'!B5</f>
        <v/>
      </c>
      <c r="C5" s="18">
        <f>'Income Statement'!C5</f>
        <v/>
      </c>
      <c r="D5" s="18">
        <f>'Income Statement'!D5</f>
        <v/>
      </c>
      <c r="E5" s="18">
        <f>'Income Statement'!E5</f>
        <v/>
      </c>
      <c r="F5" s="18">
        <f>'Income Statement'!F5</f>
        <v/>
      </c>
      <c r="G5" s="18">
        <f>'Income Statement'!G5</f>
        <v/>
      </c>
      <c r="H5" s="18">
        <f>'Income Statement'!H5</f>
        <v/>
      </c>
      <c r="I5" s="18">
        <f>'Income Statement'!I5</f>
        <v/>
      </c>
    </row>
    <row r="6">
      <c r="A6" s="6" t="inlineStr">
        <is>
          <t>Revenue growth</t>
        </is>
      </c>
      <c r="B6" s="11" t="inlineStr">
        <is>
          <t>-</t>
        </is>
      </c>
      <c r="C6" s="11">
        <f>C5/B5-1</f>
        <v/>
      </c>
      <c r="D6" s="11">
        <f>D5/C5-1</f>
        <v/>
      </c>
      <c r="E6" s="11">
        <f>E5/D5-1</f>
        <v/>
      </c>
      <c r="F6" s="11">
        <f>F5/E5-1</f>
        <v/>
      </c>
      <c r="G6" s="11">
        <f>G5/F5-1</f>
        <v/>
      </c>
      <c r="H6" s="11">
        <f>H5/G5-1</f>
        <v/>
      </c>
      <c r="I6" s="11">
        <f>I5/H5-1</f>
        <v/>
      </c>
    </row>
    <row r="7">
      <c r="A7" s="6" t="inlineStr">
        <is>
          <t>EBITDA</t>
        </is>
      </c>
      <c r="B7" s="18">
        <f>'Income Statement'!B9</f>
        <v/>
      </c>
      <c r="C7" s="18">
        <f>'Income Statement'!C9</f>
        <v/>
      </c>
      <c r="D7" s="18">
        <f>'Income Statement'!D9</f>
        <v/>
      </c>
      <c r="E7" s="18">
        <f>'Income Statement'!E9</f>
        <v/>
      </c>
      <c r="F7" s="18">
        <f>'Income Statement'!F9</f>
        <v/>
      </c>
      <c r="G7" s="18">
        <f>'Income Statement'!G9</f>
        <v/>
      </c>
      <c r="H7" s="18">
        <f>'Income Statement'!H9</f>
        <v/>
      </c>
      <c r="I7" s="18">
        <f>'Income Statement'!I9</f>
        <v/>
      </c>
    </row>
    <row r="8">
      <c r="A8" s="6" t="inlineStr">
        <is>
          <t>EBITDA margin</t>
        </is>
      </c>
      <c r="B8" s="11">
        <f>B7/B5</f>
        <v/>
      </c>
      <c r="C8" s="11">
        <f>C7/C5</f>
        <v/>
      </c>
      <c r="D8" s="11">
        <f>D7/D5</f>
        <v/>
      </c>
      <c r="E8" s="11">
        <f>E7/E5</f>
        <v/>
      </c>
      <c r="F8" s="11">
        <f>F7/F5</f>
        <v/>
      </c>
      <c r="G8" s="11">
        <f>G7/G5</f>
        <v/>
      </c>
      <c r="H8" s="11">
        <f>H7/H5</f>
        <v/>
      </c>
      <c r="I8" s="11">
        <f>I7/I5</f>
        <v/>
      </c>
    </row>
    <row r="9">
      <c r="A9" s="6" t="inlineStr">
        <is>
          <t>EBIT</t>
        </is>
      </c>
      <c r="B9" s="18">
        <f>'Income Statement'!B12</f>
        <v/>
      </c>
      <c r="C9" s="18">
        <f>'Income Statement'!C12</f>
        <v/>
      </c>
      <c r="D9" s="18">
        <f>'Income Statement'!D12</f>
        <v/>
      </c>
      <c r="E9" s="18">
        <f>'Income Statement'!E12</f>
        <v/>
      </c>
      <c r="F9" s="18">
        <f>'Income Statement'!F12</f>
        <v/>
      </c>
      <c r="G9" s="18">
        <f>'Income Statement'!G12</f>
        <v/>
      </c>
      <c r="H9" s="18">
        <f>'Income Statement'!H12</f>
        <v/>
      </c>
      <c r="I9" s="18">
        <f>'Income Statement'!I12</f>
        <v/>
      </c>
    </row>
    <row r="10">
      <c r="A10" s="6" t="inlineStr">
        <is>
          <t>Net profit</t>
        </is>
      </c>
      <c r="B10" s="18">
        <f>'Income Statement'!B18</f>
        <v/>
      </c>
      <c r="C10" s="18">
        <f>'Income Statement'!C18</f>
        <v/>
      </c>
      <c r="D10" s="18">
        <f>'Income Statement'!D18</f>
        <v/>
      </c>
      <c r="E10" s="18">
        <f>'Income Statement'!E18</f>
        <v/>
      </c>
      <c r="F10" s="18">
        <f>'Income Statement'!F18</f>
        <v/>
      </c>
      <c r="G10" s="18">
        <f>'Income Statement'!G18</f>
        <v/>
      </c>
      <c r="H10" s="18">
        <f>'Income Statement'!H18</f>
        <v/>
      </c>
      <c r="I10" s="18">
        <f>'Income Statement'!I18</f>
        <v/>
      </c>
    </row>
    <row r="11">
      <c r="A11" s="6" t="inlineStr">
        <is>
          <t>Free cash flow to the firm</t>
        </is>
      </c>
      <c r="B11" s="31" t="inlineStr">
        <is>
          <t>-</t>
        </is>
      </c>
      <c r="C11" s="31" t="inlineStr">
        <is>
          <t>-</t>
        </is>
      </c>
      <c r="D11" s="31" t="inlineStr">
        <is>
          <t>-</t>
        </is>
      </c>
      <c r="E11" s="18">
        <f>'Cash Flow'!D14</f>
        <v/>
      </c>
      <c r="F11" s="18">
        <f>'Cash Flow'!E14</f>
        <v/>
      </c>
      <c r="G11" s="18">
        <f>'Cash Flow'!F14</f>
        <v/>
      </c>
      <c r="H11" s="18">
        <f>'Cash Flow'!G14</f>
        <v/>
      </c>
      <c r="I11" s="18">
        <f>'Cash Flow'!H14</f>
        <v/>
      </c>
    </row>
    <row r="12">
      <c r="A12" s="6" t="inlineStr">
        <is>
          <t>Net cash after lease liabilities</t>
        </is>
      </c>
      <c r="B12" s="18">
        <f>'Balance Sheet'!B15</f>
        <v/>
      </c>
      <c r="C12" s="18">
        <f>'Balance Sheet'!C15</f>
        <v/>
      </c>
      <c r="D12" s="18">
        <f>'Balance Sheet'!D15</f>
        <v/>
      </c>
      <c r="E12" s="18">
        <f>'Balance Sheet'!E15</f>
        <v/>
      </c>
      <c r="F12" s="18">
        <f>'Balance Sheet'!F15</f>
        <v/>
      </c>
      <c r="G12" s="18">
        <f>'Balance Sheet'!G15</f>
        <v/>
      </c>
      <c r="H12" s="18">
        <f>'Balance Sheet'!H15</f>
        <v/>
      </c>
      <c r="I12" s="18">
        <f>'Balance Sheet'!I15</f>
        <v/>
      </c>
    </row>
    <row r="13">
      <c r="A13" s="6" t="inlineStr">
        <is>
          <t>Invested capital</t>
        </is>
      </c>
      <c r="B13" s="31" t="inlineStr">
        <is>
          <t>-</t>
        </is>
      </c>
      <c r="C13" s="18">
        <f>'Balance Sheet'!C5+'Balance Sheet'!C7+'Balance Sheet'!C8+'Balance Sheet'!C10+'Balance Sheet'!C11</f>
        <v/>
      </c>
      <c r="D13" s="18">
        <f>'Balance Sheet'!D5+'Balance Sheet'!D7+'Balance Sheet'!D8+'Balance Sheet'!D10+'Balance Sheet'!D11</f>
        <v/>
      </c>
      <c r="E13" s="18">
        <f>'Balance Sheet'!E5+'Balance Sheet'!E7+'Balance Sheet'!E8+'Balance Sheet'!E10+'Balance Sheet'!E11</f>
        <v/>
      </c>
      <c r="F13" s="18">
        <f>'Balance Sheet'!F5+'Balance Sheet'!F7+'Balance Sheet'!F8+'Balance Sheet'!F10+'Balance Sheet'!F11</f>
        <v/>
      </c>
      <c r="G13" s="18">
        <f>'Balance Sheet'!G5+'Balance Sheet'!G7+'Balance Sheet'!G8+'Balance Sheet'!G10+'Balance Sheet'!G11</f>
        <v/>
      </c>
      <c r="H13" s="18">
        <f>'Balance Sheet'!H5+'Balance Sheet'!H7+'Balance Sheet'!H8+'Balance Sheet'!H10+'Balance Sheet'!H11</f>
        <v/>
      </c>
      <c r="I13" s="18">
        <f>'Balance Sheet'!I5+'Balance Sheet'!I7+'Balance Sheet'!I8+'Balance Sheet'!I10+'Balance Sheet'!I11</f>
        <v/>
      </c>
    </row>
    <row r="14">
      <c r="A14" s="6" t="inlineStr">
        <is>
          <t>Return on invested capital (average capital)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6">
        <f>DCF!B10/((D13+E13)/2)</f>
        <v/>
      </c>
      <c r="F14" s="16">
        <f>DCF!C10/((E13+F13)/2)</f>
        <v/>
      </c>
      <c r="G14" s="16">
        <f>DCF!D10/((F13+G13)/2)</f>
        <v/>
      </c>
      <c r="H14" s="16">
        <f>DCF!E10/((G13+H13)/2)</f>
        <v/>
      </c>
      <c r="I14" s="16">
        <f>DCF!F10/((H13+I13)/2)</f>
        <v/>
      </c>
    </row>
    <row r="16">
      <c r="A16" s="4" t="inlineStr">
        <is>
          <t>Invested capital = PP&amp;E + right-of-use assets + intangibles + goodwill + net working capital (negative for du). FY2023 is not shown because goodwill was not disclosed as a separate line that year.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 map of price dispersion. It carries no view on value and is never blended with the valuation. Each figure is an engine output, not a formula.</t>
        </is>
      </c>
    </row>
    <row r="4">
      <c r="A4" s="5" t="inlineStr">
        <is>
          <t>Horizon</t>
        </is>
      </c>
      <c r="B4" s="5" t="inlineStr">
        <is>
          <t>5th</t>
        </is>
      </c>
      <c r="C4" s="5" t="inlineStr">
        <is>
          <t>25th</t>
        </is>
      </c>
      <c r="D4" s="5" t="inlineStr">
        <is>
          <t>Median</t>
        </is>
      </c>
      <c r="E4" s="5" t="inlineStr">
        <is>
          <t>75th</t>
        </is>
      </c>
      <c r="F4" s="5" t="inlineStr">
        <is>
          <t>95th</t>
        </is>
      </c>
      <c r="G4" s="5" t="inlineStr">
        <is>
          <t>P(above spot)</t>
        </is>
      </c>
    </row>
    <row r="5">
      <c r="A5" s="6" t="inlineStr">
        <is>
          <t>One month — to 2026-09-07</t>
        </is>
      </c>
      <c r="B5" s="7" t="n">
        <v>10.84850968265984</v>
      </c>
      <c r="C5" s="7" t="n">
        <v>11.71055773469848</v>
      </c>
      <c r="D5" s="7" t="n">
        <v>12.28244520535041</v>
      </c>
      <c r="E5" s="7" t="n">
        <v>12.8853822483405</v>
      </c>
      <c r="F5" s="7" t="n">
        <v>13.87837142039896</v>
      </c>
      <c r="G5" s="9" t="n">
        <v>0.49186</v>
      </c>
    </row>
    <row r="6">
      <c r="A6" s="6" t="inlineStr">
        <is>
          <t>Three months — to 2026-11-09</t>
        </is>
      </c>
      <c r="B6" s="7" t="n">
        <v>9.818707373130604</v>
      </c>
      <c r="C6" s="7" t="n">
        <v>11.25837520688491</v>
      </c>
      <c r="D6" s="7" t="n">
        <v>12.25957094365688</v>
      </c>
      <c r="E6" s="7" t="n">
        <v>13.34594589212461</v>
      </c>
      <c r="F6" s="7" t="n">
        <v>15.32471824257266</v>
      </c>
      <c r="G6" s="9" t="n">
        <v>0.48962</v>
      </c>
    </row>
    <row r="8">
      <c r="A8" s="5" t="inlineStr">
        <is>
          <t>Level event</t>
        </is>
      </c>
      <c r="B8" s="5" t="inlineStr">
        <is>
          <t>One month</t>
        </is>
      </c>
      <c r="C8" s="5" t="inlineStr">
        <is>
          <t>Three months</t>
        </is>
      </c>
    </row>
    <row r="9">
      <c r="A9" s="6" t="inlineStr">
        <is>
          <t>Finishes 10% or more above spot</t>
        </is>
      </c>
      <c r="B9" s="9" t="n">
        <v>0.09089999999999999</v>
      </c>
      <c r="C9" s="9" t="n">
        <v>0.21854</v>
      </c>
    </row>
    <row r="10">
      <c r="A10" s="6" t="inlineStr">
        <is>
          <t>Finishes 10% or more below spot</t>
        </is>
      </c>
      <c r="B10" s="9" t="n">
        <v>0.07883999999999999</v>
      </c>
      <c r="C10" s="9" t="n">
        <v>0.21026</v>
      </c>
    </row>
    <row r="11">
      <c r="A11" s="6" t="inlineStr">
        <is>
          <t>Touches 10% above spot at any point</t>
        </is>
      </c>
      <c r="B11" s="9" t="n">
        <v>0.1523</v>
      </c>
      <c r="C11" s="9" t="n">
        <v>0.40526</v>
      </c>
    </row>
    <row r="12">
      <c r="A12" s="6" t="inlineStr">
        <is>
          <t>Touches 10% below spot at any point</t>
        </is>
      </c>
      <c r="B12" s="9" t="n">
        <v>0.128</v>
      </c>
      <c r="C12" s="9" t="n">
        <v>0.37854</v>
      </c>
    </row>
    <row r="14">
      <c r="A14" s="5" t="inlineStr">
        <is>
          <t>Engine setting</t>
        </is>
      </c>
      <c r="B14" s="5" t="inlineStr">
        <is>
          <t>Value</t>
        </is>
      </c>
    </row>
    <row r="15">
      <c r="A15" s="6" t="inlineStr">
        <is>
          <t>Simulated paths</t>
        </is>
      </c>
      <c r="C15" s="23" t="n">
        <v>50000</v>
      </c>
    </row>
    <row r="16">
      <c r="A16" s="6" t="inlineStr">
        <is>
          <t>Annualised volatility (3-month anchor)</t>
        </is>
      </c>
      <c r="C16" s="9" t="n">
        <v>0.2808947610903803</v>
      </c>
    </row>
    <row r="17">
      <c r="A17" s="6" t="inlineStr">
        <is>
          <t>Spot price (AED)</t>
        </is>
      </c>
      <c r="C17" s="8">
        <f>Summary!C14</f>
        <v/>
      </c>
    </row>
    <row r="18">
      <c r="A18" s="6" t="inlineStr">
        <is>
          <t>Anchor date</t>
        </is>
      </c>
      <c r="C18" s="44" t="inlineStr">
        <is>
          <t>2026-08-07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 — what the valuation needs the world to do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AED per share. Each cell is a complete re-run of the model, including the unit build, so these grids are engine outputs rather than formulas and do NOT redraw when a driver is changed.</t>
        </is>
      </c>
    </row>
    <row r="4">
      <c r="A4" s="20" t="inlineStr">
        <is>
          <t>Terminal cost of capital (rows) x terminal growth (columns)</t>
        </is>
      </c>
    </row>
    <row r="5">
      <c r="A5" s="5" t="inlineStr"/>
      <c r="B5" s="5" t="inlineStr">
        <is>
          <t>1.5%</t>
        </is>
      </c>
      <c r="C5" s="5" t="inlineStr">
        <is>
          <t>2.0%</t>
        </is>
      </c>
      <c r="D5" s="5" t="inlineStr">
        <is>
          <t>2.5%</t>
        </is>
      </c>
      <c r="E5" s="5" t="inlineStr">
        <is>
          <t>3.0%</t>
        </is>
      </c>
      <c r="F5" s="5" t="inlineStr">
        <is>
          <t>3.5%</t>
        </is>
      </c>
    </row>
    <row r="6">
      <c r="A6" s="6" t="inlineStr">
        <is>
          <t>5.17%</t>
        </is>
      </c>
      <c r="B6" s="7" t="n">
        <v>19.79941369811398</v>
      </c>
      <c r="C6" s="7" t="n">
        <v>22.21134817207639</v>
      </c>
      <c r="D6" s="7" t="n">
        <v>25.52077124203224</v>
      </c>
      <c r="E6" s="7" t="n">
        <v>30.346897498859</v>
      </c>
      <c r="F6" s="7" t="n">
        <v>38.04870082568256</v>
      </c>
    </row>
    <row r="7">
      <c r="A7" s="6" t="inlineStr">
        <is>
          <t>5.67%</t>
        </is>
      </c>
      <c r="B7" s="7" t="n">
        <v>17.55870311681214</v>
      </c>
      <c r="C7" s="7" t="n">
        <v>19.34238216802864</v>
      </c>
      <c r="D7" s="7" t="n">
        <v>21.68428419355597</v>
      </c>
      <c r="E7" s="7" t="n">
        <v>24.89753706605635</v>
      </c>
      <c r="F7" s="7" t="n">
        <v>29.58332185972701</v>
      </c>
    </row>
    <row r="8">
      <c r="A8" s="6" t="inlineStr">
        <is>
          <t>6.17%</t>
        </is>
      </c>
      <c r="B8" s="7" t="n">
        <v>15.79662376636993</v>
      </c>
      <c r="C8" s="7" t="n">
        <v>17.15983565739926</v>
      </c>
      <c r="D8" s="7" t="n">
        <v>18.89089910623227</v>
      </c>
      <c r="E8" s="7" t="n">
        <v>21.16365166408015</v>
      </c>
      <c r="F8" s="7" t="n">
        <v>24.28194674822564</v>
      </c>
    </row>
    <row r="9">
      <c r="A9" s="6" t="inlineStr">
        <is>
          <t>6.67%</t>
        </is>
      </c>
      <c r="B9" s="7" t="n">
        <v>14.37442603137347</v>
      </c>
      <c r="C9" s="7" t="n">
        <v>15.44343464289715</v>
      </c>
      <c r="D9" s="7" t="n">
        <v>16.76578009962793</v>
      </c>
      <c r="E9" s="7" t="n">
        <v>18.44489059524078</v>
      </c>
      <c r="F9" s="7" t="n">
        <v>20.649364466215</v>
      </c>
    </row>
    <row r="10">
      <c r="A10" s="6" t="inlineStr">
        <is>
          <t>7.17%</t>
        </is>
      </c>
      <c r="B10" s="7" t="n">
        <v>13.20226648770423</v>
      </c>
      <c r="C10" s="7" t="n">
        <v>14.05804986372445</v>
      </c>
      <c r="D10" s="7" t="n">
        <v>15.09447965499236</v>
      </c>
      <c r="E10" s="7" t="n">
        <v>16.37647279813237</v>
      </c>
      <c r="F10" s="7" t="n">
        <v>18.00428385302159</v>
      </c>
    </row>
    <row r="12">
      <c r="A12" s="20" t="inlineStr">
        <is>
          <t>Explicit-window cost of capital (columns) x terminal cost of capital (rows)</t>
        </is>
      </c>
    </row>
    <row r="13">
      <c r="A13" s="5" t="inlineStr"/>
      <c r="B13" s="5" t="inlineStr">
        <is>
          <t>5.41%</t>
        </is>
      </c>
      <c r="C13" s="5" t="inlineStr">
        <is>
          <t>5.91%</t>
        </is>
      </c>
      <c r="D13" s="5" t="inlineStr">
        <is>
          <t>6.41%</t>
        </is>
      </c>
      <c r="E13" s="5" t="inlineStr">
        <is>
          <t>6.91%</t>
        </is>
      </c>
      <c r="F13" s="5" t="inlineStr">
        <is>
          <t>7.41%</t>
        </is>
      </c>
    </row>
    <row r="14">
      <c r="A14" s="6" t="inlineStr">
        <is>
          <t>terminal 5.17%</t>
        </is>
      </c>
      <c r="B14" s="7" t="n">
        <v>26.14357352570003</v>
      </c>
      <c r="C14" s="7" t="n">
        <v>25.82975570066811</v>
      </c>
      <c r="D14" s="7" t="n">
        <v>25.52077124203224</v>
      </c>
      <c r="E14" s="7" t="n">
        <v>25.21652784942216</v>
      </c>
      <c r="F14" s="7" t="n">
        <v>24.916935334247</v>
      </c>
    </row>
    <row r="15">
      <c r="A15" s="6" t="inlineStr">
        <is>
          <t>terminal 5.67%</t>
        </is>
      </c>
      <c r="B15" s="7" t="n">
        <v>22.21263784305483</v>
      </c>
      <c r="C15" s="7" t="n">
        <v>21.94641594959031</v>
      </c>
      <c r="D15" s="7" t="n">
        <v>21.68428419355597</v>
      </c>
      <c r="E15" s="7" t="n">
        <v>21.42616459016411</v>
      </c>
      <c r="F15" s="7" t="n">
        <v>21.17198093686849</v>
      </c>
    </row>
    <row r="16">
      <c r="A16" s="6" t="inlineStr">
        <is>
          <t>terminal 6.17%</t>
        </is>
      </c>
      <c r="B16" s="7" t="n">
        <v>19.35048571765527</v>
      </c>
      <c r="C16" s="7" t="n">
        <v>19.11891790217087</v>
      </c>
      <c r="D16" s="7" t="n">
        <v>18.89089910623227</v>
      </c>
      <c r="E16" s="7" t="n">
        <v>18.66636176730568</v>
      </c>
      <c r="F16" s="7" t="n">
        <v>18.44523986519273</v>
      </c>
    </row>
    <row r="17">
      <c r="A17" s="6" t="inlineStr">
        <is>
          <t>terminal 6.67%</t>
        </is>
      </c>
      <c r="B17" s="7" t="n">
        <v>17.17305269319061</v>
      </c>
      <c r="C17" s="7" t="n">
        <v>16.96784770384932</v>
      </c>
      <c r="D17" s="7" t="n">
        <v>16.76578009962793</v>
      </c>
      <c r="E17" s="7" t="n">
        <v>16.56679024596512</v>
      </c>
      <c r="F17" s="7" t="n">
        <v>16.37081986815219</v>
      </c>
    </row>
    <row r="18">
      <c r="A18" s="6" t="inlineStr">
        <is>
          <t>terminal 7.17%</t>
        </is>
      </c>
      <c r="B18" s="7" t="n">
        <v>15.46061148513528</v>
      </c>
      <c r="C18" s="7" t="n">
        <v>15.27613872850689</v>
      </c>
      <c r="D18" s="7" t="n">
        <v>15.09447965499236</v>
      </c>
      <c r="E18" s="7" t="n">
        <v>14.91558086413144</v>
      </c>
      <c r="F18" s="7" t="n">
        <v>14.73939017182985</v>
      </c>
    </row>
    <row r="20">
      <c r="A20" s="20" t="inlineStr">
        <is>
          <t>Single-driver sensitivities — five engine re-runs per row; the parameter grid for each row is shown beside its name</t>
        </is>
      </c>
    </row>
    <row r="21">
      <c r="A21" s="5" t="inlineStr">
        <is>
          <t>Driver (parameter grid)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Swing</t>
        </is>
      </c>
    </row>
    <row r="22">
      <c r="A22" s="6" t="inlineStr">
        <is>
          <t>Beta (regression CI ends, then priors)  (0.35 / 0.49 / 0.62 / 0.65 / 0.80)</t>
        </is>
      </c>
      <c r="B22" s="7" t="n">
        <v>22.40198251354033</v>
      </c>
      <c r="C22" s="7" t="n">
        <v>18.89089910623227</v>
      </c>
      <c r="D22" s="7" t="n">
        <v>16.40920067045051</v>
      </c>
      <c r="E22" s="7" t="n">
        <v>15.93101093635009</v>
      </c>
      <c r="F22" s="7" t="n">
        <v>13.8943248227103</v>
      </c>
      <c r="H22" s="10">
        <f>MAX(B22:F22)-MIN(B22:F22)</f>
        <v/>
      </c>
    </row>
    <row r="23">
      <c r="A23" s="6" t="inlineStr">
        <is>
          <t>Combined fiscal take (top of grid = the pre-2024 construction's FY2023 take)  (40.0% / 43.6% / 47.0% / 50.0% / 53.1%)</t>
        </is>
      </c>
      <c r="B23" s="7" t="n">
        <v>20.23250466545218</v>
      </c>
      <c r="C23" s="7" t="n">
        <v>18.89089910623227</v>
      </c>
      <c r="D23" s="7" t="n">
        <v>17.60190552972687</v>
      </c>
      <c r="E23" s="7" t="n">
        <v>16.4745059001303</v>
      </c>
      <c r="F23" s="7" t="n">
        <v>15.30952628288052</v>
      </c>
      <c r="H23" s="10">
        <f>MAX(B23:F23)-MIN(B23:F23)</f>
        <v/>
      </c>
    </row>
    <row r="24">
      <c r="A24" s="6" t="inlineStr">
        <is>
          <t>Blended ARPU multiplier — applied to BOTH the mobile ARPU and the implied fixed revenue-per-subscriber paths  (0.92x / 0.96x / 1.00x / 1.04x / 1.08x)</t>
        </is>
      </c>
      <c r="B24" s="7" t="n">
        <v>16.00460556694265</v>
      </c>
      <c r="C24" s="7" t="n">
        <v>17.44775233658746</v>
      </c>
      <c r="D24" s="7" t="n">
        <v>18.89089910623227</v>
      </c>
      <c r="E24" s="7" t="n">
        <v>20.33404587587708</v>
      </c>
      <c r="F24" s="7" t="n">
        <v>21.77719264552191</v>
      </c>
      <c r="H24" s="10">
        <f>MAX(B24:F24)-MIN(B24:F24)</f>
        <v/>
      </c>
    </row>
    <row r="25">
      <c r="A25" s="6" t="inlineStr">
        <is>
          <t>Subscriber path shift ('000) — applied in full to the mobile base and at 8% of that to the fixed base  (-400 / -200 / +0 / +200 / +400)</t>
        </is>
      </c>
      <c r="B25" s="7" t="n">
        <v>17.95070477355046</v>
      </c>
      <c r="C25" s="7" t="n">
        <v>18.42080193989137</v>
      </c>
      <c r="D25" s="7" t="n">
        <v>18.89089910623227</v>
      </c>
      <c r="E25" s="7" t="n">
        <v>19.36099627257317</v>
      </c>
      <c r="F25" s="7" t="n">
        <v>19.83109343891408</v>
      </c>
      <c r="H25" s="10">
        <f>MAX(B25:F25)-MIN(B25:F25)</f>
        <v/>
      </c>
    </row>
    <row r="26">
      <c r="A26" s="6" t="inlineStr">
        <is>
          <t>Direct cost per unit, multiplicative  (0.94x / 0.97x / 1.00x / 1.03x / 1.06x)</t>
        </is>
      </c>
      <c r="B26" s="7" t="n">
        <v>20.07809120050769</v>
      </c>
      <c r="C26" s="7" t="n">
        <v>19.48449515336998</v>
      </c>
      <c r="D26" s="7" t="n">
        <v>18.89089910623227</v>
      </c>
      <c r="E26" s="7" t="n">
        <v>18.29730305909456</v>
      </c>
      <c r="F26" s="7" t="n">
        <v>17.70370701195685</v>
      </c>
      <c r="H26" s="10">
        <f>MAX(B26:F26)-MIN(B26:F26)</f>
        <v/>
      </c>
    </row>
    <row r="27">
      <c r="A27" s="6" t="inlineStr">
        <is>
          <t>Blended ARPU drift per year (mix exhaustion)  (-2.5% / -1.5% / +0.0% / +0.5% / +1.0%)</t>
        </is>
      </c>
      <c r="B27" s="7" t="n">
        <v>15.4693092551696</v>
      </c>
      <c r="C27" s="7" t="n">
        <v>16.80692954187711</v>
      </c>
      <c r="D27" s="7" t="n">
        <v>18.89089910623227</v>
      </c>
      <c r="E27" s="7" t="n">
        <v>19.60665360020088</v>
      </c>
      <c r="F27" s="7" t="n">
        <v>20.3331339912772</v>
      </c>
      <c r="H27" s="10">
        <f>MAX(B27:F27)-MIN(B27:F27)</f>
        <v/>
      </c>
    </row>
    <row r="28">
      <c r="A28" s="6" t="inlineStr">
        <is>
          <t>Capex path multiplier  (0.850x / 0.925x / 1.000x / 1.100x / 1.200x)</t>
        </is>
      </c>
      <c r="B28" s="7" t="n">
        <v>19.91526932196428</v>
      </c>
      <c r="C28" s="7" t="n">
        <v>19.40308421409827</v>
      </c>
      <c r="D28" s="7" t="n">
        <v>18.89089910623227</v>
      </c>
      <c r="E28" s="7" t="n">
        <v>18.2079856290776</v>
      </c>
      <c r="F28" s="7" t="n">
        <v>17.52507215192293</v>
      </c>
      <c r="H28" s="10">
        <f>MAX(B28:F28)-MIN(B28:F28)</f>
        <v/>
      </c>
    </row>
    <row r="29">
      <c r="A29" s="6" t="inlineStr">
        <is>
          <t>Working capital / revenue  (-10.0% / -8.5% / -6.7% / -5.0% / -3.0%)</t>
        </is>
      </c>
      <c r="B29" s="7" t="n">
        <v>19.10103955382623</v>
      </c>
      <c r="C29" s="7" t="n">
        <v>19.0061037938791</v>
      </c>
      <c r="D29" s="7" t="n">
        <v>18.89089910623227</v>
      </c>
      <c r="E29" s="7" t="n">
        <v>18.78458702066914</v>
      </c>
      <c r="F29" s="7" t="n">
        <v>18.6580060074063</v>
      </c>
      <c r="H29" s="10">
        <f>MAX(B29:F29)-MIN(B29:F29)</f>
        <v/>
      </c>
    </row>
    <row r="30">
      <c r="A30" s="6" t="inlineStr">
        <is>
          <t>Terminal return on invested capital  (18.0% / 22.0% / 27.4% / 30.0% / 34.0%)</t>
        </is>
      </c>
      <c r="B30" s="7" t="n">
        <v>18.03758600609211</v>
      </c>
      <c r="C30" s="7" t="n">
        <v>18.48919841482648</v>
      </c>
      <c r="D30" s="7" t="n">
        <v>18.89089910623227</v>
      </c>
      <c r="E30" s="7" t="n">
        <v>19.03113330530774</v>
      </c>
      <c r="F30" s="7" t="n">
        <v>19.20646518163991</v>
      </c>
      <c r="H30" s="10">
        <f>MAX(B30:F30)-MIN(B30:F30)</f>
        <v/>
      </c>
    </row>
    <row r="31">
      <c r="A31" s="6" t="inlineStr">
        <is>
          <t>Terminal growth (at base cost of capital)  (1.5% / 2.0% / 2.5% / 3.0% / 3.5%)</t>
        </is>
      </c>
      <c r="B31" s="7" t="n">
        <v>15.79662376636993</v>
      </c>
      <c r="C31" s="7" t="n">
        <v>17.15983565739926</v>
      </c>
      <c r="D31" s="7" t="n">
        <v>18.89089910623227</v>
      </c>
      <c r="E31" s="7" t="n">
        <v>21.16365166408015</v>
      </c>
      <c r="F31" s="7" t="n">
        <v>24.28194674822564</v>
      </c>
      <c r="H31" s="10">
        <f>MAX(B31:F31)-MIN(B31:F31)</f>
        <v/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Per-share and ratio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The indicator set for an integrated telecom operator: ARPU, subscribers, margin, capital intensity, cash conversion and the dividend. Every ratio is a formula off the statements.</t>
        </is>
      </c>
    </row>
    <row r="4">
      <c r="A4" s="5" t="inlineStr">
        <is>
          <t>Measure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Earnings per share (AED)</t>
        </is>
      </c>
      <c r="B5" s="10">
        <f>'Income Statement'!B19</f>
        <v/>
      </c>
      <c r="C5" s="10">
        <f>'Income Statement'!C19</f>
        <v/>
      </c>
      <c r="D5" s="10">
        <f>'Income Statement'!D19</f>
        <v/>
      </c>
      <c r="E5" s="10">
        <f>'Income Statement'!E19</f>
        <v/>
      </c>
      <c r="F5" s="10">
        <f>'Income Statement'!F19</f>
        <v/>
      </c>
      <c r="G5" s="10">
        <f>'Income Statement'!G19</f>
        <v/>
      </c>
      <c r="H5" s="10">
        <f>'Income Statement'!H19</f>
        <v/>
      </c>
      <c r="I5" s="10">
        <f>'Income Statement'!I19</f>
        <v/>
      </c>
    </row>
    <row r="6">
      <c r="A6" s="6" t="inlineStr">
        <is>
          <t>Dividend per share (AED)</t>
        </is>
      </c>
      <c r="B6" s="10">
        <f>'Income Statement'!B20</f>
        <v/>
      </c>
      <c r="C6" s="10">
        <f>'Income Statement'!C20</f>
        <v/>
      </c>
      <c r="D6" s="10">
        <f>'Income Statement'!D20</f>
        <v/>
      </c>
      <c r="E6" s="10">
        <f>'Income Statement'!E20</f>
        <v/>
      </c>
      <c r="F6" s="10">
        <f>'Income Statement'!F20</f>
        <v/>
      </c>
      <c r="G6" s="10">
        <f>'Income Statement'!G20</f>
        <v/>
      </c>
      <c r="H6" s="10">
        <f>'Income Statement'!H20</f>
        <v/>
      </c>
      <c r="I6" s="10">
        <f>'Income Statement'!I20</f>
        <v/>
      </c>
    </row>
    <row r="7">
      <c r="A7" s="6" t="inlineStr">
        <is>
          <t>Payout ratio</t>
        </is>
      </c>
      <c r="B7" s="11">
        <f>'Income Statement'!B20/'Income Statement'!B19</f>
        <v/>
      </c>
      <c r="C7" s="11">
        <f>'Income Statement'!C20/'Income Statement'!C19</f>
        <v/>
      </c>
      <c r="D7" s="11">
        <f>'Income Statement'!D20/'Income Statement'!D19</f>
        <v/>
      </c>
      <c r="E7" s="11">
        <f>'Income Statement'!E20/'Income Statement'!E19</f>
        <v/>
      </c>
      <c r="F7" s="11">
        <f>'Income Statement'!F20/'Income Statement'!F19</f>
        <v/>
      </c>
      <c r="G7" s="11">
        <f>'Income Statement'!G20/'Income Statement'!G19</f>
        <v/>
      </c>
      <c r="H7" s="11">
        <f>'Income Statement'!H20/'Income Statement'!H19</f>
        <v/>
      </c>
      <c r="I7" s="11">
        <f>'Income Statement'!I20/'Income Statement'!I19</f>
        <v/>
      </c>
    </row>
    <row r="8">
      <c r="A8" s="6" t="inlineStr">
        <is>
          <t>Dividend yield at the anchor spot</t>
        </is>
      </c>
      <c r="B8" s="11">
        <f>'Income Statement'!B20/Assumptions!$C$5</f>
        <v/>
      </c>
      <c r="C8" s="11">
        <f>'Income Statement'!C20/Assumptions!$C$5</f>
        <v/>
      </c>
      <c r="D8" s="11">
        <f>'Income Statement'!D20/Assumptions!$C$5</f>
        <v/>
      </c>
      <c r="E8" s="11">
        <f>'Income Statement'!E20/Assumptions!$C$5</f>
        <v/>
      </c>
      <c r="F8" s="11">
        <f>'Income Statement'!F20/Assumptions!$C$5</f>
        <v/>
      </c>
      <c r="G8" s="11">
        <f>'Income Statement'!G20/Assumptions!$C$5</f>
        <v/>
      </c>
      <c r="H8" s="11">
        <f>'Income Statement'!H20/Assumptions!$C$5</f>
        <v/>
      </c>
      <c r="I8" s="11">
        <f>'Income Statement'!I20/Assumptions!$C$5</f>
        <v/>
      </c>
    </row>
    <row r="9">
      <c r="A9" s="6" t="inlineStr">
        <is>
          <t>Book value per share (AED)</t>
        </is>
      </c>
      <c r="B9" s="10">
        <f>'Balance Sheet'!B14/Assumptions!$C$6</f>
        <v/>
      </c>
      <c r="C9" s="10">
        <f>'Balance Sheet'!C14/Assumptions!$C$6</f>
        <v/>
      </c>
      <c r="D9" s="10">
        <f>'Balance Sheet'!D14/Assumptions!$C$6</f>
        <v/>
      </c>
      <c r="E9" s="10">
        <f>'Balance Sheet'!E14/Assumptions!$C$6</f>
        <v/>
      </c>
      <c r="F9" s="10">
        <f>'Balance Sheet'!F14/Assumptions!$C$6</f>
        <v/>
      </c>
      <c r="G9" s="10">
        <f>'Balance Sheet'!G14/Assumptions!$C$6</f>
        <v/>
      </c>
      <c r="H9" s="10">
        <f>'Balance Sheet'!H14/Assumptions!$C$6</f>
        <v/>
      </c>
      <c r="I9" s="10">
        <f>'Balance Sheet'!I14/Assumptions!$C$6</f>
        <v/>
      </c>
    </row>
    <row r="10">
      <c r="A10" s="6" t="inlineStr">
        <is>
          <t>Free cash flow to the firm per share (AED)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>
        <f>'Summary Financials'!E11/Assumptions!$C$6</f>
        <v/>
      </c>
      <c r="F10" s="10">
        <f>'Summary Financials'!F11/Assumptions!$C$6</f>
        <v/>
      </c>
      <c r="G10" s="10">
        <f>'Summary Financials'!G11/Assumptions!$C$6</f>
        <v/>
      </c>
      <c r="H10" s="10">
        <f>'Summary Financials'!H11/Assumptions!$C$6</f>
        <v/>
      </c>
      <c r="I10" s="10">
        <f>'Summary Financials'!I11/Assumptions!$C$6</f>
        <v/>
      </c>
    </row>
    <row r="11">
      <c r="A11" s="6" t="inlineStr">
        <is>
          <t>EBITDA margin</t>
        </is>
      </c>
      <c r="B11" s="11">
        <f>'Summary Financials'!B8</f>
        <v/>
      </c>
      <c r="C11" s="11">
        <f>'Summary Financials'!C8</f>
        <v/>
      </c>
      <c r="D11" s="11">
        <f>'Summary Financials'!D8</f>
        <v/>
      </c>
      <c r="E11" s="11">
        <f>'Summary Financials'!E8</f>
        <v/>
      </c>
      <c r="F11" s="11">
        <f>'Summary Financials'!F8</f>
        <v/>
      </c>
      <c r="G11" s="11">
        <f>'Summary Financials'!G8</f>
        <v/>
      </c>
      <c r="H11" s="11">
        <f>'Summary Financials'!H8</f>
        <v/>
      </c>
      <c r="I11" s="11">
        <f>'Summary Financials'!I8</f>
        <v/>
      </c>
    </row>
    <row r="12">
      <c r="A12" s="6" t="inlineStr">
        <is>
          <t>EBIT margin</t>
        </is>
      </c>
      <c r="B12" s="11">
        <f>'Income Statement'!B12/'Income Statement'!B5</f>
        <v/>
      </c>
      <c r="C12" s="11">
        <f>'Income Statement'!C12/'Income Statement'!C5</f>
        <v/>
      </c>
      <c r="D12" s="11">
        <f>'Income Statement'!D12/'Income Statement'!D5</f>
        <v/>
      </c>
      <c r="E12" s="11">
        <f>'Income Statement'!E12/'Income Statement'!E5</f>
        <v/>
      </c>
      <c r="F12" s="11">
        <f>'Income Statement'!F12/'Income Statement'!F5</f>
        <v/>
      </c>
      <c r="G12" s="11">
        <f>'Income Statement'!G12/'Income Statement'!G5</f>
        <v/>
      </c>
      <c r="H12" s="11">
        <f>'Income Statement'!H12/'Income Statement'!H5</f>
        <v/>
      </c>
      <c r="I12" s="11">
        <f>'Income Statement'!I12/'Income Statement'!I5</f>
        <v/>
      </c>
    </row>
    <row r="13">
      <c r="A13" s="6" t="inlineStr">
        <is>
          <t>Net margin</t>
        </is>
      </c>
      <c r="B13" s="11">
        <f>'Income Statement'!B18/'Income Statement'!B5</f>
        <v/>
      </c>
      <c r="C13" s="11">
        <f>'Income Statement'!C18/'Income Statement'!C5</f>
        <v/>
      </c>
      <c r="D13" s="11">
        <f>'Income Statement'!D18/'Income Statement'!D5</f>
        <v/>
      </c>
      <c r="E13" s="11">
        <f>'Income Statement'!E18/'Income Statement'!E5</f>
        <v/>
      </c>
      <c r="F13" s="11">
        <f>'Income Statement'!F18/'Income Statement'!F5</f>
        <v/>
      </c>
      <c r="G13" s="11">
        <f>'Income Statement'!G18/'Income Statement'!G5</f>
        <v/>
      </c>
      <c r="H13" s="11">
        <f>'Income Statement'!H18/'Income Statement'!H5</f>
        <v/>
      </c>
      <c r="I13" s="11">
        <f>'Income Statement'!I18/'Income Statement'!I5</f>
        <v/>
      </c>
    </row>
    <row r="14">
      <c r="A14" s="6" t="inlineStr">
        <is>
          <t>Return on equity</t>
        </is>
      </c>
      <c r="B14" s="11" t="inlineStr">
        <is>
          <t>-</t>
        </is>
      </c>
      <c r="C14" s="11">
        <f>'Income Statement'!C18/(('Balance Sheet'!B14+'Balance Sheet'!C14)/2)</f>
        <v/>
      </c>
      <c r="D14" s="11">
        <f>'Income Statement'!D18/(('Balance Sheet'!C14+'Balance Sheet'!D14)/2)</f>
        <v/>
      </c>
      <c r="E14" s="11">
        <f>'Income Statement'!E18/(('Balance Sheet'!D14+'Balance Sheet'!E14)/2)</f>
        <v/>
      </c>
      <c r="F14" s="11">
        <f>'Income Statement'!F18/(('Balance Sheet'!E14+'Balance Sheet'!F14)/2)</f>
        <v/>
      </c>
      <c r="G14" s="11">
        <f>'Income Statement'!G18/(('Balance Sheet'!F14+'Balance Sheet'!G14)/2)</f>
        <v/>
      </c>
      <c r="H14" s="11">
        <f>'Income Statement'!H18/(('Balance Sheet'!G14+'Balance Sheet'!H14)/2)</f>
        <v/>
      </c>
      <c r="I14" s="11">
        <f>'Income Statement'!I18/(('Balance Sheet'!H14+'Balance Sheet'!I14)/2)</f>
        <v/>
      </c>
    </row>
    <row r="15">
      <c r="A15" s="6" t="inlineStr">
        <is>
          <t>Return on invested capital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>
        <f>'Summary Financials'!E14</f>
        <v/>
      </c>
      <c r="F15" s="11">
        <f>'Summary Financials'!F14</f>
        <v/>
      </c>
      <c r="G15" s="11">
        <f>'Summary Financials'!G14</f>
        <v/>
      </c>
      <c r="H15" s="11">
        <f>'Summary Financials'!H14</f>
        <v/>
      </c>
      <c r="I15" s="11">
        <f>'Summary Financials'!I14</f>
        <v/>
      </c>
    </row>
    <row r="16">
      <c r="A16" s="6" t="inlineStr">
        <is>
          <t>Capital expenditure / revenue (capital intensity)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  <c r="E16" s="11">
        <f>-'Cash Flow'!D11/'Income Statement'!E5</f>
        <v/>
      </c>
      <c r="F16" s="11">
        <f>-'Cash Flow'!E11/'Income Statement'!F5</f>
        <v/>
      </c>
      <c r="G16" s="11">
        <f>-'Cash Flow'!F11/'Income Statement'!G5</f>
        <v/>
      </c>
      <c r="H16" s="11">
        <f>-'Cash Flow'!G11/'Income Statement'!H5</f>
        <v/>
      </c>
      <c r="I16" s="11">
        <f>-'Cash Flow'!H11/'Income Statement'!I5</f>
        <v/>
      </c>
    </row>
    <row r="17">
      <c r="A17" s="6" t="inlineStr">
        <is>
          <t>Lease liabilities / EBITDA</t>
        </is>
      </c>
      <c r="B17" s="38">
        <f>'Balance Sheet'!B16</f>
        <v/>
      </c>
      <c r="C17" s="38">
        <f>'Balance Sheet'!C16</f>
        <v/>
      </c>
      <c r="D17" s="38">
        <f>'Balance Sheet'!D16</f>
        <v/>
      </c>
      <c r="E17" s="38">
        <f>'Balance Sheet'!E16</f>
        <v/>
      </c>
      <c r="F17" s="38">
        <f>'Balance Sheet'!F16</f>
        <v/>
      </c>
      <c r="G17" s="38">
        <f>'Balance Sheet'!G16</f>
        <v/>
      </c>
      <c r="H17" s="38">
        <f>'Balance Sheet'!H16</f>
        <v/>
      </c>
      <c r="I17" s="38">
        <f>'Balance Sheet'!I16</f>
        <v/>
      </c>
    </row>
    <row r="18">
      <c r="A18" s="6" t="inlineStr">
        <is>
          <t>Working capital / revenue</t>
        </is>
      </c>
      <c r="B18" s="11">
        <f>'Balance Sheet'!B11/'Income Statement'!B5</f>
        <v/>
      </c>
      <c r="C18" s="11">
        <f>'Balance Sheet'!C11/'Income Statement'!C5</f>
        <v/>
      </c>
      <c r="D18" s="11">
        <f>'Balance Sheet'!D11/'Income Statement'!D5</f>
        <v/>
      </c>
      <c r="E18" s="11">
        <f>'Balance Sheet'!E11/'Income Statement'!E5</f>
        <v/>
      </c>
      <c r="F18" s="11">
        <f>'Balance Sheet'!F11/'Income Statement'!F5</f>
        <v/>
      </c>
      <c r="G18" s="11">
        <f>'Balance Sheet'!G11/'Income Statement'!G5</f>
        <v/>
      </c>
      <c r="H18" s="11">
        <f>'Balance Sheet'!H11/'Income Statement'!H5</f>
        <v/>
      </c>
      <c r="I18" s="11">
        <f>'Balance Sheet'!I11/'Income Statement'!I5</f>
        <v/>
      </c>
    </row>
    <row r="20">
      <c r="A20" s="20" t="inlineStr">
        <is>
          <t>Operating KPIs (company-disclosed history, house forecast)</t>
        </is>
      </c>
    </row>
    <row r="21">
      <c r="A21" s="6" t="inlineStr">
        <is>
          <t>Mobile subscribers, end of year ('000)</t>
        </is>
      </c>
      <c r="B21" s="31" t="inlineStr">
        <is>
          <t>-</t>
        </is>
      </c>
      <c r="C21" s="23" t="n">
        <v>8916</v>
      </c>
      <c r="D21" s="23" t="n">
        <v>9704</v>
      </c>
      <c r="E21" s="18">
        <f>Assumptions!$B$23</f>
        <v/>
      </c>
      <c r="F21" s="18">
        <f>Assumptions!$C$23</f>
        <v/>
      </c>
      <c r="G21" s="18">
        <f>Assumptions!$D$23</f>
        <v/>
      </c>
      <c r="H21" s="18">
        <f>Assumptions!$E$23</f>
        <v/>
      </c>
      <c r="I21" s="18">
        <f>Assumptions!$F$23</f>
        <v/>
      </c>
    </row>
    <row r="22">
      <c r="A22" s="6" t="inlineStr">
        <is>
          <t>Fixed subscribers, end of year ('000)</t>
        </is>
      </c>
      <c r="B22" s="31" t="inlineStr">
        <is>
          <t>-</t>
        </is>
      </c>
      <c r="C22" s="23" t="n">
        <v>682</v>
      </c>
      <c r="D22" s="23" t="n">
        <v>735</v>
      </c>
      <c r="E22" s="18">
        <f>Assumptions!$B$24</f>
        <v/>
      </c>
      <c r="F22" s="18">
        <f>Assumptions!$C$24</f>
        <v/>
      </c>
      <c r="G22" s="18">
        <f>Assumptions!$D$24</f>
        <v/>
      </c>
      <c r="H22" s="18">
        <f>Assumptions!$E$24</f>
        <v/>
      </c>
      <c r="I22" s="18">
        <f>Assumptions!$F$24</f>
        <v/>
      </c>
    </row>
    <row r="23">
      <c r="A23" s="6" t="inlineStr">
        <is>
          <t>Blended mobile ARPU (AED/month)</t>
        </is>
      </c>
      <c r="B23" s="35" t="inlineStr">
        <is>
          <t>-</t>
        </is>
      </c>
      <c r="C23" s="24" t="n">
        <v>65.8</v>
      </c>
      <c r="D23" s="24" t="n">
        <v>63.3</v>
      </c>
      <c r="E23" s="45">
        <f>Assumptions!$B$25</f>
        <v/>
      </c>
      <c r="F23" s="45">
        <f>Assumptions!$C$25</f>
        <v/>
      </c>
      <c r="G23" s="45">
        <f>Assumptions!$D$25</f>
        <v/>
      </c>
      <c r="H23" s="45">
        <f>Assumptions!$E$25</f>
        <v/>
      </c>
      <c r="I23" s="45">
        <f>Assumptions!$F$25</f>
        <v/>
      </c>
    </row>
    <row r="25">
      <c r="A25" s="4" t="inlineStr">
        <is>
          <t>Subscriber and ARPU history are the company's own year-end prints; FY2023 is not shown because the KPI series in the current disclosure pack starts at Q4-2024. The Q2-2026 actual mobile base is 9,280k after the war quarter (total base −412k on the quarter), which is the base the forecast recovers from.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52" customWidth="1" min="5" max="5"/>
    <col width="22" customWidth="1" min="6" max="6"/>
  </cols>
  <sheetData>
    <row r="1">
      <c r="A1" s="1" t="inlineStr">
        <is>
          <t>Peer frame and sector context</t>
        </is>
      </c>
      <c r="B1" s="2" t="n"/>
      <c r="C1" s="2" t="n"/>
      <c r="D1" s="2" t="n"/>
      <c r="E1" s="2" t="n"/>
      <c r="F1" s="2" t="n"/>
    </row>
    <row r="2">
      <c r="A2" s="4" t="inlineStr">
        <is>
          <t>Aggregator multiple reads, labelled cross-check — never a build source. du computed from its own audited figures</t>
        </is>
      </c>
    </row>
    <row r="4">
      <c r="A4" s="5" t="inlineStr">
        <is>
          <t>Company</t>
        </is>
      </c>
      <c r="B4" s="5" t="inlineStr">
        <is>
          <t>Market</t>
        </is>
      </c>
      <c r="C4" s="5" t="inlineStr">
        <is>
          <t>Trailing P/E</t>
        </is>
      </c>
      <c r="D4" s="5" t="inlineStr">
        <is>
          <t>Dividend yield</t>
        </is>
      </c>
      <c r="E4" s="5" t="inlineStr">
        <is>
          <t>Relevance / caution</t>
        </is>
      </c>
    </row>
    <row r="5" ht="28" customHeight="1">
      <c r="A5" s="6" t="inlineStr">
        <is>
          <t>e&amp; (EAND)</t>
        </is>
      </c>
      <c r="B5" s="6" t="inlineStr">
        <is>
          <t>UAE (ADX)</t>
        </is>
      </c>
      <c r="C5" s="44" t="inlineStr">
        <is>
          <t>~20.7x</t>
        </is>
      </c>
      <c r="D5" s="44" t="inlineStr">
        <is>
          <t>~4.8%</t>
        </is>
      </c>
      <c r="E5" s="22" t="inlineStr">
        <is>
          <t>the other half of the duopoly; scale, international assets and a higher multiple</t>
        </is>
      </c>
    </row>
    <row r="6" ht="28" customHeight="1">
      <c r="A6" s="6" t="inlineStr">
        <is>
          <t>stc</t>
        </is>
      </c>
      <c r="B6" s="6" t="inlineStr">
        <is>
          <t>Saudi Arabia</t>
        </is>
      </c>
      <c r="C6" s="44" t="inlineStr">
        <is>
          <t>~18.9x</t>
        </is>
      </c>
      <c r="D6" s="44" t="inlineStr">
        <is>
          <t>~5.2%</t>
        </is>
      </c>
      <c r="E6" s="22" t="inlineStr">
        <is>
          <t>regional benchmark payer; the yield anchor for the cross-check</t>
        </is>
      </c>
    </row>
    <row r="7" ht="28" customHeight="1">
      <c r="A7" s="6" t="inlineStr">
        <is>
          <t>Mobily</t>
        </is>
      </c>
      <c r="B7" s="6" t="inlineStr">
        <is>
          <t>Saudi Arabia</t>
        </is>
      </c>
      <c r="C7" s="44" t="inlineStr">
        <is>
          <t>~15.5x</t>
        </is>
      </c>
      <c r="D7" s="44" t="inlineStr">
        <is>
          <t>~2.9%</t>
        </is>
      </c>
      <c r="E7" s="22" t="inlineStr">
        <is>
          <t>closest structural analogue — the #2 operator that closed the gap; the justified P/E</t>
        </is>
      </c>
    </row>
    <row r="8" ht="28" customHeight="1">
      <c r="A8" s="6" t="inlineStr">
        <is>
          <t>Ooredoo</t>
        </is>
      </c>
      <c r="B8" s="6" t="inlineStr">
        <is>
          <t>Qatar</t>
        </is>
      </c>
      <c r="C8" s="44" t="inlineStr">
        <is>
          <t>~12.5x</t>
        </is>
      </c>
      <c r="D8" s="44" t="inlineStr">
        <is>
          <t>~4.6%</t>
        </is>
      </c>
      <c r="E8" s="22" t="inlineStr">
        <is>
          <t>multi-market; softer growth, lower multiple</t>
        </is>
      </c>
    </row>
    <row r="9" ht="28" customHeight="1">
      <c r="A9" s="6" t="inlineStr">
        <is>
          <t>Zain</t>
        </is>
      </c>
      <c r="B9" s="6" t="inlineStr">
        <is>
          <t>Kuwait</t>
        </is>
      </c>
      <c r="C9" s="44" t="inlineStr">
        <is>
          <t>~9x</t>
        </is>
      </c>
      <c r="D9" s="44" t="inlineStr">
        <is>
          <t>~6-7%</t>
        </is>
      </c>
      <c r="E9" s="22" t="inlineStr">
        <is>
          <t>levered multi-market; the low end of the bracket</t>
        </is>
      </c>
    </row>
    <row r="10" ht="28" customHeight="1">
      <c r="A10" s="6" t="inlineStr">
        <is>
          <t>Omantel</t>
        </is>
      </c>
      <c r="B10" s="6" t="inlineStr">
        <is>
          <t>Oman</t>
        </is>
      </c>
      <c r="C10" s="44" t="inlineStr">
        <is>
          <t>~11.4x</t>
        </is>
      </c>
      <c r="D10" s="44" t="inlineStr">
        <is>
          <t>~6.7%</t>
        </is>
      </c>
      <c r="E10" s="22" t="inlineStr">
        <is>
          <t>small-market incumbent; yield-heavy</t>
        </is>
      </c>
    </row>
    <row r="11" ht="28" customHeight="1">
      <c r="A11" s="6" t="inlineStr">
        <is>
          <t>Deutsche Telekom / Vodafone</t>
        </is>
      </c>
      <c r="B11" s="6" t="inlineStr">
        <is>
          <t>Developed markets</t>
        </is>
      </c>
      <c r="C11" s="44" t="inlineStr">
        <is>
          <t>n/m</t>
        </is>
      </c>
      <c r="D11" s="44" t="inlineStr">
        <is>
          <t>3.4% / n/m</t>
        </is>
      </c>
      <c r="E11" s="22" t="inlineStr">
        <is>
          <t>the developed-market bracket: slower growth, more leverage, lower returns</t>
        </is>
      </c>
    </row>
    <row r="13">
      <c r="A13" s="5" t="inlineStr">
        <is>
          <t>du own multiples (computed live)</t>
        </is>
      </c>
      <c r="B13" s="5" t="inlineStr">
        <is>
          <t>Value</t>
        </is>
      </c>
    </row>
    <row r="14">
      <c r="A14" s="6" t="inlineStr">
        <is>
          <t>Trailing price / earnings</t>
        </is>
      </c>
      <c r="B14" s="36">
        <f>'Relative &amp; Normalized'!C13</f>
        <v/>
      </c>
    </row>
    <row r="15">
      <c r="A15" s="6" t="inlineStr">
        <is>
          <t>Trailing enterprise value / EBITDA</t>
        </is>
      </c>
      <c r="B15" s="36">
        <f>'Relative &amp; Normalized'!C14</f>
        <v/>
      </c>
    </row>
    <row r="16">
      <c r="A16" s="6" t="inlineStr">
        <is>
          <t>Trailing dividend yield (FY2025 DPS / spot)</t>
        </is>
      </c>
      <c r="B16" s="16">
        <f>'Income Statement'!D20/Assumptions!$C$5</f>
        <v/>
      </c>
    </row>
    <row r="17">
      <c r="A17" s="6" t="inlineStr">
        <is>
          <t>Justified price / earnings applied</t>
        </is>
      </c>
      <c r="B17" s="36">
        <f>'Relative &amp; Normalized'!C6</f>
        <v/>
      </c>
    </row>
    <row r="19">
      <c r="A19" s="4" t="inlineStr">
        <is>
          <t>Peer EV/EBITDA was not reliably sourceable from public aggregators at the sweep date (net-debt figures missing); the relative lens therefore runs on P/E and dividend yield, both sourced, and that limitation is stated rather than papered over.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2026-08-17T16:41:07Z</dcterms:created>
  <dcterms:modified xmlns:dcterms="http://purl.org/dc/terms/" xmlns:xsi="http://www.w3.org/2001/XMLSchema-instance" xsi:type="dcterms:W3CDTF">2026-08-17T16:41:08Z</dcterms:modified>
</cp:coreProperties>
</file>