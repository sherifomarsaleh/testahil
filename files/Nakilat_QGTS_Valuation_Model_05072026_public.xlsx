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Primary Lens (DCF)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<sst xmlns="http://schemas.openxmlformats.org/spreadsheetml/2006/main" count="298" uniqueCount="258">
  <si>
    <t xml:space="preserve">Testahil · Independent Valuation Study — Educational Analysis · Not investment advice</t>
  </si>
  <si>
    <t xml:space="preserve">Qatar Gas Transport Company Q.P.S.C. (Nakilat) — QE: QGTS.  Companion model to the study dated 05 Jul 2026.</t>
  </si>
  <si>
    <t xml:space="preserve">READ FIRST — what this is, and is not. This workbook is an educational valuation exercise and a personal analytical</t>
  </si>
  <si>
    <t xml:space="preserve">opinion, published free of charge. It is NOT investment advice, NOT a recommendation to buy, sell or hold, and NOT</t>
  </si>
  <si>
    <t xml:space="preserve">directed at any reader's circumstances. The preparer is not licensed by any securities regulator, holds no brokerage</t>
  </si>
  <si>
    <t xml:space="preserve">authorisation, manages no money, and takes no fees or clients. All values are model outputs shown as ranges.</t>
  </si>
  <si>
    <t xml:space="preserve">Illustrative Monte Carlo. For Nakilat the probabilistic engine did NOT beat its naïve random-walk benchmark in the</t>
  </si>
  <si>
    <t xml:space="preserve">Step-0 calibration (CRPS skill ≈ 0). The 'Monte Carlo' sheet is included for illustration and methodological</t>
  </si>
  <si>
    <t xml:space="preserve">transparency only and must not be relied upon as a forecast for this security.</t>
  </si>
  <si>
    <t xml:space="preserve">Holdings disclosure. The preparer may hold, and may in the future take or dispose of, a position in the security</t>
  </si>
  <si>
    <t xml:space="preserve">discussed in this report, and may transact at any time without notice.</t>
  </si>
  <si>
    <t xml:space="preserve">How to use: change the blue inputs on the Assumptions sheet; every downstream sheet (DCF, statements, lenses,</t>
  </si>
  <si>
    <t xml:space="preserve">summary) reprices via formula links. Green = cross-sheet link; black = formula; blue = input.</t>
  </si>
  <si>
    <t xml:space="preserve">Currency: Qatari riyal (QAR). USD/QAR 3.64. Figures in QAR bn unless stated. Market data as of 05 Jul 2026.</t>
  </si>
  <si>
    <t xml:space="preserve">Valuation summary — Qatar Gas Transport Company (QE: QGTS)</t>
  </si>
  <si>
    <t xml:space="preserve">Educational analysis. Not investment advice. Fair-value ranges &amp; distributions only.</t>
  </si>
  <si>
    <t xml:space="preserve">Lens / read</t>
  </si>
  <si>
    <t xml:space="preserve">Output (QAR)</t>
  </si>
  <si>
    <t xml:space="preserve">vs spot</t>
  </si>
  <si>
    <t xml:space="preserve">FUNDAMENTAL</t>
  </si>
  <si>
    <t xml:space="preserve">DCF (primary)</t>
  </si>
  <si>
    <t xml:space="preserve">Two-stage DDM</t>
  </si>
  <si>
    <t xml:space="preserve">Relative multiples</t>
  </si>
  <si>
    <t xml:space="preserve">Fleet-replacement NAV</t>
  </si>
  <si>
    <t xml:space="preserve">Weighted central</t>
  </si>
  <si>
    <t xml:space="preserve">MONTE CARLO (illustrative only)</t>
  </si>
  <si>
    <t xml:space="preserve">T+60 median</t>
  </si>
  <si>
    <t xml:space="preserve">Spot (QAR, 05 Jul 2026)</t>
  </si>
  <si>
    <t xml:space="preserve">Fundamental valuation — five-lens football field</t>
  </si>
  <si>
    <t xml:space="preserve">Base values link to the lens sheets; weighted central computed here.</t>
  </si>
  <si>
    <t xml:space="preserve">Lens</t>
  </si>
  <si>
    <t xml:space="preserve">Weight</t>
  </si>
  <si>
    <t xml:space="preserve">Bear</t>
  </si>
  <si>
    <t xml:space="preserve">Base</t>
  </si>
  <si>
    <t xml:space="preserve">Bull</t>
  </si>
  <si>
    <t xml:space="preserve">DCF (contracted FCFF)</t>
  </si>
  <si>
    <t xml:space="preserve">Spot (QAR)</t>
  </si>
  <si>
    <t xml:space="preserve">Central vs spot</t>
  </si>
  <si>
    <t xml:space="preserve">Assumptions — the single blue-cell input layer</t>
  </si>
  <si>
    <t xml:space="preserve">Blue = input (change these). Black = formula. Green = cross-sheet link. Downstream sheets link here.</t>
  </si>
  <si>
    <t xml:space="preserve">Market &amp; share data</t>
  </si>
  <si>
    <t xml:space="preserve">Spot price (QAR)</t>
  </si>
  <si>
    <t xml:space="preserve">05 Jul 2026 close</t>
  </si>
  <si>
    <t xml:space="preserve">Shares outstanding (bn)</t>
  </si>
  <si>
    <t xml:space="preserve">Qatar Exchange</t>
  </si>
  <si>
    <t xml:space="preserve">USD/QAR (peg)</t>
  </si>
  <si>
    <t xml:space="preserve">pegged</t>
  </si>
  <si>
    <t xml:space="preserve">Market cap (QAR bn)</t>
  </si>
  <si>
    <t xml:space="preserve">computed: spot x shares</t>
  </si>
  <si>
    <t xml:space="preserve">Net debt (QAR bn, FY25)</t>
  </si>
  <si>
    <t xml:space="preserve">total debt − cash</t>
  </si>
  <si>
    <t xml:space="preserve">Enterprise value (QAR bn)</t>
  </si>
  <si>
    <t xml:space="preserve">computed: mcap + net debt</t>
  </si>
  <si>
    <t xml:space="preserve">Cost of capital (Ke shown explicitly = rf + b*ERP)</t>
  </si>
  <si>
    <t xml:space="preserve">Risk-free rate</t>
  </si>
  <si>
    <t xml:space="preserve">Qatar sovereign / USD base</t>
  </si>
  <si>
    <t xml:space="preserve">Equity-risk premium</t>
  </si>
  <si>
    <t xml:space="preserve">Beta (house floor 0.8; realised ~0.34)</t>
  </si>
  <si>
    <t xml:space="preserve">Cost of equity Ke = rf + b*ERP</t>
  </si>
  <si>
    <t xml:space="preserve">published explicitly</t>
  </si>
  <si>
    <t xml:space="preserve">After-tax cost of debt</t>
  </si>
  <si>
    <t xml:space="preserve">IG / ECA financing; tax ~0</t>
  </si>
  <si>
    <t xml:space="preserve">Equity weight</t>
  </si>
  <si>
    <t xml:space="preserve">market weights</t>
  </si>
  <si>
    <t xml:space="preserve">Debt weight</t>
  </si>
  <si>
    <t xml:space="preserve">WACC (base input, ~7.5%)</t>
  </si>
  <si>
    <t xml:space="preserve">CAPM-implied ~7.1%; rounded up for charter concentration</t>
  </si>
  <si>
    <t xml:space="preserve">Terminal growth g</t>
  </si>
  <si>
    <t xml:space="preserve">charter escalation</t>
  </si>
  <si>
    <t xml:space="preserve">Tax rate</t>
  </si>
  <si>
    <t xml:space="preserve">Qatar: ~0 on Qatari-owned</t>
  </si>
  <si>
    <t xml:space="preserve">DCF operating drivers</t>
  </si>
  <si>
    <t xml:space="preserve">FY25 charter revenue (QAR bn)</t>
  </si>
  <si>
    <t xml:space="preserve">reported</t>
  </si>
  <si>
    <t xml:space="preserve">Revenue CAGR (5-yr)</t>
  </si>
  <si>
    <t xml:space="preserve">EBITDA margin</t>
  </si>
  <si>
    <t xml:space="preserve">FY25 D&amp;A (QAR bn)</t>
  </si>
  <si>
    <t xml:space="preserve">approx.</t>
  </si>
  <si>
    <t xml:space="preserve">D&amp;A growth</t>
  </si>
  <si>
    <t xml:space="preserve">FY25 maintenance capex (QAR bn)</t>
  </si>
  <si>
    <t xml:space="preserve">Maintenance capex growth</t>
  </si>
  <si>
    <t xml:space="preserve">FY25 JV income (QAR bn)</t>
  </si>
  <si>
    <t xml:space="preserve">JV stub multiple</t>
  </si>
  <si>
    <t xml:space="preserve">Dividend-discount (two-stage)</t>
  </si>
  <si>
    <t xml:space="preserve">FY25 DPS (QAR)</t>
  </si>
  <si>
    <t xml:space="preserve">14.4 dirhams</t>
  </si>
  <si>
    <t xml:space="preserve">Stage-1 DPS growth (6 yrs)</t>
  </si>
  <si>
    <t xml:space="preserve">Terminal DPS growth</t>
  </si>
  <si>
    <t xml:space="preserve">DDM cost of equity</t>
  </si>
  <si>
    <t xml:space="preserve">Relative &amp; NAV</t>
  </si>
  <si>
    <t xml:space="preserve">FY25 EBITDA (QAR bn)</t>
  </si>
  <si>
    <t xml:space="preserve">computed: EBIT + D&amp;A</t>
  </si>
  <si>
    <t xml:space="preserve">EV/EBITDA multiple (base)</t>
  </si>
  <si>
    <t xml:space="preserve">Mid-cycle EPS (QAR)</t>
  </si>
  <si>
    <t xml:space="preserve">Justified P/E (base)</t>
  </si>
  <si>
    <t xml:space="preserve">Fleet gross value (QAR bn)</t>
  </si>
  <si>
    <t xml:space="preserve">en-bloc marks x 3.64</t>
  </si>
  <si>
    <t xml:space="preserve">Lens weights (football field)</t>
  </si>
  <si>
    <t xml:space="preserve">DCF weight</t>
  </si>
  <si>
    <t xml:space="preserve">DDM weight</t>
  </si>
  <si>
    <t xml:space="preserve">Relative weight</t>
  </si>
  <si>
    <t xml:space="preserve">NAV weight</t>
  </si>
  <si>
    <t xml:space="preserve">Primary lens — DCF (see DCF sheet)</t>
  </si>
  <si>
    <t xml:space="preserve">Fair value per share (QAR)</t>
  </si>
  <si>
    <t xml:space="preserve">Segments — wholly-owned vs joint-venture vs services</t>
  </si>
  <si>
    <t xml:space="preserve">Segment</t>
  </si>
  <si>
    <t xml:space="preserve">Basis</t>
  </si>
  <si>
    <t xml:space="preserve">FY25 contribution</t>
  </si>
  <si>
    <t xml:space="preserve">Wholly-owned LNG fleet</t>
  </si>
  <si>
    <t xml:space="preserve">Consolidated charter hire, ~20-yr QatarEnergy</t>
  </si>
  <si>
    <t xml:space="preserve">~QAR 4.0 bn revenue</t>
  </si>
  <si>
    <t xml:space="preserve">Joint-venture vessel stakes</t>
  </si>
  <si>
    <t xml:space="preserve">Equity-method, ~40 vessels</t>
  </si>
  <si>
    <t xml:space="preserve">~QAR 0.64 bn (JV income)</t>
  </si>
  <si>
    <t xml:space="preserve">FSRU &amp; LPG carriers</t>
  </si>
  <si>
    <t xml:space="preserve">Long-term hire</t>
  </si>
  <si>
    <t xml:space="preserve">included above</t>
  </si>
  <si>
    <t xml:space="preserve">Shipyard &amp; marine services</t>
  </si>
  <si>
    <t xml:space="preserve">Fee income (QFAB / QSTS JVs)</t>
  </si>
  <si>
    <t xml:space="preserve">modest stub</t>
  </si>
  <si>
    <t xml:space="preserve">Relative multiples &amp; contracted-earnings frame</t>
  </si>
  <si>
    <t xml:space="preserve">Relative (EV/EBITDA)</t>
  </si>
  <si>
    <t xml:space="preserve">EBITDA (QAR bn)</t>
  </si>
  <si>
    <t xml:space="preserve">EV/EBITDA multiple</t>
  </si>
  <si>
    <t xml:space="preserve">Fair value (QAR/share)</t>
  </si>
  <si>
    <t xml:space="preserve">P/E cross-read</t>
  </si>
  <si>
    <t xml:space="preserve">Justified P/E</t>
  </si>
  <si>
    <t xml:space="preserve">DCF — contracted-fleet FCFF (primary lens)</t>
  </si>
  <si>
    <t xml:space="preserve">FCFF 5-yr explicit + terminal. Inputs link to Assumptions. Terminal FCFF: renewal capex = D&amp;A.</t>
  </si>
  <si>
    <t xml:space="preserve">QAR bn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</si>
  <si>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</si>
  <si>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</si>
  <si>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</si>
  <si>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</si>
  <si>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</si>
  <si>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Charter revenue</t>
  </si>
  <si>
    <t xml:space="preserve">EBITDA</t>
  </si>
  <si>
    <t xml:space="preserve">- Depreciation &amp; amortisation</t>
  </si>
  <si>
    <t xml:space="preserve">EBIT</t>
  </si>
  <si>
    <t xml:space="preserve">NOPAT = EBIT x (1 - tax)</t>
  </si>
  <si>
    <t xml:space="preserve">+ Depreciation &amp; amortisation</t>
  </si>
  <si>
    <t xml:space="preserve">- Maintenance / drydock capex</t>
  </si>
  <si>
    <t xml:space="preserve">- Change in working capital</t>
  </si>
  <si>
    <t xml:space="preserve">Free cash flow to firm</t>
  </si>
  <si>
    <t xml:space="preserve">Discount factor @ WACC</t>
  </si>
  <si>
    <t xml:space="preserve">PV of FCFF</t>
  </si>
  <si>
    <t xml:space="preserve">DCF bridge to equity value</t>
  </si>
  <si>
    <t xml:space="preserve">Sum PV explicit FCFF (yrs 1-5)</t>
  </si>
  <si>
    <t xml:space="preserve">Terminal value = Yr5 NOPAT x(1+g)/(WACC-g)</t>
  </si>
  <si>
    <t xml:space="preserve">PV of terminal value</t>
  </si>
  <si>
    <t xml:space="preserve">Enterprise value - operations</t>
  </si>
  <si>
    <t xml:space="preserve">+ Joint-venture fleet stub (JV x mult)</t>
  </si>
  <si>
    <t xml:space="preserve">Enterprise value - total</t>
  </si>
  <si>
    <t xml:space="preserve">- Net debt</t>
  </si>
  <si>
    <t xml:space="preserve">Equity value</t>
  </si>
  <si>
    <t xml:space="preserve">Terminal value as % of EV</t>
  </si>
  <si>
    <t xml:space="preserve">Income statement (consolidated, QAR bn)</t>
  </si>
  <si>
    <t xml:space="preserve">FY23-25 reported (blue); FY26-30e forecast (formulas link to Assumptions).</t>
  </si>
  <si>
    <t xml:space="preserve">Line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</si>
  <si>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</si>
  <si>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</si>
  <si>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</si>
  <si>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</si>
  <si>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</si>
  <si>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</si>
  <si>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</si>
  <si>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</si>
  <si>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- D&amp;A</t>
  </si>
  <si>
    <t xml:space="preserve">- Net finance cost</t>
  </si>
  <si>
    <t xml:space="preserve">+ Share of JV results</t>
  </si>
  <si>
    <t xml:space="preserve">Net profit</t>
  </si>
  <si>
    <t xml:space="preserve">EPS (QAR)</t>
  </si>
  <si>
    <t xml:space="preserve">DPS (QAR)</t>
  </si>
  <si>
    <t xml:space="preserve">Balance sheet (consolidated, QAR bn)</t>
  </si>
  <si>
    <t xml:space="preserve">FY23-25 reported; FY26-27e trajectory (newbuild-financed).</t>
  </si>
  <si>
    <t xml:space="preserve">Total assets</t>
  </si>
  <si>
    <t xml:space="preserve">Property &amp; equipment (vessels)</t>
  </si>
  <si>
    <t xml:space="preserve">Cash &amp; deposits</t>
  </si>
  <si>
    <t xml:space="preserve">Total debt</t>
  </si>
  <si>
    <t xml:space="preserve">Total equity (common)</t>
  </si>
  <si>
    <t xml:space="preserve">Net debt</t>
  </si>
  <si>
    <t xml:space="preserve">Book value / share (QAR)</t>
  </si>
  <si>
    <t xml:space="preserve">Cash flow &amp; markers (QAR bn)</t>
  </si>
  <si>
    <t xml:space="preserve">Approximate from summary disclosure; sub-1x FCF dividend cover reflects newbuild capex.</t>
  </si>
  <si>
    <t xml:space="preserve">Operating cash flow (approx.)</t>
  </si>
  <si>
    <t xml:space="preserve">Maintenance / drydock capex</t>
  </si>
  <si>
    <t xml:space="preserve">Growth capex (newbuild programme)</t>
  </si>
  <si>
    <t xml:space="preserve">Dividends paid</t>
  </si>
  <si>
    <t xml:space="preserve">Net finance cost</t>
  </si>
  <si>
    <t xml:space="preserve">Summary financials</t>
  </si>
  <si>
    <t xml:space="preserve">Every cell links to the statement sheets (green).</t>
  </si>
  <si>
    <t xml:space="preserve">Monte Carlo — illustrative only (engine ties benchmark, see Calibration)</t>
  </si>
  <si>
    <t xml:space="preserve">YZ-HAR width, Student-t(5), zero drift, 16 factors, 50,000 paths, seed 42. NOT a reliable forecast for this name.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</si>
  <si>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</si>
  <si>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</si>
  <si>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</si>
  <si>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</si>
  <si>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</si>
  <si>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</si>
  <si>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</si>
  <si>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</si>
  <si>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Ann. vol (YZ-HAR)</t>
  </si>
  <si>
    <t xml:space="preserve">Net drift (quarter)</t>
  </si>
  <si>
    <t xml:space="preserve">Level-touch ladder</t>
  </si>
  <si>
    <t xml:space="preserve">Level (QAR)</t>
  </si>
  <si>
    <t xml:space="preserve">T+20 touch</t>
  </si>
  <si>
    <t xml:space="preserve">T+60 touch</t>
  </si>
  <si>
    <t xml:space="preserve">DCF sensitivity — WACC x terminal growth (QAR/share)</t>
  </si>
  <si>
    <t xml:space="preserve">Base cell near spot boxed in the study figure.</t>
  </si>
  <si>
    <t xml:space="preserve">WACC \ g</t>
  </si>
  <si>
    <t xml:space="preserve">1.0%</t>
  </si>
  <si>
    <t xml:space="preserve">1.5%</t>
  </si>
  <si>
    <t xml:space="preserve">2.0%</t>
  </si>
  <si>
    <t xml:space="preserve">2.5%</t>
  </si>
  <si>
    <t xml:space="preserve">6.50%</t>
  </si>
  <si>
    <t xml:space="preserve">7.00%</t>
  </si>
  <si>
    <t xml:space="preserve">7.25%</t>
  </si>
  <si>
    <t xml:space="preserve">7.50%</t>
  </si>
  <si>
    <t xml:space="preserve">8.00%</t>
  </si>
  <si>
    <t xml:space="preserve">Per-share &amp; ratios dashboard (the house Data Miner)</t>
  </si>
  <si>
    <t xml:space="preserve">Metric</t>
  </si>
  <si>
    <t xml:space="preserve">P/E</t>
  </si>
  <si>
    <t xml:space="preserve">P/B</t>
  </si>
  <si>
    <t xml:space="preserve">BVPS (QAR)</t>
  </si>
  <si>
    <t xml:space="preserve">EV/EBITDA</t>
  </si>
  <si>
    <t xml:space="preserve">Dividend yield</t>
  </si>
  <si>
    <t xml:space="preserve">Net debt / EBITDA</t>
  </si>
  <si>
    <t xml:space="preserve">Payout ratio</t>
  </si>
  <si>
    <t xml:space="preserve">ROE (approx.)</t>
  </si>
  <si>
    <t xml:space="preserve">Beta (realised)</t>
  </si>
  <si>
    <t xml:space="preserve">Peer set &amp; sector structure</t>
  </si>
  <si>
    <t xml:space="preserve">Peer</t>
  </si>
  <si>
    <t xml:space="preserve">Profile</t>
  </si>
  <si>
    <t xml:space="preserve">Div yield</t>
  </si>
  <si>
    <t xml:space="preserve">Nakilat (QGTS)</t>
  </si>
  <si>
    <t xml:space="preserve">20-25-yr QatarEnergy charters</t>
  </si>
  <si>
    <t xml:space="preserve">~14-15x</t>
  </si>
  <si>
    <t xml:space="preserve">~3.3%</t>
  </si>
  <si>
    <t xml:space="preserve">Flex LNG (FLNG)</t>
  </si>
  <si>
    <t xml:space="preserve">Long + some spot cover</t>
  </si>
  <si>
    <t xml:space="preserve">~13x</t>
  </si>
  <si>
    <t xml:space="preserve">~9-10%</t>
  </si>
  <si>
    <t xml:space="preserve">Capital Clean Energy (CCEC)</t>
  </si>
  <si>
    <t xml:space="preserve">Long charters + newbuilds</t>
  </si>
  <si>
    <t xml:space="preserve">~11-13x</t>
  </si>
  <si>
    <t xml:space="preserve">~4-5%</t>
  </si>
  <si>
    <t xml:space="preserve">ADNOC L&amp;S</t>
  </si>
  <si>
    <t xml:space="preserve">Integrated logistics &amp; shipping</t>
  </si>
  <si>
    <t xml:space="preserve">~9-11x</t>
  </si>
  <si>
    <t xml:space="preserve">~3-4%</t>
  </si>
  <si>
    <t xml:space="preserve">Bahri (Saudi)</t>
  </si>
  <si>
    <t xml:space="preserve">VLCC/product/dry - cyclical</t>
  </si>
  <si>
    <t xml:space="preserve">~7-9x</t>
  </si>
  <si>
    <t xml:space="preserve">~4-6%</t>
  </si>
  <si>
    <t xml:space="preserve">Excelerate Energy (EE)</t>
  </si>
  <si>
    <t xml:space="preserve">FSRU / LNG infrastructure</t>
  </si>
  <si>
    <t xml:space="preserve">premium</t>
  </si>
  <si>
    <t xml:space="preserve">~1%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</si>
</sst>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"/>
    <numFmt numFmtId="167" formatCode="#,##0.00"/>
    <numFmt numFmtId="168" formatCode="0.0\x"/>
    <numFmt numFmtId="169" formatCode="#,##0.000;\(#,##0.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4D4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4D47"/>
      <name val="Arial"/>
      <family val="0"/>
      <charset val="1"/>
    </font>
    <font>
      <b val="true"/>
      <sz val="14"/>
      <color rgb="FF1B4D4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sz val="9.5"/>
      <color rgb="FF008000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9.5"/>
      <color rgb="FF008000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0000FF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D47"/>
        <bgColor rgb="FF003366"/>
      </patternFill>
    </fill>
    <fill>
      <patternFill patternType="solid">
        <fgColor rgb="FFEAECE7"/>
        <bgColor rgb="FFF2ECDD"/>
      </patternFill>
    </fill>
    <fill>
      <patternFill patternType="solid">
        <fgColor rgb="FFF2ECDD"/>
        <bgColor rgb="FFEAE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CE"/>
      </left>
      <right style="thin">
        <color rgb="FFC9D2CE"/>
      </right>
      <top style="thin">
        <color rgb="FFC9D2CE"/>
      </top>
      <bottom style="thin">
        <color rgb="FFC9D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2CE"/>
      <rgbColor rgb="FF808080"/>
      <rgbColor rgb="FF9999FF"/>
      <rgbColor rgb="FF993366"/>
      <rgbColor rgb="FFF2ECDD"/>
      <rgbColor rgb="FFEA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D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3" t="s">
        <v>12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5" t="s">
        <v>14</v>
      </c>
    </row>
    <row r="2" customFormat="false" ht="15" hidden="false" customHeight="true" outlineLevel="0" collapsed="false">
      <c r="A2" s="6" t="s">
        <v>15</v>
      </c>
    </row>
    <row r="4" customFormat="false" ht="15" hidden="false" customHeight="true" outlineLevel="0" collapsed="false">
      <c r="A4" s="7" t="s">
        <v>16</v>
      </c>
      <c r="B4" s="8" t="s">
        <v>17</v>
      </c>
      <c r="C4" s="8" t="s">
        <v>18</v>
      </c>
    </row>
    <row r="5" customFormat="false" ht="15" hidden="false" customHeight="true" outlineLevel="0" collapsed="false">
      <c r="A5" s="9" t="s">
        <v>19</v>
      </c>
      <c r="B5" s="10"/>
      <c r="C5" s="10"/>
    </row>
    <row r="6" customFormat="false" ht="15" hidden="false" customHeight="true" outlineLevel="0" collapsed="false">
      <c r="A6" s="11" t="s">
        <v>20</v>
      </c>
      <c r="B6" s="12" t="n">
        <f aca="false">DCF!$B$26</f>
        <v>4.90190319150542</v>
      </c>
      <c r="C6" s="13" t="n">
        <f aca="false">B6/Assumptions!$B$5-1</f>
        <v>0.134962535657658</v>
      </c>
    </row>
    <row r="7" customFormat="false" ht="15" hidden="false" customHeight="true" outlineLevel="0" collapsed="false">
      <c r="A7" s="11" t="s">
        <v>21</v>
      </c>
      <c r="B7" s="12" t="n">
        <f aca="false">'Fundamental Valuation'!D6</f>
        <v>3.56072727272727</v>
      </c>
      <c r="C7" s="13" t="n">
        <f aca="false">B7/Assumptions!$B$5-1</f>
        <v>-0.175566734723948</v>
      </c>
    </row>
    <row r="8" customFormat="false" ht="15" hidden="false" customHeight="true" outlineLevel="0" collapsed="false">
      <c r="A8" s="11" t="s">
        <v>22</v>
      </c>
      <c r="B8" s="12" t="n">
        <f aca="false">'Relative &amp; Normalized'!C7</f>
        <v>4.0028880866426</v>
      </c>
      <c r="C8" s="13" t="n">
        <f aca="false">B8/Assumptions!$B$5-1</f>
        <v>-0.0731909963781895</v>
      </c>
    </row>
    <row r="9" customFormat="false" ht="15" hidden="false" customHeight="true" outlineLevel="0" collapsed="false">
      <c r="A9" s="11" t="s">
        <v>23</v>
      </c>
      <c r="B9" s="12" t="n">
        <f aca="false">'Fundamental Valuation'!D8</f>
        <v>4.06050541516246</v>
      </c>
      <c r="C9" s="13" t="n">
        <f aca="false">B9/Assumptions!$B$5-1</f>
        <v>-0.0598505637502986</v>
      </c>
    </row>
    <row r="10" customFormat="false" ht="15" hidden="false" customHeight="true" outlineLevel="0" collapsed="false">
      <c r="A10" s="14" t="s">
        <v>24</v>
      </c>
      <c r="B10" s="15" t="n">
        <f aca="false">'Fundamental Valuation'!D9</f>
        <v>4.28846629793463</v>
      </c>
      <c r="C10" s="16" t="n">
        <f aca="false">B10/Assumptions!$B$5-1</f>
        <v>-0.00706962307602943</v>
      </c>
    </row>
    <row r="11" customFormat="false" ht="15" hidden="false" customHeight="true" outlineLevel="0" collapsed="false">
      <c r="A11" s="9" t="s">
        <v>25</v>
      </c>
      <c r="B11" s="10"/>
      <c r="C11" s="10"/>
    </row>
    <row r="12" customFormat="false" ht="15" hidden="false" customHeight="true" outlineLevel="0" collapsed="false">
      <c r="A12" s="11" t="s">
        <v>26</v>
      </c>
      <c r="B12" s="12" t="n">
        <f aca="false">'Monte Carlo'!D6</f>
        <v>4.39665835769684</v>
      </c>
      <c r="C12" s="13" t="n">
        <f aca="false">B12/Assumptions!$B$5-1</f>
        <v>0.0179806338728501</v>
      </c>
    </row>
    <row r="14" customFormat="false" ht="15" hidden="false" customHeight="true" outlineLevel="0" collapsed="false">
      <c r="A14" s="17" t="s">
        <v>27</v>
      </c>
      <c r="B14" s="18" t="n">
        <f aca="false">Assumptions!$B$5</f>
        <v>4.319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5" min="3" style="1" width="12"/>
  </cols>
  <sheetData>
    <row r="1" customFormat="false" ht="17.25" hidden="false" customHeight="true" outlineLevel="0" collapsed="false">
      <c r="A1" s="5" t="s">
        <v>28</v>
      </c>
    </row>
    <row r="2" customFormat="false" ht="15" hidden="false" customHeight="true" outlineLevel="0" collapsed="false">
      <c r="A2" s="6" t="s">
        <v>29</v>
      </c>
    </row>
    <row r="4" customFormat="false" ht="15" hidden="false" customHeight="true" outlineLevel="0" collapsed="false">
      <c r="A4" s="7" t="s">
        <v>30</v>
      </c>
      <c r="B4" s="8" t="s">
        <v>31</v>
      </c>
      <c r="C4" s="8" t="s">
        <v>32</v>
      </c>
      <c r="D4" s="8" t="s">
        <v>33</v>
      </c>
      <c r="E4" s="8" t="s">
        <v>34</v>
      </c>
    </row>
    <row r="5" customFormat="false" ht="15" hidden="false" customHeight="true" outlineLevel="0" collapsed="false">
      <c r="A5" s="11" t="s">
        <v>35</v>
      </c>
      <c r="B5" s="19" t="n">
        <v>0.4</v>
      </c>
      <c r="C5" s="20" t="n">
        <v>2.40615324522511</v>
      </c>
      <c r="D5" s="12" t="n">
        <f aca="false">DCF!$B$26</f>
        <v>4.90190319150542</v>
      </c>
      <c r="E5" s="20" t="n">
        <v>8.66652466362844</v>
      </c>
    </row>
    <row r="6" customFormat="false" ht="15" hidden="false" customHeight="true" outlineLevel="0" collapsed="false">
      <c r="A6" s="11" t="s">
        <v>21</v>
      </c>
      <c r="B6" s="19" t="n">
        <v>0.2</v>
      </c>
      <c r="C6" s="20" t="n">
        <v>2.36710933986097</v>
      </c>
      <c r="D6" s="20" t="n">
        <v>3.56072727272727</v>
      </c>
      <c r="E6" s="20" t="n">
        <v>4.61922435085125</v>
      </c>
    </row>
    <row r="7" customFormat="false" ht="15" hidden="false" customHeight="true" outlineLevel="0" collapsed="false">
      <c r="A7" s="11" t="s">
        <v>22</v>
      </c>
      <c r="B7" s="19" t="n">
        <v>0.15</v>
      </c>
      <c r="C7" s="20" t="n">
        <v>3.22202166064982</v>
      </c>
      <c r="D7" s="12" t="n">
        <f aca="false">'Relative &amp; Normalized'!C7</f>
        <v>4.0028880866426</v>
      </c>
      <c r="E7" s="20" t="n">
        <v>4.78375451263538</v>
      </c>
    </row>
    <row r="8" customFormat="false" ht="15" hidden="false" customHeight="true" outlineLevel="0" collapsed="false">
      <c r="A8" s="11" t="s">
        <v>23</v>
      </c>
      <c r="B8" s="19" t="n">
        <v>0.25</v>
      </c>
      <c r="C8" s="20" t="n">
        <v>3.17902093862816</v>
      </c>
      <c r="D8" s="20" t="n">
        <v>4.06050541516246</v>
      </c>
      <c r="E8" s="20" t="n">
        <v>5.16236101083033</v>
      </c>
    </row>
    <row r="9" customFormat="false" ht="15" hidden="false" customHeight="true" outlineLevel="0" collapsed="false">
      <c r="A9" s="14" t="s">
        <v>24</v>
      </c>
      <c r="C9" s="21" t="n">
        <f aca="false">SUMPRODUCT($B$5:$B$8,C5:C8)</f>
        <v>2.71394164981675</v>
      </c>
      <c r="D9" s="21" t="n">
        <f aca="false">SUMPRODUCT($B$5:$B$8,D5:D8)</f>
        <v>4.28846629793463</v>
      </c>
      <c r="E9" s="21" t="n">
        <f aca="false">SUMPRODUCT($B$5:$B$8,E5:E8)</f>
        <v>6.39860816522452</v>
      </c>
    </row>
    <row r="11" customFormat="false" ht="15" hidden="false" customHeight="true" outlineLevel="0" collapsed="false">
      <c r="A11" s="11" t="s">
        <v>36</v>
      </c>
      <c r="B11" s="22" t="n">
        <f aca="false">Assumptions!$B$5</f>
        <v>4.319</v>
      </c>
    </row>
    <row r="12" customFormat="false" ht="15" hidden="false" customHeight="true" outlineLevel="0" collapsed="false">
      <c r="A12" s="11" t="s">
        <v>37</v>
      </c>
      <c r="B12" s="13" t="n">
        <f aca="false">D9/Assumptions!$B$5-1</f>
        <v>-0.00706962307602943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42"/>
  </cols>
  <sheetData>
    <row r="1" customFormat="false" ht="17.25" hidden="false" customHeight="true" outlineLevel="0" collapsed="false">
      <c r="A1" s="5" t="s">
        <v>38</v>
      </c>
    </row>
    <row r="2" customFormat="false" ht="15" hidden="false" customHeight="true" outlineLevel="0" collapsed="false">
      <c r="A2" s="6" t="s">
        <v>39</v>
      </c>
    </row>
    <row r="4" customFormat="false" ht="15" hidden="false" customHeight="true" outlineLevel="0" collapsed="false">
      <c r="A4" s="9" t="s">
        <v>40</v>
      </c>
      <c r="B4" s="10"/>
      <c r="C4" s="10"/>
    </row>
    <row r="5" customFormat="false" ht="15" hidden="false" customHeight="true" outlineLevel="0" collapsed="false">
      <c r="A5" s="11" t="s">
        <v>41</v>
      </c>
      <c r="B5" s="23" t="n">
        <v>4.319</v>
      </c>
      <c r="C5" s="24" t="s">
        <v>42</v>
      </c>
    </row>
    <row r="6" customFormat="false" ht="15" hidden="false" customHeight="true" outlineLevel="0" collapsed="false">
      <c r="A6" s="11" t="s">
        <v>43</v>
      </c>
      <c r="B6" s="25" t="n">
        <v>5.54</v>
      </c>
      <c r="C6" s="24" t="s">
        <v>44</v>
      </c>
    </row>
    <row r="7" customFormat="false" ht="15" hidden="false" customHeight="true" outlineLevel="0" collapsed="false">
      <c r="A7" s="11" t="s">
        <v>45</v>
      </c>
      <c r="B7" s="25" t="n">
        <v>3.64</v>
      </c>
      <c r="C7" s="24" t="s">
        <v>46</v>
      </c>
    </row>
    <row r="8" customFormat="false" ht="15" hidden="false" customHeight="true" outlineLevel="0" collapsed="false">
      <c r="A8" s="11" t="s">
        <v>47</v>
      </c>
      <c r="B8" s="26" t="n">
        <f aca="false">Assumptions!$B$5*Assumptions!$B$6</f>
        <v>23.92726</v>
      </c>
      <c r="C8" s="24" t="s">
        <v>48</v>
      </c>
    </row>
    <row r="9" customFormat="false" ht="15" hidden="false" customHeight="true" outlineLevel="0" collapsed="false">
      <c r="A9" s="11" t="s">
        <v>49</v>
      </c>
      <c r="B9" s="25" t="n">
        <v>18.2</v>
      </c>
      <c r="C9" s="24" t="s">
        <v>50</v>
      </c>
    </row>
    <row r="10" customFormat="false" ht="15" hidden="false" customHeight="true" outlineLevel="0" collapsed="false">
      <c r="A10" s="11" t="s">
        <v>51</v>
      </c>
      <c r="B10" s="26" t="n">
        <f aca="false">Assumptions!$B$8+Assumptions!$B$9</f>
        <v>42.12726</v>
      </c>
      <c r="C10" s="24" t="s">
        <v>52</v>
      </c>
    </row>
    <row r="11" customFormat="false" ht="15" hidden="false" customHeight="true" outlineLevel="0" collapsed="false">
      <c r="A11" s="9" t="s">
        <v>53</v>
      </c>
      <c r="B11" s="10"/>
      <c r="C11" s="10"/>
    </row>
    <row r="12" customFormat="false" ht="15" hidden="false" customHeight="true" outlineLevel="0" collapsed="false">
      <c r="A12" s="11" t="s">
        <v>54</v>
      </c>
      <c r="B12" s="27" t="n">
        <v>0.045</v>
      </c>
      <c r="C12" s="24" t="s">
        <v>55</v>
      </c>
    </row>
    <row r="13" customFormat="false" ht="15" hidden="false" customHeight="true" outlineLevel="0" collapsed="false">
      <c r="A13" s="11" t="s">
        <v>56</v>
      </c>
      <c r="B13" s="27" t="n">
        <v>0.055</v>
      </c>
    </row>
    <row r="14" customFormat="false" ht="15" hidden="false" customHeight="true" outlineLevel="0" collapsed="false">
      <c r="A14" s="11" t="s">
        <v>57</v>
      </c>
      <c r="B14" s="25" t="n">
        <v>0.8</v>
      </c>
    </row>
    <row r="15" customFormat="false" ht="15" hidden="false" customHeight="true" outlineLevel="0" collapsed="false">
      <c r="A15" s="11" t="s">
        <v>58</v>
      </c>
      <c r="B15" s="28" t="n">
        <f aca="false">Assumptions!$B$12+Assumptions!$B$14*Assumptions!$B$13</f>
        <v>0.089</v>
      </c>
      <c r="C15" s="24" t="s">
        <v>59</v>
      </c>
    </row>
    <row r="16" customFormat="false" ht="15" hidden="false" customHeight="true" outlineLevel="0" collapsed="false">
      <c r="A16" s="11" t="s">
        <v>60</v>
      </c>
      <c r="B16" s="27" t="n">
        <v>0.0475</v>
      </c>
      <c r="C16" s="24" t="s">
        <v>61</v>
      </c>
    </row>
    <row r="17" customFormat="false" ht="15" hidden="false" customHeight="true" outlineLevel="0" collapsed="false">
      <c r="A17" s="11" t="s">
        <v>62</v>
      </c>
      <c r="B17" s="28" t="n">
        <f aca="false">Assumptions!$B$8/Assumptions!$B$10</f>
        <v>0.567975700294774</v>
      </c>
      <c r="C17" s="24" t="s">
        <v>63</v>
      </c>
    </row>
    <row r="18" customFormat="false" ht="15" hidden="false" customHeight="true" outlineLevel="0" collapsed="false">
      <c r="A18" s="11" t="s">
        <v>64</v>
      </c>
      <c r="B18" s="28" t="n">
        <f aca="false">Assumptions!$B$9/Assumptions!$B$10</f>
        <v>0.432024299705227</v>
      </c>
    </row>
    <row r="19" customFormat="false" ht="15" hidden="false" customHeight="true" outlineLevel="0" collapsed="false">
      <c r="A19" s="11" t="s">
        <v>65</v>
      </c>
      <c r="B19" s="27" t="n">
        <v>0.075</v>
      </c>
      <c r="C19" s="24" t="s">
        <v>66</v>
      </c>
    </row>
    <row r="20" customFormat="false" ht="15" hidden="false" customHeight="true" outlineLevel="0" collapsed="false">
      <c r="A20" s="11" t="s">
        <v>67</v>
      </c>
      <c r="B20" s="27" t="n">
        <v>0.015</v>
      </c>
      <c r="C20" s="24" t="s">
        <v>68</v>
      </c>
    </row>
    <row r="21" customFormat="false" ht="15" hidden="false" customHeight="true" outlineLevel="0" collapsed="false">
      <c r="A21" s="11" t="s">
        <v>69</v>
      </c>
      <c r="B21" s="27" t="n">
        <v>0</v>
      </c>
      <c r="C21" s="24" t="s">
        <v>70</v>
      </c>
    </row>
    <row r="22" customFormat="false" ht="15" hidden="false" customHeight="true" outlineLevel="0" collapsed="false">
      <c r="A22" s="9" t="s">
        <v>71</v>
      </c>
      <c r="B22" s="10"/>
      <c r="C22" s="10"/>
    </row>
    <row r="23" customFormat="false" ht="15" hidden="false" customHeight="true" outlineLevel="0" collapsed="false">
      <c r="A23" s="11" t="s">
        <v>72</v>
      </c>
      <c r="B23" s="25" t="n">
        <v>4.039</v>
      </c>
      <c r="C23" s="24" t="s">
        <v>73</v>
      </c>
    </row>
    <row r="24" customFormat="false" ht="15" hidden="false" customHeight="true" outlineLevel="0" collapsed="false">
      <c r="A24" s="11" t="s">
        <v>74</v>
      </c>
      <c r="B24" s="27" t="n">
        <v>0.04</v>
      </c>
    </row>
    <row r="25" customFormat="false" ht="15" hidden="false" customHeight="true" outlineLevel="0" collapsed="false">
      <c r="A25" s="11" t="s">
        <v>75</v>
      </c>
      <c r="B25" s="27" t="n">
        <v>0.71</v>
      </c>
    </row>
    <row r="26" customFormat="false" ht="15" hidden="false" customHeight="true" outlineLevel="0" collapsed="false">
      <c r="A26" s="11" t="s">
        <v>76</v>
      </c>
      <c r="B26" s="25" t="n">
        <v>0.9</v>
      </c>
      <c r="C26" s="24" t="s">
        <v>77</v>
      </c>
    </row>
    <row r="27" customFormat="false" ht="15" hidden="false" customHeight="true" outlineLevel="0" collapsed="false">
      <c r="A27" s="11" t="s">
        <v>78</v>
      </c>
      <c r="B27" s="27" t="n">
        <v>0.02</v>
      </c>
    </row>
    <row r="28" customFormat="false" ht="15" hidden="false" customHeight="true" outlineLevel="0" collapsed="false">
      <c r="A28" s="11" t="s">
        <v>79</v>
      </c>
      <c r="B28" s="25" t="n">
        <v>0.58</v>
      </c>
    </row>
    <row r="29" customFormat="false" ht="15" hidden="false" customHeight="true" outlineLevel="0" collapsed="false">
      <c r="A29" s="11" t="s">
        <v>80</v>
      </c>
      <c r="B29" s="27" t="n">
        <v>0.02</v>
      </c>
    </row>
    <row r="30" customFormat="false" ht="15" hidden="false" customHeight="true" outlineLevel="0" collapsed="false">
      <c r="A30" s="11" t="s">
        <v>81</v>
      </c>
      <c r="B30" s="25" t="n">
        <v>0.64</v>
      </c>
    </row>
    <row r="31" customFormat="false" ht="15" hidden="false" customHeight="true" outlineLevel="0" collapsed="false">
      <c r="A31" s="11" t="s">
        <v>82</v>
      </c>
      <c r="B31" s="29" t="n">
        <v>8.5</v>
      </c>
    </row>
    <row r="32" customFormat="false" ht="15" hidden="false" customHeight="true" outlineLevel="0" collapsed="false">
      <c r="A32" s="9" t="s">
        <v>83</v>
      </c>
      <c r="B32" s="10"/>
      <c r="C32" s="10"/>
    </row>
    <row r="33" customFormat="false" ht="15" hidden="false" customHeight="true" outlineLevel="0" collapsed="false">
      <c r="A33" s="11" t="s">
        <v>84</v>
      </c>
      <c r="B33" s="30" t="n">
        <v>0.144</v>
      </c>
      <c r="C33" s="24" t="s">
        <v>85</v>
      </c>
    </row>
    <row r="34" customFormat="false" ht="15" hidden="false" customHeight="true" outlineLevel="0" collapsed="false">
      <c r="A34" s="11" t="s">
        <v>86</v>
      </c>
      <c r="B34" s="27" t="n">
        <v>0.085</v>
      </c>
    </row>
    <row r="35" customFormat="false" ht="15" hidden="false" customHeight="true" outlineLevel="0" collapsed="false">
      <c r="A35" s="11" t="s">
        <v>87</v>
      </c>
      <c r="B35" s="27" t="n">
        <v>0.03</v>
      </c>
    </row>
    <row r="36" customFormat="false" ht="15" hidden="false" customHeight="true" outlineLevel="0" collapsed="false">
      <c r="A36" s="11" t="s">
        <v>88</v>
      </c>
      <c r="B36" s="27" t="n">
        <v>0.085</v>
      </c>
    </row>
    <row r="37" customFormat="false" ht="15" hidden="false" customHeight="true" outlineLevel="0" collapsed="false">
      <c r="A37" s="9" t="s">
        <v>89</v>
      </c>
      <c r="B37" s="10"/>
      <c r="C37" s="10"/>
    </row>
    <row r="38" customFormat="false" ht="15" hidden="false" customHeight="true" outlineLevel="0" collapsed="false">
      <c r="A38" s="11" t="s">
        <v>90</v>
      </c>
      <c r="B38" s="25" t="n">
        <v>2.884</v>
      </c>
      <c r="C38" s="24" t="s">
        <v>91</v>
      </c>
    </row>
    <row r="39" customFormat="false" ht="15" hidden="false" customHeight="true" outlineLevel="0" collapsed="false">
      <c r="A39" s="11" t="s">
        <v>92</v>
      </c>
      <c r="B39" s="29" t="n">
        <v>14</v>
      </c>
    </row>
    <row r="40" customFormat="false" ht="15" hidden="false" customHeight="true" outlineLevel="0" collapsed="false">
      <c r="A40" s="11" t="s">
        <v>93</v>
      </c>
      <c r="B40" s="30" t="n">
        <v>0.335</v>
      </c>
    </row>
    <row r="41" customFormat="false" ht="15" hidden="false" customHeight="true" outlineLevel="0" collapsed="false">
      <c r="A41" s="11" t="s">
        <v>94</v>
      </c>
      <c r="B41" s="29" t="n">
        <v>13</v>
      </c>
    </row>
    <row r="42" customFormat="false" ht="15" hidden="false" customHeight="true" outlineLevel="0" collapsed="false">
      <c r="A42" s="11" t="s">
        <v>95</v>
      </c>
      <c r="B42" s="25" t="n">
        <v>40.6952</v>
      </c>
      <c r="C42" s="24" t="s">
        <v>96</v>
      </c>
    </row>
    <row r="43" customFormat="false" ht="15" hidden="false" customHeight="true" outlineLevel="0" collapsed="false">
      <c r="A43" s="9" t="s">
        <v>97</v>
      </c>
      <c r="B43" s="10"/>
      <c r="C43" s="10"/>
    </row>
    <row r="44" customFormat="false" ht="15" hidden="false" customHeight="true" outlineLevel="0" collapsed="false">
      <c r="A44" s="11" t="s">
        <v>98</v>
      </c>
      <c r="B44" s="27" t="n">
        <v>0.4</v>
      </c>
    </row>
    <row r="45" customFormat="false" ht="15" hidden="false" customHeight="true" outlineLevel="0" collapsed="false">
      <c r="A45" s="11" t="s">
        <v>99</v>
      </c>
      <c r="B45" s="27" t="n">
        <v>0.2</v>
      </c>
    </row>
    <row r="46" customFormat="false" ht="15" hidden="false" customHeight="true" outlineLevel="0" collapsed="false">
      <c r="A46" s="11" t="s">
        <v>100</v>
      </c>
      <c r="B46" s="27" t="n">
        <v>0.15</v>
      </c>
    </row>
    <row r="47" customFormat="false" ht="15" hidden="false" customHeight="true" outlineLevel="0" collapsed="false">
      <c r="A47" s="11" t="s">
        <v>101</v>
      </c>
      <c r="B47" s="27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5" t="s">
        <v>102</v>
      </c>
    </row>
    <row r="4" customFormat="false" ht="15" hidden="false" customHeight="true" outlineLevel="0" collapsed="false">
      <c r="A4" s="31" t="s">
        <v>103</v>
      </c>
      <c r="B4" s="32" t="n">
        <f aca="false">DCF!$B$26</f>
        <v>4.90190319150542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18"/>
  </cols>
  <sheetData>
    <row r="1" customFormat="false" ht="17.25" hidden="false" customHeight="true" outlineLevel="0" collapsed="false">
      <c r="A1" s="5" t="s">
        <v>104</v>
      </c>
    </row>
    <row r="4" customFormat="false" ht="15" hidden="false" customHeight="true" outlineLevel="0" collapsed="false">
      <c r="A4" s="7" t="s">
        <v>105</v>
      </c>
      <c r="B4" s="8" t="s">
        <v>106</v>
      </c>
      <c r="C4" s="8" t="s">
        <v>107</v>
      </c>
    </row>
    <row r="5" customFormat="false" ht="15" hidden="false" customHeight="true" outlineLevel="0" collapsed="false">
      <c r="A5" s="11" t="s">
        <v>108</v>
      </c>
      <c r="B5" s="11" t="s">
        <v>109</v>
      </c>
      <c r="C5" s="33" t="s">
        <v>110</v>
      </c>
    </row>
    <row r="6" customFormat="false" ht="15" hidden="false" customHeight="true" outlineLevel="0" collapsed="false">
      <c r="A6" s="11" t="s">
        <v>111</v>
      </c>
      <c r="B6" s="11" t="s">
        <v>112</v>
      </c>
      <c r="C6" s="33" t="s">
        <v>113</v>
      </c>
    </row>
    <row r="7" customFormat="false" ht="15" hidden="false" customHeight="true" outlineLevel="0" collapsed="false">
      <c r="A7" s="11" t="s">
        <v>114</v>
      </c>
      <c r="B7" s="11" t="s">
        <v>115</v>
      </c>
      <c r="C7" s="33" t="s">
        <v>116</v>
      </c>
    </row>
    <row r="8" customFormat="false" ht="15" hidden="false" customHeight="true" outlineLevel="0" collapsed="false">
      <c r="A8" s="11" t="s">
        <v>117</v>
      </c>
      <c r="B8" s="11" t="s">
        <v>118</v>
      </c>
      <c r="C8" s="3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5" t="s">
        <v>120</v>
      </c>
    </row>
    <row r="4" customFormat="false" ht="15" hidden="false" customHeight="true" outlineLevel="0" collapsed="false">
      <c r="A4" s="7" t="s">
        <v>121</v>
      </c>
      <c r="B4" s="8" t="s">
        <v>32</v>
      </c>
      <c r="C4" s="8" t="s">
        <v>33</v>
      </c>
      <c r="D4" s="8" t="s">
        <v>34</v>
      </c>
    </row>
    <row r="5" customFormat="false" ht="15" hidden="false" customHeight="true" outlineLevel="0" collapsed="false">
      <c r="A5" s="11" t="s">
        <v>122</v>
      </c>
      <c r="B5" s="12" t="n">
        <f aca="false">Assumptions!$B$38</f>
        <v>2.884</v>
      </c>
      <c r="C5" s="12" t="n">
        <f aca="false">Assumptions!$B$38</f>
        <v>2.884</v>
      </c>
      <c r="D5" s="12" t="n">
        <f aca="false">Assumptions!$B$38</f>
        <v>2.884</v>
      </c>
    </row>
    <row r="6" customFormat="false" ht="15" hidden="false" customHeight="true" outlineLevel="0" collapsed="false">
      <c r="A6" s="11" t="s">
        <v>123</v>
      </c>
      <c r="B6" s="29" t="n">
        <v>12.5</v>
      </c>
      <c r="C6" s="34" t="n">
        <f aca="false">Assumptions!$B$39</f>
        <v>14</v>
      </c>
      <c r="D6" s="29" t="n">
        <v>15.5</v>
      </c>
    </row>
    <row r="7" customFormat="false" ht="15" hidden="false" customHeight="true" outlineLevel="0" collapsed="false">
      <c r="A7" s="35" t="s">
        <v>124</v>
      </c>
      <c r="B7" s="36" t="n">
        <f aca="false">(B5*B6-Assumptions!$B$9)/Assumptions!$B$6</f>
        <v>3.22202166064982</v>
      </c>
      <c r="C7" s="36" t="n">
        <f aca="false">(C5*C6-Assumptions!$B$9)/Assumptions!$B$6</f>
        <v>4.0028880866426</v>
      </c>
      <c r="D7" s="36" t="n">
        <f aca="false">(D5*D6-Assumptions!$B$9)/Assumptions!$B$6</f>
        <v>4.78375451263538</v>
      </c>
    </row>
    <row r="9" customFormat="false" ht="15" hidden="false" customHeight="true" outlineLevel="0" collapsed="false">
      <c r="A9" s="4" t="s">
        <v>125</v>
      </c>
    </row>
    <row r="10" customFormat="false" ht="15" hidden="false" customHeight="true" outlineLevel="0" collapsed="false">
      <c r="A10" s="11" t="s">
        <v>93</v>
      </c>
      <c r="B10" s="37" t="n">
        <f aca="false">Assumptions!$B$40</f>
        <v>0.335</v>
      </c>
    </row>
    <row r="11" customFormat="false" ht="15" hidden="false" customHeight="true" outlineLevel="0" collapsed="false">
      <c r="A11" s="11" t="s">
        <v>126</v>
      </c>
      <c r="B11" s="34" t="n">
        <f aca="false">Assumptions!$B$41</f>
        <v>13</v>
      </c>
    </row>
    <row r="12" customFormat="false" ht="15" hidden="false" customHeight="true" outlineLevel="0" collapsed="false">
      <c r="A12" s="35" t="s">
        <v>124</v>
      </c>
      <c r="B12" s="36" t="n">
        <f aca="false">B10*B11</f>
        <v>4.355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5" t="s">
        <v>127</v>
      </c>
    </row>
    <row r="2" customFormat="false" ht="15" hidden="false" customHeight="true" outlineLevel="0" collapsed="false">
      <c r="A2" s="6" t="s">
        <v>128</v>
      </c>
    </row>
    <row r="4" customFormat="false" ht="15" hidden="false" customHeight="true" outlineLevel="0" collapsed="false">
      <c r="A4" s="7" t="s">
        <v>129</v>
      </c>
      <c r="B4" s="8" t="s">
        <v>130</v>
      </c>
      <c r="C4" s="8" t="s">
        <v>131</v>
      </c>
      <c r="D4" s="8" t="s">
        <v>132</v>
      </c>
      <c r="E4" s="8" t="s">
        <v>133</v>
      </c>
      <c r="F4" s="8" t="s">
        <v>134</v>
      </c>
    </row>
    <row r="5" customFormat="false" ht="15" hidden="false" customHeight="true" outlineLevel="0" collapsed="false">
      <c r="A5" s="11" t="s">
        <v>135</v>
      </c>
      <c r="B5" s="12" t="n">
        <f aca="false">Assumptions!$B$23*(1+Assumptions!$B$24)^1</f>
        <v>4.20056</v>
      </c>
      <c r="C5" s="12" t="n">
        <f aca="false">Assumptions!$B$23*(1+Assumptions!$B$24)^2</f>
        <v>4.3685824</v>
      </c>
      <c r="D5" s="12" t="n">
        <f aca="false">Assumptions!$B$23*(1+Assumptions!$B$24)^3</f>
        <v>4.543325696</v>
      </c>
      <c r="E5" s="12" t="n">
        <f aca="false">Assumptions!$B$23*(1+Assumptions!$B$24)^4</f>
        <v>4.72505872384</v>
      </c>
      <c r="F5" s="12" t="n">
        <f aca="false">Assumptions!$B$23*(1+Assumptions!$B$24)^5</f>
        <v>4.9140610727936</v>
      </c>
    </row>
    <row r="6" customFormat="false" ht="15" hidden="false" customHeight="true" outlineLevel="0" collapsed="false">
      <c r="A6" s="11" t="s">
        <v>136</v>
      </c>
      <c r="B6" s="38" t="n">
        <f aca="false">B5*Assumptions!$B$25</f>
        <v>2.9823976</v>
      </c>
      <c r="C6" s="38" t="n">
        <f aca="false">C5*Assumptions!$B$25</f>
        <v>3.101693504</v>
      </c>
      <c r="D6" s="38" t="n">
        <f aca="false">D5*Assumptions!$B$25</f>
        <v>3.22576124416</v>
      </c>
      <c r="E6" s="38" t="n">
        <f aca="false">E5*Assumptions!$B$25</f>
        <v>3.3547916939264</v>
      </c>
      <c r="F6" s="38" t="n">
        <f aca="false">F5*Assumptions!$B$25</f>
        <v>3.48898336168346</v>
      </c>
    </row>
    <row r="7" customFormat="false" ht="15" hidden="false" customHeight="true" outlineLevel="0" collapsed="false">
      <c r="A7" s="11" t="s">
        <v>137</v>
      </c>
      <c r="B7" s="38" t="n">
        <f aca="false">-Assumptions!$B$26*(1+Assumptions!$B$27)^1</f>
        <v>-0.918</v>
      </c>
      <c r="C7" s="38" t="n">
        <f aca="false">-Assumptions!$B$26*(1+Assumptions!$B$27)^2</f>
        <v>-0.93636</v>
      </c>
      <c r="D7" s="38" t="n">
        <f aca="false">-Assumptions!$B$26*(1+Assumptions!$B$27)^3</f>
        <v>-0.9550872</v>
      </c>
      <c r="E7" s="38" t="n">
        <f aca="false">-Assumptions!$B$26*(1+Assumptions!$B$27)^4</f>
        <v>-0.974188944</v>
      </c>
      <c r="F7" s="38" t="n">
        <f aca="false">-Assumptions!$B$26*(1+Assumptions!$B$27)^5</f>
        <v>-0.99367272288</v>
      </c>
    </row>
    <row r="8" customFormat="false" ht="15" hidden="false" customHeight="true" outlineLevel="0" collapsed="false">
      <c r="A8" s="35" t="s">
        <v>138</v>
      </c>
      <c r="B8" s="26" t="n">
        <f aca="false">B6+B7</f>
        <v>2.0643976</v>
      </c>
      <c r="C8" s="26" t="n">
        <f aca="false">C6+C7</f>
        <v>2.165333504</v>
      </c>
      <c r="D8" s="26" t="n">
        <f aca="false">D6+D7</f>
        <v>2.27067404416</v>
      </c>
      <c r="E8" s="26" t="n">
        <f aca="false">E6+E7</f>
        <v>2.3806027499264</v>
      </c>
      <c r="F8" s="26" t="n">
        <f aca="false">F6+F7</f>
        <v>2.49531063880346</v>
      </c>
    </row>
    <row r="9" customFormat="false" ht="15" hidden="false" customHeight="true" outlineLevel="0" collapsed="false">
      <c r="A9" s="11" t="s">
        <v>139</v>
      </c>
      <c r="B9" s="38" t="n">
        <f aca="false">B8*(1-Assumptions!$B$21)</f>
        <v>2.0643976</v>
      </c>
      <c r="C9" s="38" t="n">
        <f aca="false">C8*(1-Assumptions!$B$21)</f>
        <v>2.165333504</v>
      </c>
      <c r="D9" s="38" t="n">
        <f aca="false">D8*(1-Assumptions!$B$21)</f>
        <v>2.27067404416</v>
      </c>
      <c r="E9" s="38" t="n">
        <f aca="false">E8*(1-Assumptions!$B$21)</f>
        <v>2.3806027499264</v>
      </c>
      <c r="F9" s="38" t="n">
        <f aca="false">F8*(1-Assumptions!$B$21)</f>
        <v>2.49531063880346</v>
      </c>
    </row>
    <row r="10" customFormat="false" ht="15" hidden="false" customHeight="true" outlineLevel="0" collapsed="false">
      <c r="A10" s="11" t="s">
        <v>140</v>
      </c>
      <c r="B10" s="38" t="n">
        <f aca="false">Assumptions!$B$26*(1+Assumptions!$B$27)^1</f>
        <v>0.918</v>
      </c>
      <c r="C10" s="38" t="n">
        <f aca="false">Assumptions!$B$26*(1+Assumptions!$B$27)^2</f>
        <v>0.93636</v>
      </c>
      <c r="D10" s="38" t="n">
        <f aca="false">Assumptions!$B$26*(1+Assumptions!$B$27)^3</f>
        <v>0.9550872</v>
      </c>
      <c r="E10" s="38" t="n">
        <f aca="false">Assumptions!$B$26*(1+Assumptions!$B$27)^4</f>
        <v>0.974188944</v>
      </c>
      <c r="F10" s="38" t="n">
        <f aca="false">Assumptions!$B$26*(1+Assumptions!$B$27)^5</f>
        <v>0.99367272288</v>
      </c>
    </row>
    <row r="11" customFormat="false" ht="15" hidden="false" customHeight="true" outlineLevel="0" collapsed="false">
      <c r="A11" s="11" t="s">
        <v>141</v>
      </c>
      <c r="B11" s="38" t="n">
        <f aca="false">-Assumptions!$B$28*(1+Assumptions!$B$29)^1</f>
        <v>-0.5916</v>
      </c>
      <c r="C11" s="38" t="n">
        <f aca="false">-Assumptions!$B$28*(1+Assumptions!$B$29)^2</f>
        <v>-0.603432</v>
      </c>
      <c r="D11" s="38" t="n">
        <f aca="false">-Assumptions!$B$28*(1+Assumptions!$B$29)^3</f>
        <v>-0.61550064</v>
      </c>
      <c r="E11" s="38" t="n">
        <f aca="false">-Assumptions!$B$28*(1+Assumptions!$B$29)^4</f>
        <v>-0.6278106528</v>
      </c>
      <c r="F11" s="38" t="n">
        <f aca="false">-Assumptions!$B$28*(1+Assumptions!$B$29)^5</f>
        <v>-0.640366865856</v>
      </c>
    </row>
    <row r="12" customFormat="false" ht="15" hidden="false" customHeight="true" outlineLevel="0" collapsed="false">
      <c r="A12" s="11" t="s">
        <v>142</v>
      </c>
      <c r="B12" s="38" t="n">
        <f aca="false">0</f>
        <v>0</v>
      </c>
      <c r="C12" s="38" t="n">
        <f aca="false">0</f>
        <v>0</v>
      </c>
      <c r="D12" s="38" t="n">
        <f aca="false">0</f>
        <v>0</v>
      </c>
      <c r="E12" s="38" t="n">
        <f aca="false">0</f>
        <v>0</v>
      </c>
      <c r="F12" s="38" t="n">
        <f aca="false">0</f>
        <v>0</v>
      </c>
    </row>
    <row r="13" customFormat="false" ht="15" hidden="false" customHeight="true" outlineLevel="0" collapsed="false">
      <c r="A13" s="14" t="s">
        <v>143</v>
      </c>
      <c r="B13" s="39" t="n">
        <f aca="false">B9+B10+B11+B12</f>
        <v>2.3907976</v>
      </c>
      <c r="C13" s="39" t="n">
        <f aca="false">C9+C10+C11+C12</f>
        <v>2.498261504</v>
      </c>
      <c r="D13" s="39" t="n">
        <f aca="false">D9+D10+D11+D12</f>
        <v>2.61026060416</v>
      </c>
      <c r="E13" s="39" t="n">
        <f aca="false">E9+E10+E11+E12</f>
        <v>2.7269810411264</v>
      </c>
      <c r="F13" s="39" t="n">
        <f aca="false">F9+F10+F11+F12</f>
        <v>2.84861649582746</v>
      </c>
    </row>
    <row r="14" customFormat="false" ht="15" hidden="false" customHeight="true" outlineLevel="0" collapsed="false">
      <c r="A14" s="11" t="s">
        <v>144</v>
      </c>
      <c r="B14" s="40" t="n">
        <f aca="false">1/(1+Assumptions!$B$19)^1</f>
        <v>0.930232558139535</v>
      </c>
      <c r="C14" s="40" t="n">
        <f aca="false">1/(1+Assumptions!$B$19)^2</f>
        <v>0.865332612222823</v>
      </c>
      <c r="D14" s="40" t="n">
        <f aca="false">1/(1+Assumptions!$B$19)^3</f>
        <v>0.804960569509603</v>
      </c>
      <c r="E14" s="40" t="n">
        <f aca="false">1/(1+Assumptions!$B$19)^4</f>
        <v>0.748800529776375</v>
      </c>
      <c r="F14" s="40" t="n">
        <f aca="false">1/(1+Assumptions!$B$19)^5</f>
        <v>0.696558632350116</v>
      </c>
    </row>
    <row r="15" customFormat="false" ht="15" hidden="false" customHeight="true" outlineLevel="0" collapsed="false">
      <c r="A15" s="35" t="s">
        <v>145</v>
      </c>
      <c r="B15" s="26" t="n">
        <f aca="false">B13*B14</f>
        <v>2.22399776744186</v>
      </c>
      <c r="C15" s="26" t="n">
        <f aca="false">C13*C14</f>
        <v>2.16182715327204</v>
      </c>
      <c r="D15" s="26" t="n">
        <f aca="false">D13*D14</f>
        <v>2.10115686249311</v>
      </c>
      <c r="E15" s="26" t="n">
        <f aca="false">E13*E14</f>
        <v>2.04196484828558</v>
      </c>
      <c r="F15" s="26" t="n">
        <f aca="false">F13*F14</f>
        <v>1.98422841042355</v>
      </c>
    </row>
    <row r="17" customFormat="false" ht="15" hidden="false" customHeight="true" outlineLevel="0" collapsed="false">
      <c r="A17" s="4" t="s">
        <v>146</v>
      </c>
    </row>
    <row r="18" customFormat="false" ht="15" hidden="false" customHeight="true" outlineLevel="0" collapsed="false">
      <c r="A18" s="11" t="s">
        <v>147</v>
      </c>
      <c r="B18" s="41" t="n">
        <f aca="false">SUM(B15:F15)</f>
        <v>10.5131750419161</v>
      </c>
    </row>
    <row r="19" customFormat="false" ht="15" hidden="false" customHeight="true" outlineLevel="0" collapsed="false">
      <c r="A19" s="11" t="s">
        <v>148</v>
      </c>
      <c r="B19" s="41" t="n">
        <f aca="false">F9*(1+Assumptions!$B$20)/(Assumptions!$B$19-Assumptions!$B$20)</f>
        <v>42.2123383064251</v>
      </c>
    </row>
    <row r="20" customFormat="false" ht="15" hidden="false" customHeight="true" outlineLevel="0" collapsed="false">
      <c r="A20" s="11" t="s">
        <v>149</v>
      </c>
      <c r="B20" s="41" t="n">
        <f aca="false">B19/((1+Assumptions!$B$19)^5)</f>
        <v>29.4033686390239</v>
      </c>
    </row>
    <row r="21" customFormat="false" ht="15" hidden="false" customHeight="true" outlineLevel="0" collapsed="false">
      <c r="A21" s="11" t="s">
        <v>150</v>
      </c>
      <c r="B21" s="41" t="n">
        <f aca="false">B18+B20</f>
        <v>39.9165436809401</v>
      </c>
    </row>
    <row r="22" customFormat="false" ht="15" hidden="false" customHeight="true" outlineLevel="0" collapsed="false">
      <c r="A22" s="11" t="s">
        <v>151</v>
      </c>
      <c r="B22" s="41" t="n">
        <f aca="false">Assumptions!$B$30*Assumptions!$B$31</f>
        <v>5.44</v>
      </c>
    </row>
    <row r="23" customFormat="false" ht="15" hidden="false" customHeight="true" outlineLevel="0" collapsed="false">
      <c r="A23" s="11" t="s">
        <v>152</v>
      </c>
      <c r="B23" s="41" t="n">
        <f aca="false">B21+B22</f>
        <v>45.3565436809401</v>
      </c>
    </row>
    <row r="24" customFormat="false" ht="15" hidden="false" customHeight="true" outlineLevel="0" collapsed="false">
      <c r="A24" s="11" t="s">
        <v>153</v>
      </c>
      <c r="B24" s="41" t="n">
        <f aca="false">-Assumptions!$B$9</f>
        <v>-18.2</v>
      </c>
    </row>
    <row r="25" customFormat="false" ht="15" hidden="false" customHeight="true" outlineLevel="0" collapsed="false">
      <c r="A25" s="11" t="s">
        <v>154</v>
      </c>
      <c r="B25" s="41" t="n">
        <f aca="false">B23+B24</f>
        <v>27.1565436809401</v>
      </c>
    </row>
    <row r="26" customFormat="false" ht="15" hidden="false" customHeight="true" outlineLevel="0" collapsed="false">
      <c r="A26" s="14" t="s">
        <v>103</v>
      </c>
      <c r="B26" s="42" t="n">
        <f aca="false">B25/Assumptions!$B$6</f>
        <v>4.90190319150542</v>
      </c>
    </row>
    <row r="27" customFormat="false" ht="15" hidden="false" customHeight="true" outlineLevel="0" collapsed="false">
      <c r="A27" s="11" t="s">
        <v>155</v>
      </c>
      <c r="B27" s="13" t="n">
        <f aca="false">B20/B23</f>
        <v>0.648271809374662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1"/>
  </cols>
  <sheetData>
    <row r="1" customFormat="false" ht="17.25" hidden="false" customHeight="true" outlineLevel="0" collapsed="false">
      <c r="A1" s="5" t="s">
        <v>156</v>
      </c>
    </row>
    <row r="2" customFormat="false" ht="15" hidden="false" customHeight="true" outlineLevel="0" collapsed="false">
      <c r="A2" s="6" t="s">
        <v>157</v>
      </c>
    </row>
    <row r="4" customFormat="false" ht="15" hidden="false" customHeight="true" outlineLevel="0" collapsed="false">
      <c r="A4" s="7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  <c r="G4" s="8" t="s">
        <v>164</v>
      </c>
      <c r="H4" s="8" t="s">
        <v>165</v>
      </c>
      <c r="I4" s="8" t="s">
        <v>166</v>
      </c>
    </row>
    <row r="5" customFormat="false" ht="15" hidden="false" customHeight="true" outlineLevel="0" collapsed="false">
      <c r="A5" s="11" t="s">
        <v>135</v>
      </c>
      <c r="B5" s="25" t="n">
        <v>3.626</v>
      </c>
      <c r="C5" s="25" t="n">
        <v>3.669</v>
      </c>
      <c r="D5" s="25" t="n">
        <v>4.039</v>
      </c>
      <c r="E5" s="12" t="n">
        <f aca="false">Assumptions!$B$23*(1+Assumptions!$B$24)^1</f>
        <v>4.20056</v>
      </c>
      <c r="F5" s="12" t="n">
        <f aca="false">Assumptions!$B$23*(1+Assumptions!$B$24)^2</f>
        <v>4.3685824</v>
      </c>
      <c r="G5" s="12" t="n">
        <f aca="false">Assumptions!$B$23*(1+Assumptions!$B$24)^3</f>
        <v>4.543325696</v>
      </c>
      <c r="H5" s="12" t="n">
        <f aca="false">Assumptions!$B$23*(1+Assumptions!$B$24)^4</f>
        <v>4.72505872384</v>
      </c>
      <c r="I5" s="12" t="n">
        <f aca="false">Assumptions!$B$23*(1+Assumptions!$B$24)^5</f>
        <v>4.9140610727936</v>
      </c>
    </row>
    <row r="6" customFormat="false" ht="15" hidden="false" customHeight="true" outlineLevel="0" collapsed="false">
      <c r="A6" s="11" t="s">
        <v>136</v>
      </c>
      <c r="B6" s="25" t="n">
        <v>2.716</v>
      </c>
      <c r="C6" s="25" t="n">
        <v>2.748</v>
      </c>
      <c r="D6" s="25" t="n">
        <v>2.884</v>
      </c>
      <c r="E6" s="41" t="n">
        <f aca="false">E5*Assumptions!$B$25</f>
        <v>2.9823976</v>
      </c>
      <c r="F6" s="41" t="n">
        <f aca="false">F5*Assumptions!$B$25</f>
        <v>3.101693504</v>
      </c>
      <c r="G6" s="41" t="n">
        <f aca="false">G5*Assumptions!$B$25</f>
        <v>3.22576124416</v>
      </c>
      <c r="H6" s="41" t="n">
        <f aca="false">H5*Assumptions!$B$25</f>
        <v>3.3547916939264</v>
      </c>
      <c r="I6" s="41" t="n">
        <f aca="false">I5*Assumptions!$B$25</f>
        <v>3.48898336168346</v>
      </c>
    </row>
    <row r="7" customFormat="false" ht="15" hidden="false" customHeight="true" outlineLevel="0" collapsed="false">
      <c r="A7" s="11" t="s">
        <v>167</v>
      </c>
      <c r="B7" s="25" t="n">
        <v>-0.935</v>
      </c>
      <c r="C7" s="25" t="n">
        <v>-0.839</v>
      </c>
      <c r="D7" s="25" t="n">
        <v>-0.9</v>
      </c>
      <c r="E7" s="41" t="n">
        <f aca="false">-Assumptions!$B$26*(1+Assumptions!$B$27)^1</f>
        <v>-0.918</v>
      </c>
      <c r="F7" s="41" t="n">
        <f aca="false">-Assumptions!$B$26*(1+Assumptions!$B$27)^2</f>
        <v>-0.93636</v>
      </c>
      <c r="G7" s="41" t="n">
        <f aca="false">-Assumptions!$B$26*(1+Assumptions!$B$27)^3</f>
        <v>-0.9550872</v>
      </c>
      <c r="H7" s="41" t="n">
        <f aca="false">-Assumptions!$B$26*(1+Assumptions!$B$27)^4</f>
        <v>-0.974188944</v>
      </c>
      <c r="I7" s="41" t="n">
        <f aca="false">-Assumptions!$B$26*(1+Assumptions!$B$27)^5</f>
        <v>-0.99367272288</v>
      </c>
    </row>
    <row r="8" customFormat="false" ht="15" hidden="false" customHeight="true" outlineLevel="0" collapsed="false">
      <c r="A8" s="35" t="s">
        <v>138</v>
      </c>
      <c r="B8" s="36" t="n">
        <f aca="false">B6+B7</f>
        <v>1.781</v>
      </c>
      <c r="C8" s="36" t="n">
        <f aca="false">C6+C7</f>
        <v>1.909</v>
      </c>
      <c r="D8" s="36" t="n">
        <f aca="false">D6+D7</f>
        <v>1.984</v>
      </c>
      <c r="E8" s="36" t="n">
        <f aca="false">E6+E7</f>
        <v>2.0643976</v>
      </c>
      <c r="F8" s="36" t="n">
        <f aca="false">F6+F7</f>
        <v>2.165333504</v>
      </c>
      <c r="G8" s="36" t="n">
        <f aca="false">G6+G7</f>
        <v>2.27067404416</v>
      </c>
      <c r="H8" s="36" t="n">
        <f aca="false">H6+H7</f>
        <v>2.3806027499264</v>
      </c>
      <c r="I8" s="36" t="n">
        <f aca="false">I6+I7</f>
        <v>2.49531063880346</v>
      </c>
    </row>
    <row r="9" customFormat="false" ht="15" hidden="false" customHeight="true" outlineLevel="0" collapsed="false">
      <c r="A9" s="11" t="s">
        <v>168</v>
      </c>
      <c r="B9" s="25" t="n">
        <v>-1.007</v>
      </c>
      <c r="C9" s="25" t="n">
        <v>-0.946</v>
      </c>
      <c r="D9" s="25" t="n">
        <v>-0.882</v>
      </c>
      <c r="E9" s="25" t="n">
        <v>-0.84</v>
      </c>
      <c r="F9" s="25" t="n">
        <v>-0.82</v>
      </c>
      <c r="G9" s="25" t="n">
        <v>-0.85</v>
      </c>
      <c r="H9" s="25" t="n">
        <v>-0.87</v>
      </c>
      <c r="I9" s="25" t="n">
        <v>-0.845</v>
      </c>
    </row>
    <row r="10" customFormat="false" ht="15" hidden="false" customHeight="true" outlineLevel="0" collapsed="false">
      <c r="A10" s="11" t="s">
        <v>169</v>
      </c>
      <c r="B10" s="25" t="n">
        <v>0.785</v>
      </c>
      <c r="C10" s="25" t="n">
        <v>0.675</v>
      </c>
      <c r="D10" s="25" t="n">
        <v>0.64</v>
      </c>
      <c r="E10" s="25" t="n">
        <v>0.645</v>
      </c>
      <c r="F10" s="25" t="n">
        <v>0.66</v>
      </c>
      <c r="G10" s="25" t="n">
        <v>0.68</v>
      </c>
      <c r="H10" s="25" t="n">
        <v>0.7</v>
      </c>
      <c r="I10" s="25" t="n">
        <v>0.72</v>
      </c>
    </row>
    <row r="11" customFormat="false" ht="15" hidden="false" customHeight="true" outlineLevel="0" collapsed="false">
      <c r="A11" s="35" t="s">
        <v>170</v>
      </c>
      <c r="B11" s="21" t="n">
        <f aca="false">B8+B9+B10</f>
        <v>1.559</v>
      </c>
      <c r="C11" s="21" t="n">
        <f aca="false">C8+C9+C10</f>
        <v>1.638</v>
      </c>
      <c r="D11" s="21" t="n">
        <f aca="false">D8+D9+D10</f>
        <v>1.742</v>
      </c>
      <c r="E11" s="21" t="n">
        <f aca="false">E8+E9+E10</f>
        <v>1.8693976</v>
      </c>
      <c r="F11" s="21" t="n">
        <f aca="false">F8+F9+F10</f>
        <v>2.005333504</v>
      </c>
      <c r="G11" s="21" t="n">
        <f aca="false">G8+G9+G10</f>
        <v>2.10067404416</v>
      </c>
      <c r="H11" s="21" t="n">
        <f aca="false">H8+H9+H10</f>
        <v>2.2106027499264</v>
      </c>
      <c r="I11" s="21" t="n">
        <f aca="false">I8+I9+I10</f>
        <v>2.37031063880346</v>
      </c>
    </row>
    <row r="12" customFormat="false" ht="15" hidden="false" customHeight="true" outlineLevel="0" collapsed="false">
      <c r="A12" s="11" t="s">
        <v>171</v>
      </c>
      <c r="B12" s="43" t="n">
        <f aca="false">B11/Assumptions!$B$6</f>
        <v>0.281407942238267</v>
      </c>
      <c r="C12" s="43" t="n">
        <f aca="false">C11/Assumptions!$B$6</f>
        <v>0.295667870036101</v>
      </c>
      <c r="D12" s="43" t="n">
        <f aca="false">D11/Assumptions!$B$6</f>
        <v>0.314440433212996</v>
      </c>
      <c r="E12" s="43" t="n">
        <f aca="false">E11/Assumptions!$B$6</f>
        <v>0.337436389891697</v>
      </c>
      <c r="F12" s="43" t="n">
        <f aca="false">F11/Assumptions!$B$6</f>
        <v>0.3619735566787</v>
      </c>
      <c r="G12" s="43" t="n">
        <f aca="false">G11/Assumptions!$B$6</f>
        <v>0.379183040462094</v>
      </c>
      <c r="H12" s="43" t="n">
        <f aca="false">H11/Assumptions!$B$6</f>
        <v>0.399025767134729</v>
      </c>
      <c r="I12" s="43" t="n">
        <f aca="false">I11/Assumptions!$B$6</f>
        <v>0.427853905921201</v>
      </c>
    </row>
    <row r="13" customFormat="false" ht="15" hidden="false" customHeight="true" outlineLevel="0" collapsed="false">
      <c r="A13" s="11" t="s">
        <v>172</v>
      </c>
      <c r="B13" s="30" t="n">
        <v>0.13</v>
      </c>
      <c r="C13" s="30" t="n">
        <v>0.14</v>
      </c>
      <c r="D13" s="30" t="n">
        <v>0.144</v>
      </c>
      <c r="E13" s="30" t="n">
        <v>0.15</v>
      </c>
      <c r="F13" s="30" t="n">
        <v>0.158</v>
      </c>
      <c r="G13" s="30" t="n">
        <v>0.166</v>
      </c>
      <c r="H13" s="30" t="n">
        <v>0.175</v>
      </c>
      <c r="I13" s="30" t="n">
        <v>0.185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5" t="s">
        <v>173</v>
      </c>
    </row>
    <row r="2" customFormat="false" ht="15" hidden="false" customHeight="true" outlineLevel="0" collapsed="false">
      <c r="A2" s="6" t="s">
        <v>174</v>
      </c>
    </row>
    <row r="4" customFormat="false" ht="15" hidden="false" customHeight="true" outlineLevel="0" collapsed="false">
      <c r="A4" s="7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</row>
    <row r="5" customFormat="false" ht="15" hidden="false" customHeight="true" outlineLevel="0" collapsed="false">
      <c r="A5" s="11" t="s">
        <v>175</v>
      </c>
      <c r="B5" s="25" t="n">
        <v>31.977</v>
      </c>
      <c r="C5" s="25" t="n">
        <v>34.36</v>
      </c>
      <c r="D5" s="25" t="n">
        <v>36.43</v>
      </c>
      <c r="E5" s="25" t="n">
        <v>38.9</v>
      </c>
      <c r="F5" s="25" t="n">
        <v>41.5</v>
      </c>
    </row>
    <row r="6" customFormat="false" ht="15" hidden="false" customHeight="true" outlineLevel="0" collapsed="false">
      <c r="A6" s="11" t="s">
        <v>176</v>
      </c>
      <c r="B6" s="25" t="n">
        <v>23.9</v>
      </c>
      <c r="C6" s="25" t="n">
        <v>24.6</v>
      </c>
      <c r="D6" s="25" t="n">
        <v>25.1</v>
      </c>
      <c r="E6" s="25" t="n">
        <v>27.5</v>
      </c>
      <c r="F6" s="25" t="n">
        <v>30.2</v>
      </c>
    </row>
    <row r="7" customFormat="false" ht="15" hidden="false" customHeight="true" outlineLevel="0" collapsed="false">
      <c r="A7" s="11" t="s">
        <v>177</v>
      </c>
      <c r="B7" s="25" t="n">
        <v>2.2</v>
      </c>
      <c r="C7" s="25" t="n">
        <v>2.6</v>
      </c>
      <c r="D7" s="25" t="n">
        <v>2.4</v>
      </c>
      <c r="E7" s="25" t="n">
        <v>2.3</v>
      </c>
      <c r="F7" s="25" t="n">
        <v>2.2</v>
      </c>
    </row>
    <row r="8" customFormat="false" ht="15" hidden="false" customHeight="true" outlineLevel="0" collapsed="false">
      <c r="A8" s="11" t="s">
        <v>178</v>
      </c>
      <c r="B8" s="25" t="n">
        <v>17.6</v>
      </c>
      <c r="C8" s="25" t="n">
        <v>19.5</v>
      </c>
      <c r="D8" s="25" t="n">
        <v>20.6</v>
      </c>
      <c r="E8" s="25" t="n">
        <v>22</v>
      </c>
      <c r="F8" s="25" t="n">
        <v>24</v>
      </c>
    </row>
    <row r="9" customFormat="false" ht="15" hidden="false" customHeight="true" outlineLevel="0" collapsed="false">
      <c r="A9" s="11" t="s">
        <v>179</v>
      </c>
      <c r="B9" s="25" t="n">
        <v>12.084</v>
      </c>
      <c r="C9" s="25" t="n">
        <v>13.259</v>
      </c>
      <c r="D9" s="25" t="n">
        <v>13.845</v>
      </c>
      <c r="E9" s="25" t="n">
        <v>14.5</v>
      </c>
      <c r="F9" s="25" t="n">
        <v>15.2</v>
      </c>
    </row>
    <row r="10" customFormat="false" ht="15" hidden="false" customHeight="true" outlineLevel="0" collapsed="false">
      <c r="A10" s="35" t="s">
        <v>180</v>
      </c>
      <c r="B10" s="36" t="n">
        <f aca="false">B8-B7</f>
        <v>15.4</v>
      </c>
      <c r="C10" s="36" t="n">
        <f aca="false">C8-C7</f>
        <v>16.9</v>
      </c>
      <c r="D10" s="36" t="n">
        <f aca="false">D8-D7</f>
        <v>18.2</v>
      </c>
      <c r="E10" s="36" t="n">
        <f aca="false">E8-E7</f>
        <v>19.7</v>
      </c>
      <c r="F10" s="36" t="n">
        <f aca="false">F8-F7</f>
        <v>21.8</v>
      </c>
    </row>
    <row r="11" customFormat="false" ht="15" hidden="false" customHeight="true" outlineLevel="0" collapsed="false">
      <c r="A11" s="11" t="s">
        <v>181</v>
      </c>
      <c r="B11" s="41" t="n">
        <f aca="false">B9/Assumptions!$B$6</f>
        <v>2.1812274368231</v>
      </c>
      <c r="C11" s="41" t="n">
        <f aca="false">C9/Assumptions!$B$6</f>
        <v>2.39332129963899</v>
      </c>
      <c r="D11" s="41" t="n">
        <f aca="false">D9/Assumptions!$B$6</f>
        <v>2.49909747292419</v>
      </c>
      <c r="E11" s="41" t="n">
        <f aca="false">E9/Assumptions!$B$6</f>
        <v>2.6173285198556</v>
      </c>
      <c r="F11" s="41" t="n">
        <f aca="false">F9/Assumptions!$B$6</f>
        <v>2.74368231046931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</cols>
  <sheetData>
    <row r="1" customFormat="false" ht="17.25" hidden="false" customHeight="true" outlineLevel="0" collapsed="false">
      <c r="A1" s="5" t="s">
        <v>182</v>
      </c>
    </row>
    <row r="2" customFormat="false" ht="15" hidden="false" customHeight="true" outlineLevel="0" collapsed="false">
      <c r="A2" s="6" t="s">
        <v>183</v>
      </c>
    </row>
    <row r="4" customFormat="false" ht="15" hidden="false" customHeight="true" outlineLevel="0" collapsed="false">
      <c r="A4" s="7" t="s">
        <v>158</v>
      </c>
      <c r="B4" s="8" t="s">
        <v>159</v>
      </c>
      <c r="C4" s="8" t="s">
        <v>160</v>
      </c>
      <c r="D4" s="8" t="s">
        <v>161</v>
      </c>
    </row>
    <row r="5" customFormat="false" ht="15" hidden="false" customHeight="true" outlineLevel="0" collapsed="false">
      <c r="A5" s="11" t="s">
        <v>184</v>
      </c>
      <c r="B5" s="25" t="n">
        <v>2.6</v>
      </c>
      <c r="C5" s="25" t="n">
        <v>2.7</v>
      </c>
      <c r="D5" s="25" t="n">
        <v>2.8</v>
      </c>
    </row>
    <row r="6" customFormat="false" ht="15" hidden="false" customHeight="true" outlineLevel="0" collapsed="false">
      <c r="A6" s="11" t="s">
        <v>185</v>
      </c>
      <c r="B6" s="25" t="n">
        <v>-0.5</v>
      </c>
      <c r="C6" s="25" t="n">
        <v>-0.6</v>
      </c>
      <c r="D6" s="25" t="n">
        <v>-0.6</v>
      </c>
    </row>
    <row r="7" customFormat="false" ht="15" hidden="false" customHeight="true" outlineLevel="0" collapsed="false">
      <c r="A7" s="11" t="s">
        <v>186</v>
      </c>
      <c r="B7" s="25" t="n">
        <v>-0.6</v>
      </c>
      <c r="C7" s="25" t="n">
        <v>-1.4</v>
      </c>
      <c r="D7" s="25" t="n">
        <v>-1.8</v>
      </c>
    </row>
    <row r="8" customFormat="false" ht="15" hidden="false" customHeight="true" outlineLevel="0" collapsed="false">
      <c r="A8" s="11" t="s">
        <v>187</v>
      </c>
      <c r="B8" s="25" t="n">
        <v>-0.72</v>
      </c>
      <c r="C8" s="25" t="n">
        <v>-0.78</v>
      </c>
      <c r="D8" s="25" t="n">
        <v>-0.8</v>
      </c>
    </row>
    <row r="9" customFormat="false" ht="15" hidden="false" customHeight="true" outlineLevel="0" collapsed="false">
      <c r="A9" s="11" t="s">
        <v>188</v>
      </c>
      <c r="B9" s="25" t="n">
        <v>-1.007</v>
      </c>
      <c r="C9" s="25" t="n">
        <v>-0.946</v>
      </c>
      <c r="D9" s="25" t="n">
        <v>-0.882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5" t="s">
        <v>189</v>
      </c>
    </row>
    <row r="2" customFormat="false" ht="15" hidden="false" customHeight="true" outlineLevel="0" collapsed="false">
      <c r="A2" s="6" t="s">
        <v>190</v>
      </c>
    </row>
    <row r="4" customFormat="false" ht="15" hidden="false" customHeight="true" outlineLevel="0" collapsed="false">
      <c r="A4" s="7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166</v>
      </c>
    </row>
    <row r="5" customFormat="false" ht="15" hidden="false" customHeight="true" outlineLevel="0" collapsed="false">
      <c r="A5" s="11" t="s">
        <v>135</v>
      </c>
      <c r="B5" s="12" t="n">
        <f aca="false">'Income Statement'!B5</f>
        <v>3.626</v>
      </c>
      <c r="C5" s="12" t="n">
        <f aca="false">'Income Statement'!C5</f>
        <v>3.669</v>
      </c>
      <c r="D5" s="12" t="n">
        <f aca="false">'Income Statement'!D5</f>
        <v>4.039</v>
      </c>
      <c r="E5" s="12" t="n">
        <f aca="false">'Income Statement'!E5</f>
        <v>4.20056</v>
      </c>
      <c r="F5" s="12" t="n">
        <f aca="false">'Income Statement'!I5</f>
        <v>4.9140610727936</v>
      </c>
    </row>
    <row r="6" customFormat="false" ht="15" hidden="false" customHeight="true" outlineLevel="0" collapsed="false">
      <c r="A6" s="11" t="s">
        <v>136</v>
      </c>
      <c r="B6" s="12" t="n">
        <f aca="false">'Income Statement'!B6</f>
        <v>2.716</v>
      </c>
      <c r="C6" s="12" t="n">
        <f aca="false">'Income Statement'!C6</f>
        <v>2.748</v>
      </c>
      <c r="D6" s="12" t="n">
        <f aca="false">'Income Statement'!D6</f>
        <v>2.884</v>
      </c>
      <c r="E6" s="12" t="n">
        <f aca="false">'Income Statement'!E6</f>
        <v>2.9823976</v>
      </c>
      <c r="F6" s="12" t="n">
        <f aca="false">'Income Statement'!I6</f>
        <v>3.48898336168346</v>
      </c>
    </row>
    <row r="7" customFormat="false" ht="15" hidden="false" customHeight="true" outlineLevel="0" collapsed="false">
      <c r="A7" s="11" t="s">
        <v>170</v>
      </c>
      <c r="B7" s="12" t="n">
        <f aca="false">'Income Statement'!B11</f>
        <v>1.559</v>
      </c>
      <c r="C7" s="12" t="n">
        <f aca="false">'Income Statement'!C11</f>
        <v>1.638</v>
      </c>
      <c r="D7" s="12" t="n">
        <f aca="false">'Income Statement'!D11</f>
        <v>1.742</v>
      </c>
      <c r="E7" s="12" t="n">
        <f aca="false">'Income Statement'!E11</f>
        <v>1.8693976</v>
      </c>
      <c r="F7" s="12" t="n">
        <f aca="false">'Income Statement'!I11</f>
        <v>2.37031063880346</v>
      </c>
    </row>
    <row r="8" customFormat="false" ht="15" hidden="false" customHeight="true" outlineLevel="0" collapsed="false">
      <c r="A8" s="11" t="s">
        <v>171</v>
      </c>
      <c r="B8" s="37" t="n">
        <f aca="false">'Income Statement'!B12</f>
        <v>0.281407942238267</v>
      </c>
      <c r="C8" s="37" t="n">
        <f aca="false">'Income Statement'!C12</f>
        <v>0.295667870036101</v>
      </c>
      <c r="D8" s="37" t="n">
        <f aca="false">'Income Statement'!D12</f>
        <v>0.314440433212996</v>
      </c>
      <c r="E8" s="37" t="n">
        <f aca="false">'Income Statement'!E12</f>
        <v>0.337436389891697</v>
      </c>
      <c r="F8" s="37" t="n">
        <f aca="false">'Income Statement'!I12</f>
        <v>0.427853905921201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1"/>
  </cols>
  <sheetData>
    <row r="1" customFormat="false" ht="17.25" hidden="false" customHeight="true" outlineLevel="0" collapsed="false">
      <c r="A1" s="5" t="s">
        <v>191</v>
      </c>
    </row>
    <row r="2" customFormat="false" ht="15" hidden="false" customHeight="true" outlineLevel="0" collapsed="false">
      <c r="A2" s="6" t="s">
        <v>192</v>
      </c>
    </row>
    <row r="4" customFormat="false" ht="15" hidden="false" customHeight="true" outlineLevel="0" collapsed="false">
      <c r="A4" s="7" t="s">
        <v>193</v>
      </c>
      <c r="B4" s="8" t="s">
        <v>194</v>
      </c>
      <c r="C4" s="8" t="s">
        <v>195</v>
      </c>
      <c r="D4" s="8" t="s">
        <v>196</v>
      </c>
      <c r="E4" s="8" t="s">
        <v>197</v>
      </c>
      <c r="F4" s="8" t="s">
        <v>198</v>
      </c>
    </row>
    <row r="5" customFormat="false" ht="15" hidden="false" customHeight="true" outlineLevel="0" collapsed="false">
      <c r="A5" s="11" t="s">
        <v>199</v>
      </c>
      <c r="B5" s="25" t="n">
        <v>3.86081869062843</v>
      </c>
      <c r="C5" s="25" t="n">
        <v>4.16373775538716</v>
      </c>
      <c r="D5" s="25" t="n">
        <v>4.34336998130987</v>
      </c>
      <c r="E5" s="25" t="n">
        <v>4.5350515341055</v>
      </c>
      <c r="F5" s="25" t="n">
        <v>4.87650001248402</v>
      </c>
    </row>
    <row r="6" customFormat="false" ht="15" hidden="false" customHeight="true" outlineLevel="0" collapsed="false">
      <c r="A6" s="11" t="s">
        <v>200</v>
      </c>
      <c r="B6" s="25" t="n">
        <v>3.59673058765008</v>
      </c>
      <c r="C6" s="25" t="n">
        <v>4.07566199313278</v>
      </c>
      <c r="D6" s="25" t="n">
        <v>4.39665835769684</v>
      </c>
      <c r="E6" s="25" t="n">
        <v>4.73879101267363</v>
      </c>
      <c r="F6" s="25" t="n">
        <v>5.36446370731087</v>
      </c>
    </row>
    <row r="8" customFormat="false" ht="15" hidden="false" customHeight="true" outlineLevel="0" collapsed="false">
      <c r="A8" s="11" t="s">
        <v>201</v>
      </c>
      <c r="B8" s="19" t="n">
        <v>0.232339077294822</v>
      </c>
    </row>
    <row r="9" customFormat="false" ht="15" hidden="false" customHeight="true" outlineLevel="0" collapsed="false">
      <c r="A9" s="11" t="s">
        <v>202</v>
      </c>
      <c r="B9" s="19" t="n">
        <v>0.012</v>
      </c>
    </row>
    <row r="11" customFormat="false" ht="15" hidden="false" customHeight="true" outlineLevel="0" collapsed="false">
      <c r="A11" s="4" t="s">
        <v>203</v>
      </c>
    </row>
    <row r="12" customFormat="false" ht="15" hidden="false" customHeight="true" outlineLevel="0" collapsed="false">
      <c r="A12" s="7" t="s">
        <v>204</v>
      </c>
      <c r="B12" s="8" t="s">
        <v>205</v>
      </c>
      <c r="C12" s="8" t="s">
        <v>206</v>
      </c>
    </row>
    <row r="13" customFormat="false" ht="15" hidden="false" customHeight="true" outlineLevel="0" collapsed="false">
      <c r="A13" s="44" t="n">
        <v>4.9</v>
      </c>
      <c r="B13" s="19" t="n">
        <v>0.0687</v>
      </c>
      <c r="C13" s="19" t="n">
        <v>0.28008</v>
      </c>
    </row>
    <row r="14" customFormat="false" ht="15" hidden="false" customHeight="true" outlineLevel="0" collapsed="false">
      <c r="A14" s="44" t="n">
        <v>4.7</v>
      </c>
      <c r="B14" s="19" t="n">
        <v>0.1823</v>
      </c>
      <c r="C14" s="19" t="n">
        <v>0.45322</v>
      </c>
    </row>
    <row r="15" customFormat="false" ht="15" hidden="false" customHeight="true" outlineLevel="0" collapsed="false">
      <c r="A15" s="44" t="n">
        <v>4.55</v>
      </c>
      <c r="B15" s="19" t="n">
        <v>0.37136</v>
      </c>
      <c r="C15" s="19" t="n">
        <v>0.62682</v>
      </c>
    </row>
    <row r="16" customFormat="false" ht="15" hidden="false" customHeight="true" outlineLevel="0" collapsed="false">
      <c r="A16" s="44" t="n">
        <v>4.4</v>
      </c>
      <c r="B16" s="19" t="n">
        <v>0.68452</v>
      </c>
      <c r="C16" s="19" t="n">
        <v>0.83074</v>
      </c>
    </row>
    <row r="17" customFormat="false" ht="15" hidden="false" customHeight="true" outlineLevel="0" collapsed="false">
      <c r="A17" s="44" t="n">
        <v>4.32</v>
      </c>
      <c r="B17" s="19" t="n">
        <v>0.88582</v>
      </c>
      <c r="C17" s="19" t="n">
        <v>0.94066</v>
      </c>
    </row>
    <row r="18" customFormat="false" ht="15" hidden="false" customHeight="true" outlineLevel="0" collapsed="false">
      <c r="A18" s="44" t="n">
        <v>4.2</v>
      </c>
      <c r="B18" s="19" t="n">
        <v>0.52248</v>
      </c>
      <c r="C18" s="19" t="n">
        <v>0.69058</v>
      </c>
    </row>
    <row r="19" customFormat="false" ht="15" hidden="false" customHeight="true" outlineLevel="0" collapsed="false">
      <c r="A19" s="44" t="n">
        <v>4.05</v>
      </c>
      <c r="B19" s="19" t="n">
        <v>0.23748</v>
      </c>
      <c r="C19" s="19" t="n">
        <v>0.45482</v>
      </c>
    </row>
    <row r="20" customFormat="false" ht="15" hidden="false" customHeight="true" outlineLevel="0" collapsed="false">
      <c r="A20" s="44" t="n">
        <v>3.9</v>
      </c>
      <c r="B20" s="19" t="n">
        <v>0.09866</v>
      </c>
      <c r="C20" s="19" t="n">
        <v>0.28392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1"/>
  </cols>
  <sheetData>
    <row r="1" customFormat="false" ht="17.25" hidden="false" customHeight="true" outlineLevel="0" collapsed="false">
      <c r="A1" s="5" t="s">
        <v>207</v>
      </c>
    </row>
    <row r="2" customFormat="false" ht="15" hidden="false" customHeight="true" outlineLevel="0" collapsed="false">
      <c r="A2" s="6" t="s">
        <v>208</v>
      </c>
    </row>
    <row r="4" customFormat="false" ht="15" hidden="false" customHeight="true" outlineLevel="0" collapsed="false">
      <c r="A4" s="7" t="s">
        <v>209</v>
      </c>
      <c r="B4" s="8" t="s">
        <v>210</v>
      </c>
      <c r="C4" s="8" t="s">
        <v>211</v>
      </c>
      <c r="D4" s="8" t="s">
        <v>212</v>
      </c>
      <c r="E4" s="8" t="s">
        <v>213</v>
      </c>
    </row>
    <row r="5" customFormat="false" ht="15" hidden="false" customHeight="true" outlineLevel="0" collapsed="false">
      <c r="A5" s="45" t="s">
        <v>214</v>
      </c>
      <c r="B5" s="41" t="n">
        <v>5.68</v>
      </c>
      <c r="C5" s="41" t="n">
        <v>6.32</v>
      </c>
      <c r="D5" s="41" t="n">
        <v>7.1</v>
      </c>
      <c r="E5" s="41" t="n">
        <v>8.07</v>
      </c>
    </row>
    <row r="6" customFormat="false" ht="15" hidden="false" customHeight="true" outlineLevel="0" collapsed="false">
      <c r="A6" s="45" t="s">
        <v>215</v>
      </c>
      <c r="B6" s="41" t="n">
        <v>5.03</v>
      </c>
      <c r="C6" s="41" t="n">
        <v>5.55</v>
      </c>
      <c r="D6" s="41" t="n">
        <v>6.17</v>
      </c>
      <c r="E6" s="41" t="n">
        <v>6.94</v>
      </c>
    </row>
    <row r="7" customFormat="false" ht="15" hidden="false" customHeight="true" outlineLevel="0" collapsed="false">
      <c r="A7" s="45" t="s">
        <v>216</v>
      </c>
      <c r="B7" s="41" t="n">
        <v>4.74</v>
      </c>
      <c r="C7" s="41" t="n">
        <v>5.21</v>
      </c>
      <c r="D7" s="41" t="n">
        <v>5.77</v>
      </c>
      <c r="E7" s="41" t="n">
        <v>6.46</v>
      </c>
    </row>
    <row r="8" customFormat="false" ht="15" hidden="false" customHeight="true" outlineLevel="0" collapsed="false">
      <c r="A8" s="45" t="s">
        <v>217</v>
      </c>
      <c r="B8" s="21" t="n">
        <v>4.47</v>
      </c>
      <c r="C8" s="41" t="n">
        <v>4.9</v>
      </c>
      <c r="D8" s="41" t="n">
        <v>5.41</v>
      </c>
      <c r="E8" s="41" t="n">
        <v>6.03</v>
      </c>
    </row>
    <row r="9" customFormat="false" ht="15" hidden="false" customHeight="true" outlineLevel="0" collapsed="false">
      <c r="A9" s="45" t="s">
        <v>218</v>
      </c>
      <c r="B9" s="21" t="n">
        <v>3.99</v>
      </c>
      <c r="C9" s="21" t="n">
        <v>4.36</v>
      </c>
      <c r="D9" s="41" t="n">
        <v>4.78</v>
      </c>
      <c r="E9" s="41" t="n">
        <v>5.28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5" t="s">
        <v>219</v>
      </c>
    </row>
    <row r="4" customFormat="false" ht="15" hidden="false" customHeight="true" outlineLevel="0" collapsed="false">
      <c r="A4" s="7" t="s">
        <v>220</v>
      </c>
      <c r="B4" s="8" t="s">
        <v>161</v>
      </c>
      <c r="C4" s="8" t="s">
        <v>220</v>
      </c>
      <c r="D4" s="8" t="s">
        <v>161</v>
      </c>
    </row>
    <row r="5" customFormat="false" ht="15" hidden="false" customHeight="true" outlineLevel="0" collapsed="false">
      <c r="A5" s="11" t="s">
        <v>171</v>
      </c>
      <c r="B5" s="37" t="n">
        <f aca="false">Assumptions!$B$6*0+'Income Statement'!D12</f>
        <v>0.314440433212996</v>
      </c>
      <c r="C5" s="11" t="s">
        <v>221</v>
      </c>
      <c r="D5" s="34" t="n">
        <f aca="false">Assumptions!$B$5/'Income Statement'!D12</f>
        <v>13.7355109070034</v>
      </c>
    </row>
    <row r="6" customFormat="false" ht="15" hidden="false" customHeight="true" outlineLevel="0" collapsed="false">
      <c r="A6" s="11" t="s">
        <v>172</v>
      </c>
      <c r="B6" s="37" t="n">
        <f aca="false">'Income Statement'!D13</f>
        <v>0.144</v>
      </c>
      <c r="C6" s="11" t="s">
        <v>222</v>
      </c>
      <c r="D6" s="34" t="n">
        <f aca="false">Assumptions!$B$5/'Balance Sheet'!D10</f>
        <v>0.237307692307692</v>
      </c>
    </row>
    <row r="7" customFormat="false" ht="15" hidden="false" customHeight="true" outlineLevel="0" collapsed="false">
      <c r="A7" s="11" t="s">
        <v>223</v>
      </c>
      <c r="B7" s="37" t="n">
        <f aca="false">'Balance Sheet'!D10</f>
        <v>18.2</v>
      </c>
      <c r="C7" s="11" t="s">
        <v>224</v>
      </c>
      <c r="D7" s="34" t="n">
        <f aca="false">Assumptions!$B$10/Assumptions!$B$38</f>
        <v>14.6072330097087</v>
      </c>
    </row>
    <row r="8" customFormat="false" ht="15" hidden="false" customHeight="true" outlineLevel="0" collapsed="false">
      <c r="A8" s="11" t="s">
        <v>225</v>
      </c>
      <c r="B8" s="46" t="n">
        <f aca="false">'Income Statement'!D13/Assumptions!$B$5</f>
        <v>0.0333410511692521</v>
      </c>
      <c r="C8" s="11" t="s">
        <v>226</v>
      </c>
      <c r="D8" s="34" t="n">
        <f aca="false">Assumptions!$B$9/Assumptions!$B$38</f>
        <v>6.31067961165049</v>
      </c>
    </row>
    <row r="9" customFormat="false" ht="15" hidden="false" customHeight="true" outlineLevel="0" collapsed="false">
      <c r="A9" s="11" t="s">
        <v>227</v>
      </c>
      <c r="B9" s="46" t="n">
        <f aca="false">'Income Statement'!D13/'Income Statement'!D12</f>
        <v>0.457956371986223</v>
      </c>
      <c r="C9" s="11" t="s">
        <v>228</v>
      </c>
      <c r="D9" s="27" t="n">
        <v>0.125</v>
      </c>
    </row>
    <row r="10" customFormat="false" ht="15" hidden="false" customHeight="true" outlineLevel="0" collapsed="false">
      <c r="A10" s="11" t="s">
        <v>75</v>
      </c>
      <c r="B10" s="46" t="n">
        <f aca="false">Assumptions!$B$25</f>
        <v>0.71</v>
      </c>
      <c r="C10" s="11" t="s">
        <v>229</v>
      </c>
      <c r="D10" s="25" t="n">
        <v>0.34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4" min="3" style="1" width="12"/>
  </cols>
  <sheetData>
    <row r="1" customFormat="false" ht="17.25" hidden="false" customHeight="true" outlineLevel="0" collapsed="false">
      <c r="A1" s="5" t="s">
        <v>230</v>
      </c>
    </row>
    <row r="4" customFormat="false" ht="15" hidden="false" customHeight="true" outlineLevel="0" collapsed="false">
      <c r="A4" s="7" t="s">
        <v>231</v>
      </c>
      <c r="B4" s="8" t="s">
        <v>232</v>
      </c>
      <c r="C4" s="8" t="s">
        <v>224</v>
      </c>
      <c r="D4" s="8" t="s">
        <v>233</v>
      </c>
    </row>
    <row r="5" customFormat="false" ht="15" hidden="false" customHeight="true" outlineLevel="0" collapsed="false">
      <c r="A5" s="11" t="s">
        <v>234</v>
      </c>
      <c r="B5" s="11" t="s">
        <v>235</v>
      </c>
      <c r="C5" s="33" t="s">
        <v>236</v>
      </c>
      <c r="D5" s="33" t="s">
        <v>237</v>
      </c>
    </row>
    <row r="6" customFormat="false" ht="15" hidden="false" customHeight="true" outlineLevel="0" collapsed="false">
      <c r="A6" s="11" t="s">
        <v>238</v>
      </c>
      <c r="B6" s="11" t="s">
        <v>239</v>
      </c>
      <c r="C6" s="33" t="s">
        <v>240</v>
      </c>
      <c r="D6" s="33" t="s">
        <v>241</v>
      </c>
    </row>
    <row r="7" customFormat="false" ht="15" hidden="false" customHeight="true" outlineLevel="0" collapsed="false">
      <c r="A7" s="11" t="s">
        <v>242</v>
      </c>
      <c r="B7" s="11" t="s">
        <v>243</v>
      </c>
      <c r="C7" s="33" t="s">
        <v>244</v>
      </c>
      <c r="D7" s="33" t="s">
        <v>245</v>
      </c>
    </row>
    <row r="8" customFormat="false" ht="15" hidden="false" customHeight="true" outlineLevel="0" collapsed="false">
      <c r="A8" s="11" t="s">
        <v>246</v>
      </c>
      <c r="B8" s="11" t="s">
        <v>247</v>
      </c>
      <c r="C8" s="33" t="s">
        <v>248</v>
      </c>
      <c r="D8" s="33" t="s">
        <v>249</v>
      </c>
    </row>
    <row r="9" customFormat="false" ht="15" hidden="false" customHeight="true" outlineLevel="0" collapsed="false">
      <c r="A9" s="11" t="s">
        <v>250</v>
      </c>
      <c r="B9" s="11" t="s">
        <v>251</v>
      </c>
      <c r="C9" s="33" t="s">
        <v>252</v>
      </c>
      <c r="D9" s="33" t="s">
        <v>253</v>
      </c>
    </row>
    <row r="10" customFormat="false" ht="15" hidden="false" customHeight="true" outlineLevel="0" collapsed="false">
      <c r="A10" s="11" t="s">
        <v>254</v>
      </c>
      <c r="B10" s="11" t="s">
        <v>255</v>
      </c>
      <c r="C10" s="33" t="s">
        <v>256</v>
      </c>
      <c r="D10" s="3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2026-07-05T16:45:57Z</dcterms:created>
  <dc:creator>openpyxl</dc:creator>
  <dc:description/>
  <dc:language>en-US</dc:language>
  <cp:lastModifiedBy/>
  <dcterms:modified xsi:type="dcterms:W3CDTF">2026-07-05T16:47:01Z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