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Investing.com OHLC, 26-Jun-2026 close</t>
        </r>
      </text>
    </comment>
    <comment ref="B6" authorId="0">
      <text>
        <r>
          <rPr>
            <sz val="10"/>
            <rFont val="Arial"/>
            <family val="2"/>
          </rPr>
          <t xml:space="preserve">Source: Kakao IR, ~440.7m shares</t>
        </r>
      </text>
    </comment>
    <comment ref="B7" authorId="0">
      <text>
        <r>
          <rPr>
            <sz val="10"/>
            <rFont val="Arial"/>
            <family val="2"/>
          </rPr>
          <t xml:space="preserve">Preparer estimate: parent-standalone net cash, excl. subsidiary balances</t>
        </r>
      </text>
    </comment>
    <comment ref="B12" authorId="0">
      <text>
        <r>
          <rPr>
            <sz val="10"/>
            <rFont val="Arial"/>
            <family val="2"/>
          </rPr>
          <t xml:space="preserve">Source: 27.16% — Kakao IR; KakaoBank mkt cap ~KRW 10.6tn</t>
        </r>
      </text>
    </comment>
    <comment ref="B13" authorId="0">
      <text>
        <r>
          <rPr>
            <sz val="10"/>
            <rFont val="Arial"/>
            <family val="2"/>
          </rPr>
          <t xml:space="preserve">Source: ~44.5% — Kakao IR; KakaoPay mkt cap ~KRW 5.75tn</t>
        </r>
      </text>
    </comment>
    <comment ref="B14" authorId="0">
      <text>
        <r>
          <rPr>
            <sz val="10"/>
            <rFont val="Arial"/>
            <family val="2"/>
          </rPr>
          <t xml:space="preserve">Source: 14.68% post-June-2026 LY Corp sell-down; mkt cap ~KRW 0.85tn</t>
        </r>
      </text>
    </comment>
    <comment ref="B15" authorId="0">
      <text>
        <r>
          <rPr>
            <sz val="10"/>
            <rFont val="Arial"/>
            <family val="2"/>
          </rPr>
          <t xml:space="preserve">Source: 20.76% direct — Kakao IR; SM mkt cap ~KRW 1.57tn</t>
        </r>
      </text>
    </comment>
    <comment ref="B27" authorId="0">
      <text>
        <r>
          <rPr>
            <sz val="10"/>
            <rFont val="Arial"/>
            <family val="2"/>
          </rPr>
          <t xml:space="preserve">Source/basis: Kakao FY2025 revenue (record)</t>
        </r>
      </text>
    </comment>
    <comment ref="B28" authorId="0">
      <text>
        <r>
          <rPr>
            <sz val="10"/>
            <rFont val="Arial"/>
            <family val="2"/>
          </rPr>
          <t xml:space="preserve">Source/basis: below Naver ~2.9x: lower margin/growth</t>
        </r>
      </text>
    </comment>
    <comment ref="B29" authorId="0">
      <text>
        <r>
          <rPr>
            <sz val="10"/>
            <rFont val="Arial"/>
            <family val="2"/>
          </rPr>
          <t xml:space="preserve">Source/basis: OP 0.73tn + D&amp;A ~0.57tn</t>
        </r>
      </text>
    </comment>
    <comment ref="B30" authorId="0">
      <text>
        <r>
          <rPr>
            <sz val="10"/>
            <rFont val="Arial"/>
            <family val="2"/>
          </rPr>
          <t xml:space="preserve">Source/basis: Naver ~9–14x</t>
        </r>
      </text>
    </comment>
    <comment ref="B31" authorId="0">
      <text>
        <r>
          <rPr>
            <sz val="10"/>
            <rFont val="Arial"/>
            <family val="2"/>
          </rPr>
          <t xml:space="preserve">Source/basis: normalized current run-rate</t>
        </r>
      </text>
    </comment>
    <comment ref="B33" authorId="0">
      <text>
        <r>
          <rPr>
            <sz val="10"/>
            <rFont val="Arial"/>
            <family val="2"/>
          </rPr>
          <t xml:space="preserve">Source/basis: add back Q4 impairment, normalize AI drag</t>
        </r>
      </text>
    </comment>
    <comment ref="C20" authorId="0">
      <text>
        <r>
          <rPr>
            <sz val="10"/>
            <rFont val="Arial"/>
            <family val="2"/>
          </rPr>
          <t xml:space="preserve">Source: 66.03%; haircut from 2023 PIF/GIC ~KRW 11tn mark</t>
        </r>
      </text>
    </comment>
    <comment ref="C21" authorId="0">
      <text>
        <r>
          <rPr>
            <sz val="10"/>
            <rFont val="Arial"/>
            <family val="2"/>
          </rPr>
          <t xml:space="preserve">Source: 57.3%; 2025 transaction range ~KRW 5–6tn EV</t>
        </r>
      </text>
    </comment>
    <comment ref="C22" authorId="0">
      <text>
        <r>
          <rPr>
            <sz val="10"/>
            <rFont val="Arial"/>
            <family val="2"/>
          </rPr>
          <t xml:space="preserve">Talk Biz ~KRW 2.5tn rev @30% OPM on ~10x EV/EBITDA, net of New-Initiatives losses</t>
        </r>
      </text>
    </comment>
    <comment ref="C24" authorId="0">
      <text>
        <r>
          <rPr>
            <sz val="10"/>
            <rFont val="Arial"/>
            <family val="2"/>
          </rPr>
          <t xml:space="preserve">Market prices ~36%; base 32%, bull 22%, bear 48%</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Source: Kakao IR FY2025 (Platform 4.32tn / Content 3.78tn); prior years derived from segment growth disclosures</t>
        </r>
      </text>
    </comment>
  </commentList>
</comments>
</file>

<file path=xl/sharedStrings.xml><?xml version="1.0" encoding="utf-8"?>
<sst xmlns="http://schemas.openxmlformats.org/spreadsheetml/2006/main" count="477" uniqueCount="409">
  <si>
    <t xml:space="preserve">READ FIRST — DISCLOSURE &amp; DISCLAIMER (educational valuation study; not investment advice)</t>
  </si>
  <si>
    <t xml:space="preserve">NATURE OF THIS WORKBOOK</t>
  </si>
  <si>
    <t xml:space="preserve">This workbook is an educational valuation exercise and an expression of the preparer's personal analytical opinion, based exclusively on publicly available information and on the assumptions stated in the text and this model. It is published free of charge to demonstrate methodology and to invite scrutiny of that methodology.</t>
  </si>
  <si>
    <t xml:space="preserve">NO ADVICE, NO RECOMMENDATION, NO SOLICITATION</t>
  </si>
  <si>
    <t xml:space="preserve">Nothing here constitutes investment advice, financial consultancy, securities analysis, a research recommendation, a rating, a price target, an offer, or a solicitation to buy, sell or hold any security. No statement is directed at the objectives, situation or needs of any person.</t>
  </si>
  <si>
    <t xml:space="preserve">NO LICENSED ACTIVITY</t>
  </si>
  <si>
    <t xml:space="preserve">The preparer is not licensed or registered with any securities regulator, carries on no regulated activity, manages no money, and accepts no clients, fees or funds.</t>
  </si>
  <si>
    <t xml:space="preserve">ESTIMATES AND UNCERTAINTY</t>
  </si>
  <si>
    <t xml:space="preserve">All values are model outputs resting on explicit, subjective assumptions; they are illustrative, highly uncertain and likely to prove wrong in material respects. Kakao's reported financials are company disclosure; the FORWARD assumptions — the holding-company discount, the marks on unlisted subsidiaries (Kakao Entertainment, Kakao Mobility), the value of the core KakaoTalk platform, and the multiples applied — are the preparer's judgments. Presented as ranges and distributions because no single number should be relied on.</t>
  </si>
  <si>
    <t xml:space="preserve">NO LIABILITY / READER'S RESPONSIBILITY</t>
  </si>
  <si>
    <t xml:space="preserve">To the maximum extent permitted by law, the preparer accepts no liability for any decision, action or loss in reliance on this workbook. Any person considering an investment decision should conduct their own assessment and consult a licensed advisor.</t>
  </si>
  <si>
    <t xml:space="preserve">HOLDINGS DISCLOSURE</t>
  </si>
  <si>
    <t xml:space="preserve">The preparer may hold, and may in the future take or dispose of, a position in the security discussed in this report.</t>
  </si>
  <si>
    <t xml:space="preserve">HOW TO USE THIS MODEL</t>
  </si>
  <si>
    <t xml:space="preserve">Blue cells are hardcoded inputs (edit to your own view); black cells are formulas; green cells link across sheets. The valuation is a holding-company sum-of-the-parts: listed stakes at market value, unlisted subsidiaries at transaction-implied marks, the core KakaoTalk operating business on a multiple, plus parent net cash, less a holding-company discount — cross-checked against a consolidated DCF, relative multiples and normalized earnings. Currency is KRW unless stated; valuation in KRW trillion, per-share in KRW.</t>
  </si>
  <si>
    <t xml:space="preserve">KAKAO CORP. (KRX: 035720) — VALUATION SUMMARY</t>
  </si>
  <si>
    <t xml:space="preserve">Holding-company SOTP (listed stakes + unlisted marks + core platform + net cash, less holdco discount) + DCF + relative + normalized. Educational; not advice.</t>
  </si>
  <si>
    <t xml:space="preserve">HEADLINE — VALUE PER SHARE (KRW)</t>
  </si>
  <si>
    <t xml:space="preserve">Weighted central fundamental</t>
  </si>
  <si>
    <t xml:space="preserve">SOTP base (32% holdco discount)</t>
  </si>
  <si>
    <t xml:space="preserve">SOTP bull (22% discount)</t>
  </si>
  <si>
    <t xml:space="preserve">SOTP bear (48% discount)</t>
  </si>
  <si>
    <t xml:space="preserve">Consolidated DCF (FCFF)</t>
  </si>
  <si>
    <t xml:space="preserve">Market price (26-Jun-26)</t>
  </si>
  <si>
    <t xml:space="preserve">Spot premium to central</t>
  </si>
  <si>
    <t xml:space="preserve">WHAT THE NUMBER RESTS ON (edit on Assumptions)</t>
  </si>
  <si>
    <t xml:space="preserve">Gross NAV per share (KRW)</t>
  </si>
  <si>
    <t xml:space="preserve">Base holdco discount</t>
  </si>
  <si>
    <t xml:space="preserve">DCF WACC</t>
  </si>
  <si>
    <t xml:space="preserve">Parent net cash (KRW tn)</t>
  </si>
  <si>
    <t xml:space="preserve">METHODOLOGY</t>
  </si>
  <si>
    <t xml:space="preserve">-  Holding-company SOTP — listed stakes at market (KakaoBank, KakaoPay, Kakao Games, SM Entertainment), unlisted subs at transaction marks (Kakao Entertainment, Kakao Mobility), the core KakaoTalk platform on a multiple, plus parent net cash, less a holdco discount. Primary lens.</t>
  </si>
  <si>
    <t xml:space="preserve">-  The holding-company discount is the dominant swing factor: gross NAV is ~KRW 51,800/share; the market prices a ~36% discount; the base case applies 32%.</t>
  </si>
  <si>
    <t xml:space="preserve">-  Consolidated DCF (FCFF) is a deliberately narrow cross-check on the operating business plus net cash only — it excludes the equity-method stake market values, so it lands well below the SOTP.</t>
  </si>
  <si>
    <t xml:space="preserve">-  Relative multiples (EV/Sales, EV/EBITDA, P/E vs Naver) and normalized through-cycle earnings complete the picture.</t>
  </si>
  <si>
    <t xml:space="preserve">-  Spot sits a few percent below the weighted central — Kakao screens roughly fairly valued, with the upside case resting on holdco-discount compression, AI monetization and stake crystallization.</t>
  </si>
  <si>
    <t xml:space="preserve">-  Reported financials are company disclosure (Kakao IR / DART); forward inputs are the preparer's judgments.</t>
  </si>
  <si>
    <t xml:space="preserve">-  Monte Carlo (16 factors, 50k paths, seed 42) describes near-term PRICE, not value; net ~flat 3M drift, very wide cone (Kakao realized vol ~51%).</t>
  </si>
  <si>
    <t xml:space="preserve">FUNDAMENTAL VALUATION — FIVE METHODS</t>
  </si>
  <si>
    <t xml:space="preserve">Holding-company SOTP (primary) + DCF cross-check + relative + normalized. Spot sits a few percent below the weighted central.</t>
  </si>
  <si>
    <t xml:space="preserve">THE METHODS — value per share (KRW)</t>
  </si>
  <si>
    <t xml:space="preserve">Method</t>
  </si>
  <si>
    <t xml:space="preserve">KRW/sh</t>
  </si>
  <si>
    <t xml:space="preserve">vs spot</t>
  </si>
  <si>
    <t xml:space="preserve">Weight</t>
  </si>
  <si>
    <t xml:space="preserve">Note</t>
  </si>
  <si>
    <t xml:space="preserve">SOTP — base (32% discount)</t>
  </si>
  <si>
    <t xml:space="preserve">primary lens</t>
  </si>
  <si>
    <t xml:space="preserve">SOTP — bull (22% discount)</t>
  </si>
  <si>
    <t xml:space="preserve">ceiling if discount compresses</t>
  </si>
  <si>
    <t xml:space="preserve">narrow cash-flow cross-check</t>
  </si>
  <si>
    <t xml:space="preserve">Relative multiples (blended)</t>
  </si>
  <si>
    <t xml:space="preserve">vs Naver / sector</t>
  </si>
  <si>
    <t xml:space="preserve">Normalized earnings power</t>
  </si>
  <si>
    <t xml:space="preserve">through-cycle discipline</t>
  </si>
  <si>
    <t xml:space="preserve">WEIGHTED CENTRAL FUNDAMENTAL VALUE</t>
  </si>
  <si>
    <t xml:space="preserve">Memo: spot price (26-Jun-26)</t>
  </si>
  <si>
    <t xml:space="preserve">market prices a normal holdco discount</t>
  </si>
  <si>
    <t xml:space="preserve">RANGE: bear (wide discount) → bull (discount compression)</t>
  </si>
  <si>
    <t xml:space="preserve">Bear / wide-discount floor (SOTP bear)</t>
  </si>
  <si>
    <t xml:space="preserve">Bull / discount-compression ceiling (SOTP bull)</t>
  </si>
  <si>
    <t xml:space="preserve">KAKAO CORP. (KRX: 035720) — ASSUMPTIONS</t>
  </si>
  <si>
    <t xml:space="preserve">All blue cells are inputs. KRW trillion unless noted. Edit to your own view.</t>
  </si>
  <si>
    <t xml:space="preserve">GLOBAL &amp; CORPORATE</t>
  </si>
  <si>
    <t xml:space="preserve">Spot price (KRW, 26-Jun-26 close)</t>
  </si>
  <si>
    <t xml:space="preserve">Shares outstanding (bn)</t>
  </si>
  <si>
    <t xml:space="preserve">Parent net cash (KRW tn, base)</t>
  </si>
  <si>
    <t xml:space="preserve">Tax rate (effective)</t>
  </si>
  <si>
    <t xml:space="preserve">SOTP — LISTED STAKES (at market)</t>
  </si>
  <si>
    <t xml:space="preserve">Stake</t>
  </si>
  <si>
    <t xml:space="preserve">Ownership %</t>
  </si>
  <si>
    <t xml:space="preserve">Sub mkt cap (tn)</t>
  </si>
  <si>
    <t xml:space="preserve">Stake value (tn)</t>
  </si>
  <si>
    <t xml:space="preserve">KakaoBank</t>
  </si>
  <si>
    <t xml:space="preserve">KakaoPay</t>
  </si>
  <si>
    <t xml:space="preserve">Kakao Games</t>
  </si>
  <si>
    <t xml:space="preserve">SM Entertainment (direct)</t>
  </si>
  <si>
    <t xml:space="preserve">Listed subtotal</t>
  </si>
  <si>
    <t xml:space="preserve">SOTP — UNLISTED, CORE &amp; HOLDCO DISCOUNT</t>
  </si>
  <si>
    <t xml:space="preserve">Item</t>
  </si>
  <si>
    <t xml:space="preserve">EV base (tn)</t>
  </si>
  <si>
    <t xml:space="preserve">EV bull</t>
  </si>
  <si>
    <t xml:space="preserve">EV bear</t>
  </si>
  <si>
    <t xml:space="preserve">Kakao Entertainment</t>
  </si>
  <si>
    <t xml:space="preserve">Kakao Mobility</t>
  </si>
  <si>
    <t xml:space="preserve">Core operating business EV (Talk Biz+Daum+AI)</t>
  </si>
  <si>
    <t xml:space="preserve">Parent net cash</t>
  </si>
  <si>
    <t xml:space="preserve">Holdco discount</t>
  </si>
  <si>
    <t xml:space="preserve">RELATIVE &amp; NORMALIZED</t>
  </si>
  <si>
    <t xml:space="preserve">Consolidated revenue 2025 (KRW tn)</t>
  </si>
  <si>
    <t xml:space="preserve">EV/Sales multiple (x)</t>
  </si>
  <si>
    <t xml:space="preserve">Consolidated EBITDA (KRW tn)</t>
  </si>
  <si>
    <t xml:space="preserve">EV/EBITDA multiple (x)</t>
  </si>
  <si>
    <t xml:space="preserve">Net profit — relative (KRW tn)</t>
  </si>
  <si>
    <t xml:space="preserve">Relative P/E (x)</t>
  </si>
  <si>
    <t xml:space="preserve">Normalized through-cycle net (KRW tn)</t>
  </si>
  <si>
    <t xml:space="preserve">Normalized justified P/E (x)</t>
  </si>
  <si>
    <t xml:space="preserve">FIVE-METHOD WEIGHTS</t>
  </si>
  <si>
    <t xml:space="preserve">SOTP — base</t>
  </si>
  <si>
    <t xml:space="preserve">SOTP — bull</t>
  </si>
  <si>
    <t xml:space="preserve">Relative multiples</t>
  </si>
  <si>
    <t xml:space="preserve">Normalized earnings</t>
  </si>
  <si>
    <t xml:space="preserve">DCF INPUTS</t>
  </si>
  <si>
    <t xml:space="preserve">WACC (KRW)</t>
  </si>
  <si>
    <t xml:space="preserve">Terminal growth g</t>
  </si>
  <si>
    <t xml:space="preserve">Stage-1 FCFF growth</t>
  </si>
  <si>
    <t xml:space="preserve">FCFF base year (KRW tn)</t>
  </si>
  <si>
    <t xml:space="preserve">Tax rate (DCF)</t>
  </si>
  <si>
    <t xml:space="preserve">FORECAST INPUTS (KRW tn) — illustrative operating build</t>
  </si>
  <si>
    <t xml:space="preserve">Year</t>
  </si>
  <si>
    <t xml:space="preserve">Revenue</t>
  </si>
  <si>
    <t xml:space="preserve">Op profit</t>
  </si>
  <si>
    <t xml:space="preserve">Net profit</t>
  </si>
  <si>
    <t xml:space="preserve">2026</t>
  </si>
  <si>
    <t xml:space="preserve">2027</t>
  </si>
  <si>
    <t xml:space="preserve">2028</t>
  </si>
  <si>
    <t xml:space="preserve">2029</t>
  </si>
  <si>
    <t xml:space="preserve">2030</t>
  </si>
  <si>
    <t xml:space="preserve">DCF FCFF COMPONENTS (KRW tn)</t>
  </si>
  <si>
    <t xml:space="preserve">D&amp;A</t>
  </si>
  <si>
    <t xml:space="preserve">Capex</t>
  </si>
  <si>
    <t xml:space="preserve">Delta WC</t>
  </si>
  <si>
    <t xml:space="preserve">SUM-OF-THE-PARTS — holding-company NAV (base / bull / bear)</t>
  </si>
  <si>
    <t xml:space="preserve">Listed stakes at market; unlisted subs at transaction marks; core platform on a multiple; parent net cash added; holdco discount applied. KRW tn; per-share KRW.</t>
  </si>
  <si>
    <t xml:space="preserve">Asset</t>
  </si>
  <si>
    <t xml:space="preserve">Base (tn)</t>
  </si>
  <si>
    <t xml:space="preserve">Bull (tn)</t>
  </si>
  <si>
    <t xml:space="preserve">Bear (tn)</t>
  </si>
  <si>
    <t xml:space="preserve">Basis</t>
  </si>
  <si>
    <t xml:space="preserve">KakaoBank (27.16%)</t>
  </si>
  <si>
    <t xml:space="preserve">listed at market</t>
  </si>
  <si>
    <t xml:space="preserve">KakaoPay (44.5%)</t>
  </si>
  <si>
    <t xml:space="preserve">Kakao Games (14.68%)</t>
  </si>
  <si>
    <t xml:space="preserve">SM Entertainment (20.76%)</t>
  </si>
  <si>
    <t xml:space="preserve">Kakao Entertainment (66.03%)</t>
  </si>
  <si>
    <t xml:space="preserve">unlisted; transaction mark</t>
  </si>
  <si>
    <t xml:space="preserve">Kakao Mobility (57.3%)</t>
  </si>
  <si>
    <t xml:space="preserve">unlisted; 2025 deal range</t>
  </si>
  <si>
    <t xml:space="preserve">Core operating business</t>
  </si>
  <si>
    <t xml:space="preserve">Talk Biz + Daum + AI, on a multiple</t>
  </si>
  <si>
    <t xml:space="preserve">parent-standalone</t>
  </si>
  <si>
    <t xml:space="preserve">Gross NAV (KRW tn)</t>
  </si>
  <si>
    <t xml:space="preserve">Gross NAV / share (KRW)</t>
  </si>
  <si>
    <t xml:space="preserve">(-) Holdco discount</t>
  </si>
  <si>
    <t xml:space="preserve">VALUE / SHARE (KRW)</t>
  </si>
  <si>
    <t xml:space="preserve">Base = 32% holdco discount on transaction-marked assets. Bull = 22% discount + higher unlisted marks (Kakao Entertainment KRW 10tn, Mobility KRW 6.5tn) + stronger core. Bear = 48% discount + lower marks. Gross NAV ~KRW 51,800/share; the market prices a ~36% discount at spot. Listed stakes are held constant across scenarios; the discount and unlisted marks drive the range.</t>
  </si>
  <si>
    <t xml:space="preserve">HOLDING-COMPANY ASSETS — stakes &amp; operating segments</t>
  </si>
  <si>
    <t xml:space="preserve">What Kakao owns and how each piece is valued. Source: Kakao IR / DART segment disclosures (FY2025).</t>
  </si>
  <si>
    <t xml:space="preserve">Dimension</t>
  </si>
  <si>
    <t xml:space="preserve">Listed financial stakes</t>
  </si>
  <si>
    <t xml:space="preserve">Unlisted subsidiaries</t>
  </si>
  <si>
    <t xml:space="preserve">Core platform (parent)</t>
  </si>
  <si>
    <t xml:space="preserve">What it is</t>
  </si>
  <si>
    <t xml:space="preserve">KakaoBank 27%, KakaoPay 45%, Kakao Games 15%, SM Ent 21%</t>
  </si>
  <si>
    <t xml:space="preserve">Kakao Entertainment 66%, Kakao Mobility 57%</t>
  </si>
  <si>
    <t xml:space="preserve">KakaoTalk (Talk Biz: ads + commerce), Daum portal, AI (Kanana)</t>
  </si>
  <si>
    <t xml:space="preserve">Valuation basis</t>
  </si>
  <si>
    <t xml:space="preserve">Market value × ownership</t>
  </si>
  <si>
    <t xml:space="preserve">Transaction-implied EV × ownership</t>
  </si>
  <si>
    <t xml:space="preserve">EV/EBITDA on standalone profit</t>
  </si>
  <si>
    <t xml:space="preserve">Earnings driver</t>
  </si>
  <si>
    <t xml:space="preserve">Sub share prices; KakaoBank loan growth; KakaoPay TPV</t>
  </si>
  <si>
    <t xml:space="preserve">Webtoon/music/IP; mobility GMV; deal marks</t>
  </si>
  <si>
    <t xml:space="preserve">MAU × ad load × commerce GMV</t>
  </si>
  <si>
    <t xml:space="preserve">Cyclicality</t>
  </si>
  <si>
    <t xml:space="preserve">Market-linked; bank rate-sensitive</t>
  </si>
  <si>
    <t xml:space="preserve">Content hit-driven; mobility scaling</t>
  </si>
  <si>
    <t xml:space="preserve">Moderate — domestic ad cycle</t>
  </si>
  <si>
    <t xml:space="preserve">Profitability</t>
  </si>
  <si>
    <t xml:space="preserve">KakaoBank/Pay profitable; Games swing</t>
  </si>
  <si>
    <t xml:space="preserve">Ent profitable; Mobility near breakeven</t>
  </si>
  <si>
    <t xml:space="preserve">Talk Biz 30%+ OPM — the profit engine</t>
  </si>
  <si>
    <t xml:space="preserve">Valuation lens</t>
  </si>
  <si>
    <t xml:space="preserve">at market (no normalization)</t>
  </si>
  <si>
    <t xml:space="preserve">haircut to 2023–25 deal marks</t>
  </si>
  <si>
    <t xml:space="preserve">~10x EV/EBITDA, net of New-Initiatives loss</t>
  </si>
  <si>
    <t xml:space="preserve">KakaoTalk's Talk Biz (advertising + commerce) carries a 30%+ operating margin and is the dominant standalone profit engine; the loss-making New Initiatives (cloud, AI, healthcare) are a drag the core mark nets against. Most of Kakao's value sits in the listed and unlisted stakes, which is why the holding-company discount dominates the valuation. Sources: Kakao IR, DART (FY2025); verify live.</t>
  </si>
  <si>
    <t xml:space="preserve">RELATIVE MULTIPLES &amp; NORMALIZED EARNINGS POWER</t>
  </si>
  <si>
    <t xml:space="preserve">Multiples on consolidated metrics vs Naver/sector; through-cycle earnings as a discipline. Cross-checks on the SOTP.</t>
  </si>
  <si>
    <t xml:space="preserve">RELATIVE MULTIPLES (KRW tn unless noted)</t>
  </si>
  <si>
    <t xml:space="preserve">Implied EV — EV/Sales</t>
  </si>
  <si>
    <t xml:space="preserve">revenue x EV/Sales</t>
  </si>
  <si>
    <t xml:space="preserve">Implied equity — EV/Sales (+ net cash)</t>
  </si>
  <si>
    <t xml:space="preserve">  value/share (KRW)</t>
  </si>
  <si>
    <t xml:space="preserve">Implied EV — EV/EBITDA</t>
  </si>
  <si>
    <t xml:space="preserve">EBITDA x EV/EBITDA</t>
  </si>
  <si>
    <t xml:space="preserve">Implied equity — P/E (NI x P/E)</t>
  </si>
  <si>
    <t xml:space="preserve">RELATIVE BLENDED MIDPOINT (KRW)</t>
  </si>
  <si>
    <t xml:space="preserve">NORMALIZED THROUGH-CYCLE EARNINGS POWER</t>
  </si>
  <si>
    <t xml:space="preserve">Normalized net profit (KRW tn)</t>
  </si>
  <si>
    <t xml:space="preserve">Justified P/E (x)</t>
  </si>
  <si>
    <t xml:space="preserve">NORMALIZED VALUE / SHARE (KRW)</t>
  </si>
  <si>
    <t xml:space="preserve">Normalized P/E at spot (x)</t>
  </si>
  <si>
    <t xml:space="preserve">on through-cycle EPS</t>
  </si>
  <si>
    <t xml:space="preserve">Relative lens blends EV/Sales (1.8x, below Naver's ~2.9x for lower growth/margin), EV/EBITDA (9x) and P/E (20x). The P/E lens is depressed because Kakao's reported earnings capture little of the listed-stake value — the SOTP is the more complete lens. Normalized uses through-cycle net of ~KRW 0.66tn at 22x. Sources: Kakao IR; peer multiples Naver IR; verify live.</t>
  </si>
  <si>
    <t xml:space="preserve">CONSOLIDATED DCF — unlevered FCFF (cross-check)</t>
  </si>
  <si>
    <t xml:space="preserve">FCFF = OP x (1-tax) + D&amp;A - capex - dWC, discounted at WACC; normalized terminal. Operating business + net cash only (excludes equity-method stakes).</t>
  </si>
  <si>
    <t xml:space="preserve">KRW tn</t>
  </si>
  <si>
    <t xml:space="preserve">Operating profit</t>
  </si>
  <si>
    <t xml:space="preserve">NOPAT (x(1-tax))</t>
  </si>
  <si>
    <t xml:space="preserve">(+) D&amp;A</t>
  </si>
  <si>
    <t xml:space="preserve">(-) Capex</t>
  </si>
  <si>
    <t xml:space="preserve">(-) dWorking capital</t>
  </si>
  <si>
    <t xml:space="preserve">Unlevered FCFF</t>
  </si>
  <si>
    <t xml:space="preserve">Discount factor @ WACC</t>
  </si>
  <si>
    <t xml:space="preserve">PV of FCFF</t>
  </si>
  <si>
    <t xml:space="preserve">PV of explicit FCFF (S)</t>
  </si>
  <si>
    <t xml:space="preserve">Terminal value (Gordon, normalized FCFF)</t>
  </si>
  <si>
    <t xml:space="preserve">PV of terminal value</t>
  </si>
  <si>
    <t xml:space="preserve">Enterprise value (operating)</t>
  </si>
  <si>
    <t xml:space="preserve">(+) Parent net cash</t>
  </si>
  <si>
    <t xml:space="preserve">Equity value (KRW tn)</t>
  </si>
  <si>
    <t xml:space="preserve">Shares (bn)</t>
  </si>
  <si>
    <t xml:space="preserve">The DCF deliberately values only the consolidated operating business plus parent net cash; it EXCLUDES the equity-method stake market values (KakaoBank etc.) that the SOTP captures, so it lands well below the SOTP. It answers a narrow question — what is Kakao's owned operating cash flow worth — and shows that the operating engine alone does not carry the price; the value is in the stakes. A cross-check, not the primary lens.</t>
  </si>
  <si>
    <t xml:space="preserve">CONSOLIDATED INCOME STATEMENT — KRW tn</t>
  </si>
  <si>
    <t xml:space="preserve">Actuals Kakao IR (FY2023 restated basis). Forecast 2026e-2030e: OP and net link to Assumptions; revenue split hardcoded.</t>
  </si>
  <si>
    <t xml:space="preserve">2023a</t>
  </si>
  <si>
    <t xml:space="preserve">2024a</t>
  </si>
  <si>
    <t xml:space="preserve">2025a</t>
  </si>
  <si>
    <t xml:space="preserve">2026e</t>
  </si>
  <si>
    <t xml:space="preserve">2027e</t>
  </si>
  <si>
    <t xml:space="preserve">2028e</t>
  </si>
  <si>
    <t xml:space="preserve">2029e</t>
  </si>
  <si>
    <t xml:space="preserve">2030e</t>
  </si>
  <si>
    <t xml:space="preserve">Platform revenue</t>
  </si>
  <si>
    <t xml:space="preserve">Content revenue</t>
  </si>
  <si>
    <t xml:space="preserve">Total revenue</t>
  </si>
  <si>
    <t xml:space="preserve">  growth YoY</t>
  </si>
  <si>
    <t xml:space="preserve">(Operating expenses)</t>
  </si>
  <si>
    <t xml:space="preserve">  OP margin</t>
  </si>
  <si>
    <t xml:space="preserve">Net non-operating &amp; associates</t>
  </si>
  <si>
    <t xml:space="preserve">Pre-tax profit/(loss)</t>
  </si>
  <si>
    <t xml:space="preserve">Income tax &amp; minority interests</t>
  </si>
  <si>
    <t xml:space="preserve">Net profit/(loss) attributable</t>
  </si>
  <si>
    <t xml:space="preserve">  net margin</t>
  </si>
  <si>
    <t xml:space="preserve">EPS (KRW)</t>
  </si>
  <si>
    <t xml:space="preserve">Platform (Talk Biz, Portal, Mobility/Pay) now exceeds Content (Games, Story, Music, Media), which fell as Games revenue declined. FY2022-2023 on Kakao's restated basis, so 2025 (KRW 8.10tn) was the first year above KRW 8tn. FY2024 was a net loss on impairments; FY2025 a record net profit. Forecast deliberately below management's 2026 &gt;10% revenue-growth / ~10% OP-margin guidance.</t>
  </si>
  <si>
    <t xml:space="preserve">CONSOLIDATED BALANCE SHEET — KRW tn</t>
  </si>
  <si>
    <t xml:space="preserve">Totals anchored to reported filings (end-2025: assets ~27.8tn, equity ~19.0tn, cash ~6.8tn, debt ~2.9tn); sub-lines approximate.</t>
  </si>
  <si>
    <t xml:space="preserve">Cash &amp; cash equivalents</t>
  </si>
  <si>
    <t xml:space="preserve">ST financial instruments &amp; other</t>
  </si>
  <si>
    <t xml:space="preserve">Trade &amp; other receivables</t>
  </si>
  <si>
    <t xml:space="preserve">Total current assets</t>
  </si>
  <si>
    <t xml:space="preserve">Property, plant &amp; equipment</t>
  </si>
  <si>
    <t xml:space="preserve">Goodwill &amp; intangible assets</t>
  </si>
  <si>
    <t xml:space="preserve">Investments in associates</t>
  </si>
  <si>
    <t xml:space="preserve">Other non-current assets</t>
  </si>
  <si>
    <t xml:space="preserve">Total non-current assets</t>
  </si>
  <si>
    <t xml:space="preserve">Total assets</t>
  </si>
  <si>
    <t xml:space="preserve">Trade &amp; other payables</t>
  </si>
  <si>
    <t xml:space="preserve">Other current liabilities</t>
  </si>
  <si>
    <t xml:space="preserve">Total current liabilities</t>
  </si>
  <si>
    <t xml:space="preserve">Borrowings, bonds &amp; leases</t>
  </si>
  <si>
    <t xml:space="preserve">Other non-current liabilities</t>
  </si>
  <si>
    <t xml:space="preserve">Total liabilities</t>
  </si>
  <si>
    <t xml:space="preserve">Equity attributable to owners</t>
  </si>
  <si>
    <t xml:space="preserve">Non-controlling interests</t>
  </si>
  <si>
    <t xml:space="preserve">Total equity</t>
  </si>
  <si>
    <t xml:space="preserve">Total liabilities &amp; equity</t>
  </si>
  <si>
    <t xml:space="preserve">BVPS — attributable (KRW)</t>
  </si>
  <si>
    <t xml:space="preserve">Net cash (cash − debt)</t>
  </si>
  <si>
    <t xml:space="preserve">Totals tie to Kakao's reported balance sheet; sub-lines are approximate allocations. Large non-controlling interests (~8.5tn) reflect consolidated stakes in KakaoPay, Kakao Entertainment, Mobility and Games. Equity attributable to owners ~10.5tn = book ~KRW 23,800/share (P/B ~1.4x). Book understates the holding-company NAV, so discount-to-NAV (not P/B) is the more informative gauge.</t>
  </si>
  <si>
    <t xml:space="preserve">CONSOLIDATED CASH FLOW — KRW tn (simplified)</t>
  </si>
  <si>
    <t xml:space="preserve">Actuals approximate. Forecast: OCF approx net + D&amp;A - dWC; investing = capex; financing = dividends/buybacks.</t>
  </si>
  <si>
    <t xml:space="preserve">Operating cash flow</t>
  </si>
  <si>
    <t xml:space="preserve">Capex (investing)</t>
  </si>
  <si>
    <t xml:space="preserve">Financing (div/buyback/other)</t>
  </si>
  <si>
    <t xml:space="preserve">Net change in cash</t>
  </si>
  <si>
    <t xml:space="preserve">Memo - free cash flow (OCF + capex)</t>
  </si>
  <si>
    <t xml:space="preserve">Kakao generates solid operating cash flow but reinvests heavily in content, AI and infrastructure, so free cash flow is well below the headline asset value. Financing reflects modest dividends and any buyback/treasury activity (a value-up catalyst if treasury shares are cancelled). Simplified and illustrative.</t>
  </si>
  <si>
    <t xml:space="preserve">KAKAO CORP. — SUMMARY FINANCIALS (live links)</t>
  </si>
  <si>
    <t xml:space="preserve">Every cell links to the Income Statement / Balance Sheet / Cash Flow sheets.</t>
  </si>
  <si>
    <t xml:space="preserve">Net cash</t>
  </si>
  <si>
    <t xml:space="preserve">BVPS (KRW)</t>
  </si>
  <si>
    <t xml:space="preserve">Free cash flow</t>
  </si>
  <si>
    <t xml:space="preserve">MONTE CARLO — ONE 16-FACTOR MODEL (50,000 paths, seed 42)</t>
  </si>
  <si>
    <t xml:space="preserve">Seven continuous factors compound daily; nine discrete events arrive as jumps. Idiosyncratic noise tops up to realized 3M vol.</t>
  </si>
  <si>
    <t xml:space="preserve">CORE INPUTS</t>
  </si>
  <si>
    <t xml:space="preserve">Anchor price (KRW, 26-Jun-26)</t>
  </si>
  <si>
    <t xml:space="preserve">Horizon T+20 (sessions)</t>
  </si>
  <si>
    <t xml:space="preserve">Horizon T+60 (sessions)</t>
  </si>
  <si>
    <t xml:space="preserve">Idiosyncratic 3M volatility</t>
  </si>
  <si>
    <t xml:space="preserve">52-week low reference (KRW)</t>
  </si>
  <si>
    <t xml:space="preserve">Round / support level (KRW)</t>
  </si>
  <si>
    <t xml:space="preserve">SMA50 / structure (KRW)</t>
  </si>
  <si>
    <t xml:space="preserve">52-week high reference (KRW)</t>
  </si>
  <si>
    <t xml:space="preserve">SEVEN CONTINUOUS FACTORS</t>
  </si>
  <si>
    <t xml:space="preserve">Factor</t>
  </si>
  <si>
    <t xml:space="preserve">3M drift</t>
  </si>
  <si>
    <t xml:space="preserve">3M vol</t>
  </si>
  <si>
    <t xml:space="preserve">Channel</t>
  </si>
  <si>
    <t xml:space="preserve">KakaoTalk ad &amp; commerce trajectory</t>
  </si>
  <si>
    <t xml:space="preserve">master domestic ad/commerce driver</t>
  </si>
  <si>
    <t xml:space="preserve">AI monetization (OpenAI / Kanana) ramp</t>
  </si>
  <si>
    <t xml:space="preserve">AI optionality (early)</t>
  </si>
  <si>
    <t xml:space="preserve">KOSPI / foreign-flows beta</t>
  </si>
  <si>
    <t xml:space="preserve">market liquidity</t>
  </si>
  <si>
    <t xml:space="preserve">USD/KRW translation</t>
  </si>
  <si>
    <t xml:space="preserve">domestic — minimal FX</t>
  </si>
  <si>
    <t xml:space="preserve">New Initiatives loss trajectory (narrowing)</t>
  </si>
  <si>
    <t xml:space="preserve">narrowing losses</t>
  </si>
  <si>
    <t xml:space="preserve">Ad-market / consumer-spend softness</t>
  </si>
  <si>
    <t xml:space="preserve">ad-cycle softness</t>
  </si>
  <si>
    <t xml:space="preserve">Content / Games trajectory</t>
  </si>
  <si>
    <t xml:space="preserve">content/games drag</t>
  </si>
  <si>
    <t xml:space="preserve">NINE DISCRETE EVENTS</t>
  </si>
  <si>
    <t xml:space="preserve">Event</t>
  </si>
  <si>
    <t xml:space="preserve">Prob</t>
  </si>
  <si>
    <t xml:space="preserve">Impact mu</t>
  </si>
  <si>
    <t xml:space="preserve">Impact sigma</t>
  </si>
  <si>
    <t xml:space="preserve">AI traction / ChatGPT-in-Kakao monetization</t>
  </si>
  <si>
    <t xml:space="preserve">pivotal upside catalyst</t>
  </si>
  <si>
    <t xml:space="preserve">Holdco-discount compression / value-up (treasury cxl)</t>
  </si>
  <si>
    <t xml:space="preserve">value-up / activist</t>
  </si>
  <si>
    <t xml:space="preserve">Stake crystallization (Kakao Ent or Mobility sale/IPO)</t>
  </si>
  <si>
    <t xml:space="preserve">portfolio crystallization</t>
  </si>
  <si>
    <t xml:space="preserve">KakaoBank / KakaoPay re-rating</t>
  </si>
  <si>
    <t xml:space="preserve">sub re-rating</t>
  </si>
  <si>
    <t xml:space="preserve">Quarterly ad/commerce surprise (two-sided)</t>
  </si>
  <si>
    <t xml:space="preserve">two-sided</t>
  </si>
  <si>
    <t xml:space="preserve">Ad-market / commerce disappointment</t>
  </si>
  <si>
    <t xml:space="preserve">demand left-tail</t>
  </si>
  <si>
    <t xml:space="preserve">Regulatory / antitrust action (platform law)</t>
  </si>
  <si>
    <t xml:space="preserve">policy shock</t>
  </si>
  <si>
    <t xml:space="preserve">Founder-acquittal appeal revives bank-divestiture risk</t>
  </si>
  <si>
    <t xml:space="preserve">removes/revives bank risk</t>
  </si>
  <si>
    <t xml:space="preserve">Broad KOSPI / EM risk-off</t>
  </si>
  <si>
    <t xml:space="preserve">market risk-off</t>
  </si>
  <si>
    <t xml:space="preserve">FACTOR MOMENTS (live)</t>
  </si>
  <si>
    <t xml:space="preserve">Expected 3M log-return mu</t>
  </si>
  <si>
    <t xml:space="preserve">3M variance</t>
  </si>
  <si>
    <t xml:space="preserve">3M volatility sigma</t>
  </si>
  <si>
    <t xml:space="preserve">Annualized vol (x2)</t>
  </si>
  <si>
    <t xml:space="preserve">engine total 3M vol ~28.5% (ann ~57%)</t>
  </si>
  <si>
    <t xml:space="preserve">PERCENTILES (KRW/share)</t>
  </si>
  <si>
    <t xml:space="preserve">Horizon</t>
  </si>
  <si>
    <t xml:space="preserve">5%</t>
  </si>
  <si>
    <t xml:space="preserve">25%</t>
  </si>
  <si>
    <t xml:space="preserve">Median</t>
  </si>
  <si>
    <t xml:space="preserve">75%</t>
  </si>
  <si>
    <t xml:space="preserve">95%</t>
  </si>
  <si>
    <t xml:space="preserve">Source</t>
  </si>
  <si>
    <t xml:space="preserve">T+20 — engine (simulated)</t>
  </si>
  <si>
    <t xml:space="preserve">50k paths · seed 42</t>
  </si>
  <si>
    <t xml:space="preserve">T+20 — closed-form (live)</t>
  </si>
  <si>
    <t xml:space="preserve">T+60 — engine (simulated)</t>
  </si>
  <si>
    <t xml:space="preserve">T+60 — closed-form (live)</t>
  </si>
  <si>
    <t xml:space="preserve">LEVEL-TOUCH PROBABILITIES (engine)</t>
  </si>
  <si>
    <t xml:space="preserve">Level</t>
  </si>
  <si>
    <t xml:space="preserve">within T+20</t>
  </si>
  <si>
    <t xml:space="preserve">within T+60</t>
  </si>
  <si>
    <t xml:space="preserve">^ 37,000</t>
  </si>
  <si>
    <t xml:space="preserve">^ 40,000</t>
  </si>
  <si>
    <t xml:space="preserve">^ 44,000</t>
  </si>
  <si>
    <t xml:space="preserve">v 32,000</t>
  </si>
  <si>
    <t xml:space="preserve">v 28,000</t>
  </si>
  <si>
    <t xml:space="preserve">v 24,000</t>
  </si>
  <si>
    <t xml:space="preserve">Engine values are the simulated 50k-path outputs (seed 42); closed-form rows are the live lognormal cross-check. Net drift ~flat 3M, built from forward factors (NOT raw trailing momentum, which on Kakao's -45% annualized decline would imply a far lower median). The dominant feature is the very wide cone — Kakao's realized vol ~51% (x1.15 calibration uplift). Paths describe near-term PRICE, not value; the SOTP value gap is deliberately kept out of the drift so the fundamental and probabilistic lenses stay independent.</t>
  </si>
  <si>
    <t xml:space="preserve">SENSITIVITY — value/share (KRW)</t>
  </si>
  <si>
    <t xml:space="preserve">Top: SOTP holdco discount x Kakao Entertainment EV. Bottom: DCF WACC x terminal growth. Both computed live.</t>
  </si>
  <si>
    <t xml:space="preserve">SOTP: Holdco discount (down) / Kakao Entertainment EV, KRW tn (right)</t>
  </si>
  <si>
    <t xml:space="preserve">disc / Ent EV</t>
  </si>
  <si>
    <t xml:space="preserve">DCF: WACC (down) / terminal growth g (right)</t>
  </si>
  <si>
    <t xml:space="preserve">WACC / g</t>
  </si>
  <si>
    <t xml:space="preserve">SOTP grid flexes the two biggest swing factors — the holdco discount and the Kakao Entertainment mark — with all else at base. DCF grid flexes WACC and terminal growth on the fixed explicit FCFF. The DCF stays well below the SOTP across the grid because it excludes the equity-method stake values. Base case: discount 32%, Ent EV KRW 8tn; WACC 9.5%, g 3.0%.</t>
  </si>
  <si>
    <t xml:space="preserve">PER-SHARE &amp; RATIOS (at spot)</t>
  </si>
  <si>
    <t xml:space="preserve">Drivers link to Income Statement / Balance Sheet / Assumptions. Multiples reflect that reported earnings exclude most stake value.</t>
  </si>
  <si>
    <t xml:space="preserve">Share price (KRW, 26-Jun-26)</t>
  </si>
  <si>
    <t xml:space="preserve">Market cap (KRW tn)</t>
  </si>
  <si>
    <t xml:space="preserve">2025a EPS (KRW)</t>
  </si>
  <si>
    <t xml:space="preserve">Normalized EPS (KRW)</t>
  </si>
  <si>
    <t xml:space="preserve">Parent net cash per share (KRW)</t>
  </si>
  <si>
    <t xml:space="preserve">P/E on 2025a (x)</t>
  </si>
  <si>
    <t xml:space="preserve">P/E normalized (x)</t>
  </si>
  <si>
    <t xml:space="preserve">P/B (x)</t>
  </si>
  <si>
    <t xml:space="preserve">Discount to gross NAV at spot</t>
  </si>
  <si>
    <t xml:space="preserve">Kakao trades at a high P/E on reported earnings because those earnings capture little of the listed-stake value — which is exactly why the holding-company SOTP (not the P/E) is the primary lens. P/B near ~1x and the discount to gross NAV (~36% at spot) are the more informative gauges. The parent net-cash-per-share figure is a conservative floor element.</t>
  </si>
  <si>
    <t xml:space="preserve">PEER &amp; SECTOR CONTEXT — Korean internet / platform</t>
  </si>
  <si>
    <t xml:space="preserve">External sourced data (not model outputs). Verify live before use. As of mid-2026.</t>
  </si>
  <si>
    <t xml:space="preserve">Metric</t>
  </si>
  <si>
    <t xml:space="preserve">Kakao (035720)</t>
  </si>
  <si>
    <t xml:space="preserve">Naver (035420)</t>
  </si>
  <si>
    <t xml:space="preserve">NCsoft / Krafton</t>
  </si>
  <si>
    <t xml:space="preserve">Business</t>
  </si>
  <si>
    <t xml:space="preserve">Messaging platform + holdco</t>
  </si>
  <si>
    <t xml:space="preserve">Search/commerce/content</t>
  </si>
  <si>
    <t xml:space="preserve">Games</t>
  </si>
  <si>
    <t xml:space="preserve">Fwd P/E (x)</t>
  </si>
  <si>
    <t xml:space="preserve">~25x (depressed earnings)</t>
  </si>
  <si>
    <t xml:space="preserve">~12-16x</t>
  </si>
  <si>
    <t xml:space="preserve">varies</t>
  </si>
  <si>
    <t xml:space="preserve">EV/EBITDA (x)</t>
  </si>
  <si>
    <t xml:space="preserve">~9-11x</t>
  </si>
  <si>
    <t xml:space="preserve">~9-14x</t>
  </si>
  <si>
    <t xml:space="preserve">~36% to gross NAV</t>
  </si>
  <si>
    <t xml:space="preserve">n/a (operating co)</t>
  </si>
  <si>
    <t xml:space="preserve">n/a</t>
  </si>
  <si>
    <t xml:space="preserve">Key listed stakes</t>
  </si>
  <si>
    <t xml:space="preserve">KakaoBank, KakaoPay, Games, SM</t>
  </si>
  <si>
    <t xml:space="preserve">minimal</t>
  </si>
  <si>
    <t xml:space="preserve">-</t>
  </si>
  <si>
    <t xml:space="preserve">2025 revenue trend</t>
  </si>
  <si>
    <t xml:space="preserve">+modest, record net</t>
  </si>
  <si>
    <t xml:space="preserve">steady growth</t>
  </si>
  <si>
    <t xml:space="preserve">cyclical</t>
  </si>
  <si>
    <t xml:space="preserve">AI angle</t>
  </si>
  <si>
    <t xml:space="preserve">OpenAI tie-up + Kanana</t>
  </si>
  <si>
    <t xml:space="preserve">HyperCLOVA X</t>
  </si>
  <si>
    <t xml:space="preserve">Kakao screens optically expensive on P/E versus Naver, but that comparison is misleading: Kakao is a holding company whose value sits largely in listed and unlisted stakes outside its reported earnings, while Naver is more of a pure operating company. The relevant gauges for Kakao are the discount to gross NAV and the stake marks. Sources: company IR, sector trackers; verify live.</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</si>
</sst>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0.0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1C3A36"/>
      <name val="Arial"/>
      <family val="0"/>
      <charset val="1"/>
    </font>
    <font>
      <sz val="10"/>
      <color rgb="FF000000"/>
      <name val="Arial"/>
      <family val="0"/>
      <charset val="1"/>
    </font>
    <font>
      <sz val="8"/>
      <color rgb="FF666666"/>
      <name val="Arial"/>
      <family val="0"/>
      <charset val="1"/>
    </font>
    <font>
      <sz val="10"/>
      <color rgb="FF008000"/>
      <name val="Arial"/>
      <family val="0"/>
      <charset val="1"/>
    </font>
    <font>
      <b val="true"/>
      <sz val="10"/>
      <color rgb="FFFFFFFF"/>
      <name val="Arial"/>
      <family val="0"/>
      <charset val="1"/>
    </font>
    <font>
      <sz val="10"/>
      <color rgb="FF0000FF"/>
      <name val="Arial"/>
      <family val="0"/>
      <charset val="1"/>
    </font>
    <font>
      <b val="true"/>
      <sz val="10"/>
      <color rgb="FF1C3A36"/>
      <name val="Arial"/>
      <family val="0"/>
      <charset val="1"/>
    </font>
    <font>
      <sz val="10"/>
      <name val="Arial"/>
      <family val="2"/>
    </font>
    <font>
      <b val="true"/>
      <sz val="9"/>
      <color rgb="FF1C3A36"/>
      <name val="Arial"/>
      <family val="0"/>
      <charset val="1"/>
    </font>
    <font>
      <sz val="9"/>
      <color rgb="FF000000"/>
      <name val="Arial"/>
      <family val="0"/>
      <charset val="1"/>
    </font>
  </fonts>
  <fills count="3">
    <fill>
      <patternFill patternType="none"/>
    </fill>
    <fill>
      <patternFill patternType="gray125"/>
    </fill>
    <fill>
      <patternFill patternType="solid">
        <fgColor rgb="FF1C3A36"/>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21.75" hidden="false" customHeight="true" outlineLevel="0" collapsed="false">
      <c r="A1" s="2" t="s">
        <v>0</v>
      </c>
    </row>
    <row r="2" customFormat="false" ht="15" hidden="false" customHeight="true" outlineLevel="0" collapsed="false">
      <c r="A2" s="3" t="s">
        <v>1</v>
      </c>
    </row>
    <row r="3" customFormat="false" ht="55.5" hidden="false" customHeight="true" outlineLevel="0" collapsed="false">
      <c r="A3" s="4" t="s">
        <v>2</v>
      </c>
    </row>
    <row r="5" customFormat="false" ht="15" hidden="false" customHeight="true" outlineLevel="0" collapsed="false">
      <c r="A5" s="3" t="s">
        <v>3</v>
      </c>
    </row>
    <row r="6" customFormat="false" ht="42" hidden="false" customHeight="true" outlineLevel="0" collapsed="false">
      <c r="A6" s="4" t="s">
        <v>4</v>
      </c>
    </row>
    <row r="8" customFormat="false" ht="15" hidden="false" customHeight="true" outlineLevel="0" collapsed="false">
      <c r="A8" s="3" t="s">
        <v>5</v>
      </c>
    </row>
    <row r="9" customFormat="false" ht="27.75" hidden="false" customHeight="true" outlineLevel="0" collapsed="false">
      <c r="A9" s="4" t="s">
        <v>6</v>
      </c>
    </row>
    <row r="11" customFormat="false" ht="15" hidden="false" customHeight="true" outlineLevel="0" collapsed="false">
      <c r="A11" s="3" t="s">
        <v>7</v>
      </c>
    </row>
    <row r="12" customFormat="false" ht="84" hidden="false" customHeight="true" outlineLevel="0" collapsed="false">
      <c r="A12" s="4" t="s">
        <v>8</v>
      </c>
    </row>
    <row r="14" customFormat="false" ht="15" hidden="false" customHeight="true" outlineLevel="0" collapsed="false">
      <c r="A14" s="3" t="s">
        <v>9</v>
      </c>
    </row>
    <row r="15" customFormat="false" ht="42" hidden="false" customHeight="true" outlineLevel="0" collapsed="false">
      <c r="A15" s="4" t="s">
        <v>10</v>
      </c>
    </row>
    <row r="17" customFormat="false" ht="15" hidden="false" customHeight="true" outlineLevel="0" collapsed="false">
      <c r="A17" s="3" t="s">
        <v>11</v>
      </c>
    </row>
    <row r="18" customFormat="false" ht="27.75" hidden="false" customHeight="true" outlineLevel="0" collapsed="false">
      <c r="A18" s="4" t="s">
        <v>12</v>
      </c>
    </row>
    <row r="20" customFormat="false" ht="15" hidden="false" customHeight="true" outlineLevel="0" collapsed="false">
      <c r="A20" s="3" t="s">
        <v>13</v>
      </c>
    </row>
    <row r="21" customFormat="false" ht="84" hidden="false" customHeight="true" outlineLevel="0" collapsed="false">
      <c r="A21"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2"/>
  </cols>
  <sheetData>
    <row r="1" customFormat="false" ht="21.75" hidden="false" customHeight="true" outlineLevel="0" collapsed="false">
      <c r="A1" s="5" t="s">
        <v>15</v>
      </c>
      <c r="B1" s="5"/>
      <c r="C1" s="5"/>
    </row>
    <row r="2" customFormat="false" ht="15" hidden="false" customHeight="true" outlineLevel="0" collapsed="false">
      <c r="A2" s="6" t="s">
        <v>16</v>
      </c>
      <c r="B2" s="6"/>
      <c r="C2" s="6"/>
    </row>
    <row r="4" customFormat="false" ht="15" hidden="false" customHeight="true" outlineLevel="0" collapsed="false">
      <c r="A4" s="7" t="s">
        <v>17</v>
      </c>
    </row>
    <row r="5" customFormat="false" ht="15" hidden="false" customHeight="true" outlineLevel="0" collapsed="false">
      <c r="A5" s="8" t="s">
        <v>18</v>
      </c>
      <c r="B5" s="9" t="n">
        <f aca="false">'Fundamental Valuation'!B11</f>
        <v>34256.6952478185</v>
      </c>
    </row>
    <row r="6" customFormat="false" ht="15" hidden="false" customHeight="true" outlineLevel="0" collapsed="false">
      <c r="A6" s="8" t="s">
        <v>19</v>
      </c>
      <c r="B6" s="9" t="n">
        <f aca="false">SOTP!B16</f>
        <v>35214.8376673474</v>
      </c>
    </row>
    <row r="7" customFormat="false" ht="15" hidden="false" customHeight="true" outlineLevel="0" collapsed="false">
      <c r="A7" s="8" t="s">
        <v>20</v>
      </c>
      <c r="B7" s="9" t="n">
        <f aca="false">SOTP!C16</f>
        <v>46399.8619469027</v>
      </c>
    </row>
    <row r="8" customFormat="false" ht="15" hidden="false" customHeight="true" outlineLevel="0" collapsed="false">
      <c r="A8" s="8" t="s">
        <v>21</v>
      </c>
      <c r="B8" s="9" t="n">
        <f aca="false">SOTP!D16</f>
        <v>21744.804719764</v>
      </c>
    </row>
    <row r="9" customFormat="false" ht="15" hidden="false" customHeight="true" outlineLevel="0" collapsed="false">
      <c r="A9" s="8" t="s">
        <v>22</v>
      </c>
      <c r="B9" s="9" t="n">
        <f aca="false">DCF!B22</f>
        <v>24503.4713345501</v>
      </c>
    </row>
    <row r="10" customFormat="false" ht="15" hidden="false" customHeight="true" outlineLevel="0" collapsed="false">
      <c r="A10" s="8" t="s">
        <v>23</v>
      </c>
      <c r="B10" s="9" t="n">
        <f aca="false">Assumptions!B5</f>
        <v>33150</v>
      </c>
    </row>
    <row r="11" customFormat="false" ht="15" hidden="false" customHeight="true" outlineLevel="0" collapsed="false">
      <c r="A11" s="8" t="s">
        <v>24</v>
      </c>
      <c r="B11" s="10" t="n">
        <f aca="false">B10/B5-1</f>
        <v>-0.0323059547867214</v>
      </c>
    </row>
    <row r="13" customFormat="false" ht="15" hidden="false" customHeight="true" outlineLevel="0" collapsed="false">
      <c r="A13" s="7" t="s">
        <v>25</v>
      </c>
    </row>
    <row r="14" customFormat="false" ht="15" hidden="false" customHeight="true" outlineLevel="0" collapsed="false">
      <c r="A14" s="8" t="s">
        <v>26</v>
      </c>
      <c r="B14" s="9" t="n">
        <f aca="false">SOTP!B14</f>
        <v>51786.5259813932</v>
      </c>
    </row>
    <row r="15" customFormat="false" ht="15" hidden="false" customHeight="true" outlineLevel="0" collapsed="false">
      <c r="A15" s="8" t="s">
        <v>27</v>
      </c>
      <c r="B15" s="11" t="n">
        <f aca="false">Assumptions!C24</f>
        <v>0.32</v>
      </c>
    </row>
    <row r="16" customFormat="false" ht="15" hidden="false" customHeight="true" outlineLevel="0" collapsed="false">
      <c r="A16" s="8" t="s">
        <v>28</v>
      </c>
      <c r="B16" s="11" t="n">
        <f aca="false">Assumptions!B44</f>
        <v>0.095</v>
      </c>
    </row>
    <row r="17" customFormat="false" ht="15" hidden="false" customHeight="true" outlineLevel="0" collapsed="false">
      <c r="A17" s="8" t="s">
        <v>29</v>
      </c>
      <c r="B17" s="12" t="n">
        <f aca="false">Assumptions!B7</f>
        <v>1.5</v>
      </c>
    </row>
    <row r="19" customFormat="false" ht="15" hidden="false" customHeight="true" outlineLevel="0" collapsed="false">
      <c r="A19" s="7" t="s">
        <v>30</v>
      </c>
    </row>
    <row r="20" customFormat="false" ht="27.75" hidden="false" customHeight="true" outlineLevel="0" collapsed="false">
      <c r="A20" s="13" t="s">
        <v>31</v>
      </c>
      <c r="B20" s="13"/>
      <c r="C20" s="13"/>
    </row>
    <row r="21" customFormat="false" ht="27.75" hidden="false" customHeight="true" outlineLevel="0" collapsed="false">
      <c r="A21" s="13" t="s">
        <v>32</v>
      </c>
      <c r="B21" s="13"/>
      <c r="C21" s="13"/>
    </row>
    <row r="22" customFormat="false" ht="27.75" hidden="false" customHeight="true" outlineLevel="0" collapsed="false">
      <c r="A22" s="13" t="s">
        <v>33</v>
      </c>
      <c r="B22" s="13"/>
      <c r="C22" s="13"/>
    </row>
    <row r="23" customFormat="false" ht="27.75" hidden="false" customHeight="true" outlineLevel="0" collapsed="false">
      <c r="A23" s="13" t="s">
        <v>34</v>
      </c>
      <c r="B23" s="13"/>
      <c r="C23" s="13"/>
    </row>
    <row r="24" customFormat="false" ht="27.75" hidden="false" customHeight="true" outlineLevel="0" collapsed="false">
      <c r="A24" s="13" t="s">
        <v>35</v>
      </c>
      <c r="B24" s="13"/>
      <c r="C24" s="13"/>
    </row>
    <row r="25" customFormat="false" ht="27.75" hidden="false" customHeight="true" outlineLevel="0" collapsed="false">
      <c r="A25" s="13" t="s">
        <v>36</v>
      </c>
      <c r="B25" s="13"/>
      <c r="C25" s="13"/>
    </row>
    <row r="26" customFormat="false" ht="27.75" hidden="false" customHeight="true" outlineLevel="0" collapsed="false">
      <c r="A26" s="13" t="s">
        <v>37</v>
      </c>
      <c r="B26" s="13"/>
      <c r="C26" s="13"/>
    </row>
  </sheetData>
  <mergeCells count="9">
    <mergeCell ref="A1:C1"/>
    <mergeCell ref="A2:C2"/>
    <mergeCell ref="A20:C20"/>
    <mergeCell ref="A21:C21"/>
    <mergeCell ref="A22:C22"/>
    <mergeCell ref="A23:C23"/>
    <mergeCell ref="A24:C24"/>
    <mergeCell ref="A25:C2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2"/>
    <col collapsed="false" customWidth="true" hidden="false" outlineLevel="0" max="4" min="4" style="1" width="10"/>
    <col collapsed="false" customWidth="true" hidden="false" outlineLevel="0" max="5" min="5" style="1" width="30"/>
  </cols>
  <sheetData>
    <row r="1" customFormat="false" ht="21.75" hidden="false" customHeight="true" outlineLevel="0" collapsed="false">
      <c r="A1" s="5" t="s">
        <v>38</v>
      </c>
      <c r="B1" s="5"/>
      <c r="C1" s="5"/>
      <c r="D1" s="5"/>
      <c r="E1" s="5"/>
    </row>
    <row r="2" customFormat="false" ht="15" hidden="false" customHeight="true" outlineLevel="0" collapsed="false">
      <c r="A2" s="6" t="s">
        <v>39</v>
      </c>
      <c r="B2" s="6"/>
      <c r="C2" s="6"/>
      <c r="D2" s="6"/>
      <c r="E2" s="6"/>
    </row>
    <row r="4" customFormat="false" ht="15" hidden="false" customHeight="true" outlineLevel="0" collapsed="false">
      <c r="A4" s="7" t="s">
        <v>40</v>
      </c>
    </row>
    <row r="5" customFormat="false" ht="15" hidden="false" customHeight="true" outlineLevel="0" collapsed="false">
      <c r="A5" s="14" t="s">
        <v>41</v>
      </c>
      <c r="B5" s="14" t="s">
        <v>42</v>
      </c>
      <c r="C5" s="14" t="s">
        <v>43</v>
      </c>
      <c r="D5" s="14" t="s">
        <v>44</v>
      </c>
      <c r="E5" s="14" t="s">
        <v>45</v>
      </c>
    </row>
    <row r="6" customFormat="false" ht="15" hidden="false" customHeight="true" outlineLevel="0" collapsed="false">
      <c r="A6" s="8" t="s">
        <v>46</v>
      </c>
      <c r="B6" s="9" t="n">
        <f aca="false">SOTP!B16</f>
        <v>35214.8376673474</v>
      </c>
      <c r="C6" s="10" t="n">
        <f aca="false">B6/Assumptions!$B$5-1</f>
        <v>0.0622877124388357</v>
      </c>
      <c r="D6" s="15" t="n">
        <v>0.25</v>
      </c>
      <c r="E6" s="8" t="s">
        <v>47</v>
      </c>
    </row>
    <row r="7" customFormat="false" ht="15" hidden="false" customHeight="true" outlineLevel="0" collapsed="false">
      <c r="A7" s="8" t="s">
        <v>48</v>
      </c>
      <c r="B7" s="9" t="n">
        <f aca="false">SOTP!C16</f>
        <v>46399.8619469027</v>
      </c>
      <c r="C7" s="10" t="n">
        <f aca="false">B7/Assumptions!$B$5-1</f>
        <v>0.399694176377154</v>
      </c>
      <c r="D7" s="15" t="n">
        <v>0.15</v>
      </c>
      <c r="E7" s="8" t="s">
        <v>49</v>
      </c>
    </row>
    <row r="8" customFormat="false" ht="15" hidden="false" customHeight="true" outlineLevel="0" collapsed="false">
      <c r="A8" s="8" t="s">
        <v>22</v>
      </c>
      <c r="B8" s="9" t="n">
        <f aca="false">DCF!B22</f>
        <v>24503.4713345501</v>
      </c>
      <c r="C8" s="10" t="n">
        <f aca="false">B8/Assumptions!$B$5-1</f>
        <v>-0.260830427313724</v>
      </c>
      <c r="D8" s="15" t="n">
        <v>0.1</v>
      </c>
      <c r="E8" s="8" t="s">
        <v>50</v>
      </c>
    </row>
    <row r="9" customFormat="false" ht="15" hidden="false" customHeight="true" outlineLevel="0" collapsed="false">
      <c r="A9" s="8" t="s">
        <v>51</v>
      </c>
      <c r="B9" s="9" t="n">
        <f aca="false">'Relative &amp; Normalized'!B12</f>
        <v>31223.0542319038</v>
      </c>
      <c r="C9" s="10" t="n">
        <f aca="false">B9/Assumptions!$B$5-1</f>
        <v>-0.0581280774689656</v>
      </c>
      <c r="D9" s="15" t="n">
        <v>0.25</v>
      </c>
      <c r="E9" s="8" t="s">
        <v>52</v>
      </c>
    </row>
    <row r="10" customFormat="false" ht="15" hidden="false" customHeight="true" outlineLevel="0" collapsed="false">
      <c r="A10" s="8" t="s">
        <v>53</v>
      </c>
      <c r="B10" s="9" t="n">
        <f aca="false">'Relative &amp; Normalized'!B17</f>
        <v>32947.5833900613</v>
      </c>
      <c r="C10" s="10" t="n">
        <f aca="false">B10/Assumptions!$B$5-1</f>
        <v>-0.00610608174777461</v>
      </c>
      <c r="D10" s="15" t="n">
        <v>0.25</v>
      </c>
      <c r="E10" s="8" t="s">
        <v>54</v>
      </c>
    </row>
    <row r="11" customFormat="false" ht="15" hidden="false" customHeight="true" outlineLevel="0" collapsed="false">
      <c r="A11" s="16" t="s">
        <v>55</v>
      </c>
      <c r="B11" s="17" t="n">
        <f aca="false">SUMPRODUCT(B6:B10,D6:D10)</f>
        <v>34256.6952478185</v>
      </c>
      <c r="C11" s="10" t="n">
        <f aca="false">B11/Assumptions!$B$5-1</f>
        <v>0.0333844720307246</v>
      </c>
      <c r="D11" s="18" t="n">
        <f aca="false">SUM(D6:D10)</f>
        <v>1</v>
      </c>
    </row>
    <row r="12" customFormat="false" ht="15" hidden="false" customHeight="true" outlineLevel="0" collapsed="false">
      <c r="A12" s="8" t="s">
        <v>56</v>
      </c>
      <c r="B12" s="9" t="n">
        <f aca="false">Assumptions!B5</f>
        <v>33150</v>
      </c>
    </row>
    <row r="13" customFormat="false" ht="15" hidden="false" customHeight="true" outlineLevel="0" collapsed="false">
      <c r="A13" s="8" t="s">
        <v>24</v>
      </c>
      <c r="B13" s="10" t="n">
        <f aca="false">B12/B11-1</f>
        <v>-0.0323059547867214</v>
      </c>
      <c r="E13" s="8" t="s">
        <v>57</v>
      </c>
    </row>
    <row r="15" customFormat="false" ht="15" hidden="false" customHeight="true" outlineLevel="0" collapsed="false">
      <c r="A15" s="7" t="s">
        <v>58</v>
      </c>
    </row>
    <row r="16" customFormat="false" ht="15" hidden="false" customHeight="true" outlineLevel="0" collapsed="false">
      <c r="A16" s="8" t="s">
        <v>59</v>
      </c>
      <c r="B16" s="9" t="n">
        <f aca="false">SOTP!D16</f>
        <v>21744.804719764</v>
      </c>
    </row>
    <row r="17" customFormat="false" ht="15" hidden="false" customHeight="true" outlineLevel="0" collapsed="false">
      <c r="A17" s="8" t="s">
        <v>60</v>
      </c>
      <c r="B17" s="9" t="n">
        <f aca="false">SOTP!C16</f>
        <v>46399.8619469027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5" min="3" style="1" width="12"/>
  </cols>
  <sheetData>
    <row r="1" customFormat="false" ht="21.75" hidden="false" customHeight="true" outlineLevel="0" collapsed="false">
      <c r="A1" s="5" t="s">
        <v>61</v>
      </c>
      <c r="B1" s="5"/>
      <c r="C1" s="5"/>
      <c r="D1" s="5"/>
      <c r="E1" s="5"/>
    </row>
    <row r="2" customFormat="false" ht="15" hidden="false" customHeight="true" outlineLevel="0" collapsed="false">
      <c r="A2" s="6" t="s">
        <v>62</v>
      </c>
      <c r="B2" s="6"/>
      <c r="C2" s="6"/>
      <c r="D2" s="6"/>
      <c r="E2" s="6"/>
    </row>
    <row r="4" customFormat="false" ht="15" hidden="false" customHeight="true" outlineLevel="0" collapsed="false">
      <c r="A4" s="7" t="s">
        <v>63</v>
      </c>
    </row>
    <row r="5" customFormat="false" ht="15" hidden="false" customHeight="true" outlineLevel="0" collapsed="false">
      <c r="A5" s="8" t="s">
        <v>64</v>
      </c>
      <c r="B5" s="19" t="n">
        <v>33150</v>
      </c>
    </row>
    <row r="6" customFormat="false" ht="15" hidden="false" customHeight="true" outlineLevel="0" collapsed="false">
      <c r="A6" s="8" t="s">
        <v>65</v>
      </c>
      <c r="B6" s="20" t="n">
        <v>0.4407</v>
      </c>
    </row>
    <row r="7" customFormat="false" ht="15" hidden="false" customHeight="true" outlineLevel="0" collapsed="false">
      <c r="A7" s="8" t="s">
        <v>66</v>
      </c>
      <c r="B7" s="21" t="n">
        <v>1.5</v>
      </c>
    </row>
    <row r="8" customFormat="false" ht="15" hidden="false" customHeight="true" outlineLevel="0" collapsed="false">
      <c r="A8" s="8" t="s">
        <v>67</v>
      </c>
      <c r="B8" s="22" t="n">
        <v>0.22</v>
      </c>
    </row>
    <row r="10" customFormat="false" ht="15" hidden="false" customHeight="true" outlineLevel="0" collapsed="false">
      <c r="A10" s="7" t="s">
        <v>68</v>
      </c>
    </row>
    <row r="11" customFormat="false" ht="15" hidden="false" customHeight="true" outlineLevel="0" collapsed="false">
      <c r="A11" s="14" t="s">
        <v>69</v>
      </c>
      <c r="B11" s="14" t="s">
        <v>70</v>
      </c>
      <c r="C11" s="14" t="s">
        <v>71</v>
      </c>
      <c r="D11" s="14" t="s">
        <v>72</v>
      </c>
    </row>
    <row r="12" customFormat="false" ht="15" hidden="false" customHeight="true" outlineLevel="0" collapsed="false">
      <c r="A12" s="8" t="s">
        <v>73</v>
      </c>
      <c r="B12" s="22" t="n">
        <v>0.2716</v>
      </c>
      <c r="C12" s="21" t="n">
        <v>10.6</v>
      </c>
      <c r="D12" s="23" t="n">
        <f aca="false">B12*C12</f>
        <v>2.87896</v>
      </c>
    </row>
    <row r="13" customFormat="false" ht="15" hidden="false" customHeight="true" outlineLevel="0" collapsed="false">
      <c r="A13" s="8" t="s">
        <v>74</v>
      </c>
      <c r="B13" s="22" t="n">
        <v>0.445</v>
      </c>
      <c r="C13" s="21" t="n">
        <v>5.75</v>
      </c>
      <c r="D13" s="23" t="n">
        <f aca="false">B13*C13</f>
        <v>2.55875</v>
      </c>
    </row>
    <row r="14" customFormat="false" ht="15" hidden="false" customHeight="true" outlineLevel="0" collapsed="false">
      <c r="A14" s="8" t="s">
        <v>75</v>
      </c>
      <c r="B14" s="22" t="n">
        <v>0.1468</v>
      </c>
      <c r="C14" s="21" t="n">
        <v>0.85</v>
      </c>
      <c r="D14" s="23" t="n">
        <f aca="false">B14*C14</f>
        <v>0.12478</v>
      </c>
    </row>
    <row r="15" customFormat="false" ht="15" hidden="false" customHeight="true" outlineLevel="0" collapsed="false">
      <c r="A15" s="8" t="s">
        <v>76</v>
      </c>
      <c r="B15" s="22" t="n">
        <v>0.2076</v>
      </c>
      <c r="C15" s="21" t="n">
        <v>1.57</v>
      </c>
      <c r="D15" s="23" t="n">
        <f aca="false">B15*C15</f>
        <v>0.325932</v>
      </c>
    </row>
    <row r="16" customFormat="false" ht="15" hidden="false" customHeight="true" outlineLevel="0" collapsed="false">
      <c r="A16" s="16" t="s">
        <v>77</v>
      </c>
      <c r="D16" s="24" t="n">
        <f aca="false">SUM(D12:D15)</f>
        <v>5.888422</v>
      </c>
    </row>
    <row r="18" customFormat="false" ht="15" hidden="false" customHeight="true" outlineLevel="0" collapsed="false">
      <c r="A18" s="7" t="s">
        <v>78</v>
      </c>
    </row>
    <row r="19" customFormat="false" ht="15" hidden="false" customHeight="true" outlineLevel="0" collapsed="false">
      <c r="A19" s="14" t="s">
        <v>79</v>
      </c>
      <c r="B19" s="14" t="s">
        <v>70</v>
      </c>
      <c r="C19" s="14" t="s">
        <v>80</v>
      </c>
      <c r="D19" s="14" t="s">
        <v>81</v>
      </c>
      <c r="E19" s="14" t="s">
        <v>82</v>
      </c>
    </row>
    <row r="20" customFormat="false" ht="15" hidden="false" customHeight="true" outlineLevel="0" collapsed="false">
      <c r="A20" s="8" t="s">
        <v>83</v>
      </c>
      <c r="B20" s="22" t="n">
        <v>0.6603</v>
      </c>
      <c r="C20" s="21" t="n">
        <v>8</v>
      </c>
      <c r="D20" s="21" t="n">
        <v>10</v>
      </c>
      <c r="E20" s="21" t="n">
        <v>6</v>
      </c>
    </row>
    <row r="21" customFormat="false" ht="15" hidden="false" customHeight="true" outlineLevel="0" collapsed="false">
      <c r="A21" s="8" t="s">
        <v>84</v>
      </c>
      <c r="B21" s="22" t="n">
        <v>0.573</v>
      </c>
      <c r="C21" s="21" t="n">
        <v>5.5</v>
      </c>
      <c r="D21" s="21" t="n">
        <v>6.5</v>
      </c>
      <c r="E21" s="21" t="n">
        <v>4.5</v>
      </c>
    </row>
    <row r="22" customFormat="false" ht="15" hidden="false" customHeight="true" outlineLevel="0" collapsed="false">
      <c r="A22" s="8" t="s">
        <v>85</v>
      </c>
      <c r="C22" s="21" t="n">
        <v>7</v>
      </c>
      <c r="D22" s="21" t="n">
        <v>8.5</v>
      </c>
      <c r="E22" s="21" t="n">
        <v>5</v>
      </c>
    </row>
    <row r="23" customFormat="false" ht="15" hidden="false" customHeight="true" outlineLevel="0" collapsed="false">
      <c r="A23" s="8" t="s">
        <v>86</v>
      </c>
      <c r="C23" s="21" t="n">
        <v>1.5</v>
      </c>
      <c r="D23" s="21" t="n">
        <v>1.5</v>
      </c>
      <c r="E23" s="21" t="n">
        <v>1</v>
      </c>
    </row>
    <row r="24" customFormat="false" ht="15" hidden="false" customHeight="true" outlineLevel="0" collapsed="false">
      <c r="A24" s="8" t="s">
        <v>87</v>
      </c>
      <c r="C24" s="22" t="n">
        <v>0.32</v>
      </c>
      <c r="D24" s="22" t="n">
        <v>0.22</v>
      </c>
      <c r="E24" s="22" t="n">
        <v>0.48</v>
      </c>
    </row>
    <row r="26" customFormat="false" ht="15" hidden="false" customHeight="true" outlineLevel="0" collapsed="false">
      <c r="A26" s="7" t="s">
        <v>88</v>
      </c>
    </row>
    <row r="27" customFormat="false" ht="15" hidden="false" customHeight="true" outlineLevel="0" collapsed="false">
      <c r="A27" s="8" t="s">
        <v>89</v>
      </c>
      <c r="B27" s="21" t="n">
        <v>8.1</v>
      </c>
    </row>
    <row r="28" customFormat="false" ht="15" hidden="false" customHeight="true" outlineLevel="0" collapsed="false">
      <c r="A28" s="8" t="s">
        <v>90</v>
      </c>
      <c r="B28" s="21" t="n">
        <v>1.8</v>
      </c>
    </row>
    <row r="29" customFormat="false" ht="15" hidden="false" customHeight="true" outlineLevel="0" collapsed="false">
      <c r="A29" s="8" t="s">
        <v>91</v>
      </c>
      <c r="B29" s="21" t="n">
        <v>1.3</v>
      </c>
    </row>
    <row r="30" customFormat="false" ht="15" hidden="false" customHeight="true" outlineLevel="0" collapsed="false">
      <c r="A30" s="8" t="s">
        <v>92</v>
      </c>
      <c r="B30" s="21" t="n">
        <v>9</v>
      </c>
    </row>
    <row r="31" customFormat="false" ht="15" hidden="false" customHeight="true" outlineLevel="0" collapsed="false">
      <c r="A31" s="8" t="s">
        <v>93</v>
      </c>
      <c r="B31" s="21" t="n">
        <v>0.6</v>
      </c>
    </row>
    <row r="32" customFormat="false" ht="15" hidden="false" customHeight="true" outlineLevel="0" collapsed="false">
      <c r="A32" s="8" t="s">
        <v>94</v>
      </c>
      <c r="B32" s="21" t="n">
        <v>20</v>
      </c>
    </row>
    <row r="33" customFormat="false" ht="15" hidden="false" customHeight="true" outlineLevel="0" collapsed="false">
      <c r="A33" s="8" t="s">
        <v>95</v>
      </c>
      <c r="B33" s="21" t="n">
        <v>0.66</v>
      </c>
    </row>
    <row r="34" customFormat="false" ht="15" hidden="false" customHeight="true" outlineLevel="0" collapsed="false">
      <c r="A34" s="8" t="s">
        <v>96</v>
      </c>
      <c r="B34" s="21" t="n">
        <v>22</v>
      </c>
    </row>
    <row r="36" customFormat="false" ht="15" hidden="false" customHeight="true" outlineLevel="0" collapsed="false">
      <c r="A36" s="7" t="s">
        <v>97</v>
      </c>
    </row>
    <row r="37" customFormat="false" ht="15" hidden="false" customHeight="true" outlineLevel="0" collapsed="false">
      <c r="A37" s="8" t="s">
        <v>98</v>
      </c>
      <c r="B37" s="15" t="n">
        <v>0.25</v>
      </c>
    </row>
    <row r="38" customFormat="false" ht="15" hidden="false" customHeight="true" outlineLevel="0" collapsed="false">
      <c r="A38" s="8" t="s">
        <v>99</v>
      </c>
      <c r="B38" s="15" t="n">
        <v>0.15</v>
      </c>
    </row>
    <row r="39" customFormat="false" ht="15" hidden="false" customHeight="true" outlineLevel="0" collapsed="false">
      <c r="A39" s="8" t="s">
        <v>22</v>
      </c>
      <c r="B39" s="15" t="n">
        <v>0.1</v>
      </c>
    </row>
    <row r="40" customFormat="false" ht="15" hidden="false" customHeight="true" outlineLevel="0" collapsed="false">
      <c r="A40" s="8" t="s">
        <v>100</v>
      </c>
      <c r="B40" s="15" t="n">
        <v>0.25</v>
      </c>
    </row>
    <row r="41" customFormat="false" ht="15" hidden="false" customHeight="true" outlineLevel="0" collapsed="false">
      <c r="A41" s="8" t="s">
        <v>101</v>
      </c>
      <c r="B41" s="15" t="n">
        <v>0.25</v>
      </c>
    </row>
    <row r="43" customFormat="false" ht="15" hidden="false" customHeight="true" outlineLevel="0" collapsed="false">
      <c r="A43" s="7" t="s">
        <v>102</v>
      </c>
    </row>
    <row r="44" customFormat="false" ht="15" hidden="false" customHeight="true" outlineLevel="0" collapsed="false">
      <c r="A44" s="8" t="s">
        <v>103</v>
      </c>
      <c r="B44" s="22" t="n">
        <v>0.095</v>
      </c>
    </row>
    <row r="45" customFormat="false" ht="15" hidden="false" customHeight="true" outlineLevel="0" collapsed="false">
      <c r="A45" s="8" t="s">
        <v>104</v>
      </c>
      <c r="B45" s="22" t="n">
        <v>0.03</v>
      </c>
    </row>
    <row r="46" customFormat="false" ht="15" hidden="false" customHeight="true" outlineLevel="0" collapsed="false">
      <c r="A46" s="8" t="s">
        <v>105</v>
      </c>
      <c r="B46" s="22" t="n">
        <v>0.08</v>
      </c>
    </row>
    <row r="47" customFormat="false" ht="15" hidden="false" customHeight="true" outlineLevel="0" collapsed="false">
      <c r="A47" s="8" t="s">
        <v>106</v>
      </c>
      <c r="B47" s="20" t="n">
        <v>0.475</v>
      </c>
    </row>
    <row r="48" customFormat="false" ht="15" hidden="false" customHeight="true" outlineLevel="0" collapsed="false">
      <c r="A48" s="8" t="s">
        <v>107</v>
      </c>
      <c r="B48" s="22" t="n">
        <v>0.22</v>
      </c>
    </row>
    <row r="50" customFormat="false" ht="15" hidden="false" customHeight="true" outlineLevel="0" collapsed="false">
      <c r="A50" s="7" t="s">
        <v>108</v>
      </c>
    </row>
    <row r="51" customFormat="false" ht="15" hidden="false" customHeight="true" outlineLevel="0" collapsed="false">
      <c r="A51" s="14" t="s">
        <v>109</v>
      </c>
      <c r="B51" s="14" t="s">
        <v>110</v>
      </c>
      <c r="C51" s="14" t="s">
        <v>111</v>
      </c>
      <c r="D51" s="14" t="s">
        <v>112</v>
      </c>
    </row>
    <row r="52" customFormat="false" ht="15" hidden="false" customHeight="true" outlineLevel="0" collapsed="false">
      <c r="A52" s="8" t="s">
        <v>113</v>
      </c>
      <c r="B52" s="21" t="n">
        <v>8.4</v>
      </c>
      <c r="C52" s="20" t="n">
        <v>0.8</v>
      </c>
      <c r="D52" s="20" t="n">
        <v>0.58</v>
      </c>
    </row>
    <row r="53" customFormat="false" ht="15" hidden="false" customHeight="true" outlineLevel="0" collapsed="false">
      <c r="A53" s="8" t="s">
        <v>114</v>
      </c>
      <c r="B53" s="21" t="n">
        <v>8.9</v>
      </c>
      <c r="C53" s="20" t="n">
        <v>0.92</v>
      </c>
      <c r="D53" s="20" t="n">
        <v>0.7</v>
      </c>
    </row>
    <row r="54" customFormat="false" ht="15" hidden="false" customHeight="true" outlineLevel="0" collapsed="false">
      <c r="A54" s="8" t="s">
        <v>115</v>
      </c>
      <c r="B54" s="21" t="n">
        <v>9.4</v>
      </c>
      <c r="C54" s="20" t="n">
        <v>1.05</v>
      </c>
      <c r="D54" s="20" t="n">
        <v>0.82</v>
      </c>
    </row>
    <row r="55" customFormat="false" ht="15" hidden="false" customHeight="true" outlineLevel="0" collapsed="false">
      <c r="A55" s="8" t="s">
        <v>116</v>
      </c>
      <c r="B55" s="21" t="n">
        <v>9.9</v>
      </c>
      <c r="C55" s="20" t="n">
        <v>1.18</v>
      </c>
      <c r="D55" s="20" t="n">
        <v>0.95</v>
      </c>
    </row>
    <row r="56" customFormat="false" ht="15" hidden="false" customHeight="true" outlineLevel="0" collapsed="false">
      <c r="A56" s="8" t="s">
        <v>117</v>
      </c>
      <c r="B56" s="21" t="n">
        <v>10.4</v>
      </c>
      <c r="C56" s="20" t="n">
        <v>1.3</v>
      </c>
      <c r="D56" s="20" t="n">
        <v>1.08</v>
      </c>
    </row>
    <row r="58" customFormat="false" ht="15" hidden="false" customHeight="true" outlineLevel="0" collapsed="false">
      <c r="A58" s="7" t="s">
        <v>118</v>
      </c>
    </row>
    <row r="59" customFormat="false" ht="15" hidden="false" customHeight="true" outlineLevel="0" collapsed="false">
      <c r="A59" s="14" t="s">
        <v>109</v>
      </c>
      <c r="B59" s="14" t="s">
        <v>119</v>
      </c>
      <c r="C59" s="14" t="s">
        <v>120</v>
      </c>
      <c r="D59" s="14" t="s">
        <v>121</v>
      </c>
    </row>
    <row r="60" customFormat="false" ht="15" hidden="false" customHeight="true" outlineLevel="0" collapsed="false">
      <c r="A60" s="8" t="s">
        <v>113</v>
      </c>
      <c r="B60" s="20" t="n">
        <v>0.57</v>
      </c>
      <c r="C60" s="20" t="n">
        <v>0.8</v>
      </c>
      <c r="D60" s="20" t="n">
        <v>0.05</v>
      </c>
    </row>
    <row r="61" customFormat="false" ht="15" hidden="false" customHeight="true" outlineLevel="0" collapsed="false">
      <c r="A61" s="8" t="s">
        <v>114</v>
      </c>
      <c r="B61" s="20" t="n">
        <v>0.6</v>
      </c>
      <c r="C61" s="20" t="n">
        <v>0.84</v>
      </c>
      <c r="D61" s="20" t="n">
        <v>0.03</v>
      </c>
    </row>
    <row r="62" customFormat="false" ht="15" hidden="false" customHeight="true" outlineLevel="0" collapsed="false">
      <c r="A62" s="8" t="s">
        <v>115</v>
      </c>
      <c r="B62" s="20" t="n">
        <v>0.63</v>
      </c>
      <c r="C62" s="20" t="n">
        <v>0.88</v>
      </c>
      <c r="D62" s="20" t="n">
        <v>0.02</v>
      </c>
    </row>
    <row r="63" customFormat="false" ht="15" hidden="false" customHeight="true" outlineLevel="0" collapsed="false">
      <c r="A63" s="8" t="s">
        <v>116</v>
      </c>
      <c r="B63" s="20" t="n">
        <v>0.66</v>
      </c>
      <c r="C63" s="20" t="n">
        <v>0.92</v>
      </c>
      <c r="D63" s="20" t="n">
        <v>0.02</v>
      </c>
    </row>
    <row r="64" customFormat="false" ht="15" hidden="false" customHeight="true" outlineLevel="0" collapsed="false">
      <c r="A64" s="8" t="s">
        <v>117</v>
      </c>
      <c r="B64" s="20" t="n">
        <v>0.69</v>
      </c>
      <c r="C64" s="20" t="n">
        <v>0.96</v>
      </c>
      <c r="D64" s="20" t="n">
        <v>0.02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4" min="3" style="1" width="12"/>
    <col collapsed="false" customWidth="true" hidden="false" outlineLevel="0" max="5" min="5" style="1" width="30"/>
  </cols>
  <sheetData>
    <row r="1" customFormat="false" ht="21.75" hidden="false" customHeight="true" outlineLevel="0" collapsed="false">
      <c r="A1" s="5" t="s">
        <v>122</v>
      </c>
      <c r="B1" s="5"/>
      <c r="C1" s="5"/>
      <c r="D1" s="5"/>
      <c r="E1" s="5"/>
    </row>
    <row r="2" customFormat="false" ht="15" hidden="false" customHeight="true" outlineLevel="0" collapsed="false">
      <c r="A2" s="6" t="s">
        <v>123</v>
      </c>
      <c r="B2" s="6"/>
      <c r="C2" s="6"/>
      <c r="D2" s="6"/>
      <c r="E2" s="6"/>
    </row>
    <row r="4" customFormat="false" ht="15" hidden="false" customHeight="true" outlineLevel="0" collapsed="false">
      <c r="A4" s="14" t="s">
        <v>124</v>
      </c>
      <c r="B4" s="14" t="s">
        <v>125</v>
      </c>
      <c r="C4" s="14" t="s">
        <v>126</v>
      </c>
      <c r="D4" s="14" t="s">
        <v>127</v>
      </c>
      <c r="E4" s="14" t="s">
        <v>128</v>
      </c>
    </row>
    <row r="5" customFormat="false" ht="15" hidden="false" customHeight="true" outlineLevel="0" collapsed="false">
      <c r="A5" s="8" t="s">
        <v>129</v>
      </c>
      <c r="B5" s="12" t="n">
        <f aca="false">Assumptions!D12</f>
        <v>2.87896</v>
      </c>
      <c r="C5" s="12" t="n">
        <f aca="false">Assumptions!D12</f>
        <v>2.87896</v>
      </c>
      <c r="D5" s="12" t="n">
        <f aca="false">Assumptions!D12</f>
        <v>2.87896</v>
      </c>
      <c r="E5" s="8" t="s">
        <v>130</v>
      </c>
    </row>
    <row r="6" customFormat="false" ht="15" hidden="false" customHeight="true" outlineLevel="0" collapsed="false">
      <c r="A6" s="8" t="s">
        <v>131</v>
      </c>
      <c r="B6" s="12" t="n">
        <f aca="false">Assumptions!D13</f>
        <v>2.55875</v>
      </c>
      <c r="C6" s="12" t="n">
        <f aca="false">Assumptions!D13</f>
        <v>2.55875</v>
      </c>
      <c r="D6" s="12" t="n">
        <f aca="false">Assumptions!D13</f>
        <v>2.55875</v>
      </c>
      <c r="E6" s="8" t="s">
        <v>130</v>
      </c>
    </row>
    <row r="7" customFormat="false" ht="15" hidden="false" customHeight="true" outlineLevel="0" collapsed="false">
      <c r="A7" s="8" t="s">
        <v>132</v>
      </c>
      <c r="B7" s="12" t="n">
        <f aca="false">Assumptions!D14</f>
        <v>0.12478</v>
      </c>
      <c r="C7" s="12" t="n">
        <f aca="false">Assumptions!D14</f>
        <v>0.12478</v>
      </c>
      <c r="D7" s="12" t="n">
        <f aca="false">Assumptions!D14</f>
        <v>0.12478</v>
      </c>
      <c r="E7" s="8" t="s">
        <v>130</v>
      </c>
    </row>
    <row r="8" customFormat="false" ht="15" hidden="false" customHeight="true" outlineLevel="0" collapsed="false">
      <c r="A8" s="8" t="s">
        <v>133</v>
      </c>
      <c r="B8" s="12" t="n">
        <f aca="false">Assumptions!D15</f>
        <v>0.325932</v>
      </c>
      <c r="C8" s="12" t="n">
        <f aca="false">Assumptions!D15</f>
        <v>0.325932</v>
      </c>
      <c r="D8" s="12" t="n">
        <f aca="false">Assumptions!D15</f>
        <v>0.325932</v>
      </c>
      <c r="E8" s="8" t="s">
        <v>130</v>
      </c>
    </row>
    <row r="9" customFormat="false" ht="15" hidden="false" customHeight="true" outlineLevel="0" collapsed="false">
      <c r="A9" s="8" t="s">
        <v>134</v>
      </c>
      <c r="B9" s="12" t="n">
        <f aca="false">Assumptions!B20*Assumptions!C20</f>
        <v>5.2824</v>
      </c>
      <c r="C9" s="12" t="n">
        <f aca="false">Assumptions!B20*Assumptions!D20</f>
        <v>6.603</v>
      </c>
      <c r="D9" s="12" t="n">
        <f aca="false">Assumptions!B20*Assumptions!E20</f>
        <v>3.9618</v>
      </c>
      <c r="E9" s="8" t="s">
        <v>135</v>
      </c>
    </row>
    <row r="10" customFormat="false" ht="15" hidden="false" customHeight="true" outlineLevel="0" collapsed="false">
      <c r="A10" s="8" t="s">
        <v>136</v>
      </c>
      <c r="B10" s="12" t="n">
        <f aca="false">Assumptions!B21*Assumptions!C21</f>
        <v>3.1515</v>
      </c>
      <c r="C10" s="12" t="n">
        <f aca="false">Assumptions!B21*Assumptions!D21</f>
        <v>3.7245</v>
      </c>
      <c r="D10" s="12" t="n">
        <f aca="false">Assumptions!B21*Assumptions!E21</f>
        <v>2.5785</v>
      </c>
      <c r="E10" s="8" t="s">
        <v>137</v>
      </c>
    </row>
    <row r="11" customFormat="false" ht="15" hidden="false" customHeight="true" outlineLevel="0" collapsed="false">
      <c r="A11" s="8" t="s">
        <v>138</v>
      </c>
      <c r="B11" s="12" t="n">
        <f aca="false">Assumptions!C22</f>
        <v>7</v>
      </c>
      <c r="C11" s="12" t="n">
        <f aca="false">Assumptions!D22</f>
        <v>8.5</v>
      </c>
      <c r="D11" s="12" t="n">
        <f aca="false">Assumptions!E22</f>
        <v>5</v>
      </c>
      <c r="E11" s="8" t="s">
        <v>139</v>
      </c>
    </row>
    <row r="12" customFormat="false" ht="15" hidden="false" customHeight="true" outlineLevel="0" collapsed="false">
      <c r="A12" s="8" t="s">
        <v>86</v>
      </c>
      <c r="B12" s="12" t="n">
        <f aca="false">Assumptions!C23</f>
        <v>1.5</v>
      </c>
      <c r="C12" s="12" t="n">
        <f aca="false">Assumptions!D23</f>
        <v>1.5</v>
      </c>
      <c r="D12" s="12" t="n">
        <f aca="false">Assumptions!E23</f>
        <v>1</v>
      </c>
      <c r="E12" s="8" t="s">
        <v>140</v>
      </c>
    </row>
    <row r="13" customFormat="false" ht="15" hidden="false" customHeight="true" outlineLevel="0" collapsed="false">
      <c r="A13" s="16" t="s">
        <v>141</v>
      </c>
      <c r="B13" s="24" t="n">
        <f aca="false">SUM(B5:B12)</f>
        <v>22.822322</v>
      </c>
      <c r="C13" s="24" t="n">
        <f aca="false">SUM(C5:C12)</f>
        <v>26.215922</v>
      </c>
      <c r="D13" s="24" t="n">
        <f aca="false">SUM(D5:D12)</f>
        <v>18.428722</v>
      </c>
    </row>
    <row r="14" customFormat="false" ht="15" hidden="false" customHeight="true" outlineLevel="0" collapsed="false">
      <c r="A14" s="25" t="s">
        <v>142</v>
      </c>
      <c r="B14" s="26" t="n">
        <f aca="false">B13/Assumptions!$B$6*1000</f>
        <v>51786.5259813932</v>
      </c>
      <c r="C14" s="26" t="n">
        <f aca="false">C13/Assumptions!$B$6*1000</f>
        <v>59487.002496029</v>
      </c>
      <c r="D14" s="26" t="n">
        <f aca="false">D13/Assumptions!$B$6*1000</f>
        <v>41816.9321533923</v>
      </c>
    </row>
    <row r="15" customFormat="false" ht="15" hidden="false" customHeight="true" outlineLevel="0" collapsed="false">
      <c r="A15" s="8" t="s">
        <v>143</v>
      </c>
      <c r="B15" s="11" t="n">
        <f aca="false">Assumptions!C24</f>
        <v>0.32</v>
      </c>
      <c r="C15" s="11" t="n">
        <f aca="false">Assumptions!D24</f>
        <v>0.22</v>
      </c>
      <c r="D15" s="11" t="n">
        <f aca="false">Assumptions!E24</f>
        <v>0.48</v>
      </c>
    </row>
    <row r="16" customFormat="false" ht="15" hidden="false" customHeight="true" outlineLevel="0" collapsed="false">
      <c r="A16" s="16" t="s">
        <v>144</v>
      </c>
      <c r="B16" s="17" t="n">
        <f aca="false">B14*(1-B15)</f>
        <v>35214.8376673474</v>
      </c>
      <c r="C16" s="17" t="n">
        <f aca="false">C14*(1-C15)</f>
        <v>46399.8619469027</v>
      </c>
      <c r="D16" s="17" t="n">
        <f aca="false">D14*(1-D15)</f>
        <v>21744.804719764</v>
      </c>
    </row>
    <row r="17" customFormat="false" ht="15" hidden="false" customHeight="true" outlineLevel="0" collapsed="false">
      <c r="A17" s="8" t="s">
        <v>43</v>
      </c>
      <c r="B17" s="10" t="n">
        <f aca="false">B16/Assumptions!$B$5-1</f>
        <v>0.0622877124388357</v>
      </c>
      <c r="C17" s="10" t="n">
        <f aca="false">C16/Assumptions!$B$5-1</f>
        <v>0.399694176377154</v>
      </c>
      <c r="D17" s="10" t="n">
        <f aca="false">D16/Assumptions!$B$5-1</f>
        <v>-0.344048123084042</v>
      </c>
    </row>
    <row r="19" customFormat="false" ht="27.75" hidden="false" customHeight="true" outlineLevel="0" collapsed="false">
      <c r="A19" s="13" t="s">
        <v>145</v>
      </c>
      <c r="B19" s="13"/>
      <c r="C19" s="13"/>
      <c r="D19" s="13"/>
      <c r="E19" s="13"/>
    </row>
  </sheetData>
  <mergeCells count="3">
    <mergeCell ref="A1:E1"/>
    <mergeCell ref="A2:E2"/>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22"/>
    <col collapsed="false" customWidth="true" hidden="false" outlineLevel="0" max="4" min="4" style="1" width="24"/>
  </cols>
  <sheetData>
    <row r="1" customFormat="false" ht="21.75" hidden="false" customHeight="true" outlineLevel="0" collapsed="false">
      <c r="A1" s="5" t="s">
        <v>146</v>
      </c>
      <c r="B1" s="5"/>
      <c r="C1" s="5"/>
      <c r="D1" s="5"/>
    </row>
    <row r="2" customFormat="false" ht="15" hidden="false" customHeight="true" outlineLevel="0" collapsed="false">
      <c r="A2" s="6" t="s">
        <v>147</v>
      </c>
      <c r="B2" s="6"/>
      <c r="C2" s="6"/>
      <c r="D2" s="6"/>
    </row>
    <row r="4" customFormat="false" ht="30" hidden="false" customHeight="true" outlineLevel="0" collapsed="false">
      <c r="A4" s="14" t="s">
        <v>148</v>
      </c>
      <c r="B4" s="14" t="s">
        <v>149</v>
      </c>
      <c r="C4" s="14" t="s">
        <v>150</v>
      </c>
      <c r="D4" s="14" t="s">
        <v>151</v>
      </c>
    </row>
    <row r="5" customFormat="false" ht="30" hidden="false" customHeight="true" outlineLevel="0" collapsed="false">
      <c r="A5" s="27" t="s">
        <v>152</v>
      </c>
      <c r="B5" s="28" t="s">
        <v>153</v>
      </c>
      <c r="C5" s="28" t="s">
        <v>154</v>
      </c>
      <c r="D5" s="28" t="s">
        <v>155</v>
      </c>
    </row>
    <row r="6" customFormat="false" ht="30" hidden="false" customHeight="true" outlineLevel="0" collapsed="false">
      <c r="A6" s="27" t="s">
        <v>156</v>
      </c>
      <c r="B6" s="28" t="s">
        <v>157</v>
      </c>
      <c r="C6" s="28" t="s">
        <v>158</v>
      </c>
      <c r="D6" s="28" t="s">
        <v>159</v>
      </c>
    </row>
    <row r="7" customFormat="false" ht="30" hidden="false" customHeight="true" outlineLevel="0" collapsed="false">
      <c r="A7" s="27" t="s">
        <v>160</v>
      </c>
      <c r="B7" s="28" t="s">
        <v>161</v>
      </c>
      <c r="C7" s="28" t="s">
        <v>162</v>
      </c>
      <c r="D7" s="28" t="s">
        <v>163</v>
      </c>
    </row>
    <row r="8" customFormat="false" ht="30" hidden="false" customHeight="true" outlineLevel="0" collapsed="false">
      <c r="A8" s="27" t="s">
        <v>164</v>
      </c>
      <c r="B8" s="28" t="s">
        <v>165</v>
      </c>
      <c r="C8" s="28" t="s">
        <v>166</v>
      </c>
      <c r="D8" s="28" t="s">
        <v>167</v>
      </c>
    </row>
    <row r="9" customFormat="false" ht="30" hidden="false" customHeight="true" outlineLevel="0" collapsed="false">
      <c r="A9" s="27" t="s">
        <v>168</v>
      </c>
      <c r="B9" s="28" t="s">
        <v>169</v>
      </c>
      <c r="C9" s="28" t="s">
        <v>170</v>
      </c>
      <c r="D9" s="28" t="s">
        <v>171</v>
      </c>
    </row>
    <row r="10" customFormat="false" ht="30" hidden="false" customHeight="true" outlineLevel="0" collapsed="false">
      <c r="A10" s="27" t="s">
        <v>172</v>
      </c>
      <c r="B10" s="28" t="s">
        <v>173</v>
      </c>
      <c r="C10" s="28" t="s">
        <v>174</v>
      </c>
      <c r="D10" s="28" t="s">
        <v>175</v>
      </c>
    </row>
    <row r="12" customFormat="false" ht="69.75" hidden="false" customHeight="true" outlineLevel="0" collapsed="false">
      <c r="A12" s="13" t="s">
        <v>176</v>
      </c>
      <c r="B12" s="13"/>
      <c r="C12" s="13"/>
      <c r="D12" s="13"/>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4" min="3" style="1" width="12"/>
    <col collapsed="false" customWidth="true" hidden="false" outlineLevel="0" max="5" min="5" style="1" width="28"/>
  </cols>
  <sheetData>
    <row r="1" customFormat="false" ht="21.75" hidden="false" customHeight="true" outlineLevel="0" collapsed="false">
      <c r="A1" s="5" t="s">
        <v>177</v>
      </c>
      <c r="B1" s="5"/>
      <c r="C1" s="5"/>
      <c r="D1" s="5"/>
      <c r="E1" s="5"/>
    </row>
    <row r="2" customFormat="false" ht="15" hidden="false" customHeight="true" outlineLevel="0" collapsed="false">
      <c r="A2" s="6" t="s">
        <v>178</v>
      </c>
      <c r="B2" s="6"/>
      <c r="C2" s="6"/>
      <c r="D2" s="6"/>
      <c r="E2" s="6"/>
    </row>
    <row r="4" customFormat="false" ht="15" hidden="false" customHeight="true" outlineLevel="0" collapsed="false">
      <c r="A4" s="7" t="s">
        <v>179</v>
      </c>
    </row>
    <row r="5" customFormat="false" ht="15" hidden="false" customHeight="true" outlineLevel="0" collapsed="false">
      <c r="A5" s="8" t="s">
        <v>180</v>
      </c>
      <c r="B5" s="12" t="n">
        <f aca="false">Assumptions!B27*Assumptions!B28</f>
        <v>14.58</v>
      </c>
      <c r="E5" s="8" t="s">
        <v>181</v>
      </c>
    </row>
    <row r="6" customFormat="false" ht="15" hidden="false" customHeight="true" outlineLevel="0" collapsed="false">
      <c r="A6" s="8" t="s">
        <v>182</v>
      </c>
      <c r="B6" s="23" t="n">
        <f aca="false">B5+Assumptions!B7</f>
        <v>16.08</v>
      </c>
    </row>
    <row r="7" customFormat="false" ht="15" hidden="false" customHeight="true" outlineLevel="0" collapsed="false">
      <c r="A7" s="8" t="s">
        <v>183</v>
      </c>
      <c r="B7" s="26" t="n">
        <f aca="false">B6/Assumptions!$B$6*1000</f>
        <v>36487.4063989108</v>
      </c>
    </row>
    <row r="8" customFormat="false" ht="15" hidden="false" customHeight="true" outlineLevel="0" collapsed="false">
      <c r="A8" s="8" t="s">
        <v>184</v>
      </c>
      <c r="B8" s="12" t="n">
        <f aca="false">Assumptions!B29*Assumptions!B30</f>
        <v>11.7</v>
      </c>
      <c r="E8" s="8" t="s">
        <v>185</v>
      </c>
    </row>
    <row r="9" customFormat="false" ht="15" hidden="false" customHeight="true" outlineLevel="0" collapsed="false">
      <c r="A9" s="8" t="s">
        <v>183</v>
      </c>
      <c r="B9" s="26" t="n">
        <f aca="false">(B8+Assumptions!B7)/Assumptions!$B$6*1000</f>
        <v>29952.3485364193</v>
      </c>
    </row>
    <row r="10" customFormat="false" ht="15" hidden="false" customHeight="true" outlineLevel="0" collapsed="false">
      <c r="A10" s="8" t="s">
        <v>186</v>
      </c>
      <c r="B10" s="12" t="n">
        <f aca="false">Assumptions!B31*Assumptions!B32</f>
        <v>12</v>
      </c>
    </row>
    <row r="11" customFormat="false" ht="15" hidden="false" customHeight="true" outlineLevel="0" collapsed="false">
      <c r="A11" s="8" t="s">
        <v>183</v>
      </c>
      <c r="B11" s="26" t="n">
        <f aca="false">B10/Assumptions!$B$6*1000</f>
        <v>27229.4077603812</v>
      </c>
    </row>
    <row r="12" customFormat="false" ht="15" hidden="false" customHeight="true" outlineLevel="0" collapsed="false">
      <c r="A12" s="16" t="s">
        <v>187</v>
      </c>
      <c r="B12" s="17" t="n">
        <f aca="false">AVERAGE(B7,B9,B11)</f>
        <v>31223.0542319038</v>
      </c>
    </row>
    <row r="14" customFormat="false" ht="15" hidden="false" customHeight="true" outlineLevel="0" collapsed="false">
      <c r="A14" s="7" t="s">
        <v>188</v>
      </c>
    </row>
    <row r="15" customFormat="false" ht="15" hidden="false" customHeight="true" outlineLevel="0" collapsed="false">
      <c r="A15" s="8" t="s">
        <v>189</v>
      </c>
      <c r="B15" s="29" t="n">
        <f aca="false">Assumptions!B33</f>
        <v>0.66</v>
      </c>
    </row>
    <row r="16" customFormat="false" ht="15" hidden="false" customHeight="true" outlineLevel="0" collapsed="false">
      <c r="A16" s="8" t="s">
        <v>190</v>
      </c>
      <c r="B16" s="12" t="n">
        <f aca="false">Assumptions!B34</f>
        <v>22</v>
      </c>
    </row>
    <row r="17" customFormat="false" ht="15" hidden="false" customHeight="true" outlineLevel="0" collapsed="false">
      <c r="A17" s="16" t="s">
        <v>191</v>
      </c>
      <c r="B17" s="17" t="n">
        <f aca="false">B15*B16/Assumptions!$B$6*1000</f>
        <v>32947.5833900613</v>
      </c>
    </row>
    <row r="18" customFormat="false" ht="15" hidden="false" customHeight="true" outlineLevel="0" collapsed="false">
      <c r="A18" s="8" t="s">
        <v>192</v>
      </c>
      <c r="B18" s="23" t="n">
        <f aca="false">Assumptions!B5/(B15/Assumptions!B6*1000)</f>
        <v>22.1351590909091</v>
      </c>
      <c r="E18" s="8" t="s">
        <v>193</v>
      </c>
    </row>
    <row r="20" customFormat="false" ht="55.5" hidden="false" customHeight="true" outlineLevel="0" collapsed="false">
      <c r="A20" s="13" t="s">
        <v>194</v>
      </c>
      <c r="B20" s="13"/>
      <c r="C20" s="13"/>
      <c r="D20" s="13"/>
      <c r="E20" s="13"/>
    </row>
  </sheetData>
  <mergeCells count="3">
    <mergeCell ref="A1:E1"/>
    <mergeCell ref="A2:E2"/>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1"/>
  </cols>
  <sheetData>
    <row r="1" customFormat="false" ht="21.75" hidden="false" customHeight="true" outlineLevel="0" collapsed="false">
      <c r="A1" s="5" t="s">
        <v>195</v>
      </c>
      <c r="B1" s="5"/>
      <c r="C1" s="5"/>
      <c r="D1" s="5"/>
      <c r="E1" s="5"/>
      <c r="F1" s="5"/>
      <c r="G1" s="5"/>
    </row>
    <row r="2" customFormat="false" ht="15" hidden="false" customHeight="true" outlineLevel="0" collapsed="false">
      <c r="A2" s="6" t="s">
        <v>196</v>
      </c>
      <c r="B2" s="6"/>
      <c r="C2" s="6"/>
      <c r="D2" s="6"/>
      <c r="E2" s="6"/>
      <c r="F2" s="6"/>
      <c r="G2" s="6"/>
    </row>
    <row r="4" customFormat="false" ht="15" hidden="false" customHeight="true" outlineLevel="0" collapsed="false">
      <c r="A4" s="8" t="s">
        <v>197</v>
      </c>
      <c r="B4" s="14" t="s">
        <v>113</v>
      </c>
      <c r="C4" s="14" t="s">
        <v>114</v>
      </c>
      <c r="D4" s="14" t="s">
        <v>115</v>
      </c>
      <c r="E4" s="14" t="s">
        <v>116</v>
      </c>
      <c r="F4" s="14" t="s">
        <v>117</v>
      </c>
    </row>
    <row r="5" customFormat="false" ht="15" hidden="false" customHeight="true" outlineLevel="0" collapsed="false">
      <c r="A5" s="8" t="s">
        <v>198</v>
      </c>
      <c r="B5" s="29" t="n">
        <f aca="false">Assumptions!C52</f>
        <v>0.8</v>
      </c>
      <c r="C5" s="29" t="n">
        <f aca="false">Assumptions!C53</f>
        <v>0.92</v>
      </c>
      <c r="D5" s="29" t="n">
        <f aca="false">Assumptions!C54</f>
        <v>1.05</v>
      </c>
      <c r="E5" s="29" t="n">
        <f aca="false">Assumptions!C55</f>
        <v>1.18</v>
      </c>
      <c r="F5" s="29" t="n">
        <f aca="false">Assumptions!C56</f>
        <v>1.3</v>
      </c>
    </row>
    <row r="6" customFormat="false" ht="15" hidden="false" customHeight="true" outlineLevel="0" collapsed="false">
      <c r="A6" s="8" t="s">
        <v>199</v>
      </c>
      <c r="B6" s="30" t="n">
        <f aca="false">B5*(1-Assumptions!$B$48)</f>
        <v>0.624</v>
      </c>
      <c r="C6" s="30" t="n">
        <f aca="false">C5*(1-Assumptions!$B$48)</f>
        <v>0.7176</v>
      </c>
      <c r="D6" s="30" t="n">
        <f aca="false">D5*(1-Assumptions!$B$48)</f>
        <v>0.819</v>
      </c>
      <c r="E6" s="30" t="n">
        <f aca="false">E5*(1-Assumptions!$B$48)</f>
        <v>0.9204</v>
      </c>
      <c r="F6" s="30" t="n">
        <f aca="false">F5*(1-Assumptions!$B$48)</f>
        <v>1.014</v>
      </c>
    </row>
    <row r="7" customFormat="false" ht="15" hidden="false" customHeight="true" outlineLevel="0" collapsed="false">
      <c r="A7" s="8" t="s">
        <v>200</v>
      </c>
      <c r="B7" s="29" t="n">
        <f aca="false">Assumptions!B60</f>
        <v>0.57</v>
      </c>
      <c r="C7" s="29" t="n">
        <f aca="false">Assumptions!B61</f>
        <v>0.6</v>
      </c>
      <c r="D7" s="29" t="n">
        <f aca="false">Assumptions!B62</f>
        <v>0.63</v>
      </c>
      <c r="E7" s="29" t="n">
        <f aca="false">Assumptions!B63</f>
        <v>0.66</v>
      </c>
      <c r="F7" s="29" t="n">
        <f aca="false">Assumptions!B64</f>
        <v>0.69</v>
      </c>
    </row>
    <row r="8" customFormat="false" ht="15" hidden="false" customHeight="true" outlineLevel="0" collapsed="false">
      <c r="A8" s="8" t="s">
        <v>201</v>
      </c>
      <c r="B8" s="30" t="n">
        <f aca="false">-Assumptions!C60</f>
        <v>-0.8</v>
      </c>
      <c r="C8" s="30" t="n">
        <f aca="false">-Assumptions!C61</f>
        <v>-0.84</v>
      </c>
      <c r="D8" s="30" t="n">
        <f aca="false">-Assumptions!C62</f>
        <v>-0.88</v>
      </c>
      <c r="E8" s="30" t="n">
        <f aca="false">-Assumptions!C63</f>
        <v>-0.92</v>
      </c>
      <c r="F8" s="30" t="n">
        <f aca="false">-Assumptions!C64</f>
        <v>-0.96</v>
      </c>
    </row>
    <row r="9" customFormat="false" ht="15" hidden="false" customHeight="true" outlineLevel="0" collapsed="false">
      <c r="A9" s="8" t="s">
        <v>202</v>
      </c>
      <c r="B9" s="30" t="n">
        <f aca="false">-Assumptions!D60</f>
        <v>-0.05</v>
      </c>
      <c r="C9" s="30" t="n">
        <f aca="false">-Assumptions!D61</f>
        <v>-0.03</v>
      </c>
      <c r="D9" s="30" t="n">
        <f aca="false">-Assumptions!D62</f>
        <v>-0.02</v>
      </c>
      <c r="E9" s="30" t="n">
        <f aca="false">-Assumptions!D63</f>
        <v>-0.02</v>
      </c>
      <c r="F9" s="30" t="n">
        <f aca="false">-Assumptions!D64</f>
        <v>-0.02</v>
      </c>
    </row>
    <row r="10" customFormat="false" ht="15" hidden="false" customHeight="true" outlineLevel="0" collapsed="false">
      <c r="A10" s="8" t="s">
        <v>203</v>
      </c>
      <c r="B10" s="30" t="n">
        <f aca="false">B6+B7+B8+B9</f>
        <v>0.344</v>
      </c>
      <c r="C10" s="30" t="n">
        <f aca="false">C6+C7+C8+C9</f>
        <v>0.4476</v>
      </c>
      <c r="D10" s="30" t="n">
        <f aca="false">D6+D7+D8+D9</f>
        <v>0.549</v>
      </c>
      <c r="E10" s="30" t="n">
        <f aca="false">E6+E7+E8+E9</f>
        <v>0.6404</v>
      </c>
      <c r="F10" s="30" t="n">
        <f aca="false">F6+F7+F8+F9</f>
        <v>0.724</v>
      </c>
    </row>
    <row r="11" customFormat="false" ht="15" hidden="false" customHeight="true" outlineLevel="0" collapsed="false">
      <c r="A11" s="8" t="s">
        <v>204</v>
      </c>
      <c r="B11" s="30" t="n">
        <f aca="false">1/(1+Assumptions!$B$44)^1</f>
        <v>0.91324200913242</v>
      </c>
      <c r="C11" s="30" t="n">
        <f aca="false">1/(1+Assumptions!$B$44)^2</f>
        <v>0.834010967244219</v>
      </c>
      <c r="D11" s="30" t="n">
        <f aca="false">1/(1+Assumptions!$B$44)^3</f>
        <v>0.761653851364584</v>
      </c>
      <c r="E11" s="30" t="n">
        <f aca="false">1/(1+Assumptions!$B$44)^4</f>
        <v>0.695574293483638</v>
      </c>
      <c r="F11" s="30" t="n">
        <f aca="false">1/(1+Assumptions!$B$44)^5</f>
        <v>0.635227665281862</v>
      </c>
    </row>
    <row r="12" customFormat="false" ht="15" hidden="false" customHeight="true" outlineLevel="0" collapsed="false">
      <c r="A12" s="8" t="s">
        <v>205</v>
      </c>
      <c r="B12" s="30" t="n">
        <f aca="false">B10*B11</f>
        <v>0.314155251141552</v>
      </c>
      <c r="C12" s="30" t="n">
        <f aca="false">C10*C11</f>
        <v>0.373303308938513</v>
      </c>
      <c r="D12" s="30" t="n">
        <f aca="false">D10*D11</f>
        <v>0.418147964399157</v>
      </c>
      <c r="E12" s="30" t="n">
        <f aca="false">E10*E11</f>
        <v>0.445445777546922</v>
      </c>
      <c r="F12" s="30" t="n">
        <f aca="false">F10*F11</f>
        <v>0.459904829664068</v>
      </c>
    </row>
    <row r="14" customFormat="false" ht="15" hidden="false" customHeight="true" outlineLevel="0" collapsed="false">
      <c r="A14" s="8" t="s">
        <v>206</v>
      </c>
      <c r="B14" s="30" t="n">
        <f aca="false">SUM(B12:F12)</f>
        <v>2.01095713169021</v>
      </c>
    </row>
    <row r="15" customFormat="false" ht="15" hidden="false" customHeight="true" outlineLevel="0" collapsed="false">
      <c r="A15" s="8" t="s">
        <v>207</v>
      </c>
      <c r="B15" s="23" t="n">
        <f aca="false">F10*(1+Assumptions!B45)/(Assumptions!B44-Assumptions!B45)</f>
        <v>11.4726153846154</v>
      </c>
    </row>
    <row r="16" customFormat="false" ht="15" hidden="false" customHeight="true" outlineLevel="0" collapsed="false">
      <c r="A16" s="8" t="s">
        <v>208</v>
      </c>
      <c r="B16" s="23" t="n">
        <f aca="false">B15/(1+Assumptions!B44)^5</f>
        <v>7.287722685446</v>
      </c>
    </row>
    <row r="17" customFormat="false" ht="15" hidden="false" customHeight="true" outlineLevel="0" collapsed="false">
      <c r="A17" s="8" t="s">
        <v>209</v>
      </c>
      <c r="B17" s="23" t="n">
        <f aca="false">B14+B16</f>
        <v>9.29867981713621</v>
      </c>
    </row>
    <row r="18" customFormat="false" ht="15" hidden="false" customHeight="true" outlineLevel="0" collapsed="false">
      <c r="A18" s="8" t="s">
        <v>210</v>
      </c>
      <c r="B18" s="12" t="n">
        <f aca="false">Assumptions!B7</f>
        <v>1.5</v>
      </c>
    </row>
    <row r="19" customFormat="false" ht="15" hidden="false" customHeight="true" outlineLevel="0" collapsed="false">
      <c r="A19" s="16" t="s">
        <v>211</v>
      </c>
      <c r="B19" s="24" t="n">
        <f aca="false">B17+B18</f>
        <v>10.7986798171362</v>
      </c>
    </row>
    <row r="21" customFormat="false" ht="15" hidden="false" customHeight="true" outlineLevel="0" collapsed="false">
      <c r="A21" s="8" t="s">
        <v>212</v>
      </c>
      <c r="B21" s="29" t="n">
        <f aca="false">Assumptions!B6</f>
        <v>0.4407</v>
      </c>
    </row>
    <row r="22" customFormat="false" ht="15" hidden="false" customHeight="true" outlineLevel="0" collapsed="false">
      <c r="A22" s="16" t="s">
        <v>144</v>
      </c>
      <c r="B22" s="17" t="n">
        <f aca="false">B19/B21*1000</f>
        <v>24503.4713345501</v>
      </c>
    </row>
    <row r="23" customFormat="false" ht="15" hidden="false" customHeight="true" outlineLevel="0" collapsed="false">
      <c r="A23" s="8" t="s">
        <v>43</v>
      </c>
      <c r="B23" s="10" t="n">
        <f aca="false">B22/Assumptions!B5-1</f>
        <v>-0.260830427313724</v>
      </c>
    </row>
    <row r="25" customFormat="false" ht="69.75" hidden="false" customHeight="true" outlineLevel="0" collapsed="false">
      <c r="A25" s="13" t="s">
        <v>213</v>
      </c>
      <c r="B25" s="13"/>
      <c r="C25" s="13"/>
      <c r="D25" s="13"/>
      <c r="E25" s="13"/>
      <c r="F25" s="13"/>
      <c r="G25" s="13"/>
    </row>
  </sheetData>
  <mergeCells count="3">
    <mergeCell ref="A1:G1"/>
    <mergeCell ref="A2:G2"/>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9.51"/>
  </cols>
  <sheetData>
    <row r="1" customFormat="false" ht="21.75" hidden="false" customHeight="true" outlineLevel="0" collapsed="false">
      <c r="A1" s="31" t="s">
        <v>214</v>
      </c>
      <c r="B1" s="31"/>
      <c r="C1" s="31"/>
      <c r="D1" s="31"/>
      <c r="E1" s="31"/>
      <c r="F1" s="31"/>
      <c r="G1" s="31"/>
      <c r="H1" s="31"/>
      <c r="I1" s="31"/>
    </row>
    <row r="2" customFormat="false" ht="15" hidden="false" customHeight="false" outlineLevel="0" collapsed="false">
      <c r="A2" s="32" t="s">
        <v>215</v>
      </c>
      <c r="B2" s="32"/>
      <c r="C2" s="32"/>
      <c r="D2" s="32"/>
      <c r="E2" s="32"/>
      <c r="F2" s="32"/>
      <c r="G2" s="32"/>
      <c r="H2" s="32"/>
      <c r="I2" s="32"/>
    </row>
    <row r="4" customFormat="false" ht="15" hidden="false" customHeight="false" outlineLevel="0" collapsed="false">
      <c r="A4" s="33" t="s">
        <v>197</v>
      </c>
      <c r="B4" s="34" t="s">
        <v>216</v>
      </c>
      <c r="C4" s="34" t="s">
        <v>217</v>
      </c>
      <c r="D4" s="34" t="s">
        <v>218</v>
      </c>
      <c r="E4" s="34" t="s">
        <v>219</v>
      </c>
      <c r="F4" s="34" t="s">
        <v>220</v>
      </c>
      <c r="G4" s="34" t="s">
        <v>221</v>
      </c>
      <c r="H4" s="34" t="s">
        <v>222</v>
      </c>
      <c r="I4" s="34" t="s">
        <v>223</v>
      </c>
    </row>
    <row r="5" customFormat="false" ht="15" hidden="false" customHeight="false" outlineLevel="0" collapsed="false">
      <c r="A5" s="8" t="s">
        <v>224</v>
      </c>
      <c r="B5" s="35" t="n">
        <v>3.5</v>
      </c>
      <c r="C5" s="35" t="n">
        <v>3.9</v>
      </c>
      <c r="D5" s="35" t="n">
        <v>4.32</v>
      </c>
      <c r="E5" s="35" t="n">
        <v>4.75</v>
      </c>
      <c r="F5" s="35" t="n">
        <v>5.25</v>
      </c>
      <c r="G5" s="35" t="n">
        <v>5.7</v>
      </c>
      <c r="H5" s="35" t="n">
        <v>6.15</v>
      </c>
      <c r="I5" s="35" t="n">
        <v>6.6</v>
      </c>
    </row>
    <row r="6" customFormat="false" ht="15" hidden="false" customHeight="false" outlineLevel="0" collapsed="false">
      <c r="A6" s="8" t="s">
        <v>225</v>
      </c>
      <c r="B6" s="35" t="n">
        <v>4.06</v>
      </c>
      <c r="C6" s="35" t="n">
        <v>3.97</v>
      </c>
      <c r="D6" s="35" t="n">
        <v>3.78</v>
      </c>
      <c r="E6" s="35" t="n">
        <v>3.65</v>
      </c>
      <c r="F6" s="35" t="n">
        <v>3.65</v>
      </c>
      <c r="G6" s="35" t="n">
        <v>3.7</v>
      </c>
      <c r="H6" s="35" t="n">
        <v>3.75</v>
      </c>
      <c r="I6" s="35" t="n">
        <v>3.8</v>
      </c>
    </row>
    <row r="7" customFormat="false" ht="15" hidden="false" customHeight="false" outlineLevel="0" collapsed="false">
      <c r="A7" s="36" t="s">
        <v>226</v>
      </c>
      <c r="B7" s="37" t="n">
        <f aca="false">B5+B6</f>
        <v>7.56</v>
      </c>
      <c r="C7" s="37" t="n">
        <f aca="false">C5+C6</f>
        <v>7.87</v>
      </c>
      <c r="D7" s="37" t="n">
        <f aca="false">D5+D6</f>
        <v>8.1</v>
      </c>
      <c r="E7" s="37" t="n">
        <f aca="false">E5+E6</f>
        <v>8.4</v>
      </c>
      <c r="F7" s="37" t="n">
        <f aca="false">F5+F6</f>
        <v>8.9</v>
      </c>
      <c r="G7" s="37" t="n">
        <f aca="false">G5+G6</f>
        <v>9.4</v>
      </c>
      <c r="H7" s="37" t="n">
        <f aca="false">H5+H6</f>
        <v>9.9</v>
      </c>
      <c r="I7" s="37" t="n">
        <f aca="false">I5+I6</f>
        <v>10.4</v>
      </c>
    </row>
    <row r="8" customFormat="false" ht="15" hidden="false" customHeight="false" outlineLevel="0" collapsed="false">
      <c r="A8" s="8" t="s">
        <v>227</v>
      </c>
      <c r="C8" s="38" t="n">
        <f aca="false">C7/B7-1</f>
        <v>0.0410052910052912</v>
      </c>
      <c r="D8" s="38" t="n">
        <f aca="false">D7/C7-1</f>
        <v>0.0292249047013977</v>
      </c>
      <c r="E8" s="38" t="n">
        <f aca="false">E7/D7-1</f>
        <v>0.0370370370370372</v>
      </c>
      <c r="F8" s="38" t="n">
        <f aca="false">F7/E7-1</f>
        <v>0.0595238095238095</v>
      </c>
      <c r="G8" s="38" t="n">
        <f aca="false">G7/F7-1</f>
        <v>0.0561797752808988</v>
      </c>
      <c r="H8" s="38" t="n">
        <f aca="false">H7/G7-1</f>
        <v>0.053191489361702</v>
      </c>
      <c r="I8" s="38" t="n">
        <f aca="false">I7/H7-1</f>
        <v>0.0505050505050504</v>
      </c>
    </row>
    <row r="9" customFormat="false" ht="15" hidden="false" customHeight="false" outlineLevel="0" collapsed="false">
      <c r="A9" s="8" t="s">
        <v>228</v>
      </c>
      <c r="B9" s="39" t="n">
        <f aca="false">-(B7-B10)</f>
        <v>-7.06</v>
      </c>
      <c r="C9" s="39" t="n">
        <f aca="false">-(C7-C10)</f>
        <v>-7.38</v>
      </c>
      <c r="D9" s="39" t="n">
        <f aca="false">-(D7-D10)</f>
        <v>-7.37</v>
      </c>
      <c r="E9" s="39" t="n">
        <f aca="false">-(E7-E10)</f>
        <v>-7.6</v>
      </c>
      <c r="F9" s="39" t="n">
        <f aca="false">-(F7-F10)</f>
        <v>-7.98</v>
      </c>
      <c r="G9" s="39" t="n">
        <f aca="false">-(G7-G10)</f>
        <v>-8.35</v>
      </c>
      <c r="H9" s="39" t="n">
        <f aca="false">-(H7-H10)</f>
        <v>-8.72</v>
      </c>
      <c r="I9" s="39" t="n">
        <f aca="false">-(I7-I10)</f>
        <v>-9.1</v>
      </c>
    </row>
    <row r="10" customFormat="false" ht="15" hidden="false" customHeight="false" outlineLevel="0" collapsed="false">
      <c r="A10" s="8" t="s">
        <v>198</v>
      </c>
      <c r="B10" s="35" t="n">
        <v>0.5</v>
      </c>
      <c r="C10" s="35" t="n">
        <v>0.49</v>
      </c>
      <c r="D10" s="35" t="n">
        <v>0.73</v>
      </c>
      <c r="E10" s="40" t="n">
        <f aca="false">Assumptions!C52</f>
        <v>0.8</v>
      </c>
      <c r="F10" s="40" t="n">
        <f aca="false">Assumptions!C53</f>
        <v>0.92</v>
      </c>
      <c r="G10" s="40" t="n">
        <f aca="false">Assumptions!C54</f>
        <v>1.05</v>
      </c>
      <c r="H10" s="40" t="n">
        <f aca="false">Assumptions!C55</f>
        <v>1.18</v>
      </c>
      <c r="I10" s="40" t="n">
        <f aca="false">Assumptions!C56</f>
        <v>1.3</v>
      </c>
    </row>
    <row r="11" customFormat="false" ht="15" hidden="false" customHeight="false" outlineLevel="0" collapsed="false">
      <c r="A11" s="8" t="s">
        <v>229</v>
      </c>
      <c r="B11" s="38" t="n">
        <f aca="false">B10/B7</f>
        <v>0.0661375661375662</v>
      </c>
      <c r="C11" s="38" t="n">
        <f aca="false">C10/C7</f>
        <v>0.0622617534942821</v>
      </c>
      <c r="D11" s="38" t="n">
        <f aca="false">D10/D7</f>
        <v>0.0901234567901235</v>
      </c>
      <c r="E11" s="38" t="n">
        <f aca="false">E10/E7</f>
        <v>0.0952380952380952</v>
      </c>
      <c r="F11" s="38" t="n">
        <f aca="false">F10/F7</f>
        <v>0.103370786516854</v>
      </c>
      <c r="G11" s="38" t="n">
        <f aca="false">G10/G7</f>
        <v>0.111702127659574</v>
      </c>
      <c r="H11" s="38" t="n">
        <f aca="false">H10/H7</f>
        <v>0.119191919191919</v>
      </c>
      <c r="I11" s="38" t="n">
        <f aca="false">I10/I7</f>
        <v>0.125</v>
      </c>
    </row>
    <row r="12" customFormat="false" ht="15" hidden="false" customHeight="false" outlineLevel="0" collapsed="false">
      <c r="A12" s="8" t="s">
        <v>230</v>
      </c>
      <c r="B12" s="35" t="n">
        <v>-0.4</v>
      </c>
      <c r="C12" s="35" t="n">
        <v>-0.65</v>
      </c>
      <c r="D12" s="35" t="n">
        <v>-0.05</v>
      </c>
      <c r="E12" s="35" t="n">
        <v>0</v>
      </c>
      <c r="F12" s="35" t="n">
        <v>0.02</v>
      </c>
      <c r="G12" s="35" t="n">
        <v>0.03</v>
      </c>
      <c r="H12" s="35" t="n">
        <v>0.04</v>
      </c>
      <c r="I12" s="35" t="n">
        <v>0.05</v>
      </c>
    </row>
    <row r="13" customFormat="false" ht="15" hidden="false" customHeight="false" outlineLevel="0" collapsed="false">
      <c r="A13" s="8" t="s">
        <v>231</v>
      </c>
      <c r="B13" s="39" t="n">
        <f aca="false">B10+B12</f>
        <v>0.1</v>
      </c>
      <c r="C13" s="39" t="n">
        <f aca="false">C10+C12</f>
        <v>-0.16</v>
      </c>
      <c r="D13" s="39" t="n">
        <f aca="false">D10+D12</f>
        <v>0.68</v>
      </c>
      <c r="E13" s="39" t="n">
        <f aca="false">E10+E12</f>
        <v>0.8</v>
      </c>
      <c r="F13" s="39" t="n">
        <f aca="false">F10+F12</f>
        <v>0.94</v>
      </c>
      <c r="G13" s="39" t="n">
        <f aca="false">G10+G12</f>
        <v>1.08</v>
      </c>
      <c r="H13" s="39" t="n">
        <f aca="false">H10+H12</f>
        <v>1.22</v>
      </c>
      <c r="I13" s="39" t="n">
        <f aca="false">I10+I12</f>
        <v>1.35</v>
      </c>
    </row>
    <row r="14" customFormat="false" ht="15" hidden="false" customHeight="false" outlineLevel="0" collapsed="false">
      <c r="A14" s="8" t="s">
        <v>232</v>
      </c>
      <c r="B14" s="39" t="n">
        <f aca="false">B15-B13</f>
        <v>-0.05</v>
      </c>
      <c r="C14" s="39" t="n">
        <f aca="false">C15-C13</f>
        <v>0</v>
      </c>
      <c r="D14" s="39" t="n">
        <f aca="false">D15-D13</f>
        <v>-0.15</v>
      </c>
      <c r="E14" s="39" t="n">
        <f aca="false">E15-E13</f>
        <v>-0.22</v>
      </c>
      <c r="F14" s="39" t="n">
        <f aca="false">F15-F13</f>
        <v>-0.24</v>
      </c>
      <c r="G14" s="39" t="n">
        <f aca="false">G15-G13</f>
        <v>-0.26</v>
      </c>
      <c r="H14" s="39" t="n">
        <f aca="false">H15-H13</f>
        <v>-0.27</v>
      </c>
      <c r="I14" s="39" t="n">
        <f aca="false">I15-I13</f>
        <v>-0.27</v>
      </c>
    </row>
    <row r="15" customFormat="false" ht="15" hidden="false" customHeight="false" outlineLevel="0" collapsed="false">
      <c r="A15" s="36" t="s">
        <v>233</v>
      </c>
      <c r="B15" s="35" t="n">
        <v>0.05</v>
      </c>
      <c r="C15" s="35" t="n">
        <v>-0.16</v>
      </c>
      <c r="D15" s="35" t="n">
        <v>0.53</v>
      </c>
      <c r="E15" s="40" t="n">
        <f aca="false">Assumptions!D52</f>
        <v>0.58</v>
      </c>
      <c r="F15" s="40" t="n">
        <f aca="false">Assumptions!D53</f>
        <v>0.7</v>
      </c>
      <c r="G15" s="40" t="n">
        <f aca="false">Assumptions!D54</f>
        <v>0.82</v>
      </c>
      <c r="H15" s="40" t="n">
        <f aca="false">Assumptions!D55</f>
        <v>0.95</v>
      </c>
      <c r="I15" s="40" t="n">
        <f aca="false">Assumptions!D56</f>
        <v>1.08</v>
      </c>
    </row>
    <row r="16" customFormat="false" ht="15" hidden="false" customHeight="false" outlineLevel="0" collapsed="false">
      <c r="A16" s="8" t="s">
        <v>234</v>
      </c>
      <c r="B16" s="38" t="n">
        <f aca="false">B15/B7</f>
        <v>0.00661375661375661</v>
      </c>
      <c r="C16" s="38" t="n">
        <f aca="false">C15/C7</f>
        <v>-0.0203303684879288</v>
      </c>
      <c r="D16" s="38" t="n">
        <f aca="false">D15/D7</f>
        <v>0.0654320987654321</v>
      </c>
      <c r="E16" s="38" t="n">
        <f aca="false">E15/E7</f>
        <v>0.069047619047619</v>
      </c>
      <c r="F16" s="38" t="n">
        <f aca="false">F15/F7</f>
        <v>0.0786516853932584</v>
      </c>
      <c r="G16" s="38" t="n">
        <f aca="false">G15/G7</f>
        <v>0.0872340425531915</v>
      </c>
      <c r="H16" s="38" t="n">
        <f aca="false">H15/H7</f>
        <v>0.095959595959596</v>
      </c>
      <c r="I16" s="38" t="n">
        <f aca="false">I15/I7</f>
        <v>0.103846153846154</v>
      </c>
    </row>
    <row r="17" customFormat="false" ht="15" hidden="false" customHeight="false" outlineLevel="0" collapsed="false">
      <c r="A17" s="8" t="s">
        <v>235</v>
      </c>
      <c r="B17" s="41" t="n">
        <f aca="false">B15/Assumptions!$B$6*1000</f>
        <v>113.455865668255</v>
      </c>
      <c r="C17" s="41" t="n">
        <f aca="false">C15/Assumptions!$B$6*1000</f>
        <v>-363.058770138416</v>
      </c>
      <c r="D17" s="41" t="n">
        <f aca="false">D15/Assumptions!$B$6*1000</f>
        <v>1202.6321760835</v>
      </c>
      <c r="E17" s="41" t="n">
        <f aca="false">E15/Assumptions!$B$6*1000</f>
        <v>1316.08804175176</v>
      </c>
      <c r="F17" s="41" t="n">
        <f aca="false">F15/Assumptions!$B$6*1000</f>
        <v>1588.38211935557</v>
      </c>
      <c r="G17" s="41" t="n">
        <f aca="false">G15/Assumptions!$B$6*1000</f>
        <v>1860.67619695938</v>
      </c>
      <c r="H17" s="41" t="n">
        <f aca="false">H15/Assumptions!$B$6*1000</f>
        <v>2155.66144769685</v>
      </c>
      <c r="I17" s="41" t="n">
        <f aca="false">I15/Assumptions!$B$6*1000</f>
        <v>2450.64669843431</v>
      </c>
    </row>
    <row r="19" customFormat="false" ht="55.5" hidden="false" customHeight="true" outlineLevel="0" collapsed="false">
      <c r="A19" s="13" t="s">
        <v>236</v>
      </c>
      <c r="B19" s="13"/>
      <c r="C19" s="13"/>
      <c r="D19" s="13"/>
      <c r="E19" s="13"/>
      <c r="F19" s="13"/>
      <c r="G19" s="13"/>
      <c r="H19" s="13"/>
      <c r="I19" s="13"/>
    </row>
  </sheetData>
  <mergeCells count="3">
    <mergeCell ref="A1:I1"/>
    <mergeCell ref="A2:I2"/>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9.51"/>
  </cols>
  <sheetData>
    <row r="1" customFormat="false" ht="21.75" hidden="false" customHeight="true" outlineLevel="0" collapsed="false">
      <c r="A1" s="31" t="s">
        <v>237</v>
      </c>
      <c r="B1" s="31"/>
      <c r="C1" s="31"/>
      <c r="D1" s="31"/>
      <c r="E1" s="31"/>
      <c r="F1" s="31"/>
      <c r="G1" s="31"/>
      <c r="H1" s="31"/>
      <c r="I1" s="31"/>
    </row>
    <row r="2" customFormat="false" ht="15" hidden="false" customHeight="false" outlineLevel="0" collapsed="false">
      <c r="A2" s="32" t="s">
        <v>238</v>
      </c>
      <c r="B2" s="32"/>
      <c r="C2" s="32"/>
      <c r="D2" s="32"/>
      <c r="E2" s="32"/>
      <c r="F2" s="32"/>
      <c r="G2" s="32"/>
      <c r="H2" s="32"/>
      <c r="I2" s="32"/>
    </row>
    <row r="4" customFormat="false" ht="15" hidden="false" customHeight="false" outlineLevel="0" collapsed="false">
      <c r="A4" s="33" t="s">
        <v>197</v>
      </c>
      <c r="B4" s="34" t="s">
        <v>216</v>
      </c>
      <c r="C4" s="34" t="s">
        <v>217</v>
      </c>
      <c r="D4" s="34" t="s">
        <v>218</v>
      </c>
      <c r="E4" s="34" t="s">
        <v>219</v>
      </c>
      <c r="F4" s="34" t="s">
        <v>220</v>
      </c>
      <c r="G4" s="34" t="s">
        <v>221</v>
      </c>
      <c r="H4" s="34" t="s">
        <v>222</v>
      </c>
      <c r="I4" s="34" t="s">
        <v>223</v>
      </c>
    </row>
    <row r="5" customFormat="false" ht="15" hidden="false" customHeight="false" outlineLevel="0" collapsed="false">
      <c r="A5" s="8" t="s">
        <v>239</v>
      </c>
      <c r="B5" s="42" t="n">
        <v>5.8</v>
      </c>
      <c r="C5" s="42" t="n">
        <v>6.5</v>
      </c>
      <c r="D5" s="42" t="n">
        <v>6.8</v>
      </c>
      <c r="E5" s="42" t="n">
        <v>7.2</v>
      </c>
      <c r="F5" s="42" t="n">
        <v>7.7</v>
      </c>
      <c r="G5" s="42" t="n">
        <v>8.2</v>
      </c>
      <c r="H5" s="42" t="n">
        <v>8.8</v>
      </c>
      <c r="I5" s="42" t="n">
        <v>9.5</v>
      </c>
    </row>
    <row r="6" customFormat="false" ht="15" hidden="false" customHeight="false" outlineLevel="0" collapsed="false">
      <c r="A6" s="8" t="s">
        <v>240</v>
      </c>
      <c r="B6" s="42" t="n">
        <v>2.3</v>
      </c>
      <c r="C6" s="42" t="n">
        <v>2.4</v>
      </c>
      <c r="D6" s="42" t="n">
        <v>2.5</v>
      </c>
      <c r="E6" s="42" t="n">
        <v>2.5</v>
      </c>
      <c r="F6" s="42" t="n">
        <v>2.5</v>
      </c>
      <c r="G6" s="42" t="n">
        <v>2.5</v>
      </c>
      <c r="H6" s="42" t="n">
        <v>2.5</v>
      </c>
      <c r="I6" s="42" t="n">
        <v>2.5</v>
      </c>
    </row>
    <row r="7" customFormat="false" ht="15" hidden="false" customHeight="false" outlineLevel="0" collapsed="false">
      <c r="A7" s="8" t="s">
        <v>241</v>
      </c>
      <c r="B7" s="42" t="n">
        <v>1.4</v>
      </c>
      <c r="C7" s="42" t="n">
        <v>1.5</v>
      </c>
      <c r="D7" s="42" t="n">
        <v>1.5</v>
      </c>
      <c r="E7" s="42" t="n">
        <v>1.6</v>
      </c>
      <c r="F7" s="42" t="n">
        <v>1.7</v>
      </c>
      <c r="G7" s="42" t="n">
        <v>1.8</v>
      </c>
      <c r="H7" s="42" t="n">
        <v>1.9</v>
      </c>
      <c r="I7" s="42" t="n">
        <v>2</v>
      </c>
    </row>
    <row r="8" customFormat="false" ht="15" hidden="false" customHeight="false" outlineLevel="0" collapsed="false">
      <c r="A8" s="36" t="s">
        <v>242</v>
      </c>
      <c r="B8" s="43" t="n">
        <f aca="false">SUM(B5:B7)</f>
        <v>9.5</v>
      </c>
      <c r="C8" s="43" t="n">
        <f aca="false">SUM(C5:C7)</f>
        <v>10.4</v>
      </c>
      <c r="D8" s="43" t="n">
        <f aca="false">SUM(D5:D7)</f>
        <v>10.8</v>
      </c>
      <c r="E8" s="43" t="n">
        <f aca="false">SUM(E5:E7)</f>
        <v>11.3</v>
      </c>
      <c r="F8" s="43" t="n">
        <f aca="false">SUM(F5:F7)</f>
        <v>11.9</v>
      </c>
      <c r="G8" s="43" t="n">
        <f aca="false">SUM(G5:G7)</f>
        <v>12.5</v>
      </c>
      <c r="H8" s="43" t="n">
        <f aca="false">SUM(H5:H7)</f>
        <v>13.2</v>
      </c>
      <c r="I8" s="43" t="n">
        <f aca="false">SUM(I5:I7)</f>
        <v>14</v>
      </c>
    </row>
    <row r="9" customFormat="false" ht="15" hidden="false" customHeight="false" outlineLevel="0" collapsed="false">
      <c r="A9" s="8" t="s">
        <v>243</v>
      </c>
      <c r="B9" s="42" t="n">
        <v>2.8</v>
      </c>
      <c r="C9" s="42" t="n">
        <v>3</v>
      </c>
      <c r="D9" s="42" t="n">
        <v>3.2</v>
      </c>
      <c r="E9" s="42" t="n">
        <v>3.4</v>
      </c>
      <c r="F9" s="42" t="n">
        <v>3.6</v>
      </c>
      <c r="G9" s="42" t="n">
        <v>3.8</v>
      </c>
      <c r="H9" s="42" t="n">
        <v>4</v>
      </c>
      <c r="I9" s="42" t="n">
        <v>4.2</v>
      </c>
    </row>
    <row r="10" customFormat="false" ht="15" hidden="false" customHeight="false" outlineLevel="0" collapsed="false">
      <c r="A10" s="8" t="s">
        <v>244</v>
      </c>
      <c r="B10" s="42" t="n">
        <v>8</v>
      </c>
      <c r="C10" s="42" t="n">
        <v>7.7</v>
      </c>
      <c r="D10" s="42" t="n">
        <v>7.5</v>
      </c>
      <c r="E10" s="42" t="n">
        <v>7.5</v>
      </c>
      <c r="F10" s="42" t="n">
        <v>7.5</v>
      </c>
      <c r="G10" s="42" t="n">
        <v>7.5</v>
      </c>
      <c r="H10" s="42" t="n">
        <v>7.5</v>
      </c>
      <c r="I10" s="42" t="n">
        <v>7.5</v>
      </c>
    </row>
    <row r="11" customFormat="false" ht="15" hidden="false" customHeight="false" outlineLevel="0" collapsed="false">
      <c r="A11" s="8" t="s">
        <v>245</v>
      </c>
      <c r="B11" s="42" t="n">
        <v>3.4</v>
      </c>
      <c r="C11" s="42" t="n">
        <v>3.5</v>
      </c>
      <c r="D11" s="42" t="n">
        <v>3.5</v>
      </c>
      <c r="E11" s="42" t="n">
        <v>3.6</v>
      </c>
      <c r="F11" s="42" t="n">
        <v>3.7</v>
      </c>
      <c r="G11" s="42" t="n">
        <v>3.8</v>
      </c>
      <c r="H11" s="42" t="n">
        <v>3.9</v>
      </c>
      <c r="I11" s="42" t="n">
        <v>4</v>
      </c>
    </row>
    <row r="12" customFormat="false" ht="15" hidden="false" customHeight="false" outlineLevel="0" collapsed="false">
      <c r="A12" s="8" t="s">
        <v>246</v>
      </c>
      <c r="B12" s="42" t="n">
        <v>2.8</v>
      </c>
      <c r="C12" s="42" t="n">
        <v>2.4</v>
      </c>
      <c r="D12" s="42" t="n">
        <v>2.8</v>
      </c>
      <c r="E12" s="42" t="n">
        <v>2.8</v>
      </c>
      <c r="F12" s="42" t="n">
        <v>2.8</v>
      </c>
      <c r="G12" s="42" t="n">
        <v>2.8</v>
      </c>
      <c r="H12" s="42" t="n">
        <v>2.8</v>
      </c>
      <c r="I12" s="42" t="n">
        <v>2.8</v>
      </c>
    </row>
    <row r="13" customFormat="false" ht="15" hidden="false" customHeight="false" outlineLevel="0" collapsed="false">
      <c r="A13" s="36" t="s">
        <v>247</v>
      </c>
      <c r="B13" s="43" t="n">
        <f aca="false">SUM(B9:B12)</f>
        <v>17</v>
      </c>
      <c r="C13" s="43" t="n">
        <f aca="false">SUM(C9:C12)</f>
        <v>16.6</v>
      </c>
      <c r="D13" s="43" t="n">
        <f aca="false">SUM(D9:D12)</f>
        <v>17</v>
      </c>
      <c r="E13" s="43" t="n">
        <f aca="false">SUM(E9:E12)</f>
        <v>17.3</v>
      </c>
      <c r="F13" s="43" t="n">
        <f aca="false">SUM(F9:F12)</f>
        <v>17.6</v>
      </c>
      <c r="G13" s="43" t="n">
        <f aca="false">SUM(G9:G12)</f>
        <v>17.9</v>
      </c>
      <c r="H13" s="43" t="n">
        <f aca="false">SUM(H9:H12)</f>
        <v>18.2</v>
      </c>
      <c r="I13" s="43" t="n">
        <f aca="false">SUM(I9:I12)</f>
        <v>18.5</v>
      </c>
    </row>
    <row r="14" customFormat="false" ht="15" hidden="false" customHeight="false" outlineLevel="0" collapsed="false">
      <c r="A14" s="36" t="s">
        <v>248</v>
      </c>
      <c r="B14" s="43" t="n">
        <f aca="false">B8+B13</f>
        <v>26.5</v>
      </c>
      <c r="C14" s="43" t="n">
        <f aca="false">C8+C13</f>
        <v>27</v>
      </c>
      <c r="D14" s="43" t="n">
        <f aca="false">D8+D13</f>
        <v>27.8</v>
      </c>
      <c r="E14" s="43" t="n">
        <f aca="false">E8+E13</f>
        <v>28.6</v>
      </c>
      <c r="F14" s="43" t="n">
        <f aca="false">F8+F13</f>
        <v>29.5</v>
      </c>
      <c r="G14" s="43" t="n">
        <f aca="false">G8+G13</f>
        <v>30.4</v>
      </c>
      <c r="H14" s="43" t="n">
        <f aca="false">H8+H13</f>
        <v>31.4</v>
      </c>
      <c r="I14" s="43" t="n">
        <f aca="false">I8+I13</f>
        <v>32.5</v>
      </c>
    </row>
    <row r="15" customFormat="false" ht="15" hidden="false" customHeight="false" outlineLevel="0" collapsed="false">
      <c r="A15" s="8" t="s">
        <v>249</v>
      </c>
      <c r="B15" s="42" t="n">
        <v>2</v>
      </c>
      <c r="C15" s="42" t="n">
        <v>2.1</v>
      </c>
      <c r="D15" s="42" t="n">
        <v>2.2</v>
      </c>
      <c r="E15" s="42" t="n">
        <v>2.3</v>
      </c>
      <c r="F15" s="42" t="n">
        <v>2.4</v>
      </c>
      <c r="G15" s="42" t="n">
        <v>2.5</v>
      </c>
      <c r="H15" s="42" t="n">
        <v>2.6</v>
      </c>
      <c r="I15" s="42" t="n">
        <v>2.7</v>
      </c>
    </row>
    <row r="16" customFormat="false" ht="15" hidden="false" customHeight="false" outlineLevel="0" collapsed="false">
      <c r="A16" s="8" t="s">
        <v>250</v>
      </c>
      <c r="B16" s="42" t="n">
        <v>2.8</v>
      </c>
      <c r="C16" s="42" t="n">
        <v>3</v>
      </c>
      <c r="D16" s="42" t="n">
        <v>3.3</v>
      </c>
      <c r="E16" s="42" t="n">
        <v>3.3</v>
      </c>
      <c r="F16" s="42" t="n">
        <v>3.3</v>
      </c>
      <c r="G16" s="42" t="n">
        <v>3.3</v>
      </c>
      <c r="H16" s="42" t="n">
        <v>3.3</v>
      </c>
      <c r="I16" s="42" t="n">
        <v>3.3</v>
      </c>
    </row>
    <row r="17" customFormat="false" ht="15" hidden="false" customHeight="false" outlineLevel="0" collapsed="false">
      <c r="A17" s="36" t="s">
        <v>251</v>
      </c>
      <c r="B17" s="43" t="n">
        <f aca="false">SUM(B15:B16)</f>
        <v>4.8</v>
      </c>
      <c r="C17" s="43" t="n">
        <f aca="false">SUM(C15:C16)</f>
        <v>5.1</v>
      </c>
      <c r="D17" s="43" t="n">
        <f aca="false">SUM(D15:D16)</f>
        <v>5.5</v>
      </c>
      <c r="E17" s="43" t="n">
        <f aca="false">SUM(E15:E16)</f>
        <v>5.6</v>
      </c>
      <c r="F17" s="43" t="n">
        <f aca="false">SUM(F15:F16)</f>
        <v>5.7</v>
      </c>
      <c r="G17" s="43" t="n">
        <f aca="false">SUM(G15:G16)</f>
        <v>5.8</v>
      </c>
      <c r="H17" s="43" t="n">
        <f aca="false">SUM(H15:H16)</f>
        <v>5.9</v>
      </c>
      <c r="I17" s="43" t="n">
        <f aca="false">SUM(I15:I16)</f>
        <v>6</v>
      </c>
    </row>
    <row r="18" customFormat="false" ht="15" hidden="false" customHeight="false" outlineLevel="0" collapsed="false">
      <c r="A18" s="8" t="s">
        <v>252</v>
      </c>
      <c r="B18" s="42" t="n">
        <v>2.5</v>
      </c>
      <c r="C18" s="42" t="n">
        <v>2.7</v>
      </c>
      <c r="D18" s="42" t="n">
        <v>2.9</v>
      </c>
      <c r="E18" s="42" t="n">
        <v>2.9</v>
      </c>
      <c r="F18" s="42" t="n">
        <v>2.9</v>
      </c>
      <c r="G18" s="42" t="n">
        <v>2.9</v>
      </c>
      <c r="H18" s="42" t="n">
        <v>2.9</v>
      </c>
      <c r="I18" s="42" t="n">
        <v>2.9</v>
      </c>
    </row>
    <row r="19" customFormat="false" ht="15" hidden="false" customHeight="false" outlineLevel="0" collapsed="false">
      <c r="A19" s="8" t="s">
        <v>253</v>
      </c>
      <c r="B19" s="42" t="n">
        <v>0.5</v>
      </c>
      <c r="C19" s="42" t="n">
        <v>0.5</v>
      </c>
      <c r="D19" s="42" t="n">
        <v>0.4</v>
      </c>
      <c r="E19" s="42" t="n">
        <v>0.4</v>
      </c>
      <c r="F19" s="42" t="n">
        <v>0.4</v>
      </c>
      <c r="G19" s="42" t="n">
        <v>0.4</v>
      </c>
      <c r="H19" s="42" t="n">
        <v>0.4</v>
      </c>
      <c r="I19" s="42" t="n">
        <v>0.4</v>
      </c>
    </row>
    <row r="20" customFormat="false" ht="15" hidden="false" customHeight="false" outlineLevel="0" collapsed="false">
      <c r="A20" s="36" t="s">
        <v>254</v>
      </c>
      <c r="B20" s="43" t="n">
        <f aca="false">B17+B18+B19</f>
        <v>7.8</v>
      </c>
      <c r="C20" s="43" t="n">
        <f aca="false">C17+C18+C19</f>
        <v>8.3</v>
      </c>
      <c r="D20" s="43" t="n">
        <f aca="false">D17+D18+D19</f>
        <v>8.8</v>
      </c>
      <c r="E20" s="43" t="n">
        <f aca="false">E17+E18+E19</f>
        <v>8.9</v>
      </c>
      <c r="F20" s="43" t="n">
        <f aca="false">F17+F18+F19</f>
        <v>9</v>
      </c>
      <c r="G20" s="43" t="n">
        <f aca="false">G17+G18+G19</f>
        <v>9.1</v>
      </c>
      <c r="H20" s="43" t="n">
        <f aca="false">H17+H18+H19</f>
        <v>9.2</v>
      </c>
      <c r="I20" s="43" t="n">
        <f aca="false">I17+I18+I19</f>
        <v>9.3</v>
      </c>
    </row>
    <row r="21" customFormat="false" ht="15" hidden="false" customHeight="false" outlineLevel="0" collapsed="false">
      <c r="A21" s="8" t="s">
        <v>255</v>
      </c>
      <c r="B21" s="42" t="n">
        <v>11</v>
      </c>
      <c r="C21" s="42" t="n">
        <v>10.3</v>
      </c>
      <c r="D21" s="42" t="n">
        <v>10.5</v>
      </c>
      <c r="E21" s="42" t="n">
        <v>11</v>
      </c>
      <c r="F21" s="42" t="n">
        <v>11.6</v>
      </c>
      <c r="G21" s="42" t="n">
        <v>12.3</v>
      </c>
      <c r="H21" s="42" t="n">
        <v>13.1</v>
      </c>
      <c r="I21" s="42" t="n">
        <v>14</v>
      </c>
    </row>
    <row r="22" customFormat="false" ht="15" hidden="false" customHeight="false" outlineLevel="0" collapsed="false">
      <c r="A22" s="8" t="s">
        <v>256</v>
      </c>
      <c r="B22" s="42" t="n">
        <v>7.7</v>
      </c>
      <c r="C22" s="42" t="n">
        <v>8.4</v>
      </c>
      <c r="D22" s="42" t="n">
        <v>8.5</v>
      </c>
      <c r="E22" s="42" t="n">
        <v>8.7</v>
      </c>
      <c r="F22" s="42" t="n">
        <v>8.9</v>
      </c>
      <c r="G22" s="42" t="n">
        <v>9</v>
      </c>
      <c r="H22" s="42" t="n">
        <v>9.1</v>
      </c>
      <c r="I22" s="42" t="n">
        <v>9.2</v>
      </c>
    </row>
    <row r="23" customFormat="false" ht="15" hidden="false" customHeight="false" outlineLevel="0" collapsed="false">
      <c r="A23" s="36" t="s">
        <v>257</v>
      </c>
      <c r="B23" s="43" t="n">
        <f aca="false">SUM(B21:B22)</f>
        <v>18.7</v>
      </c>
      <c r="C23" s="43" t="n">
        <f aca="false">SUM(C21:C22)</f>
        <v>18.7</v>
      </c>
      <c r="D23" s="43" t="n">
        <f aca="false">SUM(D21:D22)</f>
        <v>19</v>
      </c>
      <c r="E23" s="43" t="n">
        <f aca="false">SUM(E21:E22)</f>
        <v>19.7</v>
      </c>
      <c r="F23" s="43" t="n">
        <f aca="false">SUM(F21:F22)</f>
        <v>20.5</v>
      </c>
      <c r="G23" s="43" t="n">
        <f aca="false">SUM(G21:G22)</f>
        <v>21.3</v>
      </c>
      <c r="H23" s="43" t="n">
        <f aca="false">SUM(H21:H22)</f>
        <v>22.2</v>
      </c>
      <c r="I23" s="43" t="n">
        <f aca="false">SUM(I21:I22)</f>
        <v>23.2</v>
      </c>
    </row>
    <row r="24" customFormat="false" ht="15" hidden="false" customHeight="false" outlineLevel="0" collapsed="false">
      <c r="A24" s="36" t="s">
        <v>258</v>
      </c>
      <c r="B24" s="43" t="n">
        <f aca="false">B20+B23</f>
        <v>26.5</v>
      </c>
      <c r="C24" s="43" t="n">
        <f aca="false">C20+C23</f>
        <v>27</v>
      </c>
      <c r="D24" s="43" t="n">
        <f aca="false">D20+D23</f>
        <v>27.8</v>
      </c>
      <c r="E24" s="43" t="n">
        <f aca="false">E20+E23</f>
        <v>28.6</v>
      </c>
      <c r="F24" s="43" t="n">
        <f aca="false">F20+F23</f>
        <v>29.5</v>
      </c>
      <c r="G24" s="43" t="n">
        <f aca="false">G20+G23</f>
        <v>30.4</v>
      </c>
      <c r="H24" s="43" t="n">
        <f aca="false">H20+H23</f>
        <v>31.4</v>
      </c>
      <c r="I24" s="43" t="n">
        <f aca="false">I20+I23</f>
        <v>32.5</v>
      </c>
    </row>
    <row r="25" customFormat="false" ht="15" hidden="false" customHeight="false" outlineLevel="0" collapsed="false">
      <c r="A25" s="8" t="s">
        <v>259</v>
      </c>
      <c r="B25" s="41" t="n">
        <f aca="false">B21/Assumptions!$B$6*1000</f>
        <v>24960.2904470161</v>
      </c>
      <c r="C25" s="41" t="n">
        <f aca="false">C21/Assumptions!$B$6*1000</f>
        <v>23371.9083276605</v>
      </c>
      <c r="D25" s="41" t="n">
        <f aca="false">D21/Assumptions!$B$6*1000</f>
        <v>23825.7317903336</v>
      </c>
      <c r="E25" s="41" t="n">
        <f aca="false">E21/Assumptions!$B$6*1000</f>
        <v>24960.2904470161</v>
      </c>
      <c r="F25" s="41" t="n">
        <f aca="false">F21/Assumptions!$B$6*1000</f>
        <v>26321.7608350352</v>
      </c>
      <c r="G25" s="41" t="n">
        <f aca="false">G21/Assumptions!$B$6*1000</f>
        <v>27910.1429543907</v>
      </c>
      <c r="H25" s="41" t="n">
        <f aca="false">H21/Assumptions!$B$6*1000</f>
        <v>29725.4368050828</v>
      </c>
      <c r="I25" s="41" t="n">
        <f aca="false">I21/Assumptions!$B$6*1000</f>
        <v>31767.6423871114</v>
      </c>
    </row>
    <row r="26" customFormat="false" ht="15" hidden="false" customHeight="false" outlineLevel="0" collapsed="false">
      <c r="A26" s="8" t="s">
        <v>260</v>
      </c>
      <c r="B26" s="44" t="n">
        <f aca="false">B5-B18</f>
        <v>3.3</v>
      </c>
      <c r="C26" s="44" t="n">
        <f aca="false">C5-C18</f>
        <v>3.8</v>
      </c>
      <c r="D26" s="44" t="n">
        <f aca="false">D5-D18</f>
        <v>3.9</v>
      </c>
      <c r="E26" s="44" t="n">
        <f aca="false">E5-E18</f>
        <v>4.3</v>
      </c>
      <c r="F26" s="44" t="n">
        <f aca="false">F5-F18</f>
        <v>4.8</v>
      </c>
      <c r="G26" s="44" t="n">
        <f aca="false">G5-G18</f>
        <v>5.3</v>
      </c>
      <c r="H26" s="44" t="n">
        <f aca="false">H5-H18</f>
        <v>5.9</v>
      </c>
      <c r="I26" s="44" t="n">
        <f aca="false">I5-I18</f>
        <v>6.6</v>
      </c>
    </row>
    <row r="28" customFormat="false" ht="55.5" hidden="false" customHeight="true" outlineLevel="0" collapsed="false">
      <c r="A28" s="13" t="s">
        <v>261</v>
      </c>
      <c r="B28" s="13"/>
      <c r="C28" s="13"/>
      <c r="D28" s="13"/>
      <c r="E28" s="13"/>
      <c r="F28" s="13"/>
      <c r="G28" s="13"/>
      <c r="H28" s="13"/>
      <c r="I28" s="13"/>
    </row>
  </sheetData>
  <mergeCells count="3">
    <mergeCell ref="A1:I1"/>
    <mergeCell ref="A2:I2"/>
    <mergeCell ref="A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0"/>
  </cols>
  <sheetData>
    <row r="1" customFormat="false" ht="21.75" hidden="false" customHeight="true" outlineLevel="0" collapsed="false">
      <c r="A1" s="5" t="s">
        <v>262</v>
      </c>
      <c r="B1" s="5"/>
      <c r="C1" s="5"/>
      <c r="D1" s="5"/>
      <c r="E1" s="5"/>
      <c r="F1" s="5"/>
      <c r="G1" s="5"/>
      <c r="H1" s="5"/>
      <c r="I1" s="5"/>
    </row>
    <row r="2" customFormat="false" ht="15" hidden="false" customHeight="true" outlineLevel="0" collapsed="false">
      <c r="A2" s="6" t="s">
        <v>263</v>
      </c>
      <c r="B2" s="6"/>
      <c r="C2" s="6"/>
      <c r="D2" s="6"/>
      <c r="E2" s="6"/>
      <c r="F2" s="6"/>
      <c r="G2" s="6"/>
      <c r="H2" s="6"/>
      <c r="I2" s="6"/>
    </row>
    <row r="4" customFormat="false" ht="15" hidden="false" customHeight="true" outlineLevel="0" collapsed="false">
      <c r="A4" s="45" t="s">
        <v>197</v>
      </c>
      <c r="B4" s="14" t="s">
        <v>216</v>
      </c>
      <c r="C4" s="14" t="s">
        <v>217</v>
      </c>
      <c r="D4" s="14" t="s">
        <v>218</v>
      </c>
      <c r="E4" s="14" t="s">
        <v>219</v>
      </c>
      <c r="F4" s="14" t="s">
        <v>220</v>
      </c>
      <c r="G4" s="14" t="s">
        <v>221</v>
      </c>
      <c r="H4" s="14" t="s">
        <v>222</v>
      </c>
      <c r="I4" s="14" t="s">
        <v>223</v>
      </c>
    </row>
    <row r="5" customFormat="false" ht="15" hidden="false" customHeight="true" outlineLevel="0" collapsed="false">
      <c r="A5" s="8" t="s">
        <v>264</v>
      </c>
      <c r="B5" s="20" t="n">
        <v>0.92</v>
      </c>
      <c r="C5" s="20" t="n">
        <v>0.95</v>
      </c>
      <c r="D5" s="20" t="n">
        <v>1.1</v>
      </c>
      <c r="E5" s="29" t="n">
        <f aca="false">Assumptions!D52+Assumptions!B60-Assumptions!D60</f>
        <v>1.1</v>
      </c>
      <c r="F5" s="29" t="n">
        <f aca="false">Assumptions!D53+Assumptions!B61-Assumptions!D61</f>
        <v>1.27</v>
      </c>
      <c r="G5" s="29" t="n">
        <f aca="false">Assumptions!D54+Assumptions!B62-Assumptions!D62</f>
        <v>1.43</v>
      </c>
      <c r="H5" s="29" t="n">
        <f aca="false">Assumptions!D55+Assumptions!B63-Assumptions!D63</f>
        <v>1.59</v>
      </c>
      <c r="I5" s="29" t="n">
        <f aca="false">Assumptions!D56+Assumptions!B64-Assumptions!D64</f>
        <v>1.75</v>
      </c>
    </row>
    <row r="6" customFormat="false" ht="15" hidden="false" customHeight="true" outlineLevel="0" collapsed="false">
      <c r="A6" s="8" t="s">
        <v>265</v>
      </c>
      <c r="B6" s="20" t="n">
        <v>-0.58</v>
      </c>
      <c r="C6" s="20" t="n">
        <v>-0.6</v>
      </c>
      <c r="D6" s="20" t="n">
        <v>-0.55</v>
      </c>
      <c r="E6" s="29" t="n">
        <f aca="false">-Assumptions!C60</f>
        <v>-0.8</v>
      </c>
      <c r="F6" s="29" t="n">
        <f aca="false">-Assumptions!C61</f>
        <v>-0.84</v>
      </c>
      <c r="G6" s="29" t="n">
        <f aca="false">-Assumptions!C62</f>
        <v>-0.88</v>
      </c>
      <c r="H6" s="29" t="n">
        <f aca="false">-Assumptions!C63</f>
        <v>-0.92</v>
      </c>
      <c r="I6" s="29" t="n">
        <f aca="false">-Assumptions!C64</f>
        <v>-0.96</v>
      </c>
    </row>
    <row r="7" customFormat="false" ht="15" hidden="false" customHeight="true" outlineLevel="0" collapsed="false">
      <c r="A7" s="8" t="s">
        <v>266</v>
      </c>
      <c r="B7" s="20" t="n">
        <v>-0.1</v>
      </c>
      <c r="C7" s="20" t="n">
        <v>-0.12</v>
      </c>
      <c r="D7" s="20" t="n">
        <v>-0.2</v>
      </c>
      <c r="E7" s="20" t="n">
        <v>-0.15</v>
      </c>
      <c r="F7" s="20" t="n">
        <v>-0.17</v>
      </c>
      <c r="G7" s="20" t="n">
        <v>-0.19</v>
      </c>
      <c r="H7" s="20" t="n">
        <v>-0.21</v>
      </c>
      <c r="I7" s="20" t="n">
        <v>-0.23</v>
      </c>
    </row>
    <row r="8" customFormat="false" ht="15" hidden="false" customHeight="true" outlineLevel="0" collapsed="false">
      <c r="A8" s="8" t="s">
        <v>267</v>
      </c>
      <c r="B8" s="30" t="n">
        <f aca="false">B5+B6+B7</f>
        <v>0.24</v>
      </c>
      <c r="C8" s="30" t="n">
        <f aca="false">C5+C6+C7</f>
        <v>0.23</v>
      </c>
      <c r="D8" s="30" t="n">
        <f aca="false">D5+D6+D7</f>
        <v>0.35</v>
      </c>
      <c r="E8" s="30" t="n">
        <f aca="false">E5+E6+E7</f>
        <v>0.15</v>
      </c>
      <c r="F8" s="30" t="n">
        <f aca="false">F5+F6+F7</f>
        <v>0.26</v>
      </c>
      <c r="G8" s="30" t="n">
        <f aca="false">G5+G6+G7</f>
        <v>0.36</v>
      </c>
      <c r="H8" s="30" t="n">
        <f aca="false">H5+H6+H7</f>
        <v>0.46</v>
      </c>
      <c r="I8" s="30" t="n">
        <f aca="false">I5+I6+I7</f>
        <v>0.56</v>
      </c>
    </row>
    <row r="9" customFormat="false" ht="15" hidden="false" customHeight="true" outlineLevel="0" collapsed="false">
      <c r="A9" s="8" t="s">
        <v>268</v>
      </c>
      <c r="B9" s="30" t="n">
        <f aca="false">B5+B6</f>
        <v>0.34</v>
      </c>
      <c r="C9" s="30" t="n">
        <f aca="false">C5+C6</f>
        <v>0.35</v>
      </c>
      <c r="D9" s="30" t="n">
        <f aca="false">D5+D6</f>
        <v>0.55</v>
      </c>
      <c r="E9" s="30" t="n">
        <f aca="false">E5+E6</f>
        <v>0.3</v>
      </c>
      <c r="F9" s="30" t="n">
        <f aca="false">F5+F6</f>
        <v>0.43</v>
      </c>
      <c r="G9" s="30" t="n">
        <f aca="false">G5+G6</f>
        <v>0.55</v>
      </c>
      <c r="H9" s="30" t="n">
        <f aca="false">H5+H6</f>
        <v>0.67</v>
      </c>
      <c r="I9" s="30" t="n">
        <f aca="false">I5+I6</f>
        <v>0.79</v>
      </c>
    </row>
    <row r="11" customFormat="false" ht="55.5" hidden="false" customHeight="true" outlineLevel="0" collapsed="false">
      <c r="A11" s="13" t="s">
        <v>269</v>
      </c>
      <c r="B11" s="13"/>
      <c r="C11" s="13"/>
      <c r="D11" s="13"/>
      <c r="E11" s="13"/>
      <c r="F11" s="13"/>
      <c r="G11" s="13"/>
      <c r="H11" s="13"/>
      <c r="I11" s="13"/>
    </row>
  </sheetData>
  <mergeCells count="3">
    <mergeCell ref="A1:I1"/>
    <mergeCell ref="A2:I2"/>
    <mergeCell ref="A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9" min="2" style="1" width="10"/>
  </cols>
  <sheetData>
    <row r="1" customFormat="false" ht="21.75" hidden="false" customHeight="true" outlineLevel="0" collapsed="false">
      <c r="A1" s="5" t="s">
        <v>270</v>
      </c>
      <c r="B1" s="5"/>
      <c r="C1" s="5"/>
      <c r="D1" s="5"/>
      <c r="E1" s="5"/>
      <c r="F1" s="5"/>
      <c r="G1" s="5"/>
      <c r="H1" s="5"/>
      <c r="I1" s="5"/>
    </row>
    <row r="2" customFormat="false" ht="15" hidden="false" customHeight="true" outlineLevel="0" collapsed="false">
      <c r="A2" s="6" t="s">
        <v>271</v>
      </c>
      <c r="B2" s="6"/>
      <c r="C2" s="6"/>
      <c r="D2" s="6"/>
      <c r="E2" s="6"/>
      <c r="F2" s="6"/>
      <c r="G2" s="6"/>
      <c r="H2" s="6"/>
      <c r="I2" s="6"/>
    </row>
    <row r="4" customFormat="false" ht="15" hidden="false" customHeight="true" outlineLevel="0" collapsed="false">
      <c r="A4" s="45" t="s">
        <v>197</v>
      </c>
      <c r="B4" s="14" t="s">
        <v>216</v>
      </c>
      <c r="C4" s="14" t="s">
        <v>217</v>
      </c>
      <c r="D4" s="14" t="s">
        <v>218</v>
      </c>
      <c r="E4" s="14" t="s">
        <v>219</v>
      </c>
      <c r="F4" s="14" t="s">
        <v>220</v>
      </c>
      <c r="G4" s="14" t="s">
        <v>221</v>
      </c>
      <c r="H4" s="14" t="s">
        <v>222</v>
      </c>
      <c r="I4" s="14" t="s">
        <v>223</v>
      </c>
    </row>
    <row r="5" customFormat="false" ht="15" hidden="false" customHeight="true" outlineLevel="0" collapsed="false">
      <c r="A5" s="8" t="s">
        <v>110</v>
      </c>
      <c r="B5" s="29" t="n">
        <f aca="false">'Income Statement'!B7</f>
        <v>7.56</v>
      </c>
      <c r="C5" s="29" t="n">
        <f aca="false">'Income Statement'!C7</f>
        <v>7.87</v>
      </c>
      <c r="D5" s="29" t="n">
        <f aca="false">'Income Statement'!D7</f>
        <v>8.1</v>
      </c>
      <c r="E5" s="29" t="n">
        <f aca="false">'Income Statement'!E7</f>
        <v>8.4</v>
      </c>
      <c r="F5" s="29" t="n">
        <f aca="false">'Income Statement'!F7</f>
        <v>8.9</v>
      </c>
      <c r="G5" s="29" t="n">
        <f aca="false">'Income Statement'!G7</f>
        <v>9.4</v>
      </c>
      <c r="H5" s="29" t="n">
        <f aca="false">'Income Statement'!H7</f>
        <v>9.9</v>
      </c>
      <c r="I5" s="29" t="n">
        <f aca="false">'Income Statement'!I7</f>
        <v>10.4</v>
      </c>
    </row>
    <row r="6" customFormat="false" ht="15" hidden="false" customHeight="true" outlineLevel="0" collapsed="false">
      <c r="A6" s="8" t="s">
        <v>198</v>
      </c>
      <c r="B6" s="29" t="n">
        <f aca="false">'Income Statement'!B10</f>
        <v>0.5</v>
      </c>
      <c r="C6" s="29" t="n">
        <f aca="false">'Income Statement'!C10</f>
        <v>0.49</v>
      </c>
      <c r="D6" s="29" t="n">
        <f aca="false">'Income Statement'!D10</f>
        <v>0.73</v>
      </c>
      <c r="E6" s="29" t="n">
        <f aca="false">'Income Statement'!E10</f>
        <v>0.8</v>
      </c>
      <c r="F6" s="29" t="n">
        <f aca="false">'Income Statement'!F10</f>
        <v>0.92</v>
      </c>
      <c r="G6" s="29" t="n">
        <f aca="false">'Income Statement'!G10</f>
        <v>1.05</v>
      </c>
      <c r="H6" s="29" t="n">
        <f aca="false">'Income Statement'!H10</f>
        <v>1.18</v>
      </c>
      <c r="I6" s="29" t="n">
        <f aca="false">'Income Statement'!I10</f>
        <v>1.3</v>
      </c>
    </row>
    <row r="7" customFormat="false" ht="15" hidden="false" customHeight="true" outlineLevel="0" collapsed="false">
      <c r="A7" s="8" t="s">
        <v>112</v>
      </c>
      <c r="B7" s="29" t="n">
        <f aca="false">'Income Statement'!B15</f>
        <v>0.05</v>
      </c>
      <c r="C7" s="29" t="n">
        <f aca="false">'Income Statement'!C15</f>
        <v>-0.16</v>
      </c>
      <c r="D7" s="29" t="n">
        <f aca="false">'Income Statement'!D15</f>
        <v>0.53</v>
      </c>
      <c r="E7" s="29" t="n">
        <f aca="false">'Income Statement'!E15</f>
        <v>0.58</v>
      </c>
      <c r="F7" s="29" t="n">
        <f aca="false">'Income Statement'!F15</f>
        <v>0.7</v>
      </c>
      <c r="G7" s="29" t="n">
        <f aca="false">'Income Statement'!G15</f>
        <v>0.82</v>
      </c>
      <c r="H7" s="29" t="n">
        <f aca="false">'Income Statement'!H15</f>
        <v>0.95</v>
      </c>
      <c r="I7" s="29" t="n">
        <f aca="false">'Income Statement'!I15</f>
        <v>1.08</v>
      </c>
    </row>
    <row r="8" customFormat="false" ht="15" hidden="false" customHeight="true" outlineLevel="0" collapsed="false">
      <c r="A8" s="8" t="s">
        <v>235</v>
      </c>
      <c r="B8" s="9" t="n">
        <f aca="false">'Income Statement'!B17</f>
        <v>113.455865668255</v>
      </c>
      <c r="C8" s="9" t="n">
        <f aca="false">'Income Statement'!C17</f>
        <v>-363.058770138416</v>
      </c>
      <c r="D8" s="9" t="n">
        <f aca="false">'Income Statement'!D17</f>
        <v>1202.6321760835</v>
      </c>
      <c r="E8" s="9" t="n">
        <f aca="false">'Income Statement'!E17</f>
        <v>1316.08804175176</v>
      </c>
      <c r="F8" s="9" t="n">
        <f aca="false">'Income Statement'!F17</f>
        <v>1588.38211935557</v>
      </c>
      <c r="G8" s="9" t="n">
        <f aca="false">'Income Statement'!G17</f>
        <v>1860.67619695938</v>
      </c>
      <c r="H8" s="9" t="n">
        <f aca="false">'Income Statement'!H17</f>
        <v>2155.66144769685</v>
      </c>
      <c r="I8" s="9" t="n">
        <f aca="false">'Income Statement'!I17</f>
        <v>2450.64669843431</v>
      </c>
    </row>
    <row r="9" customFormat="false" ht="15" hidden="false" customHeight="true" outlineLevel="0" collapsed="false">
      <c r="A9" s="8" t="s">
        <v>248</v>
      </c>
      <c r="B9" s="29" t="n">
        <f aca="false">'Balance Sheet'!B14</f>
        <v>26.5</v>
      </c>
      <c r="C9" s="29" t="n">
        <f aca="false">'Balance Sheet'!C14</f>
        <v>27</v>
      </c>
      <c r="D9" s="29" t="n">
        <f aca="false">'Balance Sheet'!D14</f>
        <v>27.8</v>
      </c>
      <c r="E9" s="29" t="n">
        <f aca="false">'Balance Sheet'!E14</f>
        <v>28.6</v>
      </c>
      <c r="F9" s="29" t="n">
        <f aca="false">'Balance Sheet'!F14</f>
        <v>29.5</v>
      </c>
      <c r="G9" s="29" t="n">
        <f aca="false">'Balance Sheet'!G14</f>
        <v>30.4</v>
      </c>
      <c r="H9" s="29" t="n">
        <f aca="false">'Balance Sheet'!H14</f>
        <v>31.4</v>
      </c>
      <c r="I9" s="29" t="n">
        <f aca="false">'Balance Sheet'!I14</f>
        <v>32.5</v>
      </c>
    </row>
    <row r="10" customFormat="false" ht="15" hidden="false" customHeight="true" outlineLevel="0" collapsed="false">
      <c r="A10" s="8" t="s">
        <v>257</v>
      </c>
      <c r="B10" s="29" t="n">
        <f aca="false">'Balance Sheet'!B23</f>
        <v>18.7</v>
      </c>
      <c r="C10" s="29" t="n">
        <f aca="false">'Balance Sheet'!C23</f>
        <v>18.7</v>
      </c>
      <c r="D10" s="29" t="n">
        <f aca="false">'Balance Sheet'!D23</f>
        <v>19</v>
      </c>
      <c r="E10" s="29" t="n">
        <f aca="false">'Balance Sheet'!E23</f>
        <v>19.7</v>
      </c>
      <c r="F10" s="29" t="n">
        <f aca="false">'Balance Sheet'!F23</f>
        <v>20.5</v>
      </c>
      <c r="G10" s="29" t="n">
        <f aca="false">'Balance Sheet'!G23</f>
        <v>21.3</v>
      </c>
      <c r="H10" s="29" t="n">
        <f aca="false">'Balance Sheet'!H23</f>
        <v>22.2</v>
      </c>
      <c r="I10" s="29" t="n">
        <f aca="false">'Balance Sheet'!I23</f>
        <v>23.2</v>
      </c>
    </row>
    <row r="11" customFormat="false" ht="15" hidden="false" customHeight="true" outlineLevel="0" collapsed="false">
      <c r="A11" s="8" t="s">
        <v>272</v>
      </c>
      <c r="B11" s="29" t="n">
        <f aca="false">'Balance Sheet'!B26</f>
        <v>3.3</v>
      </c>
      <c r="C11" s="29" t="n">
        <f aca="false">'Balance Sheet'!C26</f>
        <v>3.8</v>
      </c>
      <c r="D11" s="29" t="n">
        <f aca="false">'Balance Sheet'!D26</f>
        <v>3.9</v>
      </c>
      <c r="E11" s="29" t="n">
        <f aca="false">'Balance Sheet'!E26</f>
        <v>4.3</v>
      </c>
      <c r="F11" s="29" t="n">
        <f aca="false">'Balance Sheet'!F26</f>
        <v>4.8</v>
      </c>
      <c r="G11" s="29" t="n">
        <f aca="false">'Balance Sheet'!G26</f>
        <v>5.3</v>
      </c>
      <c r="H11" s="29" t="n">
        <f aca="false">'Balance Sheet'!H26</f>
        <v>5.9</v>
      </c>
      <c r="I11" s="29" t="n">
        <f aca="false">'Balance Sheet'!I26</f>
        <v>6.6</v>
      </c>
    </row>
    <row r="12" customFormat="false" ht="15" hidden="false" customHeight="true" outlineLevel="0" collapsed="false">
      <c r="A12" s="8" t="s">
        <v>273</v>
      </c>
      <c r="B12" s="9" t="n">
        <f aca="false">'Balance Sheet'!B25</f>
        <v>24960.2904470161</v>
      </c>
      <c r="C12" s="9" t="n">
        <f aca="false">'Balance Sheet'!C25</f>
        <v>23371.9083276605</v>
      </c>
      <c r="D12" s="9" t="n">
        <f aca="false">'Balance Sheet'!D25</f>
        <v>23825.7317903336</v>
      </c>
      <c r="E12" s="9" t="n">
        <f aca="false">'Balance Sheet'!E25</f>
        <v>24960.2904470161</v>
      </c>
      <c r="F12" s="9" t="n">
        <f aca="false">'Balance Sheet'!F25</f>
        <v>26321.7608350352</v>
      </c>
      <c r="G12" s="9" t="n">
        <f aca="false">'Balance Sheet'!G25</f>
        <v>27910.1429543907</v>
      </c>
      <c r="H12" s="9" t="n">
        <f aca="false">'Balance Sheet'!H25</f>
        <v>29725.4368050828</v>
      </c>
      <c r="I12" s="9" t="n">
        <f aca="false">'Balance Sheet'!I25</f>
        <v>31767.6423871114</v>
      </c>
    </row>
    <row r="13" customFormat="false" ht="15" hidden="false" customHeight="true" outlineLevel="0" collapsed="false">
      <c r="A13" s="8" t="s">
        <v>264</v>
      </c>
      <c r="B13" s="29" t="n">
        <f aca="false">'Cash Flow'!B5</f>
        <v>0.92</v>
      </c>
      <c r="C13" s="29" t="n">
        <f aca="false">'Cash Flow'!C5</f>
        <v>0.95</v>
      </c>
      <c r="D13" s="29" t="n">
        <f aca="false">'Cash Flow'!D5</f>
        <v>1.1</v>
      </c>
      <c r="E13" s="29" t="n">
        <f aca="false">'Cash Flow'!E5</f>
        <v>1.1</v>
      </c>
      <c r="F13" s="29" t="n">
        <f aca="false">'Cash Flow'!F5</f>
        <v>1.27</v>
      </c>
      <c r="G13" s="29" t="n">
        <f aca="false">'Cash Flow'!G5</f>
        <v>1.43</v>
      </c>
      <c r="H13" s="29" t="n">
        <f aca="false">'Cash Flow'!H5</f>
        <v>1.59</v>
      </c>
      <c r="I13" s="29" t="n">
        <f aca="false">'Cash Flow'!I5</f>
        <v>1.75</v>
      </c>
    </row>
    <row r="14" customFormat="false" ht="15" hidden="false" customHeight="true" outlineLevel="0" collapsed="false">
      <c r="A14" s="8" t="s">
        <v>274</v>
      </c>
      <c r="B14" s="29" t="n">
        <f aca="false">'Cash Flow'!B9</f>
        <v>0.34</v>
      </c>
      <c r="C14" s="29" t="n">
        <f aca="false">'Cash Flow'!C9</f>
        <v>0.35</v>
      </c>
      <c r="D14" s="29" t="n">
        <f aca="false">'Cash Flow'!D9</f>
        <v>0.55</v>
      </c>
      <c r="E14" s="29" t="n">
        <f aca="false">'Cash Flow'!E9</f>
        <v>0.3</v>
      </c>
      <c r="F14" s="29" t="n">
        <f aca="false">'Cash Flow'!F9</f>
        <v>0.43</v>
      </c>
      <c r="G14" s="29" t="n">
        <f aca="false">'Cash Flow'!G9</f>
        <v>0.55</v>
      </c>
      <c r="H14" s="29" t="n">
        <f aca="false">'Cash Flow'!H9</f>
        <v>0.67</v>
      </c>
      <c r="I14" s="29" t="n">
        <f aca="false">'Cash Flow'!I9</f>
        <v>0.79</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6" min="2" style="1" width="12"/>
    <col collapsed="false" customWidth="true" hidden="false" outlineLevel="0" max="7" min="7" style="1" width="10"/>
    <col collapsed="false" customWidth="true" hidden="false" outlineLevel="0" max="8" min="8" style="1" width="38"/>
  </cols>
  <sheetData>
    <row r="1" customFormat="false" ht="21.75" hidden="false" customHeight="true" outlineLevel="0" collapsed="false">
      <c r="A1" s="5" t="s">
        <v>275</v>
      </c>
      <c r="B1" s="5"/>
      <c r="C1" s="5"/>
      <c r="D1" s="5"/>
      <c r="E1" s="5"/>
      <c r="F1" s="5"/>
      <c r="G1" s="5"/>
      <c r="H1" s="5"/>
    </row>
    <row r="2" customFormat="false" ht="15" hidden="false" customHeight="true" outlineLevel="0" collapsed="false">
      <c r="A2" s="6" t="s">
        <v>276</v>
      </c>
      <c r="B2" s="6"/>
      <c r="C2" s="6"/>
      <c r="D2" s="6"/>
      <c r="E2" s="6"/>
      <c r="F2" s="6"/>
      <c r="G2" s="6"/>
      <c r="H2" s="6"/>
    </row>
    <row r="4" customFormat="false" ht="15" hidden="false" customHeight="true" outlineLevel="0" collapsed="false">
      <c r="A4" s="7" t="s">
        <v>277</v>
      </c>
    </row>
    <row r="5" customFormat="false" ht="15" hidden="false" customHeight="true" outlineLevel="0" collapsed="false">
      <c r="A5" s="8" t="s">
        <v>278</v>
      </c>
      <c r="B5" s="19" t="n">
        <v>33150</v>
      </c>
    </row>
    <row r="6" customFormat="false" ht="15" hidden="false" customHeight="true" outlineLevel="0" collapsed="false">
      <c r="A6" s="8" t="s">
        <v>279</v>
      </c>
      <c r="B6" s="46" t="n">
        <v>20</v>
      </c>
    </row>
    <row r="7" customFormat="false" ht="15" hidden="false" customHeight="true" outlineLevel="0" collapsed="false">
      <c r="A7" s="8" t="s">
        <v>280</v>
      </c>
      <c r="B7" s="46" t="n">
        <v>60</v>
      </c>
    </row>
    <row r="8" customFormat="false" ht="15" hidden="false" customHeight="true" outlineLevel="0" collapsed="false">
      <c r="A8" s="8" t="s">
        <v>281</v>
      </c>
      <c r="B8" s="20" t="n">
        <v>0.239</v>
      </c>
    </row>
    <row r="9" customFormat="false" ht="15" hidden="false" customHeight="true" outlineLevel="0" collapsed="false">
      <c r="A9" s="8" t="s">
        <v>282</v>
      </c>
      <c r="B9" s="19" t="n">
        <v>32250</v>
      </c>
    </row>
    <row r="10" customFormat="false" ht="15" hidden="false" customHeight="true" outlineLevel="0" collapsed="false">
      <c r="A10" s="8" t="s">
        <v>283</v>
      </c>
      <c r="B10" s="19" t="n">
        <v>32000</v>
      </c>
    </row>
    <row r="11" customFormat="false" ht="15" hidden="false" customHeight="true" outlineLevel="0" collapsed="false">
      <c r="A11" s="8" t="s">
        <v>284</v>
      </c>
      <c r="B11" s="19" t="n">
        <v>42949</v>
      </c>
    </row>
    <row r="12" customFormat="false" ht="15" hidden="false" customHeight="true" outlineLevel="0" collapsed="false">
      <c r="A12" s="8" t="s">
        <v>285</v>
      </c>
      <c r="B12" s="19" t="n">
        <v>71600</v>
      </c>
    </row>
    <row r="14" customFormat="false" ht="15" hidden="false" customHeight="true" outlineLevel="0" collapsed="false">
      <c r="A14" s="7" t="s">
        <v>286</v>
      </c>
    </row>
    <row r="15" customFormat="false" ht="15" hidden="false" customHeight="true" outlineLevel="0" collapsed="false">
      <c r="A15" s="45" t="s">
        <v>287</v>
      </c>
      <c r="B15" s="45" t="s">
        <v>288</v>
      </c>
      <c r="C15" s="45" t="s">
        <v>289</v>
      </c>
      <c r="H15" s="45" t="s">
        <v>290</v>
      </c>
    </row>
    <row r="16" customFormat="false" ht="15" hidden="false" customHeight="true" outlineLevel="0" collapsed="false">
      <c r="A16" s="8" t="s">
        <v>291</v>
      </c>
      <c r="B16" s="20" t="n">
        <v>0.01</v>
      </c>
      <c r="C16" s="20" t="n">
        <v>0.06</v>
      </c>
      <c r="H16" s="8" t="s">
        <v>292</v>
      </c>
    </row>
    <row r="17" customFormat="false" ht="15" hidden="false" customHeight="true" outlineLevel="0" collapsed="false">
      <c r="A17" s="8" t="s">
        <v>293</v>
      </c>
      <c r="B17" s="20" t="n">
        <v>0.005</v>
      </c>
      <c r="C17" s="20" t="n">
        <v>0.05</v>
      </c>
      <c r="H17" s="8" t="s">
        <v>294</v>
      </c>
    </row>
    <row r="18" customFormat="false" ht="15" hidden="false" customHeight="true" outlineLevel="0" collapsed="false">
      <c r="A18" s="8" t="s">
        <v>295</v>
      </c>
      <c r="B18" s="20" t="n">
        <v>0</v>
      </c>
      <c r="C18" s="20" t="n">
        <v>0.06</v>
      </c>
      <c r="H18" s="8" t="s">
        <v>296</v>
      </c>
    </row>
    <row r="19" customFormat="false" ht="15" hidden="false" customHeight="true" outlineLevel="0" collapsed="false">
      <c r="A19" s="8" t="s">
        <v>297</v>
      </c>
      <c r="B19" s="20" t="n">
        <v>0</v>
      </c>
      <c r="C19" s="20" t="n">
        <v>0.03</v>
      </c>
      <c r="H19" s="8" t="s">
        <v>298</v>
      </c>
    </row>
    <row r="20" customFormat="false" ht="15" hidden="false" customHeight="true" outlineLevel="0" collapsed="false">
      <c r="A20" s="8" t="s">
        <v>299</v>
      </c>
      <c r="B20" s="20" t="n">
        <v>0.003</v>
      </c>
      <c r="C20" s="20" t="n">
        <v>0.03</v>
      </c>
      <c r="H20" s="8" t="s">
        <v>300</v>
      </c>
    </row>
    <row r="21" customFormat="false" ht="15" hidden="false" customHeight="true" outlineLevel="0" collapsed="false">
      <c r="A21" s="8" t="s">
        <v>301</v>
      </c>
      <c r="B21" s="20" t="n">
        <v>-0.01</v>
      </c>
      <c r="C21" s="20" t="n">
        <v>0.04</v>
      </c>
      <c r="H21" s="8" t="s">
        <v>302</v>
      </c>
    </row>
    <row r="22" customFormat="false" ht="15" hidden="false" customHeight="true" outlineLevel="0" collapsed="false">
      <c r="A22" s="8" t="s">
        <v>303</v>
      </c>
      <c r="B22" s="20" t="n">
        <v>-0.006</v>
      </c>
      <c r="C22" s="20" t="n">
        <v>0.03</v>
      </c>
      <c r="H22" s="8" t="s">
        <v>304</v>
      </c>
    </row>
    <row r="24" customFormat="false" ht="15" hidden="false" customHeight="true" outlineLevel="0" collapsed="false">
      <c r="A24" s="7" t="s">
        <v>305</v>
      </c>
    </row>
    <row r="25" customFormat="false" ht="15" hidden="false" customHeight="true" outlineLevel="0" collapsed="false">
      <c r="A25" s="45" t="s">
        <v>306</v>
      </c>
      <c r="B25" s="45" t="s">
        <v>307</v>
      </c>
      <c r="C25" s="45" t="s">
        <v>308</v>
      </c>
      <c r="D25" s="45" t="s">
        <v>309</v>
      </c>
      <c r="H25" s="45" t="s">
        <v>290</v>
      </c>
    </row>
    <row r="26" customFormat="false" ht="15" hidden="false" customHeight="true" outlineLevel="0" collapsed="false">
      <c r="A26" s="8" t="s">
        <v>310</v>
      </c>
      <c r="B26" s="15" t="n">
        <v>0.35</v>
      </c>
      <c r="C26" s="20" t="n">
        <v>0.07</v>
      </c>
      <c r="D26" s="20" t="n">
        <v>0.04</v>
      </c>
      <c r="H26" s="8" t="s">
        <v>311</v>
      </c>
    </row>
    <row r="27" customFormat="false" ht="15" hidden="false" customHeight="true" outlineLevel="0" collapsed="false">
      <c r="A27" s="8" t="s">
        <v>312</v>
      </c>
      <c r="B27" s="15" t="n">
        <v>0.35</v>
      </c>
      <c r="C27" s="20" t="n">
        <v>0.05</v>
      </c>
      <c r="D27" s="20" t="n">
        <v>0.03</v>
      </c>
      <c r="H27" s="8" t="s">
        <v>313</v>
      </c>
    </row>
    <row r="28" customFormat="false" ht="15" hidden="false" customHeight="true" outlineLevel="0" collapsed="false">
      <c r="A28" s="8" t="s">
        <v>314</v>
      </c>
      <c r="B28" s="15" t="n">
        <v>0.3</v>
      </c>
      <c r="C28" s="20" t="n">
        <v>0.05</v>
      </c>
      <c r="D28" s="20" t="n">
        <v>0.04</v>
      </c>
      <c r="H28" s="8" t="s">
        <v>315</v>
      </c>
    </row>
    <row r="29" customFormat="false" ht="15" hidden="false" customHeight="true" outlineLevel="0" collapsed="false">
      <c r="A29" s="8" t="s">
        <v>316</v>
      </c>
      <c r="B29" s="15" t="n">
        <v>0.3</v>
      </c>
      <c r="C29" s="20" t="n">
        <v>0.03</v>
      </c>
      <c r="D29" s="20" t="n">
        <v>0.03</v>
      </c>
      <c r="H29" s="8" t="s">
        <v>317</v>
      </c>
    </row>
    <row r="30" customFormat="false" ht="15" hidden="false" customHeight="true" outlineLevel="0" collapsed="false">
      <c r="A30" s="8" t="s">
        <v>318</v>
      </c>
      <c r="B30" s="15" t="n">
        <v>0.4</v>
      </c>
      <c r="C30" s="20" t="n">
        <v>0.02</v>
      </c>
      <c r="D30" s="20" t="n">
        <v>0.05</v>
      </c>
      <c r="H30" s="8" t="s">
        <v>319</v>
      </c>
    </row>
    <row r="31" customFormat="false" ht="15" hidden="false" customHeight="true" outlineLevel="0" collapsed="false">
      <c r="A31" s="8" t="s">
        <v>320</v>
      </c>
      <c r="B31" s="15" t="n">
        <v>0.35</v>
      </c>
      <c r="C31" s="20" t="n">
        <v>-0.06</v>
      </c>
      <c r="D31" s="20" t="n">
        <v>0.04</v>
      </c>
      <c r="H31" s="8" t="s">
        <v>321</v>
      </c>
    </row>
    <row r="32" customFormat="false" ht="15" hidden="false" customHeight="true" outlineLevel="0" collapsed="false">
      <c r="A32" s="8" t="s">
        <v>322</v>
      </c>
      <c r="B32" s="15" t="n">
        <v>0.3</v>
      </c>
      <c r="C32" s="20" t="n">
        <v>-0.05</v>
      </c>
      <c r="D32" s="20" t="n">
        <v>0.04</v>
      </c>
      <c r="H32" s="8" t="s">
        <v>323</v>
      </c>
    </row>
    <row r="33" customFormat="false" ht="15" hidden="false" customHeight="true" outlineLevel="0" collapsed="false">
      <c r="A33" s="8" t="s">
        <v>324</v>
      </c>
      <c r="B33" s="15" t="n">
        <v>0.15</v>
      </c>
      <c r="C33" s="20" t="n">
        <v>-0.08</v>
      </c>
      <c r="D33" s="20" t="n">
        <v>0.05</v>
      </c>
      <c r="H33" s="8" t="s">
        <v>325</v>
      </c>
    </row>
    <row r="34" customFormat="false" ht="15" hidden="false" customHeight="true" outlineLevel="0" collapsed="false">
      <c r="A34" s="8" t="s">
        <v>326</v>
      </c>
      <c r="B34" s="15" t="n">
        <v>0.25</v>
      </c>
      <c r="C34" s="20" t="n">
        <v>-0.06</v>
      </c>
      <c r="D34" s="20" t="n">
        <v>0.04</v>
      </c>
      <c r="H34" s="8" t="s">
        <v>327</v>
      </c>
    </row>
    <row r="36" customFormat="false" ht="15" hidden="false" customHeight="true" outlineLevel="0" collapsed="false">
      <c r="A36" s="7" t="s">
        <v>328</v>
      </c>
    </row>
    <row r="37" customFormat="false" ht="15" hidden="false" customHeight="true" outlineLevel="0" collapsed="false">
      <c r="A37" s="8" t="s">
        <v>329</v>
      </c>
      <c r="B37" s="30" t="n">
        <f aca="false">SUM(B16:B22)+SUMPRODUCT(B26:B34,C26:C34)</f>
        <v>0.013</v>
      </c>
    </row>
    <row r="38" customFormat="false" ht="15" hidden="false" customHeight="true" outlineLevel="0" collapsed="false">
      <c r="A38" s="8" t="s">
        <v>330</v>
      </c>
      <c r="B38" s="30" t="n">
        <f aca="false">SUMPRODUCT(C16:C22,C16:C22)+SUMPRODUCT(B26:B34,D26:D34^2+(1-B26:B34)*C26:C34^2)+B8^2</f>
        <v>0.0808895</v>
      </c>
    </row>
    <row r="39" customFormat="false" ht="15" hidden="false" customHeight="true" outlineLevel="0" collapsed="false">
      <c r="A39" s="8" t="s">
        <v>331</v>
      </c>
      <c r="B39" s="30" t="n">
        <f aca="false">SQRT(B38)</f>
        <v>0.284410794450562</v>
      </c>
    </row>
    <row r="40" customFormat="false" ht="15" hidden="false" customHeight="true" outlineLevel="0" collapsed="false">
      <c r="A40" s="8" t="s">
        <v>332</v>
      </c>
      <c r="B40" s="10" t="n">
        <f aca="false">B39*2</f>
        <v>0.568821588901125</v>
      </c>
      <c r="H40" s="8" t="s">
        <v>333</v>
      </c>
    </row>
    <row r="42" customFormat="false" ht="15" hidden="false" customHeight="true" outlineLevel="0" collapsed="false">
      <c r="A42" s="7" t="s">
        <v>334</v>
      </c>
    </row>
    <row r="43" customFormat="false" ht="15" hidden="false" customHeight="true" outlineLevel="0" collapsed="false">
      <c r="A43" s="45" t="s">
        <v>335</v>
      </c>
      <c r="B43" s="45" t="s">
        <v>336</v>
      </c>
      <c r="C43" s="45" t="s">
        <v>337</v>
      </c>
      <c r="D43" s="45" t="s">
        <v>338</v>
      </c>
      <c r="E43" s="45" t="s">
        <v>339</v>
      </c>
      <c r="F43" s="45" t="s">
        <v>340</v>
      </c>
      <c r="G43" s="45" t="s">
        <v>341</v>
      </c>
    </row>
    <row r="44" customFormat="false" ht="15" hidden="false" customHeight="true" outlineLevel="0" collapsed="false">
      <c r="A44" s="8" t="s">
        <v>342</v>
      </c>
      <c r="B44" s="26" t="n">
        <v>25397</v>
      </c>
      <c r="C44" s="26" t="n">
        <v>29794</v>
      </c>
      <c r="D44" s="26" t="n">
        <v>33300</v>
      </c>
      <c r="E44" s="26" t="n">
        <v>37199</v>
      </c>
      <c r="F44" s="26" t="n">
        <v>43720</v>
      </c>
      <c r="G44" s="8" t="s">
        <v>343</v>
      </c>
    </row>
    <row r="45" customFormat="false" ht="15" hidden="false" customHeight="true" outlineLevel="0" collapsed="false">
      <c r="A45" s="8" t="s">
        <v>344</v>
      </c>
      <c r="B45" s="26" t="n">
        <f aca="false">$B$5*EXP($B$37*20/60+(-1.6449)*$B$39*SQRT(20/60))</f>
        <v>25413.3804136291</v>
      </c>
      <c r="C45" s="26" t="n">
        <f aca="false">$B$5*EXP($B$37*20/60+(-0.6745)*$B$39*SQRT(20/60))</f>
        <v>29803.326487906</v>
      </c>
      <c r="D45" s="26" t="n">
        <f aca="false">$B$5*EXP($B$37*20/60+(0)*$B$39*SQRT(20/60))</f>
        <v>33293.9616917254</v>
      </c>
      <c r="E45" s="26" t="n">
        <f aca="false">$B$5*EXP($B$37*20/60+(0.6745)*$B$39*SQRT(20/60))</f>
        <v>37193.4282429814</v>
      </c>
      <c r="F45" s="26" t="n">
        <f aca="false">$B$5*EXP($B$37*20/60+(1.6449)*$B$39*SQRT(20/60))</f>
        <v>43618.2777374867</v>
      </c>
    </row>
    <row r="46" customFormat="false" ht="15" hidden="false" customHeight="true" outlineLevel="0" collapsed="false">
      <c r="A46" s="8" t="s">
        <v>345</v>
      </c>
      <c r="B46" s="26" t="n">
        <v>21109</v>
      </c>
      <c r="C46" s="26" t="n">
        <v>27830</v>
      </c>
      <c r="D46" s="26" t="n">
        <v>33627</v>
      </c>
      <c r="E46" s="26" t="n">
        <v>40732</v>
      </c>
      <c r="F46" s="26" t="n">
        <v>53573</v>
      </c>
      <c r="G46" s="8" t="s">
        <v>343</v>
      </c>
    </row>
    <row r="47" customFormat="false" ht="15" hidden="false" customHeight="true" outlineLevel="0" collapsed="false">
      <c r="A47" s="8" t="s">
        <v>346</v>
      </c>
      <c r="B47" s="26" t="n">
        <f aca="false">$B$5*EXP($B$37+(-1.6449)*$B$39)</f>
        <v>21035.5823367443</v>
      </c>
      <c r="C47" s="26" t="n">
        <f aca="false">$B$5*EXP($B$37+(-0.6745)*$B$39)</f>
        <v>27721.4819910988</v>
      </c>
      <c r="D47" s="26" t="n">
        <f aca="false">$B$5*EXP($B$37+(0)*$B$39)</f>
        <v>33583.7633529777</v>
      </c>
      <c r="E47" s="26" t="n">
        <f aca="false">$B$5*EXP($B$37+(0.6745)*$B$39)</f>
        <v>40685.7454919242</v>
      </c>
      <c r="F47" s="26" t="n">
        <f aca="false">$B$5*EXP($B$37+(1.6449)*$B$39)</f>
        <v>53617.2064501717</v>
      </c>
    </row>
    <row r="49" customFormat="false" ht="15" hidden="false" customHeight="true" outlineLevel="0" collapsed="false">
      <c r="A49" s="7" t="s">
        <v>347</v>
      </c>
    </row>
    <row r="50" customFormat="false" ht="15" hidden="false" customHeight="true" outlineLevel="0" collapsed="false">
      <c r="A50" s="45" t="s">
        <v>348</v>
      </c>
      <c r="B50" s="45" t="s">
        <v>349</v>
      </c>
      <c r="C50" s="45" t="s">
        <v>350</v>
      </c>
    </row>
    <row r="51" customFormat="false" ht="15" hidden="false" customHeight="true" outlineLevel="0" collapsed="false">
      <c r="A51" s="8" t="s">
        <v>351</v>
      </c>
      <c r="B51" s="18" t="n">
        <v>0.44</v>
      </c>
      <c r="C51" s="18" t="n">
        <v>0.66</v>
      </c>
    </row>
    <row r="52" customFormat="false" ht="15" hidden="false" customHeight="true" outlineLevel="0" collapsed="false">
      <c r="A52" s="8" t="s">
        <v>352</v>
      </c>
      <c r="B52" s="18" t="n">
        <v>0.21</v>
      </c>
      <c r="C52" s="18" t="n">
        <v>0.48</v>
      </c>
    </row>
    <row r="53" customFormat="false" ht="15" hidden="false" customHeight="true" outlineLevel="0" collapsed="false">
      <c r="A53" s="8" t="s">
        <v>353</v>
      </c>
      <c r="B53" s="18" t="n">
        <v>0.07</v>
      </c>
      <c r="C53" s="18" t="n">
        <v>0.3</v>
      </c>
    </row>
    <row r="54" customFormat="false" ht="15" hidden="false" customHeight="true" outlineLevel="0" collapsed="false">
      <c r="A54" s="8" t="s">
        <v>354</v>
      </c>
      <c r="B54" s="18" t="n">
        <v>0.72</v>
      </c>
      <c r="C54" s="18" t="n">
        <v>0.83</v>
      </c>
    </row>
    <row r="55" customFormat="false" ht="15" hidden="false" customHeight="true" outlineLevel="0" collapsed="false">
      <c r="A55" s="8" t="s">
        <v>355</v>
      </c>
      <c r="B55" s="18" t="n">
        <v>0.24</v>
      </c>
      <c r="C55" s="18" t="n">
        <v>0.49</v>
      </c>
    </row>
    <row r="56" customFormat="false" ht="15" hidden="false" customHeight="true" outlineLevel="0" collapsed="false">
      <c r="A56" s="8" t="s">
        <v>356</v>
      </c>
      <c r="B56" s="18" t="n">
        <v>0.04</v>
      </c>
      <c r="C56" s="18" t="n">
        <v>0.21</v>
      </c>
    </row>
    <row r="58" customFormat="false" ht="84" hidden="false" customHeight="true" outlineLevel="0" collapsed="false">
      <c r="A58" s="13" t="s">
        <v>357</v>
      </c>
      <c r="B58" s="13"/>
      <c r="C58" s="13"/>
      <c r="D58" s="13"/>
      <c r="E58" s="13"/>
      <c r="F58" s="13"/>
      <c r="G58" s="13"/>
      <c r="H58" s="13"/>
    </row>
  </sheetData>
  <mergeCells count="3">
    <mergeCell ref="A1:H1"/>
    <mergeCell ref="A2:H2"/>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2"/>
  </cols>
  <sheetData>
    <row r="1" customFormat="false" ht="21.75" hidden="false" customHeight="true" outlineLevel="0" collapsed="false">
      <c r="A1" s="5" t="s">
        <v>358</v>
      </c>
      <c r="B1" s="5"/>
      <c r="C1" s="5"/>
      <c r="D1" s="5"/>
      <c r="E1" s="5"/>
      <c r="F1" s="5"/>
    </row>
    <row r="2" customFormat="false" ht="15" hidden="false" customHeight="true" outlineLevel="0" collapsed="false">
      <c r="A2" s="6" t="s">
        <v>359</v>
      </c>
      <c r="B2" s="6"/>
      <c r="C2" s="6"/>
      <c r="D2" s="6"/>
      <c r="E2" s="6"/>
      <c r="F2" s="6"/>
    </row>
    <row r="4" customFormat="false" ht="15" hidden="false" customHeight="true" outlineLevel="0" collapsed="false">
      <c r="A4" s="7" t="s">
        <v>360</v>
      </c>
    </row>
    <row r="5" customFormat="false" ht="15" hidden="false" customHeight="true" outlineLevel="0" collapsed="false">
      <c r="A5" s="45" t="s">
        <v>361</v>
      </c>
      <c r="B5" s="14" t="n">
        <v>6</v>
      </c>
      <c r="C5" s="14" t="n">
        <v>7</v>
      </c>
      <c r="D5" s="14" t="n">
        <v>8</v>
      </c>
      <c r="E5" s="14" t="n">
        <v>9</v>
      </c>
      <c r="F5" s="14" t="n">
        <v>10</v>
      </c>
    </row>
    <row r="6" customFormat="false" ht="15" hidden="false" customHeight="true" outlineLevel="0" collapsed="false">
      <c r="A6" s="22" t="n">
        <v>0.42</v>
      </c>
      <c r="B6" s="26" t="n">
        <f aca="false">((Assumptions!$D$16+0.6603*6+Assumptions!$B$21*Assumptions!$C$21+Assumptions!$C$22+Assumptions!$C$23)/Assumptions!$B$6*1000)*(1-$A6)</f>
        <v>28298.1592012707</v>
      </c>
      <c r="C6" s="26" t="n">
        <f aca="false">((Assumptions!$D$16+0.6603*7+Assumptions!$B$21*Assumptions!$C$21+Assumptions!$C$22+Assumptions!$C$23)/Assumptions!$B$6*1000)*(1-$A6)</f>
        <v>29167.1721352394</v>
      </c>
      <c r="D6" s="26" t="n">
        <f aca="false">((Assumptions!$D$16+0.6603*8+Assumptions!$B$21*Assumptions!$C$21+Assumptions!$C$22+Assumptions!$C$23)/Assumptions!$B$6*1000)*(1-$A6)</f>
        <v>30036.1850692081</v>
      </c>
      <c r="E6" s="26" t="n">
        <f aca="false">((Assumptions!$D$16+0.6603*9+Assumptions!$B$21*Assumptions!$C$21+Assumptions!$C$22+Assumptions!$C$23)/Assumptions!$B$6*1000)*(1-$A6)</f>
        <v>30905.1980031768</v>
      </c>
      <c r="F6" s="26" t="n">
        <f aca="false">((Assumptions!$D$16+0.6603*10+Assumptions!$B$21*Assumptions!$C$21+Assumptions!$C$22+Assumptions!$C$23)/Assumptions!$B$6*1000)*(1-$A6)</f>
        <v>31774.2109371455</v>
      </c>
    </row>
    <row r="7" customFormat="false" ht="15" hidden="false" customHeight="true" outlineLevel="0" collapsed="false">
      <c r="A7" s="22" t="n">
        <v>0.37</v>
      </c>
      <c r="B7" s="26" t="n">
        <f aca="false">((Assumptions!$D$16+0.6603*6+Assumptions!$B$21*Assumptions!$C$21+Assumptions!$C$22+Assumptions!$C$23)/Assumptions!$B$6*1000)*(1-$A7)</f>
        <v>30737.6556841389</v>
      </c>
      <c r="C7" s="26" t="n">
        <f aca="false">((Assumptions!$D$16+0.6603*7+Assumptions!$B$21*Assumptions!$C$21+Assumptions!$C$22+Assumptions!$C$23)/Assumptions!$B$6*1000)*(1-$A7)</f>
        <v>31681.5835262083</v>
      </c>
      <c r="D7" s="26" t="n">
        <f aca="false">((Assumptions!$D$16+0.6603*8+Assumptions!$B$21*Assumptions!$C$21+Assumptions!$C$22+Assumptions!$C$23)/Assumptions!$B$6*1000)*(1-$A7)</f>
        <v>32625.5113682777</v>
      </c>
      <c r="E7" s="26" t="n">
        <f aca="false">((Assumptions!$D$16+0.6603*9+Assumptions!$B$21*Assumptions!$C$21+Assumptions!$C$22+Assumptions!$C$23)/Assumptions!$B$6*1000)*(1-$A7)</f>
        <v>33569.4392103472</v>
      </c>
      <c r="F7" s="26" t="n">
        <f aca="false">((Assumptions!$D$16+0.6603*10+Assumptions!$B$21*Assumptions!$C$21+Assumptions!$C$22+Assumptions!$C$23)/Assumptions!$B$6*1000)*(1-$A7)</f>
        <v>34513.3670524166</v>
      </c>
    </row>
    <row r="8" customFormat="false" ht="15" hidden="false" customHeight="true" outlineLevel="0" collapsed="false">
      <c r="A8" s="22" t="n">
        <v>0.32</v>
      </c>
      <c r="B8" s="26" t="n">
        <f aca="false">((Assumptions!$D$16+0.6603*6+Assumptions!$B$21*Assumptions!$C$21+Assumptions!$C$22+Assumptions!$C$23)/Assumptions!$B$6*1000)*(1-$A8)</f>
        <v>33177.152167007</v>
      </c>
      <c r="C8" s="26" t="n">
        <f aca="false">((Assumptions!$D$16+0.6603*7+Assumptions!$B$21*Assumptions!$C$21+Assumptions!$C$22+Assumptions!$C$23)/Assumptions!$B$6*1000)*(1-$A8)</f>
        <v>34195.9949171772</v>
      </c>
      <c r="D8" s="26" t="n">
        <f aca="false">((Assumptions!$D$16+0.6603*8+Assumptions!$B$21*Assumptions!$C$21+Assumptions!$C$22+Assumptions!$C$23)/Assumptions!$B$6*1000)*(1-$A8)</f>
        <v>35214.8376673474</v>
      </c>
      <c r="E8" s="26" t="n">
        <f aca="false">((Assumptions!$D$16+0.6603*9+Assumptions!$B$21*Assumptions!$C$21+Assumptions!$C$22+Assumptions!$C$23)/Assumptions!$B$6*1000)*(1-$A8)</f>
        <v>36233.6804175176</v>
      </c>
      <c r="F8" s="26" t="n">
        <f aca="false">((Assumptions!$D$16+0.6603*10+Assumptions!$B$21*Assumptions!$C$21+Assumptions!$C$22+Assumptions!$C$23)/Assumptions!$B$6*1000)*(1-$A8)</f>
        <v>37252.5231676878</v>
      </c>
    </row>
    <row r="9" customFormat="false" ht="15" hidden="false" customHeight="true" outlineLevel="0" collapsed="false">
      <c r="A9" s="22" t="n">
        <v>0.27</v>
      </c>
      <c r="B9" s="26" t="n">
        <f aca="false">((Assumptions!$D$16+0.6603*6+Assumptions!$B$21*Assumptions!$C$21+Assumptions!$C$22+Assumptions!$C$23)/Assumptions!$B$6*1000)*(1-$A9)</f>
        <v>35616.6486498752</v>
      </c>
      <c r="C9" s="26" t="n">
        <f aca="false">((Assumptions!$D$16+0.6603*7+Assumptions!$B$21*Assumptions!$C$21+Assumptions!$C$22+Assumptions!$C$23)/Assumptions!$B$6*1000)*(1-$A9)</f>
        <v>36710.4063081461</v>
      </c>
      <c r="D9" s="26" t="n">
        <f aca="false">((Assumptions!$D$16+0.6603*8+Assumptions!$B$21*Assumptions!$C$21+Assumptions!$C$22+Assumptions!$C$23)/Assumptions!$B$6*1000)*(1-$A9)</f>
        <v>37804.1639664171</v>
      </c>
      <c r="E9" s="26" t="n">
        <f aca="false">((Assumptions!$D$16+0.6603*9+Assumptions!$B$21*Assumptions!$C$21+Assumptions!$C$22+Assumptions!$C$23)/Assumptions!$B$6*1000)*(1-$A9)</f>
        <v>38897.921624688</v>
      </c>
      <c r="F9" s="26" t="n">
        <f aca="false">((Assumptions!$D$16+0.6603*10+Assumptions!$B$21*Assumptions!$C$21+Assumptions!$C$22+Assumptions!$C$23)/Assumptions!$B$6*1000)*(1-$A9)</f>
        <v>39991.6792829589</v>
      </c>
    </row>
    <row r="10" customFormat="false" ht="15" hidden="false" customHeight="true" outlineLevel="0" collapsed="false">
      <c r="A10" s="22" t="n">
        <v>0.22</v>
      </c>
      <c r="B10" s="26" t="n">
        <f aca="false">((Assumptions!$D$16+0.6603*6+Assumptions!$B$21*Assumptions!$C$21+Assumptions!$C$22+Assumptions!$C$23)/Assumptions!$B$6*1000)*(1-$A10)</f>
        <v>38056.1451327434</v>
      </c>
      <c r="C10" s="26" t="n">
        <f aca="false">((Assumptions!$D$16+0.6603*7+Assumptions!$B$21*Assumptions!$C$21+Assumptions!$C$22+Assumptions!$C$23)/Assumptions!$B$6*1000)*(1-$A10)</f>
        <v>39224.8176991151</v>
      </c>
      <c r="D10" s="26" t="n">
        <f aca="false">((Assumptions!$D$16+0.6603*8+Assumptions!$B$21*Assumptions!$C$21+Assumptions!$C$22+Assumptions!$C$23)/Assumptions!$B$6*1000)*(1-$A10)</f>
        <v>40393.4902654867</v>
      </c>
      <c r="E10" s="26" t="n">
        <f aca="false">((Assumptions!$D$16+0.6603*9+Assumptions!$B$21*Assumptions!$C$21+Assumptions!$C$22+Assumptions!$C$23)/Assumptions!$B$6*1000)*(1-$A10)</f>
        <v>41562.1628318584</v>
      </c>
      <c r="F10" s="26" t="n">
        <f aca="false">((Assumptions!$D$16+0.6603*10+Assumptions!$B$21*Assumptions!$C$21+Assumptions!$C$22+Assumptions!$C$23)/Assumptions!$B$6*1000)*(1-$A10)</f>
        <v>42730.8353982301</v>
      </c>
    </row>
    <row r="12" customFormat="false" ht="15" hidden="false" customHeight="true" outlineLevel="0" collapsed="false">
      <c r="A12" s="7" t="s">
        <v>362</v>
      </c>
    </row>
    <row r="13" customFormat="false" ht="15" hidden="false" customHeight="true" outlineLevel="0" collapsed="false">
      <c r="A13" s="45" t="s">
        <v>363</v>
      </c>
      <c r="B13" s="14" t="n">
        <v>0.02</v>
      </c>
      <c r="C13" s="14" t="n">
        <v>0.025</v>
      </c>
      <c r="D13" s="14" t="n">
        <v>0.03</v>
      </c>
      <c r="E13" s="14" t="n">
        <v>0.035</v>
      </c>
      <c r="F13" s="14" t="n">
        <v>0.04</v>
      </c>
    </row>
    <row r="14" customFormat="false" ht="15" hidden="false" customHeight="true" outlineLevel="0" collapsed="false">
      <c r="A14" s="22" t="n">
        <v>0.085</v>
      </c>
      <c r="B14" s="26" t="n">
        <f aca="false">(SUMPRODUCT(DCF!$B$10:$F$10,(1+$A14)^-{1,2,3,4,5})+DCF!$F$10*(1+0.02)/($A14-0.02)/(1+$A14)^5+Assumptions!$B$7)/Assumptions!$B$6*1000</f>
        <v>25247.1227768548</v>
      </c>
      <c r="C14" s="26" t="n">
        <f aca="false">(SUMPRODUCT(DCF!$B$10:$F$10,(1+$A14)^-{1,2,3,4,5})+DCF!$F$10*(1+0.025)/($A14-0.025)/(1+$A14)^5+Assumptions!$B$7)/Assumptions!$B$6*1000</f>
        <v>26766.9070996105</v>
      </c>
      <c r="D14" s="26" t="n">
        <f aca="false">(SUMPRODUCT(DCF!$B$10:$F$10,(1+$A14)^-{1,2,3,4,5})+DCF!$F$10*(1+0.03)/($A14-0.03)/(1+$A14)^5+Assumptions!$B$7)/Assumptions!$B$6*1000</f>
        <v>28563.0158446855</v>
      </c>
      <c r="E14" s="26" t="n">
        <f aca="false">(SUMPRODUCT(DCF!$B$10:$F$10,(1+$A14)^-{1,2,3,4,5})+DCF!$F$10*(1+0.035)/($A14-0.035)/(1+$A14)^5+Assumptions!$B$7)/Assumptions!$B$6*1000</f>
        <v>30718.3463387755</v>
      </c>
      <c r="F14" s="26" t="n">
        <f aca="false">(SUMPRODUCT(DCF!$B$10:$F$10,(1+$A14)^-{1,2,3,4,5})+DCF!$F$10*(1+0.04)/($A14-0.04)/(1+$A14)^5+Assumptions!$B$7)/Assumptions!$B$6*1000</f>
        <v>33352.6391648855</v>
      </c>
    </row>
    <row r="15" customFormat="false" ht="15" hidden="false" customHeight="true" outlineLevel="0" collapsed="false">
      <c r="A15" s="22" t="n">
        <v>0.09</v>
      </c>
      <c r="B15" s="26" t="n">
        <f aca="false">(SUMPRODUCT(DCF!$B$10:$F$10,(1+$A15)^-{1,2,3,4,5})+DCF!$F$10*(1+0.02)/($A15-0.02)/(1+$A15)^5+Assumptions!$B$7)/Assumptions!$B$6*1000</f>
        <v>23592.1880767569</v>
      </c>
      <c r="C15" s="26" t="n">
        <f aca="false">(SUMPRODUCT(DCF!$B$10:$F$10,(1+$A15)^-{1,2,3,4,5})+DCF!$F$10*(1+0.025)/($A15-0.025)/(1+$A15)^5+Assumptions!$B$7)/Assumptions!$B$6*1000</f>
        <v>24871.1220724012</v>
      </c>
      <c r="D15" s="26" t="n">
        <f aca="false">(SUMPRODUCT(DCF!$B$10:$F$10,(1+$A15)^-{1,2,3,4,5})+DCF!$F$10*(1+0.03)/($A15-0.03)/(1+$A15)^5+Assumptions!$B$7)/Assumptions!$B$6*1000</f>
        <v>26363.2117339862</v>
      </c>
      <c r="E15" s="26" t="n">
        <f aca="false">(SUMPRODUCT(DCF!$B$10:$F$10,(1+$A15)^-{1,2,3,4,5})+DCF!$F$10*(1+0.035)/($A15-0.035)/(1+$A15)^5+Assumptions!$B$7)/Assumptions!$B$6*1000</f>
        <v>28126.5904249503</v>
      </c>
      <c r="F15" s="26" t="n">
        <f aca="false">(SUMPRODUCT(DCF!$B$10:$F$10,(1+$A15)^-{1,2,3,4,5})+DCF!$F$10*(1+0.04)/($A15-0.04)/(1+$A15)^5+Assumptions!$B$7)/Assumptions!$B$6*1000</f>
        <v>30242.6448541072</v>
      </c>
    </row>
    <row r="16" customFormat="false" ht="15" hidden="false" customHeight="true" outlineLevel="0" collapsed="false">
      <c r="A16" s="22" t="n">
        <v>0.095</v>
      </c>
      <c r="B16" s="26" t="n">
        <f aca="false">(SUMPRODUCT(DCF!$B$10:$F$10,(1+$A16)^-{1,2,3,4,5})+DCF!$F$10*(1+0.02)/($A16-0.02)/(1+$A16)^5+Assumptions!$B$7)/Assumptions!$B$6*1000</f>
        <v>22159.434570278</v>
      </c>
      <c r="C16" s="26" t="n">
        <f aca="false">(SUMPRODUCT(DCF!$B$10:$F$10,(1+$A16)^-{1,2,3,4,5})+DCF!$F$10*(1+0.025)/($A16-0.025)/(1+$A16)^5+Assumptions!$B$7)/Assumptions!$B$6*1000</f>
        <v>23247.73735369</v>
      </c>
      <c r="D16" s="26" t="n">
        <f aca="false">(SUMPRODUCT(DCF!$B$10:$F$10,(1+$A16)^-{1,2,3,4,5})+DCF!$F$10*(1+0.03)/($A16-0.03)/(1+$A16)^5+Assumptions!$B$7)/Assumptions!$B$6*1000</f>
        <v>24503.4713345501</v>
      </c>
      <c r="E16" s="26" t="n">
        <f aca="false">(SUMPRODUCT(DCF!$B$10:$F$10,(1+$A16)^-{1,2,3,4,5})+DCF!$F$10*(1+0.035)/($A16-0.035)/(1+$A16)^5+Assumptions!$B$7)/Assumptions!$B$6*1000</f>
        <v>25968.4943122201</v>
      </c>
      <c r="F16" s="26" t="n">
        <f aca="false">(SUMPRODUCT(DCF!$B$10:$F$10,(1+$A16)^-{1,2,3,4,5})+DCF!$F$10*(1+0.04)/($A16-0.04)/(1+$A16)^5+Assumptions!$B$7)/Assumptions!$B$6*1000</f>
        <v>27699.8851040119</v>
      </c>
    </row>
    <row r="17" customFormat="false" ht="15" hidden="false" customHeight="true" outlineLevel="0" collapsed="false">
      <c r="A17" s="22" t="n">
        <v>0.1</v>
      </c>
      <c r="B17" s="26" t="n">
        <f aca="false">(SUMPRODUCT(DCF!$B$10:$F$10,(1+$A17)^-{1,2,3,4,5})+DCF!$F$10*(1+0.02)/($A17-0.02)/(1+$A17)^5+Assumptions!$B$7)/Assumptions!$B$6*1000</f>
        <v>20907.1705052503</v>
      </c>
      <c r="C17" s="26" t="n">
        <f aca="false">(SUMPRODUCT(DCF!$B$10:$F$10,(1+$A17)^-{1,2,3,4,5})+DCF!$F$10*(1+0.025)/($A17-0.025)/(1+$A17)^5+Assumptions!$B$7)/Assumptions!$B$6*1000</f>
        <v>21842.2392248712</v>
      </c>
      <c r="D17" s="26" t="n">
        <f aca="false">(SUMPRODUCT(DCF!$B$10:$F$10,(1+$A17)^-{1,2,3,4,5})+DCF!$F$10*(1+0.03)/($A17-0.03)/(1+$A17)^5+Assumptions!$B$7)/Assumptions!$B$6*1000</f>
        <v>22910.8891901522</v>
      </c>
      <c r="E17" s="26" t="n">
        <f aca="false">(SUMPRODUCT(DCF!$B$10:$F$10,(1+$A17)^-{1,2,3,4,5})+DCF!$F$10*(1+0.035)/($A17-0.035)/(1+$A17)^5+Assumptions!$B$7)/Assumptions!$B$6*1000</f>
        <v>24143.9468423996</v>
      </c>
      <c r="F17" s="26" t="n">
        <f aca="false">(SUMPRODUCT(DCF!$B$10:$F$10,(1+$A17)^-{1,2,3,4,5})+DCF!$F$10*(1+0.04)/($A17-0.04)/(1+$A17)^5+Assumptions!$B$7)/Assumptions!$B$6*1000</f>
        <v>25582.5141033548</v>
      </c>
    </row>
    <row r="18" customFormat="false" ht="15" hidden="false" customHeight="true" outlineLevel="0" collapsed="false">
      <c r="A18" s="22" t="n">
        <v>0.105</v>
      </c>
      <c r="B18" s="26" t="n">
        <f aca="false">(SUMPRODUCT(DCF!$B$10:$F$10,(1+$A18)^-{1,2,3,4,5})+DCF!$F$10*(1+0.02)/($A18-0.02)/(1+$A18)^5+Assumptions!$B$7)/Assumptions!$B$6*1000</f>
        <v>19803.5148216524</v>
      </c>
      <c r="C18" s="26" t="n">
        <f aca="false">(SUMPRODUCT(DCF!$B$10:$F$10,(1+$A18)^-{1,2,3,4,5})+DCF!$F$10*(1+0.025)/($A18-0.025)/(1+$A18)^5+Assumptions!$B$7)/Assumptions!$B$6*1000</f>
        <v>20613.743283769</v>
      </c>
      <c r="D18" s="26" t="n">
        <f aca="false">(SUMPRODUCT(DCF!$B$10:$F$10,(1+$A18)^-{1,2,3,4,5})+DCF!$F$10*(1+0.03)/($A18-0.03)/(1+$A18)^5+Assumptions!$B$7)/Assumptions!$B$6*1000</f>
        <v>21532.0022075011</v>
      </c>
      <c r="E18" s="26" t="n">
        <f aca="false">(SUMPRODUCT(DCF!$B$10:$F$10,(1+$A18)^-{1,2,3,4,5})+DCF!$F$10*(1+0.035)/($A18-0.035)/(1+$A18)^5+Assumptions!$B$7)/Assumptions!$B$6*1000</f>
        <v>22581.4409774807</v>
      </c>
      <c r="F18" s="26" t="n">
        <f aca="false">(SUMPRODUCT(DCF!$B$10:$F$10,(1+$A18)^-{1,2,3,4,5})+DCF!$F$10*(1+0.04)/($A18-0.04)/(1+$A18)^5+Assumptions!$B$7)/Assumptions!$B$6*1000</f>
        <v>23792.3318659187</v>
      </c>
    </row>
    <row r="20" customFormat="false" ht="55.5" hidden="false" customHeight="true" outlineLevel="0" collapsed="false">
      <c r="A20" s="13" t="s">
        <v>364</v>
      </c>
      <c r="B20" s="13"/>
      <c r="C20" s="13"/>
      <c r="D20" s="13"/>
      <c r="E20" s="13"/>
      <c r="F20" s="13"/>
    </row>
  </sheetData>
  <mergeCells count="3">
    <mergeCell ref="A1:F1"/>
    <mergeCell ref="A2:F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4" min="3" style="1" width="12"/>
    <col collapsed="false" customWidth="true" hidden="false" outlineLevel="0" max="5" min="5" style="1" width="28"/>
  </cols>
  <sheetData>
    <row r="1" customFormat="false" ht="21.75" hidden="false" customHeight="true" outlineLevel="0" collapsed="false">
      <c r="A1" s="5" t="s">
        <v>365</v>
      </c>
      <c r="B1" s="5"/>
      <c r="C1" s="5"/>
      <c r="D1" s="5"/>
      <c r="E1" s="5"/>
    </row>
    <row r="2" customFormat="false" ht="15" hidden="false" customHeight="true" outlineLevel="0" collapsed="false">
      <c r="A2" s="6" t="s">
        <v>366</v>
      </c>
      <c r="B2" s="6"/>
      <c r="C2" s="6"/>
      <c r="D2" s="6"/>
      <c r="E2" s="6"/>
    </row>
    <row r="5" customFormat="false" ht="15" hidden="false" customHeight="true" outlineLevel="0" collapsed="false">
      <c r="A5" s="8" t="s">
        <v>367</v>
      </c>
      <c r="B5" s="9" t="n">
        <f aca="false">Assumptions!B5</f>
        <v>33150</v>
      </c>
    </row>
    <row r="6" customFormat="false" ht="15" hidden="false" customHeight="true" outlineLevel="0" collapsed="false">
      <c r="A6" s="8" t="s">
        <v>65</v>
      </c>
      <c r="B6" s="29" t="n">
        <f aca="false">Assumptions!B6</f>
        <v>0.4407</v>
      </c>
    </row>
    <row r="7" customFormat="false" ht="15" hidden="false" customHeight="true" outlineLevel="0" collapsed="false">
      <c r="A7" s="8" t="s">
        <v>368</v>
      </c>
      <c r="B7" s="23" t="n">
        <f aca="false">Assumptions!B5*Assumptions!B6/1000</f>
        <v>14.609205</v>
      </c>
    </row>
    <row r="8" customFormat="false" ht="15" hidden="false" customHeight="true" outlineLevel="0" collapsed="false">
      <c r="A8" s="8" t="s">
        <v>369</v>
      </c>
      <c r="B8" s="9" t="n">
        <f aca="false">'Income Statement'!D17</f>
        <v>1202.6321760835</v>
      </c>
    </row>
    <row r="9" customFormat="false" ht="15" hidden="false" customHeight="true" outlineLevel="0" collapsed="false">
      <c r="A9" s="8" t="s">
        <v>370</v>
      </c>
      <c r="B9" s="26" t="n">
        <f aca="false">Assumptions!B33/Assumptions!B6*1000</f>
        <v>1497.61742682097</v>
      </c>
    </row>
    <row r="10" customFormat="false" ht="15" hidden="false" customHeight="true" outlineLevel="0" collapsed="false">
      <c r="A10" s="8" t="s">
        <v>273</v>
      </c>
      <c r="B10" s="9" t="n">
        <f aca="false">'Balance Sheet'!D25</f>
        <v>23825.7317903336</v>
      </c>
    </row>
    <row r="11" customFormat="false" ht="15" hidden="false" customHeight="true" outlineLevel="0" collapsed="false">
      <c r="A11" s="8" t="s">
        <v>371</v>
      </c>
      <c r="B11" s="26" t="n">
        <f aca="false">Assumptions!B7/Assumptions!B6*1000</f>
        <v>3403.67597004765</v>
      </c>
    </row>
    <row r="12" customFormat="false" ht="15" hidden="false" customHeight="true" outlineLevel="0" collapsed="false">
      <c r="A12" s="8" t="s">
        <v>372</v>
      </c>
      <c r="B12" s="23" t="n">
        <f aca="false">B5/B8</f>
        <v>27.5645377358491</v>
      </c>
    </row>
    <row r="13" customFormat="false" ht="15" hidden="false" customHeight="true" outlineLevel="0" collapsed="false">
      <c r="A13" s="8" t="s">
        <v>373</v>
      </c>
      <c r="B13" s="23" t="n">
        <f aca="false">B5/B9</f>
        <v>22.1351590909091</v>
      </c>
    </row>
    <row r="14" customFormat="false" ht="15" hidden="false" customHeight="true" outlineLevel="0" collapsed="false">
      <c r="A14" s="8" t="s">
        <v>374</v>
      </c>
      <c r="B14" s="23" t="n">
        <f aca="false">B5/B10</f>
        <v>1.39135285714286</v>
      </c>
    </row>
    <row r="15" customFormat="false" ht="15" hidden="false" customHeight="true" outlineLevel="0" collapsed="false">
      <c r="A15" s="8" t="s">
        <v>26</v>
      </c>
      <c r="B15" s="9" t="n">
        <f aca="false">SOTP!B14</f>
        <v>51786.5259813932</v>
      </c>
    </row>
    <row r="16" customFormat="false" ht="15" hidden="false" customHeight="true" outlineLevel="0" collapsed="false">
      <c r="A16" s="8" t="s">
        <v>375</v>
      </c>
      <c r="B16" s="10" t="n">
        <f aca="false">B5/B15-1</f>
        <v>-0.359872102409212</v>
      </c>
    </row>
    <row r="18" customFormat="false" ht="55.5" hidden="false" customHeight="true" outlineLevel="0" collapsed="false">
      <c r="A18" s="13" t="s">
        <v>376</v>
      </c>
      <c r="B18" s="13"/>
      <c r="C18" s="13"/>
      <c r="D18" s="13"/>
      <c r="E18" s="13"/>
    </row>
  </sheetData>
  <mergeCells count="3">
    <mergeCell ref="A1:E1"/>
    <mergeCell ref="A2:E2"/>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18"/>
    <col collapsed="false" customWidth="true" hidden="false" outlineLevel="0" max="4" min="4" style="1" width="22"/>
  </cols>
  <sheetData>
    <row r="1" customFormat="false" ht="21.75" hidden="false" customHeight="true" outlineLevel="0" collapsed="false">
      <c r="A1" s="5" t="s">
        <v>377</v>
      </c>
      <c r="B1" s="5"/>
      <c r="C1" s="5"/>
      <c r="D1" s="5"/>
    </row>
    <row r="2" customFormat="false" ht="15" hidden="false" customHeight="true" outlineLevel="0" collapsed="false">
      <c r="A2" s="6" t="s">
        <v>378</v>
      </c>
      <c r="B2" s="6"/>
      <c r="C2" s="6"/>
      <c r="D2" s="6"/>
    </row>
    <row r="4" customFormat="false" ht="24" hidden="false" customHeight="true" outlineLevel="0" collapsed="false">
      <c r="A4" s="14" t="s">
        <v>379</v>
      </c>
      <c r="B4" s="14" t="s">
        <v>380</v>
      </c>
      <c r="C4" s="14" t="s">
        <v>381</v>
      </c>
      <c r="D4" s="14" t="s">
        <v>382</v>
      </c>
    </row>
    <row r="5" customFormat="false" ht="24" hidden="false" customHeight="true" outlineLevel="0" collapsed="false">
      <c r="A5" s="27" t="s">
        <v>383</v>
      </c>
      <c r="B5" s="28" t="s">
        <v>384</v>
      </c>
      <c r="C5" s="28" t="s">
        <v>385</v>
      </c>
      <c r="D5" s="28" t="s">
        <v>386</v>
      </c>
    </row>
    <row r="6" customFormat="false" ht="24" hidden="false" customHeight="true" outlineLevel="0" collapsed="false">
      <c r="A6" s="27" t="s">
        <v>387</v>
      </c>
      <c r="B6" s="28" t="s">
        <v>388</v>
      </c>
      <c r="C6" s="28" t="s">
        <v>389</v>
      </c>
      <c r="D6" s="28" t="s">
        <v>390</v>
      </c>
    </row>
    <row r="7" customFormat="false" ht="24" hidden="false" customHeight="true" outlineLevel="0" collapsed="false">
      <c r="A7" s="27" t="s">
        <v>391</v>
      </c>
      <c r="B7" s="28" t="s">
        <v>392</v>
      </c>
      <c r="C7" s="28" t="s">
        <v>393</v>
      </c>
      <c r="D7" s="28" t="s">
        <v>390</v>
      </c>
    </row>
    <row r="8" customFormat="false" ht="24" hidden="false" customHeight="true" outlineLevel="0" collapsed="false">
      <c r="A8" s="27" t="s">
        <v>87</v>
      </c>
      <c r="B8" s="28" t="s">
        <v>394</v>
      </c>
      <c r="C8" s="28" t="s">
        <v>395</v>
      </c>
      <c r="D8" s="28" t="s">
        <v>396</v>
      </c>
    </row>
    <row r="9" customFormat="false" ht="24" hidden="false" customHeight="true" outlineLevel="0" collapsed="false">
      <c r="A9" s="27" t="s">
        <v>397</v>
      </c>
      <c r="B9" s="28" t="s">
        <v>398</v>
      </c>
      <c r="C9" s="28" t="s">
        <v>399</v>
      </c>
      <c r="D9" s="28" t="s">
        <v>400</v>
      </c>
    </row>
    <row r="10" customFormat="false" ht="24" hidden="false" customHeight="true" outlineLevel="0" collapsed="false">
      <c r="A10" s="27" t="s">
        <v>401</v>
      </c>
      <c r="B10" s="28" t="s">
        <v>402</v>
      </c>
      <c r="C10" s="28" t="s">
        <v>403</v>
      </c>
      <c r="D10" s="28" t="s">
        <v>404</v>
      </c>
    </row>
    <row r="11" customFormat="false" ht="24" hidden="false" customHeight="true" outlineLevel="0" collapsed="false">
      <c r="A11" s="27" t="s">
        <v>405</v>
      </c>
      <c r="B11" s="28" t="s">
        <v>406</v>
      </c>
      <c r="C11" s="28" t="s">
        <v>407</v>
      </c>
      <c r="D11" s="28" t="s">
        <v>400</v>
      </c>
    </row>
    <row r="13" customFormat="false" ht="69.75" hidden="false" customHeight="true" outlineLevel="0" collapsed="false">
      <c r="A13" s="13" t="s">
        <v>408</v>
      </c>
      <c r="B13" s="13"/>
      <c r="C13" s="13"/>
      <c r="D13" s="13"/>
    </row>
  </sheetData>
  <mergeCells count="3">
    <mergeCell ref="A1:D1"/>
    <mergeCell ref="A2:D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2026-06-28T12:58:45Z</dcterms:created>
  <dc:creator>openpyxl</dc:creator>
  <dc:description/>
  <dc:language>en-US</dc:language>
  <cp:lastModifiedBy/>
  <dcterms:modified xsi:type="dcterms:W3CDTF">2026-06-28T14:05:39Z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