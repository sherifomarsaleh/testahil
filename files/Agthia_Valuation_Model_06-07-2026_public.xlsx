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FIRST" sheetId="1" state="visible" r:id="rId3"/>
    <sheet name="Summary" sheetId="2" state="visible" r:id="rId4"/>
    <sheet name="Fundamental Valuation" sheetId="3" state="visible" r:id="rId5"/>
    <sheet name="Assumptions" sheetId="4" state="visible" r:id="rId6"/>
    <sheet name="SOTP" sheetId="5" state="visible" r:id="rId7"/>
    <sheet name="Segments" sheetId="6" state="visible" r:id="rId8"/>
    <sheet name="Relative &amp; Normalized" sheetId="7" state="visible" r:id="rId9"/>
    <sheet name="DCF" sheetId="8" state="visible" r:id="rId10"/>
    <sheet name="Income Statement" sheetId="9" state="visible" r:id="rId11"/>
    <sheet name="Balance Sheet" sheetId="10" state="visible" r:id="rId12"/>
    <sheet name="Cash Flow" sheetId="11" state="visible" r:id="rId13"/>
    <sheet name="Summary Financials" sheetId="12" state="visible" r:id="rId14"/>
    <sheet name="Monte Carlo" sheetId="13" state="visible" r:id="rId15"/>
    <sheet name="Sensitivity" sheetId="14" state="visible" r:id="rId16"/>
    <sheet name="Per-Share &amp; Ratios" sheetId="15" state="visible" r:id="rId17"/>
    <sheet name="Peer &amp; Sector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<sst xmlns="http://schemas.openxmlformats.org/spreadsheetml/2006/main" count="364" uniqueCount="277">
  <si>
    <t xml:space="preserve">Testahil — Agthia Group PJSC (ADX: AGTHIA)</t>
  </si>
  <si>
    <t xml:space="preserve">Companion model · Independent Valuation Study · Educational analysis · Not investment advice</t>
  </si>
  <si>
    <t xml:space="preserve">⚠ INDICATIVE ONLY · FAILED CALIBRATION TEST. The Step 0 backtest of the Monte Carlo lens on AGTHIA does not beat the zero-drift random-walk benchmark (CRPS skill −0.004 on non-overlapping windows; ≤ 0 on all schemes). The §3/Monte Carlo outputs are therefore indicative only. The fundamental valuation sheets are unaffected. See the study, Appendix B.</t>
  </si>
  <si>
    <t xml:space="preserve">What this workbook is. A transparent companion to the Agthia valuation study: every assumption is exposed, every output traceable. A blue cell is an input;</t>
  </si>
  <si>
    <t xml:space="preserve">a black cell is a formula. All inputs live on the Assumptions sheet — change one (the WACC build, a segment margin, a multiple) and the whole model reprices.</t>
  </si>
  <si>
    <t xml:space="preserve">What it is not. It is not investment advice, a recommendation, or a target. Values are model outputs presented as ranges. The preparer is not licensed by any</t>
  </si>
  <si>
    <t xml:space="preserve">securities regulator in any jurisdiction, and may hold, take, or dispose of a position in the security discussed. See the study Disclosure &amp; Disclaimer.</t>
  </si>
  <si>
    <t xml:space="preserve">Currency. AED millions unless stated; per-share values in AED; dividends in fils (1/100 AED). Spot and market data as of 6 July 2026.</t>
  </si>
  <si>
    <t xml:space="preserve">Historical financials are company disclosure (ADX preliminary FY2025 results, 5 March 2026; Q1 2026 release, 12 May 2026). Where a historical line is not</t>
  </si>
  <si>
    <t xml:space="preserve">separately disclosed in the preliminary release (D&amp;A, net finance cost, tax, minorities), it is estimated to balance to disclosed totals (revenue, EBITDA,</t>
  </si>
  <si>
    <t xml:space="preserve">net profit, EPS, total assets, equity) and marked blue as an input.</t>
  </si>
  <si>
    <t xml:space="preserve">Sheets: Summary · Fundamental Valuation · Assumptions · SOTP · Segments · Relative &amp; Normalized · DCF · Income Statement · Balance Sheet · Cash Flow ·</t>
  </si>
  <si>
    <t xml:space="preserve">Summary Financials · Monte Carlo · Sensitivity · Per-Share &amp; Ratios · Peer &amp; Sector.</t>
  </si>
  <si>
    <t xml:space="preserve">Valuation summary — Agthia Group (ADX: AGTHIA)</t>
  </si>
  <si>
    <t xml:space="preserve">Four-lens fair value vs spot. Base links live; bear/bull are scenario runs (hardcoded from the study engine).</t>
  </si>
  <si>
    <t xml:space="preserve">Bear</t>
  </si>
  <si>
    <t xml:space="preserve">Base</t>
  </si>
  <si>
    <t xml:space="preserve">Bull</t>
  </si>
  <si>
    <t xml:space="preserve">Weight</t>
  </si>
  <si>
    <t xml:space="preserve">Consolidated DCF (primary)</t>
  </si>
  <si>
    <t xml:space="preserve">Segment SOTP</t>
  </si>
  <si>
    <t xml:space="preserve">Relative multiples</t>
  </si>
  <si>
    <t xml:space="preserve">Normalized earnings</t>
  </si>
  <si>
    <t xml:space="preserve">Weighted central</t>
  </si>
  <si>
    <t xml:space="preserve">Spot price (AED)</t>
  </si>
  <si>
    <t xml:space="preserve">Upside to central base</t>
  </si>
  <si>
    <t xml:space="preserve">Read: meaningfully undervalued on a one-off-laden 2025 the market treats as structural; the swing factors are the Snacking reset (coffee + EGP) and the KSA protein ramp. §3 Monte Carlo is INDICATIVE ONLY (failed Step 0).</t>
  </si>
  <si>
    <t xml:space="preserve">Fundamental valuation — football field data</t>
  </si>
  <si>
    <t xml:space="preserve">Bear/base/bull per lens (links to Summary). Figure 1 of the study is drawn from this table.</t>
  </si>
  <si>
    <t xml:space="preserve">Lens</t>
  </si>
  <si>
    <t xml:space="preserve">Spot</t>
  </si>
  <si>
    <t xml:space="preserve">Assumptions — the single input layer</t>
  </si>
  <si>
    <t xml:space="preserve">All blue cells are inputs. Every other sheet links here.</t>
  </si>
  <si>
    <t xml:space="preserve">ANCHORS</t>
  </si>
  <si>
    <t xml:space="preserve">Spot price (AED/share)</t>
  </si>
  <si>
    <t xml:space="preserve">Shares outstanding (mn)</t>
  </si>
  <si>
    <t xml:space="preserve">Consolidated net debt (AED mn)</t>
  </si>
  <si>
    <t xml:space="preserve">Cash &amp; equivalents (AED mn)</t>
  </si>
  <si>
    <t xml:space="preserve">Minorities — estimated value (AED mn)</t>
  </si>
  <si>
    <t xml:space="preserve">Tax rate (Pillar II blended)</t>
  </si>
  <si>
    <t xml:space="preserve">COST OF CAPITAL — Ke = rf + β × ERP (§3.5-G)</t>
  </si>
  <si>
    <t xml:space="preserve">Risk-free rate (rf)</t>
  </si>
  <si>
    <t xml:space="preserve">Equity risk premium (ERP)</t>
  </si>
  <si>
    <t xml:space="preserve">Beta (band 0.8–1.3)</t>
  </si>
  <si>
    <t xml:space="preserve">Ke — UAE sleeve = rf + β×ERP</t>
  </si>
  <si>
    <t xml:space="preserve">Ke — Egypt/Jordan sleeve (judgment)</t>
  </si>
  <si>
    <t xml:space="preserve">UAE sleeve weight (of equity value)</t>
  </si>
  <si>
    <t xml:space="preserve">Ke — blended</t>
  </si>
  <si>
    <t xml:space="preserve">Equity weight (E/(D+E))</t>
  </si>
  <si>
    <t xml:space="preserve">Cost of debt, after tax</t>
  </si>
  <si>
    <t xml:space="preserve">WACC = wE×Ke + wD×Kd</t>
  </si>
  <si>
    <t xml:space="preserve">Terminal growth (g)</t>
  </si>
  <si>
    <t xml:space="preserve">SOTP — EV/EBITDA multiples on FY26E segment EBITDA</t>
  </si>
  <si>
    <t xml:space="preserve">Water &amp; Food multiple</t>
  </si>
  <si>
    <t xml:space="preserve">Agri-Business multiple</t>
  </si>
  <si>
    <t xml:space="preserve">Snacking multiple</t>
  </si>
  <si>
    <t xml:space="preserve">Protein &amp; Frozen multiple</t>
  </si>
  <si>
    <t xml:space="preserve">RELATIVE &amp; NORMALIZED</t>
  </si>
  <si>
    <t xml:space="preserve">EV/EBITDA target multiple (FY26E group)</t>
  </si>
  <si>
    <t xml:space="preserve">Mid-cycle attributable net profit (AED mn)</t>
  </si>
  <si>
    <t xml:space="preserve">Justified P/E</t>
  </si>
  <si>
    <t xml:space="preserve">SYNTHESIS WEIGHTS</t>
  </si>
  <si>
    <t xml:space="preserve">DCF weight</t>
  </si>
  <si>
    <t xml:space="preserve">SOTP weight</t>
  </si>
  <si>
    <t xml:space="preserve">Relative weight</t>
  </si>
  <si>
    <t xml:space="preserve">Normalized-earnings weight</t>
  </si>
  <si>
    <t xml:space="preserve">WORKING CAPITAL (% of revenue)</t>
  </si>
  <si>
    <t xml:space="preserve">Inventory</t>
  </si>
  <si>
    <t xml:space="preserve">Trade &amp; other receivables</t>
  </si>
  <si>
    <t xml:space="preserve">Trade &amp; other payables</t>
  </si>
  <si>
    <t xml:space="preserve">MONTE CARLO (engine inputs — see study §3 / Appendix B)</t>
  </si>
  <si>
    <t xml:space="preserve">Diffusion volatility (annualized, YZ-HAR)</t>
  </si>
  <si>
    <t xml:space="preserve">Net 3-month factor drift</t>
  </si>
  <si>
    <t xml:space="preserve">Horizon (sessions)</t>
  </si>
  <si>
    <t xml:space="preserve">FORECAST DRIVERS (FY26E–FY30E)</t>
  </si>
  <si>
    <t xml:space="preserve">FY26E</t>
  </si>
  <si>
    <t xml:space="preserve">FY27E</t>
  </si>
  <si>
    <t xml:space="preserve">FY28E</t>
  </si>
  <si>
    <t xml:space="preserve">FY29E</t>
  </si>
  <si>
    <t xml:space="preserve">FY30E</t>
  </si>
  <si>
    <t xml:space="preserve">W&amp;F revenue growth</t>
  </si>
  <si>
    <t xml:space="preserve">Agri-Business revenue growth</t>
  </si>
  <si>
    <t xml:space="preserve">Snacking revenue growth</t>
  </si>
  <si>
    <t xml:space="preserve">Protein &amp; Frozen revenue growth</t>
  </si>
  <si>
    <t xml:space="preserve">W&amp;F EBITDA margin</t>
  </si>
  <si>
    <t xml:space="preserve">Agri-Business EBITDA margin</t>
  </si>
  <si>
    <t xml:space="preserve">Snacking EBITDA margin</t>
  </si>
  <si>
    <t xml:space="preserve">Protein &amp; Frozen EBITDA margin</t>
  </si>
  <si>
    <t xml:space="preserve">Corporate / eliminations EBITDA (AED mn)</t>
  </si>
  <si>
    <t xml:space="preserve">D&amp;A (% of revenue)</t>
  </si>
  <si>
    <t xml:space="preserve">Net finance cost (AED mn)</t>
  </si>
  <si>
    <t xml:space="preserve">Capex (% of revenue)</t>
  </si>
  <si>
    <t xml:space="preserve">Δ net working capital (AED mn)</t>
  </si>
  <si>
    <t xml:space="preserve">Minorities (% of net profit)</t>
  </si>
  <si>
    <t xml:space="preserve">Dividend per share (fils)</t>
  </si>
  <si>
    <t xml:space="preserve">Dividend, common (AED mn)</t>
  </si>
  <si>
    <t xml:space="preserve">Segment sum-of-the-parts (cross-check lens)</t>
  </si>
  <si>
    <t xml:space="preserve">Each segment marked at FY26E EBITDA × a class multiple. Links: Income Statement + Assumptions.</t>
  </si>
  <si>
    <t xml:space="preserve">Part</t>
  </si>
  <si>
    <t xml:space="preserve">Basis</t>
  </si>
  <si>
    <t xml:space="preserve">Value (AED mn)</t>
  </si>
  <si>
    <t xml:space="preserve">Water &amp; Food</t>
  </si>
  <si>
    <t xml:space="preserve">FY26E EBITDA × multiple (branded water #1; Riviere D2C)</t>
  </si>
  <si>
    <t xml:space="preserve">Agri-Business</t>
  </si>
  <si>
    <t xml:space="preserve">FY26E EBITDA × multiple (regulated flour &amp; feed, B2B)</t>
  </si>
  <si>
    <t xml:space="preserve">Snacking</t>
  </si>
  <si>
    <t xml:space="preserve">FY26E EBITDA × multiple (Abu Auf/BMB/Al Foah, reset year)</t>
  </si>
  <si>
    <t xml:space="preserve">Protein &amp; Frozen</t>
  </si>
  <si>
    <t xml:space="preserve">FY26E EBITDA × multiple (Nabil/Atyab + KSA ramp)</t>
  </si>
  <si>
    <t xml:space="preserve">Σ Enterprise value</t>
  </si>
  <si>
    <t xml:space="preserve">less: consolidated net debt</t>
  </si>
  <si>
    <t xml:space="preserve">less: minorities (est. value)</t>
  </si>
  <si>
    <t xml:space="preserve">SOTP equity value</t>
  </si>
  <si>
    <t xml:space="preserve">SOTP fair value per share (AED)</t>
  </si>
  <si>
    <t xml:space="preserve">No conglomerate discount is applied: the four segments share one management, one balance sheet and one distribution backbone; the class multiples already carry the segment risk.</t>
  </si>
  <si>
    <t xml:space="preserve">Segment view</t>
  </si>
  <si>
    <t xml:space="preserve">Revenue, EBITDA and margin by segment, FY24–FY30E. All links to the Income Statement.</t>
  </si>
  <si>
    <t xml:space="preserve">FY24</t>
  </si>
  <si>
    <t xml:space="preserve">FY25</t>
  </si>
  <si>
    <t xml:space="preserve">Water &amp; Food revenue</t>
  </si>
  <si>
    <t xml:space="preserve">Agri-Business revenue</t>
  </si>
  <si>
    <t xml:space="preserve">Snacking revenue</t>
  </si>
  <si>
    <t xml:space="preserve">Protein &amp; Frozen revenue</t>
  </si>
  <si>
    <t xml:space="preserve">Water &amp; Food EBITDA</t>
  </si>
  <si>
    <t xml:space="preserve">Agri-Business EBITDA</t>
  </si>
  <si>
    <t xml:space="preserve">Snacking EBITDA</t>
  </si>
  <si>
    <t xml:space="preserve">Protein &amp; Frozen EBITDA</t>
  </si>
  <si>
    <t xml:space="preserve">W&amp;F margin</t>
  </si>
  <si>
    <t xml:space="preserve">Agri margin</t>
  </si>
  <si>
    <t xml:space="preserve">Snacking margin</t>
  </si>
  <si>
    <t xml:space="preserve">P&amp;F margin</t>
  </si>
  <si>
    <t xml:space="preserve">Snacking % of group revenue</t>
  </si>
  <si>
    <t xml:space="preserve">Relative &amp; normalized-earnings lenses</t>
  </si>
  <si>
    <t xml:space="preserve">Links to Assumptions and the Income Statement.</t>
  </si>
  <si>
    <t xml:space="preserve">Workings</t>
  </si>
  <si>
    <t xml:space="preserve">AED/share</t>
  </si>
  <si>
    <t xml:space="preserve">Relative EV/EBITDA</t>
  </si>
  <si>
    <t xml:space="preserve">FY26E group EBITDA × multiple − net debt − minorities, /sh</t>
  </si>
  <si>
    <t xml:space="preserve">  implied EV (AED mn)</t>
  </si>
  <si>
    <t xml:space="preserve">Mid-cycle attributable NP × justified P/E, /sh</t>
  </si>
  <si>
    <t xml:space="preserve">  normalized EPS (AED)</t>
  </si>
  <si>
    <t xml:space="preserve">Discounted cash flow — the primary lens (explicit 5-year FCFF)</t>
  </si>
  <si>
    <t xml:space="preserve">Revenue → EBITDA → D&amp;A → EBIT → NOPAT → +D&amp;A − capex − ΔWC → FCFF, discounted at the §G WACC. Links: Income Statement + Assumptions.</t>
  </si>
  <si>
    <t xml:space="preserve">Revenue</t>
  </si>
  <si>
    <t xml:space="preserve">EBITDA</t>
  </si>
  <si>
    <t xml:space="preserve">D&amp;A</t>
  </si>
  <si>
    <t xml:space="preserve">EBIT</t>
  </si>
  <si>
    <t xml:space="preserve">NOPAT = EBIT×(1−tax)</t>
  </si>
  <si>
    <t xml:space="preserve">+ D&amp;A</t>
  </si>
  <si>
    <t xml:space="preserve">− Capex</t>
  </si>
  <si>
    <t xml:space="preserve">− Increase in net WC</t>
  </si>
  <si>
    <t xml:space="preserve">FCFF</t>
  </si>
  <si>
    <t xml:space="preserve">Discount factor</t>
  </si>
  <si>
    <t xml:space="preserve">PV of FCFF</t>
  </si>
  <si>
    <t xml:space="preserve">Σ PV of explicit FCFF (FY26E–30E)</t>
  </si>
  <si>
    <t xml:space="preserve">Terminal value (Gordon)</t>
  </si>
  <si>
    <t xml:space="preserve">PV of terminal value</t>
  </si>
  <si>
    <t xml:space="preserve">Enterprise value</t>
  </si>
  <si>
    <t xml:space="preserve">Equity value</t>
  </si>
  <si>
    <t xml:space="preserve">Fair value per share (AED)</t>
  </si>
  <si>
    <t xml:space="preserve">% terminal of EV</t>
  </si>
  <si>
    <t xml:space="preserve">Income statement (AED mn, consolidated)</t>
  </si>
  <si>
    <t xml:space="preserve">FY23–FY25 disclosed / estimated-to-balance (blue); FY26E–FY30E forecast (formulas). Source: ADX preliminary FY2025 results (5 Mar 2026).</t>
  </si>
  <si>
    <t xml:space="preserve">FY23</t>
  </si>
  <si>
    <t xml:space="preserve">Total revenue</t>
  </si>
  <si>
    <t xml:space="preserve">Corporate / other / eliminations</t>
  </si>
  <si>
    <t xml:space="preserve">Group EBITDA (reported)</t>
  </si>
  <si>
    <t xml:space="preserve">EBITDA margin</t>
  </si>
  <si>
    <t xml:space="preserve">One-off items (memo; Al Foah 92.0 + legacy receivables 47.1 + Timarat 4.4)</t>
  </si>
  <si>
    <t xml:space="preserve">Underlying EBITDA (memo)</t>
  </si>
  <si>
    <t xml:space="preserve">Net finance cost</t>
  </si>
  <si>
    <t xml:space="preserve">Profit before tax</t>
  </si>
  <si>
    <t xml:space="preserve">Tax</t>
  </si>
  <si>
    <t xml:space="preserve">Net profit (group)</t>
  </si>
  <si>
    <t xml:space="preserve">Minorities</t>
  </si>
  <si>
    <t xml:space="preserve">Attributable net profit</t>
  </si>
  <si>
    <t xml:space="preserve">EPS (AED)</t>
  </si>
  <si>
    <t xml:space="preserve">FY23 segment split not restated in the preliminary release; total-only shown. Blue historical D&amp;A / finance / tax / minorities are estimated to balance to disclosed totals (EBITDA, net profit, EPS).</t>
  </si>
  <si>
    <t xml:space="preserve">Balance sheet (AED mn, consolidated)</t>
  </si>
  <si>
    <t xml:space="preserve">Historicals anchored to disclosed totals (assets, equity); working capital modeled off Assumptions; PP&amp;E/goodwill is the balancing asset block.</t>
  </si>
  <si>
    <t xml:space="preserve">PP&amp;E, goodwill &amp; intangibles (plug)</t>
  </si>
  <si>
    <t xml:space="preserve">Cash &amp; equivalents</t>
  </si>
  <si>
    <t xml:space="preserve">Total assets</t>
  </si>
  <si>
    <t xml:space="preserve">Shareholders’ equity</t>
  </si>
  <si>
    <t xml:space="preserve">Minority interests</t>
  </si>
  <si>
    <t xml:space="preserve">Borrowings &amp; lease liabilities</t>
  </si>
  <si>
    <t xml:space="preserve">Other liabilities (plug)</t>
  </si>
  <si>
    <t xml:space="preserve">Total equity &amp; liabilities</t>
  </si>
  <si>
    <t xml:space="preserve">Net debt</t>
  </si>
  <si>
    <t xml:space="preserve">Net debt / EBITDA</t>
  </si>
  <si>
    <t xml:space="preserve">Cash flow (AED mn, forecast)</t>
  </si>
  <si>
    <t xml:space="preserve">Derived from the Income Statement and Assumptions. FY25 actual: operating cash flow AED 434.7mn; capex 143.5; free cash flow 317.8 (disclosed).</t>
  </si>
  <si>
    <t xml:space="preserve">− Increase in net working capital</t>
  </si>
  <si>
    <t xml:space="preserve">Operating cash flow</t>
  </si>
  <si>
    <t xml:space="preserve">Free cash flow</t>
  </si>
  <si>
    <t xml:space="preserve">− Dividends, common</t>
  </si>
  <si>
    <t xml:space="preserve">− Dividends to minorities</t>
  </si>
  <si>
    <t xml:space="preserve">Net change in cash</t>
  </si>
  <si>
    <t xml:space="preserve">Opening cash</t>
  </si>
  <si>
    <t xml:space="preserve">Closing cash</t>
  </si>
  <si>
    <t xml:space="preserve">Summary financials (AED mn)</t>
  </si>
  <si>
    <t xml:space="preserve">Every cell links to the statement sheets — nothing is re-keyed.</t>
  </si>
  <si>
    <t xml:space="preserve">Underlying EBITDA</t>
  </si>
  <si>
    <t xml:space="preserve">Monte Carlo — engine outputs (INDICATIVE ONLY · FAILED CALIBRATION TEST)</t>
  </si>
  <si>
    <t xml:space="preserve">50,000 paths · 16 factors · seed 42 · YZ-HAR width, Student-t(5) shape, zero secular drift. Step 0 CRPS skill ≤ 0 — see the Testahil calibration ledger.</t>
  </si>
  <si>
    <t xml:space="preserve">Probability read (T+60)</t>
  </si>
  <si>
    <t xml:space="preserve">P(price above spot)</t>
  </si>
  <si>
    <t xml:space="preserve">P(≥ +10%) vs P(≤ −10%)</t>
  </si>
  <si>
    <t xml:space="preserve">20.4% vs 17.9% · odds 1.14</t>
  </si>
  <si>
    <t xml:space="preserve">Median (AED) and % move</t>
  </si>
  <si>
    <t xml:space="preserve">3.52 (+0.2%)</t>
  </si>
  <si>
    <t xml:space="preserve">50% band (25th–75th)</t>
  </si>
  <si>
    <t xml:space="preserve">3.26 – 3.79 (-7.2% to +8.0%)</t>
  </si>
  <si>
    <t xml:space="preserve">Touch(+10%) / touch(−10%)</t>
  </si>
  <si>
    <t xml:space="preserve">37% / 32%</t>
  </si>
  <si>
    <t xml:space="preserve">Percentile map (AED/share)</t>
  </si>
  <si>
    <t xml:space="preserve">Horizon</t>
  </si>
  <si>
    <t xml:space="preserve">p5</t>
  </si>
  <si>
    <t xml:space="preserve">p25</t>
  </si>
  <si>
    <t xml:space="preserve">p50</t>
  </si>
  <si>
    <t xml:space="preserve">p75</t>
  </si>
  <si>
    <t xml:space="preserve">p95</t>
  </si>
  <si>
    <t xml:space="preserve">T+20 sessions</t>
  </si>
  <si>
    <t xml:space="preserve">T+60 sessions</t>
  </si>
  <si>
    <t xml:space="preserve">Inputs (from Assumptions): σ annualized</t>
  </si>
  <si>
    <t xml:space="preserve">net 3-month factor drift</t>
  </si>
  <si>
    <t xml:space="preserve">horizon (sessions)</t>
  </si>
  <si>
    <t xml:space="preserve">Level-touch ladder</t>
  </si>
  <si>
    <t xml:space="preserve">Level</t>
  </si>
  <si>
    <t xml:space="preserve">T+20</t>
  </si>
  <si>
    <t xml:space="preserve">T+60</t>
  </si>
  <si>
    <t xml:space="preserve">DCF sensitivity — WACC × terminal growth</t>
  </si>
  <si>
    <t xml:space="preserve">Fair value (AED/share). Live: each cell rediscounts the DCF sheet FCFF at the row WACC / column g.</t>
  </si>
  <si>
    <t xml:space="preserve">WACC \ g</t>
  </si>
  <si>
    <t xml:space="preserve">Cells near spot (AED 3.51) show what the market is paying for; the base case (10.6% / 2.25%) reads AED 4.60.</t>
  </si>
  <si>
    <t xml:space="preserve">Crux in real units — green coffee ($/lb) × EGP/USD (AED/share, DCF post-shift):</t>
  </si>
  <si>
    <t xml:space="preserve">coffee \ EGP</t>
  </si>
  <si>
    <t xml:space="preserve">Per-share &amp; ratios — the standing dashboard</t>
  </si>
  <si>
    <t xml:space="preserve">Identical panel across every Testahil study. Links to statements / Assumptions; spot-based multiples use the study-date price.</t>
  </si>
  <si>
    <t xml:space="preserve">DPS (fils)</t>
  </si>
  <si>
    <t xml:space="preserve">BVPS (AED)</t>
  </si>
  <si>
    <t xml:space="preserve">P/E (at spot)</t>
  </si>
  <si>
    <t xml:space="preserve">P/B (at spot)</t>
  </si>
  <si>
    <t xml:space="preserve">Dividend yield (at spot)</t>
  </si>
  <si>
    <t xml:space="preserve">FCF yield (at spot)</t>
  </si>
  <si>
    <t xml:space="preserve">EV/EBITDA (at spot)</t>
  </si>
  <si>
    <t xml:space="preserve">EBIT margin</t>
  </si>
  <si>
    <t xml:space="preserve">Net margin (group)</t>
  </si>
  <si>
    <t xml:space="preserve">Effective tax rate</t>
  </si>
  <si>
    <t xml:space="preserve">ROAE (attributable)</t>
  </si>
  <si>
    <t xml:space="preserve">ROAIC (NOPAT / avg equity+ND)</t>
  </si>
  <si>
    <t xml:space="preserve">Payout ratio (DPS/EPS)</t>
  </si>
  <si>
    <t xml:space="preserve">Revenue YoY</t>
  </si>
  <si>
    <t xml:space="preserve">Peer set &amp; sector</t>
  </si>
  <si>
    <t xml:space="preserve">GCC/MENA food &amp; beverage staples. Ranges are indicative context (preparer’s judgment from public data), not a comp model.</t>
  </si>
  <si>
    <t xml:space="preserve">Peer</t>
  </si>
  <si>
    <t xml:space="preserve">What it is</t>
  </si>
  <si>
    <t xml:space="preserve">Typical valuation (indicative)</t>
  </si>
  <si>
    <t xml:space="preserve">Almarai (Tadawul: 2280)</t>
  </si>
  <si>
    <t xml:space="preserve">GCC dairy &amp; food champion, KSA</t>
  </si>
  <si>
    <t xml:space="preserve">EV/EBITDA ~9–11×; P/E ~16–20×</t>
  </si>
  <si>
    <t xml:space="preserve">Savola Group (Tadawul: 2050)</t>
  </si>
  <si>
    <t xml:space="preserve">KSA food holdco (retail, oils, sugar)</t>
  </si>
  <si>
    <t xml:space="preserve">SOTP; holdco discount</t>
  </si>
  <si>
    <t xml:space="preserve">Americana Restaurants (ADX/Tadawul)</t>
  </si>
  <si>
    <t xml:space="preserve">MENA QSR platform</t>
  </si>
  <si>
    <t xml:space="preserve">P/E ~14–18×; growth premium</t>
  </si>
  <si>
    <t xml:space="preserve">Juhayna (EGX: JUFO)</t>
  </si>
  <si>
    <t xml:space="preserve">Egypt dairy &amp; juice</t>
  </si>
  <si>
    <t xml:space="preserve">EV/EBITDA ~5–7× (EGP risk)</t>
  </si>
  <si>
    <t xml:space="preserve">NADEC (Tadawul: 6010)</t>
  </si>
  <si>
    <t xml:space="preserve">KSA dairy &amp; agri</t>
  </si>
  <si>
    <t xml:space="preserve">EV/EBITDA ~7–9×</t>
  </si>
  <si>
    <t xml:space="preserve">Agthia (ADX: AGTHIA) — at spot</t>
  </si>
  <si>
    <t xml:space="preserve">UAE multi-category F&amp;B (this study)</t>
  </si>
  <si>
    <t xml:space="preserve">EV/underlying EBITDA ~7.0×; yield ~6.3%</t>
  </si>
  <si>
    <t xml:space="preserve">Principal sector risks: input-commodity cycles (wheat, coffee, resin), EGP/JOD translation, regulated flour &amp; feed margins, water-category price competition, regional geopolitics/logistics, and Pillar-II tax.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</si>
</sst>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"/>
    <numFmt numFmtId="166" formatCode="0.0%"/>
    <numFmt numFmtId="167" formatCode="#,##0.0"/>
    <numFmt numFmtId="168" formatCode="#,##0.0;\(#,##0.0\);\–"/>
    <numFmt numFmtId="169" formatCode="0.0\×"/>
    <numFmt numFmtId="170" formatCode="0"/>
    <numFmt numFmtId="171" formatCode="0.0"/>
    <numFmt numFmtId="172" formatCode="0.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C3A36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1C3A36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AF0EE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AF0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C3A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42" hidden="false" customHeight="true" outlineLevel="0" collapsed="false">
      <c r="A4" s="4" t="s">
        <v>2</v>
      </c>
    </row>
    <row r="5" customFormat="false" ht="15" hidden="false" customHeight="false" outlineLevel="0" collapsed="false">
      <c r="A5" s="3"/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3"/>
    </row>
    <row r="9" customFormat="false" ht="15" hidden="false" customHeight="false" outlineLevel="0" collapsed="false">
      <c r="A9" s="3" t="s">
        <v>5</v>
      </c>
    </row>
    <row r="10" customFormat="false" ht="15" hidden="false" customHeight="false" outlineLevel="0" collapsed="false">
      <c r="A10" s="3" t="s">
        <v>6</v>
      </c>
    </row>
    <row r="11" customFormat="false" ht="15" hidden="false" customHeight="false" outlineLevel="0" collapsed="false">
      <c r="A11" s="3"/>
    </row>
    <row r="12" customFormat="false" ht="15" hidden="false" customHeight="false" outlineLevel="0" collapsed="false">
      <c r="A12" s="3" t="s">
        <v>7</v>
      </c>
    </row>
    <row r="13" customFormat="false" ht="15" hidden="false" customHeight="false" outlineLevel="0" collapsed="false">
      <c r="A13" s="3" t="s">
        <v>8</v>
      </c>
    </row>
    <row r="14" customFormat="false" ht="15" hidden="false" customHeight="false" outlineLevel="0" collapsed="false">
      <c r="A14" s="3" t="s">
        <v>9</v>
      </c>
    </row>
    <row r="15" customFormat="false" ht="15" hidden="false" customHeight="false" outlineLevel="0" collapsed="false">
      <c r="A15" s="3" t="s">
        <v>10</v>
      </c>
    </row>
    <row r="16" customFormat="false" ht="15" hidden="false" customHeight="false" outlineLevel="0" collapsed="false">
      <c r="A16" s="3"/>
    </row>
    <row r="17" customFormat="false" ht="15" hidden="false" customHeight="false" outlineLevel="0" collapsed="false">
      <c r="A17" s="3" t="s">
        <v>11</v>
      </c>
    </row>
    <row r="18" customFormat="false" ht="15" hidden="false" customHeight="false" outlineLevel="0" collapsed="false">
      <c r="A18" s="3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12"/>
  </cols>
  <sheetData>
    <row r="1" customFormat="false" ht="17.35" hidden="false" customHeight="false" outlineLevel="0" collapsed="false">
      <c r="A1" s="1" t="s">
        <v>13</v>
      </c>
    </row>
    <row r="2" customFormat="false" ht="15" hidden="false" customHeight="false" outlineLevel="0" collapsed="false">
      <c r="A2" s="2" t="s">
        <v>14</v>
      </c>
    </row>
    <row r="3" customFormat="false" ht="15" hidden="false" customHeight="false" outlineLevel="0" collapsed="false">
      <c r="B3" s="5" t="s">
        <v>15</v>
      </c>
      <c r="C3" s="5" t="s">
        <v>16</v>
      </c>
      <c r="D3" s="5" t="s">
        <v>17</v>
      </c>
      <c r="E3" s="5" t="s">
        <v>18</v>
      </c>
    </row>
    <row r="4" customFormat="false" ht="15" hidden="false" customHeight="false" outlineLevel="0" collapsed="false">
      <c r="A4" s="3" t="s">
        <v>19</v>
      </c>
      <c r="B4" s="6" t="n">
        <v>2.76</v>
      </c>
      <c r="C4" s="7" t="n">
        <f aca="false">DCF!B23</f>
        <v>4.59910625719916</v>
      </c>
      <c r="D4" s="6" t="n">
        <v>7.07</v>
      </c>
      <c r="E4" s="8" t="n">
        <f aca="false">Assumptions!$B$36</f>
        <v>0.35</v>
      </c>
    </row>
    <row r="5" customFormat="false" ht="15" hidden="false" customHeight="false" outlineLevel="0" collapsed="false">
      <c r="A5" s="3" t="s">
        <v>20</v>
      </c>
      <c r="B5" s="6" t="n">
        <v>3.09</v>
      </c>
      <c r="C5" s="7" t="n">
        <f aca="false">SOTP!C12</f>
        <v>4.24093623579689</v>
      </c>
      <c r="D5" s="6" t="n">
        <v>5.71</v>
      </c>
      <c r="E5" s="8" t="n">
        <f aca="false">Assumptions!$B$37</f>
        <v>0.25</v>
      </c>
    </row>
    <row r="6" customFormat="false" ht="15" hidden="false" customHeight="false" outlineLevel="0" collapsed="false">
      <c r="A6" s="3" t="s">
        <v>21</v>
      </c>
      <c r="B6" s="6" t="n">
        <v>3.07</v>
      </c>
      <c r="C6" s="7" t="n">
        <f aca="false">'Relative &amp; Normalized'!C4</f>
        <v>3.83244650823672</v>
      </c>
      <c r="D6" s="6" t="n">
        <v>4.97</v>
      </c>
      <c r="E6" s="8" t="n">
        <f aca="false">Assumptions!$B$38</f>
        <v>0.15</v>
      </c>
    </row>
    <row r="7" customFormat="false" ht="15" hidden="false" customHeight="false" outlineLevel="0" collapsed="false">
      <c r="A7" s="3" t="s">
        <v>22</v>
      </c>
      <c r="B7" s="6" t="n">
        <v>3.41</v>
      </c>
      <c r="C7" s="7" t="n">
        <f aca="false">'Relative &amp; Normalized'!C6</f>
        <v>4.51178840073344</v>
      </c>
      <c r="D7" s="6" t="n">
        <v>5.76</v>
      </c>
      <c r="E7" s="8" t="n">
        <f aca="false">Assumptions!$B$39</f>
        <v>0.25</v>
      </c>
    </row>
    <row r="8" customFormat="false" ht="15" hidden="false" customHeight="false" outlineLevel="0" collapsed="false">
      <c r="A8" s="9" t="s">
        <v>23</v>
      </c>
      <c r="B8" s="10" t="n">
        <f aca="false">SUMPRODUCT(B4:B7,$E$4:$E$7)</f>
        <v>3.0515</v>
      </c>
      <c r="C8" s="10" t="n">
        <f aca="false">SUMPRODUCT(C4:C7,$E$4:$E$7)</f>
        <v>4.37273532538779</v>
      </c>
      <c r="D8" s="10" t="n">
        <f aca="false">SUMPRODUCT(D4:D7,$E$4:$E$7)</f>
        <v>6.0875</v>
      </c>
    </row>
    <row r="10" customFormat="false" ht="15" hidden="false" customHeight="false" outlineLevel="0" collapsed="false">
      <c r="A10" s="3" t="s">
        <v>24</v>
      </c>
      <c r="C10" s="7" t="n">
        <f aca="false">Assumptions!$B$4</f>
        <v>3.51</v>
      </c>
    </row>
    <row r="11" customFormat="false" ht="15" hidden="false" customHeight="false" outlineLevel="0" collapsed="false">
      <c r="A11" s="3" t="s">
        <v>25</v>
      </c>
      <c r="C11" s="8" t="n">
        <f aca="false">C8/C10-1</f>
        <v>0.245793539996523</v>
      </c>
    </row>
    <row r="13" customFormat="false" ht="27.75" hidden="false" customHeight="true" outlineLevel="0" collapsed="false">
      <c r="A13" s="11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2"/>
  </cols>
  <sheetData>
    <row r="1" customFormat="false" ht="17.35" hidden="false" customHeight="false" outlineLevel="0" collapsed="false">
      <c r="A1" s="1" t="s">
        <v>27</v>
      </c>
    </row>
    <row r="2" customFormat="false" ht="15" hidden="false" customHeight="false" outlineLevel="0" collapsed="false">
      <c r="A2" s="2" t="s">
        <v>28</v>
      </c>
    </row>
    <row r="3" customFormat="false" ht="15" hidden="false" customHeight="false" outlineLevel="0" collapsed="false">
      <c r="A3" s="9" t="s">
        <v>29</v>
      </c>
      <c r="B3" s="9" t="s">
        <v>15</v>
      </c>
      <c r="C3" s="9" t="s">
        <v>16</v>
      </c>
      <c r="D3" s="9" t="s">
        <v>17</v>
      </c>
    </row>
    <row r="4" customFormat="false" ht="15" hidden="false" customHeight="false" outlineLevel="0" collapsed="false">
      <c r="A4" s="3" t="s">
        <v>19</v>
      </c>
      <c r="B4" s="7" t="n">
        <f aca="false">Summary!B4</f>
        <v>2.76</v>
      </c>
      <c r="C4" s="7" t="n">
        <f aca="false">Summary!C4</f>
        <v>4.59910625719916</v>
      </c>
      <c r="D4" s="7" t="n">
        <f aca="false">Summary!D4</f>
        <v>7.07</v>
      </c>
    </row>
    <row r="5" customFormat="false" ht="15" hidden="false" customHeight="false" outlineLevel="0" collapsed="false">
      <c r="A5" s="3" t="s">
        <v>20</v>
      </c>
      <c r="B5" s="7" t="n">
        <f aca="false">Summary!B5</f>
        <v>3.09</v>
      </c>
      <c r="C5" s="7" t="n">
        <f aca="false">Summary!C5</f>
        <v>4.24093623579689</v>
      </c>
      <c r="D5" s="7" t="n">
        <f aca="false">Summary!D5</f>
        <v>5.71</v>
      </c>
    </row>
    <row r="6" customFormat="false" ht="15" hidden="false" customHeight="false" outlineLevel="0" collapsed="false">
      <c r="A6" s="3" t="s">
        <v>21</v>
      </c>
      <c r="B6" s="7" t="n">
        <f aca="false">Summary!B6</f>
        <v>3.07</v>
      </c>
      <c r="C6" s="7" t="n">
        <f aca="false">Summary!C6</f>
        <v>3.83244650823672</v>
      </c>
      <c r="D6" s="7" t="n">
        <f aca="false">Summary!D6</f>
        <v>4.97</v>
      </c>
    </row>
    <row r="7" customFormat="false" ht="15" hidden="false" customHeight="false" outlineLevel="0" collapsed="false">
      <c r="A7" s="3" t="s">
        <v>22</v>
      </c>
      <c r="B7" s="7" t="n">
        <f aca="false">Summary!B7</f>
        <v>3.41</v>
      </c>
      <c r="C7" s="7" t="n">
        <f aca="false">Summary!C7</f>
        <v>4.51178840073344</v>
      </c>
      <c r="D7" s="7" t="n">
        <f aca="false">Summary!D7</f>
        <v>5.76</v>
      </c>
    </row>
    <row r="8" customFormat="false" ht="15" hidden="false" customHeight="false" outlineLevel="0" collapsed="false">
      <c r="A8" s="9" t="s">
        <v>23</v>
      </c>
      <c r="B8" s="7" t="n">
        <f aca="false">Summary!B8</f>
        <v>3.0515</v>
      </c>
      <c r="C8" s="7" t="n">
        <f aca="false">Summary!C8</f>
        <v>4.37273532538779</v>
      </c>
      <c r="D8" s="7" t="n">
        <f aca="false">Summary!D8</f>
        <v>6.0875</v>
      </c>
    </row>
    <row r="9" customFormat="false" ht="15" hidden="false" customHeight="false" outlineLevel="0" collapsed="false">
      <c r="A9" s="3" t="s">
        <v>30</v>
      </c>
      <c r="C9" s="7" t="n">
        <f aca="false">Assumptions!$B$4</f>
        <v>3.51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9" min="2" style="0" width="11"/>
  </cols>
  <sheetData>
    <row r="1" customFormat="false" ht="17.35" hidden="false" customHeight="false" outlineLevel="0" collapsed="false">
      <c r="A1" s="1" t="s">
        <v>31</v>
      </c>
    </row>
    <row r="2" customFormat="false" ht="15" hidden="false" customHeight="false" outlineLevel="0" collapsed="false">
      <c r="A2" s="2" t="s">
        <v>32</v>
      </c>
    </row>
    <row r="3" customFormat="false" ht="15" hidden="false" customHeight="false" outlineLevel="0" collapsed="false">
      <c r="A3" s="12" t="s">
        <v>33</v>
      </c>
    </row>
    <row r="4" customFormat="false" ht="15" hidden="false" customHeight="false" outlineLevel="0" collapsed="false">
      <c r="A4" s="3" t="s">
        <v>34</v>
      </c>
      <c r="B4" s="6" t="n">
        <v>3.51</v>
      </c>
    </row>
    <row r="5" customFormat="false" ht="15" hidden="false" customHeight="false" outlineLevel="0" collapsed="false">
      <c r="A5" s="3" t="s">
        <v>35</v>
      </c>
      <c r="B5" s="13" t="n">
        <v>831.156</v>
      </c>
    </row>
    <row r="6" customFormat="false" ht="15" hidden="false" customHeight="false" outlineLevel="0" collapsed="false">
      <c r="A6" s="3" t="s">
        <v>36</v>
      </c>
      <c r="B6" s="14" t="n">
        <v>1300</v>
      </c>
    </row>
    <row r="7" customFormat="false" ht="15" hidden="false" customHeight="false" outlineLevel="0" collapsed="false">
      <c r="A7" s="3" t="s">
        <v>37</v>
      </c>
      <c r="B7" s="14" t="n">
        <v>530.7</v>
      </c>
    </row>
    <row r="8" customFormat="false" ht="15" hidden="false" customHeight="false" outlineLevel="0" collapsed="false">
      <c r="A8" s="3" t="s">
        <v>38</v>
      </c>
      <c r="B8" s="14" t="n">
        <v>260</v>
      </c>
    </row>
    <row r="9" customFormat="false" ht="15" hidden="false" customHeight="false" outlineLevel="0" collapsed="false">
      <c r="A9" s="3" t="s">
        <v>39</v>
      </c>
      <c r="B9" s="15" t="n">
        <v>0.2</v>
      </c>
    </row>
    <row r="11" customFormat="false" ht="15" hidden="false" customHeight="false" outlineLevel="0" collapsed="false">
      <c r="A11" s="12" t="s">
        <v>40</v>
      </c>
    </row>
    <row r="12" customFormat="false" ht="15" hidden="false" customHeight="false" outlineLevel="0" collapsed="false">
      <c r="A12" s="3" t="s">
        <v>41</v>
      </c>
      <c r="B12" s="15" t="n">
        <v>0.042</v>
      </c>
    </row>
    <row r="13" customFormat="false" ht="15" hidden="false" customHeight="false" outlineLevel="0" collapsed="false">
      <c r="A13" s="3" t="s">
        <v>42</v>
      </c>
      <c r="B13" s="15" t="n">
        <v>0.06</v>
      </c>
    </row>
    <row r="14" customFormat="false" ht="15" hidden="false" customHeight="false" outlineLevel="0" collapsed="false">
      <c r="A14" s="3" t="s">
        <v>43</v>
      </c>
      <c r="B14" s="6" t="n">
        <v>0.9</v>
      </c>
    </row>
    <row r="15" customFormat="false" ht="15" hidden="false" customHeight="false" outlineLevel="0" collapsed="false">
      <c r="A15" s="3" t="s">
        <v>44</v>
      </c>
      <c r="B15" s="8" t="n">
        <f aca="false">B12+B14*B13</f>
        <v>0.096</v>
      </c>
    </row>
    <row r="16" customFormat="false" ht="15" hidden="false" customHeight="false" outlineLevel="0" collapsed="false">
      <c r="A16" s="3" t="s">
        <v>45</v>
      </c>
      <c r="B16" s="15" t="n">
        <v>0.17</v>
      </c>
    </row>
    <row r="17" customFormat="false" ht="15" hidden="false" customHeight="false" outlineLevel="0" collapsed="false">
      <c r="A17" s="3" t="s">
        <v>46</v>
      </c>
      <c r="B17" s="15" t="n">
        <v>0.5</v>
      </c>
    </row>
    <row r="18" customFormat="false" ht="15" hidden="false" customHeight="false" outlineLevel="0" collapsed="false">
      <c r="A18" s="3" t="s">
        <v>47</v>
      </c>
      <c r="B18" s="8" t="n">
        <f aca="false">B17*B15+(1-B17)*B16</f>
        <v>0.133</v>
      </c>
    </row>
    <row r="19" customFormat="false" ht="15" hidden="false" customHeight="false" outlineLevel="0" collapsed="false">
      <c r="A19" s="3" t="s">
        <v>48</v>
      </c>
      <c r="B19" s="15" t="n">
        <v>0.69</v>
      </c>
    </row>
    <row r="20" customFormat="false" ht="15" hidden="false" customHeight="false" outlineLevel="0" collapsed="false">
      <c r="A20" s="3" t="s">
        <v>49</v>
      </c>
      <c r="B20" s="15" t="n">
        <v>0.045</v>
      </c>
    </row>
    <row r="21" customFormat="false" ht="15" hidden="false" customHeight="false" outlineLevel="0" collapsed="false">
      <c r="A21" s="3" t="s">
        <v>50</v>
      </c>
      <c r="B21" s="8" t="n">
        <f aca="false">B19*B18+(1-B19)*B20</f>
        <v>0.10572</v>
      </c>
    </row>
    <row r="22" customFormat="false" ht="15" hidden="false" customHeight="false" outlineLevel="0" collapsed="false">
      <c r="A22" s="3" t="s">
        <v>51</v>
      </c>
      <c r="B22" s="15" t="n">
        <v>0.0225</v>
      </c>
    </row>
    <row r="24" customFormat="false" ht="15" hidden="false" customHeight="false" outlineLevel="0" collapsed="false">
      <c r="A24" s="12" t="s">
        <v>52</v>
      </c>
    </row>
    <row r="25" customFormat="false" ht="15" hidden="false" customHeight="false" outlineLevel="0" collapsed="false">
      <c r="A25" s="3" t="s">
        <v>53</v>
      </c>
      <c r="B25" s="16" t="n">
        <v>10.5</v>
      </c>
    </row>
    <row r="26" customFormat="false" ht="15" hidden="false" customHeight="false" outlineLevel="0" collapsed="false">
      <c r="A26" s="3" t="s">
        <v>54</v>
      </c>
      <c r="B26" s="16" t="n">
        <v>6</v>
      </c>
    </row>
    <row r="27" customFormat="false" ht="15" hidden="false" customHeight="false" outlineLevel="0" collapsed="false">
      <c r="A27" s="3" t="s">
        <v>55</v>
      </c>
      <c r="B27" s="16" t="n">
        <v>7.5</v>
      </c>
    </row>
    <row r="28" customFormat="false" ht="15" hidden="false" customHeight="false" outlineLevel="0" collapsed="false">
      <c r="A28" s="3" t="s">
        <v>56</v>
      </c>
      <c r="B28" s="16" t="n">
        <v>6.5</v>
      </c>
    </row>
    <row r="30" customFormat="false" ht="15" hidden="false" customHeight="false" outlineLevel="0" collapsed="false">
      <c r="A30" s="12" t="s">
        <v>57</v>
      </c>
    </row>
    <row r="31" customFormat="false" ht="15" hidden="false" customHeight="false" outlineLevel="0" collapsed="false">
      <c r="A31" s="3" t="s">
        <v>58</v>
      </c>
      <c r="B31" s="16" t="n">
        <v>7.5</v>
      </c>
    </row>
    <row r="32" customFormat="false" ht="15" hidden="false" customHeight="false" outlineLevel="0" collapsed="false">
      <c r="A32" s="3" t="s">
        <v>59</v>
      </c>
      <c r="B32" s="14" t="n">
        <v>300</v>
      </c>
    </row>
    <row r="33" customFormat="false" ht="15" hidden="false" customHeight="false" outlineLevel="0" collapsed="false">
      <c r="A33" s="3" t="s">
        <v>60</v>
      </c>
      <c r="B33" s="16" t="n">
        <v>12.5</v>
      </c>
    </row>
    <row r="35" customFormat="false" ht="15" hidden="false" customHeight="false" outlineLevel="0" collapsed="false">
      <c r="A35" s="12" t="s">
        <v>61</v>
      </c>
    </row>
    <row r="36" customFormat="false" ht="15" hidden="false" customHeight="false" outlineLevel="0" collapsed="false">
      <c r="A36" s="3" t="s">
        <v>62</v>
      </c>
      <c r="B36" s="15" t="n">
        <v>0.35</v>
      </c>
    </row>
    <row r="37" customFormat="false" ht="15" hidden="false" customHeight="false" outlineLevel="0" collapsed="false">
      <c r="A37" s="3" t="s">
        <v>63</v>
      </c>
      <c r="B37" s="15" t="n">
        <v>0.25</v>
      </c>
    </row>
    <row r="38" customFormat="false" ht="15" hidden="false" customHeight="false" outlineLevel="0" collapsed="false">
      <c r="A38" s="3" t="s">
        <v>64</v>
      </c>
      <c r="B38" s="15" t="n">
        <v>0.15</v>
      </c>
    </row>
    <row r="39" customFormat="false" ht="15" hidden="false" customHeight="false" outlineLevel="0" collapsed="false">
      <c r="A39" s="3" t="s">
        <v>65</v>
      </c>
      <c r="B39" s="15" t="n">
        <v>0.25</v>
      </c>
    </row>
    <row r="41" customFormat="false" ht="15" hidden="false" customHeight="false" outlineLevel="0" collapsed="false">
      <c r="A41" s="12" t="s">
        <v>66</v>
      </c>
    </row>
    <row r="42" customFormat="false" ht="15" hidden="false" customHeight="false" outlineLevel="0" collapsed="false">
      <c r="A42" s="3" t="s">
        <v>67</v>
      </c>
      <c r="B42" s="15" t="n">
        <v>0.195</v>
      </c>
    </row>
    <row r="43" customFormat="false" ht="15" hidden="false" customHeight="false" outlineLevel="0" collapsed="false">
      <c r="A43" s="3" t="s">
        <v>68</v>
      </c>
      <c r="B43" s="15" t="n">
        <v>0.18</v>
      </c>
    </row>
    <row r="44" customFormat="false" ht="15" hidden="false" customHeight="false" outlineLevel="0" collapsed="false">
      <c r="A44" s="3" t="s">
        <v>69</v>
      </c>
      <c r="B44" s="15" t="n">
        <v>0.225</v>
      </c>
    </row>
    <row r="46" customFormat="false" ht="15" hidden="false" customHeight="false" outlineLevel="0" collapsed="false">
      <c r="A46" s="12" t="s">
        <v>70</v>
      </c>
    </row>
    <row r="47" customFormat="false" ht="15" hidden="false" customHeight="false" outlineLevel="0" collapsed="false">
      <c r="A47" s="3" t="s">
        <v>71</v>
      </c>
      <c r="B47" s="15" t="n">
        <v>0.2616</v>
      </c>
    </row>
    <row r="48" customFormat="false" ht="15" hidden="false" customHeight="false" outlineLevel="0" collapsed="false">
      <c r="A48" s="3" t="s">
        <v>72</v>
      </c>
      <c r="B48" s="15" t="n">
        <v>0.008</v>
      </c>
    </row>
    <row r="49" customFormat="false" ht="15" hidden="false" customHeight="false" outlineLevel="0" collapsed="false">
      <c r="A49" s="3" t="s">
        <v>73</v>
      </c>
      <c r="B49" s="17" t="n">
        <v>60</v>
      </c>
    </row>
    <row r="51" customFormat="false" ht="15" hidden="false" customHeight="false" outlineLevel="0" collapsed="false">
      <c r="A51" s="12" t="s">
        <v>74</v>
      </c>
    </row>
    <row r="52" customFormat="false" ht="15" hidden="false" customHeight="false" outlineLevel="0" collapsed="false">
      <c r="E52" s="5" t="s">
        <v>75</v>
      </c>
      <c r="F52" s="5" t="s">
        <v>76</v>
      </c>
      <c r="G52" s="5" t="s">
        <v>77</v>
      </c>
      <c r="H52" s="5" t="s">
        <v>78</v>
      </c>
      <c r="I52" s="5" t="s">
        <v>79</v>
      </c>
    </row>
    <row r="53" customFormat="false" ht="15" hidden="false" customHeight="false" outlineLevel="0" collapsed="false">
      <c r="A53" s="3" t="s">
        <v>80</v>
      </c>
      <c r="E53" s="15" t="n">
        <v>0.12</v>
      </c>
      <c r="F53" s="15" t="n">
        <v>0.07</v>
      </c>
      <c r="G53" s="15" t="n">
        <v>0.06</v>
      </c>
      <c r="H53" s="15" t="n">
        <v>0.05</v>
      </c>
      <c r="I53" s="15" t="n">
        <v>0.045</v>
      </c>
    </row>
    <row r="54" customFormat="false" ht="15" hidden="false" customHeight="false" outlineLevel="0" collapsed="false">
      <c r="A54" s="3" t="s">
        <v>81</v>
      </c>
      <c r="E54" s="15" t="n">
        <v>0.02</v>
      </c>
      <c r="F54" s="15" t="n">
        <v>0.025</v>
      </c>
      <c r="G54" s="15" t="n">
        <v>0.025</v>
      </c>
      <c r="H54" s="15" t="n">
        <v>0.025</v>
      </c>
      <c r="I54" s="15" t="n">
        <v>0.025</v>
      </c>
    </row>
    <row r="55" customFormat="false" ht="15" hidden="false" customHeight="false" outlineLevel="0" collapsed="false">
      <c r="A55" s="3" t="s">
        <v>82</v>
      </c>
      <c r="E55" s="15" t="n">
        <v>-0.02</v>
      </c>
      <c r="F55" s="15" t="n">
        <v>0.06</v>
      </c>
      <c r="G55" s="15" t="n">
        <v>0.07</v>
      </c>
      <c r="H55" s="15" t="n">
        <v>0.06</v>
      </c>
      <c r="I55" s="15" t="n">
        <v>0.05</v>
      </c>
    </row>
    <row r="56" customFormat="false" ht="15" hidden="false" customHeight="false" outlineLevel="0" collapsed="false">
      <c r="A56" s="3" t="s">
        <v>83</v>
      </c>
      <c r="E56" s="15" t="n">
        <v>0.06</v>
      </c>
      <c r="F56" s="15" t="n">
        <v>0.07</v>
      </c>
      <c r="G56" s="15" t="n">
        <v>0.06</v>
      </c>
      <c r="H56" s="15" t="n">
        <v>0.05</v>
      </c>
      <c r="I56" s="15" t="n">
        <v>0.045</v>
      </c>
    </row>
    <row r="57" customFormat="false" ht="15" hidden="false" customHeight="false" outlineLevel="0" collapsed="false">
      <c r="A57" s="3" t="s">
        <v>84</v>
      </c>
      <c r="E57" s="15" t="n">
        <v>0.15</v>
      </c>
      <c r="F57" s="15" t="n">
        <v>0.152</v>
      </c>
      <c r="G57" s="15" t="n">
        <v>0.154</v>
      </c>
      <c r="H57" s="15" t="n">
        <v>0.155</v>
      </c>
      <c r="I57" s="15" t="n">
        <v>0.156</v>
      </c>
    </row>
    <row r="58" customFormat="false" ht="15" hidden="false" customHeight="false" outlineLevel="0" collapsed="false">
      <c r="A58" s="3" t="s">
        <v>85</v>
      </c>
      <c r="E58" s="15" t="n">
        <v>0.182</v>
      </c>
      <c r="F58" s="15" t="n">
        <v>0.182</v>
      </c>
      <c r="G58" s="15" t="n">
        <v>0.182</v>
      </c>
      <c r="H58" s="15" t="n">
        <v>0.182</v>
      </c>
      <c r="I58" s="15" t="n">
        <v>0.182</v>
      </c>
    </row>
    <row r="59" customFormat="false" ht="15" hidden="false" customHeight="false" outlineLevel="0" collapsed="false">
      <c r="A59" s="3" t="s">
        <v>86</v>
      </c>
      <c r="E59" s="15" t="n">
        <v>0.09</v>
      </c>
      <c r="F59" s="15" t="n">
        <v>0.105</v>
      </c>
      <c r="G59" s="15" t="n">
        <v>0.115</v>
      </c>
      <c r="H59" s="15" t="n">
        <v>0.12</v>
      </c>
      <c r="I59" s="15" t="n">
        <v>0.12</v>
      </c>
    </row>
    <row r="60" customFormat="false" ht="15" hidden="false" customHeight="false" outlineLevel="0" collapsed="false">
      <c r="A60" s="3" t="s">
        <v>87</v>
      </c>
      <c r="E60" s="15" t="n">
        <v>0.09</v>
      </c>
      <c r="F60" s="15" t="n">
        <v>0.105</v>
      </c>
      <c r="G60" s="15" t="n">
        <v>0.115</v>
      </c>
      <c r="H60" s="15" t="n">
        <v>0.12</v>
      </c>
      <c r="I60" s="15" t="n">
        <v>0.125</v>
      </c>
    </row>
    <row r="61" customFormat="false" ht="15" hidden="false" customHeight="false" outlineLevel="0" collapsed="false">
      <c r="A61" s="3" t="s">
        <v>88</v>
      </c>
      <c r="E61" s="14" t="n">
        <v>-20</v>
      </c>
      <c r="F61" s="14" t="n">
        <v>-20</v>
      </c>
      <c r="G61" s="14" t="n">
        <v>-20</v>
      </c>
      <c r="H61" s="14" t="n">
        <v>-20</v>
      </c>
      <c r="I61" s="14" t="n">
        <v>-20</v>
      </c>
    </row>
    <row r="62" customFormat="false" ht="15" hidden="false" customHeight="false" outlineLevel="0" collapsed="false">
      <c r="A62" s="3" t="s">
        <v>89</v>
      </c>
      <c r="E62" s="15" t="n">
        <v>0.052</v>
      </c>
      <c r="F62" s="15" t="n">
        <v>0.051</v>
      </c>
      <c r="G62" s="15" t="n">
        <v>0.051</v>
      </c>
      <c r="H62" s="15" t="n">
        <v>0.05</v>
      </c>
      <c r="I62" s="15" t="n">
        <v>0.05</v>
      </c>
    </row>
    <row r="63" customFormat="false" ht="15" hidden="false" customHeight="false" outlineLevel="0" collapsed="false">
      <c r="A63" s="3" t="s">
        <v>90</v>
      </c>
      <c r="E63" s="14" t="n">
        <v>60</v>
      </c>
      <c r="F63" s="14" t="n">
        <v>56</v>
      </c>
      <c r="G63" s="14" t="n">
        <v>52</v>
      </c>
      <c r="H63" s="14" t="n">
        <v>47</v>
      </c>
      <c r="I63" s="14" t="n">
        <v>42</v>
      </c>
    </row>
    <row r="64" customFormat="false" ht="15" hidden="false" customHeight="false" outlineLevel="0" collapsed="false">
      <c r="A64" s="3" t="s">
        <v>91</v>
      </c>
      <c r="E64" s="15" t="n">
        <v>0.038</v>
      </c>
      <c r="F64" s="15" t="n">
        <v>0.038</v>
      </c>
      <c r="G64" s="15" t="n">
        <v>0.038</v>
      </c>
      <c r="H64" s="15" t="n">
        <v>0.038</v>
      </c>
      <c r="I64" s="15" t="n">
        <v>0.038</v>
      </c>
    </row>
    <row r="65" customFormat="false" ht="15" hidden="false" customHeight="false" outlineLevel="0" collapsed="false">
      <c r="A65" s="3" t="s">
        <v>92</v>
      </c>
      <c r="E65" s="14" t="n">
        <v>22</v>
      </c>
      <c r="F65" s="14" t="n">
        <v>24</v>
      </c>
      <c r="G65" s="14" t="n">
        <v>18</v>
      </c>
      <c r="H65" s="14" t="n">
        <v>16</v>
      </c>
      <c r="I65" s="14" t="n">
        <v>15</v>
      </c>
    </row>
    <row r="66" customFormat="false" ht="15" hidden="false" customHeight="false" outlineLevel="0" collapsed="false">
      <c r="A66" s="3" t="s">
        <v>93</v>
      </c>
      <c r="E66" s="15" t="n">
        <v>0.13</v>
      </c>
      <c r="F66" s="15" t="n">
        <v>0.13</v>
      </c>
      <c r="G66" s="15" t="n">
        <v>0.13</v>
      </c>
      <c r="H66" s="15" t="n">
        <v>0.13</v>
      </c>
      <c r="I66" s="15" t="n">
        <v>0.13</v>
      </c>
    </row>
    <row r="67" customFormat="false" ht="15" hidden="false" customHeight="false" outlineLevel="0" collapsed="false">
      <c r="A67" s="3" t="s">
        <v>94</v>
      </c>
      <c r="E67" s="18" t="n">
        <v>24.3</v>
      </c>
      <c r="F67" s="18" t="n">
        <v>26.7</v>
      </c>
      <c r="G67" s="18" t="n">
        <v>29.4</v>
      </c>
      <c r="H67" s="18" t="n">
        <v>32.3</v>
      </c>
      <c r="I67" s="18" t="n">
        <v>35.6</v>
      </c>
    </row>
    <row r="68" customFormat="false" ht="15" hidden="false" customHeight="false" outlineLevel="0" collapsed="false">
      <c r="A68" s="3" t="s">
        <v>95</v>
      </c>
      <c r="E68" s="19" t="n">
        <f aca="false">E67/100*$B$5</f>
        <v>201.970908</v>
      </c>
      <c r="F68" s="19" t="n">
        <f aca="false">F67/100*$B$5</f>
        <v>221.918652</v>
      </c>
      <c r="G68" s="19" t="n">
        <f aca="false">G67/100*$B$5</f>
        <v>244.359864</v>
      </c>
      <c r="H68" s="19" t="n">
        <f aca="false">H67/100*$B$5</f>
        <v>268.463388</v>
      </c>
      <c r="I68" s="19" t="n">
        <f aca="false">I67/100*$B$5</f>
        <v>295.891536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0"/>
    <col collapsed="false" customWidth="true" hidden="false" outlineLevel="0" max="3" min="3" style="0" width="13"/>
  </cols>
  <sheetData>
    <row r="1" customFormat="false" ht="17.35" hidden="false" customHeight="false" outlineLevel="0" collapsed="false">
      <c r="A1" s="1" t="s">
        <v>96</v>
      </c>
    </row>
    <row r="2" customFormat="false" ht="15" hidden="false" customHeight="false" outlineLevel="0" collapsed="false">
      <c r="A2" s="2" t="s">
        <v>97</v>
      </c>
    </row>
    <row r="3" customFormat="false" ht="15" hidden="false" customHeight="false" outlineLevel="0" collapsed="false">
      <c r="A3" s="9" t="s">
        <v>98</v>
      </c>
      <c r="B3" s="9" t="s">
        <v>99</v>
      </c>
      <c r="C3" s="9" t="s">
        <v>100</v>
      </c>
    </row>
    <row r="4" customFormat="false" ht="15" hidden="false" customHeight="false" outlineLevel="0" collapsed="false">
      <c r="A4" s="3" t="s">
        <v>101</v>
      </c>
      <c r="B4" s="3" t="s">
        <v>102</v>
      </c>
      <c r="C4" s="19" t="n">
        <f aca="false">'Income Statement'!E10*Assumptions!$B$25</f>
        <v>2187.8892</v>
      </c>
    </row>
    <row r="5" customFormat="false" ht="15" hidden="false" customHeight="false" outlineLevel="0" collapsed="false">
      <c r="A5" s="3" t="s">
        <v>103</v>
      </c>
      <c r="B5" s="3" t="s">
        <v>104</v>
      </c>
      <c r="C5" s="19" t="n">
        <f aca="false">'Income Statement'!E11*Assumptions!$B$26</f>
        <v>1362.449088</v>
      </c>
    </row>
    <row r="6" customFormat="false" ht="15" hidden="false" customHeight="false" outlineLevel="0" collapsed="false">
      <c r="A6" s="3" t="s">
        <v>105</v>
      </c>
      <c r="B6" s="3" t="s">
        <v>106</v>
      </c>
      <c r="C6" s="19" t="n">
        <f aca="false">'Income Statement'!E12*Assumptions!$B$27</f>
        <v>917.16975</v>
      </c>
    </row>
    <row r="7" customFormat="false" ht="15" hidden="false" customHeight="false" outlineLevel="0" collapsed="false">
      <c r="A7" s="3" t="s">
        <v>107</v>
      </c>
      <c r="B7" s="3" t="s">
        <v>108</v>
      </c>
      <c r="C7" s="19" t="n">
        <f aca="false">'Income Statement'!E13*Assumptions!$B$28</f>
        <v>617.37156</v>
      </c>
    </row>
    <row r="8" customFormat="false" ht="15" hidden="false" customHeight="false" outlineLevel="0" collapsed="false">
      <c r="A8" s="9" t="s">
        <v>109</v>
      </c>
      <c r="C8" s="20" t="n">
        <f aca="false">SUM(C4:C7)</f>
        <v>5084.879598</v>
      </c>
    </row>
    <row r="9" customFormat="false" ht="15" hidden="false" customHeight="false" outlineLevel="0" collapsed="false">
      <c r="A9" s="3" t="s">
        <v>110</v>
      </c>
      <c r="C9" s="19" t="n">
        <f aca="false">-Assumptions!$B$6</f>
        <v>-1300</v>
      </c>
    </row>
    <row r="10" customFormat="false" ht="15" hidden="false" customHeight="false" outlineLevel="0" collapsed="false">
      <c r="A10" s="3" t="s">
        <v>111</v>
      </c>
      <c r="C10" s="19" t="n">
        <f aca="false">-Assumptions!$B$8</f>
        <v>-260</v>
      </c>
    </row>
    <row r="11" customFormat="false" ht="15" hidden="false" customHeight="false" outlineLevel="0" collapsed="false">
      <c r="A11" s="9" t="s">
        <v>112</v>
      </c>
      <c r="C11" s="20" t="n">
        <f aca="false">C8+C9+C10</f>
        <v>3524.879598</v>
      </c>
    </row>
    <row r="12" customFormat="false" ht="15" hidden="false" customHeight="false" outlineLevel="0" collapsed="false">
      <c r="A12" s="9" t="s">
        <v>113</v>
      </c>
      <c r="C12" s="10" t="n">
        <f aca="false">C11/Assumptions!$B$5</f>
        <v>4.24093623579689</v>
      </c>
    </row>
    <row r="14" customFormat="false" ht="15" hidden="false" customHeight="false" outlineLevel="0" collapsed="false">
      <c r="A14" s="2" t="s">
        <v>114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9" min="2" style="0" width="10.51"/>
  </cols>
  <sheetData>
    <row r="1" customFormat="false" ht="17.35" hidden="false" customHeight="false" outlineLevel="0" collapsed="false">
      <c r="A1" s="1" t="s">
        <v>115</v>
      </c>
    </row>
    <row r="2" customFormat="false" ht="15" hidden="false" customHeight="false" outlineLevel="0" collapsed="false">
      <c r="A2" s="2" t="s">
        <v>116</v>
      </c>
    </row>
    <row r="3" customFormat="false" ht="15" hidden="false" customHeight="false" outlineLevel="0" collapsed="false">
      <c r="C3" s="5" t="s">
        <v>117</v>
      </c>
      <c r="D3" s="5" t="s">
        <v>118</v>
      </c>
      <c r="E3" s="5" t="s">
        <v>75</v>
      </c>
      <c r="F3" s="5" t="s">
        <v>76</v>
      </c>
      <c r="G3" s="5" t="s">
        <v>77</v>
      </c>
      <c r="H3" s="5" t="s">
        <v>78</v>
      </c>
      <c r="I3" s="5" t="s">
        <v>79</v>
      </c>
    </row>
    <row r="4" customFormat="false" ht="15" hidden="false" customHeight="false" outlineLevel="0" collapsed="false">
      <c r="A4" s="3" t="s">
        <v>119</v>
      </c>
      <c r="C4" s="19" t="n">
        <f aca="false">'Income Statement'!C4</f>
        <v>1082.2</v>
      </c>
      <c r="D4" s="19" t="n">
        <f aca="false">'Income Statement'!D4</f>
        <v>1240.3</v>
      </c>
      <c r="E4" s="19" t="n">
        <f aca="false">'Income Statement'!E4</f>
        <v>1389.136</v>
      </c>
      <c r="F4" s="19" t="n">
        <f aca="false">'Income Statement'!F4</f>
        <v>1486.37552</v>
      </c>
      <c r="G4" s="19" t="n">
        <f aca="false">'Income Statement'!G4</f>
        <v>1575.5580512</v>
      </c>
      <c r="H4" s="19" t="n">
        <f aca="false">'Income Statement'!H4</f>
        <v>1654.33595376</v>
      </c>
      <c r="I4" s="19" t="n">
        <f aca="false">'Income Statement'!I4</f>
        <v>1728.7810716792</v>
      </c>
    </row>
    <row r="5" customFormat="false" ht="15" hidden="false" customHeight="false" outlineLevel="0" collapsed="false">
      <c r="A5" s="3" t="s">
        <v>120</v>
      </c>
      <c r="C5" s="19" t="n">
        <f aca="false">'Income Statement'!C5</f>
        <v>1332.2</v>
      </c>
      <c r="D5" s="19" t="n">
        <f aca="false">'Income Statement'!D5</f>
        <v>1223.2</v>
      </c>
      <c r="E5" s="19" t="n">
        <f aca="false">'Income Statement'!E5</f>
        <v>1247.664</v>
      </c>
      <c r="F5" s="19" t="n">
        <f aca="false">'Income Statement'!F5</f>
        <v>1278.8556</v>
      </c>
      <c r="G5" s="19" t="n">
        <f aca="false">'Income Statement'!G5</f>
        <v>1310.82699</v>
      </c>
      <c r="H5" s="19" t="n">
        <f aca="false">'Income Statement'!H5</f>
        <v>1343.59766475</v>
      </c>
      <c r="I5" s="19" t="n">
        <f aca="false">'Income Statement'!I5</f>
        <v>1377.18760636875</v>
      </c>
    </row>
    <row r="6" customFormat="false" ht="15" hidden="false" customHeight="false" outlineLevel="0" collapsed="false">
      <c r="A6" s="3" t="s">
        <v>121</v>
      </c>
      <c r="C6" s="19" t="n">
        <f aca="false">'Income Statement'!C6</f>
        <v>1491.8</v>
      </c>
      <c r="D6" s="19" t="n">
        <f aca="false">'Income Statement'!D6</f>
        <v>1386.5</v>
      </c>
      <c r="E6" s="19" t="n">
        <f aca="false">'Income Statement'!E6</f>
        <v>1358.77</v>
      </c>
      <c r="F6" s="19" t="n">
        <f aca="false">'Income Statement'!F6</f>
        <v>1440.2962</v>
      </c>
      <c r="G6" s="19" t="n">
        <f aca="false">'Income Statement'!G6</f>
        <v>1541.116934</v>
      </c>
      <c r="H6" s="19" t="n">
        <f aca="false">'Income Statement'!H6</f>
        <v>1633.58395004</v>
      </c>
      <c r="I6" s="19" t="n">
        <f aca="false">'Income Statement'!I6</f>
        <v>1715.263147542</v>
      </c>
    </row>
    <row r="7" customFormat="false" ht="15" hidden="false" customHeight="false" outlineLevel="0" collapsed="false">
      <c r="A7" s="3" t="s">
        <v>122</v>
      </c>
      <c r="C7" s="19" t="n">
        <f aca="false">'Income Statement'!C7</f>
        <v>1008.5</v>
      </c>
      <c r="D7" s="19" t="n">
        <f aca="false">'Income Statement'!D7</f>
        <v>995.6</v>
      </c>
      <c r="E7" s="19" t="n">
        <f aca="false">'Income Statement'!E7</f>
        <v>1055.336</v>
      </c>
      <c r="F7" s="19" t="n">
        <f aca="false">'Income Statement'!F7</f>
        <v>1129.20952</v>
      </c>
      <c r="G7" s="19" t="n">
        <f aca="false">'Income Statement'!G7</f>
        <v>1196.9620912</v>
      </c>
      <c r="H7" s="19" t="n">
        <f aca="false">'Income Statement'!H7</f>
        <v>1256.81019576</v>
      </c>
      <c r="I7" s="19" t="n">
        <f aca="false">'Income Statement'!I7</f>
        <v>1313.3666545692</v>
      </c>
    </row>
    <row r="8" customFormat="false" ht="15" hidden="false" customHeight="false" outlineLevel="0" collapsed="false">
      <c r="A8" s="3" t="s">
        <v>123</v>
      </c>
      <c r="C8" s="19" t="n">
        <f aca="false">'Income Statement'!C10</f>
        <v>172.5</v>
      </c>
      <c r="D8" s="19" t="n">
        <f aca="false">'Income Statement'!D10</f>
        <v>170.9</v>
      </c>
      <c r="E8" s="19" t="n">
        <f aca="false">'Income Statement'!E10</f>
        <v>208.3704</v>
      </c>
      <c r="F8" s="19" t="n">
        <f aca="false">'Income Statement'!F10</f>
        <v>225.92907904</v>
      </c>
      <c r="G8" s="19" t="n">
        <f aca="false">'Income Statement'!G10</f>
        <v>242.6359398848</v>
      </c>
      <c r="H8" s="19" t="n">
        <f aca="false">'Income Statement'!H10</f>
        <v>256.4220728328</v>
      </c>
      <c r="I8" s="19" t="n">
        <f aca="false">'Income Statement'!I10</f>
        <v>269.689847181955</v>
      </c>
    </row>
    <row r="9" customFormat="false" ht="15" hidden="false" customHeight="false" outlineLevel="0" collapsed="false">
      <c r="A9" s="3" t="s">
        <v>124</v>
      </c>
      <c r="C9" s="19" t="n">
        <f aca="false">'Income Statement'!C11</f>
        <v>222.5</v>
      </c>
      <c r="D9" s="19" t="n">
        <f aca="false">'Income Statement'!D11</f>
        <v>222.2</v>
      </c>
      <c r="E9" s="19" t="n">
        <f aca="false">'Income Statement'!E11</f>
        <v>227.074848</v>
      </c>
      <c r="F9" s="19" t="n">
        <f aca="false">'Income Statement'!F11</f>
        <v>232.7517192</v>
      </c>
      <c r="G9" s="19" t="n">
        <f aca="false">'Income Statement'!G11</f>
        <v>238.57051218</v>
      </c>
      <c r="H9" s="19" t="n">
        <f aca="false">'Income Statement'!H11</f>
        <v>244.5347749845</v>
      </c>
      <c r="I9" s="19" t="n">
        <f aca="false">'Income Statement'!I11</f>
        <v>250.648144359112</v>
      </c>
    </row>
    <row r="10" customFormat="false" ht="15" hidden="false" customHeight="false" outlineLevel="0" collapsed="false">
      <c r="A10" s="3" t="s">
        <v>125</v>
      </c>
      <c r="C10" s="19" t="n">
        <f aca="false">'Income Statement'!C12</f>
        <v>183.3</v>
      </c>
      <c r="D10" s="19" t="n">
        <f aca="false">'Income Statement'!D12</f>
        <v>17</v>
      </c>
      <c r="E10" s="19" t="n">
        <f aca="false">'Income Statement'!E12</f>
        <v>122.2893</v>
      </c>
      <c r="F10" s="19" t="n">
        <f aca="false">'Income Statement'!F12</f>
        <v>151.231101</v>
      </c>
      <c r="G10" s="19" t="n">
        <f aca="false">'Income Statement'!G12</f>
        <v>177.22844741</v>
      </c>
      <c r="H10" s="19" t="n">
        <f aca="false">'Income Statement'!H12</f>
        <v>196.0300740048</v>
      </c>
      <c r="I10" s="19" t="n">
        <f aca="false">'Income Statement'!I12</f>
        <v>205.83157770504</v>
      </c>
    </row>
    <row r="11" customFormat="false" ht="15" hidden="false" customHeight="false" outlineLevel="0" collapsed="false">
      <c r="A11" s="3" t="s">
        <v>126</v>
      </c>
      <c r="C11" s="19" t="n">
        <f aca="false">'Income Statement'!C13</f>
        <v>118</v>
      </c>
      <c r="D11" s="19" t="n">
        <f aca="false">'Income Statement'!D13</f>
        <v>72.7</v>
      </c>
      <c r="E11" s="19" t="n">
        <f aca="false">'Income Statement'!E13</f>
        <v>94.98024</v>
      </c>
      <c r="F11" s="19" t="n">
        <f aca="false">'Income Statement'!F13</f>
        <v>118.5669996</v>
      </c>
      <c r="G11" s="19" t="n">
        <f aca="false">'Income Statement'!G13</f>
        <v>137.650640488</v>
      </c>
      <c r="H11" s="19" t="n">
        <f aca="false">'Income Statement'!H13</f>
        <v>150.8172234912</v>
      </c>
      <c r="I11" s="19" t="n">
        <f aca="false">'Income Statement'!I13</f>
        <v>164.17083182115</v>
      </c>
    </row>
    <row r="13" customFormat="false" ht="15" hidden="false" customHeight="false" outlineLevel="0" collapsed="false">
      <c r="A13" s="3" t="s">
        <v>127</v>
      </c>
      <c r="C13" s="8" t="n">
        <f aca="false">C8/C4</f>
        <v>0.159397523563112</v>
      </c>
      <c r="D13" s="8" t="n">
        <f aca="false">D8/D4</f>
        <v>0.137789244537612</v>
      </c>
      <c r="E13" s="8" t="n">
        <f aca="false">E8/E4</f>
        <v>0.15</v>
      </c>
      <c r="F13" s="8" t="n">
        <f aca="false">F8/F4</f>
        <v>0.152</v>
      </c>
      <c r="G13" s="8" t="n">
        <f aca="false">G8/G4</f>
        <v>0.154</v>
      </c>
      <c r="H13" s="8" t="n">
        <f aca="false">H8/H4</f>
        <v>0.155</v>
      </c>
      <c r="I13" s="8" t="n">
        <f aca="false">I8/I4</f>
        <v>0.156</v>
      </c>
    </row>
    <row r="14" customFormat="false" ht="15" hidden="false" customHeight="false" outlineLevel="0" collapsed="false">
      <c r="A14" s="3" t="s">
        <v>128</v>
      </c>
      <c r="C14" s="8" t="n">
        <f aca="false">C9/C5</f>
        <v>0.167016964419757</v>
      </c>
      <c r="D14" s="8" t="n">
        <f aca="false">D9/D5</f>
        <v>0.181654676258993</v>
      </c>
      <c r="E14" s="8" t="n">
        <f aca="false">E9/E5</f>
        <v>0.182</v>
      </c>
      <c r="F14" s="8" t="n">
        <f aca="false">F9/F5</f>
        <v>0.182</v>
      </c>
      <c r="G14" s="8" t="n">
        <f aca="false">G9/G5</f>
        <v>0.182</v>
      </c>
      <c r="H14" s="8" t="n">
        <f aca="false">H9/H5</f>
        <v>0.182</v>
      </c>
      <c r="I14" s="8" t="n">
        <f aca="false">I9/I5</f>
        <v>0.182</v>
      </c>
    </row>
    <row r="15" customFormat="false" ht="15" hidden="false" customHeight="false" outlineLevel="0" collapsed="false">
      <c r="A15" s="3" t="s">
        <v>129</v>
      </c>
      <c r="C15" s="8" t="n">
        <f aca="false">C10/C6</f>
        <v>0.122871698619118</v>
      </c>
      <c r="D15" s="8" t="n">
        <f aca="false">D10/D6</f>
        <v>0.0122610890732059</v>
      </c>
      <c r="E15" s="8" t="n">
        <f aca="false">E10/E6</f>
        <v>0.09</v>
      </c>
      <c r="F15" s="8" t="n">
        <f aca="false">F10/F6</f>
        <v>0.105</v>
      </c>
      <c r="G15" s="8" t="n">
        <f aca="false">G10/G6</f>
        <v>0.115</v>
      </c>
      <c r="H15" s="8" t="n">
        <f aca="false">H10/H6</f>
        <v>0.12</v>
      </c>
      <c r="I15" s="8" t="n">
        <f aca="false">I10/I6</f>
        <v>0.12</v>
      </c>
    </row>
    <row r="16" customFormat="false" ht="15" hidden="false" customHeight="false" outlineLevel="0" collapsed="false">
      <c r="A16" s="3" t="s">
        <v>130</v>
      </c>
      <c r="C16" s="8" t="n">
        <f aca="false">C11/C7</f>
        <v>0.117005453644026</v>
      </c>
      <c r="D16" s="8" t="n">
        <f aca="false">D11/D7</f>
        <v>0.0730212936922459</v>
      </c>
      <c r="E16" s="8" t="n">
        <f aca="false">E11/E7</f>
        <v>0.09</v>
      </c>
      <c r="F16" s="8" t="n">
        <f aca="false">F11/F7</f>
        <v>0.105</v>
      </c>
      <c r="G16" s="8" t="n">
        <f aca="false">G11/G7</f>
        <v>0.115</v>
      </c>
      <c r="H16" s="8" t="n">
        <f aca="false">H11/H7</f>
        <v>0.12</v>
      </c>
      <c r="I16" s="8" t="n">
        <f aca="false">I11/I7</f>
        <v>0.125</v>
      </c>
    </row>
    <row r="18" customFormat="false" ht="15" hidden="false" customHeight="false" outlineLevel="0" collapsed="false">
      <c r="A18" s="3" t="s">
        <v>131</v>
      </c>
      <c r="C18" s="8" t="n">
        <f aca="false">C6/'Income Statement'!C8</f>
        <v>0.303538364498342</v>
      </c>
      <c r="D18" s="8" t="n">
        <f aca="false">D6/'Income Statement'!D8</f>
        <v>0.286135875846128</v>
      </c>
      <c r="E18" s="8" t="n">
        <f aca="false">E6/'Income Statement'!E8</f>
        <v>0.269015103428969</v>
      </c>
      <c r="F18" s="8" t="n">
        <f aca="false">F6/'Income Statement'!F8</f>
        <v>0.269984489056821</v>
      </c>
      <c r="G18" s="8" t="n">
        <f aca="false">G6/'Income Statement'!G8</f>
        <v>0.274002449976787</v>
      </c>
      <c r="H18" s="8" t="n">
        <f aca="false">H6/'Income Statement'!H8</f>
        <v>0.277427482882557</v>
      </c>
      <c r="I18" s="8" t="n">
        <f aca="false">I6/'Income Statement'!I8</f>
        <v>0.279604794525607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4"/>
    <col collapsed="false" customWidth="true" hidden="false" outlineLevel="0" max="3" min="3" style="0" width="12"/>
  </cols>
  <sheetData>
    <row r="1" customFormat="false" ht="17.35" hidden="false" customHeight="false" outlineLevel="0" collapsed="false">
      <c r="A1" s="1" t="s">
        <v>132</v>
      </c>
    </row>
    <row r="2" customFormat="false" ht="15" hidden="false" customHeight="false" outlineLevel="0" collapsed="false">
      <c r="A2" s="2" t="s">
        <v>133</v>
      </c>
    </row>
    <row r="3" customFormat="false" ht="15" hidden="false" customHeight="false" outlineLevel="0" collapsed="false">
      <c r="A3" s="9" t="s">
        <v>29</v>
      </c>
      <c r="B3" s="9" t="s">
        <v>134</v>
      </c>
      <c r="C3" s="9" t="s">
        <v>135</v>
      </c>
    </row>
    <row r="4" customFormat="false" ht="15" hidden="false" customHeight="false" outlineLevel="0" collapsed="false">
      <c r="A4" s="3" t="s">
        <v>136</v>
      </c>
      <c r="B4" s="3" t="s">
        <v>137</v>
      </c>
      <c r="C4" s="7" t="n">
        <f aca="false">('Income Statement'!E15*Assumptions!$B$31-Assumptions!$B$6-Assumptions!$B$8)/Assumptions!$B$5</f>
        <v>3.83244650823672</v>
      </c>
    </row>
    <row r="5" customFormat="false" ht="15" hidden="false" customHeight="false" outlineLevel="0" collapsed="false">
      <c r="A5" s="3" t="s">
        <v>138</v>
      </c>
      <c r="C5" s="19" t="n">
        <f aca="false">'Income Statement'!E15*Assumptions!$B$31</f>
        <v>4745.36091</v>
      </c>
    </row>
    <row r="6" customFormat="false" ht="15" hidden="false" customHeight="false" outlineLevel="0" collapsed="false">
      <c r="A6" s="3" t="s">
        <v>22</v>
      </c>
      <c r="B6" s="3" t="s">
        <v>139</v>
      </c>
      <c r="C6" s="7" t="n">
        <f aca="false">Assumptions!$B$32*Assumptions!$B$33/Assumptions!$B$5</f>
        <v>4.51178840073344</v>
      </c>
    </row>
    <row r="7" customFormat="false" ht="15" hidden="false" customHeight="false" outlineLevel="0" collapsed="false">
      <c r="A7" s="3" t="s">
        <v>140</v>
      </c>
      <c r="C7" s="7" t="n">
        <f aca="false">Assumptions!$B$32/Assumptions!$B$5</f>
        <v>0.360943072058675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9" min="2" style="0" width="10.51"/>
  </cols>
  <sheetData>
    <row r="1" customFormat="false" ht="17.35" hidden="false" customHeight="false" outlineLevel="0" collapsed="false">
      <c r="A1" s="1" t="s">
        <v>141</v>
      </c>
    </row>
    <row r="2" customFormat="false" ht="15" hidden="false" customHeight="false" outlineLevel="0" collapsed="false">
      <c r="A2" s="2" t="s">
        <v>142</v>
      </c>
    </row>
    <row r="3" customFormat="false" ht="15" hidden="false" customHeight="false" outlineLevel="0" collapsed="false">
      <c r="E3" s="5" t="s">
        <v>75</v>
      </c>
      <c r="F3" s="5" t="s">
        <v>76</v>
      </c>
      <c r="G3" s="5" t="s">
        <v>77</v>
      </c>
      <c r="H3" s="5" t="s">
        <v>78</v>
      </c>
      <c r="I3" s="5" t="s">
        <v>79</v>
      </c>
    </row>
    <row r="4" customFormat="false" ht="15" hidden="false" customHeight="false" outlineLevel="0" collapsed="false">
      <c r="A4" s="3" t="s">
        <v>143</v>
      </c>
      <c r="E4" s="19" t="n">
        <f aca="false">'Income Statement'!E8</f>
        <v>5050.906</v>
      </c>
      <c r="F4" s="19" t="n">
        <f aca="false">'Income Statement'!F8</f>
        <v>5334.73684</v>
      </c>
      <c r="G4" s="19" t="n">
        <f aca="false">'Income Statement'!G8</f>
        <v>5624.4640664</v>
      </c>
      <c r="H4" s="19" t="n">
        <f aca="false">'Income Statement'!H8</f>
        <v>5888.32776431</v>
      </c>
      <c r="I4" s="19" t="n">
        <f aca="false">'Income Statement'!I8</f>
        <v>6134.59848015915</v>
      </c>
    </row>
    <row r="5" customFormat="false" ht="15" hidden="false" customHeight="false" outlineLevel="0" collapsed="false">
      <c r="A5" s="3" t="s">
        <v>144</v>
      </c>
      <c r="E5" s="19" t="n">
        <f aca="false">'Income Statement'!E15</f>
        <v>632.714788</v>
      </c>
      <c r="F5" s="19" t="n">
        <f aca="false">'Income Statement'!F15</f>
        <v>708.47889884</v>
      </c>
      <c r="G5" s="19" t="n">
        <f aca="false">'Income Statement'!G15</f>
        <v>776.0855399628</v>
      </c>
      <c r="H5" s="19" t="n">
        <f aca="false">'Income Statement'!H15</f>
        <v>827.8041453133</v>
      </c>
      <c r="I5" s="19" t="n">
        <f aca="false">'Income Statement'!I15</f>
        <v>870.340401067258</v>
      </c>
    </row>
    <row r="6" customFormat="false" ht="15" hidden="false" customHeight="false" outlineLevel="0" collapsed="false">
      <c r="A6" s="3" t="s">
        <v>145</v>
      </c>
      <c r="E6" s="19" t="n">
        <f aca="false">'Income Statement'!E19</f>
        <v>262.647112</v>
      </c>
      <c r="F6" s="19" t="n">
        <f aca="false">'Income Statement'!F19</f>
        <v>272.07157884</v>
      </c>
      <c r="G6" s="19" t="n">
        <f aca="false">'Income Statement'!G19</f>
        <v>286.8476673864</v>
      </c>
      <c r="H6" s="19" t="n">
        <f aca="false">'Income Statement'!H19</f>
        <v>294.4163882155</v>
      </c>
      <c r="I6" s="19" t="n">
        <f aca="false">'Income Statement'!I19</f>
        <v>306.729924007958</v>
      </c>
    </row>
    <row r="7" customFormat="false" ht="15" hidden="false" customHeight="false" outlineLevel="0" collapsed="false">
      <c r="A7" s="3" t="s">
        <v>146</v>
      </c>
      <c r="E7" s="19" t="n">
        <f aca="false">E5-E6</f>
        <v>370.067676</v>
      </c>
      <c r="F7" s="19" t="n">
        <f aca="false">F5-F6</f>
        <v>436.40732</v>
      </c>
      <c r="G7" s="19" t="n">
        <f aca="false">G5-G6</f>
        <v>489.2378725764</v>
      </c>
      <c r="H7" s="19" t="n">
        <f aca="false">H5-H6</f>
        <v>533.3877570978</v>
      </c>
      <c r="I7" s="19" t="n">
        <f aca="false">I5-I6</f>
        <v>563.6104770593</v>
      </c>
    </row>
    <row r="8" customFormat="false" ht="15" hidden="false" customHeight="false" outlineLevel="0" collapsed="false">
      <c r="A8" s="3" t="s">
        <v>147</v>
      </c>
      <c r="E8" s="19" t="n">
        <f aca="false">E7*(1-Assumptions!$B$9)</f>
        <v>296.0541408</v>
      </c>
      <c r="F8" s="19" t="n">
        <f aca="false">F7*(1-Assumptions!$B$9)</f>
        <v>349.125856</v>
      </c>
      <c r="G8" s="19" t="n">
        <f aca="false">G7*(1-Assumptions!$B$9)</f>
        <v>391.39029806112</v>
      </c>
      <c r="H8" s="19" t="n">
        <f aca="false">H7*(1-Assumptions!$B$9)</f>
        <v>426.71020567824</v>
      </c>
      <c r="I8" s="19" t="n">
        <f aca="false">I7*(1-Assumptions!$B$9)</f>
        <v>450.88838164744</v>
      </c>
    </row>
    <row r="9" customFormat="false" ht="15" hidden="false" customHeight="false" outlineLevel="0" collapsed="false">
      <c r="A9" s="3" t="s">
        <v>148</v>
      </c>
      <c r="E9" s="19" t="n">
        <f aca="false">E6</f>
        <v>262.647112</v>
      </c>
      <c r="F9" s="19" t="n">
        <f aca="false">F6</f>
        <v>272.07157884</v>
      </c>
      <c r="G9" s="19" t="n">
        <f aca="false">G6</f>
        <v>286.8476673864</v>
      </c>
      <c r="H9" s="19" t="n">
        <f aca="false">H6</f>
        <v>294.4163882155</v>
      </c>
      <c r="I9" s="19" t="n">
        <f aca="false">I6</f>
        <v>306.729924007958</v>
      </c>
    </row>
    <row r="10" customFormat="false" ht="15" hidden="false" customHeight="false" outlineLevel="0" collapsed="false">
      <c r="A10" s="3" t="s">
        <v>149</v>
      </c>
      <c r="E10" s="19" t="n">
        <f aca="false">-'Income Statement'!E8*Assumptions!E64</f>
        <v>-191.934428</v>
      </c>
      <c r="F10" s="19" t="n">
        <f aca="false">-'Income Statement'!F8*Assumptions!F64</f>
        <v>-202.71999992</v>
      </c>
      <c r="G10" s="19" t="n">
        <f aca="false">-'Income Statement'!G8*Assumptions!G64</f>
        <v>-213.7296345232</v>
      </c>
      <c r="H10" s="19" t="n">
        <f aca="false">-'Income Statement'!H8*Assumptions!H64</f>
        <v>-223.75645504378</v>
      </c>
      <c r="I10" s="19" t="n">
        <f aca="false">-'Income Statement'!I8*Assumptions!I64</f>
        <v>-233.114742246048</v>
      </c>
    </row>
    <row r="11" customFormat="false" ht="15" hidden="false" customHeight="false" outlineLevel="0" collapsed="false">
      <c r="A11" s="3" t="s">
        <v>150</v>
      </c>
      <c r="E11" s="19" t="n">
        <f aca="false">-Assumptions!E65</f>
        <v>-22</v>
      </c>
      <c r="F11" s="19" t="n">
        <f aca="false">-Assumptions!F65</f>
        <v>-24</v>
      </c>
      <c r="G11" s="19" t="n">
        <f aca="false">-Assumptions!G65</f>
        <v>-18</v>
      </c>
      <c r="H11" s="19" t="n">
        <f aca="false">-Assumptions!H65</f>
        <v>-16</v>
      </c>
      <c r="I11" s="19" t="n">
        <f aca="false">-Assumptions!I65</f>
        <v>-15</v>
      </c>
    </row>
    <row r="12" customFormat="false" ht="15" hidden="false" customHeight="false" outlineLevel="0" collapsed="false">
      <c r="A12" s="9" t="s">
        <v>151</v>
      </c>
      <c r="E12" s="19" t="n">
        <f aca="false">E8+E9+E10+E11</f>
        <v>344.7668248</v>
      </c>
      <c r="F12" s="19" t="n">
        <f aca="false">F8+F9+F10+F11</f>
        <v>394.47743492</v>
      </c>
      <c r="G12" s="19" t="n">
        <f aca="false">G8+G9+G10+G11</f>
        <v>446.50833092432</v>
      </c>
      <c r="H12" s="19" t="n">
        <f aca="false">H8+H9+H10+H11</f>
        <v>481.37013884996</v>
      </c>
      <c r="I12" s="19" t="n">
        <f aca="false">I8+I9+I10+I11</f>
        <v>509.50356340935</v>
      </c>
    </row>
    <row r="13" customFormat="false" ht="15" hidden="false" customHeight="false" outlineLevel="0" collapsed="false">
      <c r="A13" s="3" t="s">
        <v>152</v>
      </c>
      <c r="E13" s="21" t="n">
        <f aca="false">1/(1+Assumptions!$B$21)^1</f>
        <v>0.904388091017617</v>
      </c>
      <c r="F13" s="21" t="n">
        <f aca="false">1/(1+Assumptions!$B$21)^2</f>
        <v>0.81791781917449</v>
      </c>
      <c r="G13" s="21" t="n">
        <f aca="false">1/(1+Assumptions!$B$21)^3</f>
        <v>0.73971513509251</v>
      </c>
      <c r="H13" s="21" t="n">
        <f aca="false">1/(1+Assumptions!$B$21)^4</f>
        <v>0.668989558923154</v>
      </c>
      <c r="I13" s="21" t="n">
        <f aca="false">1/(1+Assumptions!$B$21)^5</f>
        <v>0.605026190105229</v>
      </c>
    </row>
    <row r="14" customFormat="false" ht="15" hidden="false" customHeight="false" outlineLevel="0" collapsed="false">
      <c r="A14" s="9" t="s">
        <v>153</v>
      </c>
      <c r="E14" s="20" t="n">
        <f aca="false">E12*E13</f>
        <v>311.803010527077</v>
      </c>
      <c r="F14" s="20" t="n">
        <f aca="false">F12*F13</f>
        <v>322.650123283313</v>
      </c>
      <c r="G14" s="20" t="n">
        <f aca="false">G12*G13</f>
        <v>330.288970329615</v>
      </c>
      <c r="H14" s="20" t="n">
        <f aca="false">H12*H13</f>
        <v>322.031596868012</v>
      </c>
      <c r="I14" s="20" t="n">
        <f aca="false">I12*I13</f>
        <v>308.262999814597</v>
      </c>
    </row>
    <row r="16" customFormat="false" ht="15" hidden="false" customHeight="false" outlineLevel="0" collapsed="false">
      <c r="A16" s="3" t="s">
        <v>154</v>
      </c>
      <c r="B16" s="19" t="n">
        <f aca="false">SUM(E14:I14)</f>
        <v>1595.03670082261</v>
      </c>
    </row>
    <row r="17" customFormat="false" ht="15" hidden="false" customHeight="false" outlineLevel="0" collapsed="false">
      <c r="A17" s="3" t="s">
        <v>155</v>
      </c>
      <c r="B17" s="19" t="n">
        <f aca="false">I12*(1+Assumptions!$B$22)/(Assumptions!$B$21-Assumptions!$B$22)</f>
        <v>6260.1224896186</v>
      </c>
    </row>
    <row r="18" customFormat="false" ht="15" hidden="false" customHeight="false" outlineLevel="0" collapsed="false">
      <c r="A18" s="3" t="s">
        <v>156</v>
      </c>
      <c r="B18" s="19" t="n">
        <f aca="false">B17/(1+Assumptions!$B$21)^5</f>
        <v>3787.53805948601</v>
      </c>
    </row>
    <row r="19" customFormat="false" ht="15" hidden="false" customHeight="false" outlineLevel="0" collapsed="false">
      <c r="A19" s="9" t="s">
        <v>157</v>
      </c>
      <c r="B19" s="19" t="n">
        <f aca="false">B16+B18</f>
        <v>5382.57476030862</v>
      </c>
    </row>
    <row r="20" customFormat="false" ht="15" hidden="false" customHeight="false" outlineLevel="0" collapsed="false">
      <c r="A20" s="3" t="s">
        <v>110</v>
      </c>
      <c r="B20" s="19" t="n">
        <f aca="false">-Assumptions!$B$6</f>
        <v>-1300</v>
      </c>
    </row>
    <row r="21" customFormat="false" ht="15" hidden="false" customHeight="false" outlineLevel="0" collapsed="false">
      <c r="A21" s="3" t="s">
        <v>111</v>
      </c>
      <c r="B21" s="19" t="n">
        <f aca="false">-Assumptions!$B$8</f>
        <v>-260</v>
      </c>
    </row>
    <row r="22" customFormat="false" ht="15" hidden="false" customHeight="false" outlineLevel="0" collapsed="false">
      <c r="A22" s="3" t="s">
        <v>158</v>
      </c>
      <c r="B22" s="19" t="n">
        <f aca="false">B19+B20+B21</f>
        <v>3822.57476030862</v>
      </c>
    </row>
    <row r="23" customFormat="false" ht="15" hidden="false" customHeight="false" outlineLevel="0" collapsed="false">
      <c r="A23" s="9" t="s">
        <v>159</v>
      </c>
      <c r="B23" s="10" t="n">
        <f aca="false">B22/Assumptions!$B$5</f>
        <v>4.59910625719916</v>
      </c>
    </row>
    <row r="24" customFormat="false" ht="15" hidden="false" customHeight="false" outlineLevel="0" collapsed="false">
      <c r="A24" s="3" t="s">
        <v>160</v>
      </c>
      <c r="B24" s="8" t="n">
        <f aca="false">B18/B19</f>
        <v>0.703666596034207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9" min="2" style="0" width="10.51"/>
  </cols>
  <sheetData>
    <row r="1" customFormat="false" ht="17.35" hidden="false" customHeight="false" outlineLevel="0" collapsed="false">
      <c r="A1" s="1" t="s">
        <v>161</v>
      </c>
    </row>
    <row r="2" customFormat="false" ht="15" hidden="false" customHeight="false" outlineLevel="0" collapsed="false">
      <c r="A2" s="2" t="s">
        <v>162</v>
      </c>
    </row>
    <row r="3" customFormat="false" ht="15" hidden="false" customHeight="false" outlineLevel="0" collapsed="false">
      <c r="B3" s="5" t="s">
        <v>163</v>
      </c>
      <c r="C3" s="5" t="s">
        <v>117</v>
      </c>
      <c r="D3" s="5" t="s">
        <v>118</v>
      </c>
      <c r="E3" s="5" t="s">
        <v>75</v>
      </c>
      <c r="F3" s="5" t="s">
        <v>76</v>
      </c>
      <c r="G3" s="5" t="s">
        <v>77</v>
      </c>
      <c r="H3" s="5" t="s">
        <v>78</v>
      </c>
      <c r="I3" s="5" t="s">
        <v>79</v>
      </c>
    </row>
    <row r="4" customFormat="false" ht="15" hidden="false" customHeight="false" outlineLevel="0" collapsed="false">
      <c r="A4" s="3" t="s">
        <v>101</v>
      </c>
      <c r="C4" s="14" t="n">
        <v>1082.2</v>
      </c>
      <c r="D4" s="14" t="n">
        <v>1240.3</v>
      </c>
      <c r="E4" s="19" t="n">
        <f aca="false">D4*(1+Assumptions!E53)</f>
        <v>1389.136</v>
      </c>
      <c r="F4" s="19" t="n">
        <f aca="false">E4*(1+Assumptions!F53)</f>
        <v>1486.37552</v>
      </c>
      <c r="G4" s="19" t="n">
        <f aca="false">F4*(1+Assumptions!G53)</f>
        <v>1575.5580512</v>
      </c>
      <c r="H4" s="19" t="n">
        <f aca="false">G4*(1+Assumptions!H53)</f>
        <v>1654.33595376</v>
      </c>
      <c r="I4" s="19" t="n">
        <f aca="false">H4*(1+Assumptions!I53)</f>
        <v>1728.7810716792</v>
      </c>
    </row>
    <row r="5" customFormat="false" ht="15" hidden="false" customHeight="false" outlineLevel="0" collapsed="false">
      <c r="A5" s="3" t="s">
        <v>103</v>
      </c>
      <c r="C5" s="14" t="n">
        <v>1332.2</v>
      </c>
      <c r="D5" s="14" t="n">
        <v>1223.2</v>
      </c>
      <c r="E5" s="19" t="n">
        <f aca="false">D5*(1+Assumptions!E54)</f>
        <v>1247.664</v>
      </c>
      <c r="F5" s="19" t="n">
        <f aca="false">E5*(1+Assumptions!F54)</f>
        <v>1278.8556</v>
      </c>
      <c r="G5" s="19" t="n">
        <f aca="false">F5*(1+Assumptions!G54)</f>
        <v>1310.82699</v>
      </c>
      <c r="H5" s="19" t="n">
        <f aca="false">G5*(1+Assumptions!H54)</f>
        <v>1343.59766475</v>
      </c>
      <c r="I5" s="19" t="n">
        <f aca="false">H5*(1+Assumptions!I54)</f>
        <v>1377.18760636875</v>
      </c>
    </row>
    <row r="6" customFormat="false" ht="15" hidden="false" customHeight="false" outlineLevel="0" collapsed="false">
      <c r="A6" s="3" t="s">
        <v>105</v>
      </c>
      <c r="C6" s="14" t="n">
        <v>1491.8</v>
      </c>
      <c r="D6" s="14" t="n">
        <v>1386.5</v>
      </c>
      <c r="E6" s="19" t="n">
        <f aca="false">D6*(1+Assumptions!E55)</f>
        <v>1358.77</v>
      </c>
      <c r="F6" s="19" t="n">
        <f aca="false">E6*(1+Assumptions!F55)</f>
        <v>1440.2962</v>
      </c>
      <c r="G6" s="19" t="n">
        <f aca="false">F6*(1+Assumptions!G55)</f>
        <v>1541.116934</v>
      </c>
      <c r="H6" s="19" t="n">
        <f aca="false">G6*(1+Assumptions!H55)</f>
        <v>1633.58395004</v>
      </c>
      <c r="I6" s="19" t="n">
        <f aca="false">H6*(1+Assumptions!I55)</f>
        <v>1715.263147542</v>
      </c>
    </row>
    <row r="7" customFormat="false" ht="15" hidden="false" customHeight="false" outlineLevel="0" collapsed="false">
      <c r="A7" s="3" t="s">
        <v>107</v>
      </c>
      <c r="C7" s="14" t="n">
        <v>1008.5</v>
      </c>
      <c r="D7" s="14" t="n">
        <v>995.6</v>
      </c>
      <c r="E7" s="19" t="n">
        <f aca="false">D7*(1+Assumptions!E56)</f>
        <v>1055.336</v>
      </c>
      <c r="F7" s="19" t="n">
        <f aca="false">E7*(1+Assumptions!F56)</f>
        <v>1129.20952</v>
      </c>
      <c r="G7" s="19" t="n">
        <f aca="false">F7*(1+Assumptions!G56)</f>
        <v>1196.9620912</v>
      </c>
      <c r="H7" s="19" t="n">
        <f aca="false">G7*(1+Assumptions!H56)</f>
        <v>1256.81019576</v>
      </c>
      <c r="I7" s="19" t="n">
        <f aca="false">H7*(1+Assumptions!I56)</f>
        <v>1313.3666545692</v>
      </c>
    </row>
    <row r="8" customFormat="false" ht="15" hidden="false" customHeight="false" outlineLevel="0" collapsed="false">
      <c r="A8" s="9" t="s">
        <v>164</v>
      </c>
      <c r="B8" s="14" t="n">
        <v>4561.2</v>
      </c>
      <c r="C8" s="20" t="n">
        <f aca="false">SUM(C4:C7)</f>
        <v>4914.7</v>
      </c>
      <c r="D8" s="20" t="n">
        <f aca="false">SUM(D4:D7)</f>
        <v>4845.6</v>
      </c>
      <c r="E8" s="20" t="n">
        <f aca="false">SUM(E4:E7)</f>
        <v>5050.906</v>
      </c>
      <c r="F8" s="20" t="n">
        <f aca="false">SUM(F4:F7)</f>
        <v>5334.73684</v>
      </c>
      <c r="G8" s="20" t="n">
        <f aca="false">SUM(G4:G7)</f>
        <v>5624.4640664</v>
      </c>
      <c r="H8" s="20" t="n">
        <f aca="false">SUM(H4:H7)</f>
        <v>5888.32776431</v>
      </c>
      <c r="I8" s="20" t="n">
        <f aca="false">SUM(I4:I7)</f>
        <v>6134.59848015915</v>
      </c>
    </row>
    <row r="10" customFormat="false" ht="15" hidden="false" customHeight="false" outlineLevel="0" collapsed="false">
      <c r="A10" s="3" t="s">
        <v>123</v>
      </c>
      <c r="C10" s="14" t="n">
        <v>172.5</v>
      </c>
      <c r="D10" s="14" t="n">
        <v>170.9</v>
      </c>
      <c r="E10" s="19" t="n">
        <f aca="false">E4*Assumptions!E57</f>
        <v>208.3704</v>
      </c>
      <c r="F10" s="19" t="n">
        <f aca="false">F4*Assumptions!F57</f>
        <v>225.92907904</v>
      </c>
      <c r="G10" s="19" t="n">
        <f aca="false">G4*Assumptions!G57</f>
        <v>242.6359398848</v>
      </c>
      <c r="H10" s="19" t="n">
        <f aca="false">H4*Assumptions!H57</f>
        <v>256.4220728328</v>
      </c>
      <c r="I10" s="19" t="n">
        <f aca="false">I4*Assumptions!I57</f>
        <v>269.689847181955</v>
      </c>
    </row>
    <row r="11" customFormat="false" ht="15" hidden="false" customHeight="false" outlineLevel="0" collapsed="false">
      <c r="A11" s="3" t="s">
        <v>124</v>
      </c>
      <c r="C11" s="14" t="n">
        <v>222.5</v>
      </c>
      <c r="D11" s="14" t="n">
        <v>222.2</v>
      </c>
      <c r="E11" s="19" t="n">
        <f aca="false">E5*Assumptions!E58</f>
        <v>227.074848</v>
      </c>
      <c r="F11" s="19" t="n">
        <f aca="false">F5*Assumptions!F58</f>
        <v>232.7517192</v>
      </c>
      <c r="G11" s="19" t="n">
        <f aca="false">G5*Assumptions!G58</f>
        <v>238.57051218</v>
      </c>
      <c r="H11" s="19" t="n">
        <f aca="false">H5*Assumptions!H58</f>
        <v>244.5347749845</v>
      </c>
      <c r="I11" s="19" t="n">
        <f aca="false">I5*Assumptions!I58</f>
        <v>250.648144359112</v>
      </c>
    </row>
    <row r="12" customFormat="false" ht="15" hidden="false" customHeight="false" outlineLevel="0" collapsed="false">
      <c r="A12" s="3" t="s">
        <v>125</v>
      </c>
      <c r="C12" s="14" t="n">
        <v>183.3</v>
      </c>
      <c r="D12" s="14" t="n">
        <v>17</v>
      </c>
      <c r="E12" s="19" t="n">
        <f aca="false">E6*Assumptions!E59</f>
        <v>122.2893</v>
      </c>
      <c r="F12" s="19" t="n">
        <f aca="false">F6*Assumptions!F59</f>
        <v>151.231101</v>
      </c>
      <c r="G12" s="19" t="n">
        <f aca="false">G6*Assumptions!G59</f>
        <v>177.22844741</v>
      </c>
      <c r="H12" s="19" t="n">
        <f aca="false">H6*Assumptions!H59</f>
        <v>196.0300740048</v>
      </c>
      <c r="I12" s="19" t="n">
        <f aca="false">I6*Assumptions!I59</f>
        <v>205.83157770504</v>
      </c>
    </row>
    <row r="13" customFormat="false" ht="15" hidden="false" customHeight="false" outlineLevel="0" collapsed="false">
      <c r="A13" s="3" t="s">
        <v>126</v>
      </c>
      <c r="C13" s="14" t="n">
        <v>118</v>
      </c>
      <c r="D13" s="14" t="n">
        <v>72.7</v>
      </c>
      <c r="E13" s="19" t="n">
        <f aca="false">E7*Assumptions!E60</f>
        <v>94.98024</v>
      </c>
      <c r="F13" s="19" t="n">
        <f aca="false">F7*Assumptions!F60</f>
        <v>118.5669996</v>
      </c>
      <c r="G13" s="19" t="n">
        <f aca="false">G7*Assumptions!G60</f>
        <v>137.650640488</v>
      </c>
      <c r="H13" s="19" t="n">
        <f aca="false">H7*Assumptions!H60</f>
        <v>150.8172234912</v>
      </c>
      <c r="I13" s="19" t="n">
        <f aca="false">I7*Assumptions!I60</f>
        <v>164.17083182115</v>
      </c>
    </row>
    <row r="14" customFormat="false" ht="15" hidden="false" customHeight="false" outlineLevel="0" collapsed="false">
      <c r="A14" s="3" t="s">
        <v>165</v>
      </c>
      <c r="C14" s="19" t="n">
        <f aca="false">C15-SUM(C10:C13)</f>
        <v>-17.5</v>
      </c>
      <c r="D14" s="19" t="n">
        <f aca="false">D15-SUM(D10:D13)</f>
        <v>-19.4</v>
      </c>
      <c r="E14" s="19" t="n">
        <f aca="false">Assumptions!E61</f>
        <v>-20</v>
      </c>
      <c r="F14" s="19" t="n">
        <f aca="false">Assumptions!F61</f>
        <v>-20</v>
      </c>
      <c r="G14" s="19" t="n">
        <f aca="false">Assumptions!G61</f>
        <v>-20</v>
      </c>
      <c r="H14" s="19" t="n">
        <f aca="false">Assumptions!H61</f>
        <v>-20</v>
      </c>
      <c r="I14" s="19" t="n">
        <f aca="false">Assumptions!I61</f>
        <v>-20</v>
      </c>
    </row>
    <row r="15" customFormat="false" ht="15" hidden="false" customHeight="false" outlineLevel="0" collapsed="false">
      <c r="A15" s="9" t="s">
        <v>166</v>
      </c>
      <c r="B15" s="14" t="n">
        <v>689.3</v>
      </c>
      <c r="C15" s="14" t="n">
        <v>678.8</v>
      </c>
      <c r="D15" s="14" t="n">
        <v>463.4</v>
      </c>
      <c r="E15" s="20" t="n">
        <f aca="false">SUM(E10:E14)</f>
        <v>632.714788</v>
      </c>
      <c r="F15" s="20" t="n">
        <f aca="false">SUM(F10:F14)</f>
        <v>708.47889884</v>
      </c>
      <c r="G15" s="20" t="n">
        <f aca="false">SUM(G10:G14)</f>
        <v>776.0855399628</v>
      </c>
      <c r="H15" s="20" t="n">
        <f aca="false">SUM(H10:H14)</f>
        <v>827.8041453133</v>
      </c>
      <c r="I15" s="20" t="n">
        <f aca="false">SUM(I10:I14)</f>
        <v>870.340401067258</v>
      </c>
    </row>
    <row r="16" customFormat="false" ht="15" hidden="false" customHeight="false" outlineLevel="0" collapsed="false">
      <c r="A16" s="3" t="s">
        <v>167</v>
      </c>
      <c r="B16" s="8" t="n">
        <f aca="false">B15/B8</f>
        <v>0.151122511619749</v>
      </c>
      <c r="C16" s="8" t="n">
        <f aca="false">C15/C8</f>
        <v>0.138116263454534</v>
      </c>
      <c r="D16" s="8" t="n">
        <f aca="false">D15/D8</f>
        <v>0.0956331517252765</v>
      </c>
      <c r="E16" s="8" t="n">
        <f aca="false">E15/E8</f>
        <v>0.125267583281099</v>
      </c>
      <c r="F16" s="8" t="n">
        <f aca="false">F15/F8</f>
        <v>0.132804844941517</v>
      </c>
      <c r="G16" s="8" t="n">
        <f aca="false">G15/G8</f>
        <v>0.137983909364638</v>
      </c>
      <c r="H16" s="8" t="n">
        <f aca="false">H15/H8</f>
        <v>0.140583910822821</v>
      </c>
      <c r="I16" s="8" t="n">
        <f aca="false">I15/I8</f>
        <v>0.141874061339493</v>
      </c>
    </row>
    <row r="17" customFormat="false" ht="15" hidden="false" customHeight="false" outlineLevel="0" collapsed="false">
      <c r="A17" s="3" t="s">
        <v>168</v>
      </c>
      <c r="D17" s="14" t="n">
        <v>143.4</v>
      </c>
    </row>
    <row r="18" customFormat="false" ht="15" hidden="false" customHeight="false" outlineLevel="0" collapsed="false">
      <c r="A18" s="3" t="s">
        <v>169</v>
      </c>
      <c r="B18" s="14" t="n">
        <v>689.3</v>
      </c>
      <c r="C18" s="14" t="n">
        <v>688.8</v>
      </c>
      <c r="D18" s="19" t="n">
        <f aca="false">D15+D17</f>
        <v>606.8</v>
      </c>
      <c r="E18" s="19" t="n">
        <f aca="false">E15</f>
        <v>632.714788</v>
      </c>
      <c r="F18" s="19" t="n">
        <f aca="false">F15</f>
        <v>708.47889884</v>
      </c>
      <c r="G18" s="19" t="n">
        <f aca="false">G15</f>
        <v>776.0855399628</v>
      </c>
      <c r="H18" s="19" t="n">
        <f aca="false">H15</f>
        <v>827.8041453133</v>
      </c>
      <c r="I18" s="19" t="n">
        <f aca="false">I15</f>
        <v>870.340401067258</v>
      </c>
    </row>
    <row r="19" customFormat="false" ht="15" hidden="false" customHeight="false" outlineLevel="0" collapsed="false">
      <c r="A19" s="3" t="s">
        <v>145</v>
      </c>
      <c r="B19" s="14" t="n">
        <v>240</v>
      </c>
      <c r="C19" s="14" t="n">
        <v>245</v>
      </c>
      <c r="D19" s="14" t="n">
        <v>250</v>
      </c>
      <c r="E19" s="19" t="n">
        <f aca="false">E8*Assumptions!E62</f>
        <v>262.647112</v>
      </c>
      <c r="F19" s="19" t="n">
        <f aca="false">F8*Assumptions!F62</f>
        <v>272.07157884</v>
      </c>
      <c r="G19" s="19" t="n">
        <f aca="false">G8*Assumptions!G62</f>
        <v>286.8476673864</v>
      </c>
      <c r="H19" s="19" t="n">
        <f aca="false">H8*Assumptions!H62</f>
        <v>294.4163882155</v>
      </c>
      <c r="I19" s="19" t="n">
        <f aca="false">I8*Assumptions!I62</f>
        <v>306.729924007958</v>
      </c>
    </row>
    <row r="20" customFormat="false" ht="15" hidden="false" customHeight="false" outlineLevel="0" collapsed="false">
      <c r="A20" s="9" t="s">
        <v>146</v>
      </c>
      <c r="B20" s="20" t="n">
        <f aca="false">B15-B19</f>
        <v>449.3</v>
      </c>
      <c r="C20" s="20" t="n">
        <f aca="false">C15-C19</f>
        <v>433.8</v>
      </c>
      <c r="D20" s="20" t="n">
        <f aca="false">D15-D19</f>
        <v>213.4</v>
      </c>
      <c r="E20" s="20" t="n">
        <f aca="false">E15-E19</f>
        <v>370.067676</v>
      </c>
      <c r="F20" s="20" t="n">
        <f aca="false">F15-F19</f>
        <v>436.40732</v>
      </c>
      <c r="G20" s="20" t="n">
        <f aca="false">G15-G19</f>
        <v>489.2378725764</v>
      </c>
      <c r="H20" s="20" t="n">
        <f aca="false">H15-H19</f>
        <v>533.3877570978</v>
      </c>
      <c r="I20" s="20" t="n">
        <f aca="false">I15-I19</f>
        <v>563.6104770593</v>
      </c>
    </row>
    <row r="21" customFormat="false" ht="15" hidden="false" customHeight="false" outlineLevel="0" collapsed="false">
      <c r="A21" s="3" t="s">
        <v>170</v>
      </c>
      <c r="B21" s="14" t="n">
        <v>110.7</v>
      </c>
      <c r="C21" s="14" t="n">
        <v>62</v>
      </c>
      <c r="D21" s="14" t="n">
        <v>88.3</v>
      </c>
      <c r="E21" s="19" t="n">
        <f aca="false">Assumptions!E63</f>
        <v>60</v>
      </c>
      <c r="F21" s="19" t="n">
        <f aca="false">Assumptions!F63</f>
        <v>56</v>
      </c>
      <c r="G21" s="19" t="n">
        <f aca="false">Assumptions!G63</f>
        <v>52</v>
      </c>
      <c r="H21" s="19" t="n">
        <f aca="false">Assumptions!H63</f>
        <v>47</v>
      </c>
      <c r="I21" s="19" t="n">
        <f aca="false">Assumptions!I63</f>
        <v>42</v>
      </c>
    </row>
    <row r="22" customFormat="false" ht="15" hidden="false" customHeight="false" outlineLevel="0" collapsed="false">
      <c r="A22" s="3" t="s">
        <v>171</v>
      </c>
      <c r="B22" s="19" t="n">
        <f aca="false">B20-B21</f>
        <v>338.6</v>
      </c>
      <c r="C22" s="19" t="n">
        <f aca="false">C20-C21</f>
        <v>371.8</v>
      </c>
      <c r="D22" s="19" t="n">
        <f aca="false">D20-D21</f>
        <v>125.1</v>
      </c>
      <c r="E22" s="19" t="n">
        <f aca="false">E20-E21</f>
        <v>310.067676</v>
      </c>
      <c r="F22" s="19" t="n">
        <f aca="false">F20-F21</f>
        <v>380.40732</v>
      </c>
      <c r="G22" s="19" t="n">
        <f aca="false">G20-G21</f>
        <v>437.2378725764</v>
      </c>
      <c r="H22" s="19" t="n">
        <f aca="false">H20-H21</f>
        <v>486.3877570978</v>
      </c>
      <c r="I22" s="19" t="n">
        <f aca="false">I20-I21</f>
        <v>521.6104770593</v>
      </c>
    </row>
    <row r="23" customFormat="false" ht="15" hidden="false" customHeight="false" outlineLevel="0" collapsed="false">
      <c r="A23" s="3" t="s">
        <v>172</v>
      </c>
      <c r="B23" s="14" t="n">
        <v>39</v>
      </c>
      <c r="C23" s="14" t="n">
        <v>50</v>
      </c>
      <c r="D23" s="14" t="n">
        <v>24.5</v>
      </c>
      <c r="E23" s="19" t="n">
        <f aca="false">MAX(0,E22)*Assumptions!$B$9</f>
        <v>62.0135352</v>
      </c>
      <c r="F23" s="19" t="n">
        <f aca="false">MAX(0,F22)*Assumptions!$B$9</f>
        <v>76.081464</v>
      </c>
      <c r="G23" s="19" t="n">
        <f aca="false">MAX(0,G22)*Assumptions!$B$9</f>
        <v>87.44757451528</v>
      </c>
      <c r="H23" s="19" t="n">
        <f aca="false">MAX(0,H22)*Assumptions!$B$9</f>
        <v>97.27755141956</v>
      </c>
      <c r="I23" s="19" t="n">
        <f aca="false">MAX(0,I22)*Assumptions!$B$9</f>
        <v>104.32209541186</v>
      </c>
    </row>
    <row r="24" customFormat="false" ht="15" hidden="false" customHeight="false" outlineLevel="0" collapsed="false">
      <c r="A24" s="9" t="s">
        <v>173</v>
      </c>
      <c r="B24" s="20" t="n">
        <f aca="false">B22-B23</f>
        <v>299.6</v>
      </c>
      <c r="C24" s="20" t="n">
        <f aca="false">C22-C23</f>
        <v>321.8</v>
      </c>
      <c r="D24" s="20" t="n">
        <f aca="false">D22-D23</f>
        <v>100.6</v>
      </c>
      <c r="E24" s="20" t="n">
        <f aca="false">E22-E23</f>
        <v>248.0541408</v>
      </c>
      <c r="F24" s="20" t="n">
        <f aca="false">F22-F23</f>
        <v>304.325856</v>
      </c>
      <c r="G24" s="20" t="n">
        <f aca="false">G22-G23</f>
        <v>349.79029806112</v>
      </c>
      <c r="H24" s="20" t="n">
        <f aca="false">H22-H23</f>
        <v>389.11020567824</v>
      </c>
      <c r="I24" s="20" t="n">
        <f aca="false">I22-I23</f>
        <v>417.28838164744</v>
      </c>
    </row>
    <row r="25" customFormat="false" ht="15" hidden="false" customHeight="false" outlineLevel="0" collapsed="false">
      <c r="A25" s="3" t="s">
        <v>174</v>
      </c>
      <c r="B25" s="14" t="n">
        <v>25.3</v>
      </c>
      <c r="C25" s="14" t="n">
        <v>25.9</v>
      </c>
      <c r="D25" s="14" t="n">
        <v>15</v>
      </c>
      <c r="E25" s="19" t="n">
        <f aca="false">E24*Assumptions!E66</f>
        <v>32.247038304</v>
      </c>
      <c r="F25" s="19" t="n">
        <f aca="false">F24*Assumptions!F66</f>
        <v>39.56236128</v>
      </c>
      <c r="G25" s="19" t="n">
        <f aca="false">G24*Assumptions!G66</f>
        <v>45.4727387479456</v>
      </c>
      <c r="H25" s="19" t="n">
        <f aca="false">H24*Assumptions!H66</f>
        <v>50.5843267381712</v>
      </c>
      <c r="I25" s="19" t="n">
        <f aca="false">I24*Assumptions!I66</f>
        <v>54.2474896141672</v>
      </c>
    </row>
    <row r="26" customFormat="false" ht="15" hidden="false" customHeight="false" outlineLevel="0" collapsed="false">
      <c r="A26" s="9" t="s">
        <v>175</v>
      </c>
      <c r="B26" s="20" t="n">
        <f aca="false">B24-B25</f>
        <v>274.3</v>
      </c>
      <c r="C26" s="20" t="n">
        <f aca="false">C24-C25</f>
        <v>295.9</v>
      </c>
      <c r="D26" s="20" t="n">
        <f aca="false">D24-D25</f>
        <v>85.6</v>
      </c>
      <c r="E26" s="20" t="n">
        <f aca="false">E24-E25</f>
        <v>215.807102496</v>
      </c>
      <c r="F26" s="20" t="n">
        <f aca="false">F24-F25</f>
        <v>264.76349472</v>
      </c>
      <c r="G26" s="20" t="n">
        <f aca="false">G24-G25</f>
        <v>304.317559313174</v>
      </c>
      <c r="H26" s="20" t="n">
        <f aca="false">H24-H25</f>
        <v>338.525878940069</v>
      </c>
      <c r="I26" s="20" t="n">
        <f aca="false">I24-I25</f>
        <v>363.040892033273</v>
      </c>
    </row>
    <row r="27" customFormat="false" ht="15" hidden="false" customHeight="false" outlineLevel="0" collapsed="false">
      <c r="A27" s="3" t="s">
        <v>176</v>
      </c>
      <c r="B27" s="7" t="n">
        <f aca="false">B26/Assumptions!$B$5</f>
        <v>0.330022282218982</v>
      </c>
      <c r="C27" s="7" t="n">
        <f aca="false">C26/Assumptions!$B$5</f>
        <v>0.356010183407206</v>
      </c>
      <c r="D27" s="7" t="n">
        <f aca="false">D26/Assumptions!$B$5</f>
        <v>0.102989089894075</v>
      </c>
      <c r="E27" s="7" t="n">
        <f aca="false">E26/Assumptions!$B$5</f>
        <v>0.259646928489959</v>
      </c>
      <c r="F27" s="7" t="n">
        <f aca="false">F26/Assumptions!$B$5</f>
        <v>0.318548497177425</v>
      </c>
      <c r="G27" s="7" t="n">
        <f aca="false">G26/Assumptions!$B$5</f>
        <v>0.366137715799651</v>
      </c>
      <c r="H27" s="7" t="n">
        <f aca="false">H26/Assumptions!$B$5</f>
        <v>0.407295235719972</v>
      </c>
      <c r="I27" s="7" t="n">
        <f aca="false">I26/Assumptions!$B$5</f>
        <v>0.436790316178038</v>
      </c>
    </row>
    <row r="29" customFormat="false" ht="15" hidden="false" customHeight="false" outlineLevel="0" collapsed="false">
      <c r="A29" s="2" t="s">
        <v>177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9" min="2" style="0" width="10.51"/>
  </cols>
  <sheetData>
    <row r="1" customFormat="false" ht="17.35" hidden="false" customHeight="false" outlineLevel="0" collapsed="false">
      <c r="A1" s="1" t="s">
        <v>178</v>
      </c>
    </row>
    <row r="2" customFormat="false" ht="15" hidden="false" customHeight="false" outlineLevel="0" collapsed="false">
      <c r="A2" s="2" t="s">
        <v>179</v>
      </c>
    </row>
    <row r="3" customFormat="false" ht="15" hidden="false" customHeight="false" outlineLevel="0" collapsed="false">
      <c r="B3" s="5" t="s">
        <v>163</v>
      </c>
      <c r="C3" s="5" t="s">
        <v>117</v>
      </c>
      <c r="D3" s="5" t="s">
        <v>118</v>
      </c>
      <c r="E3" s="5" t="s">
        <v>75</v>
      </c>
      <c r="F3" s="5" t="s">
        <v>76</v>
      </c>
      <c r="G3" s="5" t="s">
        <v>77</v>
      </c>
      <c r="H3" s="5" t="s">
        <v>78</v>
      </c>
      <c r="I3" s="5" t="s">
        <v>79</v>
      </c>
    </row>
    <row r="4" customFormat="false" ht="15" hidden="false" customHeight="false" outlineLevel="0" collapsed="false">
      <c r="A4" s="3" t="s">
        <v>180</v>
      </c>
      <c r="B4" s="19" t="n">
        <f aca="false">B9-SUM(B5:B7)</f>
        <v>4579.85</v>
      </c>
      <c r="C4" s="19" t="n">
        <f aca="false">C9-SUM(C5:C7)</f>
        <v>4340.6875</v>
      </c>
      <c r="D4" s="19" t="n">
        <f aca="false">D9-SUM(D5:D7)</f>
        <v>3968.2</v>
      </c>
      <c r="E4" s="19" t="n">
        <f aca="false">D4+'Income Statement'!E8*Assumptions!E64-'Income Statement'!E19</f>
        <v>3897.487316</v>
      </c>
      <c r="F4" s="19" t="n">
        <f aca="false">E4+'Income Statement'!F8*Assumptions!F64-'Income Statement'!F19</f>
        <v>3828.13573708</v>
      </c>
      <c r="G4" s="19" t="n">
        <f aca="false">F4+'Income Statement'!G8*Assumptions!G64-'Income Statement'!G19</f>
        <v>3755.0177042168</v>
      </c>
      <c r="H4" s="19" t="n">
        <f aca="false">G4+'Income Statement'!H8*Assumptions!H64-'Income Statement'!H19</f>
        <v>3684.35777104508</v>
      </c>
      <c r="I4" s="19" t="n">
        <f aca="false">H4+'Income Statement'!I8*Assumptions!I64-'Income Statement'!I19</f>
        <v>3610.74258928317</v>
      </c>
    </row>
    <row r="5" customFormat="false" ht="15" hidden="false" customHeight="false" outlineLevel="0" collapsed="false">
      <c r="A5" s="3" t="s">
        <v>67</v>
      </c>
      <c r="B5" s="19" t="n">
        <f aca="false">'Income Statement'!B8*Assumptions!$B$42</f>
        <v>889.434</v>
      </c>
      <c r="C5" s="19" t="n">
        <f aca="false">'Income Statement'!C8*Assumptions!$B$42</f>
        <v>958.3665</v>
      </c>
      <c r="D5" s="19" t="n">
        <f aca="false">'Income Statement'!D8*Assumptions!$B$42</f>
        <v>944.892</v>
      </c>
      <c r="E5" s="19" t="n">
        <f aca="false">'Income Statement'!E8*Assumptions!$B$42</f>
        <v>984.92667</v>
      </c>
      <c r="F5" s="19" t="n">
        <f aca="false">'Income Statement'!F8*Assumptions!$B$42</f>
        <v>1040.2736838</v>
      </c>
      <c r="G5" s="19" t="n">
        <f aca="false">'Income Statement'!G8*Assumptions!$B$42</f>
        <v>1096.770492948</v>
      </c>
      <c r="H5" s="19" t="n">
        <f aca="false">'Income Statement'!H8*Assumptions!$B$42</f>
        <v>1148.22391404045</v>
      </c>
      <c r="I5" s="19" t="n">
        <f aca="false">'Income Statement'!I8*Assumptions!$B$42</f>
        <v>1196.24670363103</v>
      </c>
    </row>
    <row r="6" customFormat="false" ht="15" hidden="false" customHeight="false" outlineLevel="0" collapsed="false">
      <c r="A6" s="3" t="s">
        <v>68</v>
      </c>
      <c r="B6" s="19" t="n">
        <f aca="false">'Income Statement'!B8*Assumptions!$B$43</f>
        <v>821.016</v>
      </c>
      <c r="C6" s="19" t="n">
        <f aca="false">'Income Statement'!C8*Assumptions!$B$43</f>
        <v>884.646</v>
      </c>
      <c r="D6" s="19" t="n">
        <f aca="false">'Income Statement'!D8*Assumptions!$B$43</f>
        <v>872.208</v>
      </c>
      <c r="E6" s="19" t="n">
        <f aca="false">'Income Statement'!E8*Assumptions!$B$43</f>
        <v>909.16308</v>
      </c>
      <c r="F6" s="19" t="n">
        <f aca="false">'Income Statement'!F8*Assumptions!$B$43</f>
        <v>960.2526312</v>
      </c>
      <c r="G6" s="19" t="n">
        <f aca="false">'Income Statement'!G8*Assumptions!$B$43</f>
        <v>1012.403531952</v>
      </c>
      <c r="H6" s="19" t="n">
        <f aca="false">'Income Statement'!H8*Assumptions!$B$43</f>
        <v>1059.8989975758</v>
      </c>
      <c r="I6" s="19" t="n">
        <f aca="false">'Income Statement'!I8*Assumptions!$B$43</f>
        <v>1104.22772642865</v>
      </c>
    </row>
    <row r="7" customFormat="false" ht="15" hidden="false" customHeight="false" outlineLevel="0" collapsed="false">
      <c r="A7" s="3" t="s">
        <v>181</v>
      </c>
      <c r="B7" s="14" t="n">
        <v>350</v>
      </c>
      <c r="C7" s="14" t="n">
        <v>420</v>
      </c>
      <c r="D7" s="14" t="n">
        <v>530.7</v>
      </c>
      <c r="E7" s="19" t="n">
        <f aca="false">'Cash Flow'!E14</f>
        <v>609.372397648</v>
      </c>
      <c r="F7" s="19" t="n">
        <f aca="false">'Cash Flow'!F14</f>
        <v>717.349999928</v>
      </c>
      <c r="G7" s="19" t="n">
        <f aca="false">'Cash Flow'!G14</f>
        <v>855.162097478348</v>
      </c>
      <c r="H7" s="19" t="n">
        <f aca="false">'Cash Flow'!H14</f>
        <v>1005.17668495922</v>
      </c>
      <c r="I7" s="19" t="n">
        <f aca="false">'Cash Flow'!I14</f>
        <v>1158.06496756149</v>
      </c>
    </row>
    <row r="9" customFormat="false" ht="15" hidden="false" customHeight="false" outlineLevel="0" collapsed="false">
      <c r="A9" s="9" t="s">
        <v>182</v>
      </c>
      <c r="B9" s="14" t="n">
        <v>6640.3</v>
      </c>
      <c r="C9" s="14" t="n">
        <v>6603.7</v>
      </c>
      <c r="D9" s="14" t="n">
        <v>6316</v>
      </c>
      <c r="E9" s="20" t="n">
        <f aca="false">SUM(E4:E7)</f>
        <v>6400.949463648</v>
      </c>
      <c r="F9" s="20" t="n">
        <f aca="false">SUM(F4:F7)</f>
        <v>6546.012052008</v>
      </c>
      <c r="G9" s="20" t="n">
        <f aca="false">SUM(G4:G7)</f>
        <v>6719.35382659515</v>
      </c>
      <c r="H9" s="20" t="n">
        <f aca="false">SUM(H4:H7)</f>
        <v>6897.65736762055</v>
      </c>
      <c r="I9" s="20" t="n">
        <f aca="false">SUM(I4:I7)</f>
        <v>7069.28198690434</v>
      </c>
    </row>
    <row r="11" customFormat="false" ht="15" hidden="false" customHeight="false" outlineLevel="0" collapsed="false">
      <c r="A11" s="9" t="s">
        <v>183</v>
      </c>
      <c r="B11" s="14" t="n">
        <v>2909.8</v>
      </c>
      <c r="C11" s="14" t="n">
        <v>2824.6</v>
      </c>
      <c r="D11" s="14" t="n">
        <v>2628.8</v>
      </c>
      <c r="E11" s="20" t="n">
        <f aca="false">D11+'Income Statement'!E26-Assumptions!E68</f>
        <v>2642.636194496</v>
      </c>
      <c r="F11" s="20" t="n">
        <f aca="false">E11+'Income Statement'!F26-Assumptions!F68</f>
        <v>2685.481037216</v>
      </c>
      <c r="G11" s="20" t="n">
        <f aca="false">F11+'Income Statement'!G26-Assumptions!G68</f>
        <v>2745.43873252918</v>
      </c>
      <c r="H11" s="20" t="n">
        <f aca="false">G11+'Income Statement'!H26-Assumptions!H68</f>
        <v>2815.50122346924</v>
      </c>
      <c r="I11" s="20" t="n">
        <f aca="false">H11+'Income Statement'!I26-Assumptions!I68</f>
        <v>2882.65057950252</v>
      </c>
    </row>
    <row r="12" customFormat="false" ht="15" hidden="false" customHeight="false" outlineLevel="0" collapsed="false">
      <c r="A12" s="3" t="s">
        <v>184</v>
      </c>
      <c r="B12" s="14" t="n">
        <v>255</v>
      </c>
      <c r="C12" s="14" t="n">
        <v>265</v>
      </c>
      <c r="D12" s="14" t="n">
        <v>275</v>
      </c>
      <c r="E12" s="19" t="n">
        <f aca="false">D12+'Income Statement'!E25/2</f>
        <v>291.123519152</v>
      </c>
      <c r="F12" s="19" t="n">
        <f aca="false">E12+'Income Statement'!F25/2</f>
        <v>310.904699792</v>
      </c>
      <c r="G12" s="19" t="n">
        <f aca="false">F12+'Income Statement'!G25/2</f>
        <v>333.641069165973</v>
      </c>
      <c r="H12" s="19" t="n">
        <f aca="false">G12+'Income Statement'!H25/2</f>
        <v>358.933232535058</v>
      </c>
      <c r="I12" s="19" t="n">
        <f aca="false">H12+'Income Statement'!I25/2</f>
        <v>386.056977342142</v>
      </c>
    </row>
    <row r="13" customFormat="false" ht="15" hidden="false" customHeight="false" outlineLevel="0" collapsed="false">
      <c r="A13" s="3" t="s">
        <v>185</v>
      </c>
      <c r="B13" s="14" t="n">
        <v>1250</v>
      </c>
      <c r="C13" s="14" t="n">
        <v>1438</v>
      </c>
      <c r="D13" s="14" t="n">
        <v>1830.7</v>
      </c>
      <c r="E13" s="19" t="n">
        <f aca="false">D13</f>
        <v>1830.7</v>
      </c>
      <c r="F13" s="19" t="n">
        <f aca="false">D13</f>
        <v>1830.7</v>
      </c>
      <c r="G13" s="19" t="n">
        <f aca="false">D13</f>
        <v>1830.7</v>
      </c>
      <c r="H13" s="19" t="n">
        <f aca="false">D13</f>
        <v>1830.7</v>
      </c>
      <c r="I13" s="19" t="n">
        <f aca="false">D13</f>
        <v>1830.7</v>
      </c>
    </row>
    <row r="14" customFormat="false" ht="15" hidden="false" customHeight="false" outlineLevel="0" collapsed="false">
      <c r="A14" s="3" t="s">
        <v>69</v>
      </c>
      <c r="B14" s="19" t="n">
        <f aca="false">'Income Statement'!B8*Assumptions!$B$44</f>
        <v>1026.27</v>
      </c>
      <c r="C14" s="19" t="n">
        <f aca="false">'Income Statement'!C8*Assumptions!$B$44</f>
        <v>1105.8075</v>
      </c>
      <c r="D14" s="19" t="n">
        <f aca="false">'Income Statement'!D8*Assumptions!$B$44</f>
        <v>1090.26</v>
      </c>
      <c r="E14" s="19" t="n">
        <f aca="false">'Income Statement'!E8*Assumptions!$B$44</f>
        <v>1136.45385</v>
      </c>
      <c r="F14" s="19" t="n">
        <f aca="false">'Income Statement'!F8*Assumptions!$B$44</f>
        <v>1200.315789</v>
      </c>
      <c r="G14" s="19" t="n">
        <f aca="false">'Income Statement'!G8*Assumptions!$B$44</f>
        <v>1265.50441494</v>
      </c>
      <c r="H14" s="19" t="n">
        <f aca="false">'Income Statement'!H8*Assumptions!$B$44</f>
        <v>1324.87374696975</v>
      </c>
      <c r="I14" s="19" t="n">
        <f aca="false">'Income Statement'!I8*Assumptions!$B$44</f>
        <v>1380.28465803581</v>
      </c>
    </row>
    <row r="15" customFormat="false" ht="15" hidden="false" customHeight="false" outlineLevel="0" collapsed="false">
      <c r="A15" s="3" t="s">
        <v>186</v>
      </c>
      <c r="B15" s="19" t="n">
        <f aca="false">B9-B11-B12-B13-B14</f>
        <v>1199.23</v>
      </c>
      <c r="C15" s="19" t="n">
        <f aca="false">C9-C11-C12-C13-C14</f>
        <v>970.2925</v>
      </c>
      <c r="D15" s="19" t="n">
        <f aca="false">D9-D11-D12-D13-D14</f>
        <v>491.24</v>
      </c>
      <c r="E15" s="19" t="n">
        <f aca="false">E9-E11-E12-E13-E14</f>
        <v>500.035899999999</v>
      </c>
      <c r="F15" s="19" t="n">
        <f aca="false">F9-F11-F12-F13-F14</f>
        <v>518.610525999998</v>
      </c>
      <c r="G15" s="19" t="n">
        <f aca="false">G9-G11-G12-G13-G14</f>
        <v>544.069609959998</v>
      </c>
      <c r="H15" s="19" t="n">
        <f aca="false">H9-H11-H12-H13-H14</f>
        <v>567.649164646499</v>
      </c>
      <c r="I15" s="19" t="n">
        <f aca="false">I9-I11-I12-I13-I14</f>
        <v>589.58977202387</v>
      </c>
    </row>
    <row r="16" customFormat="false" ht="15" hidden="false" customHeight="false" outlineLevel="0" collapsed="false">
      <c r="A16" s="3" t="s">
        <v>187</v>
      </c>
      <c r="B16" s="19" t="n">
        <f aca="false">SUM(B11:B15)</f>
        <v>6640.3</v>
      </c>
      <c r="C16" s="19" t="n">
        <f aca="false">SUM(C11:C15)</f>
        <v>6603.7</v>
      </c>
      <c r="D16" s="19" t="n">
        <f aca="false">SUM(D11:D15)</f>
        <v>6316</v>
      </c>
      <c r="E16" s="19" t="n">
        <f aca="false">SUM(E11:E15)</f>
        <v>6400.949463648</v>
      </c>
      <c r="F16" s="19" t="n">
        <f aca="false">SUM(F11:F15)</f>
        <v>6546.012052008</v>
      </c>
      <c r="G16" s="19" t="n">
        <f aca="false">SUM(G11:G15)</f>
        <v>6719.35382659515</v>
      </c>
      <c r="H16" s="19" t="n">
        <f aca="false">SUM(H11:H15)</f>
        <v>6897.65736762055</v>
      </c>
      <c r="I16" s="19" t="n">
        <f aca="false">SUM(I11:I15)</f>
        <v>7069.28198690434</v>
      </c>
    </row>
    <row r="18" customFormat="false" ht="15" hidden="false" customHeight="false" outlineLevel="0" collapsed="false">
      <c r="A18" s="9" t="s">
        <v>188</v>
      </c>
      <c r="B18" s="20" t="n">
        <f aca="false">B13-B7</f>
        <v>900</v>
      </c>
      <c r="C18" s="20" t="n">
        <f aca="false">C13-C7</f>
        <v>1018</v>
      </c>
      <c r="D18" s="20" t="n">
        <f aca="false">D13-D7</f>
        <v>1300</v>
      </c>
      <c r="E18" s="20" t="n">
        <f aca="false">E13-E7</f>
        <v>1221.327602352</v>
      </c>
      <c r="F18" s="20" t="n">
        <f aca="false">F13-F7</f>
        <v>1113.350000072</v>
      </c>
      <c r="G18" s="20" t="n">
        <f aca="false">G13-G7</f>
        <v>975.537902521653</v>
      </c>
      <c r="H18" s="20" t="n">
        <f aca="false">H13-H7</f>
        <v>825.523315040778</v>
      </c>
      <c r="I18" s="20" t="n">
        <f aca="false">I13-I7</f>
        <v>672.635032438512</v>
      </c>
    </row>
    <row r="19" customFormat="false" ht="15" hidden="false" customHeight="false" outlineLevel="0" collapsed="false">
      <c r="A19" s="3" t="s">
        <v>189</v>
      </c>
      <c r="B19" s="22" t="n">
        <f aca="false">B18/'Income Statement'!B15</f>
        <v>1.30567242129697</v>
      </c>
      <c r="C19" s="22" t="n">
        <f aca="false">C18/'Income Statement'!C15</f>
        <v>1.49970536240424</v>
      </c>
      <c r="D19" s="22" t="n">
        <f aca="false">D18/'Income Statement'!D15</f>
        <v>2.80535174794994</v>
      </c>
      <c r="E19" s="22" t="n">
        <f aca="false">E18/'Income Statement'!E15</f>
        <v>1.93029722951884</v>
      </c>
      <c r="F19" s="22" t="n">
        <f aca="false">F18/'Income Statement'!F15</f>
        <v>1.57146529260773</v>
      </c>
      <c r="G19" s="22" t="n">
        <f aca="false">G18/'Income Statement'!G15</f>
        <v>1.25699791104008</v>
      </c>
      <c r="H19" s="22" t="n">
        <f aca="false">H18/'Income Statement'!H15</f>
        <v>0.997244722335065</v>
      </c>
      <c r="I19" s="22" t="n">
        <f aca="false">I18/'Income Statement'!I15</f>
        <v>0.772841329224394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9" min="5" style="0" width="10.51"/>
  </cols>
  <sheetData>
    <row r="1" customFormat="false" ht="17.35" hidden="false" customHeight="false" outlineLevel="0" collapsed="false">
      <c r="A1" s="1" t="s">
        <v>190</v>
      </c>
    </row>
    <row r="2" customFormat="false" ht="15" hidden="false" customHeight="false" outlineLevel="0" collapsed="false">
      <c r="A2" s="2" t="s">
        <v>191</v>
      </c>
    </row>
    <row r="3" customFormat="false" ht="15" hidden="false" customHeight="false" outlineLevel="0" collapsed="false">
      <c r="E3" s="5" t="s">
        <v>75</v>
      </c>
      <c r="F3" s="5" t="s">
        <v>76</v>
      </c>
      <c r="G3" s="5" t="s">
        <v>77</v>
      </c>
      <c r="H3" s="5" t="s">
        <v>78</v>
      </c>
      <c r="I3" s="5" t="s">
        <v>79</v>
      </c>
    </row>
    <row r="4" customFormat="false" ht="15" hidden="false" customHeight="false" outlineLevel="0" collapsed="false">
      <c r="A4" s="3" t="s">
        <v>173</v>
      </c>
      <c r="E4" s="19" t="n">
        <f aca="false">'Income Statement'!E24</f>
        <v>248.0541408</v>
      </c>
      <c r="F4" s="19" t="n">
        <f aca="false">'Income Statement'!F24</f>
        <v>304.325856</v>
      </c>
      <c r="G4" s="19" t="n">
        <f aca="false">'Income Statement'!G24</f>
        <v>349.79029806112</v>
      </c>
      <c r="H4" s="19" t="n">
        <f aca="false">'Income Statement'!H24</f>
        <v>389.11020567824</v>
      </c>
      <c r="I4" s="19" t="n">
        <f aca="false">'Income Statement'!I24</f>
        <v>417.28838164744</v>
      </c>
    </row>
    <row r="5" customFormat="false" ht="15" hidden="false" customHeight="false" outlineLevel="0" collapsed="false">
      <c r="A5" s="3" t="s">
        <v>148</v>
      </c>
      <c r="E5" s="19" t="n">
        <f aca="false">'Income Statement'!E19</f>
        <v>262.647112</v>
      </c>
      <c r="F5" s="19" t="n">
        <f aca="false">'Income Statement'!F19</f>
        <v>272.07157884</v>
      </c>
      <c r="G5" s="19" t="n">
        <f aca="false">'Income Statement'!G19</f>
        <v>286.8476673864</v>
      </c>
      <c r="H5" s="19" t="n">
        <f aca="false">'Income Statement'!H19</f>
        <v>294.4163882155</v>
      </c>
      <c r="I5" s="19" t="n">
        <f aca="false">'Income Statement'!I19</f>
        <v>306.729924007958</v>
      </c>
    </row>
    <row r="6" customFormat="false" ht="15" hidden="false" customHeight="false" outlineLevel="0" collapsed="false">
      <c r="A6" s="3" t="s">
        <v>192</v>
      </c>
      <c r="E6" s="19" t="n">
        <f aca="false">-Assumptions!E65</f>
        <v>-22</v>
      </c>
      <c r="F6" s="19" t="n">
        <f aca="false">-Assumptions!F65</f>
        <v>-24</v>
      </c>
      <c r="G6" s="19" t="n">
        <f aca="false">-Assumptions!G65</f>
        <v>-18</v>
      </c>
      <c r="H6" s="19" t="n">
        <f aca="false">-Assumptions!H65</f>
        <v>-16</v>
      </c>
      <c r="I6" s="19" t="n">
        <f aca="false">-Assumptions!I65</f>
        <v>-15</v>
      </c>
    </row>
    <row r="7" customFormat="false" ht="15" hidden="false" customHeight="false" outlineLevel="0" collapsed="false">
      <c r="A7" s="9" t="s">
        <v>193</v>
      </c>
      <c r="E7" s="19" t="n">
        <f aca="false">SUM(E4:E6)</f>
        <v>488.7012528</v>
      </c>
      <c r="F7" s="19" t="n">
        <f aca="false">SUM(F4:F6)</f>
        <v>552.39743484</v>
      </c>
      <c r="G7" s="19" t="n">
        <f aca="false">SUM(G4:G6)</f>
        <v>618.63796544752</v>
      </c>
      <c r="H7" s="19" t="n">
        <f aca="false">SUM(H4:H6)</f>
        <v>667.52659389374</v>
      </c>
      <c r="I7" s="19" t="n">
        <f aca="false">SUM(I4:I6)</f>
        <v>709.018305655398</v>
      </c>
    </row>
    <row r="8" customFormat="false" ht="15" hidden="false" customHeight="false" outlineLevel="0" collapsed="false">
      <c r="A8" s="3" t="s">
        <v>149</v>
      </c>
      <c r="E8" s="19" t="n">
        <f aca="false">-'Income Statement'!E8*Assumptions!E64</f>
        <v>-191.934428</v>
      </c>
      <c r="F8" s="19" t="n">
        <f aca="false">-'Income Statement'!F8*Assumptions!F64</f>
        <v>-202.71999992</v>
      </c>
      <c r="G8" s="19" t="n">
        <f aca="false">-'Income Statement'!G8*Assumptions!G64</f>
        <v>-213.7296345232</v>
      </c>
      <c r="H8" s="19" t="n">
        <f aca="false">-'Income Statement'!H8*Assumptions!H64</f>
        <v>-223.75645504378</v>
      </c>
      <c r="I8" s="19" t="n">
        <f aca="false">-'Income Statement'!I8*Assumptions!I64</f>
        <v>-233.114742246048</v>
      </c>
    </row>
    <row r="9" customFormat="false" ht="15" hidden="false" customHeight="false" outlineLevel="0" collapsed="false">
      <c r="A9" s="9" t="s">
        <v>194</v>
      </c>
      <c r="E9" s="19" t="n">
        <f aca="false">E7+E8</f>
        <v>296.7668248</v>
      </c>
      <c r="F9" s="19" t="n">
        <f aca="false">F7+F8</f>
        <v>349.67743492</v>
      </c>
      <c r="G9" s="19" t="n">
        <f aca="false">G7+G8</f>
        <v>404.90833092432</v>
      </c>
      <c r="H9" s="19" t="n">
        <f aca="false">H7+H8</f>
        <v>443.77013884996</v>
      </c>
      <c r="I9" s="19" t="n">
        <f aca="false">I7+I8</f>
        <v>475.90356340935</v>
      </c>
    </row>
    <row r="10" customFormat="false" ht="15" hidden="false" customHeight="false" outlineLevel="0" collapsed="false">
      <c r="A10" s="3" t="s">
        <v>195</v>
      </c>
      <c r="E10" s="19" t="n">
        <f aca="false">-Assumptions!E68</f>
        <v>-201.970908</v>
      </c>
      <c r="F10" s="19" t="n">
        <f aca="false">-Assumptions!F68</f>
        <v>-221.918652</v>
      </c>
      <c r="G10" s="19" t="n">
        <f aca="false">-Assumptions!G68</f>
        <v>-244.359864</v>
      </c>
      <c r="H10" s="19" t="n">
        <f aca="false">-Assumptions!H68</f>
        <v>-268.463388</v>
      </c>
      <c r="I10" s="19" t="n">
        <f aca="false">-Assumptions!I68</f>
        <v>-295.891536</v>
      </c>
    </row>
    <row r="11" customFormat="false" ht="15" hidden="false" customHeight="false" outlineLevel="0" collapsed="false">
      <c r="A11" s="3" t="s">
        <v>196</v>
      </c>
      <c r="E11" s="19" t="n">
        <f aca="false">-'Income Statement'!E25/2</f>
        <v>-16.123519152</v>
      </c>
      <c r="F11" s="19" t="n">
        <f aca="false">-'Income Statement'!F25/2</f>
        <v>-19.78118064</v>
      </c>
      <c r="G11" s="19" t="n">
        <f aca="false">-'Income Statement'!G25/2</f>
        <v>-22.7363693739728</v>
      </c>
      <c r="H11" s="19" t="n">
        <f aca="false">-'Income Statement'!H25/2</f>
        <v>-25.2921633690856</v>
      </c>
      <c r="I11" s="19" t="n">
        <f aca="false">-'Income Statement'!I25/2</f>
        <v>-27.1237448070836</v>
      </c>
    </row>
    <row r="12" customFormat="false" ht="15" hidden="false" customHeight="false" outlineLevel="0" collapsed="false">
      <c r="A12" s="3" t="s">
        <v>197</v>
      </c>
      <c r="E12" s="19" t="n">
        <f aca="false">E9+E10+E11</f>
        <v>78.672397648</v>
      </c>
      <c r="F12" s="19" t="n">
        <f aca="false">F9+F10+F11</f>
        <v>107.97760228</v>
      </c>
      <c r="G12" s="19" t="n">
        <f aca="false">G9+G10+G11</f>
        <v>137.812097550347</v>
      </c>
      <c r="H12" s="19" t="n">
        <f aca="false">H9+H10+H11</f>
        <v>150.014587480875</v>
      </c>
      <c r="I12" s="19" t="n">
        <f aca="false">I9+I10+I11</f>
        <v>152.888282602266</v>
      </c>
    </row>
    <row r="13" customFormat="false" ht="15" hidden="false" customHeight="false" outlineLevel="0" collapsed="false">
      <c r="A13" s="3" t="s">
        <v>198</v>
      </c>
      <c r="E13" s="19" t="n">
        <f aca="false">'Balance Sheet'!D7</f>
        <v>530.7</v>
      </c>
      <c r="F13" s="19" t="n">
        <f aca="false">E14</f>
        <v>609.372397648</v>
      </c>
      <c r="G13" s="19" t="n">
        <f aca="false">F14</f>
        <v>717.349999928</v>
      </c>
      <c r="H13" s="19" t="n">
        <f aca="false">G14</f>
        <v>855.162097478348</v>
      </c>
      <c r="I13" s="19" t="n">
        <f aca="false">H14</f>
        <v>1005.17668495922</v>
      </c>
    </row>
    <row r="14" customFormat="false" ht="15" hidden="false" customHeight="false" outlineLevel="0" collapsed="false">
      <c r="A14" s="9" t="s">
        <v>199</v>
      </c>
      <c r="E14" s="20" t="n">
        <f aca="false">E12+E13</f>
        <v>609.372397648</v>
      </c>
      <c r="F14" s="20" t="n">
        <f aca="false">F12+F13</f>
        <v>717.349999928</v>
      </c>
      <c r="G14" s="20" t="n">
        <f aca="false">G12+G13</f>
        <v>855.162097478348</v>
      </c>
      <c r="H14" s="20" t="n">
        <f aca="false">H12+H13</f>
        <v>1005.17668495922</v>
      </c>
      <c r="I14" s="20" t="n">
        <f aca="false">I12+I13</f>
        <v>1158.06496756149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9" min="2" style="0" width="10.51"/>
  </cols>
  <sheetData>
    <row r="1" customFormat="false" ht="17.35" hidden="false" customHeight="false" outlineLevel="0" collapsed="false">
      <c r="A1" s="1" t="s">
        <v>200</v>
      </c>
    </row>
    <row r="2" customFormat="false" ht="15" hidden="false" customHeight="false" outlineLevel="0" collapsed="false">
      <c r="A2" s="2" t="s">
        <v>201</v>
      </c>
    </row>
    <row r="3" customFormat="false" ht="15" hidden="false" customHeight="false" outlineLevel="0" collapsed="false">
      <c r="B3" s="5" t="s">
        <v>163</v>
      </c>
      <c r="C3" s="5" t="s">
        <v>117</v>
      </c>
      <c r="D3" s="5" t="s">
        <v>118</v>
      </c>
      <c r="E3" s="5" t="s">
        <v>75</v>
      </c>
      <c r="F3" s="5" t="s">
        <v>76</v>
      </c>
      <c r="G3" s="5" t="s">
        <v>77</v>
      </c>
      <c r="H3" s="5" t="s">
        <v>78</v>
      </c>
      <c r="I3" s="5" t="s">
        <v>79</v>
      </c>
    </row>
    <row r="4" customFormat="false" ht="15" hidden="false" customHeight="false" outlineLevel="0" collapsed="false">
      <c r="A4" s="3" t="s">
        <v>143</v>
      </c>
      <c r="B4" s="19" t="n">
        <f aca="false">'Income Statement'!B8</f>
        <v>4561.2</v>
      </c>
      <c r="C4" s="19" t="n">
        <f aca="false">'Income Statement'!C8</f>
        <v>4914.7</v>
      </c>
      <c r="D4" s="19" t="n">
        <f aca="false">'Income Statement'!D8</f>
        <v>4845.6</v>
      </c>
      <c r="E4" s="19" t="n">
        <f aca="false">'Income Statement'!E8</f>
        <v>5050.906</v>
      </c>
      <c r="F4" s="19" t="n">
        <f aca="false">'Income Statement'!F8</f>
        <v>5334.73684</v>
      </c>
      <c r="G4" s="19" t="n">
        <f aca="false">'Income Statement'!G8</f>
        <v>5624.4640664</v>
      </c>
      <c r="H4" s="19" t="n">
        <f aca="false">'Income Statement'!H8</f>
        <v>5888.32776431</v>
      </c>
      <c r="I4" s="19" t="n">
        <f aca="false">'Income Statement'!I8</f>
        <v>6134.59848015915</v>
      </c>
    </row>
    <row r="5" customFormat="false" ht="15" hidden="false" customHeight="false" outlineLevel="0" collapsed="false">
      <c r="A5" s="3" t="s">
        <v>166</v>
      </c>
      <c r="B5" s="19" t="n">
        <f aca="false">'Income Statement'!B15</f>
        <v>689.3</v>
      </c>
      <c r="C5" s="19" t="n">
        <f aca="false">'Income Statement'!C15</f>
        <v>678.8</v>
      </c>
      <c r="D5" s="19" t="n">
        <f aca="false">'Income Statement'!D15</f>
        <v>463.4</v>
      </c>
      <c r="E5" s="19" t="n">
        <f aca="false">'Income Statement'!E15</f>
        <v>632.714788</v>
      </c>
      <c r="F5" s="19" t="n">
        <f aca="false">'Income Statement'!F15</f>
        <v>708.47889884</v>
      </c>
      <c r="G5" s="19" t="n">
        <f aca="false">'Income Statement'!G15</f>
        <v>776.0855399628</v>
      </c>
      <c r="H5" s="19" t="n">
        <f aca="false">'Income Statement'!H15</f>
        <v>827.8041453133</v>
      </c>
      <c r="I5" s="19" t="n">
        <f aca="false">'Income Statement'!I15</f>
        <v>870.340401067258</v>
      </c>
    </row>
    <row r="6" customFormat="false" ht="15" hidden="false" customHeight="false" outlineLevel="0" collapsed="false">
      <c r="A6" s="3" t="s">
        <v>202</v>
      </c>
      <c r="B6" s="19" t="n">
        <f aca="false">'Income Statement'!B18</f>
        <v>689.3</v>
      </c>
      <c r="C6" s="19" t="n">
        <f aca="false">'Income Statement'!C18</f>
        <v>688.8</v>
      </c>
      <c r="D6" s="19" t="n">
        <f aca="false">'Income Statement'!D18</f>
        <v>606.8</v>
      </c>
      <c r="E6" s="19" t="n">
        <f aca="false">'Income Statement'!E18</f>
        <v>632.714788</v>
      </c>
      <c r="F6" s="19" t="n">
        <f aca="false">'Income Statement'!F18</f>
        <v>708.47889884</v>
      </c>
      <c r="G6" s="19" t="n">
        <f aca="false">'Income Statement'!G18</f>
        <v>776.0855399628</v>
      </c>
      <c r="H6" s="19" t="n">
        <f aca="false">'Income Statement'!H18</f>
        <v>827.8041453133</v>
      </c>
      <c r="I6" s="19" t="n">
        <f aca="false">'Income Statement'!I18</f>
        <v>870.340401067258</v>
      </c>
    </row>
    <row r="7" customFormat="false" ht="15" hidden="false" customHeight="false" outlineLevel="0" collapsed="false">
      <c r="A7" s="3" t="s">
        <v>146</v>
      </c>
      <c r="B7" s="19" t="n">
        <f aca="false">'Income Statement'!B20</f>
        <v>449.3</v>
      </c>
      <c r="C7" s="19" t="n">
        <f aca="false">'Income Statement'!C20</f>
        <v>433.8</v>
      </c>
      <c r="D7" s="19" t="n">
        <f aca="false">'Income Statement'!D20</f>
        <v>213.4</v>
      </c>
      <c r="E7" s="19" t="n">
        <f aca="false">'Income Statement'!E20</f>
        <v>370.067676</v>
      </c>
      <c r="F7" s="19" t="n">
        <f aca="false">'Income Statement'!F20</f>
        <v>436.40732</v>
      </c>
      <c r="G7" s="19" t="n">
        <f aca="false">'Income Statement'!G20</f>
        <v>489.2378725764</v>
      </c>
      <c r="H7" s="19" t="n">
        <f aca="false">'Income Statement'!H20</f>
        <v>533.3877570978</v>
      </c>
      <c r="I7" s="19" t="n">
        <f aca="false">'Income Statement'!I20</f>
        <v>563.6104770593</v>
      </c>
    </row>
    <row r="8" customFormat="false" ht="15" hidden="false" customHeight="false" outlineLevel="0" collapsed="false">
      <c r="A8" s="3" t="s">
        <v>173</v>
      </c>
      <c r="B8" s="19" t="n">
        <f aca="false">'Income Statement'!B24</f>
        <v>299.6</v>
      </c>
      <c r="C8" s="19" t="n">
        <f aca="false">'Income Statement'!C24</f>
        <v>321.8</v>
      </c>
      <c r="D8" s="19" t="n">
        <f aca="false">'Income Statement'!D24</f>
        <v>100.6</v>
      </c>
      <c r="E8" s="19" t="n">
        <f aca="false">'Income Statement'!E24</f>
        <v>248.0541408</v>
      </c>
      <c r="F8" s="19" t="n">
        <f aca="false">'Income Statement'!F24</f>
        <v>304.325856</v>
      </c>
      <c r="G8" s="19" t="n">
        <f aca="false">'Income Statement'!G24</f>
        <v>349.79029806112</v>
      </c>
      <c r="H8" s="19" t="n">
        <f aca="false">'Income Statement'!H24</f>
        <v>389.11020567824</v>
      </c>
      <c r="I8" s="19" t="n">
        <f aca="false">'Income Statement'!I24</f>
        <v>417.28838164744</v>
      </c>
    </row>
    <row r="9" customFormat="false" ht="15" hidden="false" customHeight="false" outlineLevel="0" collapsed="false">
      <c r="A9" s="3" t="s">
        <v>175</v>
      </c>
      <c r="B9" s="19" t="n">
        <f aca="false">'Income Statement'!B26</f>
        <v>274.3</v>
      </c>
      <c r="C9" s="19" t="n">
        <f aca="false">'Income Statement'!C26</f>
        <v>295.9</v>
      </c>
      <c r="D9" s="19" t="n">
        <f aca="false">'Income Statement'!D26</f>
        <v>85.6</v>
      </c>
      <c r="E9" s="19" t="n">
        <f aca="false">'Income Statement'!E26</f>
        <v>215.807102496</v>
      </c>
      <c r="F9" s="19" t="n">
        <f aca="false">'Income Statement'!F26</f>
        <v>264.76349472</v>
      </c>
      <c r="G9" s="19" t="n">
        <f aca="false">'Income Statement'!G26</f>
        <v>304.317559313174</v>
      </c>
      <c r="H9" s="19" t="n">
        <f aca="false">'Income Statement'!H26</f>
        <v>338.525878940069</v>
      </c>
      <c r="I9" s="19" t="n">
        <f aca="false">'Income Statement'!I26</f>
        <v>363.040892033273</v>
      </c>
    </row>
    <row r="10" customFormat="false" ht="15" hidden="false" customHeight="false" outlineLevel="0" collapsed="false">
      <c r="A10" s="3" t="s">
        <v>176</v>
      </c>
      <c r="B10" s="7" t="n">
        <f aca="false">'Income Statement'!B27</f>
        <v>0.330022282218982</v>
      </c>
      <c r="C10" s="7" t="n">
        <f aca="false">'Income Statement'!C27</f>
        <v>0.356010183407206</v>
      </c>
      <c r="D10" s="7" t="n">
        <f aca="false">'Income Statement'!D27</f>
        <v>0.102989089894075</v>
      </c>
      <c r="E10" s="7" t="n">
        <f aca="false">'Income Statement'!E27</f>
        <v>0.259646928489959</v>
      </c>
      <c r="F10" s="7" t="n">
        <f aca="false">'Income Statement'!F27</f>
        <v>0.318548497177425</v>
      </c>
      <c r="G10" s="7" t="n">
        <f aca="false">'Income Statement'!G27</f>
        <v>0.366137715799651</v>
      </c>
      <c r="H10" s="7" t="n">
        <f aca="false">'Income Statement'!H27</f>
        <v>0.407295235719972</v>
      </c>
      <c r="I10" s="7" t="n">
        <f aca="false">'Income Statement'!I27</f>
        <v>0.436790316178038</v>
      </c>
    </row>
    <row r="11" customFormat="false" ht="15" hidden="false" customHeight="false" outlineLevel="0" collapsed="false">
      <c r="A11" s="3" t="s">
        <v>182</v>
      </c>
      <c r="B11" s="19" t="n">
        <f aca="false">'Balance Sheet'!B9</f>
        <v>6640.3</v>
      </c>
      <c r="C11" s="19" t="n">
        <f aca="false">'Balance Sheet'!C9</f>
        <v>6603.7</v>
      </c>
      <c r="D11" s="19" t="n">
        <f aca="false">'Balance Sheet'!D9</f>
        <v>6316</v>
      </c>
      <c r="E11" s="19" t="n">
        <f aca="false">'Balance Sheet'!E9</f>
        <v>6400.949463648</v>
      </c>
      <c r="F11" s="19" t="n">
        <f aca="false">'Balance Sheet'!F9</f>
        <v>6546.012052008</v>
      </c>
      <c r="G11" s="19" t="n">
        <f aca="false">'Balance Sheet'!G9</f>
        <v>6719.35382659515</v>
      </c>
      <c r="H11" s="19" t="n">
        <f aca="false">'Balance Sheet'!H9</f>
        <v>6897.65736762055</v>
      </c>
      <c r="I11" s="19" t="n">
        <f aca="false">'Balance Sheet'!I9</f>
        <v>7069.28198690434</v>
      </c>
    </row>
    <row r="12" customFormat="false" ht="15" hidden="false" customHeight="false" outlineLevel="0" collapsed="false">
      <c r="A12" s="3" t="s">
        <v>183</v>
      </c>
      <c r="B12" s="19" t="n">
        <f aca="false">'Balance Sheet'!B11</f>
        <v>2909.8</v>
      </c>
      <c r="C12" s="19" t="n">
        <f aca="false">'Balance Sheet'!C11</f>
        <v>2824.6</v>
      </c>
      <c r="D12" s="19" t="n">
        <f aca="false">'Balance Sheet'!D11</f>
        <v>2628.8</v>
      </c>
      <c r="E12" s="19" t="n">
        <f aca="false">'Balance Sheet'!E11</f>
        <v>2642.636194496</v>
      </c>
      <c r="F12" s="19" t="n">
        <f aca="false">'Balance Sheet'!F11</f>
        <v>2685.481037216</v>
      </c>
      <c r="G12" s="19" t="n">
        <f aca="false">'Balance Sheet'!G11</f>
        <v>2745.43873252918</v>
      </c>
      <c r="H12" s="19" t="n">
        <f aca="false">'Balance Sheet'!H11</f>
        <v>2815.50122346924</v>
      </c>
      <c r="I12" s="19" t="n">
        <f aca="false">'Balance Sheet'!I11</f>
        <v>2882.65057950252</v>
      </c>
    </row>
    <row r="13" customFormat="false" ht="15" hidden="false" customHeight="false" outlineLevel="0" collapsed="false">
      <c r="A13" s="3" t="s">
        <v>188</v>
      </c>
      <c r="B13" s="19" t="n">
        <f aca="false">'Balance Sheet'!B18</f>
        <v>900</v>
      </c>
      <c r="C13" s="19" t="n">
        <f aca="false">'Balance Sheet'!C18</f>
        <v>1018</v>
      </c>
      <c r="D13" s="19" t="n">
        <f aca="false">'Balance Sheet'!D18</f>
        <v>1300</v>
      </c>
      <c r="E13" s="19" t="n">
        <f aca="false">'Balance Sheet'!E18</f>
        <v>1221.327602352</v>
      </c>
      <c r="F13" s="19" t="n">
        <f aca="false">'Balance Sheet'!F18</f>
        <v>1113.350000072</v>
      </c>
      <c r="G13" s="19" t="n">
        <f aca="false">'Balance Sheet'!G18</f>
        <v>975.537902521653</v>
      </c>
      <c r="H13" s="19" t="n">
        <f aca="false">'Balance Sheet'!H18</f>
        <v>825.523315040778</v>
      </c>
      <c r="I13" s="19" t="n">
        <f aca="false">'Balance Sheet'!I18</f>
        <v>672.635032438512</v>
      </c>
    </row>
    <row r="14" customFormat="false" ht="15" hidden="false" customHeight="false" outlineLevel="0" collapsed="false">
      <c r="A14" s="3" t="s">
        <v>194</v>
      </c>
      <c r="C14" s="14" t="n">
        <v>495.6</v>
      </c>
      <c r="D14" s="14" t="n">
        <v>317.8</v>
      </c>
      <c r="E14" s="19" t="n">
        <f aca="false">'Cash Flow'!E9</f>
        <v>296.7668248</v>
      </c>
      <c r="F14" s="19" t="n">
        <f aca="false">'Cash Flow'!F9</f>
        <v>349.67743492</v>
      </c>
      <c r="G14" s="19" t="n">
        <f aca="false">'Cash Flow'!G9</f>
        <v>404.90833092432</v>
      </c>
      <c r="H14" s="19" t="n">
        <f aca="false">'Cash Flow'!H9</f>
        <v>443.77013884996</v>
      </c>
      <c r="I14" s="19" t="n">
        <f aca="false">'Cash Flow'!I9</f>
        <v>475.90356340935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6" min="2" style="0" width="11"/>
  </cols>
  <sheetData>
    <row r="1" customFormat="false" ht="17.35" hidden="false" customHeight="false" outlineLevel="0" collapsed="false">
      <c r="A1" s="1" t="s">
        <v>203</v>
      </c>
    </row>
    <row r="2" customFormat="false" ht="15" hidden="false" customHeight="false" outlineLevel="0" collapsed="false">
      <c r="A2" s="2" t="s">
        <v>204</v>
      </c>
    </row>
    <row r="3" customFormat="false" ht="15" hidden="false" customHeight="false" outlineLevel="0" collapsed="false">
      <c r="A3" s="12" t="s">
        <v>205</v>
      </c>
    </row>
    <row r="4" customFormat="false" ht="15" hidden="false" customHeight="false" outlineLevel="0" collapsed="false">
      <c r="A4" s="3" t="s">
        <v>206</v>
      </c>
      <c r="C4" s="8" t="n">
        <v>0.508</v>
      </c>
    </row>
    <row r="5" customFormat="false" ht="15" hidden="false" customHeight="false" outlineLevel="0" collapsed="false">
      <c r="A5" s="3" t="s">
        <v>207</v>
      </c>
      <c r="C5" s="3" t="s">
        <v>208</v>
      </c>
    </row>
    <row r="6" customFormat="false" ht="15" hidden="false" customHeight="false" outlineLevel="0" collapsed="false">
      <c r="A6" s="3" t="s">
        <v>209</v>
      </c>
      <c r="C6" s="3" t="s">
        <v>210</v>
      </c>
    </row>
    <row r="7" customFormat="false" ht="15" hidden="false" customHeight="false" outlineLevel="0" collapsed="false">
      <c r="A7" s="3" t="s">
        <v>211</v>
      </c>
      <c r="C7" s="3" t="s">
        <v>212</v>
      </c>
    </row>
    <row r="8" customFormat="false" ht="15" hidden="false" customHeight="false" outlineLevel="0" collapsed="false">
      <c r="A8" s="3" t="s">
        <v>213</v>
      </c>
      <c r="C8" s="3" t="s">
        <v>214</v>
      </c>
    </row>
    <row r="10" customFormat="false" ht="15" hidden="false" customHeight="false" outlineLevel="0" collapsed="false">
      <c r="A10" s="12" t="s">
        <v>215</v>
      </c>
    </row>
    <row r="11" customFormat="false" ht="15" hidden="false" customHeight="false" outlineLevel="0" collapsed="false">
      <c r="A11" s="9" t="s">
        <v>216</v>
      </c>
      <c r="B11" s="5" t="s">
        <v>217</v>
      </c>
      <c r="C11" s="5" t="s">
        <v>218</v>
      </c>
      <c r="D11" s="5" t="s">
        <v>219</v>
      </c>
      <c r="E11" s="5" t="s">
        <v>220</v>
      </c>
      <c r="F11" s="5" t="s">
        <v>221</v>
      </c>
    </row>
    <row r="12" customFormat="false" ht="15" hidden="false" customHeight="false" outlineLevel="0" collapsed="false">
      <c r="A12" s="3" t="s">
        <v>222</v>
      </c>
      <c r="B12" s="7" t="n">
        <v>3.107</v>
      </c>
      <c r="C12" s="7" t="n">
        <v>3.359</v>
      </c>
      <c r="D12" s="7" t="n">
        <v>3.511</v>
      </c>
      <c r="E12" s="7" t="n">
        <v>3.669</v>
      </c>
      <c r="F12" s="7" t="n">
        <v>3.954</v>
      </c>
    </row>
    <row r="13" customFormat="false" ht="15" hidden="false" customHeight="false" outlineLevel="0" collapsed="false">
      <c r="A13" s="3" t="s">
        <v>223</v>
      </c>
      <c r="B13" s="7" t="n">
        <v>2.845</v>
      </c>
      <c r="C13" s="7" t="n">
        <v>3.258</v>
      </c>
      <c r="D13" s="7" t="n">
        <v>3.518</v>
      </c>
      <c r="E13" s="7" t="n">
        <v>3.791</v>
      </c>
      <c r="F13" s="7" t="n">
        <v>4.308</v>
      </c>
    </row>
    <row r="15" customFormat="false" ht="15" hidden="false" customHeight="false" outlineLevel="0" collapsed="false">
      <c r="A15" s="3" t="s">
        <v>224</v>
      </c>
      <c r="D15" s="8" t="n">
        <f aca="false">Assumptions!$B$47</f>
        <v>0.2616</v>
      </c>
    </row>
    <row r="16" customFormat="false" ht="15" hidden="false" customHeight="false" outlineLevel="0" collapsed="false">
      <c r="A16" s="3" t="s">
        <v>225</v>
      </c>
      <c r="D16" s="8" t="n">
        <f aca="false">Assumptions!$B$48</f>
        <v>0.008</v>
      </c>
    </row>
    <row r="17" customFormat="false" ht="15" hidden="false" customHeight="false" outlineLevel="0" collapsed="false">
      <c r="A17" s="3" t="s">
        <v>226</v>
      </c>
      <c r="D17" s="23" t="n">
        <f aca="false">Assumptions!$B$49</f>
        <v>60</v>
      </c>
    </row>
    <row r="19" customFormat="false" ht="15" hidden="false" customHeight="false" outlineLevel="0" collapsed="false">
      <c r="A19" s="12" t="s">
        <v>227</v>
      </c>
    </row>
    <row r="20" customFormat="false" ht="15" hidden="false" customHeight="false" outlineLevel="0" collapsed="false">
      <c r="A20" s="9" t="s">
        <v>228</v>
      </c>
      <c r="B20" s="9" t="s">
        <v>229</v>
      </c>
      <c r="C20" s="9" t="s">
        <v>230</v>
      </c>
    </row>
    <row r="21" customFormat="false" ht="15" hidden="false" customHeight="false" outlineLevel="0" collapsed="false">
      <c r="A21" s="7" t="n">
        <v>4.4</v>
      </c>
      <c r="B21" s="8" t="n">
        <v>0.009</v>
      </c>
      <c r="C21" s="8" t="n">
        <v>0.068</v>
      </c>
    </row>
    <row r="22" customFormat="false" ht="15" hidden="false" customHeight="false" outlineLevel="0" collapsed="false">
      <c r="A22" s="7" t="n">
        <v>4.2</v>
      </c>
      <c r="B22" s="8" t="n">
        <v>0.022</v>
      </c>
      <c r="C22" s="8" t="n">
        <v>0.125</v>
      </c>
    </row>
    <row r="23" customFormat="false" ht="15" hidden="false" customHeight="false" outlineLevel="0" collapsed="false">
      <c r="A23" s="7" t="n">
        <v>4</v>
      </c>
      <c r="B23" s="8" t="n">
        <v>0.062</v>
      </c>
      <c r="C23" s="8" t="n">
        <v>0.239</v>
      </c>
    </row>
    <row r="24" customFormat="false" ht="15" hidden="false" customHeight="false" outlineLevel="0" collapsed="false">
      <c r="A24" s="7" t="n">
        <v>3.7</v>
      </c>
      <c r="B24" s="8" t="n">
        <v>0.36</v>
      </c>
      <c r="C24" s="8" t="n">
        <v>0.594</v>
      </c>
    </row>
    <row r="25" customFormat="false" ht="15" hidden="false" customHeight="false" outlineLevel="0" collapsed="false">
      <c r="A25" s="7" t="n">
        <v>3.4</v>
      </c>
      <c r="B25" s="8" t="n">
        <v>0.535</v>
      </c>
      <c r="C25" s="8" t="n">
        <v>0.715</v>
      </c>
    </row>
    <row r="26" customFormat="false" ht="15" hidden="false" customHeight="false" outlineLevel="0" collapsed="false">
      <c r="A26" s="7" t="n">
        <v>3.2</v>
      </c>
      <c r="B26" s="8" t="n">
        <v>0.151</v>
      </c>
      <c r="C26" s="8" t="n">
        <v>0.376</v>
      </c>
    </row>
    <row r="27" customFormat="false" ht="15" hidden="false" customHeight="false" outlineLevel="0" collapsed="false">
      <c r="A27" s="7" t="n">
        <v>3</v>
      </c>
      <c r="B27" s="8" t="n">
        <v>0.036</v>
      </c>
      <c r="C27" s="8" t="n">
        <v>0.171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2" style="0" width="12"/>
  </cols>
  <sheetData>
    <row r="1" customFormat="false" ht="17.35" hidden="false" customHeight="false" outlineLevel="0" collapsed="false">
      <c r="A1" s="1" t="s">
        <v>231</v>
      </c>
    </row>
    <row r="2" customFormat="false" ht="15" hidden="false" customHeight="false" outlineLevel="0" collapsed="false">
      <c r="A2" s="2" t="s">
        <v>232</v>
      </c>
    </row>
    <row r="4" customFormat="false" ht="15" hidden="false" customHeight="false" outlineLevel="0" collapsed="false">
      <c r="A4" s="9" t="s">
        <v>233</v>
      </c>
      <c r="B4" s="24" t="n">
        <v>0.015</v>
      </c>
      <c r="C4" s="24" t="n">
        <v>0.0225</v>
      </c>
      <c r="D4" s="24" t="n">
        <v>0.03</v>
      </c>
    </row>
    <row r="5" customFormat="false" ht="15" hidden="false" customHeight="false" outlineLevel="0" collapsed="false">
      <c r="A5" s="15" t="n">
        <v>0.096</v>
      </c>
      <c r="B5" s="7" t="n">
        <f aca="false">(DCF!$E$12/(1+$A5)^1+DCF!$F$12/(1+$A5)^2+DCF!$G$12/(1+$A5)^3+DCF!$H$12/(1+$A5)^4+DCF!$I$12/(1+$A5)^5+DCF!$I$12*(1+B$4)/($A5-B$4)/(1+$A5)^5-Assumptions!$B$6-Assumptions!$B$8)/Assumptions!$B$5</f>
        <v>4.95101070368296</v>
      </c>
      <c r="C5" s="7" t="n">
        <f aca="false">(DCF!$E$12/(1+$A5)^1+DCF!$F$12/(1+$A5)^2+DCF!$G$12/(1+$A5)^3+DCF!$H$12/(1+$A5)^4+DCF!$I$12/(1+$A5)^5+DCF!$I$12*(1+C$4)/($A5-C$4)/(1+$A5)^5-Assumptions!$B$6-Assumptions!$B$8)/Assumptions!$B$5</f>
        <v>5.48620486917915</v>
      </c>
      <c r="D5" s="7" t="n">
        <f aca="false">(DCF!$E$12/(1+$A5)^1+DCF!$F$12/(1+$A5)^2+DCF!$G$12/(1+$A5)^3+DCF!$H$12/(1+$A5)^4+DCF!$I$12/(1+$A5)^5+DCF!$I$12*(1+D$4)/($A5-D$4)/(1+$A5)^5-Assumptions!$B$6-Assumptions!$B$8)/Assumptions!$B$5</f>
        <v>6.1430340722881</v>
      </c>
    </row>
    <row r="6" customFormat="false" ht="15" hidden="false" customHeight="false" outlineLevel="0" collapsed="false">
      <c r="A6" s="15" t="n">
        <v>0.101</v>
      </c>
      <c r="B6" s="7" t="n">
        <f aca="false">(DCF!$E$12/(1+$A6)^1+DCF!$F$12/(1+$A6)^2+DCF!$G$12/(1+$A6)^3+DCF!$H$12/(1+$A6)^4+DCF!$I$12/(1+$A6)^5+DCF!$I$12*(1+B$4)/($A6-B$4)/(1+$A6)^5-Assumptions!$B$6-Assumptions!$B$8)/Assumptions!$B$5</f>
        <v>4.53887293577315</v>
      </c>
      <c r="C6" s="7" t="n">
        <f aca="false">(DCF!$E$12/(1+$A6)^1+DCF!$F$12/(1+$A6)^2+DCF!$G$12/(1+$A6)^3+DCF!$H$12/(1+$A6)^4+DCF!$I$12/(1+$A6)^5+DCF!$I$12*(1+C$4)/($A6-C$4)/(1+$A6)^5-Assumptions!$B$6-Assumptions!$B$8)/Assumptions!$B$5</f>
        <v>5.00232899119664</v>
      </c>
      <c r="D6" s="7" t="n">
        <f aca="false">(DCF!$E$12/(1+$A6)^1+DCF!$F$12/(1+$A6)^2+DCF!$G$12/(1+$A6)^3+DCF!$H$12/(1+$A6)^4+DCF!$I$12/(1+$A6)^5+DCF!$I$12*(1+D$4)/($A6-D$4)/(1+$A6)^5-Assumptions!$B$6-Assumptions!$B$8)/Assumptions!$B$5</f>
        <v>5.56369829776593</v>
      </c>
    </row>
    <row r="7" customFormat="false" ht="15" hidden="false" customHeight="false" outlineLevel="0" collapsed="false">
      <c r="A7" s="15" t="n">
        <v>0.106</v>
      </c>
      <c r="B7" s="7" t="n">
        <f aca="false">(DCF!$E$12/(1+$A7)^1+DCF!$F$12/(1+$A7)^2+DCF!$G$12/(1+$A7)^3+DCF!$H$12/(1+$A7)^4+DCF!$I$12/(1+$A7)^5+DCF!$I$12*(1+B$4)/($A7-B$4)/(1+$A7)^5-Assumptions!$B$6-Assumptions!$B$8)/Assumptions!$B$5</f>
        <v>4.17225600452611</v>
      </c>
      <c r="C7" s="7" t="n">
        <f aca="false">(DCF!$E$12/(1+$A7)^1+DCF!$F$12/(1+$A7)^2+DCF!$G$12/(1+$A7)^3+DCF!$H$12/(1+$A7)^4+DCF!$I$12/(1+$A7)^5+DCF!$I$12*(1+C$4)/($A7-C$4)/(1+$A7)^5-Assumptions!$B$6-Assumptions!$B$8)/Assumptions!$B$5</f>
        <v>4.57662473926137</v>
      </c>
      <c r="D7" s="7" t="n">
        <f aca="false">(DCF!$E$12/(1+$A7)^1+DCF!$F$12/(1+$A7)^2+DCF!$G$12/(1+$A7)^3+DCF!$H$12/(1+$A7)^4+DCF!$I$12/(1+$A7)^5+DCF!$I$12*(1+D$4)/($A7-D$4)/(1+$A7)^5-Assumptions!$B$6-Assumptions!$B$8)/Assumptions!$B$5</f>
        <v>5.06080309269437</v>
      </c>
    </row>
    <row r="8" customFormat="false" ht="15" hidden="false" customHeight="false" outlineLevel="0" collapsed="false">
      <c r="A8" s="15" t="n">
        <v>0.111</v>
      </c>
      <c r="B8" s="7" t="n">
        <f aca="false">(DCF!$E$12/(1+$A8)^1+DCF!$F$12/(1+$A8)^2+DCF!$G$12/(1+$A8)^3+DCF!$H$12/(1+$A8)^4+DCF!$I$12/(1+$A8)^5+DCF!$I$12*(1+B$4)/($A8-B$4)/(1+$A8)^5-Assumptions!$B$6-Assumptions!$B$8)/Assumptions!$B$5</f>
        <v>3.84404249755397</v>
      </c>
      <c r="C8" s="7" t="n">
        <f aca="false">(DCF!$E$12/(1+$A8)^1+DCF!$F$12/(1+$A8)^2+DCF!$G$12/(1+$A8)^3+DCF!$H$12/(1+$A8)^4+DCF!$I$12/(1+$A8)^5+DCF!$I$12*(1+C$4)/($A8-C$4)/(1+$A8)^5-Assumptions!$B$6-Assumptions!$B$8)/Assumptions!$B$5</f>
        <v>4.19922797904364</v>
      </c>
      <c r="D8" s="7" t="n">
        <f aca="false">(DCF!$E$12/(1+$A8)^1+DCF!$F$12/(1+$A8)^2+DCF!$G$12/(1+$A8)^3+DCF!$H$12/(1+$A8)^4+DCF!$I$12/(1+$A8)^5+DCF!$I$12*(1+D$4)/($A8-D$4)/(1+$A8)^5-Assumptions!$B$6-Assumptions!$B$8)/Assumptions!$B$5</f>
        <v>4.62018854969807</v>
      </c>
    </row>
    <row r="9" customFormat="false" ht="15" hidden="false" customHeight="false" outlineLevel="0" collapsed="false">
      <c r="A9" s="15" t="n">
        <v>0.116</v>
      </c>
      <c r="B9" s="7" t="n">
        <f aca="false">(DCF!$E$12/(1+$A9)^1+DCF!$F$12/(1+$A9)^2+DCF!$G$12/(1+$A9)^3+DCF!$H$12/(1+$A9)^4+DCF!$I$12/(1+$A9)^5+DCF!$I$12*(1+B$4)/($A9-B$4)/(1+$A9)^5-Assumptions!$B$6-Assumptions!$B$8)/Assumptions!$B$5</f>
        <v>3.54852451410895</v>
      </c>
      <c r="C9" s="7" t="n">
        <f aca="false">(DCF!$E$12/(1+$A9)^1+DCF!$F$12/(1+$A9)^2+DCF!$G$12/(1+$A9)^3+DCF!$H$12/(1+$A9)^4+DCF!$I$12/(1+$A9)^5+DCF!$I$12*(1+C$4)/($A9-C$4)/(1+$A9)^5-Assumptions!$B$6-Assumptions!$B$8)/Assumptions!$B$5</f>
        <v>3.86238466684171</v>
      </c>
      <c r="D9" s="7" t="n">
        <f aca="false">(DCF!$E$12/(1+$A9)^1+DCF!$F$12/(1+$A9)^2+DCF!$G$12/(1+$A9)^3+DCF!$H$12/(1+$A9)^4+DCF!$I$12/(1+$A9)^5+DCF!$I$12*(1+D$4)/($A9-D$4)/(1+$A9)^5-Assumptions!$B$6-Assumptions!$B$8)/Assumptions!$B$5</f>
        <v>4.23098786946971</v>
      </c>
    </row>
    <row r="11" customFormat="false" ht="15" hidden="false" customHeight="false" outlineLevel="0" collapsed="false">
      <c r="A11" s="2" t="s">
        <v>234</v>
      </c>
    </row>
    <row r="13" customFormat="false" ht="15" hidden="false" customHeight="false" outlineLevel="0" collapsed="false">
      <c r="A13" s="12" t="s">
        <v>235</v>
      </c>
    </row>
    <row r="14" customFormat="false" ht="15" hidden="false" customHeight="false" outlineLevel="0" collapsed="false">
      <c r="A14" s="9" t="s">
        <v>236</v>
      </c>
      <c r="B14" s="25" t="n">
        <v>48</v>
      </c>
      <c r="C14" s="25" t="n">
        <v>52</v>
      </c>
      <c r="D14" s="25" t="n">
        <v>58</v>
      </c>
    </row>
    <row r="15" customFormat="false" ht="15" hidden="false" customHeight="false" outlineLevel="0" collapsed="false">
      <c r="A15" s="6" t="n">
        <v>2.8</v>
      </c>
      <c r="B15" s="7" t="n">
        <v>4.92</v>
      </c>
      <c r="C15" s="7" t="n">
        <v>4.87</v>
      </c>
      <c r="D15" s="7" t="n">
        <v>4.8</v>
      </c>
    </row>
    <row r="16" customFormat="false" ht="15" hidden="false" customHeight="false" outlineLevel="0" collapsed="false">
      <c r="A16" s="6" t="n">
        <v>3.4</v>
      </c>
      <c r="B16" s="7" t="n">
        <v>4.65</v>
      </c>
      <c r="C16" s="7" t="n">
        <v>4.6</v>
      </c>
      <c r="D16" s="7" t="n">
        <v>4.53</v>
      </c>
    </row>
    <row r="17" customFormat="false" ht="15" hidden="false" customHeight="false" outlineLevel="0" collapsed="false">
      <c r="A17" s="6" t="n">
        <v>4</v>
      </c>
      <c r="B17" s="7" t="n">
        <v>4.37</v>
      </c>
      <c r="C17" s="7" t="n">
        <v>4.33</v>
      </c>
      <c r="D17" s="7" t="n">
        <v>4.26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9" min="2" style="0" width="10.51"/>
  </cols>
  <sheetData>
    <row r="1" customFormat="false" ht="17.35" hidden="false" customHeight="false" outlineLevel="0" collapsed="false">
      <c r="A1" s="1" t="s">
        <v>237</v>
      </c>
    </row>
    <row r="2" customFormat="false" ht="15" hidden="false" customHeight="false" outlineLevel="0" collapsed="false">
      <c r="A2" s="2" t="s">
        <v>238</v>
      </c>
    </row>
    <row r="3" customFormat="false" ht="15" hidden="false" customHeight="false" outlineLevel="0" collapsed="false">
      <c r="B3" s="5" t="s">
        <v>163</v>
      </c>
      <c r="C3" s="5" t="s">
        <v>117</v>
      </c>
      <c r="D3" s="5" t="s">
        <v>118</v>
      </c>
      <c r="E3" s="5" t="s">
        <v>75</v>
      </c>
      <c r="F3" s="5" t="s">
        <v>76</v>
      </c>
      <c r="G3" s="5" t="s">
        <v>77</v>
      </c>
      <c r="H3" s="5" t="s">
        <v>78</v>
      </c>
      <c r="I3" s="5" t="s">
        <v>79</v>
      </c>
    </row>
    <row r="4" customFormat="false" ht="15" hidden="false" customHeight="false" outlineLevel="0" collapsed="false">
      <c r="A4" s="3" t="s">
        <v>176</v>
      </c>
      <c r="B4" s="7" t="n">
        <f aca="false">'Income Statement'!B27</f>
        <v>0.330022282218982</v>
      </c>
      <c r="C4" s="7" t="n">
        <f aca="false">'Income Statement'!C27</f>
        <v>0.356010183407206</v>
      </c>
      <c r="D4" s="7" t="n">
        <f aca="false">'Income Statement'!D27</f>
        <v>0.102989089894075</v>
      </c>
      <c r="E4" s="7" t="n">
        <f aca="false">'Income Statement'!E27</f>
        <v>0.259646928489959</v>
      </c>
      <c r="F4" s="7" t="n">
        <f aca="false">'Income Statement'!F27</f>
        <v>0.318548497177425</v>
      </c>
      <c r="G4" s="7" t="n">
        <f aca="false">'Income Statement'!G27</f>
        <v>0.366137715799651</v>
      </c>
      <c r="H4" s="7" t="n">
        <f aca="false">'Income Statement'!H27</f>
        <v>0.407295235719972</v>
      </c>
      <c r="I4" s="7" t="n">
        <f aca="false">'Income Statement'!I27</f>
        <v>0.436790316178038</v>
      </c>
    </row>
    <row r="5" customFormat="false" ht="15" hidden="false" customHeight="false" outlineLevel="0" collapsed="false">
      <c r="A5" s="3" t="s">
        <v>239</v>
      </c>
      <c r="C5" s="18" t="n">
        <v>19.5</v>
      </c>
      <c r="D5" s="18" t="n">
        <v>22.102</v>
      </c>
      <c r="E5" s="26" t="n">
        <f aca="false">Assumptions!E67</f>
        <v>24.3</v>
      </c>
      <c r="F5" s="26" t="n">
        <f aca="false">Assumptions!F67</f>
        <v>26.7</v>
      </c>
      <c r="G5" s="26" t="n">
        <f aca="false">Assumptions!G67</f>
        <v>29.4</v>
      </c>
      <c r="H5" s="26" t="n">
        <f aca="false">Assumptions!H67</f>
        <v>32.3</v>
      </c>
      <c r="I5" s="26" t="n">
        <f aca="false">Assumptions!I67</f>
        <v>35.6</v>
      </c>
    </row>
    <row r="6" customFormat="false" ht="15" hidden="false" customHeight="false" outlineLevel="0" collapsed="false">
      <c r="A6" s="3" t="s">
        <v>240</v>
      </c>
      <c r="B6" s="7" t="n">
        <f aca="false">'Balance Sheet'!B11/Assumptions!$B$5</f>
        <v>3.50090717025444</v>
      </c>
      <c r="C6" s="7" t="n">
        <f aca="false">'Balance Sheet'!C11/Assumptions!$B$5</f>
        <v>3.39839933778978</v>
      </c>
      <c r="D6" s="7" t="n">
        <f aca="false">'Balance Sheet'!D11/Assumptions!$B$5</f>
        <v>3.16282382609282</v>
      </c>
      <c r="E6" s="7" t="n">
        <f aca="false">'Balance Sheet'!E11/Assumptions!$B$5</f>
        <v>3.17947075458277</v>
      </c>
      <c r="F6" s="7" t="n">
        <f aca="false">'Balance Sheet'!F11/Assumptions!$B$5</f>
        <v>3.2310192517602</v>
      </c>
      <c r="G6" s="7" t="n">
        <f aca="false">'Balance Sheet'!G11/Assumptions!$B$5</f>
        <v>3.30315696755985</v>
      </c>
      <c r="H6" s="7" t="n">
        <f aca="false">'Balance Sheet'!H11/Assumptions!$B$5</f>
        <v>3.38745220327982</v>
      </c>
      <c r="I6" s="7" t="n">
        <f aca="false">'Balance Sheet'!I11/Assumptions!$B$5</f>
        <v>3.46824251945786</v>
      </c>
    </row>
    <row r="7" customFormat="false" ht="15" hidden="false" customHeight="false" outlineLevel="0" collapsed="false">
      <c r="A7" s="3" t="s">
        <v>241</v>
      </c>
      <c r="B7" s="22" t="n">
        <f aca="false">Assumptions!$B$4/'Income Statement'!B27</f>
        <v>10.6356454976303</v>
      </c>
      <c r="C7" s="22" t="n">
        <f aca="false">Assumptions!$B$4/'Income Statement'!C27</f>
        <v>9.85926853666779</v>
      </c>
      <c r="D7" s="22" t="n">
        <f aca="false">Assumptions!$B$4/'Income Statement'!D27</f>
        <v>34.0812799065421</v>
      </c>
      <c r="E7" s="22" t="n">
        <f aca="false">Assumptions!$B$4/'Income Statement'!E27</f>
        <v>13.5183574880446</v>
      </c>
      <c r="F7" s="22" t="n">
        <f aca="false">Assumptions!$B$4/'Income Statement'!F27</f>
        <v>11.0187303694765</v>
      </c>
      <c r="G7" s="22" t="n">
        <f aca="false">Assumptions!$B$4/'Income Statement'!G27</f>
        <v>9.58655677504871</v>
      </c>
      <c r="H7" s="22" t="n">
        <f aca="false">Assumptions!$B$4/'Income Statement'!H27</f>
        <v>8.61782729620053</v>
      </c>
      <c r="I7" s="22" t="n">
        <f aca="false">Assumptions!$B$4/'Income Statement'!I27</f>
        <v>8.0358924408235</v>
      </c>
    </row>
    <row r="8" customFormat="false" ht="15" hidden="false" customHeight="false" outlineLevel="0" collapsed="false">
      <c r="A8" s="3" t="s">
        <v>242</v>
      </c>
      <c r="B8" s="22" t="n">
        <f aca="false">Assumptions!$B$4/('Balance Sheet'!B11/Assumptions!$B$5)</f>
        <v>1.00259727816345</v>
      </c>
      <c r="C8" s="22" t="n">
        <f aca="false">Assumptions!$B$4/('Balance Sheet'!C11/Assumptions!$B$5)</f>
        <v>1.03283918430928</v>
      </c>
      <c r="D8" s="22" t="n">
        <f aca="false">Assumptions!$B$4/('Balance Sheet'!D11/Assumptions!$B$5)</f>
        <v>1.10976778758369</v>
      </c>
      <c r="E8" s="22" t="n">
        <f aca="false">Assumptions!$B$4/('Balance Sheet'!E11/Assumptions!$B$5)</f>
        <v>1.1039573158334</v>
      </c>
      <c r="F8" s="22" t="n">
        <f aca="false">Assumptions!$B$4/('Balance Sheet'!F11/Assumptions!$B$5)</f>
        <v>1.08634450199819</v>
      </c>
      <c r="G8" s="22" t="n">
        <f aca="false">Assumptions!$B$4/('Balance Sheet'!G11/Assumptions!$B$5)</f>
        <v>1.0626198011392</v>
      </c>
      <c r="H8" s="22" t="n">
        <f aca="false">Assumptions!$B$4/('Balance Sheet'!H11/Assumptions!$B$5)</f>
        <v>1.03617698180406</v>
      </c>
      <c r="I8" s="22" t="n">
        <f aca="false">Assumptions!$B$4/('Balance Sheet'!I11/Assumptions!$B$5)</f>
        <v>1.01203995404239</v>
      </c>
    </row>
    <row r="9" customFormat="false" ht="15" hidden="false" customHeight="false" outlineLevel="0" collapsed="false">
      <c r="A9" s="3" t="s">
        <v>243</v>
      </c>
      <c r="C9" s="8" t="n">
        <f aca="false">C5/100/Assumptions!$B$4</f>
        <v>0.0555555555555556</v>
      </c>
      <c r="D9" s="8" t="n">
        <f aca="false">D5/100/Assumptions!$B$4</f>
        <v>0.062968660968661</v>
      </c>
      <c r="E9" s="8" t="n">
        <f aca="false">E5/100/Assumptions!$B$4</f>
        <v>0.0692307692307692</v>
      </c>
      <c r="F9" s="8" t="n">
        <f aca="false">F5/100/Assumptions!$B$4</f>
        <v>0.0760683760683761</v>
      </c>
      <c r="G9" s="8" t="n">
        <f aca="false">G5/100/Assumptions!$B$4</f>
        <v>0.0837606837606838</v>
      </c>
      <c r="H9" s="8" t="n">
        <f aca="false">H5/100/Assumptions!$B$4</f>
        <v>0.092022792022792</v>
      </c>
      <c r="I9" s="8" t="n">
        <f aca="false">I5/100/Assumptions!$B$4</f>
        <v>0.101424501424501</v>
      </c>
    </row>
    <row r="10" customFormat="false" ht="15" hidden="false" customHeight="false" outlineLevel="0" collapsed="false">
      <c r="A10" s="3" t="s">
        <v>244</v>
      </c>
      <c r="D10" s="8" t="n">
        <f aca="false">317.8/(Assumptions!$B$4*Assumptions!$B$5)</f>
        <v>0.108934195916664</v>
      </c>
      <c r="E10" s="8" t="n">
        <f aca="false">'Cash Flow'!E9/(Assumptions!$B$4*Assumptions!$B$5)</f>
        <v>0.10172452937171</v>
      </c>
      <c r="F10" s="8" t="n">
        <f aca="false">'Cash Flow'!F9/(Assumptions!$B$4*Assumptions!$B$5)</f>
        <v>0.119861013855292</v>
      </c>
      <c r="G10" s="8" t="n">
        <f aca="false">'Cash Flow'!G9/(Assumptions!$B$4*Assumptions!$B$5)</f>
        <v>0.138792836529891</v>
      </c>
      <c r="H10" s="8" t="n">
        <f aca="false">'Cash Flow'!H9/(Assumptions!$B$4*Assumptions!$B$5)</f>
        <v>0.15211372953885</v>
      </c>
      <c r="I10" s="8" t="n">
        <f aca="false">'Cash Flow'!I9/(Assumptions!$B$4*Assumptions!$B$5)</f>
        <v>0.16312829456851</v>
      </c>
    </row>
    <row r="11" customFormat="false" ht="15" hidden="false" customHeight="false" outlineLevel="0" collapsed="false">
      <c r="A11" s="3" t="s">
        <v>245</v>
      </c>
      <c r="B11" s="22" t="n">
        <f aca="false">(Assumptions!$B$4*Assumptions!$B$5+'Balance Sheet'!B18)/'Income Statement'!B15</f>
        <v>5.53802054257943</v>
      </c>
      <c r="C11" s="22" t="n">
        <f aca="false">(Assumptions!$B$4*Assumptions!$B$5+'Balance Sheet'!C18)/'Income Statement'!C15</f>
        <v>5.79752144961697</v>
      </c>
      <c r="D11" s="22" t="n">
        <f aca="false">(Assumptions!$B$4*Assumptions!$B$5+'Balance Sheet'!D18)/'Income Statement'!D15</f>
        <v>9.10090107898144</v>
      </c>
      <c r="E11" s="22" t="n">
        <f aca="false">(Assumptions!$B$4*Assumptions!$B$5+'Balance Sheet'!E18)/'Income Statement'!E15</f>
        <v>6.54115446777261</v>
      </c>
      <c r="F11" s="22" t="n">
        <f aca="false">(Assumptions!$B$4*Assumptions!$B$5+'Balance Sheet'!F18)/'Income Statement'!F15</f>
        <v>5.68924150976341</v>
      </c>
      <c r="G11" s="22" t="n">
        <f aca="false">(Assumptions!$B$4*Assumptions!$B$5+'Balance Sheet'!G18)/'Income Statement'!G15</f>
        <v>5.01606493365184</v>
      </c>
      <c r="H11" s="22" t="n">
        <f aca="false">(Assumptions!$B$4*Assumptions!$B$5+'Balance Sheet'!H18)/'Income Statement'!H15</f>
        <v>4.52145703332303</v>
      </c>
      <c r="I11" s="22" t="n">
        <f aca="false">(Assumptions!$B$4*Assumptions!$B$5+'Balance Sheet'!I18)/'Income Statement'!I15</f>
        <v>4.12481436922412</v>
      </c>
    </row>
    <row r="12" customFormat="false" ht="15" hidden="false" customHeight="false" outlineLevel="0" collapsed="false">
      <c r="A12" s="3" t="s">
        <v>167</v>
      </c>
      <c r="B12" s="8" t="n">
        <f aca="false">'Income Statement'!B15/'Income Statement'!B8</f>
        <v>0.151122511619749</v>
      </c>
      <c r="C12" s="8" t="n">
        <f aca="false">'Income Statement'!C15/'Income Statement'!C8</f>
        <v>0.138116263454534</v>
      </c>
      <c r="D12" s="8" t="n">
        <f aca="false">'Income Statement'!D15/'Income Statement'!D8</f>
        <v>0.0956331517252765</v>
      </c>
      <c r="E12" s="8" t="n">
        <f aca="false">'Income Statement'!E15/'Income Statement'!E8</f>
        <v>0.125267583281099</v>
      </c>
      <c r="F12" s="8" t="n">
        <f aca="false">'Income Statement'!F15/'Income Statement'!F8</f>
        <v>0.132804844941517</v>
      </c>
      <c r="G12" s="8" t="n">
        <f aca="false">'Income Statement'!G15/'Income Statement'!G8</f>
        <v>0.137983909364638</v>
      </c>
      <c r="H12" s="8" t="n">
        <f aca="false">'Income Statement'!H15/'Income Statement'!H8</f>
        <v>0.140583910822821</v>
      </c>
      <c r="I12" s="8" t="n">
        <f aca="false">'Income Statement'!I15/'Income Statement'!I8</f>
        <v>0.141874061339493</v>
      </c>
    </row>
    <row r="13" customFormat="false" ht="15" hidden="false" customHeight="false" outlineLevel="0" collapsed="false">
      <c r="A13" s="3" t="s">
        <v>246</v>
      </c>
      <c r="B13" s="8" t="n">
        <f aca="false">'Income Statement'!B20/'Income Statement'!B8</f>
        <v>0.098504779444006</v>
      </c>
      <c r="C13" s="8" t="n">
        <f aca="false">'Income Statement'!C20/'Income Statement'!C8</f>
        <v>0.0882658148004965</v>
      </c>
      <c r="D13" s="8" t="n">
        <f aca="false">'Income Statement'!D20/'Income Statement'!D8</f>
        <v>0.0440399537724946</v>
      </c>
      <c r="E13" s="8" t="n">
        <f aca="false">'Income Statement'!E20/'Income Statement'!E8</f>
        <v>0.0732675832810985</v>
      </c>
      <c r="F13" s="8" t="n">
        <f aca="false">'Income Statement'!F20/'Income Statement'!F8</f>
        <v>0.0818048449415173</v>
      </c>
      <c r="G13" s="8" t="n">
        <f aca="false">'Income Statement'!G20/'Income Statement'!G8</f>
        <v>0.0869839093646379</v>
      </c>
      <c r="H13" s="8" t="n">
        <f aca="false">'Income Statement'!H20/'Income Statement'!H8</f>
        <v>0.0905839108228213</v>
      </c>
      <c r="I13" s="8" t="n">
        <f aca="false">'Income Statement'!I20/'Income Statement'!I8</f>
        <v>0.0918740613394927</v>
      </c>
    </row>
    <row r="14" customFormat="false" ht="15" hidden="false" customHeight="false" outlineLevel="0" collapsed="false">
      <c r="A14" s="3" t="s">
        <v>247</v>
      </c>
      <c r="B14" s="8" t="n">
        <f aca="false">'Income Statement'!B24/'Income Statement'!B8</f>
        <v>0.0656844689993861</v>
      </c>
      <c r="C14" s="8" t="n">
        <f aca="false">'Income Statement'!C24/'Income Statement'!C8</f>
        <v>0.0654770382729363</v>
      </c>
      <c r="D14" s="8" t="n">
        <f aca="false">'Income Statement'!D24/'Income Statement'!D8</f>
        <v>0.0207611028561994</v>
      </c>
      <c r="E14" s="8" t="n">
        <f aca="false">'Income Statement'!E24/'Income Statement'!E8</f>
        <v>0.049110821068537</v>
      </c>
      <c r="F14" s="8" t="n">
        <f aca="false">'Income Statement'!F24/'Income Statement'!F8</f>
        <v>0.0570460858946512</v>
      </c>
      <c r="G14" s="8" t="n">
        <f aca="false">'Income Statement'!G24/'Income Statement'!G8</f>
        <v>0.0621908672420424</v>
      </c>
      <c r="H14" s="8" t="n">
        <f aca="false">'Income Statement'!H24/'Income Statement'!H8</f>
        <v>0.0660816145522151</v>
      </c>
      <c r="I14" s="8" t="n">
        <f aca="false">'Income Statement'!I24/'Income Statement'!I8</f>
        <v>0.0680221179914312</v>
      </c>
    </row>
    <row r="15" customFormat="false" ht="15" hidden="false" customHeight="false" outlineLevel="0" collapsed="false">
      <c r="A15" s="3" t="s">
        <v>248</v>
      </c>
      <c r="B15" s="8" t="n">
        <f aca="false">'Income Statement'!B23/'Income Statement'!B22</f>
        <v>0.115180153573538</v>
      </c>
      <c r="C15" s="8" t="n">
        <f aca="false">'Income Statement'!C23/'Income Statement'!C22</f>
        <v>0.134480903711673</v>
      </c>
      <c r="D15" s="8" t="n">
        <f aca="false">'Income Statement'!D23/'Income Statement'!D22</f>
        <v>0.195843325339728</v>
      </c>
      <c r="E15" s="8" t="n">
        <f aca="false">'Income Statement'!E23/'Income Statement'!E22</f>
        <v>0.2</v>
      </c>
      <c r="F15" s="8" t="n">
        <f aca="false">'Income Statement'!F23/'Income Statement'!F22</f>
        <v>0.2</v>
      </c>
      <c r="G15" s="8" t="n">
        <f aca="false">'Income Statement'!G23/'Income Statement'!G22</f>
        <v>0.2</v>
      </c>
      <c r="H15" s="8" t="n">
        <f aca="false">'Income Statement'!H23/'Income Statement'!H22</f>
        <v>0.2</v>
      </c>
      <c r="I15" s="8" t="n">
        <f aca="false">'Income Statement'!I23/'Income Statement'!I22</f>
        <v>0.2</v>
      </c>
    </row>
    <row r="16" customFormat="false" ht="15" hidden="false" customHeight="false" outlineLevel="0" collapsed="false">
      <c r="A16" s="3" t="s">
        <v>249</v>
      </c>
      <c r="C16" s="8" t="n">
        <f aca="false">'Income Statement'!C26/(('Balance Sheet'!C11+'Balance Sheet'!B11)/2)</f>
        <v>0.103201729910714</v>
      </c>
      <c r="D16" s="8" t="n">
        <f aca="false">'Income Statement'!D26/(('Balance Sheet'!D11+'Balance Sheet'!C11)/2)</f>
        <v>0.0313932592511094</v>
      </c>
      <c r="E16" s="8" t="n">
        <f aca="false">'Income Statement'!E26/(('Balance Sheet'!E11+'Balance Sheet'!D11)/2)</f>
        <v>0.0818779150628165</v>
      </c>
      <c r="F16" s="8" t="n">
        <f aca="false">'Income Statement'!F26/(('Balance Sheet'!F11+'Balance Sheet'!E11)/2)</f>
        <v>0.0993835094859306</v>
      </c>
      <c r="G16" s="8" t="n">
        <f aca="false">'Income Statement'!G26/(('Balance Sheet'!G11+'Balance Sheet'!F11)/2)</f>
        <v>0.112068515910871</v>
      </c>
      <c r="H16" s="8" t="n">
        <f aca="false">'Income Statement'!H26/(('Balance Sheet'!H11+'Balance Sheet'!G11)/2)</f>
        <v>0.121751316007256</v>
      </c>
      <c r="I16" s="8" t="n">
        <f aca="false">'Income Statement'!I26/(('Balance Sheet'!I11+'Balance Sheet'!H11)/2)</f>
        <v>0.127424085768981</v>
      </c>
    </row>
    <row r="17" customFormat="false" ht="15" hidden="false" customHeight="false" outlineLevel="0" collapsed="false">
      <c r="A17" s="3" t="s">
        <v>250</v>
      </c>
      <c r="B17" s="8" t="n">
        <f aca="false">'Income Statement'!B20*(1-Assumptions!$B$9)/('Balance Sheet'!B11+'Balance Sheet'!B12+'Balance Sheet'!B18)</f>
        <v>0.0884274749065145</v>
      </c>
      <c r="C17" s="8" t="n">
        <f aca="false">'Income Statement'!C20*(1-Assumptions!$B$9)/('Balance Sheet'!C11+'Balance Sheet'!C12+'Balance Sheet'!C18)</f>
        <v>0.084487291849255</v>
      </c>
      <c r="D17" s="8" t="n">
        <f aca="false">'Income Statement'!D20*(1-Assumptions!$B$9)/('Balance Sheet'!D11+'Balance Sheet'!D12+'Balance Sheet'!D18)</f>
        <v>0.0406108758742091</v>
      </c>
      <c r="E17" s="8" t="n">
        <f aca="false">'Income Statement'!E20*(1-Assumptions!$B$9)/('Balance Sheet'!E11+'Balance Sheet'!E12+'Balance Sheet'!E18)</f>
        <v>0.0712510034771072</v>
      </c>
      <c r="F17" s="8" t="n">
        <f aca="false">'Income Statement'!F20*(1-Assumptions!$B$9)/('Balance Sheet'!F11+'Balance Sheet'!F12+'Balance Sheet'!F18)</f>
        <v>0.0849509258831461</v>
      </c>
      <c r="G17" s="8" t="n">
        <f aca="false">'Income Statement'!G20*(1-Assumptions!$B$9)/('Balance Sheet'!G11+'Balance Sheet'!G12+'Balance Sheet'!G18)</f>
        <v>0.0965295193315203</v>
      </c>
      <c r="H17" s="8" t="n">
        <f aca="false">'Income Statement'!H20*(1-Assumptions!$B$9)/('Balance Sheet'!H11+'Balance Sheet'!H12+'Balance Sheet'!H18)</f>
        <v>0.106678677651827</v>
      </c>
      <c r="I17" s="8" t="n">
        <f aca="false">'Income Statement'!I20*(1-Assumptions!$B$9)/('Balance Sheet'!I11+'Balance Sheet'!I12+'Balance Sheet'!I18)</f>
        <v>0.114399692854268</v>
      </c>
    </row>
    <row r="18" customFormat="false" ht="15" hidden="false" customHeight="false" outlineLevel="0" collapsed="false">
      <c r="A18" s="3" t="s">
        <v>189</v>
      </c>
      <c r="B18" s="22" t="n">
        <f aca="false">'Balance Sheet'!B18/'Income Statement'!B15</f>
        <v>1.30567242129697</v>
      </c>
      <c r="C18" s="22" t="n">
        <f aca="false">'Balance Sheet'!C18/'Income Statement'!C15</f>
        <v>1.49970536240424</v>
      </c>
      <c r="D18" s="22" t="n">
        <f aca="false">'Balance Sheet'!D18/'Income Statement'!D15</f>
        <v>2.80535174794994</v>
      </c>
      <c r="E18" s="22" t="n">
        <f aca="false">'Balance Sheet'!E18/'Income Statement'!E15</f>
        <v>1.93029722951884</v>
      </c>
      <c r="F18" s="22" t="n">
        <f aca="false">'Balance Sheet'!F18/'Income Statement'!F15</f>
        <v>1.57146529260773</v>
      </c>
      <c r="G18" s="22" t="n">
        <f aca="false">'Balance Sheet'!G18/'Income Statement'!G15</f>
        <v>1.25699791104008</v>
      </c>
      <c r="H18" s="22" t="n">
        <f aca="false">'Balance Sheet'!H18/'Income Statement'!H15</f>
        <v>0.997244722335065</v>
      </c>
      <c r="I18" s="22" t="n">
        <f aca="false">'Balance Sheet'!I18/'Income Statement'!I15</f>
        <v>0.772841329224394</v>
      </c>
    </row>
    <row r="19" customFormat="false" ht="15" hidden="false" customHeight="false" outlineLevel="0" collapsed="false">
      <c r="A19" s="3" t="s">
        <v>251</v>
      </c>
      <c r="C19" s="8" t="n">
        <f aca="false">C5/100/'Income Statement'!C27</f>
        <v>0.547737140925989</v>
      </c>
      <c r="D19" s="8" t="n">
        <f aca="false">D5/100/'Income Statement'!D27</f>
        <v>2.14605255981308</v>
      </c>
      <c r="E19" s="8" t="n">
        <f aca="false">E5/100/'Income Statement'!E27</f>
        <v>0.935886287633854</v>
      </c>
      <c r="F19" s="8" t="n">
        <f aca="false">F5/100/'Income Statement'!F27</f>
        <v>0.838176925541376</v>
      </c>
      <c r="G19" s="8" t="n">
        <f aca="false">G5/100/'Income Statement'!G27</f>
        <v>0.802976550388695</v>
      </c>
      <c r="H19" s="8" t="n">
        <f aca="false">H5/100/'Income Statement'!H27</f>
        <v>0.793036528966601</v>
      </c>
      <c r="I19" s="8" t="n">
        <f aca="false">I5/100/'Income Statement'!I27</f>
        <v>0.815036384311444</v>
      </c>
    </row>
    <row r="20" customFormat="false" ht="15" hidden="false" customHeight="false" outlineLevel="0" collapsed="false">
      <c r="A20" s="3" t="s">
        <v>252</v>
      </c>
      <c r="C20" s="8" t="n">
        <f aca="false">'Income Statement'!C8/'Income Statement'!B8-1</f>
        <v>0.0775015346838552</v>
      </c>
      <c r="D20" s="8" t="n">
        <f aca="false">'Income Statement'!D8/'Income Statement'!C8-1</f>
        <v>-0.0140598612326285</v>
      </c>
      <c r="E20" s="8" t="n">
        <f aca="false">'Income Statement'!E8/'Income Statement'!D8-1</f>
        <v>0.0423695723955753</v>
      </c>
      <c r="F20" s="8" t="n">
        <f aca="false">'Income Statement'!F8/'Income Statement'!E8-1</f>
        <v>0.0561940451871408</v>
      </c>
      <c r="G20" s="8" t="n">
        <f aca="false">'Income Statement'!G8/'Income Statement'!F8-1</f>
        <v>0.0543095629811798</v>
      </c>
      <c r="H20" s="8" t="n">
        <f aca="false">'Income Statement'!H8/'Income Statement'!G8-1</f>
        <v>0.0469135716389932</v>
      </c>
      <c r="I20" s="8" t="n">
        <f aca="false">'Income Statement'!I8/'Income Statement'!H8-1</f>
        <v>0.0418235406904202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0"/>
    <col collapsed="false" customWidth="true" hidden="false" outlineLevel="0" max="3" min="3" style="0" width="34"/>
  </cols>
  <sheetData>
    <row r="1" customFormat="false" ht="17.35" hidden="false" customHeight="false" outlineLevel="0" collapsed="false">
      <c r="A1" s="1" t="s">
        <v>253</v>
      </c>
    </row>
    <row r="2" customFormat="false" ht="15" hidden="false" customHeight="false" outlineLevel="0" collapsed="false">
      <c r="A2" s="2" t="s">
        <v>254</v>
      </c>
    </row>
    <row r="3" customFormat="false" ht="15" hidden="false" customHeight="false" outlineLevel="0" collapsed="false">
      <c r="A3" s="9" t="s">
        <v>255</v>
      </c>
      <c r="B3" s="9" t="s">
        <v>256</v>
      </c>
      <c r="C3" s="9" t="s">
        <v>257</v>
      </c>
    </row>
    <row r="4" customFormat="false" ht="15" hidden="false" customHeight="false" outlineLevel="0" collapsed="false">
      <c r="A4" s="3" t="s">
        <v>258</v>
      </c>
      <c r="B4" s="3" t="s">
        <v>259</v>
      </c>
      <c r="C4" s="3" t="s">
        <v>260</v>
      </c>
    </row>
    <row r="5" customFormat="false" ht="15" hidden="false" customHeight="false" outlineLevel="0" collapsed="false">
      <c r="A5" s="3" t="s">
        <v>261</v>
      </c>
      <c r="B5" s="3" t="s">
        <v>262</v>
      </c>
      <c r="C5" s="3" t="s">
        <v>263</v>
      </c>
    </row>
    <row r="6" customFormat="false" ht="15" hidden="false" customHeight="false" outlineLevel="0" collapsed="false">
      <c r="A6" s="3" t="s">
        <v>264</v>
      </c>
      <c r="B6" s="3" t="s">
        <v>265</v>
      </c>
      <c r="C6" s="3" t="s">
        <v>266</v>
      </c>
    </row>
    <row r="7" customFormat="false" ht="15" hidden="false" customHeight="false" outlineLevel="0" collapsed="false">
      <c r="A7" s="3" t="s">
        <v>267</v>
      </c>
      <c r="B7" s="3" t="s">
        <v>268</v>
      </c>
      <c r="C7" s="3" t="s">
        <v>269</v>
      </c>
    </row>
    <row r="8" customFormat="false" ht="15" hidden="false" customHeight="false" outlineLevel="0" collapsed="false">
      <c r="A8" s="3" t="s">
        <v>270</v>
      </c>
      <c r="B8" s="3" t="s">
        <v>271</v>
      </c>
      <c r="C8" s="3" t="s">
        <v>272</v>
      </c>
    </row>
    <row r="9" customFormat="false" ht="15" hidden="false" customHeight="false" outlineLevel="0" collapsed="false">
      <c r="A9" s="3" t="s">
        <v>273</v>
      </c>
      <c r="B9" s="3" t="s">
        <v>274</v>
      </c>
      <c r="C9" s="3" t="s">
        <v>275</v>
      </c>
    </row>
    <row r="11" customFormat="false" ht="15" hidden="false" customHeight="false" outlineLevel="0" collapsed="false">
      <c r="A11" s="2" t="s">
        <v>276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2026-07-08T12:27:01Z</dcterms:created>
  <dc:creator>openpyxl</dc:creator>
  <dc:description/>
  <dc:language>en-US</dc:language>
  <cp:lastModifiedBy/>
  <dcterms:modified xsi:type="dcterms:W3CDTF">2026-07-08T12:27:01Z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