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13.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RNAV &amp; 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Investing.com daily price history, DFM:EMAAR, close 29-Jun-2026</t>
        </r>
      </text>
    </comment>
    <comment ref="B6" authorId="0">
      <text>
        <r>
          <rPr>
            <sz val="10"/>
            <rFont val="Arial"/>
            <family val="2"/>
          </rPr>
          <t xml:space="preserve">Source: S&amp;P Global Market Intelligence / stockanalysis.com, Jun 2026 (~8.84bn)</t>
        </r>
      </text>
    </comment>
    <comment ref="B7" authorId="0">
      <text>
        <r>
          <rPr>
            <sz val="10"/>
            <rFont val="Arial"/>
            <family val="2"/>
          </rPr>
          <t xml:space="preserve">Source: S&amp;P Global via stockanalysis.com — cash ~35.0bn less debt ~10.1bn, end-2025 (~24.97bn)</t>
        </r>
      </text>
    </comment>
    <comment ref="B8" authorId="0">
      <text>
        <r>
          <rPr>
            <sz val="10"/>
            <rFont val="Arial"/>
            <family val="2"/>
          </rPr>
          <t xml:space="preserve">UAE corporate tax 9% from June 2023</t>
        </r>
      </text>
    </comment>
    <comment ref="B12" authorId="0">
      <text>
        <r>
          <rPr>
            <sz val="10"/>
            <rFont val="Arial"/>
            <family val="2"/>
          </rPr>
          <t xml:space="preserve">Emaar Properties owns ~85.4% of Emaar Development (free float ~14.6%); verify vs latest AR</t>
        </r>
      </text>
    </comment>
    <comment ref="B13" authorId="0">
      <text>
        <r>
          <rPr>
            <sz val="10"/>
            <rFont val="Arial"/>
            <family val="2"/>
          </rPr>
          <t xml:space="preserve">Emaar Properties owns ~85.7% of Emaar Misr; verify vs latest AR</t>
        </r>
      </text>
    </comment>
    <comment ref="B18" authorId="0">
      <text>
        <r>
          <rPr>
            <sz val="10"/>
            <rFont val="Arial"/>
            <family val="2"/>
          </rPr>
          <t xml:space="preserve">Est: malls rev 6.3bn @~70% + hospitality/leisure/ent rev 4.2bn @~30% = ~5.8bn EBITDA. FY2025. Preparer estimate.</t>
        </r>
      </text>
    </comment>
    <comment ref="B19" authorId="0">
      <text>
        <r>
          <rPr>
            <sz val="10"/>
            <rFont val="Arial"/>
            <family val="2"/>
          </rPr>
          <t xml:space="preserve">Prime Dubai retail+hospitality; base 14x</t>
        </r>
      </text>
    </comment>
    <comment ref="B20" authorId="0">
      <text>
        <r>
          <rPr>
            <sz val="10"/>
            <rFont val="Arial"/>
            <family val="2"/>
          </rPr>
          <t xml:space="preserve">Emaar India + other ex-Egypt development; rough NAV estimate</t>
        </r>
      </text>
    </comment>
    <comment ref="B21" authorId="0">
      <text>
        <r>
          <rPr>
            <sz val="10"/>
            <rFont val="Arial"/>
            <family val="2"/>
          </rPr>
          <t xml:space="preserve">Portion of ~25bn group net cash held outside listed subs (ED/EMFD carried at market embed their own cash). Allocation estimate.</t>
        </r>
      </text>
    </comment>
    <comment ref="B22" authorId="0">
      <text>
        <r>
          <rPr>
            <sz val="10"/>
            <rFont val="Arial"/>
            <family val="2"/>
          </rPr>
          <t xml:space="preserve">Base 20% — Emaar is more operating than holdco, so a modest discount vs a pure holdco</t>
        </r>
      </text>
    </comment>
    <comment ref="B25" authorId="0">
      <text>
        <r>
          <rPr>
            <sz val="10"/>
            <rFont val="Arial"/>
            <family val="2"/>
          </rPr>
          <t xml:space="preserve">Emaar FY2025 EBITDA AED 25.6bn (+33%). Source: Emaar FY2025 results</t>
        </r>
      </text>
    </comment>
    <comment ref="B26" authorId="0">
      <text>
        <r>
          <rPr>
            <sz val="10"/>
            <rFont val="Arial"/>
            <family val="2"/>
          </rPr>
          <t xml:space="preserve">Conservative vs peers (Emaar trades ~3.2x); peer ~6-8x</t>
        </r>
      </text>
    </comment>
    <comment ref="B27" authorId="0">
      <text>
        <r>
          <rPr>
            <sz val="10"/>
            <rFont val="Arial"/>
            <family val="2"/>
          </rPr>
          <t xml:space="preserve">Through-cycle EPS below 2025 peak of 2.14; 2026e consensus ~1.79</t>
        </r>
      </text>
    </comment>
    <comment ref="B28" authorId="0">
      <text>
        <r>
          <rPr>
            <sz val="10"/>
            <rFont val="Arial"/>
            <family val="2"/>
          </rPr>
          <t xml:space="preserve">Peer Aldar ~9-10x; Emaar discount for Egypt/cyclicality</t>
        </r>
      </text>
    </comment>
    <comment ref="B29" authorId="0">
      <text>
        <r>
          <rPr>
            <sz val="10"/>
            <rFont val="Arial"/>
            <family val="2"/>
          </rPr>
          <t xml:space="preserve">Equity attributable ~AED 80bn / 8.84bn shares</t>
        </r>
      </text>
    </comment>
    <comment ref="B30" authorId="0">
      <text>
        <r>
          <rPr>
            <sz val="10"/>
            <rFont val="Arial"/>
            <family val="2"/>
          </rPr>
          <t xml:space="preserve">ROE ~24.7% &gt;&gt; COE ~11% justifies &gt;1.5x</t>
        </r>
      </text>
    </comment>
    <comment ref="B31" authorId="0">
      <text>
        <r>
          <rPr>
            <sz val="10"/>
            <rFont val="Arial"/>
            <family val="2"/>
          </rPr>
          <t xml:space="preserve">Through-cycle attributable net, below 2025's 18.9bn</t>
        </r>
      </text>
    </comment>
    <comment ref="B42" authorId="0">
      <text>
        <r>
          <rPr>
            <sz val="10"/>
            <rFont val="Arial"/>
            <family val="2"/>
          </rPr>
          <t xml:space="preserve">USD-peg risk-free ~4.3% + ERP ~5.5% + small country premium; developer cyclicality → ~12%</t>
        </r>
      </text>
    </comment>
    <comment ref="B43" authorId="0">
      <text>
        <r>
          <rPr>
            <sz val="10"/>
            <rFont val="Arial"/>
            <family val="2"/>
          </rPr>
          <t xml:space="preserve">Modest — backlog runs off, land must be replenished at market cost</t>
        </r>
      </text>
    </comment>
    <comment ref="B48" authorId="0">
      <text>
        <r>
          <rPr>
            <sz val="10"/>
            <rFont val="Arial"/>
            <family val="2"/>
          </rPr>
          <t xml:space="preserve">Development excess cash fades toward a sustainable replenishment level; recurring is the durable annuity</t>
        </r>
      </text>
    </comment>
    <comment ref="B68" authorId="0">
      <text>
        <r>
          <rPr>
            <sz val="10"/>
            <rFont val="Arial"/>
            <family val="2"/>
          </rPr>
          <t xml:space="preserve">Scenario output from study §1.2/1.3/1.4</t>
        </r>
      </text>
    </comment>
    <comment ref="B69" authorId="0">
      <text>
        <r>
          <rPr>
            <sz val="10"/>
            <rFont val="Arial"/>
            <family val="2"/>
          </rPr>
          <t xml:space="preserve">Scenario output from study §1.2/1.3/1.4</t>
        </r>
      </text>
    </comment>
    <comment ref="B70" authorId="0">
      <text>
        <r>
          <rPr>
            <sz val="10"/>
            <rFont val="Arial"/>
            <family val="2"/>
          </rPr>
          <t xml:space="preserve">Scenario output from study §1.2/1.3/1.4</t>
        </r>
      </text>
    </comment>
    <comment ref="C12" authorId="0">
      <text>
        <r>
          <rPr>
            <sz val="10"/>
            <rFont val="Arial"/>
            <family val="2"/>
          </rPr>
          <t xml:space="preserve">EMAARDEV ~AED 13.82 x ~4.0bn shares, ~Jun 2026 (Yahoo/stockanalysis)</t>
        </r>
      </text>
    </comment>
    <comment ref="C13" authorId="0">
      <text>
        <r>
          <rPr>
            <sz val="10"/>
            <rFont val="Arial"/>
            <family val="2"/>
          </rPr>
          <t xml:space="preserve">EMFD ~EGP 56bn mkt cap ÷ ~13.5 EGP/AED (Apr 2026); verify FX &amp; mkt cap live</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Residual idiosyncratic 3M vol that tops the continuous+event factors up to the engine's realized total. Emaar realized vol ~36% (252d) / ~46% (60d); Step-0 uplift 1.15x. Engine total 3M vol ~0.217 (ann ~0.43).</t>
        </r>
      </text>
    </comment>
  </commentList>
</comments>
</file>

<file path=xl/sharedStrings.xml><?xml version="1.0" encoding="utf-8"?>
<sst xmlns="http://schemas.openxmlformats.org/spreadsheetml/2006/main" count="436" uniqueCount="358">
  <si>
    <t xml:space="preserve">READ FIRST — DISCLOSURE &amp; DISCLAIMER (educational valuation study; not investment advice)</t>
  </si>
  <si>
    <t xml:space="preserve">NATURE OF THIS WORKBOOK</t>
  </si>
  <si>
    <t xml:space="preserve">This workbook is an educational valuation exercise and an expression of the preparer's personal analytical opinion, based exclusively on publicly available information and the assumptions stated in the text and this model. It is published free of charge to demonstrate methodology and to invite scrutiny of that methodology.</t>
  </si>
  <si>
    <t xml:space="preserve">NO ADVICE, NO RECOMMENDATION, NO SOLICITATION</t>
  </si>
  <si>
    <t xml:space="preserve">Nothing here constitutes investment advice, financial consultancy, securities analysis, a research recommendation, a rating, a price target, an offer, or a solicitation to buy, sell or hold any security. No statement is directed at the objectives, situation or needs of any person.</t>
  </si>
  <si>
    <t xml:space="preserve">NO LICENSED ACTIVITY</t>
  </si>
  <si>
    <t xml:space="preserve">The preparer is not licensed or registered with any securities regulator, carries on no regulated activity, manages no money, and accepts no clients, fees or funds.</t>
  </si>
  <si>
    <t xml:space="preserve">ESTIMATES AND UNCERTAINTY</t>
  </si>
  <si>
    <t xml:space="preserve">All values are model outputs resting on explicit, subjective assumptions; they are illustrative, highly uncertain and likely to prove wrong in material respects. Emaar's reported financials are company disclosure; the FORWARD assumptions — the value of the recurring mall/hospitality portfolio, the marks on the listed subsidiary stakes (Emaar Development, Emaar Misr), the NAV/conglomerate discount, and the multiples applied — are the preparer's judgments. Presented as ranges and distributions because no single number should be relied on.</t>
  </si>
  <si>
    <t xml:space="preserve">NO LIABILITY / READER'S RESPONSIBILITY</t>
  </si>
  <si>
    <t xml:space="preserve">To the maximum extent permitted by law, the preparer accepts no liability for any decision, action or loss in reliance on this workbook. Any person considering an investment decision should conduct their own assessment and consult a licensed advisor.</t>
  </si>
  <si>
    <t xml:space="preserve">HOLDINGS DISCLOSURE</t>
  </si>
  <si>
    <t xml:space="preserve">The preparer may hold, and may in the future take or dispose of, a position in the security discussed in this report.</t>
  </si>
  <si>
    <t xml:space="preserve">HOW TO USE THIS MODEL</t>
  </si>
  <si>
    <t xml:space="preserve">Blue cells are hardcoded inputs (edit to your own view); black cells are formulas; green cells link across sheets. The valuation is a revalued-net-asset / sum-of-the-parts (RNAV/SOTP): the listed subsidiary stakes at market value (Emaar Development, Emaar Misr), the recurring mall/hospitality/leasing portfolio on an EV/EBITDA multiple, international development at NAV, plus parent &amp; recurring net cash, less a NAV/conglomerate discount — cross-checked against a going-concern FCFF DCF, relative multiples and normalized earnings. Currency is AED unless stated; valuation in AED billion, per-share in AED.</t>
  </si>
  <si>
    <t xml:space="preserve">EMAAR PROPERTIES PJSC (DFM: EMAAR) — VALUATION SUMMARY</t>
  </si>
  <si>
    <t xml:space="preserve">Four-lens fair value vs spot. Base links live; bear/bull are scenario outputs (study §1.5). Educational; not advice.</t>
  </si>
  <si>
    <t xml:space="preserve">Bear</t>
  </si>
  <si>
    <t xml:space="preserve">Base</t>
  </si>
  <si>
    <t xml:space="preserve">Bull</t>
  </si>
  <si>
    <t xml:space="preserve">Weight</t>
  </si>
  <si>
    <t xml:space="preserve">Sum-of-the-parts (RNAV)</t>
  </si>
  <si>
    <t xml:space="preserve">Consolidated DCF</t>
  </si>
  <si>
    <t xml:space="preserve">Relative multiples</t>
  </si>
  <si>
    <t xml:space="preserve">Normalized earnings</t>
  </si>
  <si>
    <t xml:space="preserve">Weighted central</t>
  </si>
  <si>
    <t xml:space="preserve">Spot price (AED, 29-Jun-26)</t>
  </si>
  <si>
    <t xml:space="preserve">Upside to central base</t>
  </si>
  <si>
    <t xml:space="preserve">Read: undervalued across every lens; the swing factors are the recurring EV/EBITDA mark and the NAV/conglomerate discount.</t>
  </si>
  <si>
    <t xml:space="preserve">FUNDAMENTAL VALUATION — football-field data</t>
  </si>
  <si>
    <t xml:space="preserve">Bear/base/bull per lens (links to Summary). Weighted central computed there.</t>
  </si>
  <si>
    <t xml:space="preserve">Lens</t>
  </si>
  <si>
    <t xml:space="preserve">Spot</t>
  </si>
  <si>
    <t xml:space="preserve">EMAAR PROPERTIES PJSC (DFM: EMAAR) — ASSUMPTIONS</t>
  </si>
  <si>
    <t xml:space="preserve">All blue cells are inputs. AED billion unless noted. Edit to your own view.</t>
  </si>
  <si>
    <t xml:space="preserve">GLOBAL &amp; CORPORATE</t>
  </si>
  <si>
    <t xml:space="preserve">Spot price (AED, 29-Jun-26 close)</t>
  </si>
  <si>
    <t xml:space="preserve">Shares outstanding (bn)</t>
  </si>
  <si>
    <t xml:space="preserve">Consolidated net cash (AED bn)</t>
  </si>
  <si>
    <t xml:space="preserve">Tax rate (UAE corporate, effective)</t>
  </si>
  <si>
    <t xml:space="preserve">RNAV/SOTP — LISTED STAKES (at market)</t>
  </si>
  <si>
    <t xml:space="preserve">Stake</t>
  </si>
  <si>
    <t xml:space="preserve">Ownership %</t>
  </si>
  <si>
    <t xml:space="preserve">Sub mkt cap (bn)</t>
  </si>
  <si>
    <t xml:space="preserve">Stake value (bn)</t>
  </si>
  <si>
    <t xml:space="preserve">Basis</t>
  </si>
  <si>
    <t xml:space="preserve">Emaar Development PJSC (DFM: EMAARDEV)</t>
  </si>
  <si>
    <t xml:space="preserve">listed at market</t>
  </si>
  <si>
    <t xml:space="preserve">Emaar Misr for Development (EGX: EMFD)</t>
  </si>
  <si>
    <t xml:space="preserve">listed at market (EGP→AED)</t>
  </si>
  <si>
    <t xml:space="preserve">Listed subtotal</t>
  </si>
  <si>
    <t xml:space="preserve">RNAV/SOTP — RECURRING, INTERNATIONAL, NET CASH &amp; DISCOUNT</t>
  </si>
  <si>
    <t xml:space="preserve">Item</t>
  </si>
  <si>
    <t xml:space="preserve">Recurring EBITDA (malls+hospitality+leasing, AED bn)</t>
  </si>
  <si>
    <t xml:space="preserve">Recurring EV/EBITDA multiple (x)</t>
  </si>
  <si>
    <t xml:space="preserve">the swing factor</t>
  </si>
  <si>
    <t xml:space="preserve">International development NAV (India+other, AED bn)</t>
  </si>
  <si>
    <t xml:space="preserve">Parent &amp; recurring net cash (AED bn)</t>
  </si>
  <si>
    <t xml:space="preserve">NAV / conglomerate discount</t>
  </si>
  <si>
    <t xml:space="preserve">RELATIVE &amp; NORMALIZED</t>
  </si>
  <si>
    <t xml:space="preserve">EBITDA 2025 (AED bn)</t>
  </si>
  <si>
    <t xml:space="preserve">EV/EBITDA multiple (x)</t>
  </si>
  <si>
    <t xml:space="preserve">Normalized EPS (AED)</t>
  </si>
  <si>
    <t xml:space="preserve">Relative P/E (x)</t>
  </si>
  <si>
    <t xml:space="preserve">BVPS — attributable (AED)</t>
  </si>
  <si>
    <t xml:space="preserve">Justified P/B (x)</t>
  </si>
  <si>
    <t xml:space="preserve">Normalized through-cycle net (AED bn)</t>
  </si>
  <si>
    <t xml:space="preserve">Normalized justified P/E (x)</t>
  </si>
  <si>
    <t xml:space="preserve">FOUR-METHOD WEIGHTS</t>
  </si>
  <si>
    <t xml:space="preserve">RNAV/SOTP</t>
  </si>
  <si>
    <t xml:space="preserve">Going-concern DCF</t>
  </si>
  <si>
    <t xml:space="preserve">DCF INPUTS</t>
  </si>
  <si>
    <t xml:space="preserve">WACC (AED)</t>
  </si>
  <si>
    <t xml:space="preserve">Terminal growth g</t>
  </si>
  <si>
    <t xml:space="preserve">Tax rate (DCF)</t>
  </si>
  <si>
    <t xml:space="preserve">DCF FCFF PROFILE (AED bn) — fade, land-replenishment discipline</t>
  </si>
  <si>
    <t xml:space="preserve">Year</t>
  </si>
  <si>
    <t xml:space="preserve">FCFF</t>
  </si>
  <si>
    <t xml:space="preserve">2026</t>
  </si>
  <si>
    <t xml:space="preserve">2027</t>
  </si>
  <si>
    <t xml:space="preserve">2028</t>
  </si>
  <si>
    <t xml:space="preserve">2029</t>
  </si>
  <si>
    <t xml:space="preserve">2030</t>
  </si>
  <si>
    <t xml:space="preserve">FORECAST INPUTS (AED bn) — group operating build</t>
  </si>
  <si>
    <t xml:space="preserve">Revenue</t>
  </si>
  <si>
    <t xml:space="preserve">Op profit</t>
  </si>
  <si>
    <t xml:space="preserve">Net profit attrib.</t>
  </si>
  <si>
    <t xml:space="preserve">LENS BEAR / BULL (scenario outputs; base computed live in Summary)</t>
  </si>
  <si>
    <t xml:space="preserve">RNAV / SUM-OF-THE-PARTS — revalued net asset value (base / bull / bear)</t>
  </si>
  <si>
    <t xml:space="preserve">Listed subsidiary stakes at market; recurring portfolio on EV/EBITDA; international at NAV; net cash added; NAV/conglomerate discount applied. AED bn; per-share AED.</t>
  </si>
  <si>
    <t xml:space="preserve">Asset</t>
  </si>
  <si>
    <t xml:space="preserve">Base (bn)</t>
  </si>
  <si>
    <t xml:space="preserve">Bull (bn)</t>
  </si>
  <si>
    <t xml:space="preserve">Bear (bn)</t>
  </si>
  <si>
    <t xml:space="preserve">Emaar Development stake (85.4%)</t>
  </si>
  <si>
    <t xml:space="preserve">Emaar Misr stake (85.7%)</t>
  </si>
  <si>
    <t xml:space="preserve">Recurring portfolio (malls+hotels+leasing)</t>
  </si>
  <si>
    <t xml:space="preserve">EV/EBITDA on recurring EBITDA</t>
  </si>
  <si>
    <t xml:space="preserve">International development (India+other)</t>
  </si>
  <si>
    <t xml:space="preserve">NAV estimate</t>
  </si>
  <si>
    <t xml:space="preserve">Parent &amp; recurring net cash</t>
  </si>
  <si>
    <t xml:space="preserve">group net cash net of listed-sub cash</t>
  </si>
  <si>
    <t xml:space="preserve">Gross NAV (AED bn)</t>
  </si>
  <si>
    <t xml:space="preserve">Gross NAV / share (AED)</t>
  </si>
  <si>
    <t xml:space="preserve">(-) NAV / conglomerate discount</t>
  </si>
  <si>
    <t xml:space="preserve">VALUE / SHARE (AED)</t>
  </si>
  <si>
    <t xml:space="preserve">vs spot</t>
  </si>
  <si>
    <t xml:space="preserve">Base = 20% discount on the sum of parts. Bull = 10% discount + recurring at 16x + higher international NAV. Bear = 30% discount + recurring at 11x + lower marks. Gross NAV ~AED 17.6/share; the market prices a ~31% discount to that sum at spot. Listed stakes are held constant across scenarios; the recurring multiple and the discount drive the range.</t>
  </si>
  <si>
    <t xml:space="preserve">HOLDING-COMPANY &amp; SEGMENT ASSETS — what Emaar owns</t>
  </si>
  <si>
    <t xml:space="preserve">How each piece is valued. Source: Emaar IR / DFM segment disclosures (FY2025).</t>
  </si>
  <si>
    <t xml:space="preserve">Dimension</t>
  </si>
  <si>
    <t xml:space="preserve">Listed subsidiary stakes</t>
  </si>
  <si>
    <t xml:space="preserve">Recurring portfolio (owned)</t>
  </si>
  <si>
    <t xml:space="preserve">Development (UAE, via ED)</t>
  </si>
  <si>
    <t xml:space="preserve">What it is</t>
  </si>
  <si>
    <t xml:space="preserve">Emaar Development ~85.4% (DFM), Emaar Misr ~85.7% (EGX)</t>
  </si>
  <si>
    <t xml:space="preserve">Dubai Mall + malls, Address/Vida hotels, leisure &amp; entertainment</t>
  </si>
  <si>
    <t xml:space="preserve">Master-planned communities: Downtown, Dubai Hills, Beachfront, Creek Harbour</t>
  </si>
  <si>
    <t xml:space="preserve">Valuation basis</t>
  </si>
  <si>
    <t xml:space="preserve">Market value × ownership</t>
  </si>
  <si>
    <t xml:space="preserve">Captured in the Emaar Development market stake</t>
  </si>
  <si>
    <t xml:space="preserve">Earnings driver</t>
  </si>
  <si>
    <t xml:space="preserve">Sub share prices; ED off-plan sales; EMFD Egypt cycle</t>
  </si>
  <si>
    <t xml:space="preserve">Mall footfall &amp; rents (98% occ); hotel RevPAR; tourism</t>
  </si>
  <si>
    <t xml:space="preserve">Contracted sales; % completion recognition; land re-load</t>
  </si>
  <si>
    <t xml:space="preserve">Cyclicality</t>
  </si>
  <si>
    <t xml:space="preserve">Market-linked; EMFD carries Egypt FX/rate risk</t>
  </si>
  <si>
    <t xml:space="preserve">Moderate — Dubai retail &amp; tourism cycle</t>
  </si>
  <si>
    <t xml:space="preserve">Off-plan demand; supply pipeline; mortgage rates</t>
  </si>
  <si>
    <t xml:space="preserve">Profitability</t>
  </si>
  <si>
    <t xml:space="preserve">ED ~56% NPBT margin; EMFD profitable</t>
  </si>
  <si>
    <t xml:space="preserve">Malls ~70% EBITDA margin; hotels ~30%</t>
  </si>
  <si>
    <t xml:space="preserve">Backlog AED 155bn at healthy margins</t>
  </si>
  <si>
    <t xml:space="preserve">Valuation lens</t>
  </si>
  <si>
    <t xml:space="preserve">at market (no normalization)</t>
  </si>
  <si>
    <t xml:space="preserve">~14x EV/EBITDA (prime Dubai retail)</t>
  </si>
  <si>
    <t xml:space="preserve">market stake (ED ~5x P/E)</t>
  </si>
  <si>
    <t xml:space="preserve">The crown jewel is the recurring portfolio — Dubai Mall is the world's most-visited mall — carried outside the listed stakes and marked here on a multiple. Most of the debate is (i) the recurring multiple and (ii) the NAV/conglomerate discount. The development engine sits inside the listed Emaar Development stake, taken at market. Sources: Emaar IR, DFM (FY2025); verify live.</t>
  </si>
  <si>
    <t xml:space="preserve">RELATIVE MULTIPLES &amp; NORMALIZED EARNINGS POWER</t>
  </si>
  <si>
    <t xml:space="preserve">Multiples on group metrics vs Aldar/sector; through-cycle earnings as a discipline. Cross-checks on the RNAV.</t>
  </si>
  <si>
    <t xml:space="preserve">RELATIVE MULTIPLES (AED bn unless noted)</t>
  </si>
  <si>
    <t xml:space="preserve">Implied EV — EV/EBITDA</t>
  </si>
  <si>
    <t xml:space="preserve">EBITDA x EV/EBITDA</t>
  </si>
  <si>
    <t xml:space="preserve">  value/share (AED)</t>
  </si>
  <si>
    <t xml:space="preserve">Implied equity — P/E (norm EPS x P/E)</t>
  </si>
  <si>
    <t xml:space="preserve">normalized EPS x P/E</t>
  </si>
  <si>
    <t xml:space="preserve">Implied equity — P/B (BVPS x P/B)</t>
  </si>
  <si>
    <t xml:space="preserve">BVPS x justified P/B</t>
  </si>
  <si>
    <t xml:space="preserve">RELATIVE BLENDED MIDPOINT (AED)</t>
  </si>
  <si>
    <t xml:space="preserve">RELATIVE VALUE / SHARE (blended, AED)</t>
  </si>
  <si>
    <t xml:space="preserve">NORMALIZED THROUGH-CYCLE EARNINGS POWER</t>
  </si>
  <si>
    <t xml:space="preserve">Normalized net profit (AED bn)</t>
  </si>
  <si>
    <t xml:space="preserve">Justified P/E (x)</t>
  </si>
  <si>
    <t xml:space="preserve">NORMALIZED VALUE / SHARE (AED)</t>
  </si>
  <si>
    <t xml:space="preserve">Normalized P/E at spot (x)</t>
  </si>
  <si>
    <t xml:space="preserve">on through-cycle EPS</t>
  </si>
  <si>
    <t xml:space="preserve">Relative blends EV/EBITDA (5x, conservative vs Emaar's own ~3.2x and peers ~6-8x), P/E (8x normalized) and P/B (1.6x justified by ~24.7% ROE). Emaar screens cheap on every relative gauge. Normalized uses through-cycle net ~AED 15bn at 9x. Sources: Emaar IR; peer multiples (Aldar) — verify live.</t>
  </si>
  <si>
    <t xml:space="preserve">GOING-CONCERN DCF — unlevered FCFF (cross-check)</t>
  </si>
  <si>
    <t xml:space="preserve">FCFF fades as backlog runs off and land is replenished; recurring is the durable annuity. Discounted at WACC; modest terminal. AED bn.</t>
  </si>
  <si>
    <t xml:space="preserve">AED bn</t>
  </si>
  <si>
    <t xml:space="preserve">Unlevered FCFF (input profile)</t>
  </si>
  <si>
    <t xml:space="preserve">Discount factor @ WACC</t>
  </si>
  <si>
    <t xml:space="preserve">PV of FCFF</t>
  </si>
  <si>
    <t xml:space="preserve">PV of explicit FCFF (Σ)</t>
  </si>
  <si>
    <t xml:space="preserve">Terminal value (Gordon on 2030 FCFF)</t>
  </si>
  <si>
    <t xml:space="preserve">PV of terminal value</t>
  </si>
  <si>
    <t xml:space="preserve">Enterprise value (operating)</t>
  </si>
  <si>
    <t xml:space="preserve">(+) Consolidated net cash</t>
  </si>
  <si>
    <t xml:space="preserve">Equity value (AED bn)</t>
  </si>
  <si>
    <t xml:space="preserve">Shares (bn)</t>
  </si>
  <si>
    <t xml:space="preserve">The DCF deliberately capitalizes a FADING cash-flow stream, not the 2025 peak: development excess cash is assumed to decline toward a sustainable level as backlog converts and land must be re-purchased at market cost, with the recurring portfolio as the durable annuity and a modest 2.5% terminal. It answers a narrow question — what is a conservative capitalization of Emaar's cash worth — and lands close to the RNAV base, corroborating it. A cross-check, not the primary lens.</t>
  </si>
  <si>
    <t xml:space="preserve">CONSOLIDATED INCOME STATEMENT — AED bn</t>
  </si>
  <si>
    <t xml:space="preserve">Actuals Emaar IR (FY2023-2025). Forecast 2026e-2030e: revenue, OP and net link to Assumptions.</t>
  </si>
  <si>
    <t xml:space="preserve">2023a</t>
  </si>
  <si>
    <t xml:space="preserve">2024a</t>
  </si>
  <si>
    <t xml:space="preserve">2025a</t>
  </si>
  <si>
    <t xml:space="preserve">2026e</t>
  </si>
  <si>
    <t xml:space="preserve">2027e</t>
  </si>
  <si>
    <t xml:space="preserve">2028e</t>
  </si>
  <si>
    <t xml:space="preserve">2029e</t>
  </si>
  <si>
    <t xml:space="preserve">2030e</t>
  </si>
  <si>
    <t xml:space="preserve">Development revenue</t>
  </si>
  <si>
    <t xml:space="preserve">Recurring revenue</t>
  </si>
  <si>
    <t xml:space="preserve">Total revenue</t>
  </si>
  <si>
    <t xml:space="preserve">  growth YoY</t>
  </si>
  <si>
    <t xml:space="preserve">(Operating expenses)</t>
  </si>
  <si>
    <t xml:space="preserve">Operating profit (EBIT)</t>
  </si>
  <si>
    <t xml:space="preserve">  OP margin</t>
  </si>
  <si>
    <t xml:space="preserve">Net finance income &amp; associates</t>
  </si>
  <si>
    <t xml:space="preserve">Pre-tax profit</t>
  </si>
  <si>
    <t xml:space="preserve">Tax &amp; minority interests</t>
  </si>
  <si>
    <t xml:space="preserve">Net profit attributable</t>
  </si>
  <si>
    <t xml:space="preserve">  net margin</t>
  </si>
  <si>
    <t xml:space="preserve">EPS (AED)</t>
  </si>
  <si>
    <t xml:space="preserve">Development (UAE build-to-sell via Emaar Development + Creek Harbour + international) dominates revenue; the recurring portfolio (malls, hotels, leasing) is smaller but higher-margin and more durable. FY2025 was a record on strong recognition off a AED 155bn backlog; 2026e is set modestly below 2025 on normalization (consensus ~11% net decline). UAE 9% corporate tax applies from 2023; minority interests reflect the ~15% of Emaar Development and ~14% of Emaar Misr held by others. Actuals anchored to Emaar IR; sub-lines approximate.</t>
  </si>
  <si>
    <t xml:space="preserve">CONSOLIDATED BALANCE SHEET — AED bn</t>
  </si>
  <si>
    <t xml:space="preserve">Totals anchored to reported filings (end-2025: assets ~185, equity ~95, cash ~35, debt ~10); sub-lines approximate.</t>
  </si>
  <si>
    <t xml:space="preserve">Cash &amp; bank balances</t>
  </si>
  <si>
    <t xml:space="preserve">Trade &amp; other receivables</t>
  </si>
  <si>
    <t xml:space="preserve">Development properties (inventory/WIP)</t>
  </si>
  <si>
    <t xml:space="preserve">Total current assets</t>
  </si>
  <si>
    <t xml:space="preserve">Investment properties (malls/hotels)</t>
  </si>
  <si>
    <t xml:space="preserve">Property, plant &amp; equipment</t>
  </si>
  <si>
    <t xml:space="preserve">Investments in associates &amp; JVs</t>
  </si>
  <si>
    <t xml:space="preserve">Other non-current assets</t>
  </si>
  <si>
    <t xml:space="preserve">Total non-current assets</t>
  </si>
  <si>
    <t xml:space="preserve">Total assets</t>
  </si>
  <si>
    <t xml:space="preserve">Trade &amp; other payables</t>
  </si>
  <si>
    <t xml:space="preserve">Advances from customers (deferred rev)</t>
  </si>
  <si>
    <t xml:space="preserve">Total current liabilities</t>
  </si>
  <si>
    <t xml:space="preserve">Borrowings, bonds &amp; leases</t>
  </si>
  <si>
    <t xml:space="preserve">Other non-current liabilities</t>
  </si>
  <si>
    <t xml:space="preserve">Total liabilities</t>
  </si>
  <si>
    <t xml:space="preserve">Equity attributable to owners</t>
  </si>
  <si>
    <t xml:space="preserve">Non-controlling interests</t>
  </si>
  <si>
    <t xml:space="preserve">Total equity</t>
  </si>
  <si>
    <t xml:space="preserve">Total liabilities &amp; equity</t>
  </si>
  <si>
    <t xml:space="preserve">Net cash (cash − debt)</t>
  </si>
  <si>
    <t xml:space="preserve">Totals anchored to Emaar's reported balance sheet; sub-lines are approximate allocations. Investment properties (the recurring malls/hotels) are carried at cost/valuation on the books (~AED 66bn) BELOW their market value — the RNAV lens marks them to ~AED 81bn via EV/EBITDA, which is the source of the NAV uplift. Equity attributable ~AED 80bn = book ~AED 9.05/share (P/B ~1.34x). Large customer advances reflect off-plan pre-sales. Net cash ~AED 25bn.</t>
  </si>
  <si>
    <t xml:space="preserve">CONSOLIDATED CASH FLOW — AED bn (simplified)</t>
  </si>
  <si>
    <t xml:space="preserve">Actuals approximate. Forecast: OCF ≈ net + non-cash; investing = capex; financing = dividends.</t>
  </si>
  <si>
    <t xml:space="preserve">Operating cash flow</t>
  </si>
  <si>
    <t xml:space="preserve">Capex (investing)</t>
  </si>
  <si>
    <t xml:space="preserve">Financing (dividends/other)</t>
  </si>
  <si>
    <t xml:space="preserve">Net change in cash</t>
  </si>
  <si>
    <t xml:space="preserve">Memo — free cash flow (OCF + capex)</t>
  </si>
  <si>
    <t xml:space="preserve">Emaar generates very strong operating cash flow and reinvests modestly (asset-light off-plan model with escrowed pre-sales), so free cash flow is high — funding a ~100%-of-share-capital dividend (AED 8.8bn, ~AED 1.0/share, ~8% yield). Financing reflects that dividend; any buyback/treasury-cancellation would be an incremental catalyst. Simplified and illustrative.</t>
  </si>
  <si>
    <t xml:space="preserve">EMAAR PROPERTIES — SUMMARY FINANCIALS (live links)</t>
  </si>
  <si>
    <t xml:space="preserve">Every cell links to the Income Statement / Balance Sheet / Cash Flow sheets.</t>
  </si>
  <si>
    <t xml:space="preserve">Operating profit</t>
  </si>
  <si>
    <t xml:space="preserve">Net cash</t>
  </si>
  <si>
    <t xml:space="preserve">BVPS (AED)</t>
  </si>
  <si>
    <t xml:space="preserve">Free cash flow</t>
  </si>
  <si>
    <t xml:space="preserve">MONTE CARLO — ONE 16-FACTOR MODEL (50,000 paths, seed 42)</t>
  </si>
  <si>
    <t xml:space="preserve">Seven continuous factors compound daily; nine discrete events arrive as jumps. Idiosyncratic diffusion at realized 3M vol.</t>
  </si>
  <si>
    <t xml:space="preserve">CORE INPUTS</t>
  </si>
  <si>
    <t xml:space="preserve">Anchor price (AED, 29-Jun-26)</t>
  </si>
  <si>
    <t xml:space="preserve">Horizon T+20 (sessions)</t>
  </si>
  <si>
    <t xml:space="preserve">Horizon T+60 (sessions)</t>
  </si>
  <si>
    <t xml:space="preserve">Idiosyncratic 3M volatility (top-up)</t>
  </si>
  <si>
    <t xml:space="preserve">52-week low reference (AED)</t>
  </si>
  <si>
    <t xml:space="preserve">SMA50 / structure (AED)</t>
  </si>
  <si>
    <t xml:space="preserve">SMA200 (AED)</t>
  </si>
  <si>
    <t xml:space="preserve">52-week high reference (AED)</t>
  </si>
  <si>
    <t xml:space="preserve">SMA100 (AED)</t>
  </si>
  <si>
    <t xml:space="preserve">MACD(12,26,9) +0.17 line / +0.14 signal / +0.04 hist (momentum turning up)</t>
  </si>
  <si>
    <t xml:space="preserve">SEVEN CONTINUOUS FACTORS</t>
  </si>
  <si>
    <t xml:space="preserve">Factor</t>
  </si>
  <si>
    <t xml:space="preserve">3M drift</t>
  </si>
  <si>
    <t xml:space="preserve">3M vol</t>
  </si>
  <si>
    <t xml:space="preserve">Channel</t>
  </si>
  <si>
    <t xml:space="preserve">US/Fed rate path (AED peg → mortgage, discounting)</t>
  </si>
  <si>
    <t xml:space="preserve">Dubai residential price &amp; off-plan absorption</t>
  </si>
  <si>
    <t xml:space="preserve">DFM / foreign-flows beta</t>
  </si>
  <si>
    <t xml:space="preserve">Oil / GCC liquidity</t>
  </si>
  <si>
    <t xml:space="preserve">Population &amp; golden-visa demand</t>
  </si>
  <si>
    <t xml:space="preserve">Recurring: retail &amp; tourism trajectory</t>
  </si>
  <si>
    <t xml:space="preserve">Construction cost / margin</t>
  </si>
  <si>
    <t xml:space="preserve">NINE DISCRETE EVENTS</t>
  </si>
  <si>
    <t xml:space="preserve">Event</t>
  </si>
  <si>
    <t xml:space="preserve">Prob</t>
  </si>
  <si>
    <t xml:space="preserve">Impact μ</t>
  </si>
  <si>
    <t xml:space="preserve">Impact σ</t>
  </si>
  <si>
    <t xml:space="preserve">Backlog conversion / strong launches &amp; sales</t>
  </si>
  <si>
    <t xml:space="preserve">Dubai property-cycle re-rating / discount compression</t>
  </si>
  <si>
    <t xml:space="preserve">Emaar Development / recurring crystallization or special dividend</t>
  </si>
  <si>
    <t xml:space="preserve">Dubai Holding ownership-driven re-rating / buyback</t>
  </si>
  <si>
    <t xml:space="preserve">Quarterly earnings surprise (two-sided)</t>
  </si>
  <si>
    <t xml:space="preserve">Dubai property correction / oversupply fear</t>
  </si>
  <si>
    <t xml:space="preserve">Fed higher-for-longer / affordability shock</t>
  </si>
  <si>
    <t xml:space="preserve">Egypt macro/FX shock (Emaar Misr)</t>
  </si>
  <si>
    <t xml:space="preserve">Regional geopolitical / risk-off</t>
  </si>
  <si>
    <t xml:space="preserve">FACTOR MOMENTS (live)</t>
  </si>
  <si>
    <t xml:space="preserve">Expected 3M log-return μ</t>
  </si>
  <si>
    <t xml:space="preserve">3M variance</t>
  </si>
  <si>
    <t xml:space="preserve">3M volatility σ</t>
  </si>
  <si>
    <t xml:space="preserve">Annualized vol (x2)</t>
  </si>
  <si>
    <t xml:space="preserve">PERCENTILES (AED/share)</t>
  </si>
  <si>
    <t xml:space="preserve">Horizon</t>
  </si>
  <si>
    <t xml:space="preserve">5%</t>
  </si>
  <si>
    <t xml:space="preserve">25%</t>
  </si>
  <si>
    <t xml:space="preserve">Median</t>
  </si>
  <si>
    <t xml:space="preserve">75%</t>
  </si>
  <si>
    <t xml:space="preserve">95%</t>
  </si>
  <si>
    <t xml:space="preserve">Source</t>
  </si>
  <si>
    <t xml:space="preserve">T+20 — engine (simulated)</t>
  </si>
  <si>
    <t xml:space="preserve">50k paths · seed 42</t>
  </si>
  <si>
    <t xml:space="preserve">T+20 — closed-form (live)</t>
  </si>
  <si>
    <t xml:space="preserve">T+60 — engine (simulated)</t>
  </si>
  <si>
    <t xml:space="preserve">T+60 — closed-form (live)</t>
  </si>
  <si>
    <t xml:space="preserve">LEVEL-TOUCH PROBABILITIES (engine)</t>
  </si>
  <si>
    <t xml:space="preserve">Level</t>
  </si>
  <si>
    <t xml:space="preserve">within T+20</t>
  </si>
  <si>
    <t xml:space="preserve">within T+60</t>
  </si>
  <si>
    <t xml:space="preserve">▲ AED 13.0</t>
  </si>
  <si>
    <t xml:space="preserve">▲ AED 14.0</t>
  </si>
  <si>
    <t xml:space="preserve">▲ AED 15.5</t>
  </si>
  <si>
    <t xml:space="preserve">▲ AED 17.25</t>
  </si>
  <si>
    <t xml:space="preserve">▼ AED 11.5</t>
  </si>
  <si>
    <t xml:space="preserve">▼ AED 10.5</t>
  </si>
  <si>
    <t xml:space="preserve">▼ AED 9.5</t>
  </si>
  <si>
    <t xml:space="preserve">▼ AED 8.5</t>
  </si>
  <si>
    <t xml:space="preserve">Engine values are the simulated 50k-path outputs (seed 42); closed-form rows are the live lognormal cross-check. Net drift ~+2.4% 3M, built from forward factors (NOT raw trailing momentum). The dominant feature is the very wide, mildly right-skewed cone — Emaar realized vol ~36% (recent 60d ~46%), with a 1.15x Step-0 calibration uplift. Paths describe near-term PRICE, not value; the RNAV value gap is deliberately kept out of the drift so the fundamental and probabilistic lenses stay independent.</t>
  </si>
  <si>
    <t xml:space="preserve">SENSITIVITY — value/share (AED)</t>
  </si>
  <si>
    <t xml:space="preserve">Top: RNAV NAV-discount x recurring EV/EBITDA multiple. Bottom: DCF WACC x terminal growth. Both computed live.</t>
  </si>
  <si>
    <t xml:space="preserve">RNAV: NAV discount (down) / recurring EV/EBITDA multiple x (right)</t>
  </si>
  <si>
    <t xml:space="preserve">disc / mult</t>
  </si>
  <si>
    <t xml:space="preserve">DCF: WACC (down) / terminal growth g (right)</t>
  </si>
  <si>
    <t xml:space="preserve">WACC / g</t>
  </si>
  <si>
    <t xml:space="preserve">RNAV grid flexes the two biggest swing factors — the NAV/conglomerate discount and the recurring EV/EBITDA multiple — with all else at base marks. DCF grid flexes WACC and terminal growth on the fixed fading FCFF profile. Base case: discount 20%, recurring 14x; WACC 12%, g 2.5%.</t>
  </si>
  <si>
    <t xml:space="preserve">PER-SHARE &amp; RATIOS (at spot)</t>
  </si>
  <si>
    <t xml:space="preserve">Drivers link to Income Statement / Balance Sheet / Assumptions.</t>
  </si>
  <si>
    <t xml:space="preserve">Share price (AED, 29-Jun-26)</t>
  </si>
  <si>
    <t xml:space="preserve">Market cap (AED bn)</t>
  </si>
  <si>
    <t xml:space="preserve">2025a EPS (AED)</t>
  </si>
  <si>
    <t xml:space="preserve">Dividend per share (AED)</t>
  </si>
  <si>
    <t xml:space="preserve">P/E on 2025a (x)</t>
  </si>
  <si>
    <t xml:space="preserve">P/E normalized (x)</t>
  </si>
  <si>
    <t xml:space="preserve">P/B (x)</t>
  </si>
  <si>
    <t xml:space="preserve">Dividend yield</t>
  </si>
  <si>
    <t xml:space="preserve">EV/EBITDA (x, 2025a)</t>
  </si>
  <si>
    <t xml:space="preserve">Gross NAV per share (AED)</t>
  </si>
  <si>
    <t xml:space="preserve">Discount to gross NAV at spot</t>
  </si>
  <si>
    <t xml:space="preserve">Emaar trades at ~6x reported earnings, ~3.2x EV/EBITDA and ~1.3x book with a ~25% ROE and an ~8% dividend yield — cheap on every operating gauge. The discount to gross NAV (~31% at spot) is the RNAV lens's summary of the same cheapness. Dividend is ~AED 1.0/share (100% of share capital, ~50% of earnings).</t>
  </si>
  <si>
    <t xml:space="preserve">PEER &amp; SECTOR CONTEXT — UAE / GCC real estate</t>
  </si>
  <si>
    <t xml:space="preserve">External sourced data (not model outputs). Verify live before use. As of mid-2026.</t>
  </si>
  <si>
    <t xml:space="preserve">Metric</t>
  </si>
  <si>
    <t xml:space="preserve">Emaar (EMAAR)</t>
  </si>
  <si>
    <t xml:space="preserve">Aldar (ALDAR, Abu Dhabi)</t>
  </si>
  <si>
    <t xml:space="preserve">Emaar Development (EMAARDEV)</t>
  </si>
  <si>
    <t xml:space="preserve">Business</t>
  </si>
  <si>
    <t xml:space="preserve">Developer + malls/hotels + holdco</t>
  </si>
  <si>
    <t xml:space="preserve">Abu Dhabi developer + recurring</t>
  </si>
  <si>
    <t xml:space="preserve">UAE build-to-sell (Emaar sub)</t>
  </si>
  <si>
    <t xml:space="preserve">Trailing P/E (x)</t>
  </si>
  <si>
    <t xml:space="preserve">~6x</t>
  </si>
  <si>
    <t xml:space="preserve">~9-11x</t>
  </si>
  <si>
    <t xml:space="preserve">~5x</t>
  </si>
  <si>
    <t xml:space="preserve">EV/EBITDA (x)</t>
  </si>
  <si>
    <t xml:space="preserve">~3.2x</t>
  </si>
  <si>
    <t xml:space="preserve">~10-13x</t>
  </si>
  <si>
    <t xml:space="preserve">n/m (build-sell)</t>
  </si>
  <si>
    <t xml:space="preserve">Discount to gross NAV</t>
  </si>
  <si>
    <t xml:space="preserve">~31%</t>
  </si>
  <si>
    <t xml:space="preserve">n/a (operating)</t>
  </si>
  <si>
    <t xml:space="preserve">n/a</t>
  </si>
  <si>
    <t xml:space="preserve">~8%</t>
  </si>
  <si>
    <t xml:space="preserve">~4%</t>
  </si>
  <si>
    <t xml:space="preserve">~5%</t>
  </si>
  <si>
    <t xml:space="preserve">2025 performance</t>
  </si>
  <si>
    <t xml:space="preserve">record sales/rev/profit</t>
  </si>
  <si>
    <t xml:space="preserve">record; strong Abu Dhabi cycle</t>
  </si>
  <si>
    <t xml:space="preserve">record UAE sales AED 71.1bn</t>
  </si>
  <si>
    <t xml:space="preserve">ROE</t>
  </si>
  <si>
    <t xml:space="preserve">~25%</t>
  </si>
  <si>
    <t xml:space="preserve">~15-18%</t>
  </si>
  <si>
    <t xml:space="preserve">very high (asset-light)</t>
  </si>
  <si>
    <t xml:space="preserve">Emaar screens materially cheaper than Aldar on every multiple despite comparable or higher profitability and a much higher dividend yield — part of a persistent UAE/DFM discount and the conglomerate structure. The relevant gauges for Emaar are the discount to gross NAV and the recurring-portfolio mark. Sources: company IR, exchange data; verify live.</t>
  </si>
</sst>
</file>

<file path=xl/styles.xml><?xml version="1.0" encoding="utf-8"?>
<styleSheet xmlns="http://schemas.openxmlformats.org/spreadsheetml/2006/main">
  <numFmts count="10">
    <numFmt numFmtId="164" formatCode="General"/>
    <numFmt numFmtId="165" formatCode="#,##0.00;\(#,##0.00\);\-"/>
    <numFmt numFmtId="166" formatCode="0.0%;\(0.0%\);\-"/>
    <numFmt numFmtId="167" formatCode="#,##0.00;\(#,##0.00\);\-"/>
    <numFmt numFmtId="168" formatCode="0.0%;\(0.0%\);\-"/>
    <numFmt numFmtId="169" formatCode="0.0\x"/>
    <numFmt numFmtId="170" formatCode="#,##0.0;\(#,##0.0\);\-"/>
    <numFmt numFmtId="171" formatCode="#,##0.00"/>
    <numFmt numFmtId="172" formatCode="0.000"/>
    <numFmt numFmtId="173" formatCode="0.0000"/>
  </numFmts>
  <fonts count="25">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1B5E5E"/>
      <name val="Arial"/>
      <family val="0"/>
      <charset val="1"/>
    </font>
    <font>
      <sz val="9"/>
      <name val="Arial"/>
      <family val="0"/>
      <charset val="1"/>
    </font>
    <font>
      <b val="true"/>
      <sz val="13"/>
      <color rgb="FFFFFFFF"/>
      <name val="Arial"/>
      <family val="0"/>
      <charset val="1"/>
    </font>
    <font>
      <sz val="11"/>
      <name val="Arial"/>
      <family val="0"/>
      <charset val="1"/>
    </font>
    <font>
      <i val="true"/>
      <sz val="9"/>
      <color rgb="FF555555"/>
      <name val="Arial"/>
      <family val="0"/>
      <charset val="1"/>
    </font>
    <font>
      <b val="true"/>
      <sz val="10"/>
      <color rgb="FFFFFFFF"/>
      <name val="Arial"/>
      <family val="0"/>
      <charset val="1"/>
    </font>
    <font>
      <sz val="11"/>
      <color rgb="FF000000"/>
      <name val="Arial"/>
      <family val="0"/>
      <charset val="1"/>
    </font>
    <font>
      <sz val="11"/>
      <color rgb="FF008000"/>
      <name val="Arial"/>
      <family val="0"/>
      <charset val="1"/>
    </font>
    <font>
      <b val="true"/>
      <sz val="11"/>
      <color rgb="FF000000"/>
      <name val="Arial"/>
      <family val="0"/>
      <charset val="1"/>
    </font>
    <font>
      <b val="true"/>
      <sz val="11"/>
      <color rgb="FF008000"/>
      <name val="Arial"/>
      <family val="0"/>
      <charset val="1"/>
    </font>
    <font>
      <sz val="10"/>
      <color rgb="FF000000"/>
      <name val="Arial"/>
      <family val="0"/>
      <charset val="1"/>
    </font>
    <font>
      <sz val="11"/>
      <color rgb="FF0000FF"/>
      <name val="Arial"/>
      <family val="0"/>
      <charset val="1"/>
    </font>
    <font>
      <i val="true"/>
      <sz val="8"/>
      <color rgb="FF555555"/>
      <name val="Arial"/>
      <family val="0"/>
      <charset val="1"/>
    </font>
    <font>
      <b val="true"/>
      <sz val="11"/>
      <color rgb="FF1B5E5E"/>
      <name val="Arial"/>
      <family val="0"/>
      <charset val="1"/>
    </font>
    <font>
      <sz val="10"/>
      <name val="Arial"/>
      <family val="2"/>
    </font>
    <font>
      <b val="true"/>
      <sz val="10"/>
      <color rgb="FF000000"/>
      <name val="Arial"/>
      <family val="0"/>
      <charset val="1"/>
    </font>
    <font>
      <b val="true"/>
      <sz val="9"/>
      <name val="Arial"/>
      <family val="0"/>
      <charset val="1"/>
    </font>
    <font>
      <sz val="9"/>
      <color rgb="FF555555"/>
      <name val="Arial"/>
      <family val="0"/>
      <charset val="1"/>
    </font>
    <font>
      <sz val="9"/>
      <color rgb="FF000000"/>
      <name val="Arial"/>
      <family val="0"/>
      <charset val="1"/>
    </font>
    <font>
      <sz val="8"/>
      <color rgb="FF000000"/>
      <name val="Arial"/>
      <family val="0"/>
      <charset val="1"/>
    </font>
  </fonts>
  <fills count="5">
    <fill>
      <patternFill patternType="none"/>
    </fill>
    <fill>
      <patternFill patternType="gray125"/>
    </fill>
    <fill>
      <patternFill patternType="solid">
        <fgColor rgb="FF1B5E5E"/>
        <bgColor rgb="FF008080"/>
      </patternFill>
    </fill>
    <fill>
      <patternFill patternType="solid">
        <fgColor rgb="FFE4EFEF"/>
        <bgColor rgb="FFCCFFFF"/>
      </patternFill>
    </fill>
    <fill>
      <patternFill patternType="solid">
        <fgColor rgb="FF2A8F8F"/>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center" vertical="bottom" textRotation="0" wrapText="true" indent="0" shrinkToFit="false"/>
      <protection locked="true" hidden="false"/>
    </xf>
    <xf numFmtId="165" fontId="12"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71" fontId="16" fillId="0" borderId="0" xfId="0" applyFont="true" applyBorder="false" applyAlignment="tru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tru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0C0C0"/>
      <rgbColor rgb="FF808080"/>
      <rgbColor rgb="FF9999FF"/>
      <rgbColor rgb="FF993366"/>
      <rgbColor rgb="FFFFFFCC"/>
      <rgbColor rgb="FFE4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2A8F8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1.75" hidden="false" customHeight="true" outlineLevel="0" collapsed="false">
      <c r="A1" s="2" t="s">
        <v>0</v>
      </c>
    </row>
    <row r="2" customFormat="false" ht="15" hidden="false" customHeight="true" outlineLevel="0" collapsed="false">
      <c r="A2" s="3" t="s">
        <v>1</v>
      </c>
    </row>
    <row r="3" customFormat="false" ht="43.5" hidden="false" customHeight="true" outlineLevel="0" collapsed="false">
      <c r="A3" s="4" t="s">
        <v>2</v>
      </c>
    </row>
    <row r="4" customFormat="false" ht="12" hidden="false" customHeight="true" outlineLevel="0" collapsed="false">
      <c r="A4" s="4"/>
    </row>
    <row r="5" customFormat="false" ht="15" hidden="false" customHeight="true" outlineLevel="0" collapsed="false">
      <c r="A5" s="3" t="s">
        <v>3</v>
      </c>
    </row>
    <row r="6" customFormat="false" ht="43.5" hidden="false" customHeight="true" outlineLevel="0" collapsed="false">
      <c r="A6" s="4" t="s">
        <v>4</v>
      </c>
    </row>
    <row r="7" customFormat="false" ht="12" hidden="false" customHeight="true" outlineLevel="0" collapsed="false">
      <c r="A7" s="4"/>
    </row>
    <row r="8" customFormat="false" ht="15" hidden="false" customHeight="true" outlineLevel="0" collapsed="false">
      <c r="A8" s="3" t="s">
        <v>5</v>
      </c>
    </row>
    <row r="9" customFormat="false" ht="43.5" hidden="false" customHeight="true" outlineLevel="0" collapsed="false">
      <c r="A9" s="4" t="s">
        <v>6</v>
      </c>
    </row>
    <row r="10" customFormat="false" ht="12" hidden="false" customHeight="true" outlineLevel="0" collapsed="false">
      <c r="A10" s="4"/>
    </row>
    <row r="11" customFormat="false" ht="15" hidden="false" customHeight="true" outlineLevel="0" collapsed="false">
      <c r="A11" s="3" t="s">
        <v>7</v>
      </c>
    </row>
    <row r="12" customFormat="false" ht="43.5" hidden="false" customHeight="true" outlineLevel="0" collapsed="false">
      <c r="A12" s="4" t="s">
        <v>8</v>
      </c>
    </row>
    <row r="13" customFormat="false" ht="12" hidden="false" customHeight="true" outlineLevel="0" collapsed="false">
      <c r="A13" s="4"/>
    </row>
    <row r="14" customFormat="false" ht="15" hidden="false" customHeight="true" outlineLevel="0" collapsed="false">
      <c r="A14" s="3" t="s">
        <v>9</v>
      </c>
    </row>
    <row r="15" customFormat="false" ht="43.5" hidden="false" customHeight="true" outlineLevel="0" collapsed="false">
      <c r="A15" s="4" t="s">
        <v>10</v>
      </c>
    </row>
    <row r="16" customFormat="false" ht="12" hidden="false" customHeight="true" outlineLevel="0" collapsed="false">
      <c r="A16" s="4"/>
    </row>
    <row r="17" customFormat="false" ht="15" hidden="false" customHeight="true" outlineLevel="0" collapsed="false">
      <c r="A17" s="3" t="s">
        <v>11</v>
      </c>
    </row>
    <row r="18" customFormat="false" ht="12" hidden="false" customHeight="true" outlineLevel="0" collapsed="false">
      <c r="A18" s="4" t="s">
        <v>12</v>
      </c>
    </row>
    <row r="19" customFormat="false" ht="12" hidden="false" customHeight="true" outlineLevel="0" collapsed="false">
      <c r="A19" s="4"/>
    </row>
    <row r="20" customFormat="false" ht="15" hidden="false" customHeight="true" outlineLevel="0" collapsed="false">
      <c r="A20" s="3" t="s">
        <v>13</v>
      </c>
    </row>
    <row r="21" customFormat="false" ht="43.5" hidden="false" customHeight="true" outlineLevel="0" collapsed="false">
      <c r="A21"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2"/>
    <col collapsed="false" customWidth="true" hidden="false" outlineLevel="0" max="4" min="4" style="0" width="12"/>
    <col collapsed="false" customWidth="true" hidden="false" outlineLevel="0" max="5" min="5" style="0" width="10"/>
  </cols>
  <sheetData>
    <row r="1" customFormat="false" ht="24" hidden="false" customHeight="true" outlineLevel="0" collapsed="false">
      <c r="A1" s="5" t="s">
        <v>15</v>
      </c>
      <c r="B1" s="6"/>
      <c r="C1" s="6"/>
      <c r="D1" s="7"/>
      <c r="E1" s="7"/>
    </row>
    <row r="2" customFormat="false" ht="15" hidden="false" customHeight="true" outlineLevel="0" collapsed="false">
      <c r="A2" s="8" t="s">
        <v>16</v>
      </c>
      <c r="B2" s="9"/>
      <c r="C2" s="9"/>
      <c r="D2" s="10"/>
      <c r="E2" s="10"/>
    </row>
    <row r="3" customFormat="false" ht="15" hidden="false" customHeight="false" outlineLevel="0" collapsed="false">
      <c r="A3" s="11"/>
      <c r="B3" s="11" t="s">
        <v>17</v>
      </c>
      <c r="C3" s="11" t="s">
        <v>18</v>
      </c>
      <c r="D3" s="11" t="s">
        <v>19</v>
      </c>
      <c r="E3" s="11" t="s">
        <v>20</v>
      </c>
    </row>
    <row r="4" customFormat="false" ht="15" hidden="false" customHeight="true" outlineLevel="0" collapsed="false">
      <c r="A4" s="12" t="s">
        <v>21</v>
      </c>
      <c r="B4" s="13" t="n">
        <f aca="false">'RNAV &amp; SOTP'!D13</f>
        <v>10.4986340497738</v>
      </c>
      <c r="C4" s="13" t="n">
        <f aca="false">'RNAV &amp; SOTP'!B13</f>
        <v>14.1160859728507</v>
      </c>
      <c r="D4" s="13" t="n">
        <f aca="false">'RNAV &amp; SOTP'!C13</f>
        <v>17.2652121040724</v>
      </c>
      <c r="E4" s="14" t="n">
        <f aca="false">Assumptions!$B$35</f>
        <v>0.35</v>
      </c>
    </row>
    <row r="5" customFormat="false" ht="15" hidden="false" customHeight="true" outlineLevel="0" collapsed="false">
      <c r="A5" s="12" t="s">
        <v>22</v>
      </c>
      <c r="B5" s="15" t="n">
        <f aca="false">Assumptions!B68</f>
        <v>11</v>
      </c>
      <c r="C5" s="13" t="n">
        <f aca="false">DCF!B20</f>
        <v>14.7389391489214</v>
      </c>
      <c r="D5" s="13" t="n">
        <f aca="false">Assumptions!C68</f>
        <v>19.5</v>
      </c>
      <c r="E5" s="14" t="n">
        <f aca="false">Assumptions!$B$36</f>
        <v>0.2</v>
      </c>
    </row>
    <row r="6" customFormat="false" ht="15" hidden="false" customHeight="true" outlineLevel="0" collapsed="false">
      <c r="A6" s="12" t="s">
        <v>23</v>
      </c>
      <c r="B6" s="15" t="n">
        <f aca="false">Assumptions!B69</f>
        <v>12.7</v>
      </c>
      <c r="C6" s="13" t="n">
        <f aca="false">'Relative &amp; Normalized'!B12</f>
        <v>15.5292307692308</v>
      </c>
      <c r="D6" s="13" t="n">
        <f aca="false">Assumptions!C69</f>
        <v>18.3</v>
      </c>
      <c r="E6" s="14" t="n">
        <f aca="false">Assumptions!$B$37</f>
        <v>0.15</v>
      </c>
    </row>
    <row r="7" customFormat="false" ht="15" hidden="false" customHeight="true" outlineLevel="0" collapsed="false">
      <c r="A7" s="12" t="s">
        <v>24</v>
      </c>
      <c r="B7" s="15" t="n">
        <f aca="false">Assumptions!B70</f>
        <v>11.03</v>
      </c>
      <c r="C7" s="13" t="n">
        <f aca="false">'Relative &amp; Normalized'!B17</f>
        <v>15.2714932126697</v>
      </c>
      <c r="D7" s="13" t="n">
        <f aca="false">Assumptions!C70</f>
        <v>20.19</v>
      </c>
      <c r="E7" s="14" t="n">
        <f aca="false">Assumptions!$B$38</f>
        <v>0.3</v>
      </c>
    </row>
    <row r="8" customFormat="false" ht="15" hidden="false" customHeight="true" outlineLevel="0" collapsed="false">
      <c r="A8" s="16" t="s">
        <v>25</v>
      </c>
      <c r="B8" s="17" t="n">
        <f aca="false">SUMPRODUCT(B4:B7,E4:E7)</f>
        <v>11.0885219174208</v>
      </c>
      <c r="C8" s="18" t="n">
        <f aca="false">SUMPRODUCT(C4:C7,E4:E7)</f>
        <v>14.7992504994675</v>
      </c>
      <c r="D8" s="18" t="n">
        <f aca="false">SUMPRODUCT(D4:D7,E4:E7)</f>
        <v>18.7448242364253</v>
      </c>
    </row>
    <row r="9" customFormat="false" ht="15" hidden="false" customHeight="true" outlineLevel="0" collapsed="false">
      <c r="A9" s="19"/>
      <c r="B9" s="20"/>
      <c r="C9" s="21"/>
    </row>
    <row r="10" customFormat="false" ht="15" hidden="false" customHeight="true" outlineLevel="0" collapsed="false">
      <c r="A10" s="12" t="s">
        <v>26</v>
      </c>
      <c r="B10" s="20"/>
      <c r="C10" s="22" t="n">
        <f aca="false">Assumptions!$B$5</f>
        <v>12.14</v>
      </c>
    </row>
    <row r="11" customFormat="false" ht="15" hidden="false" customHeight="true" outlineLevel="0" collapsed="false">
      <c r="A11" s="12" t="s">
        <v>27</v>
      </c>
      <c r="B11" s="23"/>
      <c r="C11" s="24" t="n">
        <f aca="false">C8/C10-1</f>
        <v>0.219048640812811</v>
      </c>
    </row>
    <row r="12" customFormat="false" ht="15" hidden="false" customHeight="false" outlineLevel="0" collapsed="false">
      <c r="A12" s="21"/>
      <c r="B12" s="21"/>
      <c r="C12" s="21"/>
    </row>
    <row r="13" customFormat="false" ht="15" hidden="false" customHeight="true" outlineLevel="0" collapsed="false">
      <c r="A13" s="25" t="s">
        <v>28</v>
      </c>
      <c r="B13" s="21"/>
      <c r="C13" s="21"/>
    </row>
    <row r="14" customFormat="false" ht="15" hidden="false" customHeight="true" outlineLevel="0" collapsed="false">
      <c r="A14" s="19"/>
      <c r="B14" s="20"/>
      <c r="C14" s="21"/>
    </row>
    <row r="15" customFormat="false" ht="15" hidden="false" customHeight="true" outlineLevel="0" collapsed="false">
      <c r="A15" s="19"/>
      <c r="B15" s="23"/>
      <c r="C15" s="21"/>
    </row>
    <row r="16" customFormat="false" ht="15" hidden="false" customHeight="true" outlineLevel="0" collapsed="false">
      <c r="A16" s="19"/>
      <c r="B16" s="26"/>
      <c r="C16" s="21"/>
    </row>
    <row r="17" customFormat="false" ht="15" hidden="false" customHeight="true" outlineLevel="0" collapsed="false">
      <c r="A17" s="19"/>
      <c r="B17" s="20"/>
      <c r="C17" s="21"/>
    </row>
    <row r="18" customFormat="false" ht="15" hidden="false" customHeight="true" outlineLevel="0" collapsed="false">
      <c r="A18" s="19"/>
      <c r="B18" s="27"/>
      <c r="C18" s="21"/>
    </row>
    <row r="19" customFormat="false" ht="15" hidden="false" customHeight="false" outlineLevel="0" collapsed="false">
      <c r="A19" s="21"/>
      <c r="B19" s="21"/>
      <c r="C19" s="21"/>
    </row>
    <row r="20" customFormat="false" ht="15" hidden="false" customHeight="true" outlineLevel="0" collapsed="false">
      <c r="A20" s="19"/>
      <c r="B20" s="21"/>
      <c r="C20" s="21"/>
    </row>
    <row r="21" customFormat="false" ht="39.75" hidden="false" customHeight="true" outlineLevel="0" collapsed="false">
      <c r="A21" s="28"/>
      <c r="B21" s="21"/>
      <c r="C21" s="21"/>
    </row>
    <row r="22" customFormat="false" ht="39.75" hidden="false" customHeight="true" outlineLevel="0" collapsed="false">
      <c r="A22" s="28"/>
      <c r="B22" s="21"/>
      <c r="C22" s="21"/>
    </row>
    <row r="23" customFormat="false" ht="39.75" hidden="false" customHeight="true" outlineLevel="0" collapsed="false">
      <c r="A23" s="28"/>
      <c r="B23" s="21"/>
      <c r="C23" s="21"/>
    </row>
    <row r="24" customFormat="false" ht="39.75" hidden="false" customHeight="true" outlineLevel="0" collapsed="false">
      <c r="A24" s="28"/>
      <c r="B24" s="21"/>
      <c r="C24" s="21"/>
    </row>
    <row r="25" customFormat="false" ht="39.75" hidden="false" customHeight="true" outlineLevel="0" collapsed="false">
      <c r="A25" s="28"/>
      <c r="B25" s="21"/>
      <c r="C25" s="21"/>
    </row>
    <row r="26" customFormat="false" ht="39.75" hidden="false" customHeight="true" outlineLevel="0" collapsed="false">
      <c r="A26" s="28"/>
      <c r="B26" s="21"/>
      <c r="C26" s="21"/>
    </row>
    <row r="27" customFormat="false" ht="39.75" hidden="false" customHeight="true" outlineLevel="0" collapsed="false">
      <c r="A27" s="28"/>
      <c r="B27" s="21"/>
      <c r="C27"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4" min="2" style="1" width="12"/>
    <col collapsed="false" customWidth="true" hidden="false" outlineLevel="0" max="5" min="5" style="1" width="30"/>
  </cols>
  <sheetData>
    <row r="1" customFormat="false" ht="24" hidden="false" customHeight="true" outlineLevel="0" collapsed="false">
      <c r="A1" s="5" t="s">
        <v>29</v>
      </c>
      <c r="B1" s="6"/>
      <c r="C1" s="6"/>
      <c r="D1" s="6"/>
      <c r="E1" s="19"/>
    </row>
    <row r="2" customFormat="false" ht="15" hidden="false" customHeight="true" outlineLevel="0" collapsed="false">
      <c r="A2" s="8" t="s">
        <v>30</v>
      </c>
      <c r="B2" s="9"/>
      <c r="C2" s="9"/>
      <c r="D2" s="9"/>
      <c r="E2" s="19"/>
    </row>
    <row r="3" customFormat="false" ht="15" hidden="false" customHeight="false" outlineLevel="0" collapsed="false">
      <c r="A3" s="11" t="s">
        <v>31</v>
      </c>
      <c r="B3" s="11" t="s">
        <v>17</v>
      </c>
      <c r="C3" s="11" t="s">
        <v>18</v>
      </c>
      <c r="D3" s="11" t="s">
        <v>19</v>
      </c>
      <c r="E3" s="21"/>
    </row>
    <row r="4" customFormat="false" ht="15" hidden="false" customHeight="true" outlineLevel="0" collapsed="false">
      <c r="A4" s="12" t="s">
        <v>21</v>
      </c>
      <c r="B4" s="13" t="n">
        <f aca="false">Summary!B4</f>
        <v>10.4986340497738</v>
      </c>
      <c r="C4" s="13" t="n">
        <f aca="false">Summary!C4</f>
        <v>14.1160859728507</v>
      </c>
      <c r="D4" s="13" t="n">
        <f aca="false">Summary!D4</f>
        <v>17.2652121040724</v>
      </c>
      <c r="E4" s="21"/>
    </row>
    <row r="5" customFormat="false" ht="15" hidden="false" customHeight="true" outlineLevel="0" collapsed="false">
      <c r="A5" s="29" t="s">
        <v>22</v>
      </c>
      <c r="B5" s="30" t="n">
        <f aca="false">Summary!B5</f>
        <v>11</v>
      </c>
      <c r="C5" s="30" t="n">
        <f aca="false">Summary!C5</f>
        <v>14.7389391489214</v>
      </c>
      <c r="D5" s="30" t="n">
        <f aca="false">Summary!D5</f>
        <v>19.5</v>
      </c>
      <c r="E5" s="31"/>
    </row>
    <row r="6" customFormat="false" ht="15" hidden="false" customHeight="true" outlineLevel="0" collapsed="false">
      <c r="A6" s="12" t="s">
        <v>23</v>
      </c>
      <c r="B6" s="15" t="n">
        <f aca="false">Summary!B6</f>
        <v>12.7</v>
      </c>
      <c r="C6" s="15" t="n">
        <f aca="false">Summary!C6</f>
        <v>15.5292307692308</v>
      </c>
      <c r="D6" s="15" t="n">
        <f aca="false">Summary!D6</f>
        <v>18.3</v>
      </c>
      <c r="E6" s="19"/>
    </row>
    <row r="7" customFormat="false" ht="15" hidden="false" customHeight="true" outlineLevel="0" collapsed="false">
      <c r="A7" s="12" t="s">
        <v>24</v>
      </c>
      <c r="B7" s="15" t="n">
        <f aca="false">Summary!B7</f>
        <v>11.03</v>
      </c>
      <c r="C7" s="15" t="n">
        <f aca="false">Summary!C7</f>
        <v>15.2714932126697</v>
      </c>
      <c r="D7" s="15" t="n">
        <f aca="false">Summary!D7</f>
        <v>20.19</v>
      </c>
      <c r="E7" s="19"/>
    </row>
    <row r="8" customFormat="false" ht="15" hidden="false" customHeight="true" outlineLevel="0" collapsed="false">
      <c r="A8" s="16" t="s">
        <v>25</v>
      </c>
      <c r="B8" s="32" t="n">
        <f aca="false">Summary!B8</f>
        <v>11.0885219174208</v>
      </c>
      <c r="C8" s="32" t="n">
        <f aca="false">Summary!C8</f>
        <v>14.7992504994675</v>
      </c>
      <c r="D8" s="32" t="n">
        <f aca="false">Summary!D8</f>
        <v>18.7448242364253</v>
      </c>
      <c r="E8" s="19"/>
    </row>
    <row r="9" customFormat="false" ht="15" hidden="false" customHeight="true" outlineLevel="0" collapsed="false">
      <c r="A9" s="12" t="s">
        <v>32</v>
      </c>
      <c r="B9" s="20"/>
      <c r="C9" s="33" t="n">
        <f aca="false">Assumptions!$B$5</f>
        <v>12.14</v>
      </c>
      <c r="D9" s="23"/>
      <c r="E9" s="19"/>
    </row>
    <row r="10" customFormat="false" ht="15" hidden="false" customHeight="true" outlineLevel="0" collapsed="false">
      <c r="A10" s="19"/>
      <c r="B10" s="20"/>
      <c r="C10" s="23"/>
      <c r="D10" s="23"/>
      <c r="E10" s="19"/>
    </row>
    <row r="11" customFormat="false" ht="15" hidden="false" customHeight="true" outlineLevel="0" collapsed="false">
      <c r="A11" s="19"/>
      <c r="B11" s="20"/>
      <c r="C11" s="23"/>
      <c r="D11" s="23"/>
      <c r="E11" s="21"/>
    </row>
    <row r="12" customFormat="false" ht="15" hidden="false" customHeight="true" outlineLevel="0" collapsed="false">
      <c r="A12" s="19"/>
      <c r="B12" s="20"/>
      <c r="C12" s="21"/>
      <c r="D12" s="21"/>
      <c r="E12" s="21"/>
    </row>
    <row r="13" customFormat="false" ht="15" hidden="false" customHeight="true" outlineLevel="0" collapsed="false">
      <c r="A13" s="19"/>
      <c r="B13" s="23"/>
      <c r="C13" s="21"/>
      <c r="D13" s="21"/>
      <c r="E13" s="19"/>
    </row>
    <row r="14" customFormat="false" ht="15" hidden="false" customHeight="false" outlineLevel="0" collapsed="false">
      <c r="A14" s="21"/>
      <c r="B14" s="21"/>
      <c r="C14" s="21"/>
      <c r="D14" s="21"/>
      <c r="E14" s="21"/>
    </row>
    <row r="15" customFormat="false" ht="15" hidden="false" customHeight="true" outlineLevel="0" collapsed="false">
      <c r="A15" s="19"/>
      <c r="B15" s="21"/>
      <c r="C15" s="21"/>
      <c r="D15" s="21"/>
      <c r="E15" s="21"/>
    </row>
    <row r="16" customFormat="false" ht="15" hidden="false" customHeight="true" outlineLevel="0" collapsed="false">
      <c r="A16" s="19"/>
      <c r="B16" s="20"/>
      <c r="C16" s="21"/>
      <c r="D16" s="21"/>
      <c r="E16" s="21"/>
    </row>
    <row r="17" customFormat="false" ht="15" hidden="false" customHeight="true" outlineLevel="0" collapsed="false">
      <c r="A17" s="19"/>
      <c r="B17" s="20"/>
      <c r="C17" s="21"/>
      <c r="D17" s="21"/>
      <c r="E17"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3"/>
    <col collapsed="false" customWidth="true" hidden="false" outlineLevel="0" max="5" min="5" style="1" width="20"/>
  </cols>
  <sheetData>
    <row r="1" customFormat="false" ht="24" hidden="false" customHeight="true" outlineLevel="0" collapsed="false">
      <c r="A1" s="5" t="s">
        <v>33</v>
      </c>
      <c r="B1" s="34"/>
      <c r="C1" s="34"/>
      <c r="D1" s="34"/>
      <c r="E1" s="34"/>
    </row>
    <row r="2" customFormat="false" ht="15" hidden="false" customHeight="true" outlineLevel="0" collapsed="false">
      <c r="A2" s="8" t="s">
        <v>34</v>
      </c>
      <c r="B2" s="35"/>
      <c r="C2" s="35"/>
      <c r="D2" s="35"/>
      <c r="E2" s="35"/>
    </row>
    <row r="4" customFormat="false" ht="15" hidden="false" customHeight="true" outlineLevel="0" collapsed="false">
      <c r="A4" s="3" t="s">
        <v>35</v>
      </c>
    </row>
    <row r="5" customFormat="false" ht="15" hidden="false" customHeight="true" outlineLevel="0" collapsed="false">
      <c r="A5" s="36" t="s">
        <v>36</v>
      </c>
      <c r="B5" s="37" t="n">
        <v>12.14</v>
      </c>
    </row>
    <row r="6" customFormat="false" ht="15" hidden="false" customHeight="true" outlineLevel="0" collapsed="false">
      <c r="A6" s="36" t="s">
        <v>37</v>
      </c>
      <c r="B6" s="38" t="n">
        <v>8.84</v>
      </c>
    </row>
    <row r="7" customFormat="false" ht="15" hidden="false" customHeight="true" outlineLevel="0" collapsed="false">
      <c r="A7" s="36" t="s">
        <v>38</v>
      </c>
      <c r="B7" s="39" t="n">
        <v>25</v>
      </c>
    </row>
    <row r="8" customFormat="false" ht="15" hidden="false" customHeight="true" outlineLevel="0" collapsed="false">
      <c r="A8" s="36" t="s">
        <v>39</v>
      </c>
      <c r="B8" s="40" t="n">
        <v>0.09</v>
      </c>
    </row>
    <row r="10" customFormat="false" ht="15" hidden="false" customHeight="true" outlineLevel="0" collapsed="false">
      <c r="A10" s="3" t="s">
        <v>40</v>
      </c>
    </row>
    <row r="11" customFormat="false" ht="23.25" hidden="false" customHeight="true" outlineLevel="0" collapsed="false">
      <c r="A11" s="41" t="s">
        <v>41</v>
      </c>
      <c r="B11" s="41" t="s">
        <v>42</v>
      </c>
      <c r="C11" s="41" t="s">
        <v>43</v>
      </c>
      <c r="D11" s="41" t="s">
        <v>44</v>
      </c>
      <c r="E11" s="41" t="s">
        <v>45</v>
      </c>
    </row>
    <row r="12" customFormat="false" ht="15" hidden="false" customHeight="true" outlineLevel="0" collapsed="false">
      <c r="A12" s="36" t="s">
        <v>46</v>
      </c>
      <c r="B12" s="40" t="n">
        <v>0.854</v>
      </c>
      <c r="C12" s="39" t="n">
        <v>55.3</v>
      </c>
      <c r="D12" s="42" t="n">
        <f aca="false">B12*C12</f>
        <v>47.2262</v>
      </c>
      <c r="E12" s="43" t="s">
        <v>47</v>
      </c>
    </row>
    <row r="13" customFormat="false" ht="15" hidden="false" customHeight="true" outlineLevel="0" collapsed="false">
      <c r="A13" s="36" t="s">
        <v>48</v>
      </c>
      <c r="B13" s="40" t="n">
        <v>0.857</v>
      </c>
      <c r="C13" s="39" t="n">
        <v>4.15</v>
      </c>
      <c r="D13" s="42" t="n">
        <f aca="false">B13*C13</f>
        <v>3.55655</v>
      </c>
      <c r="E13" s="43" t="s">
        <v>49</v>
      </c>
    </row>
    <row r="14" customFormat="false" ht="15" hidden="false" customHeight="true" outlineLevel="0" collapsed="false">
      <c r="A14" s="36" t="s">
        <v>50</v>
      </c>
      <c r="D14" s="44" t="n">
        <f aca="false">SUM(D12:D13)</f>
        <v>50.78275</v>
      </c>
    </row>
    <row r="16" customFormat="false" ht="15" hidden="false" customHeight="true" outlineLevel="0" collapsed="false">
      <c r="A16" s="3" t="s">
        <v>51</v>
      </c>
    </row>
    <row r="17" customFormat="false" ht="15" hidden="false" customHeight="true" outlineLevel="0" collapsed="false">
      <c r="A17" s="41" t="s">
        <v>52</v>
      </c>
      <c r="B17" s="41" t="s">
        <v>18</v>
      </c>
      <c r="C17" s="41" t="s">
        <v>19</v>
      </c>
      <c r="D17" s="41" t="s">
        <v>17</v>
      </c>
      <c r="E17" s="41" t="s">
        <v>45</v>
      </c>
    </row>
    <row r="18" customFormat="false" ht="15" hidden="false" customHeight="true" outlineLevel="0" collapsed="false">
      <c r="A18" s="36" t="s">
        <v>53</v>
      </c>
      <c r="B18" s="39" t="n">
        <v>5.8</v>
      </c>
    </row>
    <row r="19" customFormat="false" ht="15" hidden="false" customHeight="true" outlineLevel="0" collapsed="false">
      <c r="A19" s="36" t="s">
        <v>54</v>
      </c>
      <c r="B19" s="45" t="n">
        <v>14</v>
      </c>
      <c r="C19" s="45" t="n">
        <v>16</v>
      </c>
      <c r="D19" s="45" t="n">
        <v>11</v>
      </c>
      <c r="E19" s="43" t="s">
        <v>55</v>
      </c>
    </row>
    <row r="20" customFormat="false" ht="15" hidden="false" customHeight="true" outlineLevel="0" collapsed="false">
      <c r="A20" s="36" t="s">
        <v>56</v>
      </c>
      <c r="B20" s="39" t="n">
        <v>6</v>
      </c>
      <c r="C20" s="39" t="n">
        <v>8</v>
      </c>
      <c r="D20" s="39" t="n">
        <v>4</v>
      </c>
    </row>
    <row r="21" customFormat="false" ht="15" hidden="false" customHeight="true" outlineLevel="0" collapsed="false">
      <c r="A21" s="36" t="s">
        <v>57</v>
      </c>
      <c r="B21" s="39" t="n">
        <v>18</v>
      </c>
      <c r="C21" s="39" t="n">
        <v>18</v>
      </c>
      <c r="D21" s="39" t="n">
        <v>14</v>
      </c>
    </row>
    <row r="22" customFormat="false" ht="15" hidden="false" customHeight="true" outlineLevel="0" collapsed="false">
      <c r="A22" s="36" t="s">
        <v>58</v>
      </c>
      <c r="B22" s="40" t="n">
        <v>0.2</v>
      </c>
      <c r="C22" s="40" t="n">
        <v>0.1</v>
      </c>
      <c r="D22" s="40" t="n">
        <v>0.3</v>
      </c>
    </row>
    <row r="24" customFormat="false" ht="15" hidden="false" customHeight="true" outlineLevel="0" collapsed="false">
      <c r="A24" s="3" t="s">
        <v>59</v>
      </c>
    </row>
    <row r="25" customFormat="false" ht="15" hidden="false" customHeight="true" outlineLevel="0" collapsed="false">
      <c r="A25" s="36" t="s">
        <v>60</v>
      </c>
      <c r="B25" s="39" t="n">
        <v>25.6</v>
      </c>
    </row>
    <row r="26" customFormat="false" ht="15" hidden="false" customHeight="true" outlineLevel="0" collapsed="false">
      <c r="A26" s="36" t="s">
        <v>61</v>
      </c>
      <c r="B26" s="45" t="n">
        <v>5</v>
      </c>
    </row>
    <row r="27" customFormat="false" ht="15" hidden="false" customHeight="true" outlineLevel="0" collapsed="false">
      <c r="A27" s="36" t="s">
        <v>62</v>
      </c>
      <c r="B27" s="37" t="n">
        <v>1.85</v>
      </c>
    </row>
    <row r="28" customFormat="false" ht="15" hidden="false" customHeight="true" outlineLevel="0" collapsed="false">
      <c r="A28" s="36" t="s">
        <v>63</v>
      </c>
      <c r="B28" s="45" t="n">
        <v>8</v>
      </c>
    </row>
    <row r="29" customFormat="false" ht="15" hidden="false" customHeight="true" outlineLevel="0" collapsed="false">
      <c r="A29" s="36" t="s">
        <v>64</v>
      </c>
      <c r="B29" s="37" t="n">
        <v>9.05</v>
      </c>
    </row>
    <row r="30" customFormat="false" ht="15" hidden="false" customHeight="true" outlineLevel="0" collapsed="false">
      <c r="A30" s="36" t="s">
        <v>65</v>
      </c>
      <c r="B30" s="45" t="n">
        <v>1.6</v>
      </c>
    </row>
    <row r="31" customFormat="false" ht="15" hidden="false" customHeight="true" outlineLevel="0" collapsed="false">
      <c r="A31" s="36" t="s">
        <v>66</v>
      </c>
      <c r="B31" s="39" t="n">
        <v>15</v>
      </c>
    </row>
    <row r="32" customFormat="false" ht="15" hidden="false" customHeight="true" outlineLevel="0" collapsed="false">
      <c r="A32" s="36" t="s">
        <v>67</v>
      </c>
      <c r="B32" s="45" t="n">
        <v>9</v>
      </c>
    </row>
    <row r="34" customFormat="false" ht="15" hidden="false" customHeight="true" outlineLevel="0" collapsed="false">
      <c r="A34" s="46" t="s">
        <v>68</v>
      </c>
    </row>
    <row r="35" customFormat="false" ht="15" hidden="false" customHeight="true" outlineLevel="0" collapsed="false">
      <c r="A35" s="12" t="s">
        <v>69</v>
      </c>
      <c r="B35" s="47" t="n">
        <v>0.35</v>
      </c>
    </row>
    <row r="36" customFormat="false" ht="15" hidden="false" customHeight="true" outlineLevel="0" collapsed="false">
      <c r="A36" s="12" t="s">
        <v>70</v>
      </c>
      <c r="B36" s="47" t="n">
        <v>0.2</v>
      </c>
    </row>
    <row r="37" customFormat="false" ht="15" hidden="false" customHeight="true" outlineLevel="0" collapsed="false">
      <c r="A37" s="12" t="s">
        <v>23</v>
      </c>
      <c r="B37" s="47" t="n">
        <v>0.15</v>
      </c>
    </row>
    <row r="38" customFormat="false" ht="15" hidden="false" customHeight="true" outlineLevel="0" collapsed="false">
      <c r="A38" s="12" t="s">
        <v>24</v>
      </c>
      <c r="B38" s="47" t="n">
        <v>0.3</v>
      </c>
    </row>
    <row r="39" customFormat="false" ht="15" hidden="false" customHeight="true" outlineLevel="0" collapsed="false">
      <c r="A39" s="36"/>
      <c r="B39" s="40"/>
    </row>
    <row r="41" customFormat="false" ht="15" hidden="false" customHeight="true" outlineLevel="0" collapsed="false">
      <c r="A41" s="3" t="s">
        <v>71</v>
      </c>
    </row>
    <row r="42" customFormat="false" ht="15" hidden="false" customHeight="true" outlineLevel="0" collapsed="false">
      <c r="A42" s="36" t="s">
        <v>72</v>
      </c>
      <c r="B42" s="40" t="n">
        <v>0.12</v>
      </c>
    </row>
    <row r="43" customFormat="false" ht="15" hidden="false" customHeight="true" outlineLevel="0" collapsed="false">
      <c r="A43" s="36" t="s">
        <v>73</v>
      </c>
      <c r="B43" s="40" t="n">
        <v>0.025</v>
      </c>
    </row>
    <row r="44" customFormat="false" ht="15" hidden="false" customHeight="true" outlineLevel="0" collapsed="false">
      <c r="A44" s="36" t="s">
        <v>74</v>
      </c>
      <c r="B44" s="40" t="n">
        <v>0.09</v>
      </c>
    </row>
    <row r="46" customFormat="false" ht="15" hidden="false" customHeight="true" outlineLevel="0" collapsed="false">
      <c r="A46" s="3" t="s">
        <v>75</v>
      </c>
    </row>
    <row r="47" customFormat="false" ht="15" hidden="false" customHeight="true" outlineLevel="0" collapsed="false">
      <c r="A47" s="41" t="s">
        <v>76</v>
      </c>
      <c r="B47" s="41" t="s">
        <v>77</v>
      </c>
      <c r="C47" s="41"/>
      <c r="D47" s="41"/>
    </row>
    <row r="48" customFormat="false" ht="15" hidden="false" customHeight="true" outlineLevel="0" collapsed="false">
      <c r="A48" s="36" t="s">
        <v>78</v>
      </c>
      <c r="B48" s="39" t="n">
        <v>14</v>
      </c>
    </row>
    <row r="49" customFormat="false" ht="15" hidden="false" customHeight="true" outlineLevel="0" collapsed="false">
      <c r="A49" s="36" t="s">
        <v>79</v>
      </c>
      <c r="B49" s="39" t="n">
        <v>13</v>
      </c>
    </row>
    <row r="50" customFormat="false" ht="15" hidden="false" customHeight="true" outlineLevel="0" collapsed="false">
      <c r="A50" s="36" t="s">
        <v>80</v>
      </c>
      <c r="B50" s="39" t="n">
        <v>12</v>
      </c>
    </row>
    <row r="51" customFormat="false" ht="15" hidden="false" customHeight="true" outlineLevel="0" collapsed="false">
      <c r="A51" s="36" t="s">
        <v>81</v>
      </c>
      <c r="B51" s="39" t="n">
        <v>11</v>
      </c>
    </row>
    <row r="52" customFormat="false" ht="15" hidden="false" customHeight="true" outlineLevel="0" collapsed="false">
      <c r="A52" s="36" t="s">
        <v>82</v>
      </c>
      <c r="B52" s="39" t="n">
        <v>10</v>
      </c>
    </row>
    <row r="54" customFormat="false" ht="15" hidden="false" customHeight="true" outlineLevel="0" collapsed="false">
      <c r="A54" s="3" t="s">
        <v>83</v>
      </c>
    </row>
    <row r="55" customFormat="false" ht="23.25" hidden="false" customHeight="true" outlineLevel="0" collapsed="false">
      <c r="A55" s="41" t="s">
        <v>76</v>
      </c>
      <c r="B55" s="41" t="s">
        <v>84</v>
      </c>
      <c r="C55" s="41" t="s">
        <v>85</v>
      </c>
      <c r="D55" s="41" t="s">
        <v>86</v>
      </c>
    </row>
    <row r="56" customFormat="false" ht="15" hidden="false" customHeight="true" outlineLevel="0" collapsed="false">
      <c r="A56" s="36" t="s">
        <v>78</v>
      </c>
      <c r="B56" s="39" t="n">
        <v>47</v>
      </c>
      <c r="C56" s="39" t="n">
        <v>22.5</v>
      </c>
      <c r="D56" s="39" t="n">
        <v>15.8</v>
      </c>
    </row>
    <row r="57" customFormat="false" ht="15" hidden="false" customHeight="true" outlineLevel="0" collapsed="false">
      <c r="A57" s="36" t="s">
        <v>79</v>
      </c>
      <c r="B57" s="39" t="n">
        <v>49</v>
      </c>
      <c r="C57" s="39" t="n">
        <v>23.5</v>
      </c>
      <c r="D57" s="39" t="n">
        <v>16.5</v>
      </c>
    </row>
    <row r="58" customFormat="false" ht="15" hidden="false" customHeight="true" outlineLevel="0" collapsed="false">
      <c r="A58" s="36" t="s">
        <v>80</v>
      </c>
      <c r="B58" s="39" t="n">
        <v>51</v>
      </c>
      <c r="C58" s="39" t="n">
        <v>24.5</v>
      </c>
      <c r="D58" s="39" t="n">
        <v>17.3</v>
      </c>
    </row>
    <row r="59" customFormat="false" ht="15" hidden="false" customHeight="true" outlineLevel="0" collapsed="false">
      <c r="A59" s="36" t="s">
        <v>81</v>
      </c>
      <c r="B59" s="39" t="n">
        <v>53</v>
      </c>
      <c r="C59" s="39" t="n">
        <v>25.5</v>
      </c>
      <c r="D59" s="39" t="n">
        <v>18</v>
      </c>
    </row>
    <row r="60" customFormat="false" ht="15" hidden="false" customHeight="true" outlineLevel="0" collapsed="false">
      <c r="A60" s="36" t="s">
        <v>82</v>
      </c>
      <c r="B60" s="39" t="n">
        <v>55</v>
      </c>
      <c r="C60" s="39" t="n">
        <v>26.5</v>
      </c>
      <c r="D60" s="39" t="n">
        <v>18.8</v>
      </c>
    </row>
    <row r="66" customFormat="false" ht="15" hidden="false" customHeight="false" outlineLevel="0" collapsed="false">
      <c r="A66" s="48" t="s">
        <v>87</v>
      </c>
    </row>
    <row r="67" customFormat="false" ht="15" hidden="false" customHeight="false" outlineLevel="0" collapsed="false">
      <c r="A67" s="11" t="s">
        <v>31</v>
      </c>
      <c r="B67" s="11" t="s">
        <v>17</v>
      </c>
      <c r="C67" s="11" t="s">
        <v>19</v>
      </c>
      <c r="D67" s="11"/>
      <c r="E67" s="11"/>
    </row>
    <row r="68" customFormat="false" ht="15" hidden="false" customHeight="false" outlineLevel="0" collapsed="false">
      <c r="A68" s="49" t="s">
        <v>70</v>
      </c>
      <c r="B68" s="50" t="n">
        <v>11</v>
      </c>
      <c r="C68" s="50" t="n">
        <v>19.5</v>
      </c>
    </row>
    <row r="69" customFormat="false" ht="15" hidden="false" customHeight="false" outlineLevel="0" collapsed="false">
      <c r="A69" s="49" t="s">
        <v>23</v>
      </c>
      <c r="B69" s="50" t="n">
        <v>12.7</v>
      </c>
      <c r="C69" s="50" t="n">
        <v>18.3</v>
      </c>
    </row>
    <row r="70" customFormat="false" ht="15" hidden="false" customHeight="false" outlineLevel="0" collapsed="false">
      <c r="A70" s="49" t="s">
        <v>24</v>
      </c>
      <c r="B70" s="50" t="n">
        <v>11.03</v>
      </c>
      <c r="C70" s="50" t="n">
        <v>20.19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3"/>
    <col collapsed="false" customWidth="true" hidden="false" outlineLevel="0" max="5" min="5" style="1" width="26"/>
  </cols>
  <sheetData>
    <row r="1" customFormat="false" ht="24" hidden="false" customHeight="true" outlineLevel="0" collapsed="false">
      <c r="A1" s="5" t="s">
        <v>88</v>
      </c>
      <c r="B1" s="34"/>
      <c r="C1" s="34"/>
      <c r="D1" s="34"/>
      <c r="E1" s="34"/>
    </row>
    <row r="2" customFormat="false" ht="15" hidden="false" customHeight="true" outlineLevel="0" collapsed="false">
      <c r="A2" s="8" t="s">
        <v>89</v>
      </c>
      <c r="B2" s="35"/>
      <c r="C2" s="35"/>
      <c r="D2" s="35"/>
      <c r="E2" s="35"/>
    </row>
    <row r="4" customFormat="false" ht="15" hidden="false" customHeight="true" outlineLevel="0" collapsed="false">
      <c r="A4" s="41" t="s">
        <v>90</v>
      </c>
      <c r="B4" s="41" t="s">
        <v>91</v>
      </c>
      <c r="C4" s="41" t="s">
        <v>92</v>
      </c>
      <c r="D4" s="41" t="s">
        <v>93</v>
      </c>
      <c r="E4" s="41" t="s">
        <v>45</v>
      </c>
    </row>
    <row r="5" customFormat="false" ht="15" hidden="false" customHeight="true" outlineLevel="0" collapsed="false">
      <c r="A5" s="36" t="s">
        <v>94</v>
      </c>
      <c r="B5" s="51" t="n">
        <f aca="false">Assumptions!D12</f>
        <v>47.2262</v>
      </c>
      <c r="C5" s="51" t="n">
        <f aca="false">Assumptions!D12</f>
        <v>47.2262</v>
      </c>
      <c r="D5" s="51" t="n">
        <f aca="false">Assumptions!D12</f>
        <v>47.2262</v>
      </c>
      <c r="E5" s="43" t="s">
        <v>47</v>
      </c>
    </row>
    <row r="6" customFormat="false" ht="15" hidden="false" customHeight="true" outlineLevel="0" collapsed="false">
      <c r="A6" s="36" t="s">
        <v>95</v>
      </c>
      <c r="B6" s="51" t="n">
        <f aca="false">Assumptions!D13</f>
        <v>3.55655</v>
      </c>
      <c r="C6" s="51" t="n">
        <f aca="false">Assumptions!D13</f>
        <v>3.55655</v>
      </c>
      <c r="D6" s="51" t="n">
        <f aca="false">Assumptions!D13</f>
        <v>3.55655</v>
      </c>
      <c r="E6" s="43" t="s">
        <v>49</v>
      </c>
    </row>
    <row r="7" customFormat="false" ht="15" hidden="false" customHeight="true" outlineLevel="0" collapsed="false">
      <c r="A7" s="36" t="s">
        <v>96</v>
      </c>
      <c r="B7" s="51" t="n">
        <f aca="false">Assumptions!B18*Assumptions!B19</f>
        <v>81.2</v>
      </c>
      <c r="C7" s="51" t="n">
        <f aca="false">Assumptions!B18*Assumptions!C19</f>
        <v>92.8</v>
      </c>
      <c r="D7" s="51" t="n">
        <f aca="false">Assumptions!B18*Assumptions!D19</f>
        <v>63.8</v>
      </c>
      <c r="E7" s="43" t="s">
        <v>97</v>
      </c>
    </row>
    <row r="8" customFormat="false" ht="15" hidden="false" customHeight="true" outlineLevel="0" collapsed="false">
      <c r="A8" s="36" t="s">
        <v>98</v>
      </c>
      <c r="B8" s="51" t="n">
        <f aca="false">Assumptions!B20</f>
        <v>6</v>
      </c>
      <c r="C8" s="51" t="n">
        <f aca="false">Assumptions!C20</f>
        <v>8</v>
      </c>
      <c r="D8" s="51" t="n">
        <f aca="false">Assumptions!D20</f>
        <v>4</v>
      </c>
      <c r="E8" s="43" t="s">
        <v>99</v>
      </c>
    </row>
    <row r="9" customFormat="false" ht="15" hidden="false" customHeight="true" outlineLevel="0" collapsed="false">
      <c r="A9" s="36" t="s">
        <v>100</v>
      </c>
      <c r="B9" s="51" t="n">
        <f aca="false">Assumptions!B21</f>
        <v>18</v>
      </c>
      <c r="C9" s="51" t="n">
        <f aca="false">Assumptions!C21</f>
        <v>18</v>
      </c>
      <c r="D9" s="51" t="n">
        <f aca="false">Assumptions!D21</f>
        <v>14</v>
      </c>
      <c r="E9" s="43" t="s">
        <v>101</v>
      </c>
    </row>
    <row r="10" customFormat="false" ht="15" hidden="false" customHeight="true" outlineLevel="0" collapsed="false">
      <c r="A10" s="52" t="s">
        <v>102</v>
      </c>
      <c r="B10" s="44" t="n">
        <f aca="false">SUM(B5:B9)</f>
        <v>155.98275</v>
      </c>
      <c r="C10" s="44" t="n">
        <f aca="false">SUM(C5:C9)</f>
        <v>169.58275</v>
      </c>
      <c r="D10" s="44" t="n">
        <f aca="false">SUM(D5:D9)</f>
        <v>132.58275</v>
      </c>
    </row>
    <row r="11" customFormat="false" ht="15" hidden="false" customHeight="true" outlineLevel="0" collapsed="false">
      <c r="A11" s="52" t="s">
        <v>103</v>
      </c>
      <c r="B11" s="53" t="n">
        <f aca="false">B10/Assumptions!$B$6</f>
        <v>17.6451074660634</v>
      </c>
      <c r="C11" s="53" t="n">
        <f aca="false">C10/Assumptions!$B$6</f>
        <v>19.1835690045249</v>
      </c>
      <c r="D11" s="53" t="n">
        <f aca="false">D10/Assumptions!$B$6</f>
        <v>14.9980486425339</v>
      </c>
    </row>
    <row r="12" customFormat="false" ht="15" hidden="false" customHeight="true" outlineLevel="0" collapsed="false">
      <c r="A12" s="36" t="s">
        <v>104</v>
      </c>
      <c r="B12" s="54" t="n">
        <f aca="false">Assumptions!B22</f>
        <v>0.2</v>
      </c>
      <c r="C12" s="54" t="n">
        <f aca="false">Assumptions!C22</f>
        <v>0.1</v>
      </c>
      <c r="D12" s="54" t="n">
        <f aca="false">Assumptions!D22</f>
        <v>0.3</v>
      </c>
    </row>
    <row r="13" customFormat="false" ht="15" hidden="false" customHeight="true" outlineLevel="0" collapsed="false">
      <c r="A13" s="52" t="s">
        <v>105</v>
      </c>
      <c r="B13" s="53" t="n">
        <f aca="false">B11*(1-B12)</f>
        <v>14.1160859728507</v>
      </c>
      <c r="C13" s="53" t="n">
        <f aca="false">C11*(1-C12)</f>
        <v>17.2652121040724</v>
      </c>
      <c r="D13" s="53" t="n">
        <f aca="false">D11*(1-D12)</f>
        <v>10.4986340497738</v>
      </c>
    </row>
    <row r="14" customFormat="false" ht="15" hidden="false" customHeight="true" outlineLevel="0" collapsed="false">
      <c r="A14" s="36" t="s">
        <v>106</v>
      </c>
      <c r="B14" s="54" t="n">
        <f aca="false">B13/Assumptions!$B$5-1</f>
        <v>0.16277479183284</v>
      </c>
      <c r="C14" s="54" t="n">
        <f aca="false">C13/Assumptions!$B$5-1</f>
        <v>0.422175626365107</v>
      </c>
      <c r="D14" s="54" t="n">
        <f aca="false">D13/Assumptions!$B$5-1</f>
        <v>-0.13520312604829</v>
      </c>
    </row>
    <row r="16" customFormat="false" ht="15" hidden="false" customHeight="true" outlineLevel="0" collapsed="false">
      <c r="A16" s="55" t="s">
        <v>107</v>
      </c>
      <c r="B16" s="55"/>
      <c r="C16" s="55"/>
      <c r="D16" s="55"/>
      <c r="E16" s="55"/>
    </row>
    <row r="17" customFormat="false" ht="15" hidden="false" customHeight="true" outlineLevel="0" collapsed="false">
      <c r="A17" s="55"/>
      <c r="B17" s="55"/>
      <c r="C17" s="55"/>
      <c r="D17" s="55"/>
      <c r="E17" s="55"/>
    </row>
    <row r="18" customFormat="false" ht="15" hidden="false" customHeight="true" outlineLevel="0" collapsed="false">
      <c r="A18" s="55"/>
      <c r="B18" s="55"/>
      <c r="C18" s="55"/>
      <c r="D18" s="55"/>
      <c r="E18" s="55"/>
    </row>
    <row r="19" customFormat="false" ht="15" hidden="false" customHeight="true" outlineLevel="0" collapsed="false">
      <c r="A19" s="55"/>
      <c r="B19" s="55"/>
      <c r="C19" s="55"/>
      <c r="D19" s="55"/>
      <c r="E19" s="55"/>
    </row>
  </sheetData>
  <mergeCells count="1">
    <mergeCell ref="A16: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34"/>
  </cols>
  <sheetData>
    <row r="1" customFormat="false" ht="24" hidden="false" customHeight="true" outlineLevel="0" collapsed="false">
      <c r="A1" s="5" t="s">
        <v>108</v>
      </c>
      <c r="B1" s="34"/>
      <c r="C1" s="34"/>
      <c r="D1" s="34"/>
    </row>
    <row r="2" customFormat="false" ht="15" hidden="false" customHeight="true" outlineLevel="0" collapsed="false">
      <c r="A2" s="8" t="s">
        <v>109</v>
      </c>
      <c r="B2" s="35"/>
      <c r="C2" s="35"/>
      <c r="D2" s="35"/>
    </row>
    <row r="4" customFormat="false" ht="30" hidden="false" customHeight="true" outlineLevel="0" collapsed="false">
      <c r="A4" s="56" t="s">
        <v>110</v>
      </c>
      <c r="B4" s="56" t="s">
        <v>111</v>
      </c>
      <c r="C4" s="56" t="s">
        <v>112</v>
      </c>
      <c r="D4" s="56" t="s">
        <v>113</v>
      </c>
    </row>
    <row r="5" customFormat="false" ht="30" hidden="false" customHeight="true" outlineLevel="0" collapsed="false">
      <c r="A5" s="57" t="s">
        <v>114</v>
      </c>
      <c r="B5" s="4" t="s">
        <v>115</v>
      </c>
      <c r="C5" s="4" t="s">
        <v>116</v>
      </c>
      <c r="D5" s="4" t="s">
        <v>117</v>
      </c>
    </row>
    <row r="6" customFormat="false" ht="30" hidden="false" customHeight="true" outlineLevel="0" collapsed="false">
      <c r="A6" s="57" t="s">
        <v>118</v>
      </c>
      <c r="B6" s="4" t="s">
        <v>119</v>
      </c>
      <c r="C6" s="4" t="s">
        <v>97</v>
      </c>
      <c r="D6" s="4" t="s">
        <v>120</v>
      </c>
    </row>
    <row r="7" customFormat="false" ht="30" hidden="false" customHeight="true" outlineLevel="0" collapsed="false">
      <c r="A7" s="57" t="s">
        <v>121</v>
      </c>
      <c r="B7" s="4" t="s">
        <v>122</v>
      </c>
      <c r="C7" s="4" t="s">
        <v>123</v>
      </c>
      <c r="D7" s="4" t="s">
        <v>124</v>
      </c>
    </row>
    <row r="8" customFormat="false" ht="30" hidden="false" customHeight="true" outlineLevel="0" collapsed="false">
      <c r="A8" s="57" t="s">
        <v>125</v>
      </c>
      <c r="B8" s="4" t="s">
        <v>126</v>
      </c>
      <c r="C8" s="4" t="s">
        <v>127</v>
      </c>
      <c r="D8" s="4" t="s">
        <v>128</v>
      </c>
    </row>
    <row r="9" customFormat="false" ht="30" hidden="false" customHeight="true" outlineLevel="0" collapsed="false">
      <c r="A9" s="57" t="s">
        <v>129</v>
      </c>
      <c r="B9" s="4" t="s">
        <v>130</v>
      </c>
      <c r="C9" s="4" t="s">
        <v>131</v>
      </c>
      <c r="D9" s="4" t="s">
        <v>132</v>
      </c>
    </row>
    <row r="10" customFormat="false" ht="30" hidden="false" customHeight="true" outlineLevel="0" collapsed="false">
      <c r="A10" s="57" t="s">
        <v>133</v>
      </c>
      <c r="B10" s="4" t="s">
        <v>134</v>
      </c>
      <c r="C10" s="4" t="s">
        <v>135</v>
      </c>
      <c r="D10" s="4" t="s">
        <v>136</v>
      </c>
    </row>
    <row r="12" customFormat="false" ht="13.5" hidden="false" customHeight="true" outlineLevel="0" collapsed="false">
      <c r="A12" s="55" t="s">
        <v>137</v>
      </c>
      <c r="B12" s="55"/>
      <c r="C12" s="55"/>
      <c r="D12" s="55"/>
    </row>
    <row r="13" customFormat="false" ht="13.5" hidden="false" customHeight="true" outlineLevel="0" collapsed="false"/>
    <row r="14" customFormat="false" ht="13.5" hidden="false" customHeight="true" outlineLevel="0" collapsed="false"/>
    <row r="15" customFormat="false" ht="13.5" hidden="false" customHeight="true" outlineLevel="0" collapsed="false"/>
  </sheetData>
  <mergeCells count="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3" min="3" style="1" width="12"/>
    <col collapsed="false" customWidth="true" hidden="false" outlineLevel="0" max="4" min="4" style="1" width="10"/>
    <col collapsed="false" customWidth="true" hidden="false" outlineLevel="0" max="5" min="5" style="1" width="26"/>
  </cols>
  <sheetData>
    <row r="1" customFormat="false" ht="24" hidden="false" customHeight="true" outlineLevel="0" collapsed="false">
      <c r="A1" s="5" t="s">
        <v>138</v>
      </c>
      <c r="B1" s="34"/>
      <c r="C1" s="34"/>
      <c r="D1" s="34"/>
      <c r="E1" s="34"/>
    </row>
    <row r="2" customFormat="false" ht="15" hidden="false" customHeight="true" outlineLevel="0" collapsed="false">
      <c r="A2" s="8" t="s">
        <v>139</v>
      </c>
      <c r="B2" s="35"/>
      <c r="C2" s="35"/>
      <c r="D2" s="35"/>
      <c r="E2" s="35"/>
    </row>
    <row r="4" customFormat="false" ht="15" hidden="false" customHeight="true" outlineLevel="0" collapsed="false">
      <c r="A4" s="3" t="s">
        <v>140</v>
      </c>
    </row>
    <row r="5" customFormat="false" ht="15" hidden="false" customHeight="true" outlineLevel="0" collapsed="false">
      <c r="A5" s="36" t="s">
        <v>141</v>
      </c>
      <c r="B5" s="42" t="n">
        <f aca="false">Assumptions!B25*Assumptions!B26</f>
        <v>128</v>
      </c>
      <c r="E5" s="58" t="s">
        <v>142</v>
      </c>
    </row>
    <row r="6" customFormat="false" ht="15" hidden="false" customHeight="true" outlineLevel="0" collapsed="false">
      <c r="A6" s="36" t="s">
        <v>143</v>
      </c>
      <c r="B6" s="59" t="n">
        <f aca="false">(B5+Assumptions!B7)/Assumptions!$B$6</f>
        <v>17.3076923076923</v>
      </c>
    </row>
    <row r="7" customFormat="false" ht="15" hidden="false" customHeight="true" outlineLevel="0" collapsed="false">
      <c r="A7" s="36" t="s">
        <v>144</v>
      </c>
      <c r="B7" s="59" t="n">
        <f aca="false">Assumptions!B27*Assumptions!B28</f>
        <v>14.8</v>
      </c>
      <c r="E7" s="58" t="s">
        <v>145</v>
      </c>
    </row>
    <row r="8" customFormat="false" ht="15" hidden="false" customHeight="true" outlineLevel="0" collapsed="false">
      <c r="A8" s="36" t="s">
        <v>146</v>
      </c>
      <c r="B8" s="59" t="n">
        <f aca="false">Assumptions!B29*Assumptions!B30</f>
        <v>14.48</v>
      </c>
      <c r="E8" s="58" t="s">
        <v>147</v>
      </c>
    </row>
    <row r="9" customFormat="false" ht="15" hidden="false" customHeight="true" outlineLevel="0" collapsed="false">
      <c r="A9" s="52" t="s">
        <v>148</v>
      </c>
      <c r="B9" s="53" t="n">
        <f aca="false">AVERAGE(B6,B7,B8)</f>
        <v>15.5292307692308</v>
      </c>
    </row>
    <row r="11" customFormat="false" ht="15" hidden="false" customHeight="true" outlineLevel="0" collapsed="false">
      <c r="A11" s="52" t="s">
        <v>149</v>
      </c>
    </row>
    <row r="12" customFormat="false" ht="15" hidden="false" customHeight="true" outlineLevel="0" collapsed="false">
      <c r="B12" s="53" t="n">
        <f aca="false">B9</f>
        <v>15.5292307692308</v>
      </c>
    </row>
    <row r="14" customFormat="false" ht="15" hidden="false" customHeight="true" outlineLevel="0" collapsed="false">
      <c r="A14" s="3" t="s">
        <v>150</v>
      </c>
    </row>
    <row r="15" customFormat="false" ht="15" hidden="false" customHeight="true" outlineLevel="0" collapsed="false">
      <c r="A15" s="36" t="s">
        <v>151</v>
      </c>
      <c r="B15" s="42" t="n">
        <f aca="false">Assumptions!B31</f>
        <v>15</v>
      </c>
    </row>
    <row r="16" customFormat="false" ht="15" hidden="false" customHeight="true" outlineLevel="0" collapsed="false">
      <c r="A16" s="36" t="s">
        <v>152</v>
      </c>
      <c r="B16" s="60" t="n">
        <f aca="false">Assumptions!B32</f>
        <v>9</v>
      </c>
    </row>
    <row r="17" customFormat="false" ht="15" hidden="false" customHeight="true" outlineLevel="0" collapsed="false">
      <c r="A17" s="52" t="s">
        <v>153</v>
      </c>
      <c r="B17" s="53" t="n">
        <f aca="false">B15*B16/Assumptions!$B$6</f>
        <v>15.2714932126697</v>
      </c>
    </row>
    <row r="18" customFormat="false" ht="15" hidden="false" customHeight="true" outlineLevel="0" collapsed="false">
      <c r="A18" s="36" t="s">
        <v>154</v>
      </c>
      <c r="B18" s="60" t="n">
        <f aca="false">Assumptions!B5/(B15/Assumptions!B6)</f>
        <v>7.15450666666667</v>
      </c>
      <c r="E18" s="58" t="s">
        <v>155</v>
      </c>
    </row>
    <row r="20" customFormat="false" ht="15" hidden="false" customHeight="true" outlineLevel="0" collapsed="false">
      <c r="A20" s="55" t="s">
        <v>156</v>
      </c>
      <c r="B20" s="55"/>
      <c r="C20" s="55"/>
      <c r="D20" s="55"/>
      <c r="E20" s="55"/>
    </row>
    <row r="21" customFormat="false" ht="15" hidden="false" customHeight="true" outlineLevel="0" collapsed="false">
      <c r="A21" s="55"/>
      <c r="B21" s="55"/>
      <c r="C21" s="55"/>
      <c r="D21" s="55"/>
      <c r="E21" s="55"/>
    </row>
    <row r="22" customFormat="false" ht="15" hidden="false" customHeight="true" outlineLevel="0" collapsed="false">
      <c r="A22" s="55"/>
      <c r="B22" s="55"/>
      <c r="C22" s="55"/>
      <c r="D22" s="55"/>
      <c r="E22" s="55"/>
    </row>
    <row r="23" customFormat="false" ht="15" hidden="false" customHeight="true" outlineLevel="0" collapsed="false">
      <c r="A23" s="55"/>
      <c r="B23" s="55"/>
      <c r="C23" s="55"/>
      <c r="D23" s="55"/>
      <c r="E23" s="55"/>
    </row>
  </sheetData>
  <mergeCells count="1">
    <mergeCell ref="A20: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1"/>
    <col collapsed="false" customWidth="true" hidden="false" outlineLevel="0" max="7" min="7" style="1" width="10"/>
  </cols>
  <sheetData>
    <row r="1" customFormat="false" ht="24" hidden="false" customHeight="true" outlineLevel="0" collapsed="false">
      <c r="A1" s="5" t="s">
        <v>157</v>
      </c>
      <c r="B1" s="34"/>
      <c r="C1" s="34"/>
      <c r="D1" s="34"/>
      <c r="E1" s="34"/>
      <c r="F1" s="34"/>
      <c r="G1" s="34"/>
    </row>
    <row r="2" customFormat="false" ht="15" hidden="false" customHeight="true" outlineLevel="0" collapsed="false">
      <c r="A2" s="8" t="s">
        <v>158</v>
      </c>
      <c r="B2" s="35"/>
      <c r="C2" s="35"/>
      <c r="D2" s="35"/>
      <c r="E2" s="35"/>
      <c r="F2" s="35"/>
      <c r="G2" s="35"/>
    </row>
    <row r="4" customFormat="false" ht="15" hidden="false" customHeight="true" outlineLevel="0" collapsed="false">
      <c r="A4" s="41" t="s">
        <v>159</v>
      </c>
      <c r="B4" s="41" t="s">
        <v>78</v>
      </c>
      <c r="C4" s="41" t="s">
        <v>79</v>
      </c>
      <c r="D4" s="41" t="s">
        <v>80</v>
      </c>
      <c r="E4" s="41" t="s">
        <v>81</v>
      </c>
      <c r="F4" s="41" t="s">
        <v>82</v>
      </c>
    </row>
    <row r="5" customFormat="false" ht="15" hidden="false" customHeight="true" outlineLevel="0" collapsed="false">
      <c r="A5" s="36" t="s">
        <v>160</v>
      </c>
      <c r="B5" s="51" t="n">
        <f aca="false">Assumptions!B48</f>
        <v>14</v>
      </c>
      <c r="C5" s="51" t="n">
        <f aca="false">Assumptions!B49</f>
        <v>13</v>
      </c>
      <c r="D5" s="51" t="n">
        <f aca="false">Assumptions!B50</f>
        <v>12</v>
      </c>
      <c r="E5" s="51" t="n">
        <f aca="false">Assumptions!B51</f>
        <v>11</v>
      </c>
      <c r="F5" s="51" t="n">
        <f aca="false">Assumptions!B52</f>
        <v>10</v>
      </c>
    </row>
    <row r="6" customFormat="false" ht="15" hidden="false" customHeight="true" outlineLevel="0" collapsed="false">
      <c r="A6" s="36" t="s">
        <v>161</v>
      </c>
      <c r="B6" s="61" t="n">
        <f aca="false">1/(1+Assumptions!$B$42)^1</f>
        <v>0.892857142857143</v>
      </c>
      <c r="C6" s="61" t="n">
        <f aca="false">1/(1+Assumptions!$B$42)^2</f>
        <v>0.79719387755102</v>
      </c>
      <c r="D6" s="61" t="n">
        <f aca="false">1/(1+Assumptions!$B$42)^3</f>
        <v>0.711780247813411</v>
      </c>
      <c r="E6" s="61" t="n">
        <f aca="false">1/(1+Assumptions!$B$42)^4</f>
        <v>0.635518078404831</v>
      </c>
      <c r="F6" s="61" t="n">
        <f aca="false">1/(1+Assumptions!$B$42)^5</f>
        <v>0.567426855718599</v>
      </c>
    </row>
    <row r="7" customFormat="false" ht="15" hidden="false" customHeight="true" outlineLevel="0" collapsed="false">
      <c r="A7" s="36" t="s">
        <v>162</v>
      </c>
      <c r="B7" s="42" t="n">
        <f aca="false">B5*B6</f>
        <v>12.5</v>
      </c>
      <c r="C7" s="42" t="n">
        <f aca="false">C5*C6</f>
        <v>10.3635204081633</v>
      </c>
      <c r="D7" s="42" t="n">
        <f aca="false">D5*D6</f>
        <v>8.54136297376093</v>
      </c>
      <c r="E7" s="42" t="n">
        <f aca="false">E5*E6</f>
        <v>6.99069886245314</v>
      </c>
      <c r="F7" s="42" t="n">
        <f aca="false">F5*F6</f>
        <v>5.67426855718599</v>
      </c>
    </row>
    <row r="9" customFormat="false" ht="15" hidden="false" customHeight="true" outlineLevel="0" collapsed="false">
      <c r="A9" s="36" t="s">
        <v>163</v>
      </c>
      <c r="B9" s="42" t="n">
        <f aca="false">SUM(B7:F7)</f>
        <v>44.0698508015633</v>
      </c>
    </row>
    <row r="10" customFormat="false" ht="15" hidden="false" customHeight="true" outlineLevel="0" collapsed="false">
      <c r="A10" s="36" t="s">
        <v>164</v>
      </c>
      <c r="B10" s="42" t="n">
        <f aca="false">F5*(1+Assumptions!B43)/(Assumptions!B42-Assumptions!B43)</f>
        <v>107.894736842105</v>
      </c>
    </row>
    <row r="11" customFormat="false" ht="15" hidden="false" customHeight="true" outlineLevel="0" collapsed="false">
      <c r="A11" s="36" t="s">
        <v>165</v>
      </c>
      <c r="B11" s="42" t="n">
        <f aca="false">B10/(1+Assumptions!B42)^5</f>
        <v>61.2223712749015</v>
      </c>
    </row>
    <row r="12" customFormat="false" ht="15" hidden="false" customHeight="true" outlineLevel="0" collapsed="false">
      <c r="A12" s="52" t="s">
        <v>166</v>
      </c>
      <c r="B12" s="44" t="n">
        <f aca="false">B9+B11</f>
        <v>105.292222076465</v>
      </c>
    </row>
    <row r="13" customFormat="false" ht="15" hidden="false" customHeight="true" outlineLevel="0" collapsed="false">
      <c r="A13" s="36" t="s">
        <v>167</v>
      </c>
      <c r="B13" s="42" t="n">
        <f aca="false">Assumptions!B7</f>
        <v>25</v>
      </c>
    </row>
    <row r="14" customFormat="false" ht="15" hidden="false" customHeight="true" outlineLevel="0" collapsed="false">
      <c r="A14" s="52" t="s">
        <v>168</v>
      </c>
      <c r="B14" s="44" t="n">
        <f aca="false">B12+B13</f>
        <v>130.292222076465</v>
      </c>
    </row>
    <row r="16" customFormat="false" ht="15" hidden="false" customHeight="true" outlineLevel="0" collapsed="false">
      <c r="A16" s="36" t="s">
        <v>169</v>
      </c>
      <c r="B16" s="62" t="n">
        <f aca="false">Assumptions!B6</f>
        <v>8.84</v>
      </c>
    </row>
    <row r="18" customFormat="false" ht="15" hidden="false" customHeight="true" outlineLevel="0" collapsed="false">
      <c r="A18" s="52" t="s">
        <v>105</v>
      </c>
    </row>
    <row r="20" customFormat="false" ht="15" hidden="false" customHeight="true" outlineLevel="0" collapsed="false">
      <c r="B20" s="53" t="n">
        <f aca="false">B14/B16</f>
        <v>14.7389391489214</v>
      </c>
    </row>
    <row r="21" customFormat="false" ht="15" hidden="false" customHeight="true" outlineLevel="0" collapsed="false">
      <c r="A21" s="36" t="s">
        <v>106</v>
      </c>
      <c r="B21" s="54" t="n">
        <f aca="false">B20/Assumptions!B5-1</f>
        <v>0.214080654771117</v>
      </c>
    </row>
    <row r="23" customFormat="false" ht="15" hidden="false" customHeight="true" outlineLevel="0" collapsed="false">
      <c r="A23" s="55" t="s">
        <v>170</v>
      </c>
      <c r="B23" s="55"/>
      <c r="C23" s="55"/>
      <c r="D23" s="55"/>
      <c r="E23" s="55"/>
      <c r="F23" s="55"/>
      <c r="G23" s="55"/>
    </row>
    <row r="24" customFormat="false" ht="15" hidden="false" customHeight="true" outlineLevel="0" collapsed="false">
      <c r="A24" s="55"/>
      <c r="B24" s="55"/>
      <c r="C24" s="55"/>
      <c r="D24" s="55"/>
      <c r="E24" s="55"/>
      <c r="F24" s="55"/>
      <c r="G24" s="55"/>
    </row>
    <row r="25" customFormat="false" ht="15" hidden="false" customHeight="true" outlineLevel="0" collapsed="false">
      <c r="A25" s="55"/>
      <c r="B25" s="55"/>
      <c r="C25" s="55"/>
      <c r="D25" s="55"/>
      <c r="E25" s="55"/>
      <c r="F25" s="55"/>
      <c r="G25" s="55"/>
    </row>
    <row r="26" customFormat="false" ht="15" hidden="false" customHeight="true" outlineLevel="0" collapsed="false">
      <c r="A26" s="55"/>
      <c r="B26" s="55"/>
      <c r="C26" s="55"/>
      <c r="D26" s="55"/>
      <c r="E26" s="55"/>
      <c r="F26" s="55"/>
      <c r="G26" s="55"/>
    </row>
  </sheetData>
  <mergeCells count="1">
    <mergeCell ref="A23: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0"/>
  </cols>
  <sheetData>
    <row r="1" customFormat="false" ht="24" hidden="false" customHeight="true" outlineLevel="0" collapsed="false">
      <c r="A1" s="5" t="s">
        <v>171</v>
      </c>
      <c r="B1" s="34"/>
      <c r="C1" s="34"/>
      <c r="D1" s="34"/>
      <c r="E1" s="34"/>
      <c r="F1" s="34"/>
      <c r="G1" s="34"/>
      <c r="H1" s="34"/>
      <c r="I1" s="34"/>
    </row>
    <row r="2" customFormat="false" ht="15" hidden="false" customHeight="true" outlineLevel="0" collapsed="false">
      <c r="A2" s="8" t="s">
        <v>172</v>
      </c>
      <c r="B2" s="35"/>
      <c r="C2" s="35"/>
      <c r="D2" s="35"/>
      <c r="E2" s="35"/>
      <c r="F2" s="35"/>
      <c r="G2" s="35"/>
      <c r="H2" s="35"/>
      <c r="I2" s="35"/>
    </row>
    <row r="4" customFormat="false" ht="15" hidden="false" customHeight="true" outlineLevel="0" collapsed="false">
      <c r="A4" s="41" t="s">
        <v>159</v>
      </c>
      <c r="B4" s="41" t="s">
        <v>173</v>
      </c>
      <c r="C4" s="41" t="s">
        <v>174</v>
      </c>
      <c r="D4" s="41" t="s">
        <v>175</v>
      </c>
      <c r="E4" s="41" t="s">
        <v>176</v>
      </c>
      <c r="F4" s="41" t="s">
        <v>177</v>
      </c>
      <c r="G4" s="41" t="s">
        <v>178</v>
      </c>
      <c r="H4" s="41" t="s">
        <v>179</v>
      </c>
      <c r="I4" s="41" t="s">
        <v>180</v>
      </c>
    </row>
    <row r="5" customFormat="false" ht="15" hidden="false" customHeight="true" outlineLevel="0" collapsed="false">
      <c r="A5" s="36" t="s">
        <v>181</v>
      </c>
      <c r="B5" s="39" t="n">
        <v>18.5</v>
      </c>
      <c r="C5" s="39" t="n">
        <v>27</v>
      </c>
      <c r="D5" s="39" t="n">
        <v>39</v>
      </c>
      <c r="E5" s="42" t="n">
        <f aca="false">Assumptions!B56-E6</f>
        <v>36</v>
      </c>
      <c r="F5" s="42" t="n">
        <f aca="false">Assumptions!B57-F6</f>
        <v>37.5</v>
      </c>
      <c r="G5" s="42" t="n">
        <f aca="false">Assumptions!B58-G6</f>
        <v>39</v>
      </c>
      <c r="H5" s="42" t="n">
        <f aca="false">Assumptions!B59-H6</f>
        <v>40.5</v>
      </c>
      <c r="I5" s="42" t="n">
        <f aca="false">Assumptions!B60-I6</f>
        <v>42</v>
      </c>
    </row>
    <row r="6" customFormat="false" ht="15" hidden="false" customHeight="true" outlineLevel="0" collapsed="false">
      <c r="A6" s="36" t="s">
        <v>182</v>
      </c>
      <c r="B6" s="39" t="n">
        <v>8.2</v>
      </c>
      <c r="C6" s="39" t="n">
        <v>8.5</v>
      </c>
      <c r="D6" s="39" t="n">
        <v>10.5</v>
      </c>
      <c r="E6" s="39" t="n">
        <v>11</v>
      </c>
      <c r="F6" s="39" t="n">
        <v>11.5</v>
      </c>
      <c r="G6" s="39" t="n">
        <v>12</v>
      </c>
      <c r="H6" s="39" t="n">
        <v>12.5</v>
      </c>
      <c r="I6" s="39" t="n">
        <v>13</v>
      </c>
    </row>
    <row r="7" customFormat="false" ht="15" hidden="false" customHeight="true" outlineLevel="0" collapsed="false">
      <c r="A7" s="52" t="s">
        <v>183</v>
      </c>
      <c r="B7" s="44" t="n">
        <f aca="false">B5+B6</f>
        <v>26.7</v>
      </c>
      <c r="C7" s="44" t="n">
        <f aca="false">C5+C6</f>
        <v>35.5</v>
      </c>
      <c r="D7" s="44" t="n">
        <f aca="false">D5+D6</f>
        <v>49.5</v>
      </c>
      <c r="E7" s="63" t="n">
        <f aca="false">Assumptions!B56</f>
        <v>47</v>
      </c>
      <c r="F7" s="63" t="n">
        <f aca="false">Assumptions!B57</f>
        <v>49</v>
      </c>
      <c r="G7" s="63" t="n">
        <f aca="false">Assumptions!B58</f>
        <v>51</v>
      </c>
      <c r="H7" s="63" t="n">
        <f aca="false">Assumptions!B59</f>
        <v>53</v>
      </c>
      <c r="I7" s="63" t="n">
        <f aca="false">Assumptions!B60</f>
        <v>55</v>
      </c>
    </row>
    <row r="8" customFormat="false" ht="15" hidden="false" customHeight="true" outlineLevel="0" collapsed="false">
      <c r="A8" s="36" t="s">
        <v>184</v>
      </c>
      <c r="C8" s="54" t="n">
        <f aca="false">C7/B7-1</f>
        <v>0.329588014981274</v>
      </c>
      <c r="D8" s="54" t="n">
        <f aca="false">D7/C7-1</f>
        <v>0.394366197183099</v>
      </c>
      <c r="E8" s="54" t="n">
        <f aca="false">E7/D7-1</f>
        <v>-0.0505050505050505</v>
      </c>
      <c r="F8" s="54" t="n">
        <f aca="false">F7/E7-1</f>
        <v>0.0425531914893618</v>
      </c>
      <c r="G8" s="54" t="n">
        <f aca="false">G7/F7-1</f>
        <v>0.0408163265306123</v>
      </c>
      <c r="H8" s="54" t="n">
        <f aca="false">H7/G7-1</f>
        <v>0.0392156862745099</v>
      </c>
      <c r="I8" s="54" t="n">
        <f aca="false">I7/H7-1</f>
        <v>0.0377358490566038</v>
      </c>
    </row>
    <row r="9" customFormat="false" ht="15" hidden="false" customHeight="true" outlineLevel="0" collapsed="false">
      <c r="A9" s="36" t="s">
        <v>185</v>
      </c>
      <c r="B9" s="42" t="n">
        <f aca="false">-(B7-B10)</f>
        <v>-15.2</v>
      </c>
      <c r="C9" s="42" t="n">
        <f aca="false">-(C7-C10)</f>
        <v>-18</v>
      </c>
      <c r="D9" s="42" t="n">
        <f aca="false">-(D7-D10)</f>
        <v>-25.5</v>
      </c>
      <c r="E9" s="42" t="n">
        <f aca="false">-(E7-E10)</f>
        <v>-24.5</v>
      </c>
      <c r="F9" s="42" t="n">
        <f aca="false">-(F7-F10)</f>
        <v>-25.5</v>
      </c>
      <c r="G9" s="42" t="n">
        <f aca="false">-(G7-G10)</f>
        <v>-26.5</v>
      </c>
      <c r="H9" s="42" t="n">
        <f aca="false">-(H7-H10)</f>
        <v>-27.5</v>
      </c>
      <c r="I9" s="42" t="n">
        <f aca="false">-(I7-I10)</f>
        <v>-28.5</v>
      </c>
    </row>
    <row r="10" customFormat="false" ht="15" hidden="false" customHeight="true" outlineLevel="0" collapsed="false">
      <c r="A10" s="36" t="s">
        <v>186</v>
      </c>
      <c r="B10" s="39" t="n">
        <v>11.5</v>
      </c>
      <c r="C10" s="39" t="n">
        <v>17.5</v>
      </c>
      <c r="D10" s="39" t="n">
        <v>24</v>
      </c>
      <c r="E10" s="51" t="n">
        <f aca="false">Assumptions!C56</f>
        <v>22.5</v>
      </c>
      <c r="F10" s="51" t="n">
        <f aca="false">Assumptions!C57</f>
        <v>23.5</v>
      </c>
      <c r="G10" s="51" t="n">
        <f aca="false">Assumptions!C58</f>
        <v>24.5</v>
      </c>
      <c r="H10" s="51" t="n">
        <f aca="false">Assumptions!C59</f>
        <v>25.5</v>
      </c>
      <c r="I10" s="51" t="n">
        <f aca="false">Assumptions!C60</f>
        <v>26.5</v>
      </c>
    </row>
    <row r="11" customFormat="false" ht="15" hidden="false" customHeight="true" outlineLevel="0" collapsed="false">
      <c r="A11" s="36" t="s">
        <v>187</v>
      </c>
      <c r="B11" s="54" t="n">
        <f aca="false">B10/B7</f>
        <v>0.430711610486891</v>
      </c>
      <c r="C11" s="54" t="n">
        <f aca="false">C10/C7</f>
        <v>0.492957746478873</v>
      </c>
      <c r="D11" s="54" t="n">
        <f aca="false">D10/D7</f>
        <v>0.484848484848485</v>
      </c>
      <c r="E11" s="54" t="n">
        <f aca="false">E10/E7</f>
        <v>0.478723404255319</v>
      </c>
      <c r="F11" s="54" t="n">
        <f aca="false">F10/F7</f>
        <v>0.479591836734694</v>
      </c>
      <c r="G11" s="54" t="n">
        <f aca="false">G10/G7</f>
        <v>0.480392156862745</v>
      </c>
      <c r="H11" s="54" t="n">
        <f aca="false">H10/H7</f>
        <v>0.481132075471698</v>
      </c>
      <c r="I11" s="54" t="n">
        <f aca="false">I10/I7</f>
        <v>0.481818181818182</v>
      </c>
    </row>
    <row r="12" customFormat="false" ht="15" hidden="false" customHeight="true" outlineLevel="0" collapsed="false">
      <c r="A12" s="36" t="s">
        <v>188</v>
      </c>
      <c r="B12" s="39" t="n">
        <v>1</v>
      </c>
      <c r="C12" s="39" t="n">
        <v>1.2</v>
      </c>
      <c r="D12" s="39" t="n">
        <v>1.7</v>
      </c>
      <c r="E12" s="39" t="n">
        <v>1.3</v>
      </c>
      <c r="F12" s="39" t="n">
        <v>1.4</v>
      </c>
      <c r="G12" s="39" t="n">
        <v>1.5</v>
      </c>
      <c r="H12" s="39" t="n">
        <v>1.6</v>
      </c>
      <c r="I12" s="39" t="n">
        <v>1.7</v>
      </c>
    </row>
    <row r="13" customFormat="false" ht="15" hidden="false" customHeight="true" outlineLevel="0" collapsed="false">
      <c r="A13" s="52" t="s">
        <v>189</v>
      </c>
      <c r="B13" s="44" t="n">
        <f aca="false">B10+B12</f>
        <v>12.5</v>
      </c>
      <c r="C13" s="44" t="n">
        <f aca="false">C10+C12</f>
        <v>18.7</v>
      </c>
      <c r="D13" s="44" t="n">
        <f aca="false">D10+D12</f>
        <v>25.7</v>
      </c>
      <c r="E13" s="44" t="n">
        <f aca="false">E10+E12</f>
        <v>23.8</v>
      </c>
      <c r="F13" s="44" t="n">
        <f aca="false">F10+F12</f>
        <v>24.9</v>
      </c>
      <c r="G13" s="44" t="n">
        <f aca="false">G10+G12</f>
        <v>26</v>
      </c>
      <c r="H13" s="44" t="n">
        <f aca="false">H10+H12</f>
        <v>27.1</v>
      </c>
      <c r="I13" s="44" t="n">
        <f aca="false">I10+I12</f>
        <v>28.2</v>
      </c>
    </row>
    <row r="14" customFormat="false" ht="15" hidden="false" customHeight="true" outlineLevel="0" collapsed="false">
      <c r="A14" s="36" t="s">
        <v>190</v>
      </c>
      <c r="B14" s="42" t="n">
        <f aca="false">B15-B13</f>
        <v>-1.5</v>
      </c>
      <c r="C14" s="42" t="n">
        <f aca="false">C15-C13</f>
        <v>-5</v>
      </c>
      <c r="D14" s="42" t="n">
        <f aca="false">D15-D13</f>
        <v>-6.8</v>
      </c>
      <c r="E14" s="42" t="n">
        <f aca="false">E15-E13</f>
        <v>-8</v>
      </c>
      <c r="F14" s="42" t="n">
        <f aca="false">F15-F13</f>
        <v>-8.4</v>
      </c>
      <c r="G14" s="42" t="n">
        <f aca="false">G15-G13</f>
        <v>-8.7</v>
      </c>
      <c r="H14" s="42" t="n">
        <f aca="false">H15-H13</f>
        <v>-9.1</v>
      </c>
      <c r="I14" s="42" t="n">
        <f aca="false">I15-I13</f>
        <v>-9.4</v>
      </c>
    </row>
    <row r="15" customFormat="false" ht="15" hidden="false" customHeight="true" outlineLevel="0" collapsed="false">
      <c r="A15" s="52" t="s">
        <v>191</v>
      </c>
      <c r="B15" s="39" t="n">
        <v>11</v>
      </c>
      <c r="C15" s="39" t="n">
        <v>13.7</v>
      </c>
      <c r="D15" s="39" t="n">
        <v>18.9</v>
      </c>
      <c r="E15" s="63" t="n">
        <f aca="false">Assumptions!D56</f>
        <v>15.8</v>
      </c>
      <c r="F15" s="63" t="n">
        <f aca="false">Assumptions!D57</f>
        <v>16.5</v>
      </c>
      <c r="G15" s="63" t="n">
        <f aca="false">Assumptions!D58</f>
        <v>17.3</v>
      </c>
      <c r="H15" s="63" t="n">
        <f aca="false">Assumptions!D59</f>
        <v>18</v>
      </c>
      <c r="I15" s="63" t="n">
        <f aca="false">Assumptions!D60</f>
        <v>18.8</v>
      </c>
    </row>
    <row r="16" customFormat="false" ht="15" hidden="false" customHeight="true" outlineLevel="0" collapsed="false">
      <c r="A16" s="36" t="s">
        <v>192</v>
      </c>
      <c r="B16" s="54" t="n">
        <f aca="false">B15/B7</f>
        <v>0.411985018726592</v>
      </c>
      <c r="C16" s="54" t="n">
        <f aca="false">C15/C7</f>
        <v>0.385915492957746</v>
      </c>
      <c r="D16" s="54" t="n">
        <f aca="false">D15/D7</f>
        <v>0.381818181818182</v>
      </c>
      <c r="E16" s="54" t="n">
        <f aca="false">E15/E7</f>
        <v>0.336170212765958</v>
      </c>
      <c r="F16" s="54" t="n">
        <f aca="false">F15/F7</f>
        <v>0.336734693877551</v>
      </c>
      <c r="G16" s="54" t="n">
        <f aca="false">G15/G7</f>
        <v>0.33921568627451</v>
      </c>
      <c r="H16" s="54" t="n">
        <f aca="false">H15/H7</f>
        <v>0.339622641509434</v>
      </c>
      <c r="I16" s="54" t="n">
        <f aca="false">I15/I7</f>
        <v>0.341818181818182</v>
      </c>
    </row>
    <row r="17" customFormat="false" ht="15" hidden="false" customHeight="true" outlineLevel="0" collapsed="false">
      <c r="A17" s="36" t="s">
        <v>193</v>
      </c>
      <c r="B17" s="59" t="n">
        <f aca="false">B15/Assumptions!$B$6</f>
        <v>1.24434389140272</v>
      </c>
      <c r="C17" s="59" t="n">
        <f aca="false">C15/Assumptions!$B$6</f>
        <v>1.54977375565611</v>
      </c>
      <c r="D17" s="59" t="n">
        <f aca="false">D15/Assumptions!$B$6</f>
        <v>2.13800904977376</v>
      </c>
      <c r="E17" s="59" t="n">
        <f aca="false">E15/Assumptions!$B$6</f>
        <v>1.78733031674208</v>
      </c>
      <c r="F17" s="59" t="n">
        <f aca="false">F15/Assumptions!$B$6</f>
        <v>1.86651583710407</v>
      </c>
      <c r="G17" s="59" t="n">
        <f aca="false">G15/Assumptions!$B$6</f>
        <v>1.95701357466063</v>
      </c>
      <c r="H17" s="59" t="n">
        <f aca="false">H15/Assumptions!$B$6</f>
        <v>2.03619909502262</v>
      </c>
      <c r="I17" s="59" t="n">
        <f aca="false">I15/Assumptions!$B$6</f>
        <v>2.12669683257919</v>
      </c>
    </row>
    <row r="19" customFormat="false" ht="15" hidden="false" customHeight="true" outlineLevel="0" collapsed="false">
      <c r="A19" s="55" t="s">
        <v>194</v>
      </c>
      <c r="B19" s="55"/>
      <c r="C19" s="55"/>
      <c r="D19" s="55"/>
      <c r="E19" s="55"/>
      <c r="F19" s="55"/>
      <c r="G19" s="55"/>
      <c r="H19" s="55"/>
      <c r="I19" s="55"/>
    </row>
    <row r="20" customFormat="false" ht="15" hidden="false" customHeight="true" outlineLevel="0" collapsed="false">
      <c r="A20" s="55"/>
      <c r="B20" s="55"/>
      <c r="C20" s="55"/>
      <c r="D20" s="55"/>
      <c r="E20" s="55"/>
      <c r="F20" s="55"/>
      <c r="G20" s="55"/>
      <c r="H20" s="55"/>
      <c r="I20" s="55"/>
    </row>
    <row r="21" customFormat="false" ht="15" hidden="false" customHeight="true" outlineLevel="0" collapsed="false">
      <c r="A21" s="55"/>
      <c r="B21" s="55"/>
      <c r="C21" s="55"/>
      <c r="D21" s="55"/>
      <c r="E21" s="55"/>
      <c r="F21" s="55"/>
      <c r="G21" s="55"/>
      <c r="H21" s="55"/>
      <c r="I21" s="55"/>
    </row>
    <row r="22" customFormat="false" ht="15" hidden="false" customHeight="true" outlineLevel="0" collapsed="false">
      <c r="A22" s="55"/>
      <c r="B22" s="55"/>
      <c r="C22" s="55"/>
      <c r="D22" s="55"/>
      <c r="E22" s="55"/>
      <c r="F22" s="55"/>
      <c r="G22" s="55"/>
      <c r="H22" s="55"/>
      <c r="I22" s="55"/>
    </row>
  </sheetData>
  <mergeCells count="1">
    <mergeCell ref="A19: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0"/>
  </cols>
  <sheetData>
    <row r="1" customFormat="false" ht="24" hidden="false" customHeight="true" outlineLevel="0" collapsed="false">
      <c r="A1" s="5" t="s">
        <v>195</v>
      </c>
      <c r="B1" s="34"/>
      <c r="C1" s="34"/>
      <c r="D1" s="34"/>
      <c r="E1" s="34"/>
      <c r="F1" s="34"/>
      <c r="G1" s="34"/>
      <c r="H1" s="34"/>
      <c r="I1" s="34"/>
    </row>
    <row r="2" customFormat="false" ht="15" hidden="false" customHeight="true" outlineLevel="0" collapsed="false">
      <c r="A2" s="8" t="s">
        <v>196</v>
      </c>
      <c r="B2" s="35"/>
      <c r="C2" s="35"/>
      <c r="D2" s="35"/>
      <c r="E2" s="35"/>
      <c r="F2" s="35"/>
      <c r="G2" s="35"/>
      <c r="H2" s="35"/>
      <c r="I2" s="35"/>
    </row>
    <row r="4" customFormat="false" ht="15" hidden="false" customHeight="true" outlineLevel="0" collapsed="false">
      <c r="A4" s="41" t="s">
        <v>159</v>
      </c>
      <c r="B4" s="41" t="s">
        <v>173</v>
      </c>
      <c r="C4" s="41" t="s">
        <v>174</v>
      </c>
      <c r="D4" s="41" t="s">
        <v>175</v>
      </c>
      <c r="E4" s="41" t="s">
        <v>176</v>
      </c>
      <c r="F4" s="41" t="s">
        <v>177</v>
      </c>
      <c r="G4" s="41" t="s">
        <v>178</v>
      </c>
      <c r="H4" s="41" t="s">
        <v>179</v>
      </c>
      <c r="I4" s="41" t="s">
        <v>180</v>
      </c>
    </row>
    <row r="5" customFormat="false" ht="15" hidden="false" customHeight="true" outlineLevel="0" collapsed="false">
      <c r="A5" s="36" t="s">
        <v>197</v>
      </c>
      <c r="B5" s="39" t="n">
        <v>28</v>
      </c>
      <c r="C5" s="39" t="n">
        <v>32</v>
      </c>
      <c r="D5" s="39" t="n">
        <v>35</v>
      </c>
      <c r="E5" s="39" t="n">
        <v>37</v>
      </c>
      <c r="F5" s="39" t="n">
        <v>39</v>
      </c>
      <c r="G5" s="39" t="n">
        <v>41</v>
      </c>
      <c r="H5" s="39" t="n">
        <v>43</v>
      </c>
      <c r="I5" s="39" t="n">
        <v>46</v>
      </c>
    </row>
    <row r="6" customFormat="false" ht="15" hidden="false" customHeight="true" outlineLevel="0" collapsed="false">
      <c r="A6" s="36" t="s">
        <v>198</v>
      </c>
      <c r="B6" s="39" t="n">
        <v>10</v>
      </c>
      <c r="C6" s="39" t="n">
        <v>11</v>
      </c>
      <c r="D6" s="39" t="n">
        <v>12</v>
      </c>
      <c r="E6" s="39" t="n">
        <v>13</v>
      </c>
      <c r="F6" s="39" t="n">
        <v>14</v>
      </c>
      <c r="G6" s="39" t="n">
        <v>15</v>
      </c>
      <c r="H6" s="39" t="n">
        <v>16</v>
      </c>
      <c r="I6" s="39" t="n">
        <v>17</v>
      </c>
    </row>
    <row r="7" customFormat="false" ht="15" hidden="false" customHeight="true" outlineLevel="0" collapsed="false">
      <c r="A7" s="36" t="s">
        <v>199</v>
      </c>
      <c r="B7" s="39" t="n">
        <v>42</v>
      </c>
      <c r="C7" s="39" t="n">
        <v>45</v>
      </c>
      <c r="D7" s="39" t="n">
        <v>48</v>
      </c>
      <c r="E7" s="39" t="n">
        <v>50</v>
      </c>
      <c r="F7" s="39" t="n">
        <v>52</v>
      </c>
      <c r="G7" s="39" t="n">
        <v>54</v>
      </c>
      <c r="H7" s="39" t="n">
        <v>56</v>
      </c>
      <c r="I7" s="39" t="n">
        <v>58</v>
      </c>
    </row>
    <row r="8" customFormat="false" ht="15" hidden="false" customHeight="true" outlineLevel="0" collapsed="false">
      <c r="A8" s="52" t="s">
        <v>200</v>
      </c>
      <c r="B8" s="44" t="n">
        <f aca="false">SUM(B5:B7)</f>
        <v>80</v>
      </c>
      <c r="C8" s="44" t="n">
        <f aca="false">SUM(C5:C7)</f>
        <v>88</v>
      </c>
      <c r="D8" s="44" t="n">
        <f aca="false">SUM(D5:D7)</f>
        <v>95</v>
      </c>
      <c r="E8" s="44" t="n">
        <f aca="false">SUM(E5:E7)</f>
        <v>100</v>
      </c>
      <c r="F8" s="44" t="n">
        <f aca="false">SUM(F5:F7)</f>
        <v>105</v>
      </c>
      <c r="G8" s="44" t="n">
        <f aca="false">SUM(G5:G7)</f>
        <v>110</v>
      </c>
      <c r="H8" s="44" t="n">
        <f aca="false">SUM(H5:H7)</f>
        <v>115</v>
      </c>
      <c r="I8" s="44" t="n">
        <f aca="false">SUM(I5:I7)</f>
        <v>121</v>
      </c>
    </row>
    <row r="9" customFormat="false" ht="15" hidden="false" customHeight="true" outlineLevel="0" collapsed="false">
      <c r="A9" s="36" t="s">
        <v>201</v>
      </c>
      <c r="B9" s="39" t="n">
        <v>58</v>
      </c>
      <c r="C9" s="39" t="n">
        <v>62</v>
      </c>
      <c r="D9" s="39" t="n">
        <v>66</v>
      </c>
      <c r="E9" s="39" t="n">
        <v>68</v>
      </c>
      <c r="F9" s="39" t="n">
        <v>70</v>
      </c>
      <c r="G9" s="39" t="n">
        <v>72</v>
      </c>
      <c r="H9" s="39" t="n">
        <v>74</v>
      </c>
      <c r="I9" s="39" t="n">
        <v>76</v>
      </c>
    </row>
    <row r="10" customFormat="false" ht="15" hidden="false" customHeight="true" outlineLevel="0" collapsed="false">
      <c r="A10" s="36" t="s">
        <v>202</v>
      </c>
      <c r="B10" s="39" t="n">
        <v>8</v>
      </c>
      <c r="C10" s="39" t="n">
        <v>8.5</v>
      </c>
      <c r="D10" s="39" t="n">
        <v>9</v>
      </c>
      <c r="E10" s="39" t="n">
        <v>9.5</v>
      </c>
      <c r="F10" s="39" t="n">
        <v>10</v>
      </c>
      <c r="G10" s="39" t="n">
        <v>10.5</v>
      </c>
      <c r="H10" s="39" t="n">
        <v>11</v>
      </c>
      <c r="I10" s="39" t="n">
        <v>11.5</v>
      </c>
    </row>
    <row r="11" customFormat="false" ht="15" hidden="false" customHeight="true" outlineLevel="0" collapsed="false">
      <c r="A11" s="36" t="s">
        <v>203</v>
      </c>
      <c r="B11" s="39" t="n">
        <v>7</v>
      </c>
      <c r="C11" s="39" t="n">
        <v>7.5</v>
      </c>
      <c r="D11" s="39" t="n">
        <v>8</v>
      </c>
      <c r="E11" s="39" t="n">
        <v>8.3</v>
      </c>
      <c r="F11" s="39" t="n">
        <v>8.6</v>
      </c>
      <c r="G11" s="39" t="n">
        <v>8.9</v>
      </c>
      <c r="H11" s="39" t="n">
        <v>9.2</v>
      </c>
      <c r="I11" s="39" t="n">
        <v>9.5</v>
      </c>
    </row>
    <row r="12" customFormat="false" ht="15" hidden="false" customHeight="true" outlineLevel="0" collapsed="false">
      <c r="A12" s="36" t="s">
        <v>204</v>
      </c>
      <c r="B12" s="39" t="n">
        <v>8</v>
      </c>
      <c r="C12" s="39" t="n">
        <v>8</v>
      </c>
      <c r="D12" s="39" t="n">
        <v>9</v>
      </c>
      <c r="E12" s="39" t="n">
        <v>9</v>
      </c>
      <c r="F12" s="39" t="n">
        <v>9</v>
      </c>
      <c r="G12" s="39" t="n">
        <v>9</v>
      </c>
      <c r="H12" s="39" t="n">
        <v>9</v>
      </c>
      <c r="I12" s="39" t="n">
        <v>9</v>
      </c>
    </row>
    <row r="13" customFormat="false" ht="15" hidden="false" customHeight="true" outlineLevel="0" collapsed="false">
      <c r="A13" s="52" t="s">
        <v>205</v>
      </c>
      <c r="B13" s="44" t="n">
        <f aca="false">SUM(B9:B12)</f>
        <v>81</v>
      </c>
      <c r="C13" s="44" t="n">
        <f aca="false">SUM(C9:C12)</f>
        <v>86</v>
      </c>
      <c r="D13" s="44" t="n">
        <f aca="false">SUM(D9:D12)</f>
        <v>92</v>
      </c>
      <c r="E13" s="44" t="n">
        <f aca="false">SUM(E9:E12)</f>
        <v>94.8</v>
      </c>
      <c r="F13" s="44" t="n">
        <f aca="false">SUM(F9:F12)</f>
        <v>97.6</v>
      </c>
      <c r="G13" s="44" t="n">
        <f aca="false">SUM(G9:G12)</f>
        <v>100.4</v>
      </c>
      <c r="H13" s="44" t="n">
        <f aca="false">SUM(H9:H12)</f>
        <v>103.2</v>
      </c>
      <c r="I13" s="44" t="n">
        <f aca="false">SUM(I9:I12)</f>
        <v>106</v>
      </c>
    </row>
    <row r="14" customFormat="false" ht="15" hidden="false" customHeight="true" outlineLevel="0" collapsed="false">
      <c r="A14" s="52" t="s">
        <v>206</v>
      </c>
      <c r="B14" s="44" t="n">
        <f aca="false">B8+B13</f>
        <v>161</v>
      </c>
      <c r="C14" s="44" t="n">
        <f aca="false">C8+C13</f>
        <v>174</v>
      </c>
      <c r="D14" s="44" t="n">
        <f aca="false">D8+D13</f>
        <v>187</v>
      </c>
      <c r="E14" s="44" t="n">
        <f aca="false">E8+E13</f>
        <v>194.8</v>
      </c>
      <c r="F14" s="44" t="n">
        <f aca="false">F8+F13</f>
        <v>202.6</v>
      </c>
      <c r="G14" s="44" t="n">
        <f aca="false">G8+G13</f>
        <v>210.4</v>
      </c>
      <c r="H14" s="44" t="n">
        <f aca="false">H8+H13</f>
        <v>218.2</v>
      </c>
      <c r="I14" s="44" t="n">
        <f aca="false">I8+I13</f>
        <v>227</v>
      </c>
    </row>
    <row r="15" customFormat="false" ht="15" hidden="false" customHeight="true" outlineLevel="0" collapsed="false">
      <c r="A15" s="36" t="s">
        <v>207</v>
      </c>
      <c r="B15" s="39" t="n">
        <v>16</v>
      </c>
      <c r="C15" s="39" t="n">
        <v>17</v>
      </c>
      <c r="D15" s="39" t="n">
        <v>18</v>
      </c>
      <c r="E15" s="39" t="n">
        <v>19</v>
      </c>
      <c r="F15" s="39" t="n">
        <v>20</v>
      </c>
      <c r="G15" s="39" t="n">
        <v>21</v>
      </c>
      <c r="H15" s="39" t="n">
        <v>22</v>
      </c>
      <c r="I15" s="39" t="n">
        <v>23</v>
      </c>
    </row>
    <row r="16" customFormat="false" ht="15" hidden="false" customHeight="true" outlineLevel="0" collapsed="false">
      <c r="A16" s="36" t="s">
        <v>208</v>
      </c>
      <c r="B16" s="39" t="n">
        <v>30</v>
      </c>
      <c r="C16" s="39" t="n">
        <v>34</v>
      </c>
      <c r="D16" s="39" t="n">
        <v>38</v>
      </c>
      <c r="E16" s="39" t="n">
        <v>40</v>
      </c>
      <c r="F16" s="39" t="n">
        <v>42</v>
      </c>
      <c r="G16" s="39" t="n">
        <v>44</v>
      </c>
      <c r="H16" s="39" t="n">
        <v>46</v>
      </c>
      <c r="I16" s="39" t="n">
        <v>48</v>
      </c>
    </row>
    <row r="17" customFormat="false" ht="15" hidden="false" customHeight="true" outlineLevel="0" collapsed="false">
      <c r="A17" s="52" t="s">
        <v>209</v>
      </c>
      <c r="B17" s="44" t="n">
        <f aca="false">SUM(B15:B16)</f>
        <v>46</v>
      </c>
      <c r="C17" s="44" t="n">
        <f aca="false">SUM(C15:C16)</f>
        <v>51</v>
      </c>
      <c r="D17" s="44" t="n">
        <f aca="false">SUM(D15:D16)</f>
        <v>56</v>
      </c>
      <c r="E17" s="44" t="n">
        <f aca="false">SUM(E15:E16)</f>
        <v>59</v>
      </c>
      <c r="F17" s="44" t="n">
        <f aca="false">SUM(F15:F16)</f>
        <v>62</v>
      </c>
      <c r="G17" s="44" t="n">
        <f aca="false">SUM(G15:G16)</f>
        <v>65</v>
      </c>
      <c r="H17" s="44" t="n">
        <f aca="false">SUM(H15:H16)</f>
        <v>68</v>
      </c>
      <c r="I17" s="44" t="n">
        <f aca="false">SUM(I15:I16)</f>
        <v>71</v>
      </c>
    </row>
    <row r="18" customFormat="false" ht="15" hidden="false" customHeight="true" outlineLevel="0" collapsed="false">
      <c r="A18" s="36" t="s">
        <v>210</v>
      </c>
      <c r="B18" s="39" t="n">
        <v>11</v>
      </c>
      <c r="C18" s="39" t="n">
        <v>11</v>
      </c>
      <c r="D18" s="39" t="n">
        <v>10</v>
      </c>
      <c r="E18" s="39" t="n">
        <v>10</v>
      </c>
      <c r="F18" s="39" t="n">
        <v>10</v>
      </c>
      <c r="G18" s="39" t="n">
        <v>10</v>
      </c>
      <c r="H18" s="39" t="n">
        <v>10</v>
      </c>
      <c r="I18" s="39" t="n">
        <v>10</v>
      </c>
    </row>
    <row r="19" customFormat="false" ht="15" hidden="false" customHeight="true" outlineLevel="0" collapsed="false">
      <c r="A19" s="36" t="s">
        <v>211</v>
      </c>
      <c r="B19" s="39" t="n">
        <v>4</v>
      </c>
      <c r="C19" s="39" t="n">
        <v>4</v>
      </c>
      <c r="D19" s="39" t="n">
        <v>4</v>
      </c>
      <c r="E19" s="39" t="n">
        <v>4</v>
      </c>
      <c r="F19" s="39" t="n">
        <v>4</v>
      </c>
      <c r="G19" s="39" t="n">
        <v>4</v>
      </c>
      <c r="H19" s="39" t="n">
        <v>4</v>
      </c>
      <c r="I19" s="39" t="n">
        <v>4</v>
      </c>
    </row>
    <row r="20" customFormat="false" ht="15" hidden="false" customHeight="true" outlineLevel="0" collapsed="false">
      <c r="A20" s="52" t="s">
        <v>212</v>
      </c>
      <c r="B20" s="44" t="n">
        <f aca="false">B17+B18+B19</f>
        <v>61</v>
      </c>
      <c r="C20" s="44" t="n">
        <f aca="false">C17+C18+C19</f>
        <v>66</v>
      </c>
      <c r="D20" s="44" t="n">
        <f aca="false">D17+D18+D19</f>
        <v>70</v>
      </c>
      <c r="E20" s="44" t="n">
        <f aca="false">E17+E18+E19</f>
        <v>73</v>
      </c>
      <c r="F20" s="44" t="n">
        <f aca="false">F17+F18+F19</f>
        <v>76</v>
      </c>
      <c r="G20" s="44" t="n">
        <f aca="false">G17+G18+G19</f>
        <v>79</v>
      </c>
      <c r="H20" s="44" t="n">
        <f aca="false">H17+H18+H19</f>
        <v>82</v>
      </c>
      <c r="I20" s="44" t="n">
        <f aca="false">I17+I18+I19</f>
        <v>85</v>
      </c>
    </row>
    <row r="21" customFormat="false" ht="15" hidden="false" customHeight="true" outlineLevel="0" collapsed="false">
      <c r="A21" s="36" t="s">
        <v>213</v>
      </c>
      <c r="B21" s="39" t="n">
        <v>62</v>
      </c>
      <c r="C21" s="39" t="n">
        <v>70</v>
      </c>
      <c r="D21" s="39" t="n">
        <v>80</v>
      </c>
      <c r="E21" s="39" t="n">
        <v>86</v>
      </c>
      <c r="F21" s="39" t="n">
        <v>92</v>
      </c>
      <c r="G21" s="39" t="n">
        <v>98</v>
      </c>
      <c r="H21" s="39" t="n">
        <v>104</v>
      </c>
      <c r="I21" s="39" t="n">
        <v>110</v>
      </c>
    </row>
    <row r="22" customFormat="false" ht="15" hidden="false" customHeight="true" outlineLevel="0" collapsed="false">
      <c r="A22" s="36" t="s">
        <v>214</v>
      </c>
      <c r="B22" s="39" t="n">
        <v>12</v>
      </c>
      <c r="C22" s="39" t="n">
        <v>13</v>
      </c>
      <c r="D22" s="39" t="n">
        <v>15</v>
      </c>
      <c r="E22" s="39" t="n">
        <v>16</v>
      </c>
      <c r="F22" s="39" t="n">
        <v>17</v>
      </c>
      <c r="G22" s="39" t="n">
        <v>18</v>
      </c>
      <c r="H22" s="39" t="n">
        <v>19</v>
      </c>
      <c r="I22" s="39" t="n">
        <v>20</v>
      </c>
    </row>
    <row r="23" customFormat="false" ht="15" hidden="false" customHeight="true" outlineLevel="0" collapsed="false">
      <c r="A23" s="52" t="s">
        <v>215</v>
      </c>
      <c r="B23" s="44" t="n">
        <f aca="false">SUM(B21:B22)</f>
        <v>74</v>
      </c>
      <c r="C23" s="44" t="n">
        <f aca="false">SUM(C21:C22)</f>
        <v>83</v>
      </c>
      <c r="D23" s="44" t="n">
        <f aca="false">SUM(D21:D22)</f>
        <v>95</v>
      </c>
      <c r="E23" s="44" t="n">
        <f aca="false">SUM(E21:E22)</f>
        <v>102</v>
      </c>
      <c r="F23" s="44" t="n">
        <f aca="false">SUM(F21:F22)</f>
        <v>109</v>
      </c>
      <c r="G23" s="44" t="n">
        <f aca="false">SUM(G21:G22)</f>
        <v>116</v>
      </c>
      <c r="H23" s="44" t="n">
        <f aca="false">SUM(H21:H22)</f>
        <v>123</v>
      </c>
      <c r="I23" s="44" t="n">
        <f aca="false">SUM(I21:I22)</f>
        <v>130</v>
      </c>
    </row>
    <row r="24" customFormat="false" ht="15" hidden="false" customHeight="true" outlineLevel="0" collapsed="false">
      <c r="A24" s="52" t="s">
        <v>216</v>
      </c>
      <c r="B24" s="44" t="n">
        <f aca="false">B20+B23</f>
        <v>135</v>
      </c>
      <c r="C24" s="44" t="n">
        <f aca="false">C20+C23</f>
        <v>149</v>
      </c>
      <c r="D24" s="44" t="n">
        <f aca="false">D20+D23</f>
        <v>165</v>
      </c>
      <c r="E24" s="44" t="n">
        <f aca="false">E20+E23</f>
        <v>175</v>
      </c>
      <c r="F24" s="44" t="n">
        <f aca="false">F20+F23</f>
        <v>185</v>
      </c>
      <c r="G24" s="44" t="n">
        <f aca="false">G20+G23</f>
        <v>195</v>
      </c>
      <c r="H24" s="44" t="n">
        <f aca="false">H20+H23</f>
        <v>205</v>
      </c>
      <c r="I24" s="44" t="n">
        <f aca="false">I20+I23</f>
        <v>215</v>
      </c>
    </row>
    <row r="25" customFormat="false" ht="15" hidden="false" customHeight="true" outlineLevel="0" collapsed="false">
      <c r="A25" s="36" t="s">
        <v>64</v>
      </c>
      <c r="B25" s="59" t="n">
        <f aca="false">B21/Assumptions!$B$6</f>
        <v>7.01357466063348</v>
      </c>
      <c r="C25" s="59" t="n">
        <f aca="false">C21/Assumptions!$B$6</f>
        <v>7.9185520361991</v>
      </c>
      <c r="D25" s="59" t="n">
        <f aca="false">D21/Assumptions!$B$6</f>
        <v>9.04977375565611</v>
      </c>
      <c r="E25" s="59" t="n">
        <f aca="false">E21/Assumptions!$B$6</f>
        <v>9.72850678733032</v>
      </c>
      <c r="F25" s="59" t="n">
        <f aca="false">F21/Assumptions!$B$6</f>
        <v>10.4072398190045</v>
      </c>
      <c r="G25" s="59" t="n">
        <f aca="false">G21/Assumptions!$B$6</f>
        <v>11.0859728506787</v>
      </c>
      <c r="H25" s="59" t="n">
        <f aca="false">H21/Assumptions!$B$6</f>
        <v>11.7647058823529</v>
      </c>
      <c r="I25" s="59" t="n">
        <f aca="false">I21/Assumptions!$B$6</f>
        <v>12.4434389140272</v>
      </c>
    </row>
    <row r="26" customFormat="false" ht="15" hidden="false" customHeight="true" outlineLevel="0" collapsed="false">
      <c r="A26" s="36" t="s">
        <v>217</v>
      </c>
      <c r="B26" s="42" t="n">
        <f aca="false">B5-B18</f>
        <v>17</v>
      </c>
      <c r="C26" s="42" t="n">
        <f aca="false">C5-C18</f>
        <v>21</v>
      </c>
      <c r="D26" s="42" t="n">
        <f aca="false">D5-D18</f>
        <v>25</v>
      </c>
      <c r="E26" s="42" t="n">
        <f aca="false">E5-E18</f>
        <v>27</v>
      </c>
      <c r="F26" s="42" t="n">
        <f aca="false">F5-F18</f>
        <v>29</v>
      </c>
      <c r="G26" s="42" t="n">
        <f aca="false">G5-G18</f>
        <v>31</v>
      </c>
      <c r="H26" s="42" t="n">
        <f aca="false">H5-H18</f>
        <v>33</v>
      </c>
      <c r="I26" s="42" t="n">
        <f aca="false">I5-I18</f>
        <v>36</v>
      </c>
    </row>
    <row r="28" customFormat="false" ht="15" hidden="false" customHeight="true" outlineLevel="0" collapsed="false">
      <c r="A28" s="55" t="s">
        <v>218</v>
      </c>
      <c r="B28" s="55"/>
      <c r="C28" s="55"/>
      <c r="D28" s="55"/>
      <c r="E28" s="55"/>
      <c r="F28" s="55"/>
      <c r="G28" s="55"/>
      <c r="H28" s="55"/>
      <c r="I28" s="55"/>
    </row>
    <row r="29" customFormat="false" ht="15" hidden="false" customHeight="true" outlineLevel="0" collapsed="false">
      <c r="A29" s="55"/>
      <c r="B29" s="55"/>
      <c r="C29" s="55"/>
      <c r="D29" s="55"/>
      <c r="E29" s="55"/>
      <c r="F29" s="55"/>
      <c r="G29" s="55"/>
      <c r="H29" s="55"/>
      <c r="I29" s="55"/>
    </row>
    <row r="30" customFormat="false" ht="15" hidden="false" customHeight="true" outlineLevel="0" collapsed="false">
      <c r="A30" s="55"/>
      <c r="B30" s="55"/>
      <c r="C30" s="55"/>
      <c r="D30" s="55"/>
      <c r="E30" s="55"/>
      <c r="F30" s="55"/>
      <c r="G30" s="55"/>
      <c r="H30" s="55"/>
      <c r="I30" s="55"/>
    </row>
    <row r="31" customFormat="false" ht="15" hidden="false" customHeight="true" outlineLevel="0" collapsed="false">
      <c r="A31" s="55"/>
      <c r="B31" s="55"/>
      <c r="C31" s="55"/>
      <c r="D31" s="55"/>
      <c r="E31" s="55"/>
      <c r="F31" s="55"/>
      <c r="G31" s="55"/>
      <c r="H31" s="55"/>
      <c r="I31" s="55"/>
    </row>
  </sheetData>
  <mergeCells count="1">
    <mergeCell ref="A28: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0"/>
  </cols>
  <sheetData>
    <row r="1" customFormat="false" ht="24" hidden="false" customHeight="true" outlineLevel="0" collapsed="false">
      <c r="A1" s="5" t="s">
        <v>219</v>
      </c>
      <c r="B1" s="34"/>
      <c r="C1" s="34"/>
      <c r="D1" s="34"/>
      <c r="E1" s="34"/>
      <c r="F1" s="34"/>
      <c r="G1" s="34"/>
      <c r="H1" s="34"/>
      <c r="I1" s="34"/>
    </row>
    <row r="2" customFormat="false" ht="15" hidden="false" customHeight="true" outlineLevel="0" collapsed="false">
      <c r="A2" s="8" t="s">
        <v>220</v>
      </c>
      <c r="B2" s="35"/>
      <c r="C2" s="35"/>
      <c r="D2" s="35"/>
      <c r="E2" s="35"/>
      <c r="F2" s="35"/>
      <c r="G2" s="35"/>
      <c r="H2" s="35"/>
      <c r="I2" s="35"/>
    </row>
    <row r="4" customFormat="false" ht="15" hidden="false" customHeight="true" outlineLevel="0" collapsed="false">
      <c r="A4" s="41" t="s">
        <v>159</v>
      </c>
      <c r="B4" s="41" t="s">
        <v>173</v>
      </c>
      <c r="C4" s="41" t="s">
        <v>174</v>
      </c>
      <c r="D4" s="41" t="s">
        <v>175</v>
      </c>
      <c r="E4" s="41" t="s">
        <v>176</v>
      </c>
      <c r="F4" s="41" t="s">
        <v>177</v>
      </c>
      <c r="G4" s="41" t="s">
        <v>178</v>
      </c>
      <c r="H4" s="41" t="s">
        <v>179</v>
      </c>
      <c r="I4" s="41" t="s">
        <v>180</v>
      </c>
    </row>
    <row r="5" customFormat="false" ht="15" hidden="false" customHeight="true" outlineLevel="0" collapsed="false">
      <c r="A5" s="36" t="s">
        <v>221</v>
      </c>
      <c r="B5" s="39" t="n">
        <v>14</v>
      </c>
      <c r="C5" s="39" t="n">
        <v>17</v>
      </c>
      <c r="D5" s="39" t="n">
        <v>20</v>
      </c>
      <c r="E5" s="39" t="n">
        <v>18</v>
      </c>
      <c r="F5" s="39" t="n">
        <v>19</v>
      </c>
      <c r="G5" s="39" t="n">
        <v>20</v>
      </c>
      <c r="H5" s="39" t="n">
        <v>21</v>
      </c>
      <c r="I5" s="39" t="n">
        <v>22</v>
      </c>
    </row>
    <row r="6" customFormat="false" ht="15" hidden="false" customHeight="true" outlineLevel="0" collapsed="false">
      <c r="A6" s="36" t="s">
        <v>222</v>
      </c>
      <c r="B6" s="39" t="n">
        <v>-2</v>
      </c>
      <c r="C6" s="39" t="n">
        <v>-2.2</v>
      </c>
      <c r="D6" s="39" t="n">
        <v>-2.5</v>
      </c>
      <c r="E6" s="39" t="n">
        <v>-2.5</v>
      </c>
      <c r="F6" s="39" t="n">
        <v>-2.6</v>
      </c>
      <c r="G6" s="39" t="n">
        <v>-2.7</v>
      </c>
      <c r="H6" s="39" t="n">
        <v>-2.8</v>
      </c>
      <c r="I6" s="39" t="n">
        <v>-2.9</v>
      </c>
    </row>
    <row r="7" customFormat="false" ht="15" hidden="false" customHeight="true" outlineLevel="0" collapsed="false">
      <c r="A7" s="36" t="s">
        <v>223</v>
      </c>
      <c r="B7" s="39" t="n">
        <v>-6.5</v>
      </c>
      <c r="C7" s="39" t="n">
        <v>-7.5</v>
      </c>
      <c r="D7" s="39" t="n">
        <v>-8.8</v>
      </c>
      <c r="E7" s="39" t="n">
        <v>-9</v>
      </c>
      <c r="F7" s="39" t="n">
        <v>-9.2</v>
      </c>
      <c r="G7" s="39" t="n">
        <v>-9.5</v>
      </c>
      <c r="H7" s="39" t="n">
        <v>-9.8</v>
      </c>
      <c r="I7" s="39" t="n">
        <v>-10.1</v>
      </c>
    </row>
    <row r="8" customFormat="false" ht="15" hidden="false" customHeight="true" outlineLevel="0" collapsed="false">
      <c r="A8" s="52" t="s">
        <v>224</v>
      </c>
      <c r="B8" s="44" t="n">
        <f aca="false">SUM(B5:B7)</f>
        <v>5.5</v>
      </c>
      <c r="C8" s="44" t="n">
        <f aca="false">SUM(C5:C7)</f>
        <v>7.3</v>
      </c>
      <c r="D8" s="44" t="n">
        <f aca="false">SUM(D5:D7)</f>
        <v>8.7</v>
      </c>
      <c r="E8" s="44" t="n">
        <f aca="false">SUM(E5:E7)</f>
        <v>6.5</v>
      </c>
      <c r="F8" s="44" t="n">
        <f aca="false">SUM(F5:F7)</f>
        <v>7.2</v>
      </c>
      <c r="G8" s="44" t="n">
        <f aca="false">SUM(G5:G7)</f>
        <v>7.8</v>
      </c>
      <c r="H8" s="44" t="n">
        <f aca="false">SUM(H5:H7)</f>
        <v>8.4</v>
      </c>
      <c r="I8" s="44" t="n">
        <f aca="false">SUM(I5:I7)</f>
        <v>9</v>
      </c>
    </row>
    <row r="9" customFormat="false" ht="15" hidden="false" customHeight="true" outlineLevel="0" collapsed="false">
      <c r="A9" s="36" t="s">
        <v>225</v>
      </c>
      <c r="B9" s="42" t="n">
        <f aca="false">B5+B6</f>
        <v>12</v>
      </c>
      <c r="C9" s="42" t="n">
        <f aca="false">C5+C6</f>
        <v>14.8</v>
      </c>
      <c r="D9" s="42" t="n">
        <f aca="false">D5+D6</f>
        <v>17.5</v>
      </c>
      <c r="E9" s="42" t="n">
        <f aca="false">E5+E6</f>
        <v>15.5</v>
      </c>
      <c r="F9" s="42" t="n">
        <f aca="false">F5+F6</f>
        <v>16.4</v>
      </c>
      <c r="G9" s="42" t="n">
        <f aca="false">G5+G6</f>
        <v>17.3</v>
      </c>
      <c r="H9" s="42" t="n">
        <f aca="false">H5+H6</f>
        <v>18.2</v>
      </c>
      <c r="I9" s="42" t="n">
        <f aca="false">I5+I6</f>
        <v>19.1</v>
      </c>
    </row>
    <row r="11" customFormat="false" ht="15" hidden="false" customHeight="true" outlineLevel="0" collapsed="false">
      <c r="A11" s="55" t="s">
        <v>226</v>
      </c>
      <c r="B11" s="55"/>
      <c r="C11" s="55"/>
      <c r="D11" s="55"/>
      <c r="E11" s="55"/>
      <c r="F11" s="55"/>
      <c r="G11" s="55"/>
      <c r="H11" s="55"/>
      <c r="I11" s="55"/>
    </row>
    <row r="12" customFormat="false" ht="15" hidden="false" customHeight="true" outlineLevel="0" collapsed="false">
      <c r="A12" s="55"/>
      <c r="B12" s="55"/>
      <c r="C12" s="55"/>
      <c r="D12" s="55"/>
      <c r="E12" s="55"/>
      <c r="F12" s="55"/>
      <c r="G12" s="55"/>
      <c r="H12" s="55"/>
      <c r="I12" s="55"/>
    </row>
    <row r="13" customFormat="false" ht="15" hidden="false" customHeight="true" outlineLevel="0" collapsed="false">
      <c r="A13" s="55"/>
      <c r="B13" s="55"/>
      <c r="C13" s="55"/>
      <c r="D13" s="55"/>
      <c r="E13" s="55"/>
      <c r="F13" s="55"/>
      <c r="G13" s="55"/>
      <c r="H13" s="55"/>
      <c r="I13" s="55"/>
    </row>
    <row r="14" customFormat="false" ht="15" hidden="false" customHeight="true" outlineLevel="0" collapsed="false">
      <c r="A14" s="55"/>
      <c r="B14" s="55"/>
      <c r="C14" s="55"/>
      <c r="D14" s="55"/>
      <c r="E14" s="55"/>
      <c r="F14" s="55"/>
      <c r="G14" s="55"/>
      <c r="H14" s="55"/>
      <c r="I14" s="55"/>
    </row>
  </sheetData>
  <mergeCells count="1">
    <mergeCell ref="A11: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9" min="2" style="1" width="10"/>
  </cols>
  <sheetData>
    <row r="1" customFormat="false" ht="24" hidden="false" customHeight="true" outlineLevel="0" collapsed="false">
      <c r="A1" s="5" t="s">
        <v>227</v>
      </c>
      <c r="B1" s="34"/>
      <c r="C1" s="34"/>
      <c r="D1" s="34"/>
      <c r="E1" s="34"/>
      <c r="F1" s="34"/>
      <c r="G1" s="34"/>
      <c r="H1" s="34"/>
      <c r="I1" s="34"/>
    </row>
    <row r="2" customFormat="false" ht="15" hidden="false" customHeight="true" outlineLevel="0" collapsed="false">
      <c r="A2" s="8" t="s">
        <v>228</v>
      </c>
      <c r="B2" s="35"/>
      <c r="C2" s="35"/>
      <c r="D2" s="35"/>
      <c r="E2" s="35"/>
      <c r="F2" s="35"/>
      <c r="G2" s="35"/>
      <c r="H2" s="35"/>
      <c r="I2" s="35"/>
    </row>
    <row r="4" customFormat="false" ht="15" hidden="false" customHeight="true" outlineLevel="0" collapsed="false">
      <c r="A4" s="41" t="s">
        <v>159</v>
      </c>
      <c r="B4" s="41" t="s">
        <v>173</v>
      </c>
      <c r="C4" s="41" t="s">
        <v>174</v>
      </c>
      <c r="D4" s="41" t="s">
        <v>175</v>
      </c>
      <c r="E4" s="41" t="s">
        <v>176</v>
      </c>
      <c r="F4" s="41" t="s">
        <v>177</v>
      </c>
      <c r="G4" s="41" t="s">
        <v>178</v>
      </c>
      <c r="H4" s="41" t="s">
        <v>179</v>
      </c>
      <c r="I4" s="41" t="s">
        <v>180</v>
      </c>
    </row>
    <row r="5" customFormat="false" ht="15" hidden="false" customHeight="true" outlineLevel="0" collapsed="false">
      <c r="A5" s="36" t="s">
        <v>84</v>
      </c>
      <c r="B5" s="51" t="n">
        <f aca="false">'Income Statement'!B7</f>
        <v>26.7</v>
      </c>
      <c r="C5" s="51" t="n">
        <f aca="false">'Income Statement'!C7</f>
        <v>35.5</v>
      </c>
      <c r="D5" s="51" t="n">
        <f aca="false">'Income Statement'!D7</f>
        <v>49.5</v>
      </c>
      <c r="E5" s="51" t="n">
        <f aca="false">'Income Statement'!E7</f>
        <v>47</v>
      </c>
      <c r="F5" s="51" t="n">
        <f aca="false">'Income Statement'!F7</f>
        <v>49</v>
      </c>
      <c r="G5" s="51" t="n">
        <f aca="false">'Income Statement'!G7</f>
        <v>51</v>
      </c>
      <c r="H5" s="51" t="n">
        <f aca="false">'Income Statement'!H7</f>
        <v>53</v>
      </c>
      <c r="I5" s="51" t="n">
        <f aca="false">'Income Statement'!I7</f>
        <v>55</v>
      </c>
    </row>
    <row r="6" customFormat="false" ht="15" hidden="false" customHeight="true" outlineLevel="0" collapsed="false">
      <c r="A6" s="36" t="s">
        <v>229</v>
      </c>
      <c r="B6" s="51" t="n">
        <f aca="false">'Income Statement'!B10</f>
        <v>11.5</v>
      </c>
      <c r="C6" s="51" t="n">
        <f aca="false">'Income Statement'!C10</f>
        <v>17.5</v>
      </c>
      <c r="D6" s="51" t="n">
        <f aca="false">'Income Statement'!D10</f>
        <v>24</v>
      </c>
      <c r="E6" s="51" t="n">
        <f aca="false">'Income Statement'!E10</f>
        <v>22.5</v>
      </c>
      <c r="F6" s="51" t="n">
        <f aca="false">'Income Statement'!F10</f>
        <v>23.5</v>
      </c>
      <c r="G6" s="51" t="n">
        <f aca="false">'Income Statement'!G10</f>
        <v>24.5</v>
      </c>
      <c r="H6" s="51" t="n">
        <f aca="false">'Income Statement'!H10</f>
        <v>25.5</v>
      </c>
      <c r="I6" s="51" t="n">
        <f aca="false">'Income Statement'!I10</f>
        <v>26.5</v>
      </c>
    </row>
    <row r="7" customFormat="false" ht="15" hidden="false" customHeight="true" outlineLevel="0" collapsed="false">
      <c r="A7" s="36" t="s">
        <v>86</v>
      </c>
      <c r="B7" s="51" t="n">
        <f aca="false">'Income Statement'!B15</f>
        <v>11</v>
      </c>
      <c r="C7" s="51" t="n">
        <f aca="false">'Income Statement'!C15</f>
        <v>13.7</v>
      </c>
      <c r="D7" s="51" t="n">
        <f aca="false">'Income Statement'!D15</f>
        <v>18.9</v>
      </c>
      <c r="E7" s="51" t="n">
        <f aca="false">'Income Statement'!E15</f>
        <v>15.8</v>
      </c>
      <c r="F7" s="51" t="n">
        <f aca="false">'Income Statement'!F15</f>
        <v>16.5</v>
      </c>
      <c r="G7" s="51" t="n">
        <f aca="false">'Income Statement'!G15</f>
        <v>17.3</v>
      </c>
      <c r="H7" s="51" t="n">
        <f aca="false">'Income Statement'!H15</f>
        <v>18</v>
      </c>
      <c r="I7" s="51" t="n">
        <f aca="false">'Income Statement'!I15</f>
        <v>18.8</v>
      </c>
    </row>
    <row r="8" customFormat="false" ht="15" hidden="false" customHeight="true" outlineLevel="0" collapsed="false">
      <c r="A8" s="36" t="s">
        <v>193</v>
      </c>
      <c r="B8" s="64" t="n">
        <f aca="false">'Income Statement'!B17</f>
        <v>1.24434389140272</v>
      </c>
      <c r="C8" s="64" t="n">
        <f aca="false">'Income Statement'!C17</f>
        <v>1.54977375565611</v>
      </c>
      <c r="D8" s="64" t="n">
        <f aca="false">'Income Statement'!D17</f>
        <v>2.13800904977376</v>
      </c>
      <c r="E8" s="64" t="n">
        <f aca="false">'Income Statement'!E17</f>
        <v>1.78733031674208</v>
      </c>
      <c r="F8" s="64" t="n">
        <f aca="false">'Income Statement'!F17</f>
        <v>1.86651583710407</v>
      </c>
      <c r="G8" s="64" t="n">
        <f aca="false">'Income Statement'!G17</f>
        <v>1.95701357466063</v>
      </c>
      <c r="H8" s="64" t="n">
        <f aca="false">'Income Statement'!H17</f>
        <v>2.03619909502262</v>
      </c>
      <c r="I8" s="64" t="n">
        <f aca="false">'Income Statement'!I17</f>
        <v>2.12669683257919</v>
      </c>
    </row>
    <row r="9" customFormat="false" ht="15" hidden="false" customHeight="true" outlineLevel="0" collapsed="false">
      <c r="A9" s="36" t="s">
        <v>206</v>
      </c>
      <c r="B9" s="51" t="n">
        <f aca="false">'Balance Sheet'!B15</f>
        <v>16</v>
      </c>
      <c r="C9" s="51" t="n">
        <f aca="false">'Balance Sheet'!C15</f>
        <v>17</v>
      </c>
      <c r="D9" s="51" t="n">
        <f aca="false">'Balance Sheet'!D15</f>
        <v>18</v>
      </c>
      <c r="E9" s="51" t="n">
        <f aca="false">'Balance Sheet'!E15</f>
        <v>19</v>
      </c>
      <c r="F9" s="51" t="n">
        <f aca="false">'Balance Sheet'!F15</f>
        <v>20</v>
      </c>
      <c r="G9" s="51" t="n">
        <f aca="false">'Balance Sheet'!G15</f>
        <v>21</v>
      </c>
      <c r="H9" s="51" t="n">
        <f aca="false">'Balance Sheet'!H15</f>
        <v>22</v>
      </c>
      <c r="I9" s="51" t="n">
        <f aca="false">'Balance Sheet'!I15</f>
        <v>23</v>
      </c>
    </row>
    <row r="10" customFormat="false" ht="15" hidden="false" customHeight="true" outlineLevel="0" collapsed="false">
      <c r="A10" s="36" t="s">
        <v>215</v>
      </c>
      <c r="B10" s="51" t="n">
        <f aca="false">'Balance Sheet'!B25</f>
        <v>7.01357466063348</v>
      </c>
      <c r="C10" s="51" t="n">
        <f aca="false">'Balance Sheet'!C25</f>
        <v>7.9185520361991</v>
      </c>
      <c r="D10" s="51" t="n">
        <f aca="false">'Balance Sheet'!D25</f>
        <v>9.04977375565611</v>
      </c>
      <c r="E10" s="51" t="n">
        <f aca="false">'Balance Sheet'!E25</f>
        <v>9.72850678733032</v>
      </c>
      <c r="F10" s="51" t="n">
        <f aca="false">'Balance Sheet'!F25</f>
        <v>10.4072398190045</v>
      </c>
      <c r="G10" s="51" t="n">
        <f aca="false">'Balance Sheet'!G25</f>
        <v>11.0859728506787</v>
      </c>
      <c r="H10" s="51" t="n">
        <f aca="false">'Balance Sheet'!H25</f>
        <v>11.7647058823529</v>
      </c>
      <c r="I10" s="51" t="n">
        <f aca="false">'Balance Sheet'!I25</f>
        <v>12.4434389140272</v>
      </c>
    </row>
    <row r="11" customFormat="false" ht="15" hidden="false" customHeight="true" outlineLevel="0" collapsed="false">
      <c r="A11" s="36" t="s">
        <v>230</v>
      </c>
      <c r="B11" s="51" t="n">
        <f aca="false">'Balance Sheet'!B27</f>
        <v>0</v>
      </c>
      <c r="C11" s="51" t="n">
        <f aca="false">'Balance Sheet'!C27</f>
        <v>0</v>
      </c>
      <c r="D11" s="51" t="n">
        <f aca="false">'Balance Sheet'!D27</f>
        <v>0</v>
      </c>
      <c r="E11" s="51" t="n">
        <f aca="false">'Balance Sheet'!E27</f>
        <v>0</v>
      </c>
      <c r="F11" s="51" t="n">
        <f aca="false">'Balance Sheet'!F27</f>
        <v>0</v>
      </c>
      <c r="G11" s="51" t="n">
        <f aca="false">'Balance Sheet'!G27</f>
        <v>0</v>
      </c>
      <c r="H11" s="51" t="n">
        <f aca="false">'Balance Sheet'!H27</f>
        <v>0</v>
      </c>
      <c r="I11" s="51" t="n">
        <f aca="false">'Balance Sheet'!I27</f>
        <v>0</v>
      </c>
    </row>
    <row r="12" customFormat="false" ht="15" hidden="false" customHeight="true" outlineLevel="0" collapsed="false">
      <c r="A12" s="36" t="s">
        <v>231</v>
      </c>
      <c r="B12" s="64" t="n">
        <f aca="false">'Balance Sheet'!B26</f>
        <v>17</v>
      </c>
      <c r="C12" s="64" t="n">
        <f aca="false">'Balance Sheet'!C26</f>
        <v>21</v>
      </c>
      <c r="D12" s="64" t="n">
        <f aca="false">'Balance Sheet'!D26</f>
        <v>25</v>
      </c>
      <c r="E12" s="64" t="n">
        <f aca="false">'Balance Sheet'!E26</f>
        <v>27</v>
      </c>
      <c r="F12" s="64" t="n">
        <f aca="false">'Balance Sheet'!F26</f>
        <v>29</v>
      </c>
      <c r="G12" s="64" t="n">
        <f aca="false">'Balance Sheet'!G26</f>
        <v>31</v>
      </c>
      <c r="H12" s="64" t="n">
        <f aca="false">'Balance Sheet'!H26</f>
        <v>33</v>
      </c>
      <c r="I12" s="64" t="n">
        <f aca="false">'Balance Sheet'!I26</f>
        <v>36</v>
      </c>
    </row>
    <row r="13" customFormat="false" ht="15" hidden="false" customHeight="true" outlineLevel="0" collapsed="false">
      <c r="A13" s="36" t="s">
        <v>221</v>
      </c>
      <c r="B13" s="51" t="n">
        <f aca="false">'Cash Flow'!B5</f>
        <v>14</v>
      </c>
      <c r="C13" s="51" t="n">
        <f aca="false">'Cash Flow'!C5</f>
        <v>17</v>
      </c>
      <c r="D13" s="51" t="n">
        <f aca="false">'Cash Flow'!D5</f>
        <v>20</v>
      </c>
      <c r="E13" s="51" t="n">
        <f aca="false">'Cash Flow'!E5</f>
        <v>18</v>
      </c>
      <c r="F13" s="51" t="n">
        <f aca="false">'Cash Flow'!F5</f>
        <v>19</v>
      </c>
      <c r="G13" s="51" t="n">
        <f aca="false">'Cash Flow'!G5</f>
        <v>20</v>
      </c>
      <c r="H13" s="51" t="n">
        <f aca="false">'Cash Flow'!H5</f>
        <v>21</v>
      </c>
      <c r="I13" s="51" t="n">
        <f aca="false">'Cash Flow'!I5</f>
        <v>22</v>
      </c>
    </row>
    <row r="14" customFormat="false" ht="15" hidden="false" customHeight="true" outlineLevel="0" collapsed="false">
      <c r="A14" s="36" t="s">
        <v>232</v>
      </c>
      <c r="B14" s="51" t="n">
        <f aca="false">'Cash Flow'!B9</f>
        <v>12</v>
      </c>
      <c r="C14" s="51" t="n">
        <f aca="false">'Cash Flow'!C9</f>
        <v>14.8</v>
      </c>
      <c r="D14" s="51" t="n">
        <f aca="false">'Cash Flow'!D9</f>
        <v>17.5</v>
      </c>
      <c r="E14" s="51" t="n">
        <f aca="false">'Cash Flow'!E9</f>
        <v>15.5</v>
      </c>
      <c r="F14" s="51" t="n">
        <f aca="false">'Cash Flow'!F9</f>
        <v>16.4</v>
      </c>
      <c r="G14" s="51" t="n">
        <f aca="false">'Cash Flow'!G9</f>
        <v>17.3</v>
      </c>
      <c r="H14" s="51" t="n">
        <f aca="false">'Cash Flow'!H9</f>
        <v>18.2</v>
      </c>
      <c r="I14" s="51" t="n">
        <f aca="false">'Cash Flow'!I9</f>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6" min="2" style="1" width="11"/>
    <col collapsed="false" customWidth="true" hidden="false" outlineLevel="0" max="7" min="7" style="1" width="14"/>
    <col collapsed="false" customWidth="true" hidden="false" outlineLevel="0" max="8" min="8" style="1" width="4"/>
  </cols>
  <sheetData>
    <row r="1" customFormat="false" ht="24" hidden="false" customHeight="true" outlineLevel="0" collapsed="false">
      <c r="A1" s="5" t="s">
        <v>233</v>
      </c>
      <c r="B1" s="34"/>
      <c r="C1" s="34"/>
      <c r="D1" s="34"/>
      <c r="E1" s="34"/>
      <c r="F1" s="34"/>
      <c r="G1" s="34"/>
      <c r="H1" s="34"/>
    </row>
    <row r="2" customFormat="false" ht="15" hidden="false" customHeight="true" outlineLevel="0" collapsed="false">
      <c r="A2" s="8" t="s">
        <v>234</v>
      </c>
      <c r="B2" s="35"/>
      <c r="C2" s="35"/>
      <c r="D2" s="35"/>
      <c r="E2" s="35"/>
      <c r="F2" s="35"/>
      <c r="G2" s="35"/>
      <c r="H2" s="35"/>
    </row>
    <row r="4" customFormat="false" ht="15" hidden="false" customHeight="true" outlineLevel="0" collapsed="false">
      <c r="A4" s="3" t="s">
        <v>235</v>
      </c>
    </row>
    <row r="5" customFormat="false" ht="15" hidden="false" customHeight="true" outlineLevel="0" collapsed="false">
      <c r="A5" s="36" t="s">
        <v>236</v>
      </c>
      <c r="B5" s="37" t="n">
        <v>12.14</v>
      </c>
    </row>
    <row r="6" customFormat="false" ht="15" hidden="false" customHeight="true" outlineLevel="0" collapsed="false">
      <c r="A6" s="36" t="s">
        <v>237</v>
      </c>
      <c r="B6" s="65" t="n">
        <v>20</v>
      </c>
    </row>
    <row r="7" customFormat="false" ht="15" hidden="false" customHeight="true" outlineLevel="0" collapsed="false">
      <c r="A7" s="36" t="s">
        <v>238</v>
      </c>
      <c r="B7" s="65" t="n">
        <v>63</v>
      </c>
    </row>
    <row r="8" customFormat="false" ht="15" hidden="false" customHeight="true" outlineLevel="0" collapsed="false">
      <c r="A8" s="36" t="s">
        <v>239</v>
      </c>
      <c r="B8" s="40" t="n">
        <v>0.167</v>
      </c>
    </row>
    <row r="9" customFormat="false" ht="15" hidden="false" customHeight="true" outlineLevel="0" collapsed="false">
      <c r="A9" s="36" t="s">
        <v>240</v>
      </c>
      <c r="B9" s="37" t="n">
        <v>10.15</v>
      </c>
    </row>
    <row r="10" customFormat="false" ht="15" hidden="false" customHeight="true" outlineLevel="0" collapsed="false">
      <c r="A10" s="36" t="s">
        <v>241</v>
      </c>
      <c r="B10" s="37" t="n">
        <v>12.01</v>
      </c>
    </row>
    <row r="11" customFormat="false" ht="15" hidden="false" customHeight="true" outlineLevel="0" collapsed="false">
      <c r="A11" s="36" t="s">
        <v>242</v>
      </c>
      <c r="B11" s="37" t="n">
        <v>13.53</v>
      </c>
    </row>
    <row r="12" customFormat="false" ht="15" hidden="false" customHeight="true" outlineLevel="0" collapsed="false">
      <c r="A12" s="36" t="s">
        <v>243</v>
      </c>
      <c r="B12" s="37" t="n">
        <v>17.25</v>
      </c>
    </row>
    <row r="13" customFormat="false" ht="15" hidden="false" customHeight="false" outlineLevel="0" collapsed="false">
      <c r="A13" s="66" t="s">
        <v>244</v>
      </c>
      <c r="B13" s="50" t="n">
        <v>13.04</v>
      </c>
      <c r="C13" s="67" t="s">
        <v>245</v>
      </c>
    </row>
    <row r="14" customFormat="false" ht="15" hidden="false" customHeight="true" outlineLevel="0" collapsed="false">
      <c r="A14" s="3" t="s">
        <v>246</v>
      </c>
    </row>
    <row r="15" customFormat="false" ht="15" hidden="false" customHeight="true" outlineLevel="0" collapsed="false">
      <c r="A15" s="41" t="s">
        <v>247</v>
      </c>
      <c r="B15" s="41" t="s">
        <v>248</v>
      </c>
      <c r="C15" s="41" t="s">
        <v>249</v>
      </c>
      <c r="D15" s="41"/>
      <c r="E15" s="41"/>
      <c r="F15" s="41"/>
      <c r="G15" s="41" t="s">
        <v>250</v>
      </c>
    </row>
    <row r="16" customFormat="false" ht="15" hidden="false" customHeight="true" outlineLevel="0" collapsed="false">
      <c r="A16" s="68" t="s">
        <v>251</v>
      </c>
      <c r="B16" s="40" t="n">
        <v>-0.005</v>
      </c>
      <c r="C16" s="40" t="n">
        <v>0.04</v>
      </c>
    </row>
    <row r="17" customFormat="false" ht="15" hidden="false" customHeight="true" outlineLevel="0" collapsed="false">
      <c r="A17" s="68" t="s">
        <v>252</v>
      </c>
      <c r="B17" s="40" t="n">
        <v>0.01</v>
      </c>
      <c r="C17" s="40" t="n">
        <v>0.05</v>
      </c>
    </row>
    <row r="18" customFormat="false" ht="15" hidden="false" customHeight="true" outlineLevel="0" collapsed="false">
      <c r="A18" s="68" t="s">
        <v>253</v>
      </c>
      <c r="B18" s="40" t="n">
        <v>0.005</v>
      </c>
      <c r="C18" s="40" t="n">
        <v>0.05</v>
      </c>
    </row>
    <row r="19" customFormat="false" ht="15" hidden="false" customHeight="true" outlineLevel="0" collapsed="false">
      <c r="A19" s="68" t="s">
        <v>254</v>
      </c>
      <c r="B19" s="40" t="n">
        <v>0.003</v>
      </c>
      <c r="C19" s="40" t="n">
        <v>0.04</v>
      </c>
    </row>
    <row r="20" customFormat="false" ht="15" hidden="false" customHeight="true" outlineLevel="0" collapsed="false">
      <c r="A20" s="68" t="s">
        <v>255</v>
      </c>
      <c r="B20" s="40" t="n">
        <v>0.005</v>
      </c>
      <c r="C20" s="40" t="n">
        <v>0.03</v>
      </c>
    </row>
    <row r="21" customFormat="false" ht="15" hidden="false" customHeight="true" outlineLevel="0" collapsed="false">
      <c r="A21" s="68" t="s">
        <v>256</v>
      </c>
      <c r="B21" s="40" t="n">
        <v>0.003</v>
      </c>
      <c r="C21" s="40" t="n">
        <v>0.03</v>
      </c>
    </row>
    <row r="22" customFormat="false" ht="15" hidden="false" customHeight="true" outlineLevel="0" collapsed="false">
      <c r="A22" s="68" t="s">
        <v>257</v>
      </c>
      <c r="B22" s="40" t="n">
        <v>-0.004</v>
      </c>
      <c r="C22" s="40" t="n">
        <v>0.03</v>
      </c>
    </row>
    <row r="24" customFormat="false" ht="15" hidden="false" customHeight="true" outlineLevel="0" collapsed="false">
      <c r="A24" s="3" t="s">
        <v>258</v>
      </c>
    </row>
    <row r="25" customFormat="false" ht="15" hidden="false" customHeight="true" outlineLevel="0" collapsed="false">
      <c r="A25" s="41" t="s">
        <v>259</v>
      </c>
      <c r="B25" s="41" t="s">
        <v>260</v>
      </c>
      <c r="C25" s="41" t="s">
        <v>261</v>
      </c>
      <c r="D25" s="41" t="s">
        <v>262</v>
      </c>
      <c r="E25" s="41"/>
      <c r="F25" s="41"/>
      <c r="G25" s="41" t="s">
        <v>250</v>
      </c>
    </row>
    <row r="26" customFormat="false" ht="15" hidden="false" customHeight="true" outlineLevel="0" collapsed="false">
      <c r="A26" s="68" t="s">
        <v>263</v>
      </c>
      <c r="B26" s="40" t="n">
        <v>0.5</v>
      </c>
      <c r="C26" s="40" t="n">
        <v>0.06</v>
      </c>
      <c r="D26" s="40" t="n">
        <v>0.04</v>
      </c>
    </row>
    <row r="27" customFormat="false" ht="15" hidden="false" customHeight="true" outlineLevel="0" collapsed="false">
      <c r="A27" s="68" t="s">
        <v>264</v>
      </c>
      <c r="B27" s="40" t="n">
        <v>0.3</v>
      </c>
      <c r="C27" s="40" t="n">
        <v>0.05</v>
      </c>
      <c r="D27" s="40" t="n">
        <v>0.03</v>
      </c>
    </row>
    <row r="28" customFormat="false" ht="15" hidden="false" customHeight="true" outlineLevel="0" collapsed="false">
      <c r="A28" s="68" t="s">
        <v>265</v>
      </c>
      <c r="B28" s="40" t="n">
        <v>0.25</v>
      </c>
      <c r="C28" s="40" t="n">
        <v>0.04</v>
      </c>
      <c r="D28" s="40" t="n">
        <v>0.03</v>
      </c>
    </row>
    <row r="29" customFormat="false" ht="15" hidden="false" customHeight="true" outlineLevel="0" collapsed="false">
      <c r="A29" s="68" t="s">
        <v>266</v>
      </c>
      <c r="B29" s="40" t="n">
        <v>0.25</v>
      </c>
      <c r="C29" s="40" t="n">
        <v>0.04</v>
      </c>
      <c r="D29" s="40" t="n">
        <v>0.03</v>
      </c>
    </row>
    <row r="30" customFormat="false" ht="15" hidden="false" customHeight="true" outlineLevel="0" collapsed="false">
      <c r="A30" s="68" t="s">
        <v>267</v>
      </c>
      <c r="B30" s="40" t="n">
        <v>0.4</v>
      </c>
      <c r="C30" s="40" t="n">
        <v>0</v>
      </c>
      <c r="D30" s="40" t="n">
        <v>0.05</v>
      </c>
    </row>
    <row r="31" customFormat="false" ht="15" hidden="false" customHeight="true" outlineLevel="0" collapsed="false">
      <c r="A31" s="68" t="s">
        <v>268</v>
      </c>
      <c r="B31" s="40" t="n">
        <v>0.3</v>
      </c>
      <c r="C31" s="40" t="n">
        <v>-0.06</v>
      </c>
      <c r="D31" s="40" t="n">
        <v>0.04</v>
      </c>
    </row>
    <row r="32" customFormat="false" ht="15" hidden="false" customHeight="true" outlineLevel="0" collapsed="false">
      <c r="A32" s="68" t="s">
        <v>269</v>
      </c>
      <c r="B32" s="40" t="n">
        <v>0.3</v>
      </c>
      <c r="C32" s="40" t="n">
        <v>-0.05</v>
      </c>
      <c r="D32" s="40" t="n">
        <v>0.04</v>
      </c>
    </row>
    <row r="33" customFormat="false" ht="15" hidden="false" customHeight="true" outlineLevel="0" collapsed="false">
      <c r="A33" s="68" t="s">
        <v>270</v>
      </c>
      <c r="B33" s="40" t="n">
        <v>0.25</v>
      </c>
      <c r="C33" s="40" t="n">
        <v>-0.04</v>
      </c>
      <c r="D33" s="40" t="n">
        <v>0.03</v>
      </c>
    </row>
    <row r="34" customFormat="false" ht="15" hidden="false" customHeight="true" outlineLevel="0" collapsed="false">
      <c r="A34" s="68" t="s">
        <v>271</v>
      </c>
      <c r="B34" s="40" t="n">
        <v>0.25</v>
      </c>
      <c r="C34" s="40" t="n">
        <v>-0.06</v>
      </c>
      <c r="D34" s="40" t="n">
        <v>0.04</v>
      </c>
    </row>
    <row r="36" customFormat="false" ht="15" hidden="false" customHeight="true" outlineLevel="0" collapsed="false">
      <c r="A36" s="3" t="s">
        <v>272</v>
      </c>
    </row>
    <row r="37" customFormat="false" ht="15" hidden="false" customHeight="true" outlineLevel="0" collapsed="false">
      <c r="A37" s="36" t="s">
        <v>273</v>
      </c>
      <c r="B37" s="54" t="n">
        <f aca="false">SUM(B16:B22)+SUMPRODUCT(B26:B34,C26:C34)</f>
        <v>0.024</v>
      </c>
    </row>
    <row r="38" customFormat="false" ht="15" hidden="false" customHeight="true" outlineLevel="0" collapsed="false">
      <c r="A38" s="36" t="s">
        <v>274</v>
      </c>
      <c r="B38" s="69" t="n">
        <f aca="false">SUMPRODUCT(C16:C22,C16:C22)+SUMPRODUCT(B26:B34,D26:D34^2+(1-B26:B34)*C26:C34^2)+B8^2</f>
        <v>0.047175</v>
      </c>
    </row>
    <row r="39" customFormat="false" ht="15" hidden="false" customHeight="true" outlineLevel="0" collapsed="false">
      <c r="A39" s="36" t="s">
        <v>275</v>
      </c>
      <c r="B39" s="54" t="n">
        <f aca="false">SQRT(B38)</f>
        <v>0.217198066289735</v>
      </c>
    </row>
    <row r="40" customFormat="false" ht="15" hidden="false" customHeight="true" outlineLevel="0" collapsed="false">
      <c r="A40" s="36" t="s">
        <v>276</v>
      </c>
      <c r="B40" s="54" t="n">
        <f aca="false">B39*2</f>
        <v>0.434396132579469</v>
      </c>
    </row>
    <row r="42" customFormat="false" ht="15" hidden="false" customHeight="true" outlineLevel="0" collapsed="false">
      <c r="A42" s="3" t="s">
        <v>277</v>
      </c>
    </row>
    <row r="43" customFormat="false" ht="15" hidden="false" customHeight="true" outlineLevel="0" collapsed="false">
      <c r="A43" s="41" t="s">
        <v>278</v>
      </c>
      <c r="B43" s="41" t="s">
        <v>279</v>
      </c>
      <c r="C43" s="41" t="s">
        <v>280</v>
      </c>
      <c r="D43" s="41" t="s">
        <v>281</v>
      </c>
      <c r="E43" s="41" t="s">
        <v>282</v>
      </c>
      <c r="F43" s="41" t="s">
        <v>283</v>
      </c>
      <c r="G43" s="41" t="s">
        <v>284</v>
      </c>
    </row>
    <row r="44" customFormat="false" ht="15" hidden="false" customHeight="true" outlineLevel="0" collapsed="false">
      <c r="A44" s="36" t="s">
        <v>285</v>
      </c>
      <c r="B44" s="37" t="n">
        <v>9.979</v>
      </c>
      <c r="C44" s="37" t="n">
        <v>11.223</v>
      </c>
      <c r="D44" s="37" t="n">
        <v>12.181</v>
      </c>
      <c r="E44" s="37" t="n">
        <v>13.222</v>
      </c>
      <c r="F44" s="37" t="n">
        <v>14.856</v>
      </c>
      <c r="G44" s="70" t="s">
        <v>286</v>
      </c>
    </row>
    <row r="45" customFormat="false" ht="15" hidden="false" customHeight="true" outlineLevel="0" collapsed="false">
      <c r="A45" s="36" t="s">
        <v>287</v>
      </c>
      <c r="B45" s="59" t="n">
        <f aca="false">$B$5*EXP($B$37*20/60+(-1.6449)*$B$39*SQRT(20/60))</f>
        <v>9.95660724000212</v>
      </c>
      <c r="C45" s="59" t="n">
        <f aca="false">$B$5*EXP($B$37*20/60+(-0.6745)*$B$39*SQRT(20/60))</f>
        <v>11.2450037167452</v>
      </c>
      <c r="D45" s="59" t="n">
        <f aca="false">$B$5*EXP($B$37*20/60+(0)*$B$39*SQRT(20/60))</f>
        <v>12.2375095180219</v>
      </c>
      <c r="E45" s="59" t="n">
        <f aca="false">$B$5*EXP($B$37*20/60+(0.6745)*$B$39*SQRT(20/60))</f>
        <v>13.3176158030672</v>
      </c>
      <c r="F45" s="59" t="n">
        <f aca="false">$B$5*EXP($B$37*20/60+(1.6449)*$B$39*SQRT(20/60))</f>
        <v>15.0409306698377</v>
      </c>
    </row>
    <row r="46" customFormat="false" ht="15" hidden="false" customHeight="true" outlineLevel="0" collapsed="false">
      <c r="A46" s="36" t="s">
        <v>288</v>
      </c>
      <c r="B46" s="37" t="n">
        <v>8.636</v>
      </c>
      <c r="C46" s="37" t="n">
        <v>10.625</v>
      </c>
      <c r="D46" s="37" t="n">
        <v>12.241</v>
      </c>
      <c r="E46" s="37" t="n">
        <v>14.112</v>
      </c>
      <c r="F46" s="37" t="n">
        <v>17.323</v>
      </c>
      <c r="G46" s="70" t="s">
        <v>286</v>
      </c>
    </row>
    <row r="47" customFormat="false" ht="15" hidden="false" customHeight="true" outlineLevel="0" collapsed="false">
      <c r="A47" s="36" t="s">
        <v>289</v>
      </c>
      <c r="B47" s="59" t="n">
        <f aca="false">$B$5*EXP($B$37+(-1.6449)*$B$39)</f>
        <v>8.69924888078423</v>
      </c>
      <c r="C47" s="59" t="n">
        <f aca="false">$B$5*EXP($B$37+(-0.6745)*$B$39)</f>
        <v>10.7403286580309</v>
      </c>
      <c r="D47" s="59" t="n">
        <f aca="false">$B$5*EXP($B$37+(0)*$B$39)</f>
        <v>12.4348844591921</v>
      </c>
      <c r="E47" s="59" t="n">
        <f aca="false">$B$5*EXP($B$37+(0.6745)*$B$39)</f>
        <v>14.3967988724292</v>
      </c>
      <c r="F47" s="59" t="n">
        <f aca="false">$B$5*EXP($B$37+(1.6449)*$B$39)</f>
        <v>17.7746784386193</v>
      </c>
    </row>
    <row r="49" customFormat="false" ht="15" hidden="false" customHeight="true" outlineLevel="0" collapsed="false">
      <c r="A49" s="3" t="s">
        <v>290</v>
      </c>
    </row>
    <row r="50" customFormat="false" ht="15" hidden="false" customHeight="true" outlineLevel="0" collapsed="false">
      <c r="A50" s="41" t="s">
        <v>291</v>
      </c>
      <c r="B50" s="41" t="s">
        <v>292</v>
      </c>
      <c r="C50" s="41" t="s">
        <v>293</v>
      </c>
      <c r="D50" s="41"/>
      <c r="E50" s="41"/>
      <c r="F50" s="41"/>
      <c r="G50" s="41"/>
    </row>
    <row r="51" customFormat="false" ht="15" hidden="false" customHeight="true" outlineLevel="0" collapsed="false">
      <c r="A51" s="36" t="s">
        <v>294</v>
      </c>
      <c r="B51" s="40" t="n">
        <v>0.489</v>
      </c>
      <c r="C51" s="40" t="n">
        <v>0.703</v>
      </c>
    </row>
    <row r="52" customFormat="false" ht="15" hidden="false" customHeight="true" outlineLevel="0" collapsed="false">
      <c r="A52" s="36" t="s">
        <v>295</v>
      </c>
      <c r="B52" s="40" t="n">
        <v>0.196</v>
      </c>
      <c r="C52" s="40" t="n">
        <v>0.472</v>
      </c>
    </row>
    <row r="53" customFormat="false" ht="15" hidden="false" customHeight="true" outlineLevel="0" collapsed="false">
      <c r="A53" s="36" t="s">
        <v>296</v>
      </c>
      <c r="B53" s="40" t="n">
        <v>0.034</v>
      </c>
      <c r="C53" s="40" t="n">
        <v>0.232</v>
      </c>
    </row>
    <row r="54" customFormat="false" ht="15" hidden="false" customHeight="true" outlineLevel="0" collapsed="false">
      <c r="A54" s="36" t="s">
        <v>297</v>
      </c>
      <c r="B54" s="40" t="n">
        <v>0.003</v>
      </c>
      <c r="C54" s="40" t="n">
        <v>0.09</v>
      </c>
    </row>
    <row r="55" customFormat="false" ht="15" hidden="false" customHeight="true" outlineLevel="0" collapsed="false">
      <c r="A55" s="36" t="s">
        <v>298</v>
      </c>
      <c r="B55" s="40" t="n">
        <v>0.547</v>
      </c>
      <c r="C55" s="40" t="n">
        <v>0.731</v>
      </c>
    </row>
    <row r="56" customFormat="false" ht="15" hidden="false" customHeight="true" outlineLevel="0" collapsed="false">
      <c r="A56" s="36" t="s">
        <v>299</v>
      </c>
      <c r="B56" s="40" t="n">
        <v>0.178</v>
      </c>
      <c r="C56" s="40" t="n">
        <v>0.438</v>
      </c>
    </row>
    <row r="57" customFormat="false" ht="15" hidden="false" customHeight="true" outlineLevel="0" collapsed="false">
      <c r="A57" s="36" t="s">
        <v>300</v>
      </c>
      <c r="B57" s="40" t="n">
        <v>0.031</v>
      </c>
      <c r="C57" s="40" t="n">
        <v>0.207</v>
      </c>
    </row>
    <row r="58" customFormat="false" ht="15" hidden="false" customHeight="true" outlineLevel="0" collapsed="false">
      <c r="A58" s="36" t="s">
        <v>301</v>
      </c>
      <c r="B58" s="40" t="n">
        <v>0.003</v>
      </c>
      <c r="C58" s="40" t="n">
        <v>0.076</v>
      </c>
    </row>
    <row r="60" customFormat="false" ht="15" hidden="false" customHeight="true" outlineLevel="0" collapsed="false">
      <c r="A60" s="55" t="s">
        <v>302</v>
      </c>
      <c r="B60" s="55"/>
      <c r="C60" s="55"/>
      <c r="D60" s="55"/>
      <c r="E60" s="55"/>
      <c r="F60" s="55"/>
      <c r="G60" s="55"/>
    </row>
    <row r="61" customFormat="false" ht="15" hidden="false" customHeight="true" outlineLevel="0" collapsed="false">
      <c r="A61" s="55"/>
      <c r="B61" s="55"/>
      <c r="C61" s="55"/>
      <c r="D61" s="55"/>
      <c r="E61" s="55"/>
      <c r="F61" s="55"/>
      <c r="G61" s="55"/>
    </row>
    <row r="62" customFormat="false" ht="15" hidden="false" customHeight="true" outlineLevel="0" collapsed="false">
      <c r="A62" s="55"/>
      <c r="B62" s="55"/>
      <c r="C62" s="55"/>
      <c r="D62" s="55"/>
      <c r="E62" s="55"/>
      <c r="F62" s="55"/>
      <c r="G62" s="55"/>
    </row>
    <row r="63" customFormat="false" ht="15" hidden="false" customHeight="true" outlineLevel="0" collapsed="false">
      <c r="A63" s="55"/>
      <c r="B63" s="55"/>
      <c r="C63" s="55"/>
      <c r="D63" s="55"/>
      <c r="E63" s="55"/>
      <c r="F63" s="55"/>
      <c r="G63" s="55"/>
    </row>
    <row r="64" customFormat="false" ht="15" hidden="false" customHeight="true" outlineLevel="0" collapsed="false">
      <c r="A64" s="55"/>
      <c r="B64" s="55"/>
      <c r="C64" s="55"/>
      <c r="D64" s="55"/>
      <c r="E64" s="55"/>
      <c r="F64" s="55"/>
      <c r="G64" s="55"/>
    </row>
  </sheetData>
  <mergeCells count="1">
    <mergeCell ref="A60:G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2"/>
  </cols>
  <sheetData>
    <row r="1" customFormat="false" ht="24" hidden="false" customHeight="true" outlineLevel="0" collapsed="false">
      <c r="A1" s="5" t="s">
        <v>303</v>
      </c>
      <c r="B1" s="34"/>
      <c r="C1" s="34"/>
      <c r="D1" s="34"/>
      <c r="E1" s="34"/>
      <c r="F1" s="34"/>
    </row>
    <row r="2" customFormat="false" ht="15" hidden="false" customHeight="true" outlineLevel="0" collapsed="false">
      <c r="A2" s="8" t="s">
        <v>304</v>
      </c>
      <c r="B2" s="35"/>
      <c r="C2" s="35"/>
      <c r="D2" s="35"/>
      <c r="E2" s="35"/>
      <c r="F2" s="35"/>
    </row>
    <row r="4" customFormat="false" ht="15" hidden="false" customHeight="true" outlineLevel="0" collapsed="false">
      <c r="A4" s="3" t="s">
        <v>305</v>
      </c>
    </row>
    <row r="5" customFormat="false" ht="15" hidden="false" customHeight="true" outlineLevel="0" collapsed="false">
      <c r="A5" s="36" t="s">
        <v>306</v>
      </c>
      <c r="B5" s="45" t="n">
        <v>11</v>
      </c>
      <c r="C5" s="45" t="n">
        <v>12</v>
      </c>
      <c r="D5" s="45" t="n">
        <v>14</v>
      </c>
      <c r="E5" s="45" t="n">
        <v>16</v>
      </c>
      <c r="F5" s="45" t="n">
        <v>18</v>
      </c>
    </row>
    <row r="6" customFormat="false" ht="15" hidden="false" customHeight="true" outlineLevel="0" collapsed="false">
      <c r="A6" s="40" t="n">
        <v>0.3</v>
      </c>
      <c r="B6" s="59" t="n">
        <f aca="false">((Assumptions!$D$14+Assumptions!$B$18*B$5+Assumptions!$B$20+Assumptions!$B$21)/Assumptions!$B$6)*(1-$A6)</f>
        <v>10.9737471719457</v>
      </c>
      <c r="C6" s="59" t="n">
        <f aca="false">((Assumptions!$D$14+Assumptions!$B$18*C$5+Assumptions!$B$20+Assumptions!$B$21)/Assumptions!$B$6)*(1-$A6)</f>
        <v>11.4330231900452</v>
      </c>
      <c r="D6" s="59" t="n">
        <f aca="false">((Assumptions!$D$14+Assumptions!$B$18*D$5+Assumptions!$B$20+Assumptions!$B$21)/Assumptions!$B$6)*(1-$A6)</f>
        <v>12.3515752262443</v>
      </c>
      <c r="E6" s="59" t="n">
        <f aca="false">((Assumptions!$D$14+Assumptions!$B$18*E$5+Assumptions!$B$20+Assumptions!$B$21)/Assumptions!$B$6)*(1-$A6)</f>
        <v>13.2701272624434</v>
      </c>
      <c r="F6" s="59" t="n">
        <f aca="false">((Assumptions!$D$14+Assumptions!$B$18*F$5+Assumptions!$B$20+Assumptions!$B$21)/Assumptions!$B$6)*(1-$A6)</f>
        <v>14.1886792986425</v>
      </c>
    </row>
    <row r="7" customFormat="false" ht="15" hidden="false" customHeight="true" outlineLevel="0" collapsed="false">
      <c r="A7" s="40" t="n">
        <v>0.25</v>
      </c>
      <c r="B7" s="59" t="n">
        <f aca="false">((Assumptions!$D$14+Assumptions!$B$18*B$5+Assumptions!$B$20+Assumptions!$B$21)/Assumptions!$B$6)*(1-$A7)</f>
        <v>11.7575862556561</v>
      </c>
      <c r="C7" s="59" t="n">
        <f aca="false">((Assumptions!$D$14+Assumptions!$B$18*C$5+Assumptions!$B$20+Assumptions!$B$21)/Assumptions!$B$6)*(1-$A7)</f>
        <v>12.2496677036199</v>
      </c>
      <c r="D7" s="59" t="n">
        <f aca="false">((Assumptions!$D$14+Assumptions!$B$18*D$5+Assumptions!$B$20+Assumptions!$B$21)/Assumptions!$B$6)*(1-$A7)</f>
        <v>13.2338305995475</v>
      </c>
      <c r="E7" s="59" t="n">
        <f aca="false">((Assumptions!$D$14+Assumptions!$B$18*E$5+Assumptions!$B$20+Assumptions!$B$21)/Assumptions!$B$6)*(1-$A7)</f>
        <v>14.2179934954751</v>
      </c>
      <c r="F7" s="59" t="n">
        <f aca="false">((Assumptions!$D$14+Assumptions!$B$18*F$5+Assumptions!$B$20+Assumptions!$B$21)/Assumptions!$B$6)*(1-$A7)</f>
        <v>15.2021563914027</v>
      </c>
    </row>
    <row r="8" customFormat="false" ht="15" hidden="false" customHeight="true" outlineLevel="0" collapsed="false">
      <c r="A8" s="40" t="n">
        <v>0.2</v>
      </c>
      <c r="B8" s="59" t="n">
        <f aca="false">((Assumptions!$D$14+Assumptions!$B$18*B$5+Assumptions!$B$20+Assumptions!$B$21)/Assumptions!$B$6)*(1-$A8)</f>
        <v>12.5414253393665</v>
      </c>
      <c r="C8" s="59" t="n">
        <f aca="false">((Assumptions!$D$14+Assumptions!$B$18*C$5+Assumptions!$B$20+Assumptions!$B$21)/Assumptions!$B$6)*(1-$A8)</f>
        <v>13.0663122171946</v>
      </c>
      <c r="D8" s="59" t="n">
        <f aca="false">((Assumptions!$D$14+Assumptions!$B$18*D$5+Assumptions!$B$20+Assumptions!$B$21)/Assumptions!$B$6)*(1-$A8)</f>
        <v>14.1160859728507</v>
      </c>
      <c r="E8" s="59" t="n">
        <f aca="false">((Assumptions!$D$14+Assumptions!$B$18*E$5+Assumptions!$B$20+Assumptions!$B$21)/Assumptions!$B$6)*(1-$A8)</f>
        <v>15.1658597285068</v>
      </c>
      <c r="F8" s="59" t="n">
        <f aca="false">((Assumptions!$D$14+Assumptions!$B$18*F$5+Assumptions!$B$20+Assumptions!$B$21)/Assumptions!$B$6)*(1-$A8)</f>
        <v>16.2156334841629</v>
      </c>
    </row>
    <row r="9" customFormat="false" ht="15" hidden="false" customHeight="true" outlineLevel="0" collapsed="false">
      <c r="A9" s="40" t="n">
        <v>0.15</v>
      </c>
      <c r="B9" s="59" t="n">
        <f aca="false">((Assumptions!$D$14+Assumptions!$B$18*B$5+Assumptions!$B$20+Assumptions!$B$21)/Assumptions!$B$6)*(1-$A9)</f>
        <v>13.3252644230769</v>
      </c>
      <c r="C9" s="59" t="n">
        <f aca="false">((Assumptions!$D$14+Assumptions!$B$18*C$5+Assumptions!$B$20+Assumptions!$B$21)/Assumptions!$B$6)*(1-$A9)</f>
        <v>13.8829567307692</v>
      </c>
      <c r="D9" s="59" t="n">
        <f aca="false">((Assumptions!$D$14+Assumptions!$B$18*D$5+Assumptions!$B$20+Assumptions!$B$21)/Assumptions!$B$6)*(1-$A9)</f>
        <v>14.9983413461538</v>
      </c>
      <c r="E9" s="59" t="n">
        <f aca="false">((Assumptions!$D$14+Assumptions!$B$18*E$5+Assumptions!$B$20+Assumptions!$B$21)/Assumptions!$B$6)*(1-$A9)</f>
        <v>16.1137259615385</v>
      </c>
      <c r="F9" s="59" t="n">
        <f aca="false">((Assumptions!$D$14+Assumptions!$B$18*F$5+Assumptions!$B$20+Assumptions!$B$21)/Assumptions!$B$6)*(1-$A9)</f>
        <v>17.2291105769231</v>
      </c>
    </row>
    <row r="10" customFormat="false" ht="15" hidden="false" customHeight="true" outlineLevel="0" collapsed="false">
      <c r="A10" s="40" t="n">
        <v>0.1</v>
      </c>
      <c r="B10" s="59" t="n">
        <f aca="false">((Assumptions!$D$14+Assumptions!$B$18*B$5+Assumptions!$B$20+Assumptions!$B$21)/Assumptions!$B$6)*(1-$A10)</f>
        <v>14.1091035067873</v>
      </c>
      <c r="C10" s="59" t="n">
        <f aca="false">((Assumptions!$D$14+Assumptions!$B$18*C$5+Assumptions!$B$20+Assumptions!$B$21)/Assumptions!$B$6)*(1-$A10)</f>
        <v>14.6996012443439</v>
      </c>
      <c r="D10" s="59" t="n">
        <f aca="false">((Assumptions!$D$14+Assumptions!$B$18*D$5+Assumptions!$B$20+Assumptions!$B$21)/Assumptions!$B$6)*(1-$A10)</f>
        <v>15.880596719457</v>
      </c>
      <c r="E10" s="59" t="n">
        <f aca="false">((Assumptions!$D$14+Assumptions!$B$18*E$5+Assumptions!$B$20+Assumptions!$B$21)/Assumptions!$B$6)*(1-$A10)</f>
        <v>17.0615921945701</v>
      </c>
      <c r="F10" s="59" t="n">
        <f aca="false">((Assumptions!$D$14+Assumptions!$B$18*F$5+Assumptions!$B$20+Assumptions!$B$21)/Assumptions!$B$6)*(1-$A10)</f>
        <v>18.2425876696833</v>
      </c>
    </row>
    <row r="12" customFormat="false" ht="15" hidden="false" customHeight="true" outlineLevel="0" collapsed="false">
      <c r="A12" s="3" t="s">
        <v>307</v>
      </c>
    </row>
    <row r="13" customFormat="false" ht="15" hidden="false" customHeight="true" outlineLevel="0" collapsed="false">
      <c r="A13" s="36" t="s">
        <v>308</v>
      </c>
      <c r="B13" s="40" t="n">
        <v>0.015</v>
      </c>
      <c r="C13" s="40" t="n">
        <v>0.02</v>
      </c>
      <c r="D13" s="40" t="n">
        <v>0.025</v>
      </c>
      <c r="E13" s="40" t="n">
        <v>0.03</v>
      </c>
      <c r="F13" s="40" t="n">
        <v>0.035</v>
      </c>
    </row>
    <row r="14" customFormat="false" ht="15" hidden="false" customHeight="true" outlineLevel="0" collapsed="false">
      <c r="A14" s="40" t="n">
        <v>0.105</v>
      </c>
      <c r="B14" s="59" t="n">
        <f aca="false">(SUMPRODUCT(DCF!$B$5:$F$5,(1+$A14)^-{1,2,3,4,5})+DCF!$F$5*(1+B$13)/($A14-B$13)/(1+$A14)^5+Assumptions!$B$7)/Assumptions!$B$6</f>
        <v>15.7369458314724</v>
      </c>
      <c r="C14" s="59" t="n">
        <f aca="false">(SUMPRODUCT(DCF!$B$5:$F$5,(1+$A14)^-{1,2,3,4,5})+DCF!$F$5*(1+C$13)/($A14-C$13)/(1+$A14)^5+Assumptions!$B$7)/Assumptions!$B$6</f>
        <v>16.2328607714528</v>
      </c>
      <c r="D14" s="59" t="n">
        <f aca="false">(SUMPRODUCT(DCF!$B$5:$F$5,(1+$A14)^-{1,2,3,4,5})+DCF!$F$5*(1+D$13)/($A14-D$13)/(1+$A14)^5+Assumptions!$B$7)/Assumptions!$B$6</f>
        <v>16.7907650789307</v>
      </c>
      <c r="E14" s="59" t="n">
        <f aca="false">(SUMPRODUCT(DCF!$B$5:$F$5,(1+$A14)^-{1,2,3,4,5})+DCF!$F$5*(1+E$13)/($A14-E$13)/(1+$A14)^5+Assumptions!$B$7)/Assumptions!$B$6</f>
        <v>17.4230566274056</v>
      </c>
      <c r="F14" s="59" t="n">
        <f aca="false">(SUMPRODUCT(DCF!$B$5:$F$5,(1+$A14)^-{1,2,3,4,5})+DCF!$F$5*(1+F$13)/($A14-F$13)/(1+$A14)^5+Assumptions!$B$7)/Assumptions!$B$6</f>
        <v>18.1456755399485</v>
      </c>
    </row>
    <row r="15" customFormat="false" ht="15" hidden="false" customHeight="true" outlineLevel="0" collapsed="false">
      <c r="A15" s="40" t="n">
        <v>0.11</v>
      </c>
      <c r="B15" s="59" t="n">
        <f aca="false">(SUMPRODUCT(DCF!$B$5:$F$5,(1+$A15)^-{1,2,3,4,5})+DCF!$F$5*(1+B$13)/($A15-B$13)/(1+$A15)^5+Assumptions!$B$7)/Assumptions!$B$6</f>
        <v>15.1045411852456</v>
      </c>
      <c r="C15" s="59" t="n">
        <f aca="false">(SUMPRODUCT(DCF!$B$5:$F$5,(1+$A15)^-{1,2,3,4,5})+DCF!$F$5*(1+C$13)/($A15-C$13)/(1+$A15)^5+Assumptions!$B$7)/Assumptions!$B$6</f>
        <v>15.5403135742701</v>
      </c>
      <c r="D15" s="59" t="n">
        <f aca="false">(SUMPRODUCT(DCF!$B$5:$F$5,(1+$A15)^-{1,2,3,4,5})+DCF!$F$5*(1+D$13)/($A15-D$13)/(1+$A15)^5+Assumptions!$B$7)/Assumptions!$B$6</f>
        <v>16.0273533031798</v>
      </c>
      <c r="E15" s="59" t="n">
        <f aca="false">(SUMPRODUCT(DCF!$B$5:$F$5,(1+$A15)^-{1,2,3,4,5})+DCF!$F$5*(1+E$13)/($A15-E$13)/(1+$A15)^5+Assumptions!$B$7)/Assumptions!$B$6</f>
        <v>16.5752729982033</v>
      </c>
      <c r="F15" s="59" t="n">
        <f aca="false">(SUMPRODUCT(DCF!$B$5:$F$5,(1+$A15)^-{1,2,3,4,5})+DCF!$F$5*(1+F$13)/($A15-F$13)/(1+$A15)^5+Assumptions!$B$7)/Assumptions!$B$6</f>
        <v>17.1962486525632</v>
      </c>
    </row>
    <row r="16" customFormat="false" ht="15" hidden="false" customHeight="true" outlineLevel="0" collapsed="false">
      <c r="A16" s="40" t="n">
        <v>0.12</v>
      </c>
      <c r="B16" s="59" t="n">
        <f aca="false">(SUMPRODUCT(DCF!$B$5:$F$5,(1+$A16)^-{1,2,3,4,5})+DCF!$F$5*(1+B$13)/($A16-B$13)/(1+$A16)^5+Assumptions!$B$7)/Assumptions!$B$6</f>
        <v>14.0182255114285</v>
      </c>
      <c r="C16" s="59" t="n">
        <f aca="false">(SUMPRODUCT(DCF!$B$5:$F$5,(1+$A16)^-{1,2,3,4,5})+DCF!$F$5*(1+C$13)/($A16-C$13)/(1+$A16)^5+Assumptions!$B$7)/Assumptions!$B$6</f>
        <v>14.3605644892376</v>
      </c>
      <c r="D16" s="59" t="n">
        <f aca="false">(SUMPRODUCT(DCF!$B$5:$F$5,(1+$A16)^-{1,2,3,4,5})+DCF!$F$5*(1+D$13)/($A16-D$13)/(1+$A16)^5+Assumptions!$B$7)/Assumptions!$B$6</f>
        <v>14.7389391489214</v>
      </c>
      <c r="E16" s="59" t="n">
        <f aca="false">(SUMPRODUCT(DCF!$B$5:$F$5,(1+$A16)^-{1,2,3,4,5})+DCF!$F$5*(1+E$13)/($A16-E$13)/(1+$A16)^5+Assumptions!$B$7)/Assumptions!$B$6</f>
        <v>15.1593554374589</v>
      </c>
      <c r="F16" s="59" t="n">
        <f aca="false">(SUMPRODUCT(DCF!$B$5:$F$5,(1+$A16)^-{1,2,3,4,5})+DCF!$F$5*(1+F$13)/($A16-F$13)/(1+$A16)^5+Assumptions!$B$7)/Assumptions!$B$6</f>
        <v>15.6292324658243</v>
      </c>
    </row>
    <row r="17" customFormat="false" ht="15" hidden="false" customHeight="true" outlineLevel="0" collapsed="false">
      <c r="A17" s="40" t="n">
        <v>0.13</v>
      </c>
      <c r="B17" s="59" t="n">
        <f aca="false">(SUMPRODUCT(DCF!$B$5:$F$5,(1+$A17)^-{1,2,3,4,5})+DCF!$F$5*(1+B$13)/($A17-B$13)/(1+$A17)^5+Assumptions!$B$7)/Assumptions!$B$6</f>
        <v>13.1182645523875</v>
      </c>
      <c r="C17" s="59" t="n">
        <f aca="false">(SUMPRODUCT(DCF!$B$5:$F$5,(1+$A17)^-{1,2,3,4,5})+DCF!$F$5*(1+C$13)/($A17-C$13)/(1+$A17)^5+Assumptions!$B$7)/Assumptions!$B$6</f>
        <v>13.3924935902139</v>
      </c>
      <c r="D17" s="59" t="n">
        <f aca="false">(SUMPRODUCT(DCF!$B$5:$F$5,(1+$A17)^-{1,2,3,4,5})+DCF!$F$5*(1+D$13)/($A17-D$13)/(1+$A17)^5+Assumptions!$B$7)/Assumptions!$B$6</f>
        <v>13.6928396792618</v>
      </c>
      <c r="E17" s="59" t="n">
        <f aca="false">(SUMPRODUCT(DCF!$B$5:$F$5,(1+$A17)^-{1,2,3,4,5})+DCF!$F$5*(1+E$13)/($A17-E$13)/(1+$A17)^5+Assumptions!$B$7)/Assumptions!$B$6</f>
        <v>14.0232203772145</v>
      </c>
      <c r="F17" s="59" t="n">
        <f aca="false">(SUMPRODUCT(DCF!$B$5:$F$5,(1+$A17)^-{1,2,3,4,5})+DCF!$F$5*(1+F$13)/($A17-F$13)/(1+$A17)^5+Assumptions!$B$7)/Assumptions!$B$6</f>
        <v>14.3883779907411</v>
      </c>
    </row>
    <row r="18" customFormat="false" ht="15" hidden="false" customHeight="true" outlineLevel="0" collapsed="false">
      <c r="A18" s="40" t="n">
        <v>0.14</v>
      </c>
      <c r="B18" s="59" t="n">
        <f aca="false">(SUMPRODUCT(DCF!$B$5:$F$5,(1+$A18)^-{1,2,3,4,5})+DCF!$F$5*(1+B$13)/($A18-B$13)/(1+$A18)^5+Assumptions!$B$7)/Assumptions!$B$6</f>
        <v>12.3600388076483</v>
      </c>
      <c r="C18" s="59" t="n">
        <f aca="false">(SUMPRODUCT(DCF!$B$5:$F$5,(1+$A18)^-{1,2,3,4,5})+DCF!$F$5*(1+C$13)/($A18-C$13)/(1+$A18)^5+Assumptions!$B$7)/Assumptions!$B$6</f>
        <v>12.5832968307894</v>
      </c>
      <c r="D18" s="59" t="n">
        <f aca="false">(SUMPRODUCT(DCF!$B$5:$F$5,(1+$A18)^-{1,2,3,4,5})+DCF!$F$5*(1+D$13)/($A18-D$13)/(1+$A18)^5+Assumptions!$B$7)/Assumptions!$B$6</f>
        <v>12.8259685950732</v>
      </c>
      <c r="E18" s="59" t="n">
        <f aca="false">(SUMPRODUCT(DCF!$B$5:$F$5,(1+$A18)^-{1,2,3,4,5})+DCF!$F$5*(1+E$13)/($A18-E$13)/(1+$A18)^5+Assumptions!$B$7)/Assumptions!$B$6</f>
        <v>13.0907014288374</v>
      </c>
      <c r="F18" s="59" t="n">
        <f aca="false">(SUMPRODUCT(DCF!$B$5:$F$5,(1+$A18)^-{1,2,3,4,5})+DCF!$F$5*(1+F$13)/($A18-F$13)/(1+$A18)^5+Assumptions!$B$7)/Assumptions!$B$6</f>
        <v>13.3806469134362</v>
      </c>
    </row>
    <row r="20" customFormat="false" ht="15" hidden="false" customHeight="true" outlineLevel="0" collapsed="false">
      <c r="A20" s="55" t="s">
        <v>309</v>
      </c>
      <c r="B20" s="55"/>
      <c r="C20" s="55"/>
      <c r="D20" s="55"/>
      <c r="E20" s="55"/>
      <c r="F20" s="55"/>
    </row>
    <row r="21" customFormat="false" ht="15" hidden="false" customHeight="true" outlineLevel="0" collapsed="false">
      <c r="A21" s="55"/>
      <c r="B21" s="55"/>
      <c r="C21" s="55"/>
      <c r="D21" s="55"/>
      <c r="E21" s="55"/>
      <c r="F21" s="55"/>
    </row>
    <row r="22" customFormat="false" ht="15" hidden="false" customHeight="true" outlineLevel="0" collapsed="false">
      <c r="A22" s="55"/>
      <c r="B22" s="55"/>
      <c r="C22" s="55"/>
      <c r="D22" s="55"/>
      <c r="E22" s="55"/>
      <c r="F22" s="55"/>
    </row>
    <row r="23" customFormat="false" ht="15" hidden="false" customHeight="true" outlineLevel="0" collapsed="false">
      <c r="A23" s="55"/>
      <c r="B23" s="55"/>
      <c r="C23" s="55"/>
      <c r="D23" s="55"/>
      <c r="E23" s="55"/>
      <c r="F23" s="55"/>
    </row>
  </sheetData>
  <mergeCells count="1">
    <mergeCell ref="A20: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3"/>
    <col collapsed="false" customWidth="true" hidden="false" outlineLevel="0" max="4" min="3" style="1" width="10"/>
    <col collapsed="false" customWidth="true" hidden="false" outlineLevel="0" max="5" min="5" style="1" width="20"/>
  </cols>
  <sheetData>
    <row r="1" customFormat="false" ht="24" hidden="false" customHeight="true" outlineLevel="0" collapsed="false">
      <c r="A1" s="5" t="s">
        <v>310</v>
      </c>
      <c r="B1" s="34"/>
      <c r="C1" s="34"/>
      <c r="D1" s="34"/>
      <c r="E1" s="34"/>
    </row>
    <row r="2" customFormat="false" ht="15" hidden="false" customHeight="true" outlineLevel="0" collapsed="false">
      <c r="A2" s="8" t="s">
        <v>311</v>
      </c>
      <c r="B2" s="35"/>
      <c r="C2" s="35"/>
      <c r="D2" s="35"/>
      <c r="E2" s="35"/>
    </row>
    <row r="5" customFormat="false" ht="15" hidden="false" customHeight="true" outlineLevel="0" collapsed="false">
      <c r="A5" s="36" t="s">
        <v>312</v>
      </c>
      <c r="B5" s="59" t="n">
        <f aca="false">Assumptions!B5</f>
        <v>12.14</v>
      </c>
    </row>
    <row r="6" customFormat="false" ht="15" hidden="false" customHeight="true" outlineLevel="0" collapsed="false">
      <c r="A6" s="36" t="s">
        <v>37</v>
      </c>
      <c r="B6" s="62" t="n">
        <f aca="false">Assumptions!B6</f>
        <v>8.84</v>
      </c>
    </row>
    <row r="7" customFormat="false" ht="15" hidden="false" customHeight="true" outlineLevel="0" collapsed="false">
      <c r="A7" s="36" t="s">
        <v>313</v>
      </c>
      <c r="B7" s="42" t="n">
        <f aca="false">Assumptions!B5*Assumptions!B6</f>
        <v>107.3176</v>
      </c>
    </row>
    <row r="8" customFormat="false" ht="15" hidden="false" customHeight="true" outlineLevel="0" collapsed="false">
      <c r="A8" s="36" t="s">
        <v>314</v>
      </c>
      <c r="B8" s="64" t="n">
        <f aca="false">'Income Statement'!D17</f>
        <v>2.13800904977376</v>
      </c>
    </row>
    <row r="9" customFormat="false" ht="15" hidden="false" customHeight="true" outlineLevel="0" collapsed="false">
      <c r="A9" s="36" t="s">
        <v>62</v>
      </c>
      <c r="B9" s="59" t="n">
        <f aca="false">Assumptions!B27</f>
        <v>1.85</v>
      </c>
    </row>
    <row r="10" customFormat="false" ht="15" hidden="false" customHeight="true" outlineLevel="0" collapsed="false">
      <c r="A10" s="36" t="s">
        <v>231</v>
      </c>
      <c r="B10" s="64" t="n">
        <f aca="false">'Balance Sheet'!D25</f>
        <v>9.04977375565611</v>
      </c>
    </row>
    <row r="11" customFormat="false" ht="15" hidden="false" customHeight="true" outlineLevel="0" collapsed="false">
      <c r="A11" s="36" t="s">
        <v>315</v>
      </c>
      <c r="B11" s="59" t="n">
        <f aca="false">1</f>
        <v>1</v>
      </c>
    </row>
    <row r="12" customFormat="false" ht="15" hidden="false" customHeight="true" outlineLevel="0" collapsed="false">
      <c r="A12" s="36" t="s">
        <v>316</v>
      </c>
      <c r="B12" s="60" t="n">
        <f aca="false">B5/B8</f>
        <v>5.6781798941799</v>
      </c>
    </row>
    <row r="13" customFormat="false" ht="15" hidden="false" customHeight="true" outlineLevel="0" collapsed="false">
      <c r="A13" s="36" t="s">
        <v>317</v>
      </c>
      <c r="B13" s="60" t="n">
        <f aca="false">B5/B9</f>
        <v>6.56216216216216</v>
      </c>
    </row>
    <row r="14" customFormat="false" ht="15" hidden="false" customHeight="true" outlineLevel="0" collapsed="false">
      <c r="A14" s="36" t="s">
        <v>318</v>
      </c>
      <c r="B14" s="60" t="n">
        <f aca="false">B5/B10</f>
        <v>1.34147</v>
      </c>
    </row>
    <row r="15" customFormat="false" ht="15" hidden="false" customHeight="true" outlineLevel="0" collapsed="false">
      <c r="A15" s="36" t="s">
        <v>319</v>
      </c>
      <c r="B15" s="54" t="n">
        <f aca="false">B11/B5</f>
        <v>0.0823723228995058</v>
      </c>
    </row>
    <row r="16" customFormat="false" ht="15" hidden="false" customHeight="true" outlineLevel="0" collapsed="false">
      <c r="A16" s="36" t="s">
        <v>320</v>
      </c>
      <c r="B16" s="60" t="n">
        <f aca="false">(B7-Assumptions!B7)/Assumptions!B25</f>
        <v>3.21553125</v>
      </c>
    </row>
    <row r="17" customFormat="false" ht="15" hidden="false" customHeight="true" outlineLevel="0" collapsed="false">
      <c r="A17" s="36" t="s">
        <v>321</v>
      </c>
      <c r="B17" s="64" t="n">
        <f aca="false">'RNAV &amp; SOTP'!B11</f>
        <v>17.6451074660634</v>
      </c>
    </row>
    <row r="18" customFormat="false" ht="15" hidden="false" customHeight="true" outlineLevel="0" collapsed="false">
      <c r="A18" s="36" t="s">
        <v>322</v>
      </c>
      <c r="B18" s="54" t="n">
        <f aca="false">B5/B17-1</f>
        <v>-0.311990588702918</v>
      </c>
    </row>
    <row r="20" customFormat="false" ht="15" hidden="false" customHeight="true" outlineLevel="0" collapsed="false">
      <c r="A20" s="55" t="s">
        <v>323</v>
      </c>
      <c r="B20" s="55"/>
      <c r="C20" s="55"/>
      <c r="D20" s="55"/>
      <c r="E20" s="55"/>
    </row>
    <row r="21" customFormat="false" ht="15" hidden="false" customHeight="true" outlineLevel="0" collapsed="false">
      <c r="A21" s="55"/>
      <c r="B21" s="55"/>
      <c r="C21" s="55"/>
      <c r="D21" s="55"/>
      <c r="E21" s="55"/>
    </row>
    <row r="22" customFormat="false" ht="15" hidden="false" customHeight="true" outlineLevel="0" collapsed="false">
      <c r="A22" s="55"/>
      <c r="B22" s="55"/>
      <c r="C22" s="55"/>
      <c r="D22" s="55"/>
      <c r="E22" s="55"/>
    </row>
    <row r="23" customFormat="false" ht="15" hidden="false" customHeight="true" outlineLevel="0" collapsed="false">
      <c r="A23" s="55"/>
      <c r="B23" s="55"/>
      <c r="C23" s="55"/>
      <c r="D23" s="55"/>
      <c r="E23" s="55"/>
    </row>
  </sheetData>
  <mergeCells count="1">
    <mergeCell ref="A20: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26"/>
  </cols>
  <sheetData>
    <row r="1" customFormat="false" ht="24" hidden="false" customHeight="true" outlineLevel="0" collapsed="false">
      <c r="A1" s="5" t="s">
        <v>324</v>
      </c>
      <c r="B1" s="34"/>
      <c r="C1" s="34"/>
      <c r="D1" s="34"/>
    </row>
    <row r="2" customFormat="false" ht="15" hidden="false" customHeight="true" outlineLevel="0" collapsed="false">
      <c r="A2" s="8" t="s">
        <v>325</v>
      </c>
      <c r="B2" s="35"/>
      <c r="C2" s="35"/>
      <c r="D2" s="35"/>
    </row>
    <row r="4" customFormat="false" ht="25.5" hidden="false" customHeight="true" outlineLevel="0" collapsed="false">
      <c r="A4" s="56" t="s">
        <v>326</v>
      </c>
      <c r="B4" s="56" t="s">
        <v>327</v>
      </c>
      <c r="C4" s="56" t="s">
        <v>328</v>
      </c>
      <c r="D4" s="56" t="s">
        <v>329</v>
      </c>
    </row>
    <row r="5" customFormat="false" ht="25.5" hidden="false" customHeight="true" outlineLevel="0" collapsed="false">
      <c r="A5" s="57" t="s">
        <v>330</v>
      </c>
      <c r="B5" s="4" t="s">
        <v>331</v>
      </c>
      <c r="C5" s="4" t="s">
        <v>332</v>
      </c>
      <c r="D5" s="4" t="s">
        <v>333</v>
      </c>
    </row>
    <row r="6" customFormat="false" ht="25.5" hidden="false" customHeight="true" outlineLevel="0" collapsed="false">
      <c r="A6" s="57" t="s">
        <v>334</v>
      </c>
      <c r="B6" s="4" t="s">
        <v>335</v>
      </c>
      <c r="C6" s="4" t="s">
        <v>336</v>
      </c>
      <c r="D6" s="4" t="s">
        <v>337</v>
      </c>
    </row>
    <row r="7" customFormat="false" ht="25.5" hidden="false" customHeight="true" outlineLevel="0" collapsed="false">
      <c r="A7" s="57" t="s">
        <v>338</v>
      </c>
      <c r="B7" s="4" t="s">
        <v>339</v>
      </c>
      <c r="C7" s="4" t="s">
        <v>340</v>
      </c>
      <c r="D7" s="4" t="s">
        <v>341</v>
      </c>
    </row>
    <row r="8" customFormat="false" ht="25.5" hidden="false" customHeight="true" outlineLevel="0" collapsed="false">
      <c r="A8" s="57" t="s">
        <v>342</v>
      </c>
      <c r="B8" s="4" t="s">
        <v>343</v>
      </c>
      <c r="C8" s="4" t="s">
        <v>344</v>
      </c>
      <c r="D8" s="4" t="s">
        <v>345</v>
      </c>
    </row>
    <row r="9" customFormat="false" ht="25.5" hidden="false" customHeight="true" outlineLevel="0" collapsed="false">
      <c r="A9" s="57" t="s">
        <v>319</v>
      </c>
      <c r="B9" s="4" t="s">
        <v>346</v>
      </c>
      <c r="C9" s="4" t="s">
        <v>347</v>
      </c>
      <c r="D9" s="4" t="s">
        <v>348</v>
      </c>
    </row>
    <row r="10" customFormat="false" ht="25.5" hidden="false" customHeight="true" outlineLevel="0" collapsed="false">
      <c r="A10" s="57" t="s">
        <v>349</v>
      </c>
      <c r="B10" s="4" t="s">
        <v>350</v>
      </c>
      <c r="C10" s="4" t="s">
        <v>351</v>
      </c>
      <c r="D10" s="4" t="s">
        <v>352</v>
      </c>
    </row>
    <row r="11" customFormat="false" ht="25.5" hidden="false" customHeight="true" outlineLevel="0" collapsed="false">
      <c r="A11" s="57" t="s">
        <v>353</v>
      </c>
      <c r="B11" s="4" t="s">
        <v>354</v>
      </c>
      <c r="C11" s="4" t="s">
        <v>355</v>
      </c>
      <c r="D11" s="4" t="s">
        <v>356</v>
      </c>
    </row>
    <row r="13" customFormat="false" ht="27.75" hidden="false" customHeight="true" outlineLevel="0" collapsed="false">
      <c r="A13" s="55" t="s">
        <v>357</v>
      </c>
      <c r="B13" s="55"/>
      <c r="C13" s="55"/>
      <c r="D13" s="55"/>
    </row>
  </sheetData>
  <mergeCells count="1">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2026-07-01T08:33:14Z</dcterms:created>
  <dc:creator>openpyxl</dc:creator>
  <dc:description/>
  <dc:language>en-US</dc:language>
  <cp:lastModifiedBy/>
  <dcterms:modified xsi:type="dcterms:W3CDTF">2026-07-01T09:09:08Z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