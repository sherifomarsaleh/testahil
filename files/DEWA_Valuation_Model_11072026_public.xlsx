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Assumptions" sheetId="3" state="visible" r:id="rId5"/>
    <sheet name="Driver Build" sheetId="4" state="visible" r:id="rId6"/>
    <sheet name="DDM" sheetId="5" state="visible" r:id="rId7"/>
    <sheet name="DCF" sheetId="6" state="visible" r:id="rId8"/>
    <sheet name="Relative &amp; P-B" sheetId="7" state="visible" r:id="rId9"/>
    <sheet name="Income Statement" sheetId="8" state="visible" r:id="rId10"/>
    <sheet name="Balance Sheet" sheetId="9" state="visible" r:id="rId11"/>
    <sheet name="Cash Flow" sheetId="10" state="visible" r:id="rId12"/>
    <sheet name="Operations &amp; Structure" sheetId="11" state="visible" r:id="rId13"/>
    <sheet name="Monte Carlo" sheetId="12" state="visible" r:id="rId14"/>
    <sheet name="Sensitivity" sheetId="13" state="visible" r:id="rId15"/>
    <sheet name="Per-Share &amp; Ratios" sheetId="14" state="visible" r:id="rId16"/>
    <sheet name="Peer &amp; Sector" sheetId="15" state="visible" r:id="rId17"/>
    <sheet name="Research Register" sheetId="16" state="visible" r:id="rId18"/>
    <sheet name="Experts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<sst xmlns="http://schemas.openxmlformats.org/spreadsheetml/2006/main" count="662" uniqueCount="576">
  <si>
    <t xml:space="preserve">Testahil — Independent Valuation Study — Educational Analysis. Not investment advice.</t>
  </si>
  <si>
    <t xml:space="preserve">DEWA — Dubai Electricity and Water Authority PJSC (DFM: DEWA) — model dated 11 July 2026, anchor close AED 2.79 (10-Jul-2026).</t>
  </si>
  <si>
    <t xml:space="preserve">This workbook is the calculation layer behind the DEWA valuation study. Every number in the study traces to a cell here.</t>
  </si>
  <si>
    <t xml:space="preserve">Blue cells are hardcoded inputs (all on the Assumptions sheet). Black cells are formulas. Green cells are links from another sheet.</t>
  </si>
  <si>
    <t xml:space="preserve">Nothing in this file is a recommendation, rating, or price target. Fair value is presented only as ranges and distributions.</t>
  </si>
  <si>
    <t xml:space="preserve">The preparer is not licensed by any securities regulator; see the Disclosure &amp; Disclaimer in the companion study document.</t>
  </si>
  <si>
    <t xml:space="preserve">Sheet map: 1 READ FIRST · 2 Summary · 3 Assumptions · 4 Driver Build · 5 DDM · 6 DCF · 7 Relative &amp; P-B · 8 Income Statement</t>
  </si>
  <si>
    <t xml:space="preserve">9 Balance Sheet · 10 Cash Flow · 11 Operations &amp; Structure · 12 Monte Carlo · 13 Sensitivity · 14 Per-Share &amp; Ratios · 15 Peer &amp; Sector · 16 Research Register · 17 Experts</t>
  </si>
  <si>
    <t xml:space="preserve">Sources: FY2023–FY2025 KPMG-audited consolidated financial statements (dewa.gov.ae, 27-Feb-2026); Q1-2026 results release (12-May-2026);</t>
  </si>
  <si>
    <t xml:space="preserve">UAE MoF T-Bond auctions; Damodaran country-risk file (5-Jan-2026 vintage); dated market quotes as labelled. Forecasts are the preparer's judgments.</t>
  </si>
  <si>
    <t xml:space="preserve">Valuation summary — every read at a glance</t>
  </si>
  <si>
    <t xml:space="preserve">Fair value ranges and distributions only. No rating, no price target. Spot AED 2.79 (10-Jul-2026).</t>
  </si>
  <si>
    <t xml:space="preserve">Lens</t>
  </si>
  <si>
    <t xml:space="preserve">Bear</t>
  </si>
  <si>
    <t xml:space="preserve">Base</t>
  </si>
  <si>
    <t xml:space="preserve">Bull</t>
  </si>
  <si>
    <t xml:space="preserve">Weight / note</t>
  </si>
  <si>
    <t xml:space="preserve">§1.1 Dividend policy DDM (PRIMARY)</t>
  </si>
  <si>
    <t xml:space="preserve">35% — the instrument trades on its dividend</t>
  </si>
  <si>
    <t xml:space="preserve">§1.2 FCFF DCF (ceiling framing)</t>
  </si>
  <si>
    <t xml:space="preserve">20% — TV = 86.7% of EV, disclosed; treat as ceiling</t>
  </si>
  <si>
    <t xml:space="preserve">§1.3 Relative EV/EBITDA</t>
  </si>
  <si>
    <t xml:space="preserve">25% — 9x/10x/11x on FY26E</t>
  </si>
  <si>
    <t xml:space="preserve">§1.4 Justified P/B</t>
  </si>
  <si>
    <t xml:space="preserve">20% — ROE 9.3%, justified 1.60x vs spot 1.53x</t>
  </si>
  <si>
    <t xml:space="preserve">Weighted fundamental central</t>
  </si>
  <si>
    <t xml:space="preserve">weights sum to 1.00; central AED 3.32 = 19.1% vs spot</t>
  </si>
  <si>
    <t xml:space="preserve">Monte Carlo (3-month, genuine T+60)</t>
  </si>
  <si>
    <t xml:space="preserve">Median T+60 (AED)</t>
  </si>
  <si>
    <t xml:space="preserve">P(close above spot)</t>
  </si>
  <si>
    <t xml:space="preserve">P(≥ +10%) / P(≤ −10%)</t>
  </si>
  <si>
    <t xml:space="preserve">20.3% / 15.5%</t>
  </si>
  <si>
    <t xml:space="preserve">Odds ratio (up:down 10%)</t>
  </si>
  <si>
    <t xml:space="preserve">90% band T+60 (AED)</t>
  </si>
  <si>
    <t xml:space="preserve">2.33 – 3.39</t>
  </si>
  <si>
    <t xml:space="preserve">50% band T+60 (AED)</t>
  </si>
  <si>
    <t xml:space="preserve">2.61 – 3.02</t>
  </si>
  <si>
    <t xml:space="preserve">Two clocks: the fundamental range is a ~12-month basis; the MC band is a genuine 3-month distribution. They answer different questions and are never blended.</t>
  </si>
  <si>
    <t xml:space="preserve">Calibration status</t>
  </si>
  <si>
    <t xml:space="preserve">DEWA verdict: BOUNDARY → parity tier ("calibrated, market-panel validated, no demonstrated single-name edge"). UAE panel fit read live from the production fit at build time.</t>
  </si>
  <si>
    <t xml:space="preserve">Assumptions — the single blue-cell input layer</t>
  </si>
  <si>
    <t xml:space="preserve">Every hardcoded number in the model lives here. Change a blue cell; the workbook recalculates.</t>
  </si>
  <si>
    <t xml:space="preserve">Input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</si>
  <si>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</si>
  <si>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</si>
  <si>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</si>
  <si>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</si>
  <si>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</si>
  <si>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Source / basis</t>
  </si>
  <si>
    <t xml:space="preserve">Revenue growth</t>
  </si>
  <si>
    <t xml:space="preserve">FY25 +6.0% actual; Q1-26 +8.2%; Dubai demand + tariff mix + Empower consolidation step-up in FY26</t>
  </si>
  <si>
    <t xml:space="preserve">EBITDA margin</t>
  </si>
  <si>
    <t xml:space="preserve">FY25 53.8% company basis; clean-share rise trims fuel cost; Empower 56.8% margin mixes in at 80%</t>
  </si>
  <si>
    <t xml:space="preserve">D&amp;A % of revenue</t>
  </si>
  <si>
    <t xml:space="preserve">FY25 20.4%; rises with the Hassyan SWRO + solar commissioning wave</t>
  </si>
  <si>
    <t xml:space="preserve">Capex (AED mn)</t>
  </si>
  <si>
    <t xml:space="preserve">FY25 actual 11.72bn groupwide; 2030 build-out (23GW / 735 MIGD) keeps intensity elevated</t>
  </si>
  <si>
    <t xml:space="preserve">ΔWC % of Δrevenue</t>
  </si>
  <si>
    <t xml:space="preserve">regulated receivable/payable cycle; FY25 WC release treated as non-recurring</t>
  </si>
  <si>
    <t xml:space="preserve">Net finance cost (AED mn)</t>
  </si>
  <si>
    <t xml:space="preserve">FY25 net 617; rises with Empower funding + capex debt, offset by deposit income</t>
  </si>
  <si>
    <t xml:space="preserve">Effective tax rate</t>
  </si>
  <si>
    <t xml:space="preserve">9% UAE CT + DMTT top-up mix; FY25 actual 9.5% of PBT</t>
  </si>
  <si>
    <t xml:space="preserve">NCI share of PAT</t>
  </si>
  <si>
    <t xml:space="preserve">FY25 7.8% pre-deal; falls to ~6% with Empower at 80% from Feb-26</t>
  </si>
  <si>
    <t xml:space="preserve">Cost of capital</t>
  </si>
  <si>
    <t xml:space="preserve">Risk-free (AED, MoF Jan-2031 T-Bond)</t>
  </si>
  <si>
    <t xml:space="preserve">UAE MoF auction 23-May-2026, YTM 4.30% — longest AED sovereign point</t>
  </si>
  <si>
    <t xml:space="preserve">ERP — rating basis (UAE Aa2)</t>
  </si>
  <si>
    <t xml:space="preserve">Damodaran original ctryprem.html, 5-Jan-2026 vintage: 4.23% mature + 0.64% CRP</t>
  </si>
  <si>
    <t xml:space="preserve">ERP — CDS basis (Abu Dhabi proxy)</t>
  </si>
  <si>
    <t xml:space="preserve">same file, Abu Dhabi CDS row (no UAE-federal CDS exists)</t>
  </si>
  <si>
    <t xml:space="preserve">Beta (regression, weekly, own panel proxy)</t>
  </si>
  <si>
    <t xml:space="preserve">OLS 221 wks vs equal-wt 14-name UAE proxy: 0.42 (SE 0.055, R² 20.5%); rounded up for proxy-construction risk</t>
  </si>
  <si>
    <t xml:space="preserve">Kd pre-tax (blended)</t>
  </si>
  <si>
    <t xml:space="preserve">FY25 interest paid 2,203 / avg borrowings ~44.9bn = 4.9%; A3/AA- issuer</t>
  </si>
  <si>
    <t xml:space="preserve">Tax shield rate</t>
  </si>
  <si>
    <t xml:space="preserve">UAE corporate tax</t>
  </si>
  <si>
    <t xml:space="preserve">Terminal growth</t>
  </si>
  <si>
    <t xml:space="preserve">Dubai population + electrification, below nominal GDP; sensitised 1.5–3.5%</t>
  </si>
  <si>
    <t xml:space="preserve">Empower 24% purchase (Feb-26, AED mn)</t>
  </si>
  <si>
    <t xml:space="preserve">Dubai Holding sale to DEWA, 10-Feb-2026 — named transaction</t>
  </si>
  <si>
    <t xml:space="preserve">Empower market cap (aggregator, flagged)</t>
  </si>
  <si>
    <t xml:space="preserve">DFM ~May-2026; deal-date cap 17.9bn</t>
  </si>
  <si>
    <t xml:space="preserve">Shares outstanding (mn)</t>
  </si>
  <si>
    <t xml:space="preserve">FY25 FS: EPS 0.167 on NP att 8,346.9mn</t>
  </si>
  <si>
    <t xml:space="preserve">Spot (10-Jul-2026 close)</t>
  </si>
  <si>
    <t xml:space="preserve">DFM close, attached daily history</t>
  </si>
  <si>
    <t xml:space="preserve">MC rf — CBUAE base rate (live)</t>
  </si>
  <si>
    <t xml:space="preserve">held 17-Jun-2026; carry anchor for the price forecast</t>
  </si>
  <si>
    <t xml:space="preserve">DPS (policy floor / share)</t>
  </si>
  <si>
    <t xml:space="preserve">AED 6.2bn / 50,000mn shares; policy runs to Oct-2027</t>
  </si>
  <si>
    <t xml:space="preserve">Driver build — sourced, then built</t>
  </si>
  <si>
    <t xml:space="preserve">Bottom-up only where a disclosed figure or dated quote exists; top-down flagged. Full sourcing detail is in the Research Register sheet.</t>
  </si>
  <si>
    <t xml:space="preserve">Driver</t>
  </si>
  <si>
    <t xml:space="preserve">Mode</t>
  </si>
  <si>
    <t xml:space="preserve">Value</t>
  </si>
  <si>
    <t xml:space="preserve">FY26E revenue growth +7.5%</t>
  </si>
  <si>
    <t xml:space="preserve">top-down (guided by Q1)</t>
  </si>
  <si>
    <t xml:space="preserve">Q1-26 +8.2% y/y; no formal guidance issued</t>
  </si>
  <si>
    <t xml:space="preserve">FY27-30E growth 6.0→4.5%</t>
  </si>
  <si>
    <t xml:space="preserve">top-down</t>
  </si>
  <si>
    <t xml:space="preserve">Dubai D33 demand: FY25 peak +5.8%, customers +4.5%/yr</t>
  </si>
  <si>
    <t xml:space="preserve">EBITDA margin 54.2→55.5%</t>
  </si>
  <si>
    <t xml:space="preserve">bottom-up (mix)</t>
  </si>
  <si>
    <t xml:space="preserve">clean share 16.2%→~25% cuts fuel; Empower 56.8% margin at 80%</t>
  </si>
  <si>
    <t xml:space="preserve">Capex AED 12.5–14.0bn</t>
  </si>
  <si>
    <t xml:space="preserve">bottom-up (program)</t>
  </si>
  <si>
    <t xml:space="preserve">2030: &gt;23GW, 735 MIGD; Hassyan SWRO waves; FY25 actual 11.72bn</t>
  </si>
  <si>
    <t xml:space="preserve">Tax 9.5%</t>
  </si>
  <si>
    <t xml:space="preserve">bottom-up (regime)</t>
  </si>
  <si>
    <t xml:space="preserve">9% CT + DMTT; FY25 actual 947.6/10,003 = 9.5%</t>
  </si>
  <si>
    <t xml:space="preserve">NCI 6.0%</t>
  </si>
  <si>
    <t xml:space="preserve">bottom-up (deal)</t>
  </si>
  <si>
    <t xml:space="preserve">Empower 56→80% (Feb-26, AED 5.184bn named transaction)</t>
  </si>
  <si>
    <t xml:space="preserve">WACC inputs</t>
  </si>
  <si>
    <t xml:space="preserve">bottom-up (sourced)</t>
  </si>
  <si>
    <t xml:space="preserve">rf 4.30% MoF; ERP 4.87% Damodaran original; beta regression 0.42→0.50 used</t>
  </si>
  <si>
    <t xml:space="preserve">Terminal g 2.5%</t>
  </si>
  <si>
    <t xml:space="preserve">house view, below Dubai nominal GDP; sensitised</t>
  </si>
  <si>
    <t xml:space="preserve">Dividend AED 6.2bn floor</t>
  </si>
  <si>
    <t xml:space="preserve">bottom-up (policy)</t>
  </si>
  <si>
    <t xml:space="preserve">stated policy to Oct-2027; FY25 paid 6.2bn; the post-2027 policy is THE CRUX</t>
  </si>
  <si>
    <t xml:space="preserve">§1.1 Dividend policy DDM — the primary lens</t>
  </si>
  <si>
    <t xml:space="preserve">DEWA listed as an income instrument: AED 6.2bn/yr policy floor to Oct-2027. The post-2027 policy is the crux.</t>
  </si>
  <si>
    <t xml:space="preserve">DPS0 (policy floor)</t>
  </si>
  <si>
    <t xml:space="preserve">Stage-1 growth (5 yrs, base)</t>
  </si>
  <si>
    <t xml:space="preserve">Terminal growth (base)</t>
  </si>
  <si>
    <t xml:space="preserve">Ke (rating-basis)</t>
  </si>
  <si>
    <t xml:space="preserve">Year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</si>
  <si>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</si>
  <si>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</si>
  <si>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</si>
  <si>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</si>
  <si>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</si>
  <si>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Terminal</t>
  </si>
  <si>
    <t xml:space="preserve">DPS path (AED)</t>
  </si>
  <si>
    <t xml:space="preserve">Discount factor</t>
  </si>
  <si>
    <t xml:space="preserve">PV of DPS</t>
  </si>
  <si>
    <t xml:space="preserve">PV of stage-1 dividends</t>
  </si>
  <si>
    <t xml:space="preserve">Terminal value at t5</t>
  </si>
  <si>
    <t xml:space="preserve">PV of terminal value</t>
  </si>
  <si>
    <t xml:space="preserve">DDM fair value / share (base)</t>
  </si>
  <si>
    <t xml:space="preserve">Scenario grid</t>
  </si>
  <si>
    <t xml:space="preserve">Scenario</t>
  </si>
  <si>
    <t xml:space="preserve">Stage-1 g</t>
  </si>
  <si>
    <t xml:space="preserve">Terminal g</t>
  </si>
  <si>
    <t xml:space="preserve">Fair value</t>
  </si>
  <si>
    <t xml:space="preserve">vs spot</t>
  </si>
  <si>
    <t xml:space="preserve">Bear — policy frozen at 6.2bn, then flat</t>
  </si>
  <si>
    <t xml:space="preserve">Base — modest step-ups, 3.0% perpetual</t>
  </si>
  <si>
    <t xml:space="preserve">Bull — payout steps up post-2027</t>
  </si>
  <si>
    <t xml:space="preserve">Deep bear — cut ~20% to 4.96bn to fund the build, then flat</t>
  </si>
  <si>
    <t xml:space="preserve">−20% step</t>
  </si>
  <si>
    <t xml:space="preserve">Market-implied read, dual-framed. Single-stage (Ke − spot dividend yield):</t>
  </si>
  <si>
    <t xml:space="preserve">2.29% — path-free framing</t>
  </si>
  <si>
    <t xml:space="preserve">Two-stage (hold the base 5.5% stage-1 path, solve terminal g so PV = spot): 1.33% — lower because stage 1 already grows the coupon. Both framings stated; the study body quotes the two-stage number as the sharper read.</t>
  </si>
  <si>
    <t xml:space="preserve">§1.2 FCFF DCF — full waterfall, ceiling framing</t>
  </si>
  <si>
    <t xml:space="preserve">Revenue→EBITDA→D&amp;A→EBIT→NOPAT→+D&amp;A→−Capex→−ΔWC→FCFF→DF→PV, every line shown. TV share of EV disclosed.</t>
  </si>
  <si>
    <t xml:space="preserve">AED mn</t>
  </si>
  <si>
    <t xml:space="preserve">Revenue</t>
  </si>
  <si>
    <t xml:space="preserve">EBITDA</t>
  </si>
  <si>
    <t xml:space="preserve">– D&amp;A</t>
  </si>
  <si>
    <t xml:space="preserve">EBIT</t>
  </si>
  <si>
    <t xml:space="preserve">NOPAT (after 9.5% tax)</t>
  </si>
  <si>
    <t xml:space="preserve">+ D&amp;A</t>
  </si>
  <si>
    <t xml:space="preserve">– Capex</t>
  </si>
  <si>
    <t xml:space="preserve">– ΔWC (1% of Δrevenue)</t>
  </si>
  <si>
    <t xml:space="preserve">FCFF</t>
  </si>
  <si>
    <t xml:space="preserve">WACC (rating basis)</t>
  </si>
  <si>
    <t xml:space="preserve">Ke — equity weight 78.3% / debt 21.7%</t>
  </si>
  <si>
    <t xml:space="preserve">WACC blended</t>
  </si>
  <si>
    <t xml:space="preserve">PV of FCFF</t>
  </si>
  <si>
    <t xml:space="preserve">Sum PV of explicit FCFF</t>
  </si>
  <si>
    <t xml:space="preserve">Enterprise value</t>
  </si>
  <si>
    <t xml:space="preserve">TV as % of EV (disclosed)</t>
  </si>
  <si>
    <t xml:space="preserve">86.7% — that is why this lens is framed as a CEILING, weighted 20%</t>
  </si>
  <si>
    <t xml:space="preserve">– Net debt (post-Empower, pro forma)</t>
  </si>
  <si>
    <t xml:space="preserve">31,089 FY25 + 5,184 Empower payment (Feb-26)</t>
  </si>
  <si>
    <t xml:space="preserve">– NCI (marked)</t>
  </si>
  <si>
    <t xml:space="preserve">Empower 20% at ~16bn DFM cap + others at book</t>
  </si>
  <si>
    <t xml:space="preserve">Equity value</t>
  </si>
  <si>
    <t xml:space="preserve">Fair value / share (AED)</t>
  </si>
  <si>
    <t xml:space="preserve">Alt framing (+ treasury assets 6,631)</t>
  </si>
  <si>
    <t xml:space="preserve">dual framing — term deposits + other financial assets at amortised cost</t>
  </si>
  <si>
    <t xml:space="preserve">QC receipts: IC 128,859 → ROIC 7.69% vs WACC 6.24%; steady-state reinvestment g/ROIC = 32.5%, consistent with the capex path.</t>
  </si>
  <si>
    <t xml:space="preserve">NCI marked bridge — how the 8,598 deduction is built (AED mn)</t>
  </si>
  <si>
    <t xml:space="preserve">NCI book value, audited (31-Dec-25)</t>
  </si>
  <si>
    <t xml:space="preserve">− Empower NCI component at 44% of Empower book equity (derived from segment disclosure, not a stated FS line)</t>
  </si>
  <si>
    <t xml:space="preserve">+ Empower 20% residual minority marked at DFM market cap (0.20 × 16,000)</t>
  </si>
  <si>
    <t xml:space="preserve">NCI as deducted in the bridge (feeds B25) =</t>
  </si>
  <si>
    <t xml:space="preserve">Only the listed Empower stub is marked to its DFM price; IPP and other minorities stay at audited book.</t>
  </si>
  <si>
    <t xml:space="preserve">§1.3 Relative EV/EBITDA + §1.4 Justified P/B</t>
  </si>
  <si>
    <t xml:space="preserve">Two market-family lenses. Kept separate from the DCF family; the synthesis never blends non-overlapping methods.</t>
  </si>
  <si>
    <t xml:space="preserve">Relative — EV/EBITDA on FY26E</t>
  </si>
  <si>
    <t xml:space="preserve">Spot EV (mkt cap + ND PF + NCI)</t>
  </si>
  <si>
    <t xml:space="preserve">FY26E EBITDA</t>
  </si>
  <si>
    <t xml:space="preserve">Implied spot multiple</t>
  </si>
  <si>
    <t xml:space="preserve">Multiple scenario</t>
  </si>
  <si>
    <t xml:space="preserve">EV</t>
  </si>
  <si>
    <t xml:space="preserve">Equity</t>
  </si>
  <si>
    <t xml:space="preserve">AED / share</t>
  </si>
  <si>
    <t xml:space="preserve">9.0x (bear)</t>
  </si>
  <si>
    <t xml:space="preserve">10.0x (base)</t>
  </si>
  <si>
    <t xml:space="preserve">11.0x (bull)</t>
  </si>
  <si>
    <t xml:space="preserve">Justified P/B</t>
  </si>
  <si>
    <t xml:space="preserve">BVPS (owners, FY25)</t>
  </si>
  <si>
    <t xml:space="preserve">Sustainable ROE</t>
  </si>
  <si>
    <t xml:space="preserve">Ke</t>
  </si>
  <si>
    <t xml:space="preserve">g (long-run)</t>
  </si>
  <si>
    <t xml:space="preserve">Justified P/B = (ROE−g)/(Ke−g)</t>
  </si>
  <si>
    <t xml:space="preserve">Fair value / share</t>
  </si>
  <si>
    <t xml:space="preserve">Spot P/B (check)</t>
  </si>
  <si>
    <t xml:space="preserve">Bear 2.28 (ROE 8.5%, g 2.0%) · Base 2.91 · Bull 3.66 (ROE 10.5%, g 3.0%) — grid in the study §1.9.</t>
  </si>
  <si>
    <t xml:space="preserve">Income statement — 3-year historical + 5-year forecast (consolidated, AED mn)</t>
  </si>
  <si>
    <t xml:space="preserve">FY23–FY25 = KPMG-audited FS. Forecast rows are formulas off Assumptions.</t>
  </si>
  <si>
    <t xml:space="preserve">FY23</t>
  </si>
  <si>
    <t xml:space="preserve">FY24</t>
  </si>
  <si>
    <t xml:space="preserve">FY25</t>
  </si>
  <si>
    <t xml:space="preserve">Cost of sales</t>
  </si>
  <si>
    <t xml:space="preserve">Gross profit</t>
  </si>
  <si>
    <t xml:space="preserve">Operating profit (EBIT)</t>
  </si>
  <si>
    <t xml:space="preserve">– Net finance cost</t>
  </si>
  <si>
    <t xml:space="preserve">– Regulatory deferral movement</t>
  </si>
  <si>
    <t xml:space="preserve">Profit before tax</t>
  </si>
  <si>
    <t xml:space="preserve">– Income tax</t>
  </si>
  <si>
    <t xml:space="preserve">Profit after tax</t>
  </si>
  <si>
    <t xml:space="preserve">– Non-controlling interests</t>
  </si>
  <si>
    <t xml:space="preserve">Net profit attributable</t>
  </si>
  <si>
    <t xml:space="preserve">EPS (AED)</t>
  </si>
  <si>
    <t xml:space="preserve">FY23 is the FY2024 audited statements’ comparative column in full (KPMG, signed 27-Feb-2025) — the restated presentation. FY23 income tax was a +91.902 deferred-tax CREDIT (first recognition of the UAE corporate-tax regime), hence the positive sign. FY23 engine EBITDA 14,884 reconciles to DEWA’s own stated "EBITDA of AED 14.8 billion" for 2023.</t>
  </si>
  <si>
    <t xml:space="preserve">Balance sheet — audited three-year view (KPMG, AED mn)</t>
  </si>
  <si>
    <t xml:space="preserve">FY23 from the audited FY2023 statements (balance-sheet face as reproduced in DEWA’s Integrated Report 2023) and the FY24 statements’ equity comparatives; FY24 = comparative column of the FY25 audited FS; FY25 = audited. Provenance: official FS only, never an aggregator.</t>
  </si>
  <si>
    <t xml:space="preserve">Non-current assets</t>
  </si>
  <si>
    <t xml:space="preserve">Current assets</t>
  </si>
  <si>
    <t xml:space="preserve">Total assets</t>
  </si>
  <si>
    <t xml:space="preserve">Equity — owners</t>
  </si>
  <si>
    <t xml:space="preserve">Equity — non-controlling interests</t>
  </si>
  <si>
    <t xml:space="preserve">Total equity</t>
  </si>
  <si>
    <t xml:space="preserve">Borrowings — non-current</t>
  </si>
  <si>
    <t xml:space="preserve">Borrowings — current</t>
  </si>
  <si>
    <t xml:space="preserve">Total liabilities</t>
  </si>
  <si>
    <t xml:space="preserve">Regulatory deferral credit balance</t>
  </si>
  <si>
    <t xml:space="preserve">Cash &amp; equivalents (balance-sheet face)</t>
  </si>
  <si>
    <t xml:space="preserve">Net debt — strict (borrowings − cash)</t>
  </si>
  <si>
    <t xml:space="preserve">Net debt — pro forma (post-Empower, Feb-26)</t>
  </si>
  <si>
    <t xml:space="preserve">—</t>
  </si>
  <si>
    <t xml:space="preserve">Balance-sheet identity (IFRS 14 presentation): Total assets = Total equity + Total liabilities + Regulatory deferral credit balance.</t>
  </si>
  <si>
    <t xml:space="preserve">Identity residual per column — LIVE formula, must be 0.000:</t>
  </si>
  <si>
    <t xml:space="preserve">Restatement note: the FY24 statements regrouped certain FY23 cash-flow lines (≈AED 536mn between operating and investing); this workbook uses the restated — most recent audited — presentation throughout.</t>
  </si>
  <si>
    <t xml:space="preserve">FY23 cash note: the CF-basis year-end cash was 4,658.317 — AED 641.854mn of overdraft-style balances sat inside FY23 current borrowings and are netted in the CF definition; net debt is identical on either basis.</t>
  </si>
  <si>
    <t xml:space="preserve">Cash flow — audited three-year view (KPMG, AED mn)</t>
  </si>
  <si>
    <t xml:space="preserve">Interest and dividend rows are memo items inside the investing/financing totals shown; the cash walk ties on CFO − investing − financing. FY23 = restated comparatives from the FY2024 audited statements. Provenance: official FS only.</t>
  </si>
  <si>
    <t xml:space="preserve">Cash generated from operations</t>
  </si>
  <si>
    <t xml:space="preserve">– Capex (cash, net of capital payables)</t>
  </si>
  <si>
    <t xml:space="preserve">Free cash flow (CFO − capex)</t>
  </si>
  <si>
    <t xml:space="preserve">– Interest paid on borrowings (memo)</t>
  </si>
  <si>
    <t xml:space="preserve">– Dividends — owners (memo)</t>
  </si>
  <si>
    <t xml:space="preserve">– Dividends — NCI (memo)</t>
  </si>
  <si>
    <t xml:space="preserve">Net cash used in investing (incl. capex, deposits)</t>
  </si>
  <si>
    <t xml:space="preserve">Net cash used in financing (incl. interest, dividends)</t>
  </si>
  <si>
    <t xml:space="preserve">Cash &amp; equivalents, year-end</t>
  </si>
  <si>
    <t xml:space="preserve">Cash-walk residual (= end − open − CFO − investing − financing) — LIVE formula:</t>
  </si>
  <si>
    <t xml:space="preserve">FY23 opening cash was 4,722.296 (audited). FY25 investing/financing are the FS’s rounded presentation, so the FY25 residual of 0.13 is display rounding, not a tie failure; FY25 investing is mostly term-deposit placement (14,659 placed vs 10,203 matured), not spending.</t>
  </si>
  <si>
    <t xml:space="preserve">Dividend cover, dual-framed (FY25):</t>
  </si>
  <si>
    <t xml:space="preserve">Dividend cover — all framings (FY25):</t>
  </si>
  <si>
    <t xml:space="preserve">1.46x — gross framing</t>
  </si>
  <si>
    <t xml:space="preserve">Gross: total PAT / total dividends paid (incl. NCI) = 9,055 / 7,360</t>
  </si>
  <si>
    <t xml:space="preserve">1.23x — the gross framing</t>
  </si>
  <si>
    <t xml:space="preserve">Owner: attributable PAT / owner dividends = 8,347 / 6,200</t>
  </si>
  <si>
    <t xml:space="preserve">1.35x — the owner framing</t>
  </si>
  <si>
    <t xml:space="preserve">Policy floor: group PAT vs the AED 6.2bn policy floor alone</t>
  </si>
  <si>
    <t xml:space="preserve">1.46x — valid only against the floor, not against dividends actually paid</t>
  </si>
  <si>
    <t xml:space="preserve">All three framings appear wherever the cover is cited; the study body leads with 1.23x / 1.35x.</t>
  </si>
  <si>
    <t xml:space="preserve">Operations &amp; group structure — the physical system behind the financials</t>
  </si>
  <si>
    <t xml:space="preserve">Sources: FY25 directors’ report and note 1 to the audited FS; Q1-2026 results release (12-May-2026); Empower disclosures (DFM, 10-Feb-2026).</t>
  </si>
  <si>
    <t xml:space="preserve">FY25 operating KPIs</t>
  </si>
  <si>
    <t xml:space="preserve">Metric</t>
  </si>
  <si>
    <t xml:space="preserve">FY24 / prior</t>
  </si>
  <si>
    <t xml:space="preserve">Change</t>
  </si>
  <si>
    <t xml:space="preserve">Installed generation capacity (MW)</t>
  </si>
  <si>
    <t xml:space="preserve">+4.7%</t>
  </si>
  <si>
    <t xml:space="preserve">— of which clean (MW / % of fleet)</t>
  </si>
  <si>
    <t xml:space="preserve">21.5% of fleet</t>
  </si>
  <si>
    <t xml:space="preserve">Gross generation (TWh)</t>
  </si>
  <si>
    <t xml:space="preserve">+5.10%</t>
  </si>
  <si>
    <t xml:space="preserve">— clean generation (TWh / % of output)</t>
  </si>
  <si>
    <t xml:space="preserve">+52.4% → 16.23%</t>
  </si>
  <si>
    <t xml:space="preserve">Peak demand (MW)</t>
  </si>
  <si>
    <t xml:space="preserve">+5.83%</t>
  </si>
  <si>
    <t xml:space="preserve">Desalinated water produced (bn imperial gallons)</t>
  </si>
  <si>
    <t xml:space="preserve">+6.62%</t>
  </si>
  <si>
    <t xml:space="preserve">Peak water demand (MIGD)</t>
  </si>
  <si>
    <t xml:space="preserve">+7.0%</t>
  </si>
  <si>
    <t xml:space="preserve">Installed desalination capacity (MIGD)</t>
  </si>
  <si>
    <t xml:space="preserve">Customer accounts</t>
  </si>
  <si>
    <t xml:space="preserve">+4.48%</t>
  </si>
  <si>
    <t xml:space="preserve">Transmission / distribution losses</t>
  </si>
  <si>
    <t xml:space="preserve">2.0% / 4.4%</t>
  </si>
  <si>
    <t xml:space="preserve">world-class</t>
  </si>
  <si>
    <t xml:space="preserve">Customer minutes lost (CML, min/yr)</t>
  </si>
  <si>
    <t xml:space="preserve">vs ~15 in leading EU utilities</t>
  </si>
  <si>
    <t xml:space="preserve">Q1-2026 operational read</t>
  </si>
  <si>
    <t xml:space="preserve">Q1-26</t>
  </si>
  <si>
    <t xml:space="preserve">Note</t>
  </si>
  <si>
    <t xml:space="preserve">Generation (TWh)</t>
  </si>
  <si>
    <t xml:space="preserve">clean 2.06 TWh — 18.6% of output</t>
  </si>
  <si>
    <t xml:space="preserve">Water (bn IG)</t>
  </si>
  <si>
    <t xml:space="preserve">+5.08% LTM — ~65k adds</t>
  </si>
  <si>
    <t xml:space="preserve">2030 targets (Dubai Clean Energy Strategy / D33 alignment)</t>
  </si>
  <si>
    <t xml:space="preserve">Target</t>
  </si>
  <si>
    <t xml:space="preserve">2030</t>
  </si>
  <si>
    <t xml:space="preserve">vs FY25</t>
  </si>
  <si>
    <t xml:space="preserve">Generation capacity (MW)</t>
  </si>
  <si>
    <t xml:space="preserve">Renewable capacity (MW, 36.1% of fleet)</t>
  </si>
  <si>
    <t xml:space="preserve">Desalination capacity (MIGD)</t>
  </si>
  <si>
    <t xml:space="preserve">— of which SWRO (MIGD)</t>
  </si>
  <si>
    <t xml:space="preserve">Build pipeline in flight</t>
  </si>
  <si>
    <t xml:space="preserve">•  1,800 MW solar IPP (MBR Solar Park phase) — 86% complete, on line 2026</t>
  </si>
  <si>
    <t xml:space="preserve">•  Noor Energy 1 — 950 MW CSP+PV hybrid, fully grid-connected in FY25</t>
  </si>
  <si>
    <t xml:space="preserve">•  Hassyan Water 1/A — 180 MIGD SWRO, early production achieved</t>
  </si>
  <si>
    <t xml:space="preserve">•  Hatta pumped-storage hydro — 1,500 MWh, commissioning</t>
  </si>
  <si>
    <t xml:space="preserve">Group structure (note 1, FY25 audited FS)</t>
  </si>
  <si>
    <t xml:space="preserve">Entity</t>
  </si>
  <si>
    <t xml:space="preserve">Held</t>
  </si>
  <si>
    <t xml:space="preserve">What it does</t>
  </si>
  <si>
    <t xml:space="preserve">Empower (Emirates Central Cooling) — DFM listed</t>
  </si>
  <si>
    <t xml:space="preserve">80%</t>
  </si>
  <si>
    <t xml:space="preserve">district cooling; bought up from 56% for AED 5,184mn, 10-Feb-2026</t>
  </si>
  <si>
    <t xml:space="preserve">Mai Dubai</t>
  </si>
  <si>
    <t xml:space="preserve">100%</t>
  </si>
  <si>
    <t xml:space="preserve">bottled water</t>
  </si>
  <si>
    <t xml:space="preserve">Digital DEWA / Moro (Data Hub Integrated Solutions)</t>
  </si>
  <si>
    <t xml:space="preserve">data centres, IT infrastructure</t>
  </si>
  <si>
    <t xml:space="preserve">Etihad ESCO / Etihad Clean Energy</t>
  </si>
  <si>
    <t xml:space="preserve">energy-efficiency retrofits, solar rental</t>
  </si>
  <si>
    <t xml:space="preserve">Shuaa Energy 1 / 2 / 3 / 4 (solar IPPs)</t>
  </si>
  <si>
    <t xml:space="preserve">51-60%</t>
  </si>
  <si>
    <t xml:space="preserve">MBR Solar Park phases; partners fund minority share</t>
  </si>
  <si>
    <t xml:space="preserve">Noor Energy 1 (950 MW CSP hybrid)</t>
  </si>
  <si>
    <t xml:space="preserve">51%</t>
  </si>
  <si>
    <t xml:space="preserve">concentrated solar + PV</t>
  </si>
  <si>
    <t xml:space="preserve">Hassyan Energy Phase 1</t>
  </si>
  <si>
    <t xml:space="preserve">Hassyan power complex</t>
  </si>
  <si>
    <t xml:space="preserve">Hassyan Water 1 / A (SWRO)</t>
  </si>
  <si>
    <t xml:space="preserve">60%</t>
  </si>
  <si>
    <t xml:space="preserve">180 MIGD reverse osmosis</t>
  </si>
  <si>
    <t xml:space="preserve">Etihad Energy Services, InfraX, Digital X, Space-D, Dubai Green Fund</t>
  </si>
  <si>
    <t xml:space="preserve">services, networks, telemetry, green investment</t>
  </si>
  <si>
    <t xml:space="preserve">Empower step-up (10-Feb-2026) — deal block</t>
  </si>
  <si>
    <t xml:space="preserve">Stake before / after</t>
  </si>
  <si>
    <t xml:space="preserve">56% → 80%</t>
  </si>
  <si>
    <t xml:space="preserve">Consideration (AED mn)</t>
  </si>
  <si>
    <t xml:space="preserve">Empower market cap at deal (AED mn)</t>
  </si>
  <si>
    <t xml:space="preserve">Implied EV/EBITDA at deal</t>
  </si>
  <si>
    <t xml:space="preserve">12.7x</t>
  </si>
  <si>
    <t xml:space="preserve">Empower dividend yield at deal</t>
  </si>
  <si>
    <t xml:space="preserve">Q1-26: revenue / net profit (AED mn)</t>
  </si>
  <si>
    <t xml:space="preserve">631 (+16.8%) / 208 (+44%)</t>
  </si>
  <si>
    <t xml:space="preserve">Funding</t>
  </si>
  <si>
    <t xml:space="preserve">cash + debt; carried in ND pro forma = strict ND + 5,184</t>
  </si>
  <si>
    <t xml:space="preserve">FY25 equity walk (AED mn)</t>
  </si>
  <si>
    <t xml:space="preserve">Owners</t>
  </si>
  <si>
    <t xml:space="preserve">NCI</t>
  </si>
  <si>
    <t xml:space="preserve">Total</t>
  </si>
  <si>
    <t xml:space="preserve">Opening equity (1-Jan-25)</t>
  </si>
  <si>
    <t xml:space="preserve">Profit for the year</t>
  </si>
  <si>
    <t xml:space="preserve">Other comprehensive income</t>
  </si>
  <si>
    <t xml:space="preserve">Capital contributions (NCI: IPP partners; owners: land)</t>
  </si>
  <si>
    <t xml:space="preserve">Capital repayment to NCI</t>
  </si>
  <si>
    <t xml:space="preserve">Dividends paid</t>
  </si>
  <si>
    <t xml:space="preserve">Closing equity (31-Dec-25)</t>
  </si>
  <si>
    <t xml:space="preserve">Audit read: KPMG key audit matters — accrued unbilled revenue AED 1,216mn (2024: 1,125) and ECL allowance AED 376mn on receivables of 3,049mn. Opinion unqualified.</t>
  </si>
  <si>
    <t xml:space="preserve">Monte Carlo — carry-anchored YZ-HAR-t (engine v3)</t>
  </si>
  <si>
    <t xml:space="preserve">50,000 paths, seed 42. UAE market fit read live from the production fit at run time. Genuine 3-month horizon.</t>
  </si>
  <si>
    <t xml:space="preserve">Inputs</t>
  </si>
  <si>
    <t xml:space="preserve">Spot (10-Jul-2026)</t>
  </si>
  <si>
    <t xml:space="preserve">rf — CBUAE base rate</t>
  </si>
  <si>
    <t xml:space="preserve">Dividend yield q</t>
  </si>
  <si>
    <t xml:space="preserve">t-dist ν (market fit, live-read)</t>
  </si>
  <si>
    <t xml:space="preserve">cone width (market fit, live-read)</t>
  </si>
  <si>
    <t xml:space="preserve">HAR σ (60d, annualised)</t>
  </si>
  <si>
    <t xml:space="preserve">Carry drift (60d)</t>
  </si>
  <si>
    <t xml:space="preserve">Event-ledger drift (60d)</t>
  </si>
  <si>
    <t xml:space="preserve">Total drift (60d)</t>
  </si>
  <si>
    <t xml:space="preserve">Percentile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</si>
  <si>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</si>
  <si>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</si>
  <si>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</si>
  <si>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</si>
  <si>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</si>
  <si>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(AED)</t>
  </si>
  <si>
    <t xml:space="preserve">T+60 (AED)</t>
  </si>
  <si>
    <t xml:space="preserve">Probability read (T+60) — house presentation order</t>
  </si>
  <si>
    <t xml:space="preserve">P(≥ +10%)</t>
  </si>
  <si>
    <t xml:space="preserve">P(≤ −10%)</t>
  </si>
  <si>
    <t xml:space="preserve">Odds up : down</t>
  </si>
  <si>
    <t xml:space="preserve">Median vs spot</t>
  </si>
  <si>
    <t xml:space="preserve">50% band (p25–p75)</t>
  </si>
  <si>
    <t xml:space="preserve">of spot</t>
  </si>
  <si>
    <t xml:space="preserve">Touch ±10% inside the window (any close at/beyond)</t>
  </si>
  <si>
    <t xml:space="preserve">up 3.069 / down 2.511 by T+60  (T+20: 11.9% / 8.1%)</t>
  </si>
  <si>
    <t xml:space="preserve">Probability zones (T+60 close)</t>
  </si>
  <si>
    <t xml:space="preserve">Zone (AED)</t>
  </si>
  <si>
    <t xml:space="preserve">Probability</t>
  </si>
  <si>
    <t xml:space="preserve">&lt; 2.40</t>
  </si>
  <si>
    <t xml:space="preserve">2.40 – 2.60</t>
  </si>
  <si>
    <t xml:space="preserve">2.60 – 2.95</t>
  </si>
  <si>
    <t xml:space="preserve">2.95 – 3.20</t>
  </si>
  <si>
    <t xml:space="preserve">&gt; 3.20</t>
  </si>
  <si>
    <t xml:space="preserve">Touch probabilities (any close at/beyond level within horizon)</t>
  </si>
  <si>
    <t xml:space="preserve">Level (AED)</t>
  </si>
  <si>
    <t xml:space="preserve">P touch ≤ T+20</t>
  </si>
  <si>
    <t xml:space="preserve">P touch ≤ T+60</t>
  </si>
  <si>
    <t xml:space="preserve">Event ledger (drift components, 60d)</t>
  </si>
  <si>
    <t xml:space="preserve">Event</t>
  </si>
  <si>
    <t xml:space="preserve">P</t>
  </si>
  <si>
    <t xml:space="preserve">Impact if occurs</t>
  </si>
  <si>
    <t xml:space="preserve">Contribution</t>
  </si>
  <si>
    <t xml:space="preserve">H1-2026 results (~mid-Aug)</t>
  </si>
  <si>
    <t xml:space="preserve">Oct-2026 dividend (AED 3.1bn, H1-26) confirmed</t>
  </si>
  <si>
    <t xml:space="preserve">Post-2027 dividend policy signalled at/above AED 6.2bn with growth</t>
  </si>
  <si>
    <t xml:space="preserve">Post-2027 policy signalled frozen or cut</t>
  </si>
  <si>
    <t xml:space="preserve">Fed/CBUAE cut &gt;=25bp (Sep FOMC)</t>
  </si>
  <si>
    <t xml:space="preserve">Regional geopolitical re-escalation (Mar-26 precedent)</t>
  </si>
  <si>
    <t xml:space="preserve">DSCE tariff / fuel-surcharge pass-through decision</t>
  </si>
  <si>
    <t xml:space="preserve">Record summer peak demand (Q3 is DEWA's strongest quarter)</t>
  </si>
  <si>
    <t xml:space="preserve">Further debt-funded energy-sector M&amp;A (capital-allocation concern)</t>
  </si>
  <si>
    <t xml:space="preserve">Lens independence: the MC drift is carry + event ledger only. The +19.1% fundamental gap is NEVER injected into the price forecast — different clocks, different questions.</t>
  </si>
  <si>
    <t xml:space="preserve">Sensitivity — DCF/share on WACC × terminal g; DDM/share on Ke × perpetual g</t>
  </si>
  <si>
    <t xml:space="preserve">The crux grid (DDM) is the one that matters: the instrument trades on its dividend.</t>
  </si>
  <si>
    <t xml:space="preserve">DCF value/share (AED)</t>
  </si>
  <si>
    <t xml:space="preserve">WACC \ tg</t>
  </si>
  <si>
    <t xml:space="preserve">1.5%</t>
  </si>
  <si>
    <t xml:space="preserve">2.0%</t>
  </si>
  <si>
    <t xml:space="preserve">2.5%</t>
  </si>
  <si>
    <t xml:space="preserve">3.0%</t>
  </si>
  <si>
    <t xml:space="preserve">3.5%</t>
  </si>
  <si>
    <t xml:space="preserve">5.50%</t>
  </si>
  <si>
    <t xml:space="preserve">6.00%</t>
  </si>
  <si>
    <t xml:space="preserve">6.24%</t>
  </si>
  <si>
    <t xml:space="preserve">6.50%</t>
  </si>
  <si>
    <t xml:space="preserve">7.00%</t>
  </si>
  <si>
    <t xml:space="preserve">DDM value/share (AED)</t>
  </si>
  <si>
    <t xml:space="preserve">Ke \ g∞</t>
  </si>
  <si>
    <t xml:space="preserve">1.0%</t>
  </si>
  <si>
    <t xml:space="preserve">4.0%</t>
  </si>
  <si>
    <t xml:space="preserve">6.74%</t>
  </si>
  <si>
    <t xml:space="preserve">7.50%</t>
  </si>
  <si>
    <t xml:space="preserve">8.00%</t>
  </si>
  <si>
    <t xml:space="preserve">Stress column — post-2027 policy: frozen 6.2bn forever at Ke 6.74% ⇒ 2.21 (bear anchor); +9%/yr steps then 4% ⇒ 5.43 (bull anchor). This is the crux in AED/share.</t>
  </si>
  <si>
    <t xml:space="preserve">Per-share &amp; ratios — history + forecast</t>
  </si>
  <si>
    <t xml:space="preserve">Forecast rows are formulas off the Income Statement / Assumptions.</t>
  </si>
  <si>
    <t xml:space="preserve">DPS (AED)</t>
  </si>
  <si>
    <t xml:space="preserve">Payout (owner basis)</t>
  </si>
  <si>
    <t xml:space="preserve">Dividend yield at spot</t>
  </si>
  <si>
    <t xml:space="preserve">P/E at spot</t>
  </si>
  <si>
    <t xml:space="preserve">Net debt (AED mn)</t>
  </si>
  <si>
    <t xml:space="preserve">ND / EBITDA</t>
  </si>
  <si>
    <t xml:space="preserve">ROE — closing owners’ equity</t>
  </si>
  <si>
    <t xml:space="preserve">ROE — average owners’ equity (the sustainable-return input in §1.4)</t>
  </si>
  <si>
    <t xml:space="preserve">The per-share vital signs, in one place:</t>
  </si>
  <si>
    <t xml:space="preserve">BVPS — owners (AED)</t>
  </si>
  <si>
    <t xml:space="preserve">P/B at spot</t>
  </si>
  <si>
    <t xml:space="preserve">FCF yield at spot ((CFO − capex) / market cap)</t>
  </si>
  <si>
    <t xml:space="preserve">EV/EBITDA at spot (EV = mkt cap + PF net debt + marked NCI)</t>
  </si>
  <si>
    <t xml:space="preserve">ROIC — NOPAT / invested capital (FY25)</t>
  </si>
  <si>
    <t xml:space="preserve">EBITDA margin (engine basis)</t>
  </si>
  <si>
    <t xml:space="preserve">Debt headroom: at 3.0x ND/EBITDA FY26E the balance sheet supports ~AED 21bn more debt ≈ AED 0.42/sh of optional distribution capacity — an option, not a forecast.</t>
  </si>
  <si>
    <t xml:space="preserve">Peer &amp; sector — GCC utilities + regulated-income comparables</t>
  </si>
  <si>
    <t xml:space="preserve">Dated market quotes; aggregator-basis multiples flagged as such.</t>
  </si>
  <si>
    <t xml:space="preserve">Name</t>
  </si>
  <si>
    <t xml:space="preserve">Mkt</t>
  </si>
  <si>
    <t xml:space="preserve">EV/EBITDA</t>
  </si>
  <si>
    <t xml:space="preserve">P/E</t>
  </si>
  <si>
    <t xml:space="preserve">Yield</t>
  </si>
  <si>
    <t xml:space="preserve">P/B</t>
  </si>
  <si>
    <t xml:space="preserve">DEWA (this study)</t>
  </si>
  <si>
    <t xml:space="preserve">DFM</t>
  </si>
  <si>
    <t xml:space="preserve">9.6x</t>
  </si>
  <si>
    <t xml:space="preserve">14.7x</t>
  </si>
  <si>
    <t xml:space="preserve">4.4%</t>
  </si>
  <si>
    <t xml:space="preserve">1.53x</t>
  </si>
  <si>
    <t xml:space="preserve">FY26E basis, model-derived</t>
  </si>
  <si>
    <t xml:space="preserve">TAQA</t>
  </si>
  <si>
    <t xml:space="preserve">ADX</t>
  </si>
  <si>
    <t xml:space="preserve">~13x</t>
  </si>
  <si>
    <t xml:space="preserve">~26x</t>
  </si>
  <si>
    <t xml:space="preserve">~1.6%</t>
  </si>
  <si>
    <t xml:space="preserve">~2.9x</t>
  </si>
  <si>
    <t xml:space="preserve">grid+gen+water; scarcity premium</t>
  </si>
  <si>
    <t xml:space="preserve">Empower (56→80% sub)</t>
  </si>
  <si>
    <t xml:space="preserve">~18x</t>
  </si>
  <si>
    <t xml:space="preserve">5.4%</t>
  </si>
  <si>
    <t xml:space="preserve">~3.4x</t>
  </si>
  <si>
    <t xml:space="preserve">district cooling; consolidated from Feb-26</t>
  </si>
  <si>
    <t xml:space="preserve">Saudi Electricity</t>
  </si>
  <si>
    <t xml:space="preserve">Tadawul</t>
  </si>
  <si>
    <t xml:space="preserve">~11x</t>
  </si>
  <si>
    <t xml:space="preserve">~15x</t>
  </si>
  <si>
    <t xml:space="preserve">~4.0%</t>
  </si>
  <si>
    <t xml:space="preserve">~1.1x</t>
  </si>
  <si>
    <t xml:space="preserve">regulated WACC framework, different regime</t>
  </si>
  <si>
    <t xml:space="preserve">ACWA Power</t>
  </si>
  <si>
    <t xml:space="preserve">~20x</t>
  </si>
  <si>
    <t xml:space="preserve">~35x</t>
  </si>
  <si>
    <t xml:space="preserve">~0.8%</t>
  </si>
  <si>
    <t xml:space="preserve">~4.5x</t>
  </si>
  <si>
    <t xml:space="preserve">developer economics, not a utility comp</t>
  </si>
  <si>
    <t xml:space="preserve">National Central Cooling (Tabreed)</t>
  </si>
  <si>
    <t xml:space="preserve">~14x</t>
  </si>
  <si>
    <t xml:space="preserve">~4.7%</t>
  </si>
  <si>
    <t xml:space="preserve">~1.5x</t>
  </si>
  <si>
    <t xml:space="preserve">cooling infra income</t>
  </si>
  <si>
    <t xml:space="preserve">Peer multiples are aggregator-screen levels (dated ~Jul-2026) used only for context; the relative lens prices DEWA on its own FY26E EBITDA at 9–11x, deliberately below TAQA.</t>
  </si>
  <si>
    <t xml:space="preserve">Research Register — four rings, classified</t>
  </si>
  <si>
    <t xml:space="preserve">B = base-rate/quantitative · S = structural · D = directional · C = colour. Full register mirrors Appendix B of the study.</t>
  </si>
  <si>
    <t xml:space="preserve">#</t>
  </si>
  <si>
    <t xml:space="preserve">Ring</t>
  </si>
  <si>
    <t xml:space="preserve">Finding</t>
  </si>
  <si>
    <t xml:space="preserve">Class</t>
  </si>
  <si>
    <t xml:space="preserve">Source (dated)</t>
  </si>
  <si>
    <t xml:space="preserve">Global</t>
  </si>
  <si>
    <t xml:space="preserve">Fed funds path: cuts priced H2-26; UAE peg imports US policy</t>
  </si>
  <si>
    <t xml:space="preserve">B</t>
  </si>
  <si>
    <t xml:space="preserve">CME/FedWatch via press, Jun-2026</t>
  </si>
  <si>
    <t xml:space="preserve">Brent range ~$65–80; fuel cost pass-through via regulatory deferral</t>
  </si>
  <si>
    <t xml:space="preserve">D</t>
  </si>
  <si>
    <t xml:space="preserve">market strip, Jul-2026</t>
  </si>
  <si>
    <t xml:space="preserve">Data-centre power demand supercycle; GCC positioning</t>
  </si>
  <si>
    <t xml:space="preserve">S</t>
  </si>
  <si>
    <t xml:space="preserve">Wood Mackenzie, 2025-26</t>
  </si>
  <si>
    <t xml:space="preserve">Country</t>
  </si>
  <si>
    <t xml:space="preserve">UAE MoF AED T-Bond Jan-2031 YTM 4.30% — DCF rf</t>
  </si>
  <si>
    <t xml:space="preserve">MoF auction result, 23-May-2026</t>
  </si>
  <si>
    <t xml:space="preserve">CBUAE base rate 3.65%, held — MC carry anchor</t>
  </si>
  <si>
    <t xml:space="preserve">CBUAE, 17-Jun-2026</t>
  </si>
  <si>
    <t xml:space="preserve">Damodaran UAE Aa2 ERP 4.87% / AD CDS 4.93%</t>
  </si>
  <si>
    <t xml:space="preserve">ctryprem.html, 5-Jan-2026 vintage</t>
  </si>
  <si>
    <t xml:space="preserve">Dubai D33 agenda: Industry-Friendly Power Policy; Shams rooftop cap ~2MW; no corporate PPAs</t>
  </si>
  <si>
    <t xml:space="preserve">Dubai govt releases, 2025-26</t>
  </si>
  <si>
    <t xml:space="preserve">DFM closed 2–3 Mar-2026 (regional escalation); −13.7% drawdown, recovered</t>
  </si>
  <si>
    <t xml:space="preserve">C</t>
  </si>
  <si>
    <t xml:space="preserve">DFM notices; price history</t>
  </si>
  <si>
    <t xml:space="preserve">Industry</t>
  </si>
  <si>
    <t xml:space="preserve">UAE data-centre load 3 TWh (2025) → &gt;6 TWh by 2030; Stargate UAE $1.5bn; AWS-e&amp; $1bn</t>
  </si>
  <si>
    <t xml:space="preserve">WoodMac; company announcements 2025-26</t>
  </si>
  <si>
    <t xml:space="preserve">UAE power demand → 225 TWh by 2040 scenario</t>
  </si>
  <si>
    <t xml:space="preserve">sector studies 2025</t>
  </si>
  <si>
    <t xml:space="preserve">Tariff pass-through discussions ongoing; DSCE regulates; geopolitics cited as delay</t>
  </si>
  <si>
    <t xml:space="preserve">Empower CFO remarks, May-2026</t>
  </si>
  <si>
    <t xml:space="preserve">Company</t>
  </si>
  <si>
    <t xml:space="preserve">FY25 audited FS: rev 32,842; EBITDA 17,661 (engine basis; company 17,329-flagged); att NP 8,347; ND 31,089</t>
  </si>
  <si>
    <t xml:space="preserve">KPMG-audited FS, 27-Feb-2026</t>
  </si>
  <si>
    <t xml:space="preserve">Q1-26: rev 6,450 (+8.2%); EBITDA 2,880 (+18.4%); NP 940 (+89.9%)</t>
  </si>
  <si>
    <t xml:space="preserve">results release, 12-May-2026</t>
  </si>
  <si>
    <t xml:space="preserve">Empower 24% bought from Dubai Holding for AED 5,184mn → 80% (10-Feb-2026)</t>
  </si>
  <si>
    <t xml:space="preserve">named transaction, exchange filing</t>
  </si>
  <si>
    <t xml:space="preserve">Dividend policy: min AED 6.2bn/yr, five years from Oct-2022 (→ Oct-2027). Post-2027 = THE CRUX</t>
  </si>
  <si>
    <t xml:space="preserve">IPO prospectus + IR page</t>
  </si>
  <si>
    <t xml:space="preserve">Moody's A3 stable (upgraded from Baa2, 30-May-2024)</t>
  </si>
  <si>
    <t xml:space="preserve">Moody's action</t>
  </si>
  <si>
    <t xml:space="preserve">2030 targets: &gt;23GW (8.3GW renewable), 735 MIGD; Hassyan SWRO +60 MIGD live, +120 due 2026</t>
  </si>
  <si>
    <t xml:space="preserve">company releases 2025-26</t>
  </si>
  <si>
    <t xml:space="preserve">Appendix C — expert panel (four genuinely different methods)</t>
  </si>
  <si>
    <t xml:space="preserve">Four experts, cast for this class of business, labelled Expert 1-4 only. Each shows workings and a falsifier.</t>
  </si>
  <si>
    <t xml:space="preserve">Method + falsifier</t>
  </si>
  <si>
    <t xml:space="preserve">Expert 1 — forensic accountant</t>
  </si>
  <si>
    <t xml:space="preserve">Audits the book before pricing it: cash-backs FY25 earnings (CFO 124% of engine EBITDA), verifies the equity statement ties exactly, values 1.820 BVPS × a conservative ROE-implied multiple band. Falsifier: cash conversion below 90% or a receivables accrual build for two consecutive halves.</t>
  </si>
  <si>
    <t xml:space="preserve">Expert 2 — earnings-power analyst</t>
  </si>
  <si>
    <t xml:space="preserve">Normalised FY26E EPS 0.190 × a through-cycle regulated-utility P/E band 13-18x, cross-checked at 10x EV/EBITDA. Falsifier: an H1-2026 print with attributable EPS growth below ~8% year-on-year.</t>
  </si>
  <si>
    <t xml:space="preserve">Expert 3 — macro-policy strategist</t>
  </si>
  <si>
    <t xml:space="preserve">State tree on the Oct-2027 reset: frozen / CPI-linked / payout-ratio regimes, probability-weighted. Falsifier: an H1-2026 or FY-2026 results call that explicitly defers all policy guidance past 2027.</t>
  </si>
  <si>
    <t xml:space="preserve">Expert 4 — cash-returns analyst</t>
  </si>
  <si>
    <t xml:space="preserve">RAB-flavoured: EV on invested capital 128.9bn with ROIC 7.7% vs WACC 6.2%, cross-checked at an 8.1% FCF yield. Falsifier: a DSCE tariff decision that compresses the realised spread below ~100bp.</t>
  </si>
  <si>
    <t xml:space="preserve">Panel read: bases 2.85 / 3.04 / 3.52 / 3.11 straddle the weighted central 3.32; no expert sits below spot at base.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</si>
</sst>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"/>
    <numFmt numFmtId="166" formatCode="0.0%"/>
    <numFmt numFmtId="167" formatCode="#,##0"/>
    <numFmt numFmtId="168" formatCode="0.00%"/>
    <numFmt numFmtId="169" formatCode="0.000"/>
    <numFmt numFmtId="170" formatCode="0.0000"/>
    <numFmt numFmtId="171" formatCode="\+0%;\-0%"/>
    <numFmt numFmtId="172" formatCode="#,##0.0"/>
    <numFmt numFmtId="173" formatCode="0.0\x"/>
    <numFmt numFmtId="174" formatCode="0.00\x"/>
    <numFmt numFmtId="175" formatCode="0"/>
    <numFmt numFmtId="176" formatCode="0.00&quot;·1&quot;"/>
    <numFmt numFmtId="177" formatCode="\+0.0%;\-0.0%"/>
    <numFmt numFmtId="178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C3A36"/>
      <name val="Arial"/>
      <family val="0"/>
      <charset val="1"/>
    </font>
    <font>
      <sz val="10"/>
      <color rgb="FF1C3A36"/>
      <name val="Arial"/>
      <family val="0"/>
      <charset val="1"/>
    </font>
    <font>
      <b val="true"/>
      <sz val="13"/>
      <color rgb="FF1C3A36"/>
      <name val="Arial"/>
      <family val="0"/>
      <charset val="1"/>
    </font>
    <font>
      <i val="true"/>
      <sz val="9"/>
      <color rgb="FF6E7B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F6F1E6"/>
        <bgColor rgb="FFEAF0EE"/>
      </patternFill>
    </fill>
    <fill>
      <patternFill patternType="solid">
        <fgColor rgb="FFFFFF00"/>
        <bgColor rgb="FFFFFF00"/>
      </patternFill>
    </fill>
    <fill>
      <patternFill patternType="solid">
        <fgColor rgb="FFEAF0EE"/>
        <bgColor rgb="FFF6F1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D1"/>
      </left>
      <right style="thin">
        <color rgb="FFC9D4D1"/>
      </right>
      <top style="thin">
        <color rgb="FFC9D4D1"/>
      </top>
      <bottom style="thin">
        <color rgb="FFC9D4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96F36"/>
      <rgbColor rgb="FF800080"/>
      <rgbColor rgb="FF008080"/>
      <rgbColor rgb="FFC0C0C0"/>
      <rgbColor rgb="FF6E7B77"/>
      <rgbColor rgb="FF9999FF"/>
      <rgbColor rgb="FF993366"/>
      <rgbColor rgb="FFF6F1E6"/>
      <rgbColor rgb="FFEAF0EE"/>
      <rgbColor rgb="FF660066"/>
      <rgbColor rgb="FFFF8080"/>
      <rgbColor rgb="FF0066CC"/>
      <rgbColor rgb="FFC9D4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3A36"/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2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5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4" t="s">
        <v>10</v>
      </c>
    </row>
    <row r="2" customFormat="false" ht="15" hidden="false" customHeight="true" outlineLevel="0" collapsed="false">
      <c r="A2" s="5" t="s">
        <v>11</v>
      </c>
    </row>
    <row r="4" customFormat="false" ht="1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</row>
    <row r="5" customFormat="false" ht="15" hidden="false" customHeight="true" outlineLevel="0" collapsed="false">
      <c r="A5" s="2" t="s">
        <v>17</v>
      </c>
      <c r="B5" s="7" t="n">
        <v>2.09</v>
      </c>
      <c r="C5" s="7" t="n">
        <v>3.83</v>
      </c>
      <c r="D5" s="7" t="n">
        <v>5.9</v>
      </c>
      <c r="E5" s="5" t="s">
        <v>18</v>
      </c>
    </row>
    <row r="6" customFormat="false" ht="15" hidden="false" customHeight="true" outlineLevel="0" collapsed="false">
      <c r="A6" s="2" t="s">
        <v>19</v>
      </c>
      <c r="B6" s="7" t="n">
        <v>1.55</v>
      </c>
      <c r="C6" s="7" t="n">
        <v>3.36</v>
      </c>
      <c r="D6" s="7" t="n">
        <v>6.49</v>
      </c>
      <c r="E6" s="5" t="s">
        <v>20</v>
      </c>
    </row>
    <row r="7" customFormat="false" ht="15" hidden="false" customHeight="true" outlineLevel="0" collapsed="false">
      <c r="A7" s="2" t="s">
        <v>21</v>
      </c>
      <c r="B7" s="7" t="n">
        <v>2.55</v>
      </c>
      <c r="C7" s="7" t="n">
        <v>2.93</v>
      </c>
      <c r="D7" s="7" t="n">
        <v>3.31</v>
      </c>
      <c r="E7" s="5" t="s">
        <v>22</v>
      </c>
    </row>
    <row r="8" customFormat="false" ht="15" hidden="false" customHeight="true" outlineLevel="0" collapsed="false">
      <c r="A8" s="2" t="s">
        <v>23</v>
      </c>
      <c r="B8" s="7" t="n">
        <v>2.5</v>
      </c>
      <c r="C8" s="7" t="n">
        <v>2.91</v>
      </c>
      <c r="D8" s="7" t="n">
        <v>3.65</v>
      </c>
      <c r="E8" s="5" t="s">
        <v>24</v>
      </c>
    </row>
    <row r="9" customFormat="false" ht="15" hidden="false" customHeight="true" outlineLevel="0" collapsed="false">
      <c r="A9" s="8" t="s">
        <v>25</v>
      </c>
      <c r="B9" s="7" t="n">
        <f aca="false">B5*0.35+B6*0.2+B7*0.25+B8*0.2</f>
        <v>2.179</v>
      </c>
      <c r="C9" s="7" t="n">
        <f aca="false">C5*0.35+C6*0.2+C7*0.25+C8*0.2</f>
        <v>3.327</v>
      </c>
      <c r="D9" s="7" t="n">
        <f aca="false">D5*0.35+D6*0.2+D7*0.25+D8*0.2</f>
        <v>4.9205</v>
      </c>
      <c r="E9" s="5" t="s">
        <v>26</v>
      </c>
    </row>
    <row r="11" customFormat="false" ht="15" hidden="false" customHeight="true" outlineLevel="0" collapsed="false">
      <c r="A11" s="2" t="s">
        <v>27</v>
      </c>
    </row>
    <row r="12" customFormat="false" ht="15" hidden="false" customHeight="true" outlineLevel="0" collapsed="false">
      <c r="A12" s="3" t="s">
        <v>28</v>
      </c>
      <c r="B12" s="7" t="n">
        <v>2.80554597710815</v>
      </c>
    </row>
    <row r="13" customFormat="false" ht="15" hidden="false" customHeight="true" outlineLevel="0" collapsed="false">
      <c r="A13" s="3" t="s">
        <v>29</v>
      </c>
      <c r="B13" s="9" t="n">
        <v>0.5209</v>
      </c>
    </row>
    <row r="14" customFormat="false" ht="15" hidden="false" customHeight="true" outlineLevel="0" collapsed="false">
      <c r="A14" s="3" t="s">
        <v>30</v>
      </c>
      <c r="B14" s="10" t="s">
        <v>31</v>
      </c>
    </row>
    <row r="15" customFormat="false" ht="15" hidden="false" customHeight="true" outlineLevel="0" collapsed="false">
      <c r="A15" s="3" t="s">
        <v>32</v>
      </c>
      <c r="B15" s="7" t="n">
        <v>1.30573084352865</v>
      </c>
    </row>
    <row r="16" customFormat="false" ht="15" hidden="false" customHeight="true" outlineLevel="0" collapsed="false">
      <c r="A16" s="3" t="s">
        <v>33</v>
      </c>
      <c r="B16" s="10" t="s">
        <v>34</v>
      </c>
    </row>
    <row r="17" customFormat="false" ht="15" hidden="false" customHeight="true" outlineLevel="0" collapsed="false">
      <c r="A17" s="3" t="s">
        <v>35</v>
      </c>
      <c r="B17" s="10" t="s">
        <v>36</v>
      </c>
    </row>
    <row r="19" customFormat="false" ht="15" hidden="false" customHeight="true" outlineLevel="0" collapsed="false">
      <c r="A19" s="5" t="s">
        <v>37</v>
      </c>
    </row>
    <row r="21" customFormat="false" ht="15" hidden="false" customHeight="true" outlineLevel="0" collapsed="false">
      <c r="A21" s="2" t="s">
        <v>38</v>
      </c>
    </row>
    <row r="22" customFormat="false" ht="15" hidden="false" customHeight="true" outlineLevel="0" collapsed="false">
      <c r="A22" s="5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96F36"/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4"/>
    <col collapsed="false" customWidth="true" hidden="false" outlineLevel="0" max="7" min="7" style="1" width="52"/>
  </cols>
  <sheetData>
    <row r="1" customFormat="false" ht="15.75" hidden="false" customHeight="true" outlineLevel="0" collapsed="false">
      <c r="A1" s="4" t="s">
        <v>40</v>
      </c>
    </row>
    <row r="2" customFormat="false" ht="15" hidden="false" customHeight="true" outlineLevel="0" collapsed="false">
      <c r="A2" s="5" t="s">
        <v>41</v>
      </c>
    </row>
    <row r="4" customFormat="false" ht="15" hidden="false" customHeight="true" outlineLevel="0" collapsed="false">
      <c r="A4" s="6" t="s">
        <v>42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</row>
    <row r="5" customFormat="false" ht="15" hidden="false" customHeight="true" outlineLevel="0" collapsed="false">
      <c r="A5" s="2" t="s">
        <v>49</v>
      </c>
      <c r="B5" s="11" t="n">
        <v>0.075</v>
      </c>
      <c r="C5" s="12" t="n">
        <v>0.06</v>
      </c>
      <c r="D5" s="12" t="n">
        <v>0.055</v>
      </c>
      <c r="E5" s="12" t="n">
        <v>0.05</v>
      </c>
      <c r="F5" s="12" t="n">
        <v>0.045</v>
      </c>
      <c r="G5" s="5" t="s">
        <v>50</v>
      </c>
    </row>
    <row r="6" customFormat="false" ht="15" hidden="false" customHeight="true" outlineLevel="0" collapsed="false">
      <c r="A6" s="2" t="s">
        <v>51</v>
      </c>
      <c r="B6" s="11" t="n">
        <v>0.542</v>
      </c>
      <c r="C6" s="12" t="n">
        <v>0.546</v>
      </c>
      <c r="D6" s="12" t="n">
        <v>0.55</v>
      </c>
      <c r="E6" s="12" t="n">
        <v>0.553</v>
      </c>
      <c r="F6" s="12" t="n">
        <v>0.555</v>
      </c>
      <c r="G6" s="5" t="s">
        <v>52</v>
      </c>
    </row>
    <row r="7" customFormat="false" ht="15" hidden="false" customHeight="true" outlineLevel="0" collapsed="false">
      <c r="A7" s="2" t="s">
        <v>53</v>
      </c>
      <c r="B7" s="11" t="n">
        <v>0.206</v>
      </c>
      <c r="C7" s="12" t="n">
        <v>0.208</v>
      </c>
      <c r="D7" s="12" t="n">
        <v>0.21</v>
      </c>
      <c r="E7" s="12" t="n">
        <v>0.212</v>
      </c>
      <c r="F7" s="12" t="n">
        <v>0.213</v>
      </c>
      <c r="G7" s="5" t="s">
        <v>54</v>
      </c>
    </row>
    <row r="8" customFormat="false" ht="15" hidden="false" customHeight="true" outlineLevel="0" collapsed="false">
      <c r="A8" s="2" t="s">
        <v>55</v>
      </c>
      <c r="B8" s="13" t="n">
        <v>12500</v>
      </c>
      <c r="C8" s="14" t="n">
        <v>13500</v>
      </c>
      <c r="D8" s="14" t="n">
        <v>14000</v>
      </c>
      <c r="E8" s="14" t="n">
        <v>14000</v>
      </c>
      <c r="F8" s="14" t="n">
        <v>13500</v>
      </c>
      <c r="G8" s="5" t="s">
        <v>56</v>
      </c>
    </row>
    <row r="9" customFormat="false" ht="15" hidden="false" customHeight="true" outlineLevel="0" collapsed="false">
      <c r="A9" s="2" t="s">
        <v>57</v>
      </c>
      <c r="B9" s="11" t="n">
        <v>0.01</v>
      </c>
      <c r="C9" s="12" t="n">
        <v>0.01</v>
      </c>
      <c r="D9" s="12" t="n">
        <v>0.01</v>
      </c>
      <c r="E9" s="12" t="n">
        <v>0.01</v>
      </c>
      <c r="F9" s="12" t="n">
        <v>0.01</v>
      </c>
      <c r="G9" s="5" t="s">
        <v>58</v>
      </c>
    </row>
    <row r="10" customFormat="false" ht="15" hidden="false" customHeight="true" outlineLevel="0" collapsed="false">
      <c r="A10" s="2" t="s">
        <v>59</v>
      </c>
      <c r="B10" s="13" t="n">
        <v>700</v>
      </c>
      <c r="C10" s="14" t="n">
        <v>780</v>
      </c>
      <c r="D10" s="14" t="n">
        <v>850</v>
      </c>
      <c r="E10" s="14" t="n">
        <v>910</v>
      </c>
      <c r="F10" s="14" t="n">
        <v>950</v>
      </c>
      <c r="G10" s="5" t="s">
        <v>60</v>
      </c>
    </row>
    <row r="11" customFormat="false" ht="15" hidden="false" customHeight="true" outlineLevel="0" collapsed="false">
      <c r="A11" s="2" t="s">
        <v>61</v>
      </c>
      <c r="B11" s="11" t="n">
        <v>0.095</v>
      </c>
      <c r="C11" s="12" t="n">
        <v>0.095</v>
      </c>
      <c r="D11" s="12" t="n">
        <v>0.095</v>
      </c>
      <c r="E11" s="12" t="n">
        <v>0.095</v>
      </c>
      <c r="F11" s="12" t="n">
        <v>0.095</v>
      </c>
      <c r="G11" s="5" t="s">
        <v>62</v>
      </c>
    </row>
    <row r="12" customFormat="false" ht="15" hidden="false" customHeight="true" outlineLevel="0" collapsed="false">
      <c r="A12" s="2" t="s">
        <v>63</v>
      </c>
      <c r="B12" s="11" t="n">
        <v>0.06</v>
      </c>
      <c r="C12" s="12" t="n">
        <v>0.06</v>
      </c>
      <c r="D12" s="12" t="n">
        <v>0.06</v>
      </c>
      <c r="E12" s="12" t="n">
        <v>0.06</v>
      </c>
      <c r="F12" s="12" t="n">
        <v>0.06</v>
      </c>
      <c r="G12" s="5" t="s">
        <v>64</v>
      </c>
    </row>
    <row r="14" customFormat="false" ht="15" hidden="false" customHeight="true" outlineLevel="0" collapsed="false">
      <c r="A14" s="2" t="s">
        <v>65</v>
      </c>
    </row>
    <row r="15" customFormat="false" ht="15" hidden="false" customHeight="true" outlineLevel="0" collapsed="false">
      <c r="A15" s="2" t="s">
        <v>66</v>
      </c>
      <c r="B15" s="15" t="n">
        <v>0.043</v>
      </c>
      <c r="G15" s="5" t="s">
        <v>67</v>
      </c>
    </row>
    <row r="16" customFormat="false" ht="15" hidden="false" customHeight="true" outlineLevel="0" collapsed="false">
      <c r="A16" s="2" t="s">
        <v>68</v>
      </c>
      <c r="B16" s="15" t="n">
        <v>0.0487</v>
      </c>
      <c r="G16" s="5" t="s">
        <v>69</v>
      </c>
    </row>
    <row r="17" customFormat="false" ht="15" hidden="false" customHeight="true" outlineLevel="0" collapsed="false">
      <c r="A17" s="2" t="s">
        <v>70</v>
      </c>
      <c r="B17" s="15" t="n">
        <v>0.0493</v>
      </c>
      <c r="G17" s="5" t="s">
        <v>71</v>
      </c>
    </row>
    <row r="18" customFormat="false" ht="15" hidden="false" customHeight="true" outlineLevel="0" collapsed="false">
      <c r="A18" s="2" t="s">
        <v>72</v>
      </c>
      <c r="B18" s="16" t="n">
        <v>0.5</v>
      </c>
      <c r="G18" s="5" t="s">
        <v>73</v>
      </c>
    </row>
    <row r="19" customFormat="false" ht="15" hidden="false" customHeight="true" outlineLevel="0" collapsed="false">
      <c r="A19" s="2" t="s">
        <v>74</v>
      </c>
      <c r="B19" s="15" t="n">
        <v>0.049</v>
      </c>
      <c r="G19" s="5" t="s">
        <v>75</v>
      </c>
    </row>
    <row r="20" customFormat="false" ht="15" hidden="false" customHeight="true" outlineLevel="0" collapsed="false">
      <c r="A20" s="2" t="s">
        <v>76</v>
      </c>
      <c r="B20" s="11" t="n">
        <v>0.09</v>
      </c>
      <c r="G20" s="5" t="s">
        <v>77</v>
      </c>
    </row>
    <row r="21" customFormat="false" ht="15" hidden="false" customHeight="true" outlineLevel="0" collapsed="false">
      <c r="A21" s="2" t="s">
        <v>78</v>
      </c>
      <c r="B21" s="15" t="n">
        <v>0.025</v>
      </c>
      <c r="G21" s="5" t="s">
        <v>79</v>
      </c>
    </row>
    <row r="22" customFormat="false" ht="15" hidden="false" customHeight="true" outlineLevel="0" collapsed="false">
      <c r="A22" s="2" t="s">
        <v>80</v>
      </c>
      <c r="B22" s="13" t="n">
        <v>5184</v>
      </c>
      <c r="G22" s="5" t="s">
        <v>81</v>
      </c>
    </row>
    <row r="23" customFormat="false" ht="15" hidden="false" customHeight="true" outlineLevel="0" collapsed="false">
      <c r="A23" s="2" t="s">
        <v>82</v>
      </c>
      <c r="B23" s="13" t="n">
        <v>16000</v>
      </c>
      <c r="G23" s="5" t="s">
        <v>83</v>
      </c>
    </row>
    <row r="24" customFormat="false" ht="15" hidden="false" customHeight="true" outlineLevel="0" collapsed="false">
      <c r="A24" s="2" t="s">
        <v>84</v>
      </c>
      <c r="B24" s="13" t="n">
        <v>50000</v>
      </c>
      <c r="G24" s="5" t="s">
        <v>85</v>
      </c>
    </row>
    <row r="25" customFormat="false" ht="15" hidden="false" customHeight="true" outlineLevel="0" collapsed="false">
      <c r="A25" s="2" t="s">
        <v>86</v>
      </c>
      <c r="B25" s="16" t="n">
        <v>2.79</v>
      </c>
      <c r="G25" s="5" t="s">
        <v>87</v>
      </c>
    </row>
    <row r="26" customFormat="false" ht="15" hidden="false" customHeight="true" outlineLevel="0" collapsed="false">
      <c r="A26" s="2" t="s">
        <v>88</v>
      </c>
      <c r="B26" s="15" t="n">
        <v>0.0365</v>
      </c>
      <c r="G26" s="5" t="s">
        <v>89</v>
      </c>
    </row>
    <row r="27" customFormat="false" ht="15" hidden="false" customHeight="true" outlineLevel="0" collapsed="false">
      <c r="A27" s="2" t="s">
        <v>90</v>
      </c>
      <c r="B27" s="17" t="n">
        <v>0.124</v>
      </c>
      <c r="G27" s="5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3"/>
    <col collapsed="false" customWidth="true" hidden="false" outlineLevel="0" max="7" min="7" style="1" width="60"/>
  </cols>
  <sheetData>
    <row r="1" customFormat="false" ht="15.75" hidden="false" customHeight="true" outlineLevel="0" collapsed="false">
      <c r="A1" s="4" t="s">
        <v>92</v>
      </c>
    </row>
    <row r="2" customFormat="false" ht="15" hidden="false" customHeight="true" outlineLevel="0" collapsed="false">
      <c r="A2" s="5" t="s">
        <v>93</v>
      </c>
    </row>
    <row r="4" customFormat="false" ht="15" hidden="false" customHeight="true" outlineLevel="0" collapsed="false">
      <c r="A4" s="6" t="s">
        <v>94</v>
      </c>
      <c r="B4" s="6" t="s">
        <v>95</v>
      </c>
      <c r="C4" s="6" t="s">
        <v>96</v>
      </c>
      <c r="D4" s="6"/>
      <c r="E4" s="6"/>
      <c r="F4" s="6"/>
      <c r="G4" s="6"/>
    </row>
    <row r="5" customFormat="false" ht="47.25" hidden="false" customHeight="true" outlineLevel="0" collapsed="false">
      <c r="A5" s="18" t="s">
        <v>97</v>
      </c>
      <c r="B5" s="10" t="s">
        <v>98</v>
      </c>
      <c r="C5" s="19" t="s">
        <v>99</v>
      </c>
      <c r="D5" s="10"/>
      <c r="E5" s="10"/>
      <c r="F5" s="10"/>
      <c r="G5" s="10"/>
    </row>
    <row r="6" customFormat="false" ht="61.5" hidden="false" customHeight="true" outlineLevel="0" collapsed="false">
      <c r="A6" s="18" t="s">
        <v>100</v>
      </c>
      <c r="B6" s="10" t="s">
        <v>101</v>
      </c>
      <c r="C6" s="19" t="s">
        <v>102</v>
      </c>
      <c r="D6" s="10"/>
      <c r="E6" s="10"/>
      <c r="F6" s="10"/>
      <c r="G6" s="10"/>
    </row>
    <row r="7" customFormat="false" ht="76.5" hidden="false" customHeight="true" outlineLevel="0" collapsed="false">
      <c r="A7" s="18" t="s">
        <v>103</v>
      </c>
      <c r="B7" s="10" t="s">
        <v>104</v>
      </c>
      <c r="C7" s="19" t="s">
        <v>105</v>
      </c>
      <c r="D7" s="10"/>
      <c r="E7" s="10"/>
      <c r="F7" s="10"/>
      <c r="G7" s="10"/>
    </row>
    <row r="8" customFormat="false" ht="76.5" hidden="false" customHeight="true" outlineLevel="0" collapsed="false">
      <c r="A8" s="18" t="s">
        <v>106</v>
      </c>
      <c r="B8" s="10" t="s">
        <v>107</v>
      </c>
      <c r="C8" s="19" t="s">
        <v>108</v>
      </c>
      <c r="D8" s="10"/>
      <c r="E8" s="10"/>
      <c r="F8" s="10"/>
      <c r="G8" s="10"/>
    </row>
    <row r="9" customFormat="false" ht="61.5" hidden="false" customHeight="true" outlineLevel="0" collapsed="false">
      <c r="A9" s="18" t="s">
        <v>109</v>
      </c>
      <c r="B9" s="10" t="s">
        <v>110</v>
      </c>
      <c r="C9" s="19" t="s">
        <v>111</v>
      </c>
      <c r="D9" s="10"/>
      <c r="E9" s="10"/>
      <c r="F9" s="10"/>
      <c r="G9" s="10"/>
    </row>
    <row r="10" customFormat="false" ht="61.5" hidden="false" customHeight="true" outlineLevel="0" collapsed="false">
      <c r="A10" s="18" t="s">
        <v>112</v>
      </c>
      <c r="B10" s="10" t="s">
        <v>113</v>
      </c>
      <c r="C10" s="19" t="s">
        <v>114</v>
      </c>
      <c r="D10" s="10"/>
      <c r="E10" s="10"/>
      <c r="F10" s="10"/>
      <c r="G10" s="10"/>
    </row>
    <row r="11" customFormat="false" ht="76.5" hidden="false" customHeight="true" outlineLevel="0" collapsed="false">
      <c r="A11" s="18" t="s">
        <v>115</v>
      </c>
      <c r="B11" s="10" t="s">
        <v>116</v>
      </c>
      <c r="C11" s="19" t="s">
        <v>117</v>
      </c>
      <c r="D11" s="10"/>
      <c r="E11" s="10"/>
      <c r="F11" s="10"/>
      <c r="G11" s="10"/>
    </row>
    <row r="12" customFormat="false" ht="61.5" hidden="false" customHeight="true" outlineLevel="0" collapsed="false">
      <c r="A12" s="18" t="s">
        <v>118</v>
      </c>
      <c r="B12" s="10" t="s">
        <v>101</v>
      </c>
      <c r="C12" s="19" t="s">
        <v>119</v>
      </c>
      <c r="D12" s="10"/>
      <c r="E12" s="10"/>
      <c r="F12" s="10"/>
      <c r="G12" s="10"/>
    </row>
    <row r="13" customFormat="false" ht="90.75" hidden="false" customHeight="true" outlineLevel="0" collapsed="false">
      <c r="A13" s="18" t="s">
        <v>120</v>
      </c>
      <c r="B13" s="10" t="s">
        <v>121</v>
      </c>
      <c r="C13" s="19" t="s">
        <v>122</v>
      </c>
      <c r="D13" s="10"/>
      <c r="E13" s="10"/>
      <c r="F13" s="10"/>
      <c r="G1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7" min="2" style="1" width="14"/>
  </cols>
  <sheetData>
    <row r="1" customFormat="false" ht="15.75" hidden="false" customHeight="true" outlineLevel="0" collapsed="false">
      <c r="A1" s="4" t="s">
        <v>123</v>
      </c>
    </row>
    <row r="2" customFormat="false" ht="15" hidden="false" customHeight="true" outlineLevel="0" collapsed="false">
      <c r="A2" s="5" t="s">
        <v>124</v>
      </c>
    </row>
    <row r="4" customFormat="false" ht="15" hidden="false" customHeight="true" outlineLevel="0" collapsed="false">
      <c r="A4" s="2" t="s">
        <v>125</v>
      </c>
      <c r="B4" s="20" t="n">
        <f aca="false">Assumptions!B27</f>
        <v>0.124</v>
      </c>
    </row>
    <row r="5" customFormat="false" ht="15" hidden="false" customHeight="true" outlineLevel="0" collapsed="false">
      <c r="A5" s="2" t="s">
        <v>126</v>
      </c>
      <c r="B5" s="11" t="n">
        <v>0.055</v>
      </c>
    </row>
    <row r="6" customFormat="false" ht="15" hidden="false" customHeight="true" outlineLevel="0" collapsed="false">
      <c r="A6" s="2" t="s">
        <v>127</v>
      </c>
      <c r="B6" s="11" t="n">
        <v>0.03</v>
      </c>
    </row>
    <row r="7" customFormat="false" ht="15" hidden="false" customHeight="true" outlineLevel="0" collapsed="false">
      <c r="A7" s="2" t="s">
        <v>128</v>
      </c>
      <c r="B7" s="21" t="n">
        <f aca="false">Assumptions!B15+Assumptions!B18*Assumptions!B16</f>
        <v>0.06735</v>
      </c>
    </row>
    <row r="9" customFormat="false" ht="15" hidden="false" customHeight="true" outlineLevel="0" collapsed="false">
      <c r="A9" s="6" t="s">
        <v>129</v>
      </c>
      <c r="B9" s="6" t="s">
        <v>130</v>
      </c>
      <c r="C9" s="6" t="s">
        <v>131</v>
      </c>
      <c r="D9" s="6" t="s">
        <v>132</v>
      </c>
      <c r="E9" s="6" t="s">
        <v>133</v>
      </c>
      <c r="F9" s="6" t="s">
        <v>134</v>
      </c>
      <c r="G9" s="6" t="s">
        <v>135</v>
      </c>
    </row>
    <row r="10" customFormat="false" ht="15" hidden="false" customHeight="true" outlineLevel="0" collapsed="false">
      <c r="A10" s="2" t="s">
        <v>136</v>
      </c>
      <c r="B10" s="22" t="n">
        <f aca="false">B4*(1+$B$5)</f>
        <v>0.13082</v>
      </c>
      <c r="C10" s="22" t="n">
        <f aca="false">B10*(1+$B$5)</f>
        <v>0.1380151</v>
      </c>
      <c r="D10" s="22" t="n">
        <f aca="false">C10*(1+$B$5)</f>
        <v>0.1456059305</v>
      </c>
      <c r="E10" s="22" t="n">
        <f aca="false">D10*(1+$B$5)</f>
        <v>0.1536142566775</v>
      </c>
      <c r="F10" s="22" t="n">
        <f aca="false">E10*(1+$B$5)</f>
        <v>0.162063040794762</v>
      </c>
      <c r="G10" s="22" t="n">
        <f aca="false">F10*(1+$B$6)</f>
        <v>0.166924932018605</v>
      </c>
    </row>
    <row r="11" customFormat="false" ht="15" hidden="false" customHeight="true" outlineLevel="0" collapsed="false">
      <c r="A11" s="2" t="s">
        <v>137</v>
      </c>
      <c r="B11" s="22" t="n">
        <f aca="false">1/(1+$B$7)^1</f>
        <v>0.936899798566543</v>
      </c>
      <c r="C11" s="22" t="n">
        <f aca="false">1/(1+$B$7)^2</f>
        <v>0.877781232554029</v>
      </c>
      <c r="D11" s="22" t="n">
        <f aca="false">1/(1+$B$7)^3</f>
        <v>0.822393059965362</v>
      </c>
      <c r="E11" s="22" t="n">
        <f aca="false">1/(1+$B$7)^4</f>
        <v>0.770499892224071</v>
      </c>
      <c r="F11" s="22" t="n">
        <f aca="false">1/(1+$B$7)^5</f>
        <v>0.721881193820276</v>
      </c>
    </row>
    <row r="12" customFormat="false" ht="15" hidden="false" customHeight="true" outlineLevel="0" collapsed="false">
      <c r="A12" s="2" t="s">
        <v>138</v>
      </c>
      <c r="B12" s="22" t="n">
        <f aca="false">B10*B11</f>
        <v>0.122565231648475</v>
      </c>
      <c r="C12" s="22" t="n">
        <f aca="false">C10*C11</f>
        <v>0.121147064589068</v>
      </c>
      <c r="D12" s="22" t="n">
        <f aca="false">D10*D11</f>
        <v>0.119745306732999</v>
      </c>
      <c r="E12" s="22" t="n">
        <f aca="false">E10*E11</f>
        <v>0.118359768214095</v>
      </c>
      <c r="F12" s="22" t="n">
        <f aca="false">F10*F11</f>
        <v>0.116990261363067</v>
      </c>
    </row>
    <row r="14" customFormat="false" ht="15" hidden="false" customHeight="true" outlineLevel="0" collapsed="false">
      <c r="A14" s="2" t="s">
        <v>139</v>
      </c>
      <c r="B14" s="23" t="n">
        <f aca="false">SUM(B12:F12)</f>
        <v>0.598807632547703</v>
      </c>
    </row>
    <row r="15" customFormat="false" ht="15" hidden="false" customHeight="true" outlineLevel="0" collapsed="false">
      <c r="A15" s="2" t="s">
        <v>140</v>
      </c>
      <c r="B15" s="23" t="n">
        <f aca="false">G10/($B$7-$B$6)</f>
        <v>4.46920835391179</v>
      </c>
    </row>
    <row r="16" customFormat="false" ht="15" hidden="false" customHeight="true" outlineLevel="0" collapsed="false">
      <c r="A16" s="2" t="s">
        <v>141</v>
      </c>
      <c r="B16" s="23" t="n">
        <f aca="false">B15*F11</f>
        <v>3.22623746195339</v>
      </c>
    </row>
    <row r="17" customFormat="false" ht="15" hidden="false" customHeight="true" outlineLevel="0" collapsed="false">
      <c r="A17" s="8" t="s">
        <v>142</v>
      </c>
      <c r="B17" s="7" t="n">
        <f aca="false">B14+B16</f>
        <v>3.82504509450109</v>
      </c>
    </row>
    <row r="19" customFormat="false" ht="15" hidden="false" customHeight="true" outlineLevel="0" collapsed="false">
      <c r="A19" s="2" t="s">
        <v>143</v>
      </c>
    </row>
    <row r="20" customFormat="false" ht="15" hidden="false" customHeight="true" outlineLevel="0" collapsed="false">
      <c r="A20" s="6" t="s">
        <v>144</v>
      </c>
      <c r="B20" s="6" t="s">
        <v>145</v>
      </c>
      <c r="C20" s="6" t="s">
        <v>146</v>
      </c>
      <c r="D20" s="6" t="s">
        <v>147</v>
      </c>
      <c r="E20" s="6" t="s">
        <v>148</v>
      </c>
    </row>
    <row r="21" customFormat="false" ht="15" hidden="false" customHeight="true" outlineLevel="0" collapsed="false">
      <c r="A21" s="3" t="s">
        <v>149</v>
      </c>
      <c r="B21" s="12" t="n">
        <v>0</v>
      </c>
      <c r="C21" s="12" t="n">
        <v>0.01</v>
      </c>
      <c r="D21" s="7" t="n">
        <v>2.09</v>
      </c>
      <c r="E21" s="24" t="n">
        <f aca="false">D21/Assumptions!B25-1</f>
        <v>-0.25089605734767</v>
      </c>
    </row>
    <row r="22" customFormat="false" ht="15" hidden="false" customHeight="true" outlineLevel="0" collapsed="false">
      <c r="A22" s="3" t="s">
        <v>150</v>
      </c>
      <c r="B22" s="12" t="n">
        <v>0.055</v>
      </c>
      <c r="C22" s="12" t="n">
        <v>0.03</v>
      </c>
      <c r="D22" s="7" t="n">
        <v>3.83</v>
      </c>
      <c r="E22" s="24" t="n">
        <f aca="false">D22/Assumptions!B25-1</f>
        <v>0.372759856630824</v>
      </c>
    </row>
    <row r="23" customFormat="false" ht="15" hidden="false" customHeight="true" outlineLevel="0" collapsed="false">
      <c r="A23" s="3" t="s">
        <v>151</v>
      </c>
      <c r="B23" s="12" t="n">
        <v>0.09</v>
      </c>
      <c r="C23" s="12" t="n">
        <v>0.04</v>
      </c>
      <c r="D23" s="7" t="n">
        <v>5.9</v>
      </c>
      <c r="E23" s="24" t="n">
        <f aca="false">D23/Assumptions!B25-1</f>
        <v>1.11469534050179</v>
      </c>
    </row>
    <row r="24" customFormat="false" ht="15" hidden="false" customHeight="true" outlineLevel="0" collapsed="false">
      <c r="A24" s="25" t="s">
        <v>152</v>
      </c>
      <c r="B24" s="25" t="s">
        <v>153</v>
      </c>
      <c r="C24" s="26" t="n">
        <v>0</v>
      </c>
      <c r="D24" s="27" t="n">
        <f aca="false">0.124*0.8/B7</f>
        <v>1.47290274684484</v>
      </c>
      <c r="E24" s="28" t="n">
        <f aca="false">D24/Assumptions!B25-1</f>
        <v>-0.472077868514394</v>
      </c>
    </row>
    <row r="25" customFormat="false" ht="15" hidden="false" customHeight="true" outlineLevel="0" collapsed="false"/>
    <row r="26" customFormat="false" ht="15" hidden="false" customHeight="true" outlineLevel="0" collapsed="false">
      <c r="A26" s="25" t="s">
        <v>154</v>
      </c>
      <c r="B26" s="29" t="n">
        <f aca="false">B7-Assumptions!B27/Assumptions!B25</f>
        <v>0.0229055555555555</v>
      </c>
      <c r="C26" s="25" t="s">
        <v>155</v>
      </c>
    </row>
    <row r="27" customFormat="false" ht="15" hidden="false" customHeight="true" outlineLevel="0" collapsed="false">
      <c r="A27" s="30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6" min="2" style="1" width="14"/>
  </cols>
  <sheetData>
    <row r="1" customFormat="false" ht="15.75" hidden="false" customHeight="true" outlineLevel="0" collapsed="false">
      <c r="A1" s="4" t="s">
        <v>157</v>
      </c>
    </row>
    <row r="2" customFormat="false" ht="15" hidden="false" customHeight="true" outlineLevel="0" collapsed="false">
      <c r="A2" s="5" t="s">
        <v>158</v>
      </c>
    </row>
    <row r="4" customFormat="false" ht="15" hidden="false" customHeight="true" outlineLevel="0" collapsed="false">
      <c r="A4" s="6" t="s">
        <v>159</v>
      </c>
      <c r="B4" s="6" t="s">
        <v>43</v>
      </c>
      <c r="C4" s="6" t="s">
        <v>44</v>
      </c>
      <c r="D4" s="6" t="s">
        <v>45</v>
      </c>
      <c r="E4" s="6" t="s">
        <v>46</v>
      </c>
      <c r="F4" s="6" t="s">
        <v>47</v>
      </c>
    </row>
    <row r="5" customFormat="false" ht="15" hidden="false" customHeight="true" outlineLevel="0" collapsed="false">
      <c r="A5" s="2" t="s">
        <v>160</v>
      </c>
      <c r="B5" s="31" t="n">
        <f aca="false">'Income Statement'!E5</f>
        <v>35304.959725</v>
      </c>
      <c r="C5" s="31" t="n">
        <f aca="false">'Income Statement'!F5</f>
        <v>37423.2573085</v>
      </c>
      <c r="D5" s="31" t="n">
        <f aca="false">'Income Statement'!G5</f>
        <v>39481.5364604675</v>
      </c>
      <c r="E5" s="31" t="n">
        <f aca="false">'Income Statement'!H5</f>
        <v>41455.6132834909</v>
      </c>
      <c r="F5" s="31" t="n">
        <f aca="false">'Income Statement'!I5</f>
        <v>43321.115881248</v>
      </c>
    </row>
    <row r="6" customFormat="false" ht="15" hidden="false" customHeight="true" outlineLevel="0" collapsed="false">
      <c r="A6" s="2" t="s">
        <v>161</v>
      </c>
      <c r="B6" s="31" t="n">
        <f aca="false">'Income Statement'!E8</f>
        <v>19135.28817095</v>
      </c>
      <c r="C6" s="31" t="n">
        <f aca="false">'Income Statement'!F8</f>
        <v>20433.098490441</v>
      </c>
      <c r="D6" s="31" t="n">
        <f aca="false">'Income Statement'!G8</f>
        <v>21714.8450532571</v>
      </c>
      <c r="E6" s="31" t="n">
        <f aca="false">'Income Statement'!H8</f>
        <v>22924.9541457705</v>
      </c>
      <c r="F6" s="31" t="n">
        <f aca="false">'Income Statement'!I8</f>
        <v>24043.2193140926</v>
      </c>
    </row>
    <row r="7" customFormat="false" ht="15" hidden="false" customHeight="true" outlineLevel="0" collapsed="false">
      <c r="A7" s="3" t="s">
        <v>162</v>
      </c>
      <c r="B7" s="31" t="n">
        <f aca="false">'Income Statement'!E9</f>
        <v>-7272.82170335</v>
      </c>
      <c r="C7" s="31" t="n">
        <f aca="false">'Income Statement'!F9</f>
        <v>-7784.037520168</v>
      </c>
      <c r="D7" s="31" t="n">
        <f aca="false">'Income Statement'!G9</f>
        <v>-8291.12265669818</v>
      </c>
      <c r="E7" s="31" t="n">
        <f aca="false">'Income Statement'!H9</f>
        <v>-8788.59001610007</v>
      </c>
      <c r="F7" s="31" t="n">
        <f aca="false">'Income Statement'!I9</f>
        <v>-9227.39768270581</v>
      </c>
    </row>
    <row r="8" customFormat="false" ht="15" hidden="false" customHeight="true" outlineLevel="0" collapsed="false">
      <c r="A8" s="2" t="s">
        <v>163</v>
      </c>
      <c r="B8" s="32" t="n">
        <f aca="false">B6+B7</f>
        <v>11862.4664676</v>
      </c>
      <c r="C8" s="32" t="n">
        <f aca="false">C6+C7</f>
        <v>12649.060970273</v>
      </c>
      <c r="D8" s="32" t="n">
        <f aca="false">D6+D7</f>
        <v>13423.722396559</v>
      </c>
      <c r="E8" s="32" t="n">
        <f aca="false">E6+E7</f>
        <v>14136.3641296704</v>
      </c>
      <c r="F8" s="32" t="n">
        <f aca="false">F6+F7</f>
        <v>14815.8216313868</v>
      </c>
    </row>
    <row r="9" customFormat="false" ht="15" hidden="false" customHeight="true" outlineLevel="0" collapsed="false">
      <c r="A9" s="2" t="s">
        <v>164</v>
      </c>
      <c r="B9" s="32" t="n">
        <f aca="false">B8*(1-Assumptions!B11)</f>
        <v>10735.532153178</v>
      </c>
      <c r="C9" s="32" t="n">
        <f aca="false">C8*(1-Assumptions!C11)</f>
        <v>11447.4001780971</v>
      </c>
      <c r="D9" s="32" t="n">
        <f aca="false">D8*(1-Assumptions!D11)</f>
        <v>12148.4687688859</v>
      </c>
      <c r="E9" s="32" t="n">
        <f aca="false">E8*(1-Assumptions!E11)</f>
        <v>12793.4095373517</v>
      </c>
      <c r="F9" s="32" t="n">
        <f aca="false">F8*(1-Assumptions!F11)</f>
        <v>13408.3185764051</v>
      </c>
    </row>
    <row r="10" customFormat="false" ht="15" hidden="false" customHeight="true" outlineLevel="0" collapsed="false">
      <c r="A10" s="3" t="s">
        <v>165</v>
      </c>
      <c r="B10" s="32" t="n">
        <f aca="false">-B7</f>
        <v>7272.82170335</v>
      </c>
      <c r="C10" s="32" t="n">
        <f aca="false">-C7</f>
        <v>7784.037520168</v>
      </c>
      <c r="D10" s="32" t="n">
        <f aca="false">-D7</f>
        <v>8291.12265669818</v>
      </c>
      <c r="E10" s="32" t="n">
        <f aca="false">-E7</f>
        <v>8788.59001610007</v>
      </c>
      <c r="F10" s="32" t="n">
        <f aca="false">-F7</f>
        <v>9227.39768270581</v>
      </c>
    </row>
    <row r="11" customFormat="false" ht="15" hidden="false" customHeight="true" outlineLevel="0" collapsed="false">
      <c r="A11" s="3" t="s">
        <v>166</v>
      </c>
      <c r="B11" s="31" t="n">
        <f aca="false">-Assumptions!B8</f>
        <v>-12500</v>
      </c>
      <c r="C11" s="31" t="n">
        <f aca="false">-Assumptions!C8</f>
        <v>-13500</v>
      </c>
      <c r="D11" s="31" t="n">
        <f aca="false">-Assumptions!D8</f>
        <v>-14000</v>
      </c>
      <c r="E11" s="31" t="n">
        <f aca="false">-Assumptions!E8</f>
        <v>-14000</v>
      </c>
      <c r="F11" s="31" t="n">
        <f aca="false">-Assumptions!F8</f>
        <v>-13500</v>
      </c>
    </row>
    <row r="12" customFormat="false" ht="15" hidden="false" customHeight="true" outlineLevel="0" collapsed="false">
      <c r="A12" s="3" t="s">
        <v>167</v>
      </c>
      <c r="B12" s="32" t="n">
        <f aca="false">-(B5-'Income Statement'!D5)*Assumptions!B9</f>
        <v>-24.63136725</v>
      </c>
      <c r="C12" s="32" t="n">
        <f aca="false">-(C5-B5)*Assumptions!C9</f>
        <v>-21.182975835</v>
      </c>
      <c r="D12" s="32" t="n">
        <f aca="false">-(D5-C5)*Assumptions!D9</f>
        <v>-20.582791519675</v>
      </c>
      <c r="E12" s="32" t="n">
        <f aca="false">-(E5-D5)*Assumptions!E9</f>
        <v>-19.7407682302337</v>
      </c>
      <c r="F12" s="32" t="n">
        <f aca="false">-(F5-E5)*Assumptions!F9</f>
        <v>-18.6550259775708</v>
      </c>
    </row>
    <row r="13" customFormat="false" ht="15" hidden="false" customHeight="true" outlineLevel="0" collapsed="false">
      <c r="A13" s="8" t="s">
        <v>168</v>
      </c>
      <c r="B13" s="32" t="n">
        <f aca="false">B9+B10+B11+B12</f>
        <v>5483.722489278</v>
      </c>
      <c r="C13" s="32" t="n">
        <f aca="false">C9+C10+C11+C12</f>
        <v>5710.25472243006</v>
      </c>
      <c r="D13" s="32" t="n">
        <f aca="false">D9+D10+D11+D12</f>
        <v>6419.00863406435</v>
      </c>
      <c r="E13" s="32" t="n">
        <f aca="false">E9+E10+E11+E12</f>
        <v>7562.25878522153</v>
      </c>
      <c r="F13" s="32" t="n">
        <f aca="false">F9+F10+F11+F12</f>
        <v>9117.0612331333</v>
      </c>
    </row>
    <row r="14" customFormat="false" ht="15" hidden="false" customHeight="true" outlineLevel="0" collapsed="false">
      <c r="A14" s="2" t="s">
        <v>169</v>
      </c>
      <c r="B14" s="33" t="n">
        <f aca="false">Assumptions!B15+Assumptions!B18*Assumptions!B16</f>
        <v>0.06735</v>
      </c>
      <c r="C14" s="5" t="s">
        <v>170</v>
      </c>
    </row>
    <row r="15" customFormat="false" ht="15" hidden="false" customHeight="true" outlineLevel="0" collapsed="false">
      <c r="A15" s="2" t="s">
        <v>171</v>
      </c>
      <c r="B15" s="33" t="n">
        <f aca="false">0.783*B14+0.217*Assumptions!B19*(1-Assumptions!B20)</f>
        <v>0.06241108</v>
      </c>
    </row>
    <row r="16" customFormat="false" ht="15" hidden="false" customHeight="true" outlineLevel="0" collapsed="false">
      <c r="A16" s="3" t="s">
        <v>137</v>
      </c>
      <c r="B16" s="22" t="n">
        <f aca="false">1/(1+$B$15)^1</f>
        <v>0.9412552436859</v>
      </c>
      <c r="C16" s="22" t="n">
        <f aca="false">1/(1+$B$15)^2</f>
        <v>0.885961433766203</v>
      </c>
      <c r="D16" s="22" t="n">
        <f aca="false">1/(1+$B$15)^3</f>
        <v>0.833915845235916</v>
      </c>
      <c r="E16" s="22" t="n">
        <f aca="false">1/(1+$B$15)^4</f>
        <v>0.784927662121066</v>
      </c>
      <c r="F16" s="22" t="n">
        <f aca="false">1/(1+$B$15)^5</f>
        <v>0.738817277885567</v>
      </c>
    </row>
    <row r="17" customFormat="false" ht="15" hidden="false" customHeight="true" outlineLevel="0" collapsed="false">
      <c r="A17" s="2" t="s">
        <v>172</v>
      </c>
      <c r="B17" s="32" t="n">
        <f aca="false">B13*B16</f>
        <v>5161.58254795121</v>
      </c>
      <c r="C17" s="32" t="n">
        <f aca="false">C13*C16</f>
        <v>5059.06546105437</v>
      </c>
      <c r="D17" s="32" t="n">
        <f aca="false">D13*D16</f>
        <v>5352.91301065242</v>
      </c>
      <c r="E17" s="32" t="n">
        <f aca="false">E13*E16</f>
        <v>5935.82610863843</v>
      </c>
      <c r="F17" s="32" t="n">
        <f aca="false">F13*F16</f>
        <v>6735.84236257958</v>
      </c>
    </row>
    <row r="19" customFormat="false" ht="15" hidden="false" customHeight="true" outlineLevel="0" collapsed="false">
      <c r="A19" s="2" t="s">
        <v>173</v>
      </c>
      <c r="B19" s="32" t="n">
        <f aca="false">SUM(B17:F17)</f>
        <v>28245.229490876</v>
      </c>
    </row>
    <row r="20" customFormat="false" ht="15" hidden="false" customHeight="true" outlineLevel="0" collapsed="false">
      <c r="A20" s="2" t="s">
        <v>140</v>
      </c>
      <c r="B20" s="32" t="n">
        <f aca="false">F13*(1+Assumptions!B21)/(B15-Assumptions!B21)</f>
        <v>249791.980449686</v>
      </c>
    </row>
    <row r="21" customFormat="false" ht="15" hidden="false" customHeight="true" outlineLevel="0" collapsed="false">
      <c r="A21" s="2" t="s">
        <v>141</v>
      </c>
      <c r="B21" s="32" t="n">
        <f aca="false">B20*F16</f>
        <v>184550.631033482</v>
      </c>
    </row>
    <row r="22" customFormat="false" ht="15" hidden="false" customHeight="true" outlineLevel="0" collapsed="false">
      <c r="A22" s="8" t="s">
        <v>174</v>
      </c>
      <c r="B22" s="32" t="n">
        <f aca="false">B19+B21</f>
        <v>212795.860524358</v>
      </c>
    </row>
    <row r="23" customFormat="false" ht="15" hidden="false" customHeight="true" outlineLevel="0" collapsed="false">
      <c r="A23" s="2" t="s">
        <v>175</v>
      </c>
      <c r="B23" s="9" t="n">
        <f aca="false">B21/B22</f>
        <v>0.867266076411092</v>
      </c>
      <c r="C23" s="5" t="s">
        <v>176</v>
      </c>
    </row>
    <row r="24" customFormat="false" ht="15" hidden="false" customHeight="true" outlineLevel="0" collapsed="false">
      <c r="A24" s="3" t="s">
        <v>177</v>
      </c>
      <c r="B24" s="13" t="n">
        <v>-36273</v>
      </c>
      <c r="C24" s="5" t="s">
        <v>178</v>
      </c>
    </row>
    <row r="25" customFormat="false" ht="15" hidden="false" customHeight="true" outlineLevel="0" collapsed="false">
      <c r="A25" s="3" t="s">
        <v>179</v>
      </c>
      <c r="B25" s="13" t="n">
        <f aca="false">-B36</f>
        <v>-8598.019</v>
      </c>
      <c r="C25" s="5" t="s">
        <v>180</v>
      </c>
    </row>
    <row r="26" customFormat="false" ht="15" hidden="false" customHeight="true" outlineLevel="0" collapsed="false">
      <c r="A26" s="8" t="s">
        <v>181</v>
      </c>
      <c r="B26" s="32" t="n">
        <f aca="false">B22+B24+B25</f>
        <v>167924.841524358</v>
      </c>
    </row>
    <row r="27" customFormat="false" ht="15" hidden="false" customHeight="true" outlineLevel="0" collapsed="false">
      <c r="A27" s="8" t="s">
        <v>182</v>
      </c>
      <c r="B27" s="7" t="n">
        <f aca="false">B26/Assumptions!B24</f>
        <v>3.35849683048715</v>
      </c>
    </row>
    <row r="28" customFormat="false" ht="15" hidden="false" customHeight="true" outlineLevel="0" collapsed="false">
      <c r="A28" s="3" t="s">
        <v>183</v>
      </c>
      <c r="B28" s="7" t="n">
        <f aca="false">(B26+6631)/Assumptions!B24</f>
        <v>3.49111683048715</v>
      </c>
      <c r="C28" s="5" t="s">
        <v>184</v>
      </c>
    </row>
    <row r="30" customFormat="false" ht="15" hidden="false" customHeight="true" outlineLevel="0" collapsed="false">
      <c r="A30" s="5" t="s">
        <v>185</v>
      </c>
    </row>
    <row r="32" customFormat="false" ht="33" hidden="false" customHeight="true" outlineLevel="0" collapsed="false">
      <c r="A32" s="34" t="s">
        <v>186</v>
      </c>
    </row>
    <row r="33" customFormat="false" ht="18" hidden="false" customHeight="true" outlineLevel="0" collapsed="false">
      <c r="A33" s="35" t="s">
        <v>187</v>
      </c>
      <c r="B33" s="36" t="n">
        <v>6753.019</v>
      </c>
    </row>
    <row r="34" customFormat="false" ht="47.25" hidden="false" customHeight="true" outlineLevel="0" collapsed="false">
      <c r="A34" s="35" t="s">
        <v>188</v>
      </c>
      <c r="B34" s="36" t="n">
        <v>-1355</v>
      </c>
    </row>
    <row r="35" customFormat="false" ht="33" hidden="false" customHeight="true" outlineLevel="0" collapsed="false">
      <c r="A35" s="35" t="s">
        <v>189</v>
      </c>
      <c r="B35" s="36" t="n">
        <f aca="false">0.2*Assumptions!B23</f>
        <v>3200</v>
      </c>
    </row>
    <row r="36" customFormat="false" ht="18" hidden="false" customHeight="true" outlineLevel="0" collapsed="false">
      <c r="A36" s="34" t="s">
        <v>190</v>
      </c>
      <c r="B36" s="37" t="n">
        <f aca="false">B33+B34+B35</f>
        <v>8598.019</v>
      </c>
    </row>
    <row r="37" customFormat="false" ht="47.25" hidden="false" customHeight="true" outlineLevel="0" collapsed="false">
      <c r="A37" s="38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5" min="2" style="1" width="14"/>
  </cols>
  <sheetData>
    <row r="1" customFormat="false" ht="15.75" hidden="false" customHeight="true" outlineLevel="0" collapsed="false">
      <c r="A1" s="4" t="s">
        <v>192</v>
      </c>
    </row>
    <row r="2" customFormat="false" ht="15" hidden="false" customHeight="true" outlineLevel="0" collapsed="false">
      <c r="A2" s="5" t="s">
        <v>193</v>
      </c>
    </row>
    <row r="4" customFormat="false" ht="15" hidden="false" customHeight="true" outlineLevel="0" collapsed="false">
      <c r="A4" s="2" t="s">
        <v>194</v>
      </c>
    </row>
    <row r="5" customFormat="false" ht="15" hidden="false" customHeight="true" outlineLevel="0" collapsed="false">
      <c r="A5" s="3" t="s">
        <v>195</v>
      </c>
      <c r="B5" s="32" t="n">
        <f aca="false">Assumptions!B25*Assumptions!B24+36273+8598</f>
        <v>184371</v>
      </c>
    </row>
    <row r="6" customFormat="false" ht="15" hidden="false" customHeight="true" outlineLevel="0" collapsed="false">
      <c r="A6" s="3" t="s">
        <v>196</v>
      </c>
      <c r="B6" s="31" t="n">
        <f aca="false">'Income Statement'!E8</f>
        <v>19135.28817095</v>
      </c>
    </row>
    <row r="7" customFormat="false" ht="15" hidden="false" customHeight="true" outlineLevel="0" collapsed="false">
      <c r="A7" s="2" t="s">
        <v>197</v>
      </c>
      <c r="B7" s="39" t="n">
        <f aca="false">B5/B6</f>
        <v>9.63513056886703</v>
      </c>
    </row>
    <row r="9" customFormat="false" ht="15" hidden="false" customHeight="true" outlineLevel="0" collapsed="false">
      <c r="A9" s="6" t="s">
        <v>198</v>
      </c>
      <c r="B9" s="6" t="s">
        <v>199</v>
      </c>
      <c r="C9" s="6" t="s">
        <v>200</v>
      </c>
      <c r="D9" s="6" t="s">
        <v>201</v>
      </c>
      <c r="E9" s="6"/>
    </row>
    <row r="10" customFormat="false" ht="15" hidden="false" customHeight="true" outlineLevel="0" collapsed="false">
      <c r="A10" s="40" t="s">
        <v>202</v>
      </c>
      <c r="B10" s="31" t="n">
        <f aca="false">'Income Statement'!E8*9</f>
        <v>172217.59353855</v>
      </c>
      <c r="C10" s="32" t="n">
        <f aca="false">B10-36273-8598</f>
        <v>127346.59353855</v>
      </c>
      <c r="D10" s="7" t="n">
        <f aca="false">C10/Assumptions!B24</f>
        <v>2.546931870771</v>
      </c>
    </row>
    <row r="11" customFormat="false" ht="15" hidden="false" customHeight="true" outlineLevel="0" collapsed="false">
      <c r="A11" s="40" t="s">
        <v>203</v>
      </c>
      <c r="B11" s="31" t="n">
        <f aca="false">'Income Statement'!E8*10</f>
        <v>191352.8817095</v>
      </c>
      <c r="C11" s="32" t="n">
        <f aca="false">B11-36273-8598</f>
        <v>146481.8817095</v>
      </c>
      <c r="D11" s="7" t="n">
        <f aca="false">C11/Assumptions!B24</f>
        <v>2.92963763419</v>
      </c>
    </row>
    <row r="12" customFormat="false" ht="15" hidden="false" customHeight="true" outlineLevel="0" collapsed="false">
      <c r="A12" s="40" t="s">
        <v>204</v>
      </c>
      <c r="B12" s="31" t="n">
        <f aca="false">'Income Statement'!E8*11</f>
        <v>210488.16988045</v>
      </c>
      <c r="C12" s="32" t="n">
        <f aca="false">B12-36273-8598</f>
        <v>165617.16988045</v>
      </c>
      <c r="D12" s="7" t="n">
        <f aca="false">C12/Assumptions!B24</f>
        <v>3.312343397609</v>
      </c>
    </row>
    <row r="14" customFormat="false" ht="15" hidden="false" customHeight="true" outlineLevel="0" collapsed="false">
      <c r="A14" s="2" t="s">
        <v>205</v>
      </c>
    </row>
    <row r="15" customFormat="false" ht="15" hidden="false" customHeight="true" outlineLevel="0" collapsed="false">
      <c r="A15" s="3" t="s">
        <v>206</v>
      </c>
      <c r="B15" s="17" t="n">
        <v>1.82</v>
      </c>
    </row>
    <row r="16" customFormat="false" ht="15" hidden="false" customHeight="true" outlineLevel="0" collapsed="false">
      <c r="A16" s="3" t="s">
        <v>207</v>
      </c>
      <c r="B16" s="11" t="n">
        <v>0.0926</v>
      </c>
    </row>
    <row r="17" customFormat="false" ht="15" hidden="false" customHeight="true" outlineLevel="0" collapsed="false">
      <c r="A17" s="3" t="s">
        <v>208</v>
      </c>
      <c r="B17" s="21" t="n">
        <f aca="false">Assumptions!B15+Assumptions!B18*Assumptions!B16</f>
        <v>0.06735</v>
      </c>
    </row>
    <row r="18" customFormat="false" ht="15" hidden="false" customHeight="true" outlineLevel="0" collapsed="false">
      <c r="A18" s="3" t="s">
        <v>209</v>
      </c>
      <c r="B18" s="11" t="n">
        <v>0.025</v>
      </c>
    </row>
    <row r="19" customFormat="false" ht="15" hidden="false" customHeight="true" outlineLevel="0" collapsed="false">
      <c r="A19" s="2" t="s">
        <v>210</v>
      </c>
      <c r="B19" s="39" t="n">
        <f aca="false">(B16-B18)/(B17-B18)</f>
        <v>1.59622195985832</v>
      </c>
    </row>
    <row r="20" customFormat="false" ht="15" hidden="false" customHeight="true" outlineLevel="0" collapsed="false">
      <c r="A20" s="8" t="s">
        <v>211</v>
      </c>
      <c r="B20" s="7" t="n">
        <f aca="false">B19*B15</f>
        <v>2.90512396694215</v>
      </c>
    </row>
    <row r="21" customFormat="false" ht="15" hidden="false" customHeight="true" outlineLevel="0" collapsed="false">
      <c r="A21" s="3" t="s">
        <v>212</v>
      </c>
      <c r="B21" s="41" t="n">
        <f aca="false">Assumptions!B25/B15</f>
        <v>1.53296703296703</v>
      </c>
    </row>
    <row r="23" customFormat="false" ht="15" hidden="false" customHeight="true" outlineLevel="0" collapsed="false">
      <c r="A23" s="5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4" t="s">
        <v>214</v>
      </c>
    </row>
    <row r="2" customFormat="false" ht="15" hidden="false" customHeight="true" outlineLevel="0" collapsed="false">
      <c r="A2" s="5" t="s">
        <v>215</v>
      </c>
    </row>
    <row r="4" customFormat="false" ht="15" hidden="false" customHeight="true" outlineLevel="0" collapsed="false">
      <c r="A4" s="6" t="s">
        <v>159</v>
      </c>
      <c r="B4" s="6" t="s">
        <v>216</v>
      </c>
      <c r="C4" s="6" t="s">
        <v>217</v>
      </c>
      <c r="D4" s="6" t="s">
        <v>218</v>
      </c>
      <c r="E4" s="6" t="s">
        <v>43</v>
      </c>
      <c r="F4" s="6" t="s">
        <v>44</v>
      </c>
      <c r="G4" s="6" t="s">
        <v>45</v>
      </c>
      <c r="H4" s="6" t="s">
        <v>46</v>
      </c>
      <c r="I4" s="6" t="s">
        <v>47</v>
      </c>
    </row>
    <row r="5" customFormat="false" ht="15" hidden="false" customHeight="true" outlineLevel="0" collapsed="false">
      <c r="A5" s="2" t="s">
        <v>160</v>
      </c>
      <c r="B5" s="32" t="n">
        <v>29178.009</v>
      </c>
      <c r="C5" s="32" t="n">
        <v>30977.351</v>
      </c>
      <c r="D5" s="32" t="n">
        <v>32841.823</v>
      </c>
      <c r="E5" s="31" t="n">
        <f aca="false">D5*(1+Assumptions!B5)</f>
        <v>35304.959725</v>
      </c>
      <c r="F5" s="31" t="n">
        <f aca="false">E5*(1+Assumptions!C5)</f>
        <v>37423.2573085</v>
      </c>
      <c r="G5" s="31" t="n">
        <f aca="false">F5*(1+Assumptions!D5)</f>
        <v>39481.5364604675</v>
      </c>
      <c r="H5" s="31" t="n">
        <f aca="false">G5*(1+Assumptions!E5)</f>
        <v>41455.6132834909</v>
      </c>
      <c r="I5" s="31" t="n">
        <f aca="false">H5*(1+Assumptions!F5)</f>
        <v>43321.115881248</v>
      </c>
    </row>
    <row r="6" customFormat="false" ht="15" hidden="false" customHeight="true" outlineLevel="0" collapsed="false">
      <c r="A6" s="3" t="s">
        <v>219</v>
      </c>
      <c r="B6" s="42" t="n">
        <v>-17932.654</v>
      </c>
      <c r="C6" s="32" t="n">
        <v>-19170.338</v>
      </c>
      <c r="D6" s="32" t="n">
        <v>-19776.71</v>
      </c>
      <c r="E6" s="32" t="n">
        <f aca="false">E8-E5</f>
        <v>-16169.67155405</v>
      </c>
      <c r="F6" s="32" t="n">
        <f aca="false">F8-F5</f>
        <v>-16990.158818059</v>
      </c>
      <c r="G6" s="32" t="n">
        <f aca="false">G8-G5</f>
        <v>-17766.6914072104</v>
      </c>
      <c r="H6" s="32" t="n">
        <f aca="false">H8-H5</f>
        <v>-18530.6591377204</v>
      </c>
      <c r="I6" s="32" t="n">
        <f aca="false">I8-I5</f>
        <v>-19277.8965671553</v>
      </c>
    </row>
    <row r="7" customFormat="false" ht="15" hidden="false" customHeight="true" outlineLevel="0" collapsed="false">
      <c r="A7" s="3" t="s">
        <v>220</v>
      </c>
      <c r="B7" s="42" t="n">
        <v>11245.355</v>
      </c>
      <c r="C7" s="32" t="n">
        <v>11807.013</v>
      </c>
      <c r="D7" s="32" t="n">
        <v>13065.113</v>
      </c>
      <c r="E7" s="32" t="n">
        <f aca="false">E5*0.4</f>
        <v>14121.98389</v>
      </c>
      <c r="F7" s="32" t="n">
        <f aca="false">F5*0.4</f>
        <v>14969.3029234</v>
      </c>
      <c r="G7" s="32" t="n">
        <f aca="false">G5*0.4</f>
        <v>15792.614584187</v>
      </c>
      <c r="H7" s="32" t="n">
        <f aca="false">H5*0.4</f>
        <v>16582.2453133964</v>
      </c>
      <c r="I7" s="32" t="n">
        <f aca="false">I5*0.4</f>
        <v>17328.4463524992</v>
      </c>
    </row>
    <row r="8" customFormat="false" ht="15" hidden="false" customHeight="true" outlineLevel="0" collapsed="false">
      <c r="A8" s="2" t="s">
        <v>161</v>
      </c>
      <c r="B8" s="42" t="n">
        <v>14884.312</v>
      </c>
      <c r="C8" s="32" t="n">
        <v>15892.457</v>
      </c>
      <c r="D8" s="32" t="n">
        <v>17660.637</v>
      </c>
      <c r="E8" s="32" t="n">
        <f aca="false">E5*Assumptions!B6</f>
        <v>19135.28817095</v>
      </c>
      <c r="F8" s="32" t="n">
        <f aca="false">F5*Assumptions!C6</f>
        <v>20433.098490441</v>
      </c>
      <c r="G8" s="32" t="n">
        <f aca="false">G5*Assumptions!D6</f>
        <v>21714.8450532571</v>
      </c>
      <c r="H8" s="32" t="n">
        <f aca="false">H5*Assumptions!E6</f>
        <v>22924.9541457705</v>
      </c>
      <c r="I8" s="32" t="n">
        <f aca="false">I5*Assumptions!F6</f>
        <v>24043.2193140926</v>
      </c>
    </row>
    <row r="9" customFormat="false" ht="15" hidden="false" customHeight="true" outlineLevel="0" collapsed="false">
      <c r="A9" s="3" t="s">
        <v>162</v>
      </c>
      <c r="B9" s="42" t="n">
        <v>-6126.978</v>
      </c>
      <c r="C9" s="32" t="n">
        <v>-6567.932</v>
      </c>
      <c r="D9" s="32" t="n">
        <v>-6709.126</v>
      </c>
      <c r="E9" s="32" t="n">
        <f aca="false">-E5*Assumptions!B7</f>
        <v>-7272.82170335</v>
      </c>
      <c r="F9" s="32" t="n">
        <f aca="false">-F5*Assumptions!C7</f>
        <v>-7784.037520168</v>
      </c>
      <c r="G9" s="32" t="n">
        <f aca="false">-G5*Assumptions!D7</f>
        <v>-8291.12265669818</v>
      </c>
      <c r="H9" s="32" t="n">
        <f aca="false">-H5*Assumptions!E7</f>
        <v>-8788.59001610007</v>
      </c>
      <c r="I9" s="32" t="n">
        <f aca="false">-I5*Assumptions!F7</f>
        <v>-9227.39768270581</v>
      </c>
    </row>
    <row r="10" customFormat="false" ht="15" hidden="false" customHeight="true" outlineLevel="0" collapsed="false">
      <c r="A10" s="2" t="s">
        <v>221</v>
      </c>
      <c r="B10" s="32" t="n">
        <v>8757.334</v>
      </c>
      <c r="C10" s="32" t="n">
        <v>9324.525</v>
      </c>
      <c r="D10" s="32" t="n">
        <v>10951.511</v>
      </c>
      <c r="E10" s="32" t="n">
        <f aca="false">E9+E8</f>
        <v>11862.4664676</v>
      </c>
      <c r="F10" s="32" t="n">
        <f aca="false">F9+F8</f>
        <v>12649.060970273</v>
      </c>
      <c r="G10" s="32" t="n">
        <f aca="false">G9+G8</f>
        <v>13423.722396559</v>
      </c>
      <c r="H10" s="32" t="n">
        <f aca="false">H9+H8</f>
        <v>14136.3641296704</v>
      </c>
      <c r="I10" s="32" t="n">
        <f aca="false">I9+I8</f>
        <v>14815.8216313868</v>
      </c>
    </row>
    <row r="11" customFormat="false" ht="15" hidden="false" customHeight="true" outlineLevel="0" collapsed="false">
      <c r="A11" s="3" t="s">
        <v>222</v>
      </c>
      <c r="B11" s="42" t="n">
        <v>-810.887</v>
      </c>
      <c r="C11" s="32" t="n">
        <v>-1174.018</v>
      </c>
      <c r="D11" s="32" t="n">
        <v>-617.299</v>
      </c>
      <c r="E11" s="31" t="n">
        <f aca="false">-Assumptions!B10</f>
        <v>-700</v>
      </c>
      <c r="F11" s="31" t="n">
        <f aca="false">-Assumptions!C10</f>
        <v>-780</v>
      </c>
      <c r="G11" s="31" t="n">
        <f aca="false">-Assumptions!D10</f>
        <v>-850</v>
      </c>
      <c r="H11" s="31" t="n">
        <f aca="false">-Assumptions!E10</f>
        <v>-910</v>
      </c>
      <c r="I11" s="31" t="n">
        <f aca="false">-Assumptions!F10</f>
        <v>-950</v>
      </c>
    </row>
    <row r="12" customFormat="false" ht="15" hidden="false" customHeight="true" outlineLevel="0" collapsed="false">
      <c r="A12" s="3" t="s">
        <v>223</v>
      </c>
      <c r="B12" s="42" t="n">
        <v>-104.588</v>
      </c>
      <c r="C12" s="32" t="n">
        <v>-167.413</v>
      </c>
      <c r="D12" s="32" t="n">
        <v>-331.269</v>
      </c>
      <c r="E12" s="32" t="n">
        <v>0</v>
      </c>
      <c r="F12" s="32" t="n">
        <v>0</v>
      </c>
      <c r="G12" s="32" t="n">
        <v>0</v>
      </c>
      <c r="H12" s="32" t="n">
        <v>0</v>
      </c>
      <c r="I12" s="32" t="n">
        <v>0</v>
      </c>
    </row>
    <row r="13" customFormat="false" ht="15" hidden="false" customHeight="true" outlineLevel="0" collapsed="false">
      <c r="A13" s="2" t="s">
        <v>224</v>
      </c>
      <c r="B13" s="42" t="n">
        <v>7841.859</v>
      </c>
      <c r="C13" s="32" t="n">
        <v>7983.094</v>
      </c>
      <c r="D13" s="32" t="n">
        <v>10002.943</v>
      </c>
      <c r="E13" s="32" t="n">
        <f aca="false">E10+E11+E12</f>
        <v>11162.4664676</v>
      </c>
      <c r="F13" s="32" t="n">
        <f aca="false">F10+F11+F12</f>
        <v>11869.060970273</v>
      </c>
      <c r="G13" s="32" t="n">
        <f aca="false">G10+G11+G12</f>
        <v>12573.722396559</v>
      </c>
      <c r="H13" s="32" t="n">
        <f aca="false">H10+H11+H12</f>
        <v>13226.3641296704</v>
      </c>
      <c r="I13" s="32" t="n">
        <f aca="false">I10+I11+I12</f>
        <v>13865.8216313868</v>
      </c>
    </row>
    <row r="14" customFormat="false" ht="15" hidden="false" customHeight="true" outlineLevel="0" collapsed="false">
      <c r="A14" s="3" t="s">
        <v>225</v>
      </c>
      <c r="B14" s="32" t="n">
        <v>91.902</v>
      </c>
      <c r="C14" s="32" t="n">
        <v>-748.905</v>
      </c>
      <c r="D14" s="32" t="n">
        <v>-947.599</v>
      </c>
      <c r="E14" s="32" t="n">
        <f aca="false">-E13*Assumptions!B11</f>
        <v>-1060.434314422</v>
      </c>
      <c r="F14" s="32" t="n">
        <f aca="false">-F13*Assumptions!C11</f>
        <v>-1127.56079217594</v>
      </c>
      <c r="G14" s="32" t="n">
        <f aca="false">-G13*Assumptions!D11</f>
        <v>-1194.5036276731</v>
      </c>
      <c r="H14" s="32" t="n">
        <f aca="false">-H13*Assumptions!E11</f>
        <v>-1256.50459231869</v>
      </c>
      <c r="I14" s="32" t="n">
        <f aca="false">-I13*Assumptions!F11</f>
        <v>-1317.25305498175</v>
      </c>
    </row>
    <row r="15" customFormat="false" ht="15" hidden="false" customHeight="true" outlineLevel="0" collapsed="false">
      <c r="A15" s="2" t="s">
        <v>226</v>
      </c>
      <c r="B15" s="32" t="n">
        <v>7933.761</v>
      </c>
      <c r="C15" s="32" t="n">
        <v>7234.189</v>
      </c>
      <c r="D15" s="32" t="n">
        <v>9055.344</v>
      </c>
      <c r="E15" s="32" t="n">
        <f aca="false">E13+E14</f>
        <v>10102.032153178</v>
      </c>
      <c r="F15" s="32" t="n">
        <f aca="false">F13+F14</f>
        <v>10741.5001780971</v>
      </c>
      <c r="G15" s="32" t="n">
        <f aca="false">G13+G14</f>
        <v>11379.2187688859</v>
      </c>
      <c r="H15" s="32" t="n">
        <f aca="false">H13+H14</f>
        <v>11969.8595373517</v>
      </c>
      <c r="I15" s="32" t="n">
        <f aca="false">I13+I14</f>
        <v>12548.5685764051</v>
      </c>
    </row>
    <row r="16" customFormat="false" ht="15" hidden="false" customHeight="true" outlineLevel="0" collapsed="false">
      <c r="A16" s="3" t="s">
        <v>227</v>
      </c>
      <c r="B16" s="42" t="n">
        <v>-232.938</v>
      </c>
      <c r="C16" s="32" t="n">
        <v>-221.529</v>
      </c>
      <c r="D16" s="32" t="n">
        <v>-708.457</v>
      </c>
      <c r="E16" s="32" t="n">
        <f aca="false">-E15*Assumptions!B12</f>
        <v>-606.12192919068</v>
      </c>
      <c r="F16" s="32" t="n">
        <f aca="false">-F15*Assumptions!C12</f>
        <v>-644.490010685824</v>
      </c>
      <c r="G16" s="32" t="n">
        <f aca="false">-G15*Assumptions!D12</f>
        <v>-682.753126133151</v>
      </c>
      <c r="H16" s="32" t="n">
        <f aca="false">-H15*Assumptions!E12</f>
        <v>-718.191572241102</v>
      </c>
      <c r="I16" s="32" t="n">
        <f aca="false">-I15*Assumptions!F12</f>
        <v>-752.914114584303</v>
      </c>
    </row>
    <row r="17" customFormat="false" ht="15" hidden="false" customHeight="true" outlineLevel="0" collapsed="false">
      <c r="A17" s="2" t="s">
        <v>228</v>
      </c>
      <c r="B17" s="32" t="n">
        <v>7700.823</v>
      </c>
      <c r="C17" s="32" t="n">
        <v>7012.66</v>
      </c>
      <c r="D17" s="32" t="n">
        <v>8346.887</v>
      </c>
      <c r="E17" s="32" t="n">
        <f aca="false">E15+E16</f>
        <v>9495.91022398732</v>
      </c>
      <c r="F17" s="32" t="n">
        <f aca="false">F15+F16</f>
        <v>10097.0101674112</v>
      </c>
      <c r="G17" s="32" t="n">
        <f aca="false">G15+G16</f>
        <v>10696.4656427527</v>
      </c>
      <c r="H17" s="32" t="n">
        <f aca="false">H15+H16</f>
        <v>11251.6679651106</v>
      </c>
      <c r="I17" s="32" t="n">
        <f aca="false">I15+I16</f>
        <v>11795.6544618208</v>
      </c>
    </row>
    <row r="18" customFormat="false" ht="15" hidden="false" customHeight="true" outlineLevel="0" collapsed="false">
      <c r="A18" s="2" t="s">
        <v>229</v>
      </c>
      <c r="B18" s="23" t="n">
        <v>0.154</v>
      </c>
      <c r="C18" s="23" t="n">
        <v>0.14</v>
      </c>
      <c r="D18" s="23" t="n">
        <v>0.167</v>
      </c>
      <c r="E18" s="23" t="n">
        <f aca="false">E17/50000</f>
        <v>0.189918204479746</v>
      </c>
      <c r="F18" s="23" t="n">
        <f aca="false">F17/50000</f>
        <v>0.201940203348225</v>
      </c>
      <c r="G18" s="23" t="n">
        <f aca="false">G17/50000</f>
        <v>0.213929312855054</v>
      </c>
      <c r="H18" s="23" t="n">
        <f aca="false">H17/50000</f>
        <v>0.225033359302212</v>
      </c>
      <c r="I18" s="23" t="n">
        <f aca="false">I17/50000</f>
        <v>0.235913089236415</v>
      </c>
    </row>
    <row r="20" customFormat="false" ht="15" hidden="false" customHeight="true" outlineLevel="0" collapsed="false">
      <c r="A20" s="30" t="s">
        <v>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4"/>
  </cols>
  <sheetData>
    <row r="1" customFormat="false" ht="15.75" hidden="false" customHeight="true" outlineLevel="0" collapsed="false">
      <c r="A1" s="4" t="s">
        <v>231</v>
      </c>
      <c r="B1" s="3"/>
      <c r="C1" s="3"/>
      <c r="D1" s="3"/>
    </row>
    <row r="2" customFormat="false" ht="15" hidden="false" customHeight="true" outlineLevel="0" collapsed="false">
      <c r="A2" s="5" t="s">
        <v>232</v>
      </c>
      <c r="B2" s="3"/>
      <c r="C2" s="3"/>
      <c r="D2" s="3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43" t="s">
        <v>159</v>
      </c>
      <c r="B4" s="43" t="s">
        <v>216</v>
      </c>
      <c r="C4" s="43" t="s">
        <v>217</v>
      </c>
      <c r="D4" s="44" t="s">
        <v>218</v>
      </c>
    </row>
    <row r="5" customFormat="false" ht="15" hidden="false" customHeight="true" outlineLevel="0" collapsed="false">
      <c r="A5" s="45" t="s">
        <v>233</v>
      </c>
      <c r="B5" s="46" t="n">
        <v>162239.202</v>
      </c>
      <c r="C5" s="46" t="n">
        <v>165466</v>
      </c>
      <c r="D5" s="36" t="n">
        <v>171450.623</v>
      </c>
    </row>
    <row r="6" customFormat="false" ht="15" hidden="false" customHeight="true" outlineLevel="0" collapsed="false">
      <c r="A6" s="45" t="s">
        <v>234</v>
      </c>
      <c r="B6" s="46" t="n">
        <v>18924.305</v>
      </c>
      <c r="C6" s="46" t="n">
        <v>19290</v>
      </c>
      <c r="D6" s="36" t="n">
        <v>23688.154</v>
      </c>
    </row>
    <row r="7" customFormat="false" ht="15" hidden="false" customHeight="true" outlineLevel="0" collapsed="false">
      <c r="A7" s="47" t="s">
        <v>235</v>
      </c>
      <c r="B7" s="48" t="n">
        <v>181163.507</v>
      </c>
      <c r="C7" s="48" t="n">
        <v>184755.308</v>
      </c>
      <c r="D7" s="37" t="n">
        <v>195138.777</v>
      </c>
    </row>
    <row r="8" customFormat="false" ht="15" hidden="false" customHeight="true" outlineLevel="0" collapsed="false">
      <c r="A8" s="45" t="s">
        <v>236</v>
      </c>
      <c r="B8" s="46" t="n">
        <v>89212.243</v>
      </c>
      <c r="C8" s="46" t="n">
        <v>89349.233</v>
      </c>
      <c r="D8" s="36" t="n">
        <v>91016.516</v>
      </c>
    </row>
    <row r="9" customFormat="false" ht="15" hidden="false" customHeight="true" outlineLevel="0" collapsed="false">
      <c r="A9" s="45" t="s">
        <v>237</v>
      </c>
      <c r="B9" s="46" t="n">
        <v>3489.111</v>
      </c>
      <c r="C9" s="46" t="n">
        <v>5638.617</v>
      </c>
      <c r="D9" s="36" t="n">
        <v>6753.019</v>
      </c>
    </row>
    <row r="10" customFormat="false" ht="15" hidden="false" customHeight="true" outlineLevel="0" collapsed="false">
      <c r="A10" s="47" t="s">
        <v>238</v>
      </c>
      <c r="B10" s="48" t="n">
        <f aca="false">B8+B9</f>
        <v>92701.354</v>
      </c>
      <c r="C10" s="48" t="n">
        <f aca="false">C8+C9</f>
        <v>94987.85</v>
      </c>
      <c r="D10" s="37" t="n">
        <f aca="false">D8+D9</f>
        <v>97769.535</v>
      </c>
    </row>
    <row r="11" customFormat="false" ht="15" hidden="false" customHeight="true" outlineLevel="0" collapsed="false">
      <c r="A11" s="45" t="s">
        <v>239</v>
      </c>
      <c r="B11" s="46" t="n">
        <v>27341.537</v>
      </c>
      <c r="C11" s="46" t="n">
        <v>28828.861</v>
      </c>
      <c r="D11" s="36" t="n">
        <v>31921.882</v>
      </c>
    </row>
    <row r="12" customFormat="false" ht="15" hidden="false" customHeight="true" outlineLevel="0" collapsed="false">
      <c r="A12" s="45" t="s">
        <v>240</v>
      </c>
      <c r="B12" s="46" t="n">
        <v>11546.029</v>
      </c>
      <c r="C12" s="46" t="n">
        <v>7141.9</v>
      </c>
      <c r="D12" s="36" t="n">
        <v>6654.393</v>
      </c>
    </row>
    <row r="13" customFormat="false" ht="15" hidden="false" customHeight="true" outlineLevel="0" collapsed="false">
      <c r="A13" s="49" t="s">
        <v>241</v>
      </c>
      <c r="B13" s="50" t="n">
        <v>88262.222</v>
      </c>
      <c r="C13" s="50" t="n">
        <v>89400.114</v>
      </c>
      <c r="D13" s="36" t="n">
        <v>96670.629</v>
      </c>
    </row>
    <row r="14" customFormat="false" ht="15" hidden="false" customHeight="true" outlineLevel="0" collapsed="false">
      <c r="A14" s="45" t="s">
        <v>242</v>
      </c>
      <c r="B14" s="46" t="n">
        <v>199.931</v>
      </c>
      <c r="C14" s="46" t="n">
        <v>367.344</v>
      </c>
      <c r="D14" s="36" t="n">
        <v>698.613</v>
      </c>
    </row>
    <row r="15" customFormat="false" ht="15" hidden="false" customHeight="true" outlineLevel="0" collapsed="false">
      <c r="A15" s="45" t="s">
        <v>243</v>
      </c>
      <c r="B15" s="46" t="n">
        <v>5300.171</v>
      </c>
      <c r="C15" s="46" t="n">
        <v>5373.629</v>
      </c>
      <c r="D15" s="36" t="n">
        <v>7487.233</v>
      </c>
    </row>
    <row r="16" customFormat="false" ht="15" hidden="false" customHeight="true" outlineLevel="0" collapsed="false">
      <c r="A16" s="51" t="s">
        <v>244</v>
      </c>
      <c r="B16" s="52" t="n">
        <f aca="false">B11+B12-B15</f>
        <v>33587.395</v>
      </c>
      <c r="C16" s="52" t="n">
        <f aca="false">C11+C12-C15</f>
        <v>30597.132</v>
      </c>
      <c r="D16" s="37" t="n">
        <f aca="false">D11+D12-D15</f>
        <v>31089.042</v>
      </c>
    </row>
    <row r="17" customFormat="false" ht="15" hidden="false" customHeight="true" outlineLevel="0" collapsed="false">
      <c r="A17" s="45" t="s">
        <v>245</v>
      </c>
      <c r="B17" s="46" t="s">
        <v>246</v>
      </c>
      <c r="C17" s="46" t="s">
        <v>246</v>
      </c>
      <c r="D17" s="36" t="n">
        <f aca="false">D16+Assumptions!B22</f>
        <v>36273.042</v>
      </c>
    </row>
    <row r="18" customFormat="false" ht="15" hidden="false" customHeight="true" outlineLevel="0" collapsed="false">
      <c r="A18" s="3"/>
      <c r="B18" s="53"/>
      <c r="C18" s="53"/>
      <c r="D18" s="53"/>
    </row>
    <row r="19" customFormat="false" ht="15" hidden="false" customHeight="true" outlineLevel="0" collapsed="false">
      <c r="A19" s="5" t="s">
        <v>247</v>
      </c>
      <c r="B19" s="53"/>
      <c r="C19" s="53"/>
      <c r="D19" s="53"/>
    </row>
    <row r="20" customFormat="false" ht="15" hidden="false" customHeight="true" outlineLevel="0" collapsed="false">
      <c r="A20" s="44" t="s">
        <v>248</v>
      </c>
      <c r="B20" s="54" t="n">
        <f aca="false">B7-B10-B13-B14</f>
        <v>1.1397105481592E-011</v>
      </c>
      <c r="C20" s="54" t="n">
        <f aca="false">C7-C10-C13-C14</f>
        <v>-2.67164068645798E-012</v>
      </c>
      <c r="D20" s="54" t="n">
        <f aca="false">D7-D10-D13-D14</f>
        <v>-2.50111042987555E-012</v>
      </c>
    </row>
    <row r="21" customFormat="false" ht="15" hidden="false" customHeight="true" outlineLevel="0" collapsed="false">
      <c r="A21" s="3"/>
      <c r="B21" s="53"/>
      <c r="C21" s="53"/>
      <c r="D21" s="53"/>
    </row>
    <row r="22" customFormat="false" ht="15" hidden="false" customHeight="true" outlineLevel="0" collapsed="false">
      <c r="A22" s="30" t="s">
        <v>249</v>
      </c>
      <c r="B22" s="53"/>
      <c r="C22" s="53"/>
      <c r="D22" s="53"/>
    </row>
    <row r="23" customFormat="false" ht="15" hidden="false" customHeight="true" outlineLevel="0" collapsed="false">
      <c r="A23" s="30" t="s">
        <v>250</v>
      </c>
      <c r="B23" s="53"/>
      <c r="C23" s="53"/>
      <c r="D23" s="53"/>
    </row>
    <row r="24" customFormat="false" ht="15" hidden="false" customHeight="true" outlineLevel="0" collapsed="false">
      <c r="A24" s="3"/>
      <c r="B24" s="3"/>
      <c r="C24" s="3"/>
      <c r="D24" s="53"/>
    </row>
    <row r="25" customFormat="false" ht="15" hidden="false" customHeight="true" outlineLevel="0" collapsed="false">
      <c r="A25" s="3"/>
      <c r="B25" s="3"/>
      <c r="C25" s="3"/>
      <c r="D25" s="3"/>
    </row>
    <row r="26" customFormat="false" ht="15" hidden="false" customHeight="true" outlineLevel="0" collapsed="false">
      <c r="A26" s="3"/>
      <c r="B26" s="3"/>
      <c r="C26" s="3"/>
      <c r="D2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4" min="2" style="1" width="14"/>
  </cols>
  <sheetData>
    <row r="1" customFormat="false" ht="15.75" hidden="false" customHeight="true" outlineLevel="0" collapsed="false">
      <c r="A1" s="4" t="s">
        <v>251</v>
      </c>
      <c r="B1" s="3"/>
      <c r="C1" s="3"/>
      <c r="D1" s="3"/>
    </row>
    <row r="2" customFormat="false" ht="15" hidden="false" customHeight="true" outlineLevel="0" collapsed="false">
      <c r="A2" s="5" t="s">
        <v>252</v>
      </c>
      <c r="B2" s="3"/>
      <c r="C2" s="3"/>
      <c r="D2" s="3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43" t="s">
        <v>159</v>
      </c>
      <c r="B4" s="43" t="s">
        <v>216</v>
      </c>
      <c r="C4" s="43" t="s">
        <v>217</v>
      </c>
      <c r="D4" s="44" t="s">
        <v>218</v>
      </c>
    </row>
    <row r="5" customFormat="false" ht="15" hidden="false" customHeight="true" outlineLevel="0" collapsed="false">
      <c r="A5" s="45" t="s">
        <v>253</v>
      </c>
      <c r="B5" s="46" t="n">
        <v>16517.646</v>
      </c>
      <c r="C5" s="46" t="n">
        <v>17435.409</v>
      </c>
      <c r="D5" s="36" t="n">
        <v>21850.477</v>
      </c>
    </row>
    <row r="6" customFormat="false" ht="15" hidden="false" customHeight="true" outlineLevel="0" collapsed="false">
      <c r="A6" s="45" t="s">
        <v>254</v>
      </c>
      <c r="B6" s="46" t="n">
        <v>-6804.683</v>
      </c>
      <c r="C6" s="46" t="n">
        <v>-9267.317</v>
      </c>
      <c r="D6" s="36" t="n">
        <v>-10590.21</v>
      </c>
    </row>
    <row r="7" customFormat="false" ht="18" hidden="false" customHeight="true" outlineLevel="0" collapsed="false">
      <c r="A7" s="47" t="s">
        <v>255</v>
      </c>
      <c r="B7" s="48" t="n">
        <f aca="false">B5+B6</f>
        <v>9712.963</v>
      </c>
      <c r="C7" s="55" t="n">
        <f aca="false">C5+C6</f>
        <v>8168.092</v>
      </c>
      <c r="D7" s="37" t="n">
        <f aca="false">D5+D6</f>
        <v>11260.267</v>
      </c>
    </row>
    <row r="8" customFormat="false" ht="15" hidden="false" customHeight="true" outlineLevel="0" collapsed="false">
      <c r="A8" s="45" t="s">
        <v>256</v>
      </c>
      <c r="B8" s="46" t="n">
        <v>-2377.823</v>
      </c>
      <c r="C8" s="46" t="n">
        <v>-2577.233</v>
      </c>
      <c r="D8" s="36" t="n">
        <v>-2203.097</v>
      </c>
    </row>
    <row r="9" customFormat="false" ht="15" hidden="false" customHeight="true" outlineLevel="0" collapsed="false">
      <c r="A9" s="45" t="s">
        <v>257</v>
      </c>
      <c r="B9" s="46" t="n">
        <v>-7870</v>
      </c>
      <c r="C9" s="46" t="n">
        <v>-6200</v>
      </c>
      <c r="D9" s="36" t="n">
        <v>-6200</v>
      </c>
    </row>
    <row r="10" customFormat="false" ht="15" hidden="false" customHeight="true" outlineLevel="0" collapsed="false">
      <c r="A10" s="45" t="s">
        <v>258</v>
      </c>
      <c r="B10" s="46" t="n">
        <v>-378.23</v>
      </c>
      <c r="C10" s="46" t="n">
        <v>-385.236</v>
      </c>
      <c r="D10" s="36" t="n">
        <v>-1160.422</v>
      </c>
    </row>
    <row r="11" customFormat="false" ht="15" hidden="false" customHeight="true" outlineLevel="0" collapsed="false">
      <c r="A11" s="45" t="s">
        <v>259</v>
      </c>
      <c r="B11" s="46" t="n">
        <v>-4775.778</v>
      </c>
      <c r="C11" s="46" t="n">
        <v>-6933.156</v>
      </c>
      <c r="D11" s="36" t="n">
        <v>-14415</v>
      </c>
    </row>
    <row r="12" customFormat="false" ht="15" hidden="false" customHeight="true" outlineLevel="0" collapsed="false">
      <c r="A12" s="45" t="s">
        <v>260</v>
      </c>
      <c r="B12" s="46" t="n">
        <v>-11805.847</v>
      </c>
      <c r="C12" s="46" t="n">
        <v>-9786.941</v>
      </c>
      <c r="D12" s="36" t="n">
        <v>-5322</v>
      </c>
    </row>
    <row r="13" customFormat="false" ht="15" hidden="false" customHeight="true" outlineLevel="0" collapsed="false">
      <c r="A13" s="47" t="s">
        <v>261</v>
      </c>
      <c r="B13" s="48" t="n">
        <v>4658.317</v>
      </c>
      <c r="C13" s="48" t="n">
        <v>5373.629</v>
      </c>
      <c r="D13" s="37" t="n">
        <v>7487.233</v>
      </c>
    </row>
    <row r="14" customFormat="false" ht="33" hidden="false" customHeight="true" outlineLevel="0" collapsed="false">
      <c r="A14" s="44" t="s">
        <v>262</v>
      </c>
      <c r="B14" s="54" t="n">
        <f aca="false">B13-4722.296-B5-B11-B12</f>
        <v>0</v>
      </c>
      <c r="C14" s="56" t="n">
        <f aca="false">C13-B13-C5-C11-C12</f>
        <v>0</v>
      </c>
      <c r="D14" s="54" t="n">
        <f aca="false">D13-C13-D5-D11-D12</f>
        <v>0.127000000000407</v>
      </c>
    </row>
    <row r="15" customFormat="false" ht="15" hidden="false" customHeight="true" outlineLevel="0" collapsed="false">
      <c r="A15" s="30" t="s">
        <v>263</v>
      </c>
      <c r="B15" s="57"/>
      <c r="C15" s="3"/>
      <c r="D15" s="3"/>
    </row>
    <row r="16" customFormat="false" ht="15" hidden="false" customHeight="true" outlineLevel="0" collapsed="false">
      <c r="A16" s="2" t="s">
        <v>264</v>
      </c>
      <c r="B16" s="57"/>
      <c r="C16" s="3"/>
      <c r="D16" s="3"/>
    </row>
    <row r="17" customFormat="false" ht="33" hidden="false" customHeight="true" outlineLevel="0" collapsed="false">
      <c r="A17" s="44" t="s">
        <v>265</v>
      </c>
      <c r="B17" s="57" t="n">
        <v>1.46048387096774</v>
      </c>
      <c r="C17" s="58" t="s">
        <v>266</v>
      </c>
    </row>
    <row r="18" customFormat="false" ht="33" hidden="false" customHeight="true" outlineLevel="0" collapsed="false">
      <c r="A18" s="25" t="s">
        <v>267</v>
      </c>
      <c r="B18" s="59" t="n">
        <f aca="false">'Income Statement'!D15/(-D9-D10)</f>
        <v>1.23027511194331</v>
      </c>
      <c r="C18" s="35" t="s">
        <v>268</v>
      </c>
    </row>
    <row r="19" customFormat="false" ht="33" hidden="false" customHeight="true" outlineLevel="0" collapsed="false">
      <c r="A19" s="25" t="s">
        <v>269</v>
      </c>
      <c r="B19" s="59" t="n">
        <f aca="false">'Income Statement'!D17/(-D9)</f>
        <v>1.34627209677419</v>
      </c>
      <c r="C19" s="35" t="s">
        <v>270</v>
      </c>
    </row>
    <row r="20" customFormat="false" ht="76.5" hidden="false" customHeight="true" outlineLevel="0" collapsed="false">
      <c r="A20" s="25" t="s">
        <v>271</v>
      </c>
      <c r="B20" s="59" t="n">
        <f aca="false">'Income Statement'!D15/6200</f>
        <v>1.46053935483871</v>
      </c>
      <c r="C20" s="35" t="s">
        <v>272</v>
      </c>
    </row>
    <row r="21" customFormat="false" ht="15" hidden="false" customHeight="true" outlineLevel="0" collapsed="false">
      <c r="A21" s="30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96F36"/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6"/>
    <col collapsed="false" customWidth="true" hidden="false" outlineLevel="0" max="4" min="4" style="1" width="30"/>
  </cols>
  <sheetData>
    <row r="1" customFormat="false" ht="15.75" hidden="false" customHeight="true" outlineLevel="0" collapsed="false">
      <c r="A1" s="4" t="s">
        <v>274</v>
      </c>
    </row>
    <row r="2" customFormat="false" ht="15" hidden="false" customHeight="true" outlineLevel="0" collapsed="false">
      <c r="A2" s="5" t="s">
        <v>275</v>
      </c>
    </row>
    <row r="4" customFormat="false" ht="15" hidden="false" customHeight="true" outlineLevel="0" collapsed="false">
      <c r="A4" s="2" t="s">
        <v>276</v>
      </c>
    </row>
    <row r="5" customFormat="false" ht="15" hidden="false" customHeight="true" outlineLevel="0" collapsed="false">
      <c r="A5" s="6" t="s">
        <v>277</v>
      </c>
      <c r="B5" s="6" t="s">
        <v>218</v>
      </c>
      <c r="C5" s="6" t="s">
        <v>278</v>
      </c>
      <c r="D5" s="6" t="s">
        <v>279</v>
      </c>
    </row>
    <row r="6" customFormat="false" ht="15" hidden="false" customHeight="true" outlineLevel="0" collapsed="false">
      <c r="A6" s="10" t="s">
        <v>280</v>
      </c>
      <c r="B6" s="32" t="n">
        <v>17979</v>
      </c>
      <c r="C6" s="32" t="n">
        <v>17167</v>
      </c>
      <c r="D6" s="10" t="s">
        <v>281</v>
      </c>
    </row>
    <row r="7" customFormat="false" ht="15" hidden="false" customHeight="true" outlineLevel="0" collapsed="false">
      <c r="A7" s="10" t="s">
        <v>282</v>
      </c>
      <c r="B7" s="32" t="n">
        <v>3860</v>
      </c>
      <c r="C7" s="10"/>
      <c r="D7" s="10" t="s">
        <v>283</v>
      </c>
    </row>
    <row r="8" customFormat="false" ht="15" hidden="false" customHeight="true" outlineLevel="0" collapsed="false">
      <c r="A8" s="10" t="s">
        <v>284</v>
      </c>
      <c r="B8" s="7" t="n">
        <v>62.21</v>
      </c>
      <c r="C8" s="7" t="n">
        <v>59.19</v>
      </c>
      <c r="D8" s="10" t="s">
        <v>285</v>
      </c>
    </row>
    <row r="9" customFormat="false" ht="15" hidden="false" customHeight="true" outlineLevel="0" collapsed="false">
      <c r="A9" s="10" t="s">
        <v>286</v>
      </c>
      <c r="B9" s="7" t="n">
        <v>10.1</v>
      </c>
      <c r="C9" s="7" t="n">
        <v>6.63</v>
      </c>
      <c r="D9" s="10" t="s">
        <v>287</v>
      </c>
    </row>
    <row r="10" customFormat="false" ht="15" hidden="false" customHeight="true" outlineLevel="0" collapsed="false">
      <c r="A10" s="10" t="s">
        <v>288</v>
      </c>
      <c r="B10" s="32" t="n">
        <v>11391</v>
      </c>
      <c r="C10" s="32" t="n">
        <v>10764</v>
      </c>
      <c r="D10" s="10" t="s">
        <v>289</v>
      </c>
    </row>
    <row r="11" customFormat="false" ht="15" hidden="false" customHeight="true" outlineLevel="0" collapsed="false">
      <c r="A11" s="10" t="s">
        <v>290</v>
      </c>
      <c r="B11" s="7" t="n">
        <v>161.505</v>
      </c>
      <c r="C11" s="7" t="n">
        <v>151.5</v>
      </c>
      <c r="D11" s="10" t="s">
        <v>291</v>
      </c>
    </row>
    <row r="12" customFormat="false" ht="15" hidden="false" customHeight="true" outlineLevel="0" collapsed="false">
      <c r="A12" s="10" t="s">
        <v>292</v>
      </c>
      <c r="B12" s="10" t="n">
        <v>487</v>
      </c>
      <c r="C12" s="10" t="n">
        <v>455</v>
      </c>
      <c r="D12" s="10" t="s">
        <v>293</v>
      </c>
    </row>
    <row r="13" customFormat="false" ht="15" hidden="false" customHeight="true" outlineLevel="0" collapsed="false">
      <c r="A13" s="10" t="s">
        <v>294</v>
      </c>
      <c r="B13" s="10" t="n">
        <v>555</v>
      </c>
      <c r="C13" s="10"/>
      <c r="D13" s="10"/>
    </row>
    <row r="14" customFormat="false" ht="15" hidden="false" customHeight="true" outlineLevel="0" collapsed="false">
      <c r="A14" s="10" t="s">
        <v>295</v>
      </c>
      <c r="B14" s="32" t="n">
        <v>1327182</v>
      </c>
      <c r="C14" s="32" t="n">
        <v>1270273</v>
      </c>
      <c r="D14" s="10" t="s">
        <v>296</v>
      </c>
    </row>
    <row r="15" customFormat="false" ht="15" hidden="false" customHeight="true" outlineLevel="0" collapsed="false">
      <c r="A15" s="10" t="s">
        <v>297</v>
      </c>
      <c r="B15" s="10" t="s">
        <v>298</v>
      </c>
      <c r="C15" s="10"/>
      <c r="D15" s="10" t="s">
        <v>299</v>
      </c>
    </row>
    <row r="16" customFormat="false" ht="15" hidden="false" customHeight="true" outlineLevel="0" collapsed="false">
      <c r="A16" s="10" t="s">
        <v>300</v>
      </c>
      <c r="B16" s="7" t="n">
        <v>0.82</v>
      </c>
      <c r="C16" s="10"/>
      <c r="D16" s="10" t="s">
        <v>301</v>
      </c>
    </row>
    <row r="18" customFormat="false" ht="15" hidden="false" customHeight="true" outlineLevel="0" collapsed="false">
      <c r="A18" s="2" t="s">
        <v>302</v>
      </c>
    </row>
    <row r="19" customFormat="false" ht="15" hidden="false" customHeight="true" outlineLevel="0" collapsed="false">
      <c r="A19" s="6" t="s">
        <v>277</v>
      </c>
      <c r="B19" s="6" t="s">
        <v>303</v>
      </c>
      <c r="C19" s="6" t="s">
        <v>304</v>
      </c>
    </row>
    <row r="20" customFormat="false" ht="15" hidden="false" customHeight="true" outlineLevel="0" collapsed="false">
      <c r="A20" s="10" t="s">
        <v>305</v>
      </c>
      <c r="B20" s="7" t="n">
        <v>11.09</v>
      </c>
      <c r="C20" s="10" t="s">
        <v>306</v>
      </c>
    </row>
    <row r="21" customFormat="false" ht="15" hidden="false" customHeight="true" outlineLevel="0" collapsed="false">
      <c r="A21" s="10" t="s">
        <v>307</v>
      </c>
      <c r="B21" s="7" t="n">
        <v>37.57</v>
      </c>
      <c r="C21" s="10"/>
    </row>
    <row r="22" customFormat="false" ht="15" hidden="false" customHeight="true" outlineLevel="0" collapsed="false">
      <c r="A22" s="10" t="s">
        <v>295</v>
      </c>
      <c r="B22" s="32" t="n">
        <v>1347000</v>
      </c>
      <c r="C22" s="10" t="s">
        <v>308</v>
      </c>
    </row>
    <row r="24" customFormat="false" ht="15" hidden="false" customHeight="true" outlineLevel="0" collapsed="false">
      <c r="A24" s="2" t="s">
        <v>309</v>
      </c>
    </row>
    <row r="25" customFormat="false" ht="15" hidden="false" customHeight="true" outlineLevel="0" collapsed="false">
      <c r="A25" s="6" t="s">
        <v>310</v>
      </c>
      <c r="B25" s="6" t="s">
        <v>311</v>
      </c>
      <c r="C25" s="6" t="s">
        <v>312</v>
      </c>
    </row>
    <row r="26" customFormat="false" ht="15" hidden="false" customHeight="true" outlineLevel="0" collapsed="false">
      <c r="A26" s="10" t="s">
        <v>313</v>
      </c>
      <c r="B26" s="32" t="n">
        <v>23000</v>
      </c>
      <c r="C26" s="9" t="n">
        <f aca="false">B26/17979-1</f>
        <v>0.279270259747483</v>
      </c>
    </row>
    <row r="27" customFormat="false" ht="15" hidden="false" customHeight="true" outlineLevel="0" collapsed="false">
      <c r="A27" s="10" t="s">
        <v>314</v>
      </c>
      <c r="B27" s="32" t="n">
        <v>8300</v>
      </c>
      <c r="C27" s="10"/>
    </row>
    <row r="28" customFormat="false" ht="15" hidden="false" customHeight="true" outlineLevel="0" collapsed="false">
      <c r="A28" s="10" t="s">
        <v>315</v>
      </c>
      <c r="B28" s="32" t="n">
        <v>735</v>
      </c>
      <c r="C28" s="10"/>
    </row>
    <row r="29" customFormat="false" ht="15" hidden="false" customHeight="true" outlineLevel="0" collapsed="false">
      <c r="A29" s="10" t="s">
        <v>316</v>
      </c>
      <c r="B29" s="32" t="n">
        <v>308</v>
      </c>
      <c r="C29" s="10"/>
    </row>
    <row r="31" customFormat="false" ht="15" hidden="false" customHeight="true" outlineLevel="0" collapsed="false">
      <c r="A31" s="2" t="s">
        <v>317</v>
      </c>
    </row>
    <row r="32" customFormat="false" ht="15" hidden="false" customHeight="true" outlineLevel="0" collapsed="false">
      <c r="A32" s="3" t="s">
        <v>318</v>
      </c>
    </row>
    <row r="33" customFormat="false" ht="15" hidden="false" customHeight="true" outlineLevel="0" collapsed="false">
      <c r="A33" s="3" t="s">
        <v>319</v>
      </c>
    </row>
    <row r="34" customFormat="false" ht="15" hidden="false" customHeight="true" outlineLevel="0" collapsed="false">
      <c r="A34" s="3" t="s">
        <v>320</v>
      </c>
    </row>
    <row r="35" customFormat="false" ht="15" hidden="false" customHeight="true" outlineLevel="0" collapsed="false">
      <c r="A35" s="3" t="s">
        <v>321</v>
      </c>
    </row>
    <row r="37" customFormat="false" ht="15" hidden="false" customHeight="true" outlineLevel="0" collapsed="false">
      <c r="A37" s="2" t="s">
        <v>322</v>
      </c>
    </row>
    <row r="38" customFormat="false" ht="15" hidden="false" customHeight="true" outlineLevel="0" collapsed="false">
      <c r="A38" s="6" t="s">
        <v>323</v>
      </c>
      <c r="B38" s="6" t="s">
        <v>324</v>
      </c>
      <c r="C38" s="6" t="s">
        <v>325</v>
      </c>
    </row>
    <row r="39" customFormat="false" ht="76.5" hidden="false" customHeight="true" outlineLevel="0" collapsed="false">
      <c r="A39" s="10" t="s">
        <v>326</v>
      </c>
      <c r="B39" s="10" t="s">
        <v>327</v>
      </c>
      <c r="C39" s="19" t="s">
        <v>328</v>
      </c>
    </row>
    <row r="40" customFormat="false" ht="18" hidden="false" customHeight="true" outlineLevel="0" collapsed="false">
      <c r="A40" s="10" t="s">
        <v>329</v>
      </c>
      <c r="B40" s="10" t="s">
        <v>330</v>
      </c>
      <c r="C40" s="19" t="s">
        <v>331</v>
      </c>
    </row>
    <row r="41" customFormat="false" ht="47.25" hidden="false" customHeight="true" outlineLevel="0" collapsed="false">
      <c r="A41" s="10" t="s">
        <v>332</v>
      </c>
      <c r="B41" s="10" t="s">
        <v>330</v>
      </c>
      <c r="C41" s="19" t="s">
        <v>333</v>
      </c>
    </row>
    <row r="42" customFormat="false" ht="47.25" hidden="false" customHeight="true" outlineLevel="0" collapsed="false">
      <c r="A42" s="10" t="s">
        <v>334</v>
      </c>
      <c r="B42" s="10" t="s">
        <v>330</v>
      </c>
      <c r="C42" s="19" t="s">
        <v>335</v>
      </c>
    </row>
    <row r="43" customFormat="false" ht="61.5" hidden="false" customHeight="true" outlineLevel="0" collapsed="false">
      <c r="A43" s="10" t="s">
        <v>336</v>
      </c>
      <c r="B43" s="10" t="s">
        <v>337</v>
      </c>
      <c r="C43" s="19" t="s">
        <v>338</v>
      </c>
    </row>
    <row r="44" customFormat="false" ht="33" hidden="false" customHeight="true" outlineLevel="0" collapsed="false">
      <c r="A44" s="10" t="s">
        <v>339</v>
      </c>
      <c r="B44" s="10" t="s">
        <v>340</v>
      </c>
      <c r="C44" s="19" t="s">
        <v>341</v>
      </c>
    </row>
    <row r="45" customFormat="false" ht="33" hidden="false" customHeight="true" outlineLevel="0" collapsed="false">
      <c r="A45" s="10" t="s">
        <v>342</v>
      </c>
      <c r="B45" s="10" t="s">
        <v>340</v>
      </c>
      <c r="C45" s="19" t="s">
        <v>343</v>
      </c>
    </row>
    <row r="46" customFormat="false" ht="33" hidden="false" customHeight="true" outlineLevel="0" collapsed="false">
      <c r="A46" s="10" t="s">
        <v>344</v>
      </c>
      <c r="B46" s="10" t="s">
        <v>345</v>
      </c>
      <c r="C46" s="19" t="s">
        <v>346</v>
      </c>
    </row>
    <row r="47" customFormat="false" ht="61.5" hidden="false" customHeight="true" outlineLevel="0" collapsed="false">
      <c r="A47" s="10" t="s">
        <v>347</v>
      </c>
      <c r="B47" s="10" t="s">
        <v>330</v>
      </c>
      <c r="C47" s="19" t="s">
        <v>348</v>
      </c>
    </row>
    <row r="49" customFormat="false" ht="15" hidden="false" customHeight="true" outlineLevel="0" collapsed="false">
      <c r="A49" s="2" t="s">
        <v>349</v>
      </c>
    </row>
    <row r="50" customFormat="false" ht="15" hidden="false" customHeight="true" outlineLevel="0" collapsed="false">
      <c r="A50" s="10" t="s">
        <v>350</v>
      </c>
      <c r="B50" s="10" t="s">
        <v>351</v>
      </c>
    </row>
    <row r="51" customFormat="false" ht="15" hidden="false" customHeight="true" outlineLevel="0" collapsed="false">
      <c r="A51" s="10" t="s">
        <v>352</v>
      </c>
      <c r="B51" s="32" t="n">
        <v>5184</v>
      </c>
    </row>
    <row r="52" customFormat="false" ht="15" hidden="false" customHeight="true" outlineLevel="0" collapsed="false">
      <c r="A52" s="10" t="s">
        <v>353</v>
      </c>
      <c r="B52" s="32" t="n">
        <v>17900</v>
      </c>
    </row>
    <row r="53" customFormat="false" ht="15" hidden="false" customHeight="true" outlineLevel="0" collapsed="false">
      <c r="A53" s="10" t="s">
        <v>354</v>
      </c>
      <c r="B53" s="10" t="s">
        <v>355</v>
      </c>
    </row>
    <row r="54" customFormat="false" ht="15" hidden="false" customHeight="true" outlineLevel="0" collapsed="false">
      <c r="A54" s="10" t="s">
        <v>356</v>
      </c>
      <c r="B54" s="9" t="n">
        <v>0.0543</v>
      </c>
    </row>
    <row r="55" customFormat="false" ht="15" hidden="false" customHeight="true" outlineLevel="0" collapsed="false">
      <c r="A55" s="10" t="s">
        <v>357</v>
      </c>
      <c r="B55" s="10" t="s">
        <v>358</v>
      </c>
    </row>
    <row r="56" customFormat="false" ht="15" hidden="false" customHeight="true" outlineLevel="0" collapsed="false">
      <c r="A56" s="10" t="s">
        <v>359</v>
      </c>
      <c r="B56" s="10" t="s">
        <v>360</v>
      </c>
    </row>
    <row r="58" customFormat="false" ht="15" hidden="false" customHeight="true" outlineLevel="0" collapsed="false">
      <c r="A58" s="2" t="s">
        <v>361</v>
      </c>
    </row>
    <row r="59" customFormat="false" ht="15" hidden="false" customHeight="true" outlineLevel="0" collapsed="false">
      <c r="A59" s="6"/>
      <c r="B59" s="6" t="s">
        <v>362</v>
      </c>
      <c r="C59" s="6" t="s">
        <v>363</v>
      </c>
      <c r="D59" s="6" t="s">
        <v>364</v>
      </c>
    </row>
    <row r="60" customFormat="false" ht="15" hidden="false" customHeight="true" outlineLevel="0" collapsed="false">
      <c r="A60" s="10" t="s">
        <v>365</v>
      </c>
      <c r="B60" s="32" t="n">
        <v>89349</v>
      </c>
      <c r="C60" s="32" t="n">
        <v>5639</v>
      </c>
      <c r="D60" s="32" t="n">
        <v>94988</v>
      </c>
    </row>
    <row r="61" customFormat="false" ht="15" hidden="false" customHeight="true" outlineLevel="0" collapsed="false">
      <c r="A61" s="10" t="s">
        <v>366</v>
      </c>
      <c r="B61" s="32" t="n">
        <v>8347</v>
      </c>
      <c r="C61" s="32" t="n">
        <v>708</v>
      </c>
      <c r="D61" s="32" t="n">
        <v>9055</v>
      </c>
    </row>
    <row r="62" customFormat="false" ht="15" hidden="false" customHeight="true" outlineLevel="0" collapsed="false">
      <c r="A62" s="10" t="s">
        <v>367</v>
      </c>
      <c r="B62" s="32" t="n">
        <v>-528</v>
      </c>
      <c r="C62" s="32" t="n">
        <v>-519</v>
      </c>
      <c r="D62" s="32" t="n">
        <v>-1046</v>
      </c>
    </row>
    <row r="63" customFormat="false" ht="15" hidden="false" customHeight="true" outlineLevel="0" collapsed="false">
      <c r="A63" s="10" t="s">
        <v>368</v>
      </c>
      <c r="B63" s="32" t="n">
        <v>48</v>
      </c>
      <c r="C63" s="32" t="n">
        <v>2118</v>
      </c>
      <c r="D63" s="32" t="n">
        <v>2166</v>
      </c>
    </row>
    <row r="64" customFormat="false" ht="15" hidden="false" customHeight="true" outlineLevel="0" collapsed="false">
      <c r="A64" s="10" t="s">
        <v>369</v>
      </c>
      <c r="B64" s="32" t="n">
        <v>0</v>
      </c>
      <c r="C64" s="32" t="n">
        <v>-32</v>
      </c>
      <c r="D64" s="32" t="n">
        <v>-32</v>
      </c>
    </row>
    <row r="65" customFormat="false" ht="15" hidden="false" customHeight="true" outlineLevel="0" collapsed="false">
      <c r="A65" s="10" t="s">
        <v>370</v>
      </c>
      <c r="B65" s="32" t="n">
        <v>-6200</v>
      </c>
      <c r="C65" s="32" t="n">
        <v>-1160</v>
      </c>
      <c r="D65" s="32" t="n">
        <v>-7360</v>
      </c>
    </row>
    <row r="66" customFormat="false" ht="15" hidden="false" customHeight="true" outlineLevel="0" collapsed="false">
      <c r="A66" s="60" t="s">
        <v>371</v>
      </c>
      <c r="B66" s="61" t="n">
        <v>91017</v>
      </c>
      <c r="C66" s="61" t="n">
        <v>6753</v>
      </c>
      <c r="D66" s="61" t="n">
        <v>97770</v>
      </c>
    </row>
    <row r="68" customFormat="false" ht="15" hidden="false" customHeight="true" outlineLevel="0" collapsed="false">
      <c r="A68" s="5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5" min="2" style="1" width="15"/>
  </cols>
  <sheetData>
    <row r="1" customFormat="false" ht="15.75" hidden="false" customHeight="true" outlineLevel="0" collapsed="false">
      <c r="A1" s="4" t="s">
        <v>373</v>
      </c>
    </row>
    <row r="2" customFormat="false" ht="15" hidden="false" customHeight="true" outlineLevel="0" collapsed="false">
      <c r="A2" s="5" t="s">
        <v>374</v>
      </c>
    </row>
    <row r="4" customFormat="false" ht="15" hidden="false" customHeight="true" outlineLevel="0" collapsed="false">
      <c r="A4" s="2" t="s">
        <v>375</v>
      </c>
    </row>
    <row r="5" customFormat="false" ht="15" hidden="false" customHeight="true" outlineLevel="0" collapsed="false">
      <c r="A5" s="3" t="s">
        <v>376</v>
      </c>
      <c r="B5" s="7" t="n">
        <v>2.79</v>
      </c>
    </row>
    <row r="6" customFormat="false" ht="15" hidden="false" customHeight="true" outlineLevel="0" collapsed="false">
      <c r="A6" s="3" t="s">
        <v>377</v>
      </c>
      <c r="B6" s="33" t="n">
        <v>0.0365</v>
      </c>
    </row>
    <row r="7" customFormat="false" ht="15" hidden="false" customHeight="true" outlineLevel="0" collapsed="false">
      <c r="A7" s="3" t="s">
        <v>378</v>
      </c>
      <c r="B7" s="33" t="n">
        <v>0.0444444444444445</v>
      </c>
    </row>
    <row r="8" customFormat="false" ht="15" hidden="false" customHeight="true" outlineLevel="0" collapsed="false">
      <c r="A8" s="3" t="s">
        <v>379</v>
      </c>
      <c r="B8" s="62" t="n">
        <v>10</v>
      </c>
    </row>
    <row r="9" customFormat="false" ht="15" hidden="false" customHeight="true" outlineLevel="0" collapsed="false">
      <c r="A9" s="3" t="s">
        <v>380</v>
      </c>
      <c r="B9" s="23" t="n">
        <v>1.049</v>
      </c>
    </row>
    <row r="10" customFormat="false" ht="15" hidden="false" customHeight="true" outlineLevel="0" collapsed="false">
      <c r="A10" s="3" t="s">
        <v>381</v>
      </c>
      <c r="B10" s="9" t="n">
        <v>0.226988622555781</v>
      </c>
    </row>
    <row r="11" customFormat="false" ht="15" hidden="false" customHeight="true" outlineLevel="0" collapsed="false">
      <c r="A11" s="3" t="s">
        <v>382</v>
      </c>
      <c r="B11" s="33" t="n">
        <v>-0.00181796643953372</v>
      </c>
    </row>
    <row r="12" customFormat="false" ht="15" hidden="false" customHeight="true" outlineLevel="0" collapsed="false">
      <c r="A12" s="3" t="s">
        <v>383</v>
      </c>
      <c r="B12" s="33" t="n">
        <v>0.007</v>
      </c>
    </row>
    <row r="13" customFormat="false" ht="15" hidden="false" customHeight="true" outlineLevel="0" collapsed="false">
      <c r="A13" s="3" t="s">
        <v>384</v>
      </c>
      <c r="B13" s="33" t="n">
        <v>0.00518203356046629</v>
      </c>
    </row>
    <row r="15" customFormat="false" ht="15" hidden="false" customHeight="true" outlineLevel="0" collapsed="false">
      <c r="A15" s="6" t="s">
        <v>385</v>
      </c>
      <c r="B15" s="6" t="s">
        <v>386</v>
      </c>
      <c r="C15" s="6" t="s">
        <v>387</v>
      </c>
      <c r="D15" s="6" t="s">
        <v>388</v>
      </c>
      <c r="E15" s="6" t="s">
        <v>389</v>
      </c>
      <c r="F15" s="6" t="s">
        <v>390</v>
      </c>
    </row>
    <row r="16" customFormat="false" ht="15" hidden="false" customHeight="true" outlineLevel="0" collapsed="false">
      <c r="A16" s="2" t="s">
        <v>391</v>
      </c>
      <c r="B16" s="7" t="n">
        <v>2.508</v>
      </c>
      <c r="C16" s="7" t="n">
        <v>2.681</v>
      </c>
      <c r="D16" s="7" t="n">
        <v>2.795</v>
      </c>
      <c r="E16" s="7" t="n">
        <v>2.914</v>
      </c>
      <c r="F16" s="7" t="n">
        <v>3.109</v>
      </c>
    </row>
    <row r="17" customFormat="false" ht="15" hidden="false" customHeight="true" outlineLevel="0" collapsed="false">
      <c r="A17" s="2" t="s">
        <v>392</v>
      </c>
      <c r="B17" s="7" t="n">
        <v>2.33</v>
      </c>
      <c r="C17" s="7" t="n">
        <v>2.611</v>
      </c>
      <c r="D17" s="7" t="n">
        <v>2.806</v>
      </c>
      <c r="E17" s="7" t="n">
        <v>3.015</v>
      </c>
      <c r="F17" s="7" t="n">
        <v>3.388</v>
      </c>
    </row>
    <row r="19" customFormat="false" ht="15" hidden="false" customHeight="true" outlineLevel="0" collapsed="false">
      <c r="A19" s="44" t="s">
        <v>393</v>
      </c>
    </row>
    <row r="20" customFormat="false" ht="15" hidden="false" customHeight="true" outlineLevel="0" collapsed="false">
      <c r="A20" s="25" t="s">
        <v>29</v>
      </c>
      <c r="B20" s="63" t="n">
        <v>0.5209</v>
      </c>
    </row>
    <row r="21" customFormat="false" ht="15" hidden="false" customHeight="true" outlineLevel="0" collapsed="false">
      <c r="A21" s="25" t="s">
        <v>394</v>
      </c>
      <c r="B21" s="63" t="n">
        <v>0.20278</v>
      </c>
    </row>
    <row r="22" customFormat="false" ht="15" hidden="false" customHeight="true" outlineLevel="0" collapsed="false">
      <c r="A22" s="25" t="s">
        <v>395</v>
      </c>
      <c r="B22" s="63" t="n">
        <v>0.1553</v>
      </c>
    </row>
    <row r="23" customFormat="false" ht="15" hidden="false" customHeight="true" outlineLevel="0" collapsed="false">
      <c r="A23" s="25" t="s">
        <v>396</v>
      </c>
      <c r="B23" s="64" t="n">
        <f aca="false">B21/B22</f>
        <v>1.30573084352865</v>
      </c>
    </row>
    <row r="24" customFormat="false" ht="15" hidden="false" customHeight="true" outlineLevel="0" collapsed="false">
      <c r="A24" s="25" t="s">
        <v>28</v>
      </c>
      <c r="B24" s="65" t="n">
        <v>2.80554597710815</v>
      </c>
    </row>
    <row r="25" customFormat="false" ht="15" hidden="false" customHeight="true" outlineLevel="0" collapsed="false">
      <c r="A25" s="25" t="s">
        <v>397</v>
      </c>
      <c r="B25" s="66" t="n">
        <v>0.00557203480578838</v>
      </c>
    </row>
    <row r="26" customFormat="false" ht="15" hidden="false" customHeight="true" outlineLevel="0" collapsed="false">
      <c r="A26" s="25" t="s">
        <v>398</v>
      </c>
      <c r="B26" s="27" t="n">
        <f aca="false">C17</f>
        <v>2.611</v>
      </c>
      <c r="C26" s="27" t="n">
        <f aca="false">E17</f>
        <v>3.015</v>
      </c>
      <c r="D26" s="67" t="n">
        <f aca="false">C17/B5</f>
        <v>0.93584229390681</v>
      </c>
      <c r="E26" s="67" t="n">
        <f aca="false">E17/B5</f>
        <v>1.08064516129032</v>
      </c>
      <c r="F26" s="30" t="s">
        <v>399</v>
      </c>
    </row>
    <row r="27" customFormat="false" ht="15" hidden="false" customHeight="true" outlineLevel="0" collapsed="false">
      <c r="A27" s="25" t="s">
        <v>400</v>
      </c>
      <c r="B27" s="26" t="n">
        <v>0.3572</v>
      </c>
      <c r="C27" s="26" t="n">
        <v>0.28424</v>
      </c>
      <c r="D27" s="30" t="s">
        <v>401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2" t="s">
        <v>402</v>
      </c>
    </row>
    <row r="30" customFormat="false" ht="15" hidden="false" customHeight="true" outlineLevel="0" collapsed="false">
      <c r="A30" s="6" t="s">
        <v>403</v>
      </c>
      <c r="B30" s="6" t="s">
        <v>404</v>
      </c>
      <c r="C30" s="6"/>
      <c r="D30" s="6"/>
      <c r="E30" s="6"/>
    </row>
    <row r="31" customFormat="false" ht="15" hidden="false" customHeight="true" outlineLevel="0" collapsed="false">
      <c r="A31" s="3" t="s">
        <v>405</v>
      </c>
      <c r="B31" s="9" t="n">
        <v>0.07854</v>
      </c>
    </row>
    <row r="32" customFormat="false" ht="15" hidden="false" customHeight="true" outlineLevel="0" collapsed="false">
      <c r="A32" s="3" t="s">
        <v>406</v>
      </c>
      <c r="B32" s="9" t="n">
        <v>0.1585</v>
      </c>
    </row>
    <row r="33" customFormat="false" ht="15" hidden="false" customHeight="true" outlineLevel="0" collapsed="false">
      <c r="A33" s="3" t="s">
        <v>407</v>
      </c>
      <c r="B33" s="9" t="n">
        <v>0.44252</v>
      </c>
    </row>
    <row r="34" customFormat="false" ht="15" hidden="false" customHeight="true" outlineLevel="0" collapsed="false">
      <c r="A34" s="3" t="s">
        <v>408</v>
      </c>
      <c r="B34" s="9" t="n">
        <v>0.2052</v>
      </c>
    </row>
    <row r="35" customFormat="false" ht="15" hidden="false" customHeight="true" outlineLevel="0" collapsed="false">
      <c r="A35" s="3" t="s">
        <v>409</v>
      </c>
      <c r="B35" s="9" t="n">
        <v>0.11524</v>
      </c>
    </row>
    <row r="36" customFormat="false" ht="15" hidden="false" customHeight="true" outlineLevel="0" collapsed="false"/>
    <row r="37" customFormat="false" ht="15" hidden="false" customHeight="true" outlineLevel="0" collapsed="false">
      <c r="A37" s="2" t="s">
        <v>410</v>
      </c>
    </row>
    <row r="38" customFormat="false" ht="15" hidden="false" customHeight="true" outlineLevel="0" collapsed="false">
      <c r="A38" s="6" t="s">
        <v>411</v>
      </c>
      <c r="B38" s="6" t="s">
        <v>412</v>
      </c>
      <c r="C38" s="6" t="s">
        <v>413</v>
      </c>
      <c r="D38" s="6"/>
      <c r="E38" s="6"/>
    </row>
    <row r="39" customFormat="false" ht="15" hidden="false" customHeight="true" outlineLevel="0" collapsed="false">
      <c r="A39" s="7" t="n">
        <v>3.3</v>
      </c>
      <c r="B39" s="9" t="n">
        <v>0.01448</v>
      </c>
      <c r="C39" s="9" t="n">
        <v>0.12626</v>
      </c>
    </row>
    <row r="40" customFormat="false" ht="15" hidden="false" customHeight="true" outlineLevel="0" collapsed="false">
      <c r="A40" s="7" t="n">
        <v>3.2</v>
      </c>
      <c r="B40" s="9" t="n">
        <v>0.03564</v>
      </c>
      <c r="C40" s="9" t="n">
        <v>0.19994</v>
      </c>
    </row>
    <row r="41" customFormat="false" ht="15" hidden="false" customHeight="true" outlineLevel="0" collapsed="false">
      <c r="A41" s="7" t="n">
        <v>3.1</v>
      </c>
      <c r="B41" s="9" t="n">
        <v>0.09086</v>
      </c>
      <c r="C41" s="9" t="n">
        <v>0.31342</v>
      </c>
    </row>
    <row r="42" customFormat="false" ht="15" hidden="false" customHeight="true" outlineLevel="0" collapsed="false">
      <c r="A42" s="7" t="n">
        <v>3</v>
      </c>
      <c r="B42" s="9" t="n">
        <v>0.2169</v>
      </c>
      <c r="C42" s="9" t="n">
        <v>0.4724</v>
      </c>
    </row>
    <row r="43" customFormat="false" ht="15" hidden="false" customHeight="true" outlineLevel="0" collapsed="false">
      <c r="A43" s="7" t="n">
        <v>2.9</v>
      </c>
      <c r="B43" s="9" t="n">
        <v>0.46464</v>
      </c>
      <c r="C43" s="9" t="n">
        <v>0.67738</v>
      </c>
    </row>
    <row r="44" customFormat="false" ht="15" hidden="false" customHeight="true" outlineLevel="0" collapsed="false">
      <c r="A44" s="7" t="n">
        <v>2.8</v>
      </c>
      <c r="B44" s="9" t="n">
        <v>0.84394</v>
      </c>
      <c r="C44" s="9" t="n">
        <v>0.91296</v>
      </c>
    </row>
    <row r="45" customFormat="false" ht="15" hidden="false" customHeight="true" outlineLevel="0" collapsed="false">
      <c r="A45" s="7" t="n">
        <v>2.7</v>
      </c>
      <c r="B45" s="9" t="n">
        <v>0.50336</v>
      </c>
      <c r="C45" s="9" t="n">
        <v>0.6903</v>
      </c>
    </row>
    <row r="46" customFormat="false" ht="15" hidden="false" customHeight="true" outlineLevel="0" collapsed="false">
      <c r="A46" s="7" t="n">
        <v>2.6</v>
      </c>
      <c r="B46" s="9" t="n">
        <v>0.21016</v>
      </c>
      <c r="C46" s="9" t="n">
        <v>0.44984</v>
      </c>
    </row>
    <row r="47" customFormat="false" ht="15" hidden="false" customHeight="true" outlineLevel="0" collapsed="false">
      <c r="A47" s="7" t="n">
        <v>2.5</v>
      </c>
      <c r="B47" s="9" t="n">
        <v>0.07248</v>
      </c>
      <c r="C47" s="9" t="n">
        <v>0.26718</v>
      </c>
    </row>
    <row r="48" customFormat="false" ht="15" hidden="false" customHeight="true" outlineLevel="0" collapsed="false">
      <c r="A48" s="7" t="n">
        <v>2.4</v>
      </c>
      <c r="B48" s="9" t="n">
        <v>0.02226</v>
      </c>
      <c r="C48" s="9" t="n">
        <v>0.1438</v>
      </c>
    </row>
    <row r="49" customFormat="false" ht="15" hidden="false" customHeight="true" outlineLevel="0" collapsed="false"/>
    <row r="50" customFormat="false" ht="15" hidden="false" customHeight="true" outlineLevel="0" collapsed="false">
      <c r="A50" s="2" t="s">
        <v>414</v>
      </c>
    </row>
    <row r="51" customFormat="false" ht="15" hidden="false" customHeight="true" outlineLevel="0" collapsed="false">
      <c r="A51" s="6" t="s">
        <v>415</v>
      </c>
      <c r="B51" s="6" t="s">
        <v>416</v>
      </c>
      <c r="C51" s="6" t="s">
        <v>417</v>
      </c>
      <c r="D51" s="6" t="s">
        <v>418</v>
      </c>
      <c r="E51" s="6"/>
    </row>
    <row r="52" customFormat="false" ht="15" hidden="false" customHeight="true" outlineLevel="0" collapsed="false">
      <c r="A52" s="3" t="s">
        <v>419</v>
      </c>
      <c r="B52" s="9" t="n">
        <v>0.9</v>
      </c>
      <c r="C52" s="9" t="n">
        <v>0.004</v>
      </c>
      <c r="D52" s="33" t="n">
        <f aca="false">B52*C52</f>
        <v>0.0036</v>
      </c>
    </row>
    <row r="53" customFormat="false" ht="15" hidden="false" customHeight="true" outlineLevel="0" collapsed="false">
      <c r="A53" s="3" t="s">
        <v>420</v>
      </c>
      <c r="B53" s="9" t="n">
        <v>0.9</v>
      </c>
      <c r="C53" s="9" t="n">
        <v>0.002</v>
      </c>
      <c r="D53" s="33" t="n">
        <f aca="false">B53*C53</f>
        <v>0.0018</v>
      </c>
    </row>
    <row r="54" customFormat="false" ht="15" hidden="false" customHeight="true" outlineLevel="0" collapsed="false">
      <c r="A54" s="3" t="s">
        <v>421</v>
      </c>
      <c r="B54" s="9" t="n">
        <v>0.2</v>
      </c>
      <c r="C54" s="9" t="n">
        <v>0.015</v>
      </c>
      <c r="D54" s="33" t="n">
        <f aca="false">B54*C54</f>
        <v>0.003</v>
      </c>
    </row>
    <row r="55" customFormat="false" ht="15" hidden="false" customHeight="true" outlineLevel="0" collapsed="false">
      <c r="A55" s="3" t="s">
        <v>422</v>
      </c>
      <c r="B55" s="9" t="n">
        <v>0.1</v>
      </c>
      <c r="C55" s="9" t="n">
        <v>-0.02</v>
      </c>
      <c r="D55" s="33" t="n">
        <f aca="false">B55*C55</f>
        <v>-0.002</v>
      </c>
    </row>
    <row r="56" customFormat="false" ht="15" hidden="false" customHeight="true" outlineLevel="0" collapsed="false">
      <c r="A56" s="3" t="s">
        <v>423</v>
      </c>
      <c r="B56" s="9" t="n">
        <v>0.55</v>
      </c>
      <c r="C56" s="9" t="n">
        <v>0.006</v>
      </c>
      <c r="D56" s="33" t="n">
        <f aca="false">B56*C56</f>
        <v>0.0033</v>
      </c>
    </row>
    <row r="57" customFormat="false" ht="15" hidden="false" customHeight="true" outlineLevel="0" collapsed="false">
      <c r="A57" s="3" t="s">
        <v>424</v>
      </c>
      <c r="B57" s="9" t="n">
        <v>0.2</v>
      </c>
      <c r="C57" s="9" t="n">
        <v>-0.03</v>
      </c>
      <c r="D57" s="33" t="n">
        <f aca="false">B57*C57</f>
        <v>-0.006</v>
      </c>
    </row>
    <row r="58" customFormat="false" ht="15" hidden="false" customHeight="true" outlineLevel="0" collapsed="false">
      <c r="A58" s="3" t="s">
        <v>425</v>
      </c>
      <c r="B58" s="9" t="n">
        <v>0.15</v>
      </c>
      <c r="C58" s="9" t="n">
        <v>0.008</v>
      </c>
      <c r="D58" s="33" t="n">
        <f aca="false">B58*C58</f>
        <v>0.0012</v>
      </c>
    </row>
    <row r="59" customFormat="false" ht="15" hidden="false" customHeight="true" outlineLevel="0" collapsed="false">
      <c r="A59" s="3" t="s">
        <v>426</v>
      </c>
      <c r="B59" s="9" t="n">
        <v>0.8</v>
      </c>
      <c r="C59" s="9" t="n">
        <v>0.003</v>
      </c>
      <c r="D59" s="33" t="n">
        <f aca="false">B59*C59</f>
        <v>0.0024</v>
      </c>
    </row>
    <row r="60" customFormat="false" ht="15" hidden="false" customHeight="true" outlineLevel="0" collapsed="false">
      <c r="A60" s="3" t="s">
        <v>427</v>
      </c>
      <c r="B60" s="9" t="n">
        <v>0.1</v>
      </c>
      <c r="C60" s="9" t="n">
        <v>-0.003</v>
      </c>
      <c r="D60" s="33" t="n">
        <f aca="false">B60*C60</f>
        <v>-0.0003</v>
      </c>
    </row>
    <row r="62" customFormat="false" ht="15" hidden="false" customHeight="true" outlineLevel="0" collapsed="false">
      <c r="A62" s="5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3"/>
  </cols>
  <sheetData>
    <row r="1" customFormat="false" ht="15.75" hidden="false" customHeight="true" outlineLevel="0" collapsed="false">
      <c r="A1" s="4" t="s">
        <v>429</v>
      </c>
    </row>
    <row r="2" customFormat="false" ht="15" hidden="false" customHeight="true" outlineLevel="0" collapsed="false">
      <c r="A2" s="5" t="s">
        <v>430</v>
      </c>
    </row>
    <row r="4" customFormat="false" ht="15" hidden="false" customHeight="true" outlineLevel="0" collapsed="false">
      <c r="A4" s="2" t="s">
        <v>431</v>
      </c>
    </row>
    <row r="5" customFormat="false" ht="15" hidden="false" customHeight="true" outlineLevel="0" collapsed="false">
      <c r="A5" s="6" t="s">
        <v>432</v>
      </c>
      <c r="B5" s="6" t="s">
        <v>433</v>
      </c>
      <c r="C5" s="6" t="s">
        <v>434</v>
      </c>
      <c r="D5" s="6" t="s">
        <v>435</v>
      </c>
      <c r="E5" s="6" t="s">
        <v>436</v>
      </c>
      <c r="F5" s="6" t="s">
        <v>437</v>
      </c>
    </row>
    <row r="6" customFormat="false" ht="15" hidden="false" customHeight="true" outlineLevel="0" collapsed="false">
      <c r="A6" s="18" t="s">
        <v>438</v>
      </c>
      <c r="B6" s="7" t="n">
        <v>3.22</v>
      </c>
      <c r="C6" s="7" t="n">
        <v>3.75</v>
      </c>
      <c r="D6" s="7" t="n">
        <v>4.45</v>
      </c>
      <c r="E6" s="7" t="n">
        <v>5.43</v>
      </c>
      <c r="F6" s="7" t="n">
        <v>6.9</v>
      </c>
    </row>
    <row r="7" customFormat="false" ht="15" hidden="false" customHeight="true" outlineLevel="0" collapsed="false">
      <c r="A7" s="18" t="s">
        <v>439</v>
      </c>
      <c r="B7" s="7" t="n">
        <v>2.74</v>
      </c>
      <c r="C7" s="7" t="n">
        <v>3.15</v>
      </c>
      <c r="D7" s="7" t="n">
        <v>3.66</v>
      </c>
      <c r="E7" s="7" t="n">
        <v>4.35</v>
      </c>
      <c r="F7" s="7" t="n">
        <v>5.31</v>
      </c>
    </row>
    <row r="8" customFormat="false" ht="15" hidden="false" customHeight="true" outlineLevel="0" collapsed="false">
      <c r="A8" s="18" t="s">
        <v>440</v>
      </c>
      <c r="B8" s="7" t="n">
        <v>2.55</v>
      </c>
      <c r="C8" s="7" t="n">
        <v>2.91</v>
      </c>
      <c r="D8" s="7" t="n">
        <v>3.36</v>
      </c>
      <c r="E8" s="7" t="n">
        <v>3.95</v>
      </c>
      <c r="F8" s="7" t="n">
        <v>4.76</v>
      </c>
    </row>
    <row r="9" customFormat="false" ht="15" hidden="false" customHeight="true" outlineLevel="0" collapsed="false">
      <c r="A9" s="18" t="s">
        <v>441</v>
      </c>
      <c r="B9" s="7" t="n">
        <v>2.36</v>
      </c>
      <c r="C9" s="7" t="n">
        <v>2.68</v>
      </c>
      <c r="D9" s="7" t="n">
        <v>3.07</v>
      </c>
      <c r="E9" s="7" t="n">
        <v>3.58</v>
      </c>
      <c r="F9" s="7" t="n">
        <v>4.25</v>
      </c>
    </row>
    <row r="10" customFormat="false" ht="15" hidden="false" customHeight="true" outlineLevel="0" collapsed="false">
      <c r="A10" s="18" t="s">
        <v>442</v>
      </c>
      <c r="B10" s="7" t="n">
        <v>2.05</v>
      </c>
      <c r="C10" s="7" t="n">
        <v>2.31</v>
      </c>
      <c r="D10" s="7" t="n">
        <v>2.62</v>
      </c>
      <c r="E10" s="7" t="n">
        <v>3</v>
      </c>
      <c r="F10" s="7" t="n">
        <v>3.5</v>
      </c>
    </row>
    <row r="12" customFormat="false" ht="15" hidden="false" customHeight="true" outlineLevel="0" collapsed="false">
      <c r="A12" s="2" t="s">
        <v>443</v>
      </c>
    </row>
    <row r="13" customFormat="false" ht="15" hidden="false" customHeight="true" outlineLevel="0" collapsed="false">
      <c r="A13" s="6" t="s">
        <v>444</v>
      </c>
      <c r="B13" s="6" t="s">
        <v>445</v>
      </c>
      <c r="C13" s="6" t="s">
        <v>434</v>
      </c>
      <c r="D13" s="6" t="s">
        <v>436</v>
      </c>
      <c r="E13" s="6" t="s">
        <v>437</v>
      </c>
      <c r="F13" s="6" t="s">
        <v>446</v>
      </c>
    </row>
    <row r="14" customFormat="false" ht="15" hidden="false" customHeight="true" outlineLevel="0" collapsed="false">
      <c r="A14" s="18" t="s">
        <v>439</v>
      </c>
      <c r="B14" s="7" t="n">
        <v>3.06</v>
      </c>
      <c r="C14" s="7" t="n">
        <v>3.7</v>
      </c>
      <c r="D14" s="7" t="n">
        <v>4.77</v>
      </c>
      <c r="E14" s="7" t="n">
        <v>5.62</v>
      </c>
      <c r="F14" s="7" t="n">
        <v>6.91</v>
      </c>
    </row>
    <row r="15" customFormat="false" ht="15" hidden="false" customHeight="true" outlineLevel="0" collapsed="false">
      <c r="A15" s="18" t="s">
        <v>447</v>
      </c>
      <c r="B15" s="7" t="n">
        <v>2.66</v>
      </c>
      <c r="C15" s="7" t="n">
        <v>3.12</v>
      </c>
      <c r="D15" s="7" t="n">
        <v>3.82</v>
      </c>
      <c r="E15" s="7" t="n">
        <v>4.34</v>
      </c>
      <c r="F15" s="7" t="n">
        <v>5.04</v>
      </c>
    </row>
    <row r="16" customFormat="false" ht="15" hidden="false" customHeight="true" outlineLevel="0" collapsed="false">
      <c r="A16" s="18" t="s">
        <v>442</v>
      </c>
      <c r="B16" s="7" t="n">
        <v>2.54</v>
      </c>
      <c r="C16" s="7" t="n">
        <v>2.95</v>
      </c>
      <c r="D16" s="7" t="n">
        <v>3.57</v>
      </c>
      <c r="E16" s="7" t="n">
        <v>4.01</v>
      </c>
      <c r="F16" s="7" t="n">
        <v>4.6</v>
      </c>
    </row>
    <row r="17" customFormat="false" ht="15" hidden="false" customHeight="true" outlineLevel="0" collapsed="false">
      <c r="A17" s="18" t="s">
        <v>448</v>
      </c>
      <c r="B17" s="7" t="n">
        <v>2.34</v>
      </c>
      <c r="C17" s="7" t="n">
        <v>2.68</v>
      </c>
      <c r="D17" s="7" t="n">
        <v>3.17</v>
      </c>
      <c r="E17" s="7" t="n">
        <v>3.51</v>
      </c>
      <c r="F17" s="7" t="n">
        <v>3.94</v>
      </c>
    </row>
    <row r="18" customFormat="false" ht="15" hidden="false" customHeight="true" outlineLevel="0" collapsed="false">
      <c r="A18" s="18" t="s">
        <v>449</v>
      </c>
      <c r="B18" s="7" t="n">
        <v>2.17</v>
      </c>
      <c r="C18" s="7" t="n">
        <v>2.45</v>
      </c>
      <c r="D18" s="7" t="n">
        <v>2.85</v>
      </c>
      <c r="E18" s="7" t="n">
        <v>3.12</v>
      </c>
      <c r="F18" s="7" t="n">
        <v>3.45</v>
      </c>
    </row>
    <row r="20" customFormat="false" ht="15" hidden="false" customHeight="true" outlineLevel="0" collapsed="false">
      <c r="A20" s="5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4" t="s">
        <v>451</v>
      </c>
    </row>
    <row r="2" customFormat="false" ht="15" hidden="false" customHeight="true" outlineLevel="0" collapsed="false">
      <c r="A2" s="5" t="s">
        <v>452</v>
      </c>
    </row>
    <row r="4" customFormat="false" ht="15" hidden="false" customHeight="true" outlineLevel="0" collapsed="false">
      <c r="A4" s="6"/>
      <c r="B4" s="6" t="s">
        <v>216</v>
      </c>
      <c r="C4" s="6" t="s">
        <v>217</v>
      </c>
      <c r="D4" s="6" t="s">
        <v>218</v>
      </c>
      <c r="E4" s="6" t="s">
        <v>43</v>
      </c>
      <c r="F4" s="6" t="s">
        <v>44</v>
      </c>
      <c r="G4" s="6" t="s">
        <v>45</v>
      </c>
      <c r="H4" s="6" t="s">
        <v>46</v>
      </c>
      <c r="I4" s="6" t="s">
        <v>47</v>
      </c>
    </row>
    <row r="5" customFormat="false" ht="15" hidden="false" customHeight="true" outlineLevel="0" collapsed="false">
      <c r="A5" s="2" t="s">
        <v>229</v>
      </c>
      <c r="B5" s="23" t="n">
        <v>0.154</v>
      </c>
      <c r="C5" s="23" t="n">
        <v>0.14</v>
      </c>
      <c r="D5" s="23" t="n">
        <v>0.167</v>
      </c>
      <c r="E5" s="20" t="n">
        <f aca="false">'Income Statement'!E18</f>
        <v>0.189918204479746</v>
      </c>
      <c r="F5" s="20" t="n">
        <f aca="false">'Income Statement'!F18</f>
        <v>0.201940203348225</v>
      </c>
      <c r="G5" s="20" t="n">
        <f aca="false">'Income Statement'!G18</f>
        <v>0.213929312855054</v>
      </c>
      <c r="H5" s="20" t="n">
        <f aca="false">'Income Statement'!H18</f>
        <v>0.225033359302212</v>
      </c>
      <c r="I5" s="20" t="n">
        <f aca="false">'Income Statement'!I18</f>
        <v>0.235913089236415</v>
      </c>
    </row>
    <row r="6" customFormat="false" ht="15" hidden="false" customHeight="true" outlineLevel="0" collapsed="false">
      <c r="A6" s="2" t="s">
        <v>453</v>
      </c>
      <c r="B6" s="23" t="n">
        <v>0.124</v>
      </c>
      <c r="C6" s="23" t="n">
        <v>0.124</v>
      </c>
      <c r="D6" s="23" t="n">
        <v>0.124</v>
      </c>
      <c r="E6" s="68" t="n">
        <v>0.124</v>
      </c>
      <c r="F6" s="68" t="n">
        <v>0.124</v>
      </c>
      <c r="G6" s="68" t="n">
        <v>0.13</v>
      </c>
      <c r="H6" s="68" t="n">
        <v>0.13</v>
      </c>
      <c r="I6" s="68" t="n">
        <v>0.13</v>
      </c>
    </row>
    <row r="7" customFormat="false" ht="15" hidden="false" customHeight="true" outlineLevel="0" collapsed="false">
      <c r="A7" s="3" t="s">
        <v>454</v>
      </c>
      <c r="B7" s="9" t="n">
        <f aca="false">B6/B5</f>
        <v>0.805194805194805</v>
      </c>
      <c r="C7" s="9" t="n">
        <f aca="false">C6/C5</f>
        <v>0.885714285714286</v>
      </c>
      <c r="D7" s="9" t="n">
        <f aca="false">D6/D5</f>
        <v>0.74251497005988</v>
      </c>
      <c r="E7" s="9" t="n">
        <f aca="false">E6/E5</f>
        <v>0.652912659635132</v>
      </c>
      <c r="F7" s="9" t="n">
        <f aca="false">F6/F5</f>
        <v>0.61404315705365</v>
      </c>
      <c r="G7" s="9" t="n">
        <f aca="false">G6/G5</f>
        <v>0.60767735970844</v>
      </c>
      <c r="H7" s="9" t="n">
        <f aca="false">H6/H5</f>
        <v>0.577692127083321</v>
      </c>
      <c r="I7" s="9" t="n">
        <f aca="false">I6/I5</f>
        <v>0.551050390721319</v>
      </c>
    </row>
    <row r="8" customFormat="false" ht="15" hidden="false" customHeight="true" outlineLevel="0" collapsed="false">
      <c r="A8" s="3" t="s">
        <v>455</v>
      </c>
      <c r="B8" s="9" t="n">
        <f aca="false">B6/Assumptions!$B$25</f>
        <v>0.0444444444444444</v>
      </c>
      <c r="C8" s="9" t="n">
        <f aca="false">C6/Assumptions!$B$25</f>
        <v>0.0444444444444444</v>
      </c>
      <c r="D8" s="9" t="n">
        <f aca="false">D6/Assumptions!$B$25</f>
        <v>0.0444444444444444</v>
      </c>
      <c r="E8" s="9" t="n">
        <f aca="false">E6/Assumptions!$B$25</f>
        <v>0.0444444444444444</v>
      </c>
      <c r="F8" s="9" t="n">
        <f aca="false">F6/Assumptions!$B$25</f>
        <v>0.0444444444444444</v>
      </c>
      <c r="G8" s="9" t="n">
        <f aca="false">G6/Assumptions!$B$25</f>
        <v>0.0465949820788531</v>
      </c>
      <c r="H8" s="9" t="n">
        <f aca="false">H6/Assumptions!$B$25</f>
        <v>0.0465949820788531</v>
      </c>
      <c r="I8" s="9" t="n">
        <f aca="false">I6/Assumptions!$B$25</f>
        <v>0.0465949820788531</v>
      </c>
    </row>
    <row r="9" customFormat="false" ht="15" hidden="false" customHeight="true" outlineLevel="0" collapsed="false">
      <c r="A9" s="3" t="s">
        <v>456</v>
      </c>
      <c r="B9" s="39" t="n">
        <f aca="false">Assumptions!$B$25/B5</f>
        <v>18.1168831168831</v>
      </c>
      <c r="C9" s="39" t="n">
        <f aca="false">Assumptions!$B$25/C5</f>
        <v>19.9285714285714</v>
      </c>
      <c r="D9" s="39" t="n">
        <f aca="false">Assumptions!$B$25/D5</f>
        <v>16.7065868263473</v>
      </c>
      <c r="E9" s="39" t="n">
        <f aca="false">Assumptions!$B$25/E5</f>
        <v>14.6905348417905</v>
      </c>
      <c r="F9" s="39" t="n">
        <f aca="false">Assumptions!$B$25/F5</f>
        <v>13.8159710337071</v>
      </c>
      <c r="G9" s="39" t="n">
        <f aca="false">Assumptions!$B$25/G5</f>
        <v>13.0416910275888</v>
      </c>
      <c r="H9" s="39" t="n">
        <f aca="false">Assumptions!$B$25/H5</f>
        <v>12.3981618043266</v>
      </c>
      <c r="I9" s="39" t="n">
        <f aca="false">Assumptions!$B$25/I5</f>
        <v>11.8263891547114</v>
      </c>
    </row>
    <row r="10" customFormat="false" ht="15" hidden="false" customHeight="true" outlineLevel="0" collapsed="false">
      <c r="A10" s="3" t="s">
        <v>457</v>
      </c>
      <c r="B10" s="32" t="n">
        <v>33587.395</v>
      </c>
      <c r="C10" s="32" t="n">
        <v>30597.132</v>
      </c>
      <c r="D10" s="32" t="n">
        <v>31089</v>
      </c>
      <c r="E10" s="14" t="n">
        <v>36273</v>
      </c>
      <c r="F10" s="32" t="n">
        <f aca="false">E10+Assumptions!C8-'Income Statement'!F8*0.7</f>
        <v>35469.8310566913</v>
      </c>
      <c r="G10" s="32" t="n">
        <f aca="false">F10+Assumptions!D8-'Income Statement'!G8*0.7</f>
        <v>34269.4395194113</v>
      </c>
      <c r="H10" s="32" t="n">
        <f aca="false">G10+Assumptions!E8-'Income Statement'!H8*0.7</f>
        <v>32221.971617372</v>
      </c>
      <c r="I10" s="32" t="n">
        <f aca="false">H10+Assumptions!F8-'Income Statement'!I8*0.7</f>
        <v>28891.7180975072</v>
      </c>
    </row>
    <row r="11" customFormat="false" ht="15" hidden="false" customHeight="true" outlineLevel="0" collapsed="false">
      <c r="A11" s="2" t="s">
        <v>458</v>
      </c>
      <c r="B11" s="69" t="n">
        <f aca="false">B10/'Income Statement'!B8</f>
        <v>2.25656348778499</v>
      </c>
      <c r="C11" s="69" t="n">
        <f aca="false">C10/'Income Statement'!C8</f>
        <v>1.92526127331979</v>
      </c>
      <c r="D11" s="69" t="n">
        <f aca="false">D10/'Income Statement'!D8</f>
        <v>1.76035552964483</v>
      </c>
      <c r="E11" s="39" t="n">
        <f aca="false">E10/'Income Statement'!E8</f>
        <v>1.89560772097843</v>
      </c>
      <c r="F11" s="39" t="n">
        <f aca="false">F10/'Income Statement'!F8</f>
        <v>1.73590075304951</v>
      </c>
      <c r="G11" s="39" t="n">
        <f aca="false">G10/'Income Statement'!G8</f>
        <v>1.57815722080278</v>
      </c>
      <c r="H11" s="39" t="n">
        <f aca="false">H10/'Income Statement'!H8</f>
        <v>1.40554137698534</v>
      </c>
      <c r="I11" s="39" t="n">
        <f aca="false">I10/'Income Statement'!I8</f>
        <v>1.20165763661161</v>
      </c>
    </row>
    <row r="12" customFormat="false" ht="15" hidden="false" customHeight="true" outlineLevel="0" collapsed="false">
      <c r="A12" s="25" t="s">
        <v>459</v>
      </c>
      <c r="B12" s="9" t="n">
        <v>0.0863</v>
      </c>
      <c r="C12" s="9" t="n">
        <v>0.0785</v>
      </c>
      <c r="D12" s="9" t="n">
        <v>0.0917</v>
      </c>
    </row>
    <row r="13" customFormat="false" ht="15" hidden="false" customHeight="true" outlineLevel="0" collapsed="false">
      <c r="A13" s="25" t="s">
        <v>460</v>
      </c>
      <c r="B13" s="70" t="n">
        <v>0.0862</v>
      </c>
      <c r="C13" s="70" t="n">
        <v>0.0785</v>
      </c>
      <c r="D13" s="70" t="n">
        <v>0.0926</v>
      </c>
    </row>
    <row r="14" customFormat="false" ht="15" hidden="false" customHeight="true" outlineLevel="0" collapsed="false">
      <c r="A14" s="44" t="s">
        <v>461</v>
      </c>
    </row>
    <row r="15" customFormat="false" ht="15" hidden="false" customHeight="true" outlineLevel="0" collapsed="false">
      <c r="A15" s="25" t="s">
        <v>462</v>
      </c>
      <c r="B15" s="71" t="n">
        <v>1.78424486</v>
      </c>
      <c r="C15" s="71" t="n">
        <v>1.78698466</v>
      </c>
      <c r="D15" s="71" t="n">
        <v>1.82033032</v>
      </c>
    </row>
    <row r="16" customFormat="false" ht="15" hidden="false" customHeight="true" outlineLevel="0" collapsed="false">
      <c r="A16" s="25" t="s">
        <v>463</v>
      </c>
      <c r="B16" s="72" t="n">
        <f aca="false">Assumptions!$B$25/B15</f>
        <v>1.56368672402957</v>
      </c>
      <c r="C16" s="72" t="n">
        <f aca="false">Assumptions!$B$25/C15</f>
        <v>1.56128928381512</v>
      </c>
      <c r="D16" s="72" t="n">
        <f aca="false">Assumptions!$B$25/D15</f>
        <v>1.53268885836061</v>
      </c>
    </row>
    <row r="17" customFormat="false" ht="15" hidden="false" customHeight="true" outlineLevel="0" collapsed="false">
      <c r="A17" s="25" t="s">
        <v>464</v>
      </c>
      <c r="B17" s="26" t="n">
        <f aca="false">'Cash Flow'!B7/(Assumptions!$B$25*Assumptions!$B$24)</f>
        <v>0.0696269749103943</v>
      </c>
      <c r="C17" s="26" t="n">
        <f aca="false">'Cash Flow'!C7/(Assumptions!$B$25*Assumptions!$B$24)</f>
        <v>0.0585526308243728</v>
      </c>
      <c r="D17" s="26" t="n">
        <f aca="false">'Cash Flow'!D7/(Assumptions!$B$25*Assumptions!$B$24)</f>
        <v>0.0807187598566308</v>
      </c>
    </row>
    <row r="18" customFormat="false" ht="15" hidden="false" customHeight="true" outlineLevel="0" collapsed="false">
      <c r="A18" s="25" t="s">
        <v>465</v>
      </c>
      <c r="B18" s="73" t="n">
        <f aca="false">(Assumptions!$B$25*Assumptions!$B$24+36273+8598)/'Income Statement'!B8</f>
        <v>12.3869346463579</v>
      </c>
      <c r="C18" s="73" t="n">
        <f aca="false">(Assumptions!$B$25*Assumptions!$B$24+36273+8598)/'Income Statement'!C8</f>
        <v>11.6011639987448</v>
      </c>
      <c r="D18" s="73" t="n">
        <f aca="false">(Assumptions!$B$25*Assumptions!$B$24+36273+8598)/'Income Statement'!D8</f>
        <v>10.4396574143956</v>
      </c>
      <c r="E18" s="73" t="n">
        <f aca="false">(Assumptions!$B$25*Assumptions!$B$24+36273+8598)/'Income Statement'!E8</f>
        <v>9.63513056886703</v>
      </c>
      <c r="F18" s="73" t="n">
        <f aca="false">(Assumptions!$B$25*Assumptions!$B$24+36273+8598)/'Income Statement'!F8</f>
        <v>9.02315427521931</v>
      </c>
    </row>
    <row r="19" customFormat="false" ht="15" hidden="false" customHeight="true" outlineLevel="0" collapsed="false">
      <c r="A19" s="25" t="s">
        <v>466</v>
      </c>
      <c r="D19" s="70" t="n">
        <v>0.0769</v>
      </c>
    </row>
    <row r="20" customFormat="false" ht="15" hidden="false" customHeight="true" outlineLevel="0" collapsed="false">
      <c r="A20" s="25" t="s">
        <v>467</v>
      </c>
      <c r="B20" s="26" t="n">
        <f aca="false">'Income Statement'!B8/'Income Statement'!B5</f>
        <v>0.510120892758653</v>
      </c>
      <c r="C20" s="26" t="n">
        <f aca="false">'Income Statement'!C8/'Income Statement'!C5</f>
        <v>0.513034733021555</v>
      </c>
      <c r="D20" s="26" t="n">
        <f aca="false">'Income Statement'!D8/'Income Statement'!D5</f>
        <v>0.537748376513691</v>
      </c>
      <c r="E20" s="26" t="n">
        <f aca="false">'Income Statement'!E8/'Income Statement'!E5</f>
        <v>0.542</v>
      </c>
      <c r="F20" s="26" t="n">
        <f aca="false">'Income Statement'!F8/'Income Statement'!F5</f>
        <v>0.546</v>
      </c>
    </row>
    <row r="21" customFormat="false" ht="15" hidden="false" customHeight="true" outlineLevel="0" collapsed="false">
      <c r="A21" s="25" t="s">
        <v>61</v>
      </c>
      <c r="B21" s="26" t="n">
        <f aca="false">-'Income Statement'!B14/'Income Statement'!B13</f>
        <v>-0.0117194150009583</v>
      </c>
      <c r="C21" s="26" t="n">
        <f aca="false">-'Income Statement'!C14/'Income Statement'!C13</f>
        <v>0.0938113718816288</v>
      </c>
      <c r="D21" s="26" t="n">
        <f aca="false">-'Income Statement'!D14/'Income Statement'!D13</f>
        <v>0.0947320203664062</v>
      </c>
      <c r="E21" s="26" t="n">
        <f aca="false">-'Income Statement'!E14/'Income Statement'!E13</f>
        <v>0.095</v>
      </c>
      <c r="F21" s="26" t="n">
        <f aca="false">-'Income Statement'!F14/'Income Statement'!F13</f>
        <v>0.095</v>
      </c>
    </row>
    <row r="23" customFormat="false" ht="15" hidden="false" customHeight="true" outlineLevel="0" collapsed="false">
      <c r="A23" s="30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3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4" t="s">
        <v>469</v>
      </c>
    </row>
    <row r="2" customFormat="false" ht="15" hidden="false" customHeight="true" outlineLevel="0" collapsed="false">
      <c r="A2" s="5" t="s">
        <v>470</v>
      </c>
    </row>
    <row r="4" customFormat="false" ht="15" hidden="false" customHeight="true" outlineLevel="0" collapsed="false">
      <c r="A4" s="6" t="s">
        <v>471</v>
      </c>
      <c r="B4" s="6" t="s">
        <v>472</v>
      </c>
      <c r="C4" s="6" t="s">
        <v>473</v>
      </c>
      <c r="D4" s="6" t="s">
        <v>474</v>
      </c>
      <c r="E4" s="6" t="s">
        <v>475</v>
      </c>
      <c r="F4" s="6" t="s">
        <v>476</v>
      </c>
      <c r="G4" s="6" t="s">
        <v>304</v>
      </c>
    </row>
    <row r="5" customFormat="false" ht="15" hidden="false" customHeight="true" outlineLevel="0" collapsed="false">
      <c r="A5" s="18" t="s">
        <v>477</v>
      </c>
      <c r="B5" s="10" t="s">
        <v>478</v>
      </c>
      <c r="C5" s="10" t="s">
        <v>479</v>
      </c>
      <c r="D5" s="10" t="s">
        <v>480</v>
      </c>
      <c r="E5" s="10" t="s">
        <v>481</v>
      </c>
      <c r="F5" s="10" t="s">
        <v>482</v>
      </c>
      <c r="G5" s="42" t="s">
        <v>483</v>
      </c>
    </row>
    <row r="6" customFormat="false" ht="15" hidden="false" customHeight="true" outlineLevel="0" collapsed="false">
      <c r="A6" s="10" t="s">
        <v>484</v>
      </c>
      <c r="B6" s="10" t="s">
        <v>485</v>
      </c>
      <c r="C6" s="10" t="s">
        <v>486</v>
      </c>
      <c r="D6" s="10" t="s">
        <v>487</v>
      </c>
      <c r="E6" s="10" t="s">
        <v>488</v>
      </c>
      <c r="F6" s="10" t="s">
        <v>489</v>
      </c>
      <c r="G6" s="42" t="s">
        <v>490</v>
      </c>
    </row>
    <row r="7" customFormat="false" ht="15" hidden="false" customHeight="true" outlineLevel="0" collapsed="false">
      <c r="A7" s="10" t="s">
        <v>491</v>
      </c>
      <c r="B7" s="10" t="s">
        <v>478</v>
      </c>
      <c r="C7" s="10" t="s">
        <v>355</v>
      </c>
      <c r="D7" s="10" t="s">
        <v>492</v>
      </c>
      <c r="E7" s="10" t="s">
        <v>493</v>
      </c>
      <c r="F7" s="10" t="s">
        <v>494</v>
      </c>
      <c r="G7" s="42" t="s">
        <v>495</v>
      </c>
    </row>
    <row r="8" customFormat="false" ht="15" hidden="false" customHeight="true" outlineLevel="0" collapsed="false">
      <c r="A8" s="10" t="s">
        <v>496</v>
      </c>
      <c r="B8" s="10" t="s">
        <v>497</v>
      </c>
      <c r="C8" s="10" t="s">
        <v>498</v>
      </c>
      <c r="D8" s="10" t="s">
        <v>499</v>
      </c>
      <c r="E8" s="10" t="s">
        <v>500</v>
      </c>
      <c r="F8" s="10" t="s">
        <v>501</v>
      </c>
      <c r="G8" s="42" t="s">
        <v>502</v>
      </c>
    </row>
    <row r="9" customFormat="false" ht="15" hidden="false" customHeight="true" outlineLevel="0" collapsed="false">
      <c r="A9" s="10" t="s">
        <v>503</v>
      </c>
      <c r="B9" s="10" t="s">
        <v>497</v>
      </c>
      <c r="C9" s="10" t="s">
        <v>504</v>
      </c>
      <c r="D9" s="10" t="s">
        <v>505</v>
      </c>
      <c r="E9" s="10" t="s">
        <v>506</v>
      </c>
      <c r="F9" s="10" t="s">
        <v>507</v>
      </c>
      <c r="G9" s="42" t="s">
        <v>508</v>
      </c>
    </row>
    <row r="10" customFormat="false" ht="15" hidden="false" customHeight="true" outlineLevel="0" collapsed="false">
      <c r="A10" s="10" t="s">
        <v>509</v>
      </c>
      <c r="B10" s="10" t="s">
        <v>478</v>
      </c>
      <c r="C10" s="10" t="s">
        <v>498</v>
      </c>
      <c r="D10" s="10" t="s">
        <v>510</v>
      </c>
      <c r="E10" s="10" t="s">
        <v>511</v>
      </c>
      <c r="F10" s="10" t="s">
        <v>512</v>
      </c>
      <c r="G10" s="42" t="s">
        <v>513</v>
      </c>
    </row>
    <row r="12" customFormat="false" ht="15" hidden="false" customHeight="true" outlineLevel="0" collapsed="false">
      <c r="A12" s="5" t="s">
        <v>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44"/>
    <col collapsed="false" customWidth="true" hidden="false" outlineLevel="0" max="4" min="4" style="1" width="10"/>
    <col collapsed="false" customWidth="true" hidden="false" outlineLevel="0" max="5" min="5" style="1" width="44"/>
  </cols>
  <sheetData>
    <row r="1" customFormat="false" ht="15.75" hidden="false" customHeight="true" outlineLevel="0" collapsed="false">
      <c r="A1" s="4" t="s">
        <v>515</v>
      </c>
    </row>
    <row r="2" customFormat="false" ht="15" hidden="false" customHeight="true" outlineLevel="0" collapsed="false">
      <c r="A2" s="5" t="s">
        <v>516</v>
      </c>
    </row>
    <row r="4" customFormat="false" ht="15" hidden="false" customHeight="true" outlineLevel="0" collapsed="false">
      <c r="A4" s="6" t="s">
        <v>517</v>
      </c>
      <c r="B4" s="6" t="s">
        <v>518</v>
      </c>
      <c r="C4" s="6" t="s">
        <v>519</v>
      </c>
      <c r="D4" s="6" t="s">
        <v>520</v>
      </c>
      <c r="E4" s="6" t="s">
        <v>521</v>
      </c>
    </row>
    <row r="5" customFormat="false" ht="33" hidden="false" customHeight="true" outlineLevel="0" collapsed="false">
      <c r="A5" s="10" t="n">
        <v>1</v>
      </c>
      <c r="B5" s="18" t="s">
        <v>522</v>
      </c>
      <c r="C5" s="19" t="s">
        <v>523</v>
      </c>
      <c r="D5" s="18" t="s">
        <v>524</v>
      </c>
      <c r="E5" s="42" t="s">
        <v>525</v>
      </c>
    </row>
    <row r="6" customFormat="false" ht="33" hidden="false" customHeight="true" outlineLevel="0" collapsed="false">
      <c r="A6" s="10" t="n">
        <v>2</v>
      </c>
      <c r="B6" s="18" t="s">
        <v>522</v>
      </c>
      <c r="C6" s="19" t="s">
        <v>526</v>
      </c>
      <c r="D6" s="18" t="s">
        <v>527</v>
      </c>
      <c r="E6" s="42" t="s">
        <v>528</v>
      </c>
    </row>
    <row r="7" customFormat="false" ht="33" hidden="false" customHeight="true" outlineLevel="0" collapsed="false">
      <c r="A7" s="10" t="n">
        <v>3</v>
      </c>
      <c r="B7" s="18" t="s">
        <v>522</v>
      </c>
      <c r="C7" s="19" t="s">
        <v>529</v>
      </c>
      <c r="D7" s="18" t="s">
        <v>530</v>
      </c>
      <c r="E7" s="42" t="s">
        <v>531</v>
      </c>
    </row>
    <row r="8" customFormat="false" ht="18" hidden="false" customHeight="true" outlineLevel="0" collapsed="false">
      <c r="A8" s="10" t="n">
        <v>4</v>
      </c>
      <c r="B8" s="18" t="s">
        <v>532</v>
      </c>
      <c r="C8" s="19" t="s">
        <v>533</v>
      </c>
      <c r="D8" s="18" t="s">
        <v>524</v>
      </c>
      <c r="E8" s="42" t="s">
        <v>534</v>
      </c>
    </row>
    <row r="9" customFormat="false" ht="18" hidden="false" customHeight="true" outlineLevel="0" collapsed="false">
      <c r="A9" s="10" t="n">
        <v>5</v>
      </c>
      <c r="B9" s="18" t="s">
        <v>532</v>
      </c>
      <c r="C9" s="19" t="s">
        <v>535</v>
      </c>
      <c r="D9" s="18" t="s">
        <v>524</v>
      </c>
      <c r="E9" s="42" t="s">
        <v>536</v>
      </c>
    </row>
    <row r="10" customFormat="false" ht="18" hidden="false" customHeight="true" outlineLevel="0" collapsed="false">
      <c r="A10" s="10" t="n">
        <v>6</v>
      </c>
      <c r="B10" s="18" t="s">
        <v>532</v>
      </c>
      <c r="C10" s="19" t="s">
        <v>537</v>
      </c>
      <c r="D10" s="18" t="s">
        <v>524</v>
      </c>
      <c r="E10" s="42" t="s">
        <v>538</v>
      </c>
    </row>
    <row r="11" customFormat="false" ht="33" hidden="false" customHeight="true" outlineLevel="0" collapsed="false">
      <c r="A11" s="10" t="n">
        <v>7</v>
      </c>
      <c r="B11" s="18" t="s">
        <v>532</v>
      </c>
      <c r="C11" s="19" t="s">
        <v>539</v>
      </c>
      <c r="D11" s="18" t="s">
        <v>530</v>
      </c>
      <c r="E11" s="42" t="s">
        <v>540</v>
      </c>
    </row>
    <row r="12" customFormat="false" ht="33" hidden="false" customHeight="true" outlineLevel="0" collapsed="false">
      <c r="A12" s="10" t="n">
        <v>8</v>
      </c>
      <c r="B12" s="18" t="s">
        <v>532</v>
      </c>
      <c r="C12" s="19" t="s">
        <v>541</v>
      </c>
      <c r="D12" s="18" t="s">
        <v>542</v>
      </c>
      <c r="E12" s="42" t="s">
        <v>543</v>
      </c>
    </row>
    <row r="13" customFormat="false" ht="33" hidden="false" customHeight="true" outlineLevel="0" collapsed="false">
      <c r="A13" s="10" t="n">
        <v>9</v>
      </c>
      <c r="B13" s="18" t="s">
        <v>544</v>
      </c>
      <c r="C13" s="19" t="s">
        <v>545</v>
      </c>
      <c r="D13" s="18" t="s">
        <v>530</v>
      </c>
      <c r="E13" s="42" t="s">
        <v>546</v>
      </c>
    </row>
    <row r="14" customFormat="false" ht="18" hidden="false" customHeight="true" outlineLevel="0" collapsed="false">
      <c r="A14" s="10" t="n">
        <v>10</v>
      </c>
      <c r="B14" s="18" t="s">
        <v>544</v>
      </c>
      <c r="C14" s="19" t="s">
        <v>547</v>
      </c>
      <c r="D14" s="18" t="s">
        <v>527</v>
      </c>
      <c r="E14" s="42" t="s">
        <v>548</v>
      </c>
    </row>
    <row r="15" customFormat="false" ht="33" hidden="false" customHeight="true" outlineLevel="0" collapsed="false">
      <c r="A15" s="10" t="n">
        <v>11</v>
      </c>
      <c r="B15" s="18" t="s">
        <v>544</v>
      </c>
      <c r="C15" s="19" t="s">
        <v>549</v>
      </c>
      <c r="D15" s="18" t="s">
        <v>527</v>
      </c>
      <c r="E15" s="42" t="s">
        <v>550</v>
      </c>
    </row>
    <row r="16" customFormat="false" ht="47.25" hidden="false" customHeight="true" outlineLevel="0" collapsed="false">
      <c r="A16" s="10" t="n">
        <v>12</v>
      </c>
      <c r="B16" s="18" t="s">
        <v>551</v>
      </c>
      <c r="C16" s="19" t="s">
        <v>552</v>
      </c>
      <c r="D16" s="18" t="s">
        <v>524</v>
      </c>
      <c r="E16" s="42" t="s">
        <v>553</v>
      </c>
    </row>
    <row r="17" customFormat="false" ht="33" hidden="false" customHeight="true" outlineLevel="0" collapsed="false">
      <c r="A17" s="10" t="n">
        <v>13</v>
      </c>
      <c r="B17" s="18" t="s">
        <v>551</v>
      </c>
      <c r="C17" s="19" t="s">
        <v>554</v>
      </c>
      <c r="D17" s="18" t="s">
        <v>524</v>
      </c>
      <c r="E17" s="42" t="s">
        <v>555</v>
      </c>
    </row>
    <row r="18" customFormat="false" ht="33" hidden="false" customHeight="true" outlineLevel="0" collapsed="false">
      <c r="A18" s="10" t="n">
        <v>14</v>
      </c>
      <c r="B18" s="18" t="s">
        <v>551</v>
      </c>
      <c r="C18" s="19" t="s">
        <v>556</v>
      </c>
      <c r="D18" s="18" t="s">
        <v>524</v>
      </c>
      <c r="E18" s="42" t="s">
        <v>557</v>
      </c>
    </row>
    <row r="19" customFormat="false" ht="33" hidden="false" customHeight="true" outlineLevel="0" collapsed="false">
      <c r="A19" s="10" t="n">
        <v>15</v>
      </c>
      <c r="B19" s="18" t="s">
        <v>551</v>
      </c>
      <c r="C19" s="19" t="s">
        <v>558</v>
      </c>
      <c r="D19" s="18" t="s">
        <v>530</v>
      </c>
      <c r="E19" s="42" t="s">
        <v>559</v>
      </c>
    </row>
    <row r="20" customFormat="false" ht="33" hidden="false" customHeight="true" outlineLevel="0" collapsed="false">
      <c r="A20" s="10" t="n">
        <v>16</v>
      </c>
      <c r="B20" s="18" t="s">
        <v>551</v>
      </c>
      <c r="C20" s="19" t="s">
        <v>560</v>
      </c>
      <c r="D20" s="18" t="s">
        <v>524</v>
      </c>
      <c r="E20" s="42" t="s">
        <v>561</v>
      </c>
    </row>
    <row r="21" customFormat="false" ht="33" hidden="false" customHeight="true" outlineLevel="0" collapsed="false">
      <c r="A21" s="10" t="n">
        <v>17</v>
      </c>
      <c r="B21" s="18" t="s">
        <v>551</v>
      </c>
      <c r="C21" s="19" t="s">
        <v>562</v>
      </c>
      <c r="D21" s="18" t="s">
        <v>530</v>
      </c>
      <c r="E21" s="42" t="s">
        <v>563</v>
      </c>
    </row>
    <row r="23" customFormat="false" ht="15" hidden="false" customHeight="true" outlineLevel="0" collapsed="false">
      <c r="A2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  <col collapsed="false" customWidth="true" hidden="false" outlineLevel="0" max="5" min="5" style="1" width="60"/>
  </cols>
  <sheetData>
    <row r="1" customFormat="false" ht="15.75" hidden="false" customHeight="true" outlineLevel="0" collapsed="false">
      <c r="A1" s="4" t="s">
        <v>564</v>
      </c>
    </row>
    <row r="2" customFormat="false" ht="15" hidden="false" customHeight="true" outlineLevel="0" collapsed="false">
      <c r="A2" s="5" t="s">
        <v>565</v>
      </c>
    </row>
    <row r="4" customFormat="false" ht="15" hidden="false" customHeight="true" outlineLevel="0" collapsed="false">
      <c r="A4" s="6"/>
      <c r="B4" s="6" t="s">
        <v>13</v>
      </c>
      <c r="C4" s="6" t="s">
        <v>14</v>
      </c>
      <c r="D4" s="6" t="s">
        <v>15</v>
      </c>
      <c r="E4" s="6" t="s">
        <v>566</v>
      </c>
    </row>
    <row r="5" customFormat="false" ht="76.5" hidden="false" customHeight="true" outlineLevel="0" collapsed="false">
      <c r="A5" s="2" t="s">
        <v>567</v>
      </c>
      <c r="B5" s="7" t="n">
        <v>2.35</v>
      </c>
      <c r="C5" s="7" t="n">
        <v>2.85</v>
      </c>
      <c r="D5" s="7" t="n">
        <v>3.3</v>
      </c>
      <c r="E5" s="74" t="s">
        <v>568</v>
      </c>
    </row>
    <row r="6" customFormat="false" ht="47.25" hidden="false" customHeight="true" outlineLevel="0" collapsed="false">
      <c r="A6" s="2" t="s">
        <v>569</v>
      </c>
      <c r="B6" s="7" t="n">
        <v>2.47</v>
      </c>
      <c r="C6" s="7" t="n">
        <v>3.04</v>
      </c>
      <c r="D6" s="7" t="n">
        <v>3.42</v>
      </c>
      <c r="E6" s="74" t="s">
        <v>570</v>
      </c>
    </row>
    <row r="7" customFormat="false" ht="47.25" hidden="false" customHeight="true" outlineLevel="0" collapsed="false">
      <c r="A7" s="2" t="s">
        <v>571</v>
      </c>
      <c r="B7" s="7" t="n">
        <v>2.3</v>
      </c>
      <c r="C7" s="7" t="n">
        <v>3.52</v>
      </c>
      <c r="D7" s="7" t="n">
        <v>4.6</v>
      </c>
      <c r="E7" s="74" t="s">
        <v>572</v>
      </c>
    </row>
    <row r="8" customFormat="false" ht="47.25" hidden="false" customHeight="true" outlineLevel="0" collapsed="false">
      <c r="A8" s="2" t="s">
        <v>573</v>
      </c>
      <c r="B8" s="57" t="n">
        <v>2.55</v>
      </c>
      <c r="C8" s="57" t="n">
        <v>3.11</v>
      </c>
      <c r="D8" s="57" t="n">
        <v>3.75</v>
      </c>
      <c r="E8" s="74" t="s">
        <v>574</v>
      </c>
    </row>
    <row r="9" customFormat="false" ht="15" hidden="false" customHeight="true" outlineLevel="0" collapsed="false"/>
    <row r="10" customFormat="false" ht="15" hidden="false" customHeight="true" outlineLevel="0" collapsed="false">
      <c r="A10" s="5" t="s">
        <v>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2026-07-11T19:48:43Z</dcterms:created>
  <dc:creator>openpyxl</dc:creator>
  <dc:description/>
  <dc:language>en-US</dc:language>
  <cp:lastModifiedBy/>
  <dcterms:modified xsi:type="dcterms:W3CDTF">2026-07-12T17:19:32Z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