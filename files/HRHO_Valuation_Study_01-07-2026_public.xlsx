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<sst xmlns="http://schemas.openxmlformats.org/spreadsheetml/2006/main" count="154" uniqueCount="107">
  <si>
    <t xml:space="preserve">READ FIRST</t>
  </si>
  <si>
    <t xml:space="preserve">Educational valuation study - not investment advice. Distributions, not tips. All inputs on Assumptions.</t>
  </si>
  <si>
    <t xml:space="preserve">Summary - EFG Holding (EGX: HRHO)</t>
  </si>
  <si>
    <t xml:space="preserve">Spot</t>
  </si>
  <si>
    <t xml:space="preserve">SOTP NAV/share</t>
  </si>
  <si>
    <t xml:space="preserve">DCF fair value</t>
  </si>
  <si>
    <t xml:space="preserve">Fundamental valuation - lens synthesis</t>
  </si>
  <si>
    <t xml:space="preserve">Weighted fair value across the lenses (football field in the report).</t>
  </si>
  <si>
    <t xml:space="preserve">Assumptions - single input layer · EFG Holding (EGX: HRHO)</t>
  </si>
  <si>
    <t xml:space="preserve">Blue = input. FY = calendar year; EGP mn. Sources: FY23/FY25 earnings releases (efgholding.com); FY24 derived from FY25 YoY; estimates flagged.</t>
  </si>
  <si>
    <t xml:space="preserve">ANCHORS</t>
  </si>
  <si>
    <t xml:space="preserve">Spot price (EGP/share)</t>
  </si>
  <si>
    <t xml:space="preserve">Shares outstanding (mn, per paid-in capital - confirm)</t>
  </si>
  <si>
    <t xml:space="preserve">Holdco net treasury &amp; seed (EGP mn, est.)</t>
  </si>
  <si>
    <t xml:space="preserve">Cost of equity (nominal EGP)</t>
  </si>
  <si>
    <t xml:space="preserve">Terminal growth (nominal)</t>
  </si>
  <si>
    <t xml:space="preserve">Tax &amp; minorities % of operating profit</t>
  </si>
  <si>
    <t xml:space="preserve">SOTP MARKS (EGP mn, judgment)</t>
  </si>
  <si>
    <t xml:space="preserve">Investment Bank (EFG Hermes)</t>
  </si>
  <si>
    <t xml:space="preserve">NBFI platform incl. listed Valu stake</t>
  </si>
  <si>
    <t xml:space="preserve">Bank NXT (group share)</t>
  </si>
  <si>
    <t xml:space="preserve">Holdco discount</t>
  </si>
  <si>
    <t xml:space="preserve">FORECAST DRIVERS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</si>
  <si>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</si>
  <si>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</si>
  <si>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</si>
  <si>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</si>
  <si>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</si>
  <si>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</si>
  <si>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Opex (incl. provisions/ECL) % of revenue</t>
  </si>
  <si>
    <t xml:space="preserve">Provisions &amp; D&amp;A addback % of revenue</t>
  </si>
  <si>
    <t xml:space="preserve">Capex (EGP mn)</t>
  </si>
  <si>
    <t xml:space="preserve">Shareholder distribution (EGP mn)</t>
  </si>
  <si>
    <t xml:space="preserve">Sum-of-the-parts (EGP mn) - the primary lens</t>
  </si>
  <si>
    <t xml:space="preserve">Three verticals marked separately + holdco treasury, less the holdco discount.</t>
  </si>
  <si>
    <t xml:space="preserve">Component</t>
  </si>
  <si>
    <t xml:space="preserve">Value</t>
  </si>
  <si>
    <t xml:space="preserve">Holdco net treasury &amp; seed</t>
  </si>
  <si>
    <t xml:space="preserve">Gross NAV</t>
  </si>
  <si>
    <t xml:space="preserve">- Holdco discount</t>
  </si>
  <si>
    <t xml:space="preserve">Equity NAV</t>
  </si>
  <si>
    <t xml:space="preserve">NAV per share</t>
  </si>
  <si>
    <t xml:space="preserve">Segments</t>
  </si>
  <si>
    <t xml:space="preserve">Investment Bank / EFG Finance (NBFI incl. Valu) / Bank NXT - FY25 splits per earnings release.</t>
  </si>
  <si>
    <t xml:space="preserve">Relative &amp; normalized</t>
  </si>
  <si>
    <t xml:space="preserve">Peer P/E and P/B; normalized (ex-one-off) earnings power.</t>
  </si>
  <si>
    <t xml:space="preserve">Discounted earnings (EGP mn) - the cash-flow cross-check</t>
  </si>
  <si>
    <t xml:space="preserve">Group NPAT (after minorities) discounted at the cost of equity; Gordon terminal. A holdco earnings-DCF, deliberately un-haircut - the discount question lives in the SOTP.</t>
  </si>
  <si>
    <t xml:space="preserve">Net profit (after minorities)</t>
  </si>
  <si>
    <t xml:space="preserve">Discount factor</t>
  </si>
  <si>
    <t xml:space="preserve">PV of profits</t>
  </si>
  <si>
    <t xml:space="preserve">Sum PV of explicit profits</t>
  </si>
  <si>
    <t xml:space="preserve">Terminal value (Gordon)</t>
  </si>
  <si>
    <t xml:space="preserve">PV of terminal value</t>
  </si>
  <si>
    <t xml:space="preserve">Equity value (DCF)</t>
  </si>
  <si>
    <t xml:space="preserve">Fair value per share</t>
  </si>
  <si>
    <t xml:space="preserve">Income statement (EGP mn) - consolidated group</t>
  </si>
  <si>
    <t xml:space="preserve">FY23 &amp; FY25 per official earnings releases; FY24 derived from FY25 disclosed YoY (+7% rev, -5% NPAT, +13% opex) - flag. Tax &amp; minorities is the residual (Bank NXT ~48% minority + Valu minorities + tax).</t>
  </si>
  <si>
    <t xml:space="preserve">FY23</t>
  </si>
  <si>
    <t xml:space="preserve">FY24</t>
  </si>
  <si>
    <t xml:space="preserve">FY25</t>
  </si>
  <si>
    <t xml:space="preserve">Operating revenue</t>
  </si>
  <si>
    <t xml:space="preserve">Operating expenses (incl. provisions &amp; ECL)</t>
  </si>
  <si>
    <t xml:space="preserve">Operating profit</t>
  </si>
  <si>
    <t xml:space="preserve">Other / associates</t>
  </si>
  <si>
    <t xml:space="preserve">PBT (proxy)</t>
  </si>
  <si>
    <t xml:space="preserve">Tax &amp; minority interest</t>
  </si>
  <si>
    <t xml:space="preserve">Net profit (after tax &amp; minorities)</t>
  </si>
  <si>
    <t xml:space="preserve">Balance sheet (EGP mn)</t>
  </si>
  <si>
    <t xml:space="preserve">Total assets per releases (FY23 121.9bn / FY25 230.6bn); FY24 and equity/minority splits estimated - flag. Equity rolls with NPAT less distributions.</t>
  </si>
  <si>
    <t xml:space="preserve">Total assets</t>
  </si>
  <si>
    <t xml:space="preserve">Attributable shareholders' equity (est.)</t>
  </si>
  <si>
    <t xml:space="preserve">Minority interests (est.)</t>
  </si>
  <si>
    <t xml:space="preserve">Cash flow (EGP mn) - simplified holdco view</t>
  </si>
  <si>
    <t xml:space="preserve">CFO proxy = NPAT + provisions/D&amp;A addback; investing = -capex; financing = -distributions.</t>
  </si>
  <si>
    <t xml:space="preserve">+ Provisions &amp; D&amp;A addback</t>
  </si>
  <si>
    <t xml:space="preserve">Cash from operations (proxy)</t>
  </si>
  <si>
    <t xml:space="preserve">- Capex</t>
  </si>
  <si>
    <t xml:space="preserve">- Shareholder distributions</t>
  </si>
  <si>
    <t xml:space="preserve">Net change (proxy)</t>
  </si>
  <si>
    <t xml:space="preserve">Summary financials</t>
  </si>
  <si>
    <t xml:space="preserve">Links to the statement sheets (green).</t>
  </si>
  <si>
    <t xml:space="preserve">Net profit</t>
  </si>
  <si>
    <t xml:space="preserve">Attributable equity</t>
  </si>
  <si>
    <t xml:space="preserve">CFO (proxy)</t>
  </si>
  <si>
    <t xml:space="preserve">Monte Carlo - percentile map</t>
  </si>
  <si>
    <t xml:space="preserve">16-factor (7C+9D), 50,000 paths, seed 42; engine-filled. Spot links to Assumptions.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</si>
  <si>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</si>
  <si>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</si>
  <si>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</si>
  <si>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</si>
  <si>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</si>
  <si>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</si>
  <si>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</si>
  <si>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</si>
  <si>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Sensitivity - NAV per share vs holdco discount</t>
  </si>
  <si>
    <t xml:space="preserve">Live driver: the SOTP recomputes off B17; illustrative row here.</t>
  </si>
  <si>
    <t xml:space="preserve">10%</t>
  </si>
  <si>
    <t xml:space="preserve">20%</t>
  </si>
  <si>
    <t xml:space="preserve">30%</t>
  </si>
  <si>
    <t xml:space="preserve">Per-share &amp; ratios</t>
  </si>
  <si>
    <t xml:space="preserve">EPS (FY26E)</t>
  </si>
  <si>
    <t xml:space="preserve">P/E FY26E (spot)</t>
  </si>
  <si>
    <t xml:space="preserve">Book value/share (FY25, est.)</t>
  </si>
  <si>
    <t xml:space="preserve">P/B (spot)</t>
  </si>
  <si>
    <t xml:space="preserve">Peer &amp; sector</t>
  </si>
  <si>
    <t xml:space="preserve">EGX financials (CIB, e-finance, listed Valu), MENA IB peers; rate-cycle and EGX-turnover structure.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</si>
</sst>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;\(#,##0\);\-"/>
    <numFmt numFmtId="167" formatCode="0.0%"/>
    <numFmt numFmtId="168" formatCode="0.000"/>
    <numFmt numFmtId="169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6.15" hidden="false" customHeight="false" outlineLevel="0" collapsed="false">
      <c r="A1" s="1" t="s">
        <v>2</v>
      </c>
    </row>
    <row r="4" customFormat="false" ht="15" hidden="false" customHeight="false" outlineLevel="0" collapsed="false">
      <c r="A4" s="0" t="s">
        <v>3</v>
      </c>
      <c r="B4" s="3" t="n">
        <f aca="false">Assumptions!$B$4</f>
        <v>26.83</v>
      </c>
    </row>
    <row r="5" customFormat="false" ht="15" hidden="false" customHeight="false" outlineLevel="0" collapsed="false">
      <c r="A5" s="0" t="s">
        <v>4</v>
      </c>
      <c r="B5" s="3" t="n">
        <f aca="false">SOTP!B11</f>
        <v>25.7390168218194</v>
      </c>
    </row>
    <row r="6" customFormat="false" ht="15" hidden="false" customHeight="false" outlineLevel="0" collapsed="false">
      <c r="A6" s="0" t="s">
        <v>5</v>
      </c>
      <c r="B6" s="3" t="n">
        <f aca="false">DCF!B17</f>
        <v>33.5487791905224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</cols>
  <sheetData>
    <row r="1" customFormat="false" ht="16.1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3" customFormat="false" ht="15" hidden="false" customHeight="false" outlineLevel="0" collapsed="false">
      <c r="A3" s="4" t="s">
        <v>10</v>
      </c>
    </row>
    <row r="4" customFormat="false" ht="15" hidden="false" customHeight="false" outlineLevel="0" collapsed="false">
      <c r="A4" s="0" t="s">
        <v>11</v>
      </c>
      <c r="B4" s="5" t="n">
        <v>26.83</v>
      </c>
    </row>
    <row r="5" customFormat="false" ht="15" hidden="false" customHeight="false" outlineLevel="0" collapsed="false">
      <c r="A5" s="0" t="s">
        <v>12</v>
      </c>
      <c r="B5" s="6" t="n">
        <v>1224.6</v>
      </c>
    </row>
    <row r="8" customFormat="false" ht="15" hidden="false" customHeight="false" outlineLevel="0" collapsed="false">
      <c r="A8" s="0" t="s">
        <v>13</v>
      </c>
      <c r="B8" s="6" t="n">
        <v>3000</v>
      </c>
    </row>
    <row r="9" customFormat="false" ht="15" hidden="false" customHeight="false" outlineLevel="0" collapsed="false">
      <c r="A9" s="0" t="s">
        <v>14</v>
      </c>
      <c r="B9" s="7" t="n">
        <v>0.24</v>
      </c>
    </row>
    <row r="10" customFormat="false" ht="15" hidden="false" customHeight="false" outlineLevel="0" collapsed="false">
      <c r="A10" s="0" t="s">
        <v>15</v>
      </c>
      <c r="B10" s="7" t="n">
        <v>0.11</v>
      </c>
    </row>
    <row r="11" customFormat="false" ht="15" hidden="false" customHeight="false" outlineLevel="0" collapsed="false">
      <c r="A11" s="0" t="s">
        <v>16</v>
      </c>
      <c r="B11" s="7" t="n">
        <v>0.5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0" t="s">
        <v>18</v>
      </c>
      <c r="B14" s="6" t="n">
        <v>14400</v>
      </c>
    </row>
    <row r="15" customFormat="false" ht="15" hidden="false" customHeight="false" outlineLevel="0" collapsed="false">
      <c r="A15" s="0" t="s">
        <v>19</v>
      </c>
      <c r="B15" s="6" t="n">
        <v>13000</v>
      </c>
    </row>
    <row r="16" customFormat="false" ht="15" hidden="false" customHeight="false" outlineLevel="0" collapsed="false">
      <c r="A16" s="0" t="s">
        <v>20</v>
      </c>
      <c r="B16" s="6" t="n">
        <v>9000</v>
      </c>
    </row>
    <row r="17" customFormat="false" ht="15" hidden="false" customHeight="false" outlineLevel="0" collapsed="false">
      <c r="A17" s="0" t="s">
        <v>21</v>
      </c>
      <c r="B17" s="7" t="n">
        <v>0.2</v>
      </c>
    </row>
    <row r="20" customFormat="false" ht="15" hidden="false" customHeight="false" outlineLevel="0" collapsed="false">
      <c r="A20" s="4" t="s">
        <v>22</v>
      </c>
    </row>
    <row r="21" customFormat="false" ht="15" hidden="false" customHeight="false" outlineLevel="0" collapsed="false">
      <c r="E21" s="4" t="s">
        <v>23</v>
      </c>
      <c r="F21" s="4" t="s">
        <v>24</v>
      </c>
      <c r="G21" s="4" t="s">
        <v>25</v>
      </c>
      <c r="H21" s="4" t="s">
        <v>26</v>
      </c>
      <c r="I21" s="4" t="s">
        <v>27</v>
      </c>
    </row>
    <row r="22" customFormat="false" ht="15" hidden="false" customHeight="false" outlineLevel="0" collapsed="false">
      <c r="A22" s="0" t="s">
        <v>28</v>
      </c>
      <c r="E22" s="7" t="n">
        <v>0.14</v>
      </c>
      <c r="F22" s="7" t="n">
        <v>0.13</v>
      </c>
      <c r="G22" s="7" t="n">
        <v>0.12</v>
      </c>
      <c r="H22" s="7" t="n">
        <v>0.12</v>
      </c>
      <c r="I22" s="7" t="n">
        <v>0.11</v>
      </c>
    </row>
    <row r="23" customFormat="false" ht="15" hidden="false" customHeight="false" outlineLevel="0" collapsed="false">
      <c r="A23" s="0" t="s">
        <v>29</v>
      </c>
      <c r="E23" s="7" t="n">
        <v>0.67</v>
      </c>
      <c r="F23" s="7" t="n">
        <v>0.66</v>
      </c>
      <c r="G23" s="7" t="n">
        <v>0.655</v>
      </c>
      <c r="H23" s="7" t="n">
        <v>0.65</v>
      </c>
      <c r="I23" s="7" t="n">
        <v>0.645</v>
      </c>
    </row>
    <row r="24" customFormat="false" ht="15" hidden="false" customHeight="false" outlineLevel="0" collapsed="false">
      <c r="A24" s="0" t="s">
        <v>30</v>
      </c>
      <c r="E24" s="7" t="n">
        <v>0.08</v>
      </c>
      <c r="F24" s="7" t="n">
        <v>0.08</v>
      </c>
      <c r="G24" s="7" t="n">
        <v>0.08</v>
      </c>
      <c r="H24" s="7" t="n">
        <v>0.08</v>
      </c>
      <c r="I24" s="7" t="n">
        <v>0.08</v>
      </c>
    </row>
    <row r="25" customFormat="false" ht="15" hidden="false" customHeight="false" outlineLevel="0" collapsed="false">
      <c r="A25" s="0" t="s">
        <v>31</v>
      </c>
      <c r="E25" s="6" t="n">
        <v>600</v>
      </c>
      <c r="F25" s="6" t="n">
        <v>650</v>
      </c>
      <c r="G25" s="6" t="n">
        <v>700</v>
      </c>
      <c r="H25" s="6" t="n">
        <v>750</v>
      </c>
      <c r="I25" s="6" t="n">
        <v>800</v>
      </c>
    </row>
    <row r="26" customFormat="false" ht="15" hidden="false" customHeight="false" outlineLevel="0" collapsed="false">
      <c r="A26" s="0" t="s">
        <v>32</v>
      </c>
      <c r="E26" s="6" t="n">
        <v>400</v>
      </c>
      <c r="F26" s="6" t="n">
        <v>600</v>
      </c>
      <c r="G26" s="6" t="n">
        <v>800</v>
      </c>
      <c r="H26" s="6" t="n">
        <v>1000</v>
      </c>
      <c r="I26" s="6" t="n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6.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4" t="s">
        <v>35</v>
      </c>
      <c r="B3" s="4" t="s">
        <v>36</v>
      </c>
    </row>
    <row r="4" customFormat="false" ht="15" hidden="false" customHeight="false" outlineLevel="0" collapsed="false">
      <c r="A4" s="0" t="s">
        <v>18</v>
      </c>
      <c r="B4" s="8" t="n">
        <f aca="false">Assumptions!B14</f>
        <v>14400</v>
      </c>
    </row>
    <row r="5" customFormat="false" ht="15" hidden="false" customHeight="false" outlineLevel="0" collapsed="false">
      <c r="A5" s="0" t="s">
        <v>19</v>
      </c>
      <c r="B5" s="8" t="n">
        <f aca="false">Assumptions!B15</f>
        <v>13000</v>
      </c>
    </row>
    <row r="6" customFormat="false" ht="15" hidden="false" customHeight="false" outlineLevel="0" collapsed="false">
      <c r="A6" s="0" t="s">
        <v>20</v>
      </c>
      <c r="B6" s="8" t="n">
        <f aca="false">Assumptions!B16</f>
        <v>9000</v>
      </c>
    </row>
    <row r="7" customFormat="false" ht="15" hidden="false" customHeight="false" outlineLevel="0" collapsed="false">
      <c r="A7" s="0" t="s">
        <v>37</v>
      </c>
      <c r="B7" s="8" t="n">
        <f aca="false">Assumptions!$B$8</f>
        <v>3000</v>
      </c>
    </row>
    <row r="8" customFormat="false" ht="15" hidden="false" customHeight="false" outlineLevel="0" collapsed="false">
      <c r="A8" s="0" t="s">
        <v>38</v>
      </c>
      <c r="B8" s="9" t="n">
        <f aca="false">SUM(B4:B7)</f>
        <v>39400</v>
      </c>
    </row>
    <row r="9" customFormat="false" ht="15" hidden="false" customHeight="false" outlineLevel="0" collapsed="false">
      <c r="A9" s="0" t="s">
        <v>39</v>
      </c>
      <c r="B9" s="8" t="n">
        <f aca="false">-B8*Assumptions!$B$17</f>
        <v>-7880</v>
      </c>
    </row>
    <row r="10" customFormat="false" ht="15" hidden="false" customHeight="false" outlineLevel="0" collapsed="false">
      <c r="A10" s="0" t="s">
        <v>40</v>
      </c>
      <c r="B10" s="9" t="n">
        <f aca="false">B8+B9</f>
        <v>31520</v>
      </c>
    </row>
    <row r="11" customFormat="false" ht="15" hidden="false" customHeight="false" outlineLevel="0" collapsed="false">
      <c r="A11" s="0" t="s">
        <v>41</v>
      </c>
      <c r="B11" s="10" t="n">
        <f aca="false">B10/Assumptions!$B$5</f>
        <v>25.7390168218194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E3" s="11" t="s">
        <v>23</v>
      </c>
      <c r="F3" s="11" t="s">
        <v>24</v>
      </c>
      <c r="G3" s="11" t="s">
        <v>25</v>
      </c>
      <c r="H3" s="11" t="s">
        <v>26</v>
      </c>
      <c r="I3" s="11" t="s">
        <v>27</v>
      </c>
    </row>
    <row r="4" customFormat="false" ht="15" hidden="false" customHeight="false" outlineLevel="0" collapsed="false">
      <c r="A4" s="0" t="s">
        <v>48</v>
      </c>
      <c r="E4" s="8" t="n">
        <f aca="false">'Income Statement'!E10</f>
        <v>4890.6</v>
      </c>
      <c r="F4" s="8" t="n">
        <f aca="false">'Income Statement'!F10</f>
        <v>5693.844</v>
      </c>
      <c r="G4" s="8" t="n">
        <f aca="false">'Income Statement'!G10</f>
        <v>6470.88624</v>
      </c>
      <c r="H4" s="8" t="n">
        <f aca="false">'Income Statement'!H10</f>
        <v>7352.427264</v>
      </c>
      <c r="I4" s="8" t="n">
        <f aca="false">'Income Statement'!I10</f>
        <v>8277.782752512</v>
      </c>
    </row>
    <row r="5" customFormat="false" ht="15" hidden="false" customHeight="false" outlineLevel="0" collapsed="false">
      <c r="A5" s="0" t="s">
        <v>49</v>
      </c>
      <c r="E5" s="12" t="n">
        <f aca="false">1/(1+Assumptions!$B$9)^1</f>
        <v>0.806451612903226</v>
      </c>
      <c r="F5" s="12" t="n">
        <f aca="false">1/(1+Assumptions!$B$9)^2</f>
        <v>0.650364203954214</v>
      </c>
      <c r="G5" s="12" t="n">
        <f aca="false">1/(1+Assumptions!$B$9)^3</f>
        <v>0.524487261253399</v>
      </c>
      <c r="H5" s="12" t="n">
        <f aca="false">1/(1+Assumptions!$B$9)^4</f>
        <v>0.422973597784999</v>
      </c>
      <c r="I5" s="12" t="n">
        <f aca="false">1/(1+Assumptions!$B$9)^5</f>
        <v>0.341107740149193</v>
      </c>
    </row>
    <row r="6" customFormat="false" ht="15" hidden="false" customHeight="false" outlineLevel="0" collapsed="false">
      <c r="A6" s="0" t="s">
        <v>50</v>
      </c>
      <c r="E6" s="13" t="n">
        <f aca="false">E4*E5</f>
        <v>3944.03225806452</v>
      </c>
      <c r="F6" s="13" t="n">
        <f aca="false">F4*F5</f>
        <v>3703.07232049948</v>
      </c>
      <c r="G6" s="13" t="n">
        <f aca="false">G4*G5</f>
        <v>3393.8974018999</v>
      </c>
      <c r="H6" s="13" t="n">
        <f aca="false">H4*H5</f>
        <v>3109.8826123066</v>
      </c>
      <c r="I6" s="13" t="n">
        <f aca="false">I4*I5</f>
        <v>2823.61576815533</v>
      </c>
    </row>
    <row r="13" customFormat="false" ht="15" hidden="false" customHeight="false" outlineLevel="0" collapsed="false">
      <c r="A13" s="0" t="s">
        <v>51</v>
      </c>
      <c r="B13" s="13" t="n">
        <f aca="false">SUM(E6:I6)</f>
        <v>16974.5003609258</v>
      </c>
    </row>
    <row r="14" customFormat="false" ht="15" hidden="false" customHeight="false" outlineLevel="0" collapsed="false">
      <c r="A14" s="0" t="s">
        <v>52</v>
      </c>
      <c r="B14" s="13" t="n">
        <f aca="false">I4*(1+Assumptions!$B$10)/(Assumptions!$B$9-Assumptions!$B$10)</f>
        <v>70679.529656064</v>
      </c>
    </row>
    <row r="15" customFormat="false" ht="15" hidden="false" customHeight="false" outlineLevel="0" collapsed="false">
      <c r="A15" s="0" t="s">
        <v>53</v>
      </c>
      <c r="B15" s="13" t="n">
        <f aca="false">B14/(1+Assumptions!$B$9)^5</f>
        <v>24109.3346357878</v>
      </c>
    </row>
    <row r="16" customFormat="false" ht="15" hidden="false" customHeight="false" outlineLevel="0" collapsed="false">
      <c r="A16" s="0" t="s">
        <v>54</v>
      </c>
      <c r="B16" s="9" t="n">
        <f aca="false">B13+B15</f>
        <v>41083.8349967137</v>
      </c>
    </row>
    <row r="17" customFormat="false" ht="15" hidden="false" customHeight="false" outlineLevel="0" collapsed="false">
      <c r="A17" s="0" t="s">
        <v>55</v>
      </c>
      <c r="B17" s="10" t="n">
        <f aca="false">B16/Assumptions!$B$5</f>
        <v>33.5487791905224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B3" s="14" t="s">
        <v>58</v>
      </c>
      <c r="C3" s="14" t="s">
        <v>59</v>
      </c>
      <c r="D3" s="14" t="s">
        <v>60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</row>
    <row r="4" customFormat="false" ht="15" hidden="false" customHeight="false" outlineLevel="0" collapsed="false">
      <c r="A4" s="0" t="s">
        <v>61</v>
      </c>
      <c r="B4" s="6" t="n">
        <v>14700</v>
      </c>
      <c r="C4" s="6" t="n">
        <v>24300</v>
      </c>
      <c r="D4" s="6" t="n">
        <v>26000</v>
      </c>
      <c r="E4" s="13" t="n">
        <f aca="false">D4*(1+Assumptions!E22)</f>
        <v>29640</v>
      </c>
      <c r="F4" s="13" t="n">
        <f aca="false">E4*(1+Assumptions!F22)</f>
        <v>33493.2</v>
      </c>
      <c r="G4" s="13" t="n">
        <f aca="false">F4*(1+Assumptions!G22)</f>
        <v>37512.384</v>
      </c>
      <c r="H4" s="13" t="n">
        <f aca="false">G4*(1+Assumptions!H22)</f>
        <v>42013.87008</v>
      </c>
      <c r="I4" s="13" t="n">
        <f aca="false">H4*(1+Assumptions!I22)</f>
        <v>46635.3957888</v>
      </c>
    </row>
    <row r="5" customFormat="false" ht="15" hidden="false" customHeight="false" outlineLevel="0" collapsed="false">
      <c r="A5" s="0" t="s">
        <v>62</v>
      </c>
      <c r="B5" s="6" t="n">
        <v>9800</v>
      </c>
      <c r="C5" s="6" t="n">
        <v>15500</v>
      </c>
      <c r="D5" s="6" t="n">
        <v>17500</v>
      </c>
      <c r="E5" s="13" t="n">
        <f aca="false">E4*Assumptions!E23</f>
        <v>19858.8</v>
      </c>
      <c r="F5" s="13" t="n">
        <f aca="false">F4*Assumptions!F23</f>
        <v>22105.512</v>
      </c>
      <c r="G5" s="13" t="n">
        <f aca="false">G4*Assumptions!G23</f>
        <v>24570.61152</v>
      </c>
      <c r="H5" s="13" t="n">
        <f aca="false">H4*Assumptions!H23</f>
        <v>27309.015552</v>
      </c>
      <c r="I5" s="13" t="n">
        <f aca="false">I4*Assumptions!I23</f>
        <v>30079.830283776</v>
      </c>
    </row>
    <row r="6" customFormat="false" ht="15" hidden="false" customHeight="false" outlineLevel="0" collapsed="false">
      <c r="A6" s="0" t="s">
        <v>63</v>
      </c>
      <c r="B6" s="13" t="n">
        <f aca="false">B4-B5</f>
        <v>4900</v>
      </c>
      <c r="C6" s="13" t="n">
        <f aca="false">C4-C5</f>
        <v>8800</v>
      </c>
      <c r="D6" s="13" t="n">
        <f aca="false">D4-D5</f>
        <v>8500</v>
      </c>
      <c r="E6" s="13" t="n">
        <f aca="false">E4-E5</f>
        <v>9781.2</v>
      </c>
      <c r="F6" s="13" t="n">
        <f aca="false">F4-F5</f>
        <v>11387.688</v>
      </c>
      <c r="G6" s="13" t="n">
        <f aca="false">G4-G5</f>
        <v>12941.77248</v>
      </c>
      <c r="H6" s="13" t="n">
        <f aca="false">H4-H5</f>
        <v>14704.854528</v>
      </c>
      <c r="I6" s="13" t="n">
        <f aca="false">I4-I5</f>
        <v>16555.565505024</v>
      </c>
    </row>
    <row r="7" customFormat="false" ht="15" hidden="false" customHeight="false" outlineLevel="0" collapsed="false">
      <c r="A7" s="0" t="s">
        <v>64</v>
      </c>
      <c r="B7" s="6" t="n">
        <v>0</v>
      </c>
      <c r="C7" s="6" t="n">
        <v>0</v>
      </c>
      <c r="D7" s="6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</row>
    <row r="8" customFormat="false" ht="15" hidden="false" customHeight="false" outlineLevel="0" collapsed="false">
      <c r="A8" s="0" t="s">
        <v>65</v>
      </c>
      <c r="B8" s="13" t="n">
        <f aca="false">B6+B7</f>
        <v>4900</v>
      </c>
      <c r="C8" s="13" t="n">
        <f aca="false">C6+C7</f>
        <v>8800</v>
      </c>
      <c r="D8" s="13" t="n">
        <f aca="false">D6+D7</f>
        <v>8500</v>
      </c>
      <c r="E8" s="13" t="n">
        <f aca="false">E6+E7</f>
        <v>9781.2</v>
      </c>
      <c r="F8" s="13" t="n">
        <f aca="false">F6+F7</f>
        <v>11387.688</v>
      </c>
      <c r="G8" s="13" t="n">
        <f aca="false">G6+G7</f>
        <v>12941.77248</v>
      </c>
      <c r="H8" s="13" t="n">
        <f aca="false">H6+H7</f>
        <v>14704.854528</v>
      </c>
      <c r="I8" s="13" t="n">
        <f aca="false">I6+I7</f>
        <v>16555.565505024</v>
      </c>
    </row>
    <row r="9" customFormat="false" ht="15" hidden="false" customHeight="false" outlineLevel="0" collapsed="false">
      <c r="A9" s="0" t="s">
        <v>66</v>
      </c>
      <c r="B9" s="13" t="n">
        <f aca="false">B8-B10</f>
        <v>2400</v>
      </c>
      <c r="C9" s="13" t="n">
        <f aca="false">C8-C10</f>
        <v>4480</v>
      </c>
      <c r="D9" s="13" t="n">
        <f aca="false">D8-D10</f>
        <v>4400</v>
      </c>
      <c r="E9" s="13" t="n">
        <f aca="false">E8*Assumptions!$B$11</f>
        <v>4890.6</v>
      </c>
      <c r="F9" s="13" t="n">
        <f aca="false">F8*Assumptions!$B$11</f>
        <v>5693.844</v>
      </c>
      <c r="G9" s="13" t="n">
        <f aca="false">G8*Assumptions!$B$11</f>
        <v>6470.88624</v>
      </c>
      <c r="H9" s="13" t="n">
        <f aca="false">H8*Assumptions!$B$11</f>
        <v>7352.427264</v>
      </c>
      <c r="I9" s="13" t="n">
        <f aca="false">I8*Assumptions!$B$11</f>
        <v>8277.782752512</v>
      </c>
    </row>
    <row r="10" customFormat="false" ht="15" hidden="false" customHeight="false" outlineLevel="0" collapsed="false">
      <c r="A10" s="0" t="s">
        <v>67</v>
      </c>
      <c r="B10" s="6" t="n">
        <v>2500</v>
      </c>
      <c r="C10" s="6" t="n">
        <v>4320</v>
      </c>
      <c r="D10" s="6" t="n">
        <v>4100</v>
      </c>
      <c r="E10" s="13" t="n">
        <f aca="false">E8-E9</f>
        <v>4890.6</v>
      </c>
      <c r="F10" s="13" t="n">
        <f aca="false">F8-F9</f>
        <v>5693.844</v>
      </c>
      <c r="G10" s="13" t="n">
        <f aca="false">G8-G9</f>
        <v>6470.88624</v>
      </c>
      <c r="H10" s="13" t="n">
        <f aca="false">H8-H9</f>
        <v>7352.427264</v>
      </c>
      <c r="I10" s="13" t="n">
        <f aca="false">I8-I9</f>
        <v>8277.782752512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6.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B3" s="14" t="s">
        <v>58</v>
      </c>
      <c r="C3" s="14" t="s">
        <v>59</v>
      </c>
      <c r="D3" s="14" t="s">
        <v>60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</row>
    <row r="4" customFormat="false" ht="15" hidden="false" customHeight="false" outlineLevel="0" collapsed="false">
      <c r="A4" s="0" t="s">
        <v>70</v>
      </c>
      <c r="B4" s="6" t="n">
        <v>121900</v>
      </c>
      <c r="C4" s="6" t="n">
        <v>185000</v>
      </c>
      <c r="D4" s="6" t="n">
        <v>230600</v>
      </c>
      <c r="E4" s="13" t="n">
        <f aca="false">D4*1.15</f>
        <v>265190</v>
      </c>
      <c r="F4" s="13" t="n">
        <f aca="false">E4*1.15</f>
        <v>304968.5</v>
      </c>
      <c r="G4" s="13" t="n">
        <f aca="false">F4*1.15</f>
        <v>350713.775</v>
      </c>
      <c r="H4" s="13" t="n">
        <f aca="false">G4*1.15</f>
        <v>403320.84125</v>
      </c>
      <c r="I4" s="13" t="n">
        <f aca="false">H4*1.15</f>
        <v>463818.9674375</v>
      </c>
    </row>
    <row r="5" customFormat="false" ht="15" hidden="false" customHeight="false" outlineLevel="0" collapsed="false">
      <c r="A5" s="0" t="s">
        <v>71</v>
      </c>
      <c r="B5" s="6" t="n">
        <v>26500</v>
      </c>
      <c r="C5" s="6" t="n">
        <v>30500</v>
      </c>
      <c r="D5" s="6" t="n">
        <v>34200</v>
      </c>
      <c r="E5" s="8" t="n">
        <f aca="false">D5+'Income Statement'!E10-Assumptions!E26</f>
        <v>38690.6</v>
      </c>
      <c r="F5" s="8" t="n">
        <f aca="false">E5+'Income Statement'!F10-Assumptions!F26</f>
        <v>43784.444</v>
      </c>
      <c r="G5" s="8" t="n">
        <f aca="false">F5+'Income Statement'!G10-Assumptions!G26</f>
        <v>49455.33024</v>
      </c>
      <c r="H5" s="8" t="n">
        <f aca="false">G5+'Income Statement'!H10-Assumptions!H26</f>
        <v>55807.757504</v>
      </c>
      <c r="I5" s="8" t="n">
        <f aca="false">H5+'Income Statement'!I10-Assumptions!I26</f>
        <v>62885.540256512</v>
      </c>
    </row>
    <row r="6" customFormat="false" ht="15" hidden="false" customHeight="false" outlineLevel="0" collapsed="false">
      <c r="A6" s="0" t="s">
        <v>72</v>
      </c>
      <c r="B6" s="6" t="n">
        <v>8000</v>
      </c>
      <c r="C6" s="6" t="n">
        <v>10000</v>
      </c>
      <c r="D6" s="6" t="n">
        <v>12000</v>
      </c>
      <c r="E6" s="13" t="n">
        <f aca="false">D6*1.15</f>
        <v>13800</v>
      </c>
      <c r="F6" s="13" t="n">
        <f aca="false">E6*1.15</f>
        <v>15870</v>
      </c>
      <c r="G6" s="13" t="n">
        <f aca="false">F6*1.15</f>
        <v>18250.5</v>
      </c>
      <c r="H6" s="13" t="n">
        <f aca="false">G6*1.15</f>
        <v>20988.075</v>
      </c>
      <c r="I6" s="13" t="n">
        <f aca="false">H6*1.15</f>
        <v>24136.28625</v>
      </c>
    </row>
    <row r="7" customFormat="false" ht="15" hidden="false" customHeight="false" outlineLevel="0" collapsed="false">
      <c r="A7" s="0" t="s">
        <v>37</v>
      </c>
      <c r="B7" s="8" t="n">
        <f aca="false">Assumptions!$B$8</f>
        <v>3000</v>
      </c>
      <c r="C7" s="8" t="n">
        <f aca="false">Assumptions!$B$8</f>
        <v>3000</v>
      </c>
      <c r="D7" s="8" t="n">
        <f aca="false">Assumptions!$B$8</f>
        <v>3000</v>
      </c>
      <c r="E7" s="8" t="n">
        <f aca="false">Assumptions!$B$8</f>
        <v>3000</v>
      </c>
      <c r="F7" s="8" t="n">
        <f aca="false">Assumptions!$B$8</f>
        <v>3000</v>
      </c>
      <c r="G7" s="8" t="n">
        <f aca="false">Assumptions!$B$8</f>
        <v>3000</v>
      </c>
      <c r="H7" s="8" t="n">
        <f aca="false">Assumptions!$B$8</f>
        <v>3000</v>
      </c>
      <c r="I7" s="8" t="n">
        <f aca="false">Assumptions!$B$8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6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B3" s="14" t="s">
        <v>58</v>
      </c>
      <c r="C3" s="14" t="s">
        <v>59</v>
      </c>
      <c r="D3" s="14" t="s">
        <v>60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</row>
    <row r="4" customFormat="false" ht="15" hidden="false" customHeight="false" outlineLevel="0" collapsed="false">
      <c r="A4" s="0" t="s">
        <v>48</v>
      </c>
      <c r="B4" s="8" t="n">
        <f aca="false">'Income Statement'!B10</f>
        <v>2500</v>
      </c>
      <c r="C4" s="8" t="n">
        <f aca="false">'Income Statement'!C10</f>
        <v>4320</v>
      </c>
      <c r="D4" s="8" t="n">
        <f aca="false">'Income Statement'!D10</f>
        <v>4100</v>
      </c>
      <c r="E4" s="8" t="n">
        <f aca="false">'Income Statement'!E10</f>
        <v>4890.6</v>
      </c>
      <c r="F4" s="8" t="n">
        <f aca="false">'Income Statement'!F10</f>
        <v>5693.844</v>
      </c>
      <c r="G4" s="8" t="n">
        <f aca="false">'Income Statement'!G10</f>
        <v>6470.88624</v>
      </c>
      <c r="H4" s="8" t="n">
        <f aca="false">'Income Statement'!H10</f>
        <v>7352.427264</v>
      </c>
      <c r="I4" s="8" t="n">
        <f aca="false">'Income Statement'!I10</f>
        <v>8277.782752512</v>
      </c>
    </row>
    <row r="5" customFormat="false" ht="15" hidden="false" customHeight="false" outlineLevel="0" collapsed="false">
      <c r="A5" s="0" t="s">
        <v>75</v>
      </c>
      <c r="B5" s="6" t="n">
        <v>1200</v>
      </c>
      <c r="C5" s="6" t="n">
        <v>1600</v>
      </c>
      <c r="D5" s="6" t="n">
        <v>2000</v>
      </c>
      <c r="E5" s="8" t="n">
        <f aca="false">'Income Statement'!E4*Assumptions!E24</f>
        <v>2371.2</v>
      </c>
      <c r="F5" s="8" t="n">
        <f aca="false">'Income Statement'!F4*Assumptions!F24</f>
        <v>2679.456</v>
      </c>
      <c r="G5" s="8" t="n">
        <f aca="false">'Income Statement'!G4*Assumptions!G24</f>
        <v>3000.99072</v>
      </c>
      <c r="H5" s="8" t="n">
        <f aca="false">'Income Statement'!H4*Assumptions!H24</f>
        <v>3361.1096064</v>
      </c>
      <c r="I5" s="8" t="n">
        <f aca="false">'Income Statement'!I4*Assumptions!I24</f>
        <v>3730.831663104</v>
      </c>
    </row>
    <row r="6" customFormat="false" ht="15" hidden="false" customHeight="false" outlineLevel="0" collapsed="false">
      <c r="A6" s="0" t="s">
        <v>76</v>
      </c>
      <c r="B6" s="13" t="n">
        <f aca="false">B4+B5</f>
        <v>3700</v>
      </c>
      <c r="C6" s="13" t="n">
        <f aca="false">C4+C5</f>
        <v>5920</v>
      </c>
      <c r="D6" s="13" t="n">
        <f aca="false">D4+D5</f>
        <v>6100</v>
      </c>
      <c r="E6" s="13" t="n">
        <f aca="false">E4+E5</f>
        <v>7261.8</v>
      </c>
      <c r="F6" s="13" t="n">
        <f aca="false">F4+F5</f>
        <v>8373.3</v>
      </c>
      <c r="G6" s="13" t="n">
        <f aca="false">G4+G5</f>
        <v>9471.87696</v>
      </c>
      <c r="H6" s="13" t="n">
        <f aca="false">H4+H5</f>
        <v>10713.5368704</v>
      </c>
      <c r="I6" s="13" t="n">
        <f aca="false">I4+I5</f>
        <v>12008.614415616</v>
      </c>
    </row>
    <row r="7" customFormat="false" ht="15" hidden="false" customHeight="false" outlineLevel="0" collapsed="false">
      <c r="A7" s="0" t="s">
        <v>77</v>
      </c>
      <c r="B7" s="6" t="n">
        <v>-500</v>
      </c>
      <c r="C7" s="6" t="n">
        <v>-550</v>
      </c>
      <c r="D7" s="6" t="n">
        <v>-600</v>
      </c>
      <c r="E7" s="8" t="n">
        <f aca="false">-Assumptions!E25</f>
        <v>-600</v>
      </c>
      <c r="F7" s="8" t="n">
        <f aca="false">-Assumptions!F25</f>
        <v>-650</v>
      </c>
      <c r="G7" s="8" t="n">
        <f aca="false">-Assumptions!G25</f>
        <v>-700</v>
      </c>
      <c r="H7" s="8" t="n">
        <f aca="false">-Assumptions!H25</f>
        <v>-750</v>
      </c>
      <c r="I7" s="8" t="n">
        <f aca="false">-Assumptions!I25</f>
        <v>-800</v>
      </c>
    </row>
    <row r="8" customFormat="false" ht="15" hidden="false" customHeight="false" outlineLevel="0" collapsed="false">
      <c r="A8" s="0" t="s">
        <v>78</v>
      </c>
      <c r="B8" s="6" t="n">
        <v>-1300</v>
      </c>
      <c r="C8" s="6" t="n">
        <v>0</v>
      </c>
      <c r="D8" s="6" t="n">
        <v>0</v>
      </c>
      <c r="E8" s="8" t="n">
        <f aca="false">-Assumptions!E26</f>
        <v>-400</v>
      </c>
      <c r="F8" s="8" t="n">
        <f aca="false">-Assumptions!F26</f>
        <v>-600</v>
      </c>
      <c r="G8" s="8" t="n">
        <f aca="false">-Assumptions!G26</f>
        <v>-800</v>
      </c>
      <c r="H8" s="8" t="n">
        <f aca="false">-Assumptions!H26</f>
        <v>-1000</v>
      </c>
      <c r="I8" s="8" t="n">
        <f aca="false">-Assumptions!I26</f>
        <v>-1200</v>
      </c>
    </row>
    <row r="9" customFormat="false" ht="15" hidden="false" customHeight="false" outlineLevel="0" collapsed="false">
      <c r="A9" s="0" t="s">
        <v>79</v>
      </c>
      <c r="B9" s="13" t="n">
        <f aca="false">B6+B7+B8</f>
        <v>1900</v>
      </c>
      <c r="C9" s="13" t="n">
        <f aca="false">C6+C7+C8</f>
        <v>5370</v>
      </c>
      <c r="D9" s="13" t="n">
        <f aca="false">D6+D7+D8</f>
        <v>5500</v>
      </c>
      <c r="E9" s="13" t="n">
        <f aca="false">E6+E7+E8</f>
        <v>6261.8</v>
      </c>
      <c r="F9" s="13" t="n">
        <f aca="false">F6+F7+F8</f>
        <v>7123.3</v>
      </c>
      <c r="G9" s="13" t="n">
        <f aca="false">G6+G7+G8</f>
        <v>7971.87696</v>
      </c>
      <c r="H9" s="13" t="n">
        <f aca="false">H6+H7+H8</f>
        <v>8963.5368704</v>
      </c>
      <c r="I9" s="13" t="n">
        <f aca="false">I6+I7+I8</f>
        <v>10008.614415616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6.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3" customFormat="false" ht="15" hidden="false" customHeight="false" outlineLevel="0" collapsed="false">
      <c r="B3" s="14" t="s">
        <v>58</v>
      </c>
      <c r="C3" s="14" t="s">
        <v>59</v>
      </c>
      <c r="D3" s="14" t="s">
        <v>60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</row>
    <row r="4" customFormat="false" ht="15" hidden="false" customHeight="false" outlineLevel="0" collapsed="false">
      <c r="A4" s="0" t="s">
        <v>61</v>
      </c>
      <c r="B4" s="8" t="n">
        <f aca="false">'Income Statement'!B4</f>
        <v>14700</v>
      </c>
      <c r="C4" s="8" t="n">
        <f aca="false">'Income Statement'!C4</f>
        <v>24300</v>
      </c>
      <c r="D4" s="8" t="n">
        <f aca="false">'Income Statement'!D4</f>
        <v>26000</v>
      </c>
      <c r="E4" s="8" t="n">
        <f aca="false">'Income Statement'!E4</f>
        <v>29640</v>
      </c>
      <c r="F4" s="8" t="n">
        <f aca="false">'Income Statement'!F4</f>
        <v>33493.2</v>
      </c>
      <c r="G4" s="8" t="n">
        <f aca="false">'Income Statement'!G4</f>
        <v>37512.384</v>
      </c>
      <c r="H4" s="8" t="n">
        <f aca="false">'Income Statement'!H4</f>
        <v>42013.87008</v>
      </c>
      <c r="I4" s="8" t="n">
        <f aca="false">'Income Statement'!I4</f>
        <v>46635.3957888</v>
      </c>
    </row>
    <row r="5" customFormat="false" ht="15" hidden="false" customHeight="false" outlineLevel="0" collapsed="false">
      <c r="A5" s="0" t="s">
        <v>63</v>
      </c>
      <c r="B5" s="8" t="n">
        <f aca="false">'Income Statement'!B6</f>
        <v>4900</v>
      </c>
      <c r="C5" s="8" t="n">
        <f aca="false">'Income Statement'!C6</f>
        <v>8800</v>
      </c>
      <c r="D5" s="8" t="n">
        <f aca="false">'Income Statement'!D6</f>
        <v>8500</v>
      </c>
      <c r="E5" s="8" t="n">
        <f aca="false">'Income Statement'!E6</f>
        <v>9781.2</v>
      </c>
      <c r="F5" s="8" t="n">
        <f aca="false">'Income Statement'!F6</f>
        <v>11387.688</v>
      </c>
      <c r="G5" s="8" t="n">
        <f aca="false">'Income Statement'!G6</f>
        <v>12941.77248</v>
      </c>
      <c r="H5" s="8" t="n">
        <f aca="false">'Income Statement'!H6</f>
        <v>14704.854528</v>
      </c>
      <c r="I5" s="8" t="n">
        <f aca="false">'Income Statement'!I6</f>
        <v>16555.565505024</v>
      </c>
    </row>
    <row r="6" customFormat="false" ht="15" hidden="false" customHeight="false" outlineLevel="0" collapsed="false">
      <c r="A6" s="0" t="s">
        <v>82</v>
      </c>
      <c r="B6" s="8" t="n">
        <f aca="false">'Income Statement'!B10</f>
        <v>2500</v>
      </c>
      <c r="C6" s="8" t="n">
        <f aca="false">'Income Statement'!C10</f>
        <v>4320</v>
      </c>
      <c r="D6" s="8" t="n">
        <f aca="false">'Income Statement'!D10</f>
        <v>4100</v>
      </c>
      <c r="E6" s="8" t="n">
        <f aca="false">'Income Statement'!E10</f>
        <v>4890.6</v>
      </c>
      <c r="F6" s="8" t="n">
        <f aca="false">'Income Statement'!F10</f>
        <v>5693.844</v>
      </c>
      <c r="G6" s="8" t="n">
        <f aca="false">'Income Statement'!G10</f>
        <v>6470.88624</v>
      </c>
      <c r="H6" s="8" t="n">
        <f aca="false">'Income Statement'!H10</f>
        <v>7352.427264</v>
      </c>
      <c r="I6" s="8" t="n">
        <f aca="false">'Income Statement'!I10</f>
        <v>8277.782752512</v>
      </c>
    </row>
    <row r="7" customFormat="false" ht="15" hidden="false" customHeight="false" outlineLevel="0" collapsed="false">
      <c r="A7" s="0" t="s">
        <v>70</v>
      </c>
      <c r="B7" s="8" t="n">
        <f aca="false">'Balance Sheet'!B4</f>
        <v>121900</v>
      </c>
      <c r="C7" s="8" t="n">
        <f aca="false">'Balance Sheet'!C4</f>
        <v>185000</v>
      </c>
      <c r="D7" s="8" t="n">
        <f aca="false">'Balance Sheet'!D4</f>
        <v>230600</v>
      </c>
      <c r="E7" s="8" t="n">
        <f aca="false">'Balance Sheet'!E4</f>
        <v>265190</v>
      </c>
      <c r="F7" s="8" t="n">
        <f aca="false">'Balance Sheet'!F4</f>
        <v>304968.5</v>
      </c>
      <c r="G7" s="8" t="n">
        <f aca="false">'Balance Sheet'!G4</f>
        <v>350713.775</v>
      </c>
      <c r="H7" s="8" t="n">
        <f aca="false">'Balance Sheet'!H4</f>
        <v>403320.84125</v>
      </c>
      <c r="I7" s="8" t="n">
        <f aca="false">'Balance Sheet'!I4</f>
        <v>463818.9674375</v>
      </c>
    </row>
    <row r="8" customFormat="false" ht="15" hidden="false" customHeight="false" outlineLevel="0" collapsed="false">
      <c r="A8" s="0" t="s">
        <v>83</v>
      </c>
      <c r="B8" s="8" t="n">
        <f aca="false">'Balance Sheet'!B5</f>
        <v>26500</v>
      </c>
      <c r="C8" s="8" t="n">
        <f aca="false">'Balance Sheet'!C5</f>
        <v>30500</v>
      </c>
      <c r="D8" s="8" t="n">
        <f aca="false">'Balance Sheet'!D5</f>
        <v>34200</v>
      </c>
      <c r="E8" s="8" t="n">
        <f aca="false">'Balance Sheet'!E5</f>
        <v>38690.6</v>
      </c>
      <c r="F8" s="8" t="n">
        <f aca="false">'Balance Sheet'!F5</f>
        <v>43784.444</v>
      </c>
      <c r="G8" s="8" t="n">
        <f aca="false">'Balance Sheet'!G5</f>
        <v>49455.33024</v>
      </c>
      <c r="H8" s="8" t="n">
        <f aca="false">'Balance Sheet'!H5</f>
        <v>55807.757504</v>
      </c>
      <c r="I8" s="8" t="n">
        <f aca="false">'Balance Sheet'!I5</f>
        <v>62885.540256512</v>
      </c>
    </row>
    <row r="9" customFormat="false" ht="15" hidden="false" customHeight="false" outlineLevel="0" collapsed="false">
      <c r="A9" s="0" t="s">
        <v>84</v>
      </c>
      <c r="B9" s="8" t="n">
        <f aca="false">'Cash Flow'!B6</f>
        <v>3700</v>
      </c>
      <c r="C9" s="8" t="n">
        <f aca="false">'Cash Flow'!C6</f>
        <v>5920</v>
      </c>
      <c r="D9" s="8" t="n">
        <f aca="false">'Cash Flow'!D6</f>
        <v>6100</v>
      </c>
      <c r="E9" s="8" t="n">
        <f aca="false">'Cash Flow'!E6</f>
        <v>7261.8</v>
      </c>
      <c r="F9" s="8" t="n">
        <f aca="false">'Cash Flow'!F6</f>
        <v>8373.3</v>
      </c>
      <c r="G9" s="8" t="n">
        <f aca="false">'Cash Flow'!G6</f>
        <v>9471.87696</v>
      </c>
      <c r="H9" s="8" t="n">
        <f aca="false">'Cash Flow'!H6</f>
        <v>10713.5368704</v>
      </c>
      <c r="I9" s="8" t="n">
        <f aca="false">'Cash Flow'!I6</f>
        <v>12008.614415616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15" hidden="false" customHeight="false" outlineLevel="0" collapsed="false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92</v>
      </c>
    </row>
    <row r="4" customFormat="false" ht="15" hidden="false" customHeight="false" outlineLevel="0" collapsed="false">
      <c r="A4" s="0" t="s">
        <v>93</v>
      </c>
      <c r="B4" s="3" t="n">
        <f aca="false">Assumptions!$B$4*0.88</f>
        <v>23.6104</v>
      </c>
      <c r="C4" s="3" t="n">
        <f aca="false">Assumptions!$B$4*0.95</f>
        <v>25.4885</v>
      </c>
      <c r="D4" s="3" t="n">
        <f aca="false">Assumptions!$B$4*1</f>
        <v>26.83</v>
      </c>
      <c r="E4" s="3" t="n">
        <f aca="false">Assumptions!$B$4*1.06</f>
        <v>28.4398</v>
      </c>
      <c r="F4" s="3" t="n">
        <f aca="false">Assumptions!$B$4*1.15</f>
        <v>30.8545</v>
      </c>
    </row>
    <row r="5" customFormat="false" ht="15" hidden="false" customHeight="false" outlineLevel="0" collapsed="false">
      <c r="A5" s="0" t="s">
        <v>94</v>
      </c>
      <c r="B5" s="3" t="n">
        <f aca="false">Assumptions!$B$4*0.79</f>
        <v>21.1957</v>
      </c>
      <c r="C5" s="3" t="n">
        <f aca="false">Assumptions!$B$4*0.91</f>
        <v>24.4153</v>
      </c>
      <c r="D5" s="3" t="n">
        <f aca="false">Assumptions!$B$4*1</f>
        <v>26.83</v>
      </c>
      <c r="E5" s="3" t="n">
        <f aca="false">Assumptions!$B$4*1.1</f>
        <v>29.513</v>
      </c>
      <c r="F5" s="3" t="n">
        <f aca="false">Assumptions!$B$4*1.28</f>
        <v>34.3424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3" customFormat="false" ht="15" hidden="false" customHeight="false" outlineLevel="0" collapsed="false">
      <c r="A3" s="4" t="s">
        <v>21</v>
      </c>
      <c r="B3" s="4" t="s">
        <v>97</v>
      </c>
      <c r="C3" s="4" t="s">
        <v>98</v>
      </c>
      <c r="D3" s="4" t="s">
        <v>99</v>
      </c>
    </row>
    <row r="4" customFormat="false" ht="15" hidden="false" customHeight="false" outlineLevel="0" collapsed="false">
      <c r="A4" s="0" t="s">
        <v>41</v>
      </c>
      <c r="B4" s="15" t="n">
        <f aca="false">SOTP!$B$8*(1-0.1)/Assumptions!$B$5</f>
        <v>28.9563939245468</v>
      </c>
      <c r="C4" s="15" t="n">
        <f aca="false">SOTP!$B$8*(1-0.2)/Assumptions!$B$5</f>
        <v>25.7390168218194</v>
      </c>
      <c r="D4" s="15" t="n">
        <f aca="false">SOTP!$B$8*(1-0.3)/Assumptions!$B$5</f>
        <v>22.521639719092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6.1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0" t="s">
        <v>3</v>
      </c>
      <c r="B3" s="15" t="n">
        <f aca="false">Assumptions!$B$4</f>
        <v>26.83</v>
      </c>
    </row>
    <row r="4" customFormat="false" ht="15" hidden="false" customHeight="false" outlineLevel="0" collapsed="false">
      <c r="A4" s="0" t="s">
        <v>101</v>
      </c>
      <c r="B4" s="15" t="n">
        <f aca="false">'Income Statement'!E10/Assumptions!$B$5</f>
        <v>3.99363057324841</v>
      </c>
    </row>
    <row r="5" customFormat="false" ht="15" hidden="false" customHeight="false" outlineLevel="0" collapsed="false">
      <c r="A5" s="0" t="s">
        <v>102</v>
      </c>
      <c r="B5" s="16" t="n">
        <f aca="false">B3/B4</f>
        <v>6.71819776714513</v>
      </c>
    </row>
    <row r="6" customFormat="false" ht="15" hidden="false" customHeight="false" outlineLevel="0" collapsed="false">
      <c r="A6" s="0" t="s">
        <v>4</v>
      </c>
      <c r="B6" s="15" t="n">
        <f aca="false">SOTP!B11</f>
        <v>25.7390168218194</v>
      </c>
    </row>
    <row r="7" customFormat="false" ht="15" hidden="false" customHeight="false" outlineLevel="0" collapsed="false">
      <c r="A7" s="0" t="s">
        <v>5</v>
      </c>
      <c r="B7" s="15" t="n">
        <f aca="false">DCF!B17</f>
        <v>33.5487791905224</v>
      </c>
    </row>
    <row r="8" customFormat="false" ht="15" hidden="false" customHeight="false" outlineLevel="0" collapsed="false">
      <c r="A8" s="0" t="s">
        <v>103</v>
      </c>
      <c r="B8" s="15" t="n">
        <f aca="false">'Balance Sheet'!D5/Assumptions!$B$5</f>
        <v>27.9274865262126</v>
      </c>
    </row>
    <row r="9" customFormat="false" ht="15" hidden="false" customHeight="false" outlineLevel="0" collapsed="false">
      <c r="A9" s="0" t="s">
        <v>104</v>
      </c>
      <c r="B9" s="16" t="n">
        <f aca="false">B3/B8</f>
        <v>0.960702280701754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2026-07-02T13:53:51Z</dcterms:created>
  <dc:creator>openpyxl</dc:creator>
  <dc:description/>
  <dc:language>en-US</dc:language>
  <cp:lastModifiedBy/>
  <dcterms:modified xsi:type="dcterms:W3CDTF">2026-07-02T13:53:52Z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