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OTP Bridge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0"/>
    <numFmt numFmtId="165" formatCode="0.0000"/>
    <numFmt numFmtId="166" formatCode="#,##0.0"/>
    <numFmt numFmtId="167" formatCode="0.000"/>
    <numFmt numFmtId="168" formatCode="0.0"/>
    <numFmt numFmtId="169" formatCode="0.0%"/>
  </numFmts>
  <fonts count="6">
    <font>
      <name val="Calibri"/>
      <family val="2"/>
      <color theme="1"/>
      <sz val="11"/>
      <scheme val="minor"/>
    </font>
    <font>
      <b val="1"/>
      <color rgb="001C3A36"/>
      <sz val="10"/>
    </font>
    <font>
      <color rgb="001C3A36"/>
      <sz val="10"/>
    </font>
    <font>
      <i val="1"/>
      <color rgb="006E7B77"/>
      <sz val="8.5"/>
    </font>
    <font>
      <color rgb="001F4EB0"/>
      <sz val="10"/>
    </font>
    <font>
      <b val="1"/>
      <color rgb="001F4EB0"/>
      <sz val="10"/>
    </font>
  </fonts>
  <fills count="3">
    <fill>
      <patternFill/>
    </fill>
    <fill>
      <patternFill patternType="gray125"/>
    </fill>
    <fill>
      <patternFill patternType="solid">
        <fgColor rgb="00EAF0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2" fillId="0" borderId="0" pivotButton="0" quotePrefix="0" xfId="0"/>
    <xf numFmtId="168" fontId="2" fillId="0" borderId="0" pivotButton="0" quotePrefix="0" xfId="0"/>
    <xf numFmtId="166" fontId="4" fillId="0" borderId="0" pivotButton="0" quotePrefix="0" xfId="0"/>
    <xf numFmtId="2" fontId="4" fillId="0" borderId="0" pivotButton="0" quotePrefix="0" xfId="0"/>
    <xf numFmtId="0" fontId="1" fillId="2" borderId="0" pivotButton="0" quotePrefix="0" xfId="0"/>
    <xf numFmtId="2" fontId="1" fillId="0" borderId="0" pivotButton="0" quotePrefix="0" xfId="0"/>
    <xf numFmtId="168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5" fontId="2" fillId="0" borderId="0" pivotButton="0" quotePrefix="0" xfId="0"/>
    <xf numFmtId="167" fontId="4" fillId="0" borderId="0" pivotButton="0" quotePrefix="0" xfId="0"/>
    <xf numFmtId="3" fontId="4" fillId="0" borderId="0" pivotButton="0" quotePrefix="0" xfId="0"/>
    <xf numFmtId="166" fontId="1" fillId="0" borderId="0" pivotButton="0" quotePrefix="0" xfId="0"/>
    <xf numFmtId="3" fontId="2" fillId="0" borderId="0" pivotButton="0" quotePrefix="0" xfId="0"/>
    <xf numFmtId="166" fontId="5" fillId="0" borderId="0" pivotButton="0" quotePrefix="0" xfId="0"/>
    <xf numFmtId="169" fontId="2" fillId="0" borderId="0" pivotButton="0" quotePrefix="0" xfId="0"/>
    <xf numFmtId="1" fontId="4" fillId="0" borderId="0" pivotButton="0" quotePrefix="0" xfId="0"/>
    <xf numFmtId="9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6"/>
  <sheetViews>
    <sheetView workbookViewId="0">
      <selection activeCell="A1" sqref="A1"/>
    </sheetView>
  </sheetViews>
  <sheetFormatPr baseColWidth="8" defaultRowHeight="15"/>
  <cols>
    <col width="2" customWidth="1" min="1" max="1"/>
    <col width="118" customWidth="1" min="2" max="2"/>
  </cols>
  <sheetData>
    <row r="2">
      <c r="B2" s="1" t="inlineStr">
        <is>
          <t>GB Corp (GBCO.CA / EGX) — valuation model, fundamental refresh of 19 August 2026</t>
        </is>
      </c>
    </row>
    <row r="4">
      <c r="B4" s="2" t="inlineStr"/>
    </row>
    <row r="6">
      <c r="B6" s="2" t="inlineStr">
        <is>
          <t>What this file is. The full re-build of the July 2026 model on the H1-2026 disclosure set: the KPMG-reviewed consolidated interim financial statements of 30 June 2026 and the 2Q/1H26 results release, both published 13 August 2026.</t>
        </is>
      </c>
    </row>
    <row r="8">
      <c r="B8" s="2" t="inlineStr">
        <is>
          <t>Blue cells are inputs — every one is a disclosed figure, a sourced market quote, or a stated modelling decision, annotated where it sits. Black cells are formulas: change a blue driver on the Assumptions sheet and the fair value reprices through Segments, the cash-flow model, the holding bridge and the summary.</t>
        </is>
      </c>
    </row>
    <row r="10">
      <c r="B10" s="2" t="inlineStr">
        <is>
          <t>The contested stake is computed both ways, side by side, and never averaged: MNT-Halan at the June-2026 funding-round mark (USD 1.4bn, first close) and at the company's own balance-sheet carrying value (EGP 15.72bn, equity-method, which the reviewer could not verify — a qualified review conclusion, second consecutive period). The two SOTP and central values are shown in parallel everywhere.</t>
        </is>
      </c>
    </row>
    <row r="12">
      <c r="B12" s="2" t="inlineStr">
        <is>
          <t>The price-probability sheet reproduces the site's published price map unchanged (struck 22 July 2026). This refresh moves the fundamental fair-value range only; the price map and technical levels are on their own clock and were not re-struck.</t>
        </is>
      </c>
    </row>
    <row r="14">
      <c r="B14" s="2" t="inlineStr">
        <is>
          <t>Line-of-business revenue is on the results-release basis; per-line margins are anchored on the statements' segment note, whose boundaries differ slightly (statement passenger-car revenue includes after-sales). Flagged here once; both bases are shown on Segments.</t>
        </is>
      </c>
    </row>
    <row r="16">
      <c r="B16" s="3" t="inlineStr">
        <is>
          <t>All amounts in EGP millions unless stated. Model date 19 August 2026.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B1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</cols>
  <sheetData>
    <row r="2">
      <c r="B2" s="1" t="inlineStr">
        <is>
          <t>GB Corp — fair value at a glance (refresh of 19 August 2026)</t>
        </is>
      </c>
    </row>
    <row r="4">
      <c r="A4" s="2" t="inlineStr">
        <is>
          <t>Last library close (22-Jul-26)</t>
        </is>
      </c>
      <c r="B4" s="4">
        <f>Assumptions!B6</f>
        <v/>
      </c>
    </row>
    <row r="5">
      <c r="A5" s="2" t="inlineStr">
        <is>
          <t>Fair value — bear</t>
        </is>
      </c>
      <c r="B5" s="5">
        <f>'Fundamental Valuation'!B15</f>
        <v/>
      </c>
    </row>
    <row r="6">
      <c r="A6" s="2" t="inlineStr">
        <is>
          <t>Fair value — base (round mark)</t>
        </is>
      </c>
      <c r="B6" s="4">
        <f>'Fundamental Valuation'!B16</f>
        <v/>
      </c>
    </row>
    <row r="7">
      <c r="A7" s="2" t="inlineStr">
        <is>
          <t>Fair value — central under the balance-sheet mark</t>
        </is>
      </c>
      <c r="B7" s="4">
        <f>'Fundamental Valuation'!B12</f>
        <v/>
      </c>
    </row>
    <row r="8">
      <c r="A8" s="2" t="inlineStr">
        <is>
          <t>Fair value — bull</t>
        </is>
      </c>
      <c r="B8" s="5">
        <f>'Fundamental Valuation'!B17</f>
        <v/>
      </c>
    </row>
    <row r="10">
      <c r="A10" s="2" t="inlineStr">
        <is>
          <t>H1-26 group revenue (+35.2%)</t>
        </is>
      </c>
      <c r="B10" s="6" t="n">
        <v>48474.374</v>
      </c>
    </row>
    <row r="11">
      <c r="A11" s="2" t="inlineStr">
        <is>
          <t>H1-26 group net profit (−24.5%)</t>
        </is>
      </c>
      <c r="B11" s="6" t="n">
        <v>1262.006</v>
      </c>
    </row>
    <row r="12">
      <c r="A12" s="2" t="inlineStr">
        <is>
          <t>Automotive net debt, 30-Jun-26 (2.14x EBITDA)</t>
        </is>
      </c>
      <c r="B12" s="6" t="n">
        <v>14493.6</v>
      </c>
    </row>
    <row r="13">
      <c r="A13" s="2" t="inlineStr">
        <is>
          <t>MNT-Halan gap, per share (round vs book, post-discount)</t>
        </is>
      </c>
      <c r="B13" s="7" t="n">
        <v>12.23287064025795</v>
      </c>
    </row>
    <row r="15">
      <c r="A15" s="3" t="inlineStr">
        <is>
          <t>The July study's range was 23.3 / 35.7 / 51. The base barely moves; the bear deepens because the company's own accounts now carry the contested stake at half the round, under a qualified review.</t>
        </is>
      </c>
    </row>
  </sheetData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D17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0" customWidth="1" min="3" max="3"/>
    <col width="56" customWidth="1" min="4" max="4"/>
  </cols>
  <sheetData>
    <row r="2">
      <c r="B2" s="1" t="inlineStr">
        <is>
          <t>Four lenses, one field — the synthesis (both framings of the contested stake)</t>
        </is>
      </c>
    </row>
    <row r="4">
      <c r="A4" s="8" t="inlineStr">
        <is>
          <t>Lens</t>
        </is>
      </c>
      <c r="B4" s="8" t="inlineStr">
        <is>
          <t>Value / share</t>
        </is>
      </c>
      <c r="C4" s="8" t="inlineStr">
        <is>
          <t>Weight</t>
        </is>
      </c>
    </row>
    <row r="5">
      <c r="A5" s="2" t="inlineStr">
        <is>
          <t>Sum of the parts — round mark</t>
        </is>
      </c>
      <c r="B5" s="4">
        <f>'SOTP Bridge'!B13</f>
        <v/>
      </c>
      <c r="C5" s="7" t="n">
        <v>0.4</v>
      </c>
    </row>
    <row r="6">
      <c r="A6" s="2" t="inlineStr">
        <is>
          <t>Sum of the parts — balance-sheet mark</t>
        </is>
      </c>
      <c r="B6" s="4">
        <f>'SOTP Bridge'!C13</f>
        <v/>
      </c>
      <c r="C6" s="3" t="inlineStr">
        <is>
          <t>same weight as row 5 — the framings alternate, they never blend</t>
        </is>
      </c>
    </row>
    <row r="7">
      <c r="A7" s="2" t="inlineStr">
        <is>
          <t>Book value &amp; sustainable return</t>
        </is>
      </c>
      <c r="B7" s="7" t="n">
        <v>30.81922432058959</v>
      </c>
      <c r="C7" s="7" t="n">
        <v>0.15</v>
      </c>
      <c r="D7" s="3" t="inlineStr">
        <is>
          <t>restated book per share (30-Jun-26 parent equity / shares)</t>
        </is>
      </c>
    </row>
    <row r="8">
      <c r="A8" s="2" t="inlineStr">
        <is>
          <t>Relative multiples</t>
        </is>
      </c>
      <c r="B8" s="4">
        <f>'Relative &amp; Normalized'!C6</f>
        <v/>
      </c>
      <c r="C8" s="7" t="n">
        <v>0.2</v>
      </c>
    </row>
    <row r="9">
      <c r="A9" s="2" t="inlineStr">
        <is>
          <t>Normalised earnings power</t>
        </is>
      </c>
      <c r="B9" s="4">
        <f>'Relative &amp; Normalized'!C14</f>
        <v/>
      </c>
      <c r="C9" s="7" t="n">
        <v>0.25</v>
      </c>
    </row>
    <row r="11">
      <c r="A11" s="1" t="inlineStr">
        <is>
          <t>Weighted central — round mark</t>
        </is>
      </c>
      <c r="B11" s="9">
        <f>B5*C5+B7*C7+B8*C8+B9*C9</f>
        <v/>
      </c>
    </row>
    <row r="12">
      <c r="A12" s="1" t="inlineStr">
        <is>
          <t>Weighted central — balance-sheet mark</t>
        </is>
      </c>
      <c r="B12" s="9">
        <f>B6*C5+B7*C7+B8*C8+B9*C9</f>
        <v/>
      </c>
    </row>
    <row r="14">
      <c r="A14" s="8" t="inlineStr">
        <is>
          <t>Published range</t>
        </is>
      </c>
    </row>
    <row r="15">
      <c r="A15" s="2" t="inlineStr">
        <is>
          <t>Bear (balance-sheet-mark world, operating bear)</t>
        </is>
      </c>
      <c r="B15" s="10" t="n">
        <v>19.4</v>
      </c>
    </row>
    <row r="16">
      <c r="A16" s="2" t="inlineStr">
        <is>
          <t>Base (round-mark central)</t>
        </is>
      </c>
      <c r="B16" s="4">
        <f>B11</f>
        <v/>
      </c>
    </row>
    <row r="17">
      <c r="A17" s="2" t="inlineStr">
        <is>
          <t>Bull (round-mark world, operating bull)</t>
        </is>
      </c>
      <c r="B17" s="10" t="n">
        <v>47.4</v>
      </c>
    </row>
  </sheetData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I7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7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2">
      <c r="B2" s="1" t="inlineStr">
        <is>
          <t>Assumptions — every driver of the model, with source and date</t>
        </is>
      </c>
    </row>
    <row r="4">
      <c r="B4" s="8" t="inlineStr">
        <is>
          <t>Capital &amp; market</t>
        </is>
      </c>
    </row>
    <row r="5">
      <c r="B5" s="11" t="n">
        <v>1085.5</v>
      </c>
      <c r="C5" s="3" t="inlineStr">
        <is>
          <t>Shares outstanding (mn) — 2Q/1H26 release</t>
        </is>
      </c>
    </row>
    <row r="6">
      <c r="B6" s="11" t="n">
        <v>31.31</v>
      </c>
      <c r="C6" s="3" t="inlineStr">
        <is>
          <t>Last library close, 22-Jul-2026 (published page anchor)</t>
        </is>
      </c>
    </row>
    <row r="7">
      <c r="B7" s="11" t="n">
        <v>29.7</v>
      </c>
      <c r="C7" s="3" t="inlineStr">
        <is>
          <t>EGX quote on the company's IR page, 19-Aug-2026 (market-cap basis)</t>
        </is>
      </c>
    </row>
    <row r="8">
      <c r="B8" s="11" t="n">
        <v>0.225</v>
      </c>
      <c r="C8" s="3" t="inlineStr">
        <is>
          <t>Statutory corporate tax (FS note 11-C)</t>
        </is>
      </c>
    </row>
    <row r="9">
      <c r="B9" s="11" t="n">
        <v>0.115</v>
      </c>
      <c r="C9" s="3" t="inlineStr">
        <is>
          <t>Terminal growth, nominal EGP</t>
        </is>
      </c>
    </row>
    <row r="11">
      <c r="B11" s="8" t="inlineStr">
        <is>
          <t>Cost of capital (v2: rf* = observed yield − sovereign's own default spread)</t>
        </is>
      </c>
    </row>
    <row r="12">
      <c r="B12" s="12" t="n">
        <v>0.2292</v>
      </c>
      <c r="C12" s="3" t="inlineStr">
        <is>
          <t>Egypt 10Y local yield, investing.com 19-Aug-2026</t>
        </is>
      </c>
    </row>
    <row r="13">
      <c r="B13" s="12" t="n">
        <v>0.06370000000000001</v>
      </c>
      <c r="C13" s="3" t="inlineStr">
        <is>
          <t>Adjusted default spread, rating basis — Damodaran Jan-2026</t>
        </is>
      </c>
    </row>
    <row r="14">
      <c r="B14" s="12" t="n">
        <v>0.0341</v>
      </c>
      <c r="C14" s="3" t="inlineStr">
        <is>
          <t>Sovereign CDS spread — Damodaran Jan-2026</t>
        </is>
      </c>
    </row>
    <row r="15">
      <c r="B15" s="12" t="n">
        <v>0.1394</v>
      </c>
      <c r="C15" s="3" t="inlineStr">
        <is>
          <t>Total ERP, rating basis — Damodaran Jan-2026</t>
        </is>
      </c>
    </row>
    <row r="16">
      <c r="B16" s="12" t="n">
        <v>0.0941</v>
      </c>
      <c r="C16" s="3" t="inlineStr">
        <is>
          <t>Total ERP, sovereign-CDS basis — Damodaran Jan-2026</t>
        </is>
      </c>
    </row>
    <row r="17">
      <c r="B17" s="12" t="n">
        <v>0.8927482097434627</v>
      </c>
      <c r="C17" s="3" t="inlineStr">
        <is>
          <t>Weekly beta vs EGX30, 5y Dimson (n=255, R2 0.24) — own regression</t>
        </is>
      </c>
    </row>
    <row r="18">
      <c r="B18" s="12" t="n">
        <v>0.2082</v>
      </c>
      <c r="C18" s="3" t="inlineStr">
        <is>
          <t>Avg rate, current EGP borrowings H1-26 — FS note 26 (variable-rate book)</t>
        </is>
      </c>
    </row>
    <row r="19">
      <c r="B19" s="12" t="n">
        <v>0.1968</v>
      </c>
      <c r="C19" s="3" t="inlineStr">
        <is>
          <t>USD tranche in local-equivalent terms: 7.78% + expected depreciation</t>
        </is>
      </c>
    </row>
    <row r="20">
      <c r="B20" s="12" t="n">
        <v>0.9</v>
      </c>
      <c r="C20" s="3" t="inlineStr">
        <is>
          <t>EGP share of auto-leg debt (USD split not disclosed; bounded, flagged)</t>
        </is>
      </c>
    </row>
    <row r="21">
      <c r="B21" s="12" t="n">
        <v>25078.9</v>
      </c>
      <c r="C21" s="3" t="inlineStr">
        <is>
          <t>Auto-leg gross debt + leasing notes, 30-Jun-26 (release table 7)</t>
        </is>
      </c>
    </row>
    <row r="22">
      <c r="B22" s="13">
        <f>B7*B5</f>
        <v/>
      </c>
      <c r="C22" s="3" t="inlineStr">
        <is>
          <t>Market capitalisation (IR-page quote x shares)</t>
        </is>
      </c>
    </row>
    <row r="23">
      <c r="B23" s="14">
        <f>B22/(B22+B21)</f>
        <v/>
      </c>
      <c r="C23" s="3" t="inlineStr">
        <is>
          <t>Equity weight (market value)</t>
        </is>
      </c>
    </row>
    <row r="24">
      <c r="B24" s="14">
        <f>1-B23</f>
        <v/>
      </c>
      <c r="C24" s="3" t="inlineStr">
        <is>
          <t>Debt weight</t>
        </is>
      </c>
    </row>
    <row r="25">
      <c r="B25" s="15">
        <f>B12-B14+B17*B16</f>
        <v/>
      </c>
      <c r="C25" s="3" t="inlineStr">
        <is>
          <t>Cost of equity, CDS basis</t>
        </is>
      </c>
    </row>
    <row r="26">
      <c r="B26" s="15">
        <f>B12-B13+B17*B15</f>
        <v/>
      </c>
      <c r="C26" s="3" t="inlineStr">
        <is>
          <t>Cost of equity, rating basis</t>
        </is>
      </c>
    </row>
    <row r="27">
      <c r="B27" s="15">
        <f>B20*B18+(1-B20)*B19</f>
        <v/>
      </c>
      <c r="C27" s="3" t="inlineStr">
        <is>
          <t>Blended pre-tax cost of debt</t>
        </is>
      </c>
    </row>
    <row r="28">
      <c r="B28" s="15">
        <f>B27*(1-B8)</f>
        <v/>
      </c>
      <c r="C28" s="3" t="inlineStr">
        <is>
          <t>After-tax cost of debt</t>
        </is>
      </c>
    </row>
    <row r="29">
      <c r="B29" s="15">
        <f>B23*B25+B24*B28</f>
        <v/>
      </c>
      <c r="C29" s="3" t="inlineStr">
        <is>
          <t>WACC — CDS-basis ERP (primary)</t>
        </is>
      </c>
    </row>
    <row r="30">
      <c r="B30" s="15">
        <f>B23*B26+B24*B28</f>
        <v/>
      </c>
      <c r="C30" s="3" t="inlineStr">
        <is>
          <t>WACC — rating-basis ERP (published alongside)</t>
        </is>
      </c>
    </row>
    <row r="32">
      <c r="B32" s="8" t="inlineStr">
        <is>
          <t>Growth &amp; operating drivers (FY27E-FY30E; FY26E is anchored on the H1 actual)</t>
        </is>
      </c>
    </row>
    <row r="33">
      <c r="A33" s="2" t="inlineStr">
        <is>
          <t>pc volume growth</t>
        </is>
      </c>
      <c r="E33" s="3" t="inlineStr">
        <is>
          <t>anchored</t>
        </is>
      </c>
      <c r="F33" s="16" t="n">
        <v>0.09</v>
      </c>
      <c r="G33" s="16" t="n">
        <v>0.08</v>
      </c>
      <c r="H33" s="16" t="n">
        <v>0.06</v>
      </c>
      <c r="I33" s="16" t="n">
        <v>0.05</v>
      </c>
    </row>
    <row r="34">
      <c r="A34" s="2" t="inlineStr">
        <is>
          <t>pc price growth</t>
        </is>
      </c>
      <c r="E34" s="3" t="inlineStr">
        <is>
          <t>anchored</t>
        </is>
      </c>
      <c r="F34" s="16" t="n">
        <v>0.08</v>
      </c>
      <c r="G34" s="16" t="n">
        <v>0.07000000000000001</v>
      </c>
      <c r="H34" s="16" t="n">
        <v>0.06</v>
      </c>
      <c r="I34" s="16" t="n">
        <v>0.06</v>
      </c>
    </row>
    <row r="35">
      <c r="A35" s="2" t="inlineStr">
        <is>
          <t>cv volume growth</t>
        </is>
      </c>
      <c r="E35" s="3" t="inlineStr">
        <is>
          <t>anchored</t>
        </is>
      </c>
      <c r="F35" s="16" t="n">
        <v>0.14</v>
      </c>
      <c r="G35" s="16" t="n">
        <v>0.1</v>
      </c>
      <c r="H35" s="16" t="n">
        <v>0.08</v>
      </c>
      <c r="I35" s="16" t="n">
        <v>0.07000000000000001</v>
      </c>
    </row>
    <row r="36">
      <c r="A36" s="2" t="inlineStr">
        <is>
          <t>cv price growth</t>
        </is>
      </c>
      <c r="E36" s="3" t="inlineStr">
        <is>
          <t>anchored</t>
        </is>
      </c>
      <c r="F36" s="16" t="n">
        <v>0.07000000000000001</v>
      </c>
      <c r="G36" s="16" t="n">
        <v>0.06</v>
      </c>
      <c r="H36" s="16" t="n">
        <v>0.06</v>
      </c>
      <c r="I36" s="16" t="n">
        <v>0.05</v>
      </c>
    </row>
    <row r="37">
      <c r="A37" s="2" t="inlineStr">
        <is>
          <t>lm volume growth</t>
        </is>
      </c>
      <c r="E37" s="3" t="inlineStr">
        <is>
          <t>anchored</t>
        </is>
      </c>
      <c r="F37" s="16" t="n">
        <v>0.16</v>
      </c>
      <c r="G37" s="16" t="n">
        <v>0.13</v>
      </c>
      <c r="H37" s="16" t="n">
        <v>0.11</v>
      </c>
      <c r="I37" s="16" t="n">
        <v>0.09</v>
      </c>
    </row>
    <row r="38">
      <c r="A38" s="2" t="inlineStr">
        <is>
          <t>lm price growth</t>
        </is>
      </c>
      <c r="E38" s="3" t="inlineStr">
        <is>
          <t>anchored</t>
        </is>
      </c>
      <c r="F38" s="16" t="n">
        <v>0.06</v>
      </c>
      <c r="G38" s="16" t="n">
        <v>0.05</v>
      </c>
      <c r="H38" s="16" t="n">
        <v>0.05</v>
      </c>
      <c r="I38" s="16" t="n">
        <v>0.05</v>
      </c>
    </row>
    <row r="39">
      <c r="A39" s="2" t="inlineStr">
        <is>
          <t>trading growth</t>
        </is>
      </c>
      <c r="E39" s="3" t="inlineStr">
        <is>
          <t>anchored</t>
        </is>
      </c>
      <c r="F39" s="16" t="n">
        <v>0.11</v>
      </c>
      <c r="G39" s="16" t="n">
        <v>0.1</v>
      </c>
      <c r="H39" s="16" t="n">
        <v>0.09</v>
      </c>
      <c r="I39" s="16" t="n">
        <v>0.08</v>
      </c>
    </row>
    <row r="40">
      <c r="A40" s="2" t="inlineStr">
        <is>
          <t>other-auto growth</t>
        </is>
      </c>
      <c r="E40" s="3" t="inlineStr">
        <is>
          <t>anchored</t>
        </is>
      </c>
      <c r="F40" s="16" t="n">
        <v>0.1</v>
      </c>
      <c r="G40" s="16" t="n">
        <v>0.1</v>
      </c>
      <c r="H40" s="16" t="n">
        <v>0.09</v>
      </c>
      <c r="I40" s="16" t="n">
        <v>0.08</v>
      </c>
    </row>
    <row r="41">
      <c r="A41" s="2" t="inlineStr">
        <is>
          <t>imported-cost escalator (FX path)</t>
        </is>
      </c>
      <c r="E41" s="16" t="n">
        <v>0.045</v>
      </c>
      <c r="F41" s="16" t="n">
        <v>0.08</v>
      </c>
      <c r="G41" s="16" t="n">
        <v>0.07000000000000001</v>
      </c>
      <c r="H41" s="16" t="n">
        <v>0.06</v>
      </c>
      <c r="I41" s="16" t="n">
        <v>0.05</v>
      </c>
    </row>
    <row r="42">
      <c r="A42" s="2" t="inlineStr">
        <is>
          <t>domestic-cost escalator (CPI path)</t>
        </is>
      </c>
      <c r="E42" s="16" t="n">
        <v>0.06</v>
      </c>
      <c r="F42" s="16" t="n">
        <v>0.12</v>
      </c>
      <c r="G42" s="16" t="n">
        <v>0.1</v>
      </c>
      <c r="H42" s="16" t="n">
        <v>0.09</v>
      </c>
      <c r="I42" s="16" t="n">
        <v>0.08</v>
      </c>
    </row>
    <row r="43">
      <c r="A43" s="2" t="inlineStr">
        <is>
          <t>GS&amp;A % of revenue</t>
        </is>
      </c>
      <c r="E43" s="12" t="n">
        <v>0.07099999999999999</v>
      </c>
      <c r="F43" s="12" t="n">
        <v>0.07049999999999999</v>
      </c>
      <c r="G43" s="12" t="n">
        <v>0.07000000000000001</v>
      </c>
      <c r="H43" s="12" t="n">
        <v>0.0692</v>
      </c>
      <c r="I43" s="12" t="n">
        <v>0.06850000000000001</v>
      </c>
    </row>
    <row r="44">
      <c r="A44" s="2" t="inlineStr">
        <is>
          <t>D&amp;A % of revenue</t>
        </is>
      </c>
      <c r="E44" s="12" t="n">
        <v>0.01</v>
      </c>
      <c r="F44" s="12" t="n">
        <v>0.0102</v>
      </c>
      <c r="G44" s="12" t="n">
        <v>0.0104</v>
      </c>
      <c r="H44" s="12" t="n">
        <v>0.0104</v>
      </c>
      <c r="I44" s="12" t="n">
        <v>0.0104</v>
      </c>
    </row>
    <row r="45">
      <c r="A45" s="2" t="inlineStr">
        <is>
          <t>effective tax path</t>
        </is>
      </c>
      <c r="E45" s="16" t="n">
        <v>0.38</v>
      </c>
      <c r="F45" s="16" t="n">
        <v>0.3</v>
      </c>
      <c r="G45" s="16" t="n">
        <v>0.26</v>
      </c>
      <c r="H45" s="16" t="n">
        <v>0.24</v>
      </c>
      <c r="I45" s="16" t="n">
        <v>0.225</v>
      </c>
    </row>
    <row r="46">
      <c r="A46" s="2" t="inlineStr">
        <is>
          <t>capex (EGP mn)</t>
        </is>
      </c>
      <c r="E46" s="17" t="n">
        <v>2800</v>
      </c>
      <c r="F46" s="17" t="n">
        <v>2600</v>
      </c>
      <c r="G46" s="17" t="n">
        <v>2500</v>
      </c>
      <c r="H46" s="17" t="n">
        <v>2500</v>
      </c>
      <c r="I46" s="17" t="n">
        <v>2600</v>
      </c>
    </row>
    <row r="47">
      <c r="A47" s="2" t="inlineStr">
        <is>
          <t>working capital % of revenue</t>
        </is>
      </c>
      <c r="E47" s="16" t="n">
        <v>0.23</v>
      </c>
      <c r="F47" s="16" t="n">
        <v>0.225</v>
      </c>
      <c r="G47" s="16" t="n">
        <v>0.22</v>
      </c>
      <c r="H47" s="16" t="n">
        <v>0.215</v>
      </c>
      <c r="I47" s="16" t="n">
        <v>0.21</v>
      </c>
    </row>
    <row r="48">
      <c r="A48" s="2" t="inlineStr">
        <is>
          <t>funding-cost path (auto)</t>
        </is>
      </c>
      <c r="E48" s="16" t="n">
        <v>0.195</v>
      </c>
      <c r="F48" s="16" t="n">
        <v>0.175</v>
      </c>
      <c r="G48" s="16" t="n">
        <v>0.165</v>
      </c>
      <c r="H48" s="16" t="n">
        <v>0.155</v>
      </c>
      <c r="I48" s="16" t="n">
        <v>0.15</v>
      </c>
    </row>
    <row r="50">
      <c r="A50" s="2" t="inlineStr">
        <is>
          <t>other operating income % (held)</t>
        </is>
      </c>
      <c r="B50" s="12" t="n">
        <v>0.008399999999999999</v>
      </c>
    </row>
    <row r="51">
      <c r="A51" s="2" t="inlineStr">
        <is>
          <t>net provisions % (held)</t>
        </is>
      </c>
      <c r="B51" s="12" t="n">
        <v>-0.0022</v>
      </c>
    </row>
    <row r="52">
      <c r="A52" s="2" t="inlineStr">
        <is>
          <t>imported share of unit cost: pc/cv/lm/tr</t>
        </is>
      </c>
      <c r="B52" s="7" t="n">
        <v>0.75</v>
      </c>
      <c r="C52" s="7" t="n">
        <v>0.7</v>
      </c>
      <c r="D52" s="7" t="n">
        <v>0.8</v>
      </c>
      <c r="E52" s="7" t="n">
        <v>0.9</v>
      </c>
    </row>
    <row r="55">
      <c r="B55" s="8" t="inlineStr">
        <is>
          <t>Holding bridge marks</t>
        </is>
      </c>
    </row>
    <row r="56">
      <c r="B56" s="12" t="n">
        <v>0.4293</v>
      </c>
      <c r="C56" s="3" t="inlineStr">
        <is>
          <t>MNT B.V. stake after the June-26 first close — FS note 34</t>
        </is>
      </c>
    </row>
    <row r="57">
      <c r="B57" s="17" t="n">
        <v>1400</v>
      </c>
      <c r="C57" s="3" t="inlineStr">
        <is>
          <t>Round valuation, USD mn — company release 09-Jun-26, press-corroborated</t>
        </is>
      </c>
    </row>
    <row r="58">
      <c r="B58" s="7" t="n">
        <v>50.71</v>
      </c>
      <c r="C58" s="3" t="inlineStr">
        <is>
          <t>USD/EGP, 19-Aug-2026</t>
        </is>
      </c>
    </row>
    <row r="59">
      <c r="B59" s="6" t="n">
        <v>15723.523</v>
      </c>
      <c r="C59" s="3" t="inlineStr">
        <is>
          <t>MNT B.V. equity-method carrying value 30-Jun-26 — FS note 34 (review qualified)</t>
        </is>
      </c>
    </row>
    <row r="60">
      <c r="B60" s="6" t="n">
        <v>506.942</v>
      </c>
      <c r="C60" s="3" t="inlineStr">
        <is>
          <t>Other associates carrying (Mier + Bedaia + Kaf) — FS note 34</t>
        </is>
      </c>
    </row>
    <row r="61">
      <c r="B61" s="6" t="n">
        <v>489.537</v>
      </c>
      <c r="C61" s="3" t="inlineStr">
        <is>
          <t>Investments at fair value through OCI — FS note 35</t>
        </is>
      </c>
    </row>
    <row r="62">
      <c r="B62" s="7" t="n">
        <v>0.1</v>
      </c>
      <c r="C62" s="3" t="inlineStr">
        <is>
          <t>Holding-company discount (unchanged from the July study)</t>
        </is>
      </c>
    </row>
    <row r="63">
      <c r="B63" s="6" t="n">
        <v>6267.334999999999</v>
      </c>
      <c r="C63" s="3" t="inlineStr">
        <is>
          <t>GB Capital operating equity ex-associates (segment equity 22,497.8 − 16,230.5)</t>
        </is>
      </c>
    </row>
    <row r="64">
      <c r="B64" s="6" t="n">
        <v>14493.6</v>
      </c>
      <c r="C64" s="3" t="inlineStr">
        <is>
          <t>Auto net debt, 30-Jun-26 — release table 7</t>
        </is>
      </c>
    </row>
    <row r="65">
      <c r="B65" s="6" t="n">
        <v>590.7</v>
      </c>
      <c r="C65" s="3" t="inlineStr">
        <is>
          <t>Auto segment non-controlling interests, 30-Jun-26</t>
        </is>
      </c>
    </row>
    <row r="66">
      <c r="B66" s="6" t="n">
        <v>2692.579200000001</v>
      </c>
      <c r="C66" s="3" t="inlineStr">
        <is>
          <t>H1-26 realized auto free cash flow (model definition)</t>
        </is>
      </c>
    </row>
    <row r="67">
      <c r="B67" s="13">
        <f>B56*B57*B58</f>
        <v/>
      </c>
      <c r="C67" s="3" t="inlineStr">
        <is>
          <t>MNT stake at the round mark, EGP mn</t>
        </is>
      </c>
    </row>
    <row r="70">
      <c r="B70" s="8" t="inlineStr">
        <is>
          <t>Lens weights</t>
        </is>
      </c>
    </row>
    <row r="71">
      <c r="A71" s="2" t="inlineStr">
        <is>
          <t>sum-of-the-parts</t>
        </is>
      </c>
      <c r="B71" s="7" t="n">
        <v>0.4</v>
      </c>
    </row>
    <row r="72">
      <c r="A72" s="2" t="inlineStr">
        <is>
          <t>book</t>
        </is>
      </c>
      <c r="B72" s="7" t="n">
        <v>0.15</v>
      </c>
    </row>
    <row r="73">
      <c r="A73" s="2" t="inlineStr">
        <is>
          <t>relative</t>
        </is>
      </c>
      <c r="B73" s="7" t="n">
        <v>0.2</v>
      </c>
    </row>
    <row r="74">
      <c r="A74" s="2" t="inlineStr">
        <is>
          <t>normalised</t>
        </is>
      </c>
      <c r="B74" s="7" t="n">
        <v>0.25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C19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8" customWidth="1" min="3" max="3"/>
  </cols>
  <sheetData>
    <row r="2">
      <c r="B2" s="1" t="inlineStr">
        <is>
          <t>Holding bridge — the group as the sum of its parts, with the contested stake both ways</t>
        </is>
      </c>
    </row>
    <row r="4">
      <c r="A4" s="2" t="inlineStr"/>
      <c r="B4" s="8" t="inlineStr">
        <is>
          <t>Round mark</t>
        </is>
      </c>
      <c r="C4" s="8" t="inlineStr">
        <is>
          <t>Balance-sheet mark</t>
        </is>
      </c>
    </row>
    <row r="5">
      <c r="A5" s="2" t="inlineStr">
        <is>
          <t>Automotive equity value (cash-flow model)</t>
        </is>
      </c>
      <c r="B5" s="13">
        <f>DCF!B34</f>
        <v/>
      </c>
      <c r="C5" s="13">
        <f>DCF!B34</f>
        <v/>
      </c>
    </row>
    <row r="6">
      <c r="A6" s="2" t="inlineStr">
        <is>
          <t>GB Capital operating equity (ex-associates)</t>
        </is>
      </c>
      <c r="B6" s="13">
        <f>Assumptions!B63</f>
        <v/>
      </c>
      <c r="C6" s="13">
        <f>Assumptions!B63</f>
        <v/>
      </c>
    </row>
    <row r="7">
      <c r="A7" s="2" t="inlineStr">
        <is>
          <t>MNT-Halan stake</t>
        </is>
      </c>
      <c r="B7" s="13">
        <f>Assumptions!B67</f>
        <v/>
      </c>
      <c r="C7" s="13">
        <f>Assumptions!B59</f>
        <v/>
      </c>
    </row>
    <row r="8">
      <c r="A8" s="2" t="inlineStr">
        <is>
          <t>Other associates</t>
        </is>
      </c>
      <c r="B8" s="13">
        <f>Assumptions!B60</f>
        <v/>
      </c>
      <c r="C8" s="13">
        <f>Assumptions!B60</f>
        <v/>
      </c>
    </row>
    <row r="9">
      <c r="A9" s="2" t="inlineStr">
        <is>
          <t>Investments at fair value (OCI)</t>
        </is>
      </c>
      <c r="B9" s="13">
        <f>Assumptions!B61</f>
        <v/>
      </c>
      <c r="C9" s="13">
        <f>Assumptions!B61</f>
        <v/>
      </c>
    </row>
    <row r="10">
      <c r="A10" s="1" t="inlineStr">
        <is>
          <t>Sum of the parts</t>
        </is>
      </c>
      <c r="B10" s="18">
        <f>SUM(B5:B9)</f>
        <v/>
      </c>
      <c r="C10" s="18">
        <f>SUM(C5:C9)</f>
        <v/>
      </c>
    </row>
    <row r="11">
      <c r="A11" s="2" t="inlineStr">
        <is>
          <t>Holding-company discount</t>
        </is>
      </c>
      <c r="B11" s="13">
        <f>-B10*Assumptions!B62</f>
        <v/>
      </c>
      <c r="C11" s="13">
        <f>-C10*Assumptions!B62</f>
        <v/>
      </c>
    </row>
    <row r="12">
      <c r="A12" s="1" t="inlineStr">
        <is>
          <t>Equity value</t>
        </is>
      </c>
      <c r="B12" s="18">
        <f>B10+B11</f>
        <v/>
      </c>
      <c r="C12" s="18">
        <f>C10+C11</f>
        <v/>
      </c>
    </row>
    <row r="13">
      <c r="A13" s="1" t="inlineStr">
        <is>
          <t>Per share</t>
        </is>
      </c>
      <c r="B13" s="9">
        <f>B12/Assumptions!B5</f>
        <v/>
      </c>
      <c r="C13" s="9">
        <f>C12/Assumptions!B5</f>
        <v/>
      </c>
    </row>
    <row r="15">
      <c r="A15" s="3" t="inlineStr">
        <is>
          <t>The gap between the two columns is one judgement: EGP 14,754mn of MNT-Halan mark — 12.23 per share after the discount. The reviewer could not verify the balance-sheet figure (qualified conclusion); the round is real third-party money but a first close with a second pending. Neither is averaged away.</t>
        </is>
      </c>
    </row>
    <row r="17">
      <c r="A17" s="2" t="inlineStr">
        <is>
          <t>Bear cases (operating bear + leg haircuts + 18% discount)</t>
        </is>
      </c>
      <c r="B17" s="7" t="n">
        <v>17.40161312725681</v>
      </c>
      <c r="C17" s="7" t="n">
        <v>8.966183867745064</v>
      </c>
    </row>
    <row r="18">
      <c r="A18" s="2" t="inlineStr">
        <is>
          <t>Bull cases (operating bull + 4% discount)</t>
        </is>
      </c>
      <c r="B18" s="7" t="n">
        <v>54.71739850873175</v>
      </c>
      <c r="C18" s="7" t="n">
        <v>40.45229073977735</v>
      </c>
    </row>
    <row r="19">
      <c r="A19" s="3" t="inlineStr">
        <is>
          <t>Case values re-run the cash-flow model under the shifted drivers described in the study's sensitivity section; recorded here as results of that re-run.</t>
        </is>
      </c>
    </row>
  </sheetData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2:I48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>
      <c r="B2" s="1" t="inlineStr">
        <is>
          <t>Line-of-business build (release basis; margins anchored on the statements' segment note)</t>
        </is>
      </c>
    </row>
    <row r="4">
      <c r="A4" s="2" t="inlineStr"/>
      <c r="B4" s="8" t="inlineStr">
        <is>
          <t>FY23</t>
        </is>
      </c>
      <c r="C4" s="8" t="inlineStr">
        <is>
          <t>FY24</t>
        </is>
      </c>
      <c r="D4" s="8" t="inlineStr">
        <is>
          <t>FY25</t>
        </is>
      </c>
      <c r="E4" s="8" t="inlineStr">
        <is>
          <t>FY26E</t>
        </is>
      </c>
      <c r="F4" s="8" t="inlineStr">
        <is>
          <t>FY27E</t>
        </is>
      </c>
      <c r="G4" s="8" t="inlineStr">
        <is>
          <t>FY28E</t>
        </is>
      </c>
      <c r="H4" s="8" t="inlineStr">
        <is>
          <t>FY29E</t>
        </is>
      </c>
      <c r="I4" s="8" t="inlineStr">
        <is>
          <t>FY30E</t>
        </is>
      </c>
    </row>
    <row r="5">
      <c r="A5" s="2" t="inlineStr">
        <is>
          <t>PC volumes (units)</t>
        </is>
      </c>
      <c r="B5" s="17" t="n">
        <v>26994</v>
      </c>
      <c r="C5" s="17" t="n">
        <v>42043</v>
      </c>
      <c r="D5" s="17" t="n">
        <v>56548</v>
      </c>
      <c r="E5" s="17" t="n">
        <v>64300</v>
      </c>
      <c r="F5" s="19">
        <f>E5*(1+Assumptions!F33)</f>
        <v/>
      </c>
      <c r="G5" s="19">
        <f>F5*(1+Assumptions!G33)</f>
        <v/>
      </c>
      <c r="H5" s="19">
        <f>G5*(1+Assumptions!H33)</f>
        <v/>
      </c>
      <c r="I5" s="19">
        <f>H5*(1+Assumptions!I33)</f>
        <v/>
      </c>
    </row>
    <row r="6">
      <c r="A6" s="2" t="inlineStr">
        <is>
          <t>PC average selling price (EGP mn)</t>
        </is>
      </c>
      <c r="B6" s="15">
        <f>B7/B5</f>
        <v/>
      </c>
      <c r="C6" s="15">
        <f>C7/C5</f>
        <v/>
      </c>
      <c r="D6" s="15">
        <f>D7/D5</f>
        <v/>
      </c>
      <c r="E6" s="15">
        <f>E7/E5</f>
        <v/>
      </c>
      <c r="F6" s="15">
        <f>E6*(1+Assumptions!F34)</f>
        <v/>
      </c>
      <c r="G6" s="15">
        <f>F6*(1+Assumptions!G34)</f>
        <v/>
      </c>
      <c r="H6" s="15">
        <f>G6*(1+Assumptions!H34)</f>
        <v/>
      </c>
      <c r="I6" s="15">
        <f>H6*(1+Assumptions!I34)</f>
        <v/>
      </c>
    </row>
    <row r="7">
      <c r="A7" s="2" t="inlineStr">
        <is>
          <t>PC revenue</t>
        </is>
      </c>
      <c r="B7" s="6" t="n">
        <v>16544.3</v>
      </c>
      <c r="C7" s="6" t="n">
        <v>36533.4</v>
      </c>
      <c r="D7" s="6" t="n">
        <v>52827.3</v>
      </c>
      <c r="E7" s="13">
        <f>B38+(E5-B37)*(B38/B37)*1.025</f>
        <v/>
      </c>
      <c r="F7" s="13">
        <f>F5*F6</f>
        <v/>
      </c>
      <c r="G7" s="13">
        <f>G5*G6</f>
        <v/>
      </c>
      <c r="H7" s="13">
        <f>H5*H6</f>
        <v/>
      </c>
      <c r="I7" s="13">
        <f>I5*I6</f>
        <v/>
      </c>
    </row>
    <row r="8">
      <c r="A8" s="2" t="inlineStr">
        <is>
          <t>CV&amp;CE revenue</t>
        </is>
      </c>
      <c r="B8" s="6" t="n">
        <v>2323</v>
      </c>
      <c r="C8" s="6" t="n">
        <v>3984.5</v>
      </c>
      <c r="D8" s="6" t="n">
        <v>5956.8</v>
      </c>
      <c r="E8" s="6" t="n">
        <v>10100</v>
      </c>
      <c r="F8" s="13">
        <f>E8*(1+Assumptions!F35)*(1+Assumptions!F36)</f>
        <v/>
      </c>
      <c r="G8" s="13">
        <f>F8*(1+Assumptions!G35)*(1+Assumptions!G36)</f>
        <v/>
      </c>
      <c r="H8" s="13">
        <f>G8*(1+Assumptions!H35)*(1+Assumptions!H36)</f>
        <v/>
      </c>
      <c r="I8" s="13">
        <f>H8*(1+Assumptions!I35)*(1+Assumptions!I36)</f>
        <v/>
      </c>
    </row>
    <row r="9">
      <c r="A9" s="2" t="inlineStr">
        <is>
          <t>Light-Mobility revenue</t>
        </is>
      </c>
      <c r="B9" s="6" t="n">
        <v>854.2</v>
      </c>
      <c r="C9" s="6" t="n">
        <v>1378.2</v>
      </c>
      <c r="D9" s="6" t="n">
        <v>2203.8</v>
      </c>
      <c r="E9" s="6" t="n">
        <v>3350</v>
      </c>
      <c r="F9" s="13">
        <f>E9*(1+Assumptions!F37)*(1+Assumptions!F38)</f>
        <v/>
      </c>
      <c r="G9" s="13">
        <f>F9*(1+Assumptions!G37)*(1+Assumptions!G38)</f>
        <v/>
      </c>
      <c r="H9" s="13">
        <f>G9*(1+Assumptions!H37)*(1+Assumptions!H38)</f>
        <v/>
      </c>
      <c r="I9" s="13">
        <f>H9*(1+Assumptions!I37)*(1+Assumptions!I38)</f>
        <v/>
      </c>
    </row>
    <row r="10">
      <c r="A10" s="2" t="inlineStr">
        <is>
          <t>Trading revenue</t>
        </is>
      </c>
      <c r="B10" s="6" t="n">
        <v>2506.8</v>
      </c>
      <c r="C10" s="6" t="n">
        <v>3815.5</v>
      </c>
      <c r="D10" s="6" t="n">
        <v>4242.8</v>
      </c>
      <c r="E10" s="6" t="n">
        <v>4800</v>
      </c>
      <c r="F10" s="13">
        <f>E10*(1+Assumptions!F39)</f>
        <v/>
      </c>
      <c r="G10" s="13">
        <f>F10*(1+Assumptions!G39)</f>
        <v/>
      </c>
      <c r="H10" s="13">
        <f>G10*(1+Assumptions!H39)</f>
        <v/>
      </c>
      <c r="I10" s="13">
        <f>H10*(1+Assumptions!I39)</f>
        <v/>
      </c>
    </row>
    <row r="11">
      <c r="A11" s="2" t="inlineStr">
        <is>
          <t>Other automotive revenue</t>
        </is>
      </c>
      <c r="B11" s="6" t="n">
        <v>7625.2</v>
      </c>
      <c r="C11" s="6" t="n">
        <v>1353.4</v>
      </c>
      <c r="D11" s="6" t="n">
        <v>1127.6</v>
      </c>
      <c r="E11" s="6" t="n">
        <v>1340</v>
      </c>
      <c r="F11" s="13">
        <f>E11*(1+Assumptions!F40)</f>
        <v/>
      </c>
      <c r="G11" s="13">
        <f>F11*(1+Assumptions!G40)</f>
        <v/>
      </c>
      <c r="H11" s="13">
        <f>G11*(1+Assumptions!H40)</f>
        <v/>
      </c>
      <c r="I11" s="13">
        <f>H11*(1+Assumptions!I40)</f>
        <v/>
      </c>
    </row>
    <row r="12">
      <c r="A12" s="1" t="inlineStr">
        <is>
          <t>Automotive revenue</t>
        </is>
      </c>
      <c r="B12" s="18">
        <f>SUM(B7:B11)</f>
        <v/>
      </c>
      <c r="C12" s="18">
        <f>SUM(C7:C11)</f>
        <v/>
      </c>
      <c r="D12" s="18">
        <f>SUM(D7:D11)</f>
        <v/>
      </c>
      <c r="E12" s="18">
        <f>SUM(E7:E11)</f>
        <v/>
      </c>
      <c r="F12" s="18">
        <f>SUM(F7:F11)</f>
        <v/>
      </c>
      <c r="G12" s="18">
        <f>SUM(G7:G11)</f>
        <v/>
      </c>
      <c r="H12" s="18">
        <f>SUM(H7:H11)</f>
        <v/>
      </c>
      <c r="I12" s="18">
        <f>SUM(I7:I11)</f>
        <v/>
      </c>
    </row>
    <row r="13">
      <c r="A13" s="1" t="inlineStr">
        <is>
          <t>Automotive gross profit</t>
        </is>
      </c>
      <c r="B13" s="20" t="n">
        <v>5813.1</v>
      </c>
      <c r="C13" s="20" t="n">
        <v>9057.4</v>
      </c>
      <c r="D13" s="20" t="n">
        <v>9837.1</v>
      </c>
      <c r="E13" s="18">
        <f>B40+(E12-B39)*B48</f>
        <v/>
      </c>
      <c r="F13" s="18">
        <f>F7*(1-F17)+F8*(1-F18)+F9*(1-F19)+F10*(1-F20)+F11*(1-F21)</f>
        <v/>
      </c>
      <c r="G13" s="18">
        <f>G7*(1-G17)+G8*(1-G18)+G9*(1-G19)+G10*(1-G20)+G11*(1-G21)</f>
        <v/>
      </c>
      <c r="H13" s="18">
        <f>H7*(1-H17)+H8*(1-H18)+H9*(1-H19)+H10*(1-H20)+H11*(1-H21)</f>
        <v/>
      </c>
      <c r="I13" s="18">
        <f>I7*(1-I17)+I8*(1-I18)+I9*(1-I19)+I10*(1-I20)+I11*(1-I21)</f>
        <v/>
      </c>
    </row>
    <row r="14">
      <c r="A14" s="2" t="inlineStr">
        <is>
          <t>Automotive gross margin</t>
        </is>
      </c>
      <c r="B14" s="14">
        <f>B13/B12</f>
        <v/>
      </c>
      <c r="C14" s="14">
        <f>C13/C12</f>
        <v/>
      </c>
      <c r="D14" s="14">
        <f>D13/D12</f>
        <v/>
      </c>
      <c r="E14" s="14">
        <f>E13/E12</f>
        <v/>
      </c>
      <c r="F14" s="14">
        <f>F13/F12</f>
        <v/>
      </c>
      <c r="G14" s="14">
        <f>G13/G12</f>
        <v/>
      </c>
      <c r="H14" s="14">
        <f>H13/H12</f>
        <v/>
      </c>
      <c r="I14" s="14">
        <f>I13/I12</f>
        <v/>
      </c>
    </row>
    <row r="16">
      <c r="A16" s="3" t="inlineStr">
        <is>
          <t>Cost side — cost per revenue-unit by line (statement-note anchors; escalated one class per physical driver: imported share on the FX path, domestic share on the CPI path; FY28E+ cost moves with price — one measured year of compression carried, not a story)</t>
        </is>
      </c>
    </row>
    <row r="17">
      <c r="A17" s="2" t="inlineStr">
        <is>
          <t>PC cost ratio</t>
        </is>
      </c>
      <c r="E17" s="12" t="n">
        <v>0.8668370295670286</v>
      </c>
      <c r="F17" s="15">
        <f>E17*(1+Assumptions!B52*Assumptions!F41+(1-Assumptions!B52)*Assumptions!F42)/(1+Assumptions!F34)</f>
        <v/>
      </c>
      <c r="G17" s="15">
        <f>F17</f>
        <v/>
      </c>
      <c r="H17" s="15">
        <f>G17</f>
        <v/>
      </c>
      <c r="I17" s="15">
        <f>H17</f>
        <v/>
      </c>
    </row>
    <row r="18">
      <c r="A18" s="2" t="inlineStr">
        <is>
          <t>CV&amp;CE cost ratio</t>
        </is>
      </c>
      <c r="E18" s="12" t="n">
        <v>0.8136470388719775</v>
      </c>
      <c r="F18" s="15">
        <f>E18*(1+Assumptions!C52*Assumptions!F41+(1-Assumptions!C52)*Assumptions!F42)/(1+Assumptions!F36)</f>
        <v/>
      </c>
      <c r="G18" s="15">
        <f>F18</f>
        <v/>
      </c>
      <c r="H18" s="15">
        <f>G18</f>
        <v/>
      </c>
      <c r="I18" s="15">
        <f>H18</f>
        <v/>
      </c>
    </row>
    <row r="19">
      <c r="A19" s="2" t="inlineStr">
        <is>
          <t>LM cost ratio</t>
        </is>
      </c>
      <c r="E19" s="12" t="n">
        <v>0.8854219334937004</v>
      </c>
      <c r="F19" s="15">
        <f>E19*(1+Assumptions!D52*Assumptions!F41+(1-Assumptions!D52)*Assumptions!F42)/(1+Assumptions!F38)</f>
        <v/>
      </c>
      <c r="G19" s="15">
        <f>F19</f>
        <v/>
      </c>
      <c r="H19" s="15">
        <f>G19</f>
        <v/>
      </c>
      <c r="I19" s="15">
        <f>H19</f>
        <v/>
      </c>
    </row>
    <row r="20">
      <c r="A20" s="2" t="inlineStr">
        <is>
          <t>Trading cost ratio</t>
        </is>
      </c>
      <c r="E20" s="12" t="n">
        <v>0.7973417691191369</v>
      </c>
      <c r="F20" s="15">
        <f>E20*(1+Assumptions!E52*Assumptions!F41+(1-Assumptions!E52)*Assumptions!F42)/(1+0.06)*1.04</f>
        <v/>
      </c>
      <c r="G20" s="15">
        <f>F20</f>
        <v/>
      </c>
      <c r="H20" s="15">
        <f>G20</f>
        <v/>
      </c>
      <c r="I20" s="15">
        <f>H20</f>
        <v/>
      </c>
    </row>
    <row r="21">
      <c r="A21" s="2" t="inlineStr">
        <is>
          <t>Other-auto cost ratio</t>
        </is>
      </c>
      <c r="E21" s="12" t="n">
        <v>0.8180000000000001</v>
      </c>
      <c r="F21" s="15">
        <f>E21*(1+Assumptions!E52*Assumptions!F41+(1-Assumptions!E52)*Assumptions!F42)/(1+0.06)</f>
        <v/>
      </c>
      <c r="G21" s="15">
        <f>F21</f>
        <v/>
      </c>
      <c r="H21" s="15">
        <f>G21</f>
        <v/>
      </c>
      <c r="I21" s="15">
        <f>H21</f>
        <v/>
      </c>
    </row>
    <row r="23">
      <c r="A23" s="8" t="inlineStr">
        <is>
          <t>GB Capital</t>
        </is>
      </c>
    </row>
    <row r="24">
      <c r="A24" s="2" t="inlineStr">
        <is>
          <t>GB Capital revenue</t>
        </is>
      </c>
      <c r="B24" s="6" t="n">
        <v>4950.9</v>
      </c>
      <c r="C24" s="6" t="n">
        <v>7383.6</v>
      </c>
      <c r="D24" s="6" t="n">
        <v>14743</v>
      </c>
      <c r="E24" s="6" t="n">
        <v>18700</v>
      </c>
      <c r="F24" s="13">
        <f>E24*(1+0.2)</f>
        <v/>
      </c>
      <c r="G24" s="13">
        <f>F24*(1+0.17)</f>
        <v/>
      </c>
      <c r="H24" s="13">
        <f>G24*(1+0.15)</f>
        <v/>
      </c>
      <c r="I24" s="13">
        <f>H24*(1+0.12)</f>
        <v/>
      </c>
    </row>
    <row r="25">
      <c r="A25" s="2" t="inlineStr">
        <is>
          <t>GB Capital net profit (after tax &amp; NCI, incl associates)</t>
        </is>
      </c>
      <c r="E25" s="6" t="n">
        <v>1450</v>
      </c>
      <c r="F25" s="6" t="n">
        <v>1750</v>
      </c>
      <c r="G25" s="6" t="n">
        <v>2050</v>
      </c>
      <c r="H25" s="6" t="n">
        <v>2350</v>
      </c>
      <c r="I25" s="6" t="n">
        <v>2650</v>
      </c>
    </row>
    <row r="36">
      <c r="A36" s="8" t="inlineStr">
        <is>
          <t>H1-2026 actuals (release / statements)</t>
        </is>
      </c>
    </row>
    <row r="37">
      <c r="A37" s="2" t="inlineStr">
        <is>
          <t>PC volumes H1-26 (units)</t>
        </is>
      </c>
      <c r="B37" s="17" t="n">
        <v>29554</v>
      </c>
    </row>
    <row r="38">
      <c r="A38" s="2" t="inlineStr">
        <is>
          <t>PC revenue H1-26</t>
        </is>
      </c>
      <c r="B38" s="6" t="n">
        <v>30595.7</v>
      </c>
    </row>
    <row r="39">
      <c r="A39" s="2" t="inlineStr">
        <is>
          <t>Auto revenue H1-26</t>
        </is>
      </c>
      <c r="B39" s="6" t="n">
        <v>40021.5</v>
      </c>
    </row>
    <row r="40">
      <c r="A40" s="2" t="inlineStr">
        <is>
          <t>Auto gross profit H1-26</t>
        </is>
      </c>
      <c r="B40" s="6" t="n">
        <v>5722.1</v>
      </c>
    </row>
    <row r="41">
      <c r="A41" s="2" t="inlineStr">
        <is>
          <t>Auto GPM H1-25</t>
        </is>
      </c>
      <c r="B41" s="12" t="n">
        <v>0.1549260417243999</v>
      </c>
    </row>
    <row r="42">
      <c r="A42" s="2" t="inlineStr">
        <is>
          <t>Auto GPM H2-25 (derived from FY25 less H1-25)</t>
        </is>
      </c>
      <c r="B42" s="12" t="n">
        <v>0.1424972537942475</v>
      </c>
    </row>
    <row r="43">
      <c r="A43" s="2" t="inlineStr">
        <is>
          <t>CV&amp;CE revenue H1-26</t>
        </is>
      </c>
      <c r="B43" s="6" t="n">
        <v>4749.1</v>
      </c>
    </row>
    <row r="44">
      <c r="A44" s="2" t="inlineStr">
        <is>
          <t>Light-Mobility revenue H1-26</t>
        </is>
      </c>
      <c r="B44" s="6" t="n">
        <v>1435.2</v>
      </c>
    </row>
    <row r="45">
      <c r="A45" s="2" t="inlineStr">
        <is>
          <t>Trading revenue H1-26</t>
        </is>
      </c>
      <c r="B45" s="6" t="n">
        <v>2572.3</v>
      </c>
    </row>
    <row r="46">
      <c r="A46" s="2" t="inlineStr">
        <is>
          <t>Other-auto revenue H1-26 (residual)</t>
        </is>
      </c>
      <c r="B46" s="6" t="n">
        <v>669.2</v>
      </c>
    </row>
    <row r="47">
      <c r="A47" s="2" t="inlineStr">
        <is>
          <t>Auto GPM H1-26</t>
        </is>
      </c>
      <c r="B47" s="15">
        <f>B40/B39</f>
        <v/>
      </c>
    </row>
    <row r="48">
      <c r="A48" s="2" t="inlineStr">
        <is>
          <t>H2-26E GPM (H1 less the measured FY25 seasonal gap)</t>
        </is>
      </c>
      <c r="B48" s="15">
        <f>B47-(B41-B42)</f>
        <v/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2:D14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</cols>
  <sheetData>
    <row r="2">
      <c r="B2" s="1" t="inlineStr">
        <is>
          <t>Relative multiples and normalised earnings power</t>
        </is>
      </c>
    </row>
    <row r="4">
      <c r="A4" s="2" t="inlineStr">
        <is>
          <t>FY26E group earnings per share</t>
        </is>
      </c>
      <c r="B4" s="4">
        <f>'Income Statement'!E17</f>
        <v/>
      </c>
    </row>
    <row r="5">
      <c r="A5" s="2" t="inlineStr">
        <is>
          <t>Multiple band (bear / base / bull)</t>
        </is>
      </c>
      <c r="B5" s="10" t="n">
        <v>8</v>
      </c>
      <c r="C5" s="10" t="n">
        <v>9.5</v>
      </c>
      <c r="D5" s="10" t="n">
        <v>11</v>
      </c>
    </row>
    <row r="6">
      <c r="A6" s="2" t="inlineStr">
        <is>
          <t>Relative lens value</t>
        </is>
      </c>
      <c r="B6" s="4">
        <f>B4*B5</f>
        <v/>
      </c>
      <c r="C6" s="4">
        <f>B4*C5</f>
        <v/>
      </c>
      <c r="D6" s="4">
        <f>B4*D5</f>
        <v/>
      </c>
    </row>
    <row r="8">
      <c r="A8" s="8" t="inlineStr">
        <is>
          <t>Normalisation walk (mid-cycle)</t>
        </is>
      </c>
    </row>
    <row r="9">
      <c r="A9" s="2" t="inlineStr">
        <is>
          <t>FY27E automotive EBIT</t>
        </is>
      </c>
      <c r="B9" s="13">
        <f>DCF!F10</f>
        <v/>
      </c>
    </row>
    <row r="10">
      <c r="A10" s="2" t="inlineStr">
        <is>
          <t>Normalised finance cost (net debt x the eased-rate endpoint)</t>
        </is>
      </c>
      <c r="B10" s="13">
        <f>-Assumptions!B64*0.17</f>
        <v/>
      </c>
    </row>
    <row r="11">
      <c r="A11" s="2" t="inlineStr">
        <is>
          <t>Tax at the statutory 22.5%</t>
        </is>
      </c>
      <c r="B11" s="13">
        <f>-(B9+B10)*Assumptions!B8</f>
        <v/>
      </c>
    </row>
    <row r="12">
      <c r="A12" s="2" t="inlineStr">
        <is>
          <t>GB Capital net profit (FY27E, incl associates)</t>
        </is>
      </c>
      <c r="B12" s="13">
        <f>Segments!F25</f>
        <v/>
      </c>
    </row>
    <row r="13">
      <c r="A13" s="2" t="inlineStr">
        <is>
          <t>Normalised group profit</t>
        </is>
      </c>
      <c r="B13" s="18">
        <f>B9+B10+B11+B12</f>
        <v/>
      </c>
    </row>
    <row r="14">
      <c r="A14" s="2" t="inlineStr">
        <is>
          <t>Normalised earnings lens (x 7.5 / 8.5 / 9.5)</t>
        </is>
      </c>
      <c r="B14" s="4">
        <f>B13*0.85/Assumptions!B5*7.5</f>
        <v/>
      </c>
      <c r="C14" s="4">
        <f>B13/Assumptions!B5*8.5</f>
        <v/>
      </c>
      <c r="D14" s="4">
        <f>B13*1.12/Assumptions!B5*9.5</f>
        <v/>
      </c>
    </row>
  </sheetData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2:I3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1" customWidth="1" min="3" max="3"/>
    <col width="1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>
      <c r="B2" s="1" t="inlineStr">
        <is>
          <t>Automotive leg — free cash flow to the firm, discounted at the group's own cost of capital</t>
        </is>
      </c>
    </row>
    <row r="4">
      <c r="A4" s="2" t="inlineStr"/>
      <c r="E4" s="8" t="inlineStr">
        <is>
          <t>FY26E</t>
        </is>
      </c>
      <c r="F4" s="8" t="inlineStr">
        <is>
          <t>FY27E</t>
        </is>
      </c>
      <c r="G4" s="8" t="inlineStr">
        <is>
          <t>FY28E</t>
        </is>
      </c>
      <c r="H4" s="8" t="inlineStr">
        <is>
          <t>FY29E</t>
        </is>
      </c>
      <c r="I4" s="8" t="inlineStr">
        <is>
          <t>FY30E</t>
        </is>
      </c>
    </row>
    <row r="5">
      <c r="A5" s="2" t="inlineStr">
        <is>
          <t>Revenue</t>
        </is>
      </c>
      <c r="E5" s="13">
        <f>Segments!E12</f>
        <v/>
      </c>
      <c r="F5" s="13">
        <f>Segments!F12</f>
        <v/>
      </c>
      <c r="G5" s="13">
        <f>Segments!G12</f>
        <v/>
      </c>
      <c r="H5" s="13">
        <f>Segments!H12</f>
        <v/>
      </c>
      <c r="I5" s="13">
        <f>Segments!I12</f>
        <v/>
      </c>
    </row>
    <row r="6">
      <c r="A6" s="2" t="inlineStr">
        <is>
          <t>Gross profit</t>
        </is>
      </c>
      <c r="E6" s="13">
        <f>Segments!E13</f>
        <v/>
      </c>
      <c r="F6" s="13">
        <f>Segments!F13</f>
        <v/>
      </c>
      <c r="G6" s="13">
        <f>Segments!G13</f>
        <v/>
      </c>
      <c r="H6" s="13">
        <f>Segments!H13</f>
        <v/>
      </c>
      <c r="I6" s="13">
        <f>Segments!I13</f>
        <v/>
      </c>
    </row>
    <row r="7">
      <c r="A7" s="2" t="inlineStr">
        <is>
          <t>GS&amp;A</t>
        </is>
      </c>
      <c r="E7" s="13">
        <f>-E5*Assumptions!E43</f>
        <v/>
      </c>
      <c r="F7" s="13">
        <f>-F5*Assumptions!F43</f>
        <v/>
      </c>
      <c r="G7" s="13">
        <f>-G5*Assumptions!G43</f>
        <v/>
      </c>
      <c r="H7" s="13">
        <f>-H5*Assumptions!H43</f>
        <v/>
      </c>
      <c r="I7" s="13">
        <f>-I5*Assumptions!I43</f>
        <v/>
      </c>
    </row>
    <row r="8">
      <c r="A8" s="2" t="inlineStr">
        <is>
          <t>Other operating income</t>
        </is>
      </c>
      <c r="E8" s="13">
        <f>E5*Assumptions!$B$50</f>
        <v/>
      </c>
      <c r="F8" s="13">
        <f>F5*Assumptions!$B$50</f>
        <v/>
      </c>
      <c r="G8" s="13">
        <f>G5*Assumptions!$B$50</f>
        <v/>
      </c>
      <c r="H8" s="13">
        <f>H5*Assumptions!$B$50</f>
        <v/>
      </c>
      <c r="I8" s="13">
        <f>I5*Assumptions!$B$50</f>
        <v/>
      </c>
    </row>
    <row r="9">
      <c r="A9" s="2" t="inlineStr">
        <is>
          <t>Net provisions</t>
        </is>
      </c>
      <c r="E9" s="13">
        <f>E5*Assumptions!$B$51</f>
        <v/>
      </c>
      <c r="F9" s="13">
        <f>F5*Assumptions!$B$51</f>
        <v/>
      </c>
      <c r="G9" s="13">
        <f>G5*Assumptions!$B$51</f>
        <v/>
      </c>
      <c r="H9" s="13">
        <f>H5*Assumptions!$B$51</f>
        <v/>
      </c>
      <c r="I9" s="13">
        <f>I5*Assumptions!$B$51</f>
        <v/>
      </c>
    </row>
    <row r="10">
      <c r="A10" s="1" t="inlineStr">
        <is>
          <t>EBIT</t>
        </is>
      </c>
      <c r="E10" s="18">
        <f>E6+E7+E8+E9</f>
        <v/>
      </c>
      <c r="F10" s="18">
        <f>F6+F7+F8+F9</f>
        <v/>
      </c>
      <c r="G10" s="18">
        <f>G6+G7+G8+G9</f>
        <v/>
      </c>
      <c r="H10" s="18">
        <f>H6+H7+H8+H9</f>
        <v/>
      </c>
      <c r="I10" s="18">
        <f>I6+I7+I8+I9</f>
        <v/>
      </c>
    </row>
    <row r="11">
      <c r="A11" s="2" t="inlineStr">
        <is>
          <t>Effective tax rate</t>
        </is>
      </c>
      <c r="E11" s="14">
        <f>Assumptions!E45</f>
        <v/>
      </c>
      <c r="F11" s="14">
        <f>Assumptions!F45</f>
        <v/>
      </c>
      <c r="G11" s="14">
        <f>Assumptions!G45</f>
        <v/>
      </c>
      <c r="H11" s="14">
        <f>Assumptions!H45</f>
        <v/>
      </c>
      <c r="I11" s="14">
        <f>Assumptions!I45</f>
        <v/>
      </c>
    </row>
    <row r="12">
      <c r="A12" s="2" t="inlineStr">
        <is>
          <t>NOPAT</t>
        </is>
      </c>
      <c r="E12" s="13">
        <f>E10*(1-E11)</f>
        <v/>
      </c>
      <c r="F12" s="13">
        <f>F10*(1-F11)</f>
        <v/>
      </c>
      <c r="G12" s="13">
        <f>G10*(1-G11)</f>
        <v/>
      </c>
      <c r="H12" s="13">
        <f>H10*(1-H11)</f>
        <v/>
      </c>
      <c r="I12" s="13">
        <f>I10*(1-I11)</f>
        <v/>
      </c>
    </row>
    <row r="13">
      <c r="A13" s="2" t="inlineStr">
        <is>
          <t>Depreciation &amp; amortisation</t>
        </is>
      </c>
      <c r="E13" s="13">
        <f>E5*Assumptions!E44</f>
        <v/>
      </c>
      <c r="F13" s="13">
        <f>F5*Assumptions!F44</f>
        <v/>
      </c>
      <c r="G13" s="13">
        <f>G5*Assumptions!G44</f>
        <v/>
      </c>
      <c r="H13" s="13">
        <f>H5*Assumptions!H44</f>
        <v/>
      </c>
      <c r="I13" s="13">
        <f>I5*Assumptions!I44</f>
        <v/>
      </c>
    </row>
    <row r="14">
      <c r="A14" s="1" t="inlineStr">
        <is>
          <t>EBITDA</t>
        </is>
      </c>
      <c r="E14" s="18">
        <f>E10+E13</f>
        <v/>
      </c>
      <c r="F14" s="18">
        <f>F10+F13</f>
        <v/>
      </c>
      <c r="G14" s="18">
        <f>G10+G13</f>
        <v/>
      </c>
      <c r="H14" s="18">
        <f>H10+H13</f>
        <v/>
      </c>
      <c r="I14" s="18">
        <f>I10+I13</f>
        <v/>
      </c>
    </row>
    <row r="15">
      <c r="A15" s="2" t="inlineStr">
        <is>
          <t>Capex</t>
        </is>
      </c>
      <c r="E15" s="13">
        <f>-Assumptions!E46</f>
        <v/>
      </c>
      <c r="F15" s="13">
        <f>-Assumptions!F46</f>
        <v/>
      </c>
      <c r="G15" s="13">
        <f>-Assumptions!G46</f>
        <v/>
      </c>
      <c r="H15" s="13">
        <f>-Assumptions!H46</f>
        <v/>
      </c>
      <c r="I15" s="13">
        <f>-Assumptions!I46</f>
        <v/>
      </c>
    </row>
    <row r="16">
      <c r="A16" s="2" t="inlineStr">
        <is>
          <t>Working capital (level)</t>
        </is>
      </c>
      <c r="E16" s="13">
        <f>E5*Assumptions!E47</f>
        <v/>
      </c>
      <c r="F16" s="13">
        <f>F5*Assumptions!F47</f>
        <v/>
      </c>
      <c r="G16" s="13">
        <f>G5*Assumptions!G47</f>
        <v/>
      </c>
      <c r="H16" s="13">
        <f>H5*Assumptions!H47</f>
        <v/>
      </c>
      <c r="I16" s="13">
        <f>I5*Assumptions!I47</f>
        <v/>
      </c>
    </row>
    <row r="17">
      <c r="A17" s="2" t="inlineStr">
        <is>
          <t>Change in working capital</t>
        </is>
      </c>
      <c r="E17" s="13">
        <f>E16-18917.0</f>
        <v/>
      </c>
      <c r="F17" s="13">
        <f>F16-E16</f>
        <v/>
      </c>
      <c r="G17" s="13">
        <f>G16-F16</f>
        <v/>
      </c>
      <c r="H17" s="13">
        <f>H16-G16</f>
        <v/>
      </c>
      <c r="I17" s="13">
        <f>I16-H16</f>
        <v/>
      </c>
    </row>
    <row r="18">
      <c r="A18" s="1" t="inlineStr">
        <is>
          <t>Free cash flow to the firm</t>
        </is>
      </c>
      <c r="E18" s="18">
        <f>E12+E13+E15-E17</f>
        <v/>
      </c>
      <c r="F18" s="18">
        <f>F12+F13+F15-F17</f>
        <v/>
      </c>
      <c r="G18" s="18">
        <f>G12+G13+G15-G17</f>
        <v/>
      </c>
      <c r="H18" s="18">
        <f>H12+H13+H15-H17</f>
        <v/>
      </c>
      <c r="I18" s="18">
        <f>I12+I13+I15-I17</f>
        <v/>
      </c>
    </row>
    <row r="20">
      <c r="A20" s="3" t="inlineStr">
        <is>
          <t>Valuation is dated 30 June 2026: the realized first half is carried at its actual, and the second half plus four further years are discounted mid-period.</t>
        </is>
      </c>
    </row>
    <row r="21">
      <c r="A21" s="2" t="inlineStr">
        <is>
          <t>H1-26 realized free cash flow</t>
        </is>
      </c>
      <c r="B21" s="13">
        <f>Assumptions!B66</f>
        <v/>
      </c>
    </row>
    <row r="22">
      <c r="A22" s="2" t="inlineStr">
        <is>
          <t>H2-26E free cash flow</t>
        </is>
      </c>
      <c r="B22" s="13">
        <f>E18-B21</f>
        <v/>
      </c>
    </row>
    <row r="24">
      <c r="A24" s="2" t="inlineStr">
        <is>
          <t>Discount period (years)</t>
        </is>
      </c>
      <c r="E24" s="10" t="n">
        <v>0.5</v>
      </c>
      <c r="F24" s="10" t="n">
        <v>1.5</v>
      </c>
      <c r="G24" s="10" t="n">
        <v>2.5</v>
      </c>
      <c r="H24" s="10" t="n">
        <v>3.5</v>
      </c>
      <c r="I24" s="10" t="n">
        <v>4.5</v>
      </c>
    </row>
    <row r="25">
      <c r="A25" s="2" t="inlineStr">
        <is>
          <t>Discount factor</t>
        </is>
      </c>
      <c r="E25" s="15">
        <f>1/(1+Assumptions!$B$29)^E24</f>
        <v/>
      </c>
      <c r="F25" s="15">
        <f>1/(1+Assumptions!$B$29)^F24</f>
        <v/>
      </c>
      <c r="G25" s="15">
        <f>1/(1+Assumptions!$B$29)^G24</f>
        <v/>
      </c>
      <c r="H25" s="15">
        <f>1/(1+Assumptions!$B$29)^H24</f>
        <v/>
      </c>
      <c r="I25" s="15">
        <f>1/(1+Assumptions!$B$29)^I24</f>
        <v/>
      </c>
    </row>
    <row r="26">
      <c r="A26" s="2" t="inlineStr">
        <is>
          <t>Present value</t>
        </is>
      </c>
      <c r="E26" s="13">
        <f>B22*E25</f>
        <v/>
      </c>
      <c r="F26" s="13">
        <f>F18*F25</f>
        <v/>
      </c>
      <c r="G26" s="13">
        <f>G18*G25</f>
        <v/>
      </c>
      <c r="H26" s="13">
        <f>H18*H25</f>
        <v/>
      </c>
      <c r="I26" s="13">
        <f>I18*I25</f>
        <v/>
      </c>
    </row>
    <row r="28">
      <c r="A28" s="2" t="inlineStr">
        <is>
          <t>Sum of discounted flows</t>
        </is>
      </c>
      <c r="B28" s="18">
        <f>SUM(E26:I26)</f>
        <v/>
      </c>
    </row>
    <row r="29">
      <c r="A29" s="2" t="inlineStr">
        <is>
          <t>Terminal value (Gordon on FY30E)</t>
        </is>
      </c>
      <c r="B29" s="13">
        <f>I18*(1+Assumptions!B9)/(Assumptions!B29-Assumptions!B9)</f>
        <v/>
      </c>
    </row>
    <row r="30">
      <c r="A30" s="2" t="inlineStr">
        <is>
          <t>PV of terminal value</t>
        </is>
      </c>
      <c r="B30" s="13">
        <f>B29*I25</f>
        <v/>
      </c>
    </row>
    <row r="31">
      <c r="A31" s="2" t="inlineStr">
        <is>
          <t>Enterprise value — automotive</t>
        </is>
      </c>
      <c r="B31" s="18">
        <f>B28+B30</f>
        <v/>
      </c>
    </row>
    <row r="32">
      <c r="A32" s="2" t="inlineStr">
        <is>
          <t>Less: automotive net debt (30-Jun-26)</t>
        </is>
      </c>
      <c r="B32" s="13">
        <f>-Assumptions!B64</f>
        <v/>
      </c>
    </row>
    <row r="33">
      <c r="A33" s="2" t="inlineStr">
        <is>
          <t>Less: automotive non-controlling interests</t>
        </is>
      </c>
      <c r="B33" s="13">
        <f>-Assumptions!B65</f>
        <v/>
      </c>
    </row>
    <row r="34">
      <c r="A34" s="2" t="inlineStr">
        <is>
          <t>Automotive equity value</t>
        </is>
      </c>
      <c r="B34" s="18">
        <f>B31+B32+B33</f>
        <v/>
      </c>
    </row>
    <row r="35">
      <c r="A35" s="2" t="inlineStr">
        <is>
          <t>Per share</t>
        </is>
      </c>
      <c r="B35" s="4">
        <f>B34/Assumptions!B5</f>
        <v/>
      </c>
    </row>
    <row r="37">
      <c r="A37" s="2" t="inlineStr">
        <is>
          <t>Terminal share of enterprise value</t>
        </is>
      </c>
      <c r="B37" s="21">
        <f>B30/B31</f>
        <v/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2:I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>
      <c r="B2" s="1" t="inlineStr">
        <is>
          <t>Group income statement — three disclosed years and the five-year model</t>
        </is>
      </c>
    </row>
    <row r="4">
      <c r="A4" s="2" t="inlineStr"/>
      <c r="B4" s="8" t="inlineStr">
        <is>
          <t>FY23</t>
        </is>
      </c>
      <c r="C4" s="8" t="inlineStr">
        <is>
          <t>FY24</t>
        </is>
      </c>
      <c r="D4" s="8" t="inlineStr">
        <is>
          <t>FY25</t>
        </is>
      </c>
      <c r="E4" s="8" t="inlineStr">
        <is>
          <t>FY26E</t>
        </is>
      </c>
      <c r="F4" s="8" t="inlineStr">
        <is>
          <t>FY27E</t>
        </is>
      </c>
      <c r="G4" s="8" t="inlineStr">
        <is>
          <t>FY28E</t>
        </is>
      </c>
      <c r="H4" s="8" t="inlineStr">
        <is>
          <t>FY29E</t>
        </is>
      </c>
      <c r="I4" s="8" t="inlineStr">
        <is>
          <t>FY30E</t>
        </is>
      </c>
    </row>
    <row r="5">
      <c r="A5" s="2" t="inlineStr">
        <is>
          <t>Automotive revenue</t>
        </is>
      </c>
      <c r="B5" s="6" t="n">
        <v>23854</v>
      </c>
      <c r="C5" s="6" t="n">
        <v>47065</v>
      </c>
      <c r="D5" s="6" t="n">
        <v>66358.3</v>
      </c>
      <c r="E5" s="13">
        <f>Segments!E12</f>
        <v/>
      </c>
      <c r="F5" s="13">
        <f>Segments!F12</f>
        <v/>
      </c>
      <c r="G5" s="13">
        <f>Segments!G12</f>
        <v/>
      </c>
      <c r="H5" s="13">
        <f>Segments!H12</f>
        <v/>
      </c>
      <c r="I5" s="13">
        <f>Segments!I12</f>
        <v/>
      </c>
    </row>
    <row r="6">
      <c r="A6" s="2" t="inlineStr">
        <is>
          <t>GB Capital revenue</t>
        </is>
      </c>
      <c r="B6" s="6" t="n">
        <v>4950.9</v>
      </c>
      <c r="C6" s="6" t="n">
        <v>7383.6</v>
      </c>
      <c r="D6" s="6" t="n">
        <v>14743</v>
      </c>
      <c r="E6" s="13">
        <f>Segments!E24</f>
        <v/>
      </c>
      <c r="F6" s="13">
        <f>Segments!F24</f>
        <v/>
      </c>
      <c r="G6" s="13">
        <f>Segments!G24</f>
        <v/>
      </c>
      <c r="H6" s="13">
        <f>Segments!H24</f>
        <v/>
      </c>
      <c r="I6" s="13">
        <f>Segments!I24</f>
        <v/>
      </c>
    </row>
    <row r="7">
      <c r="A7" s="2" t="inlineStr">
        <is>
          <t>Inter-segment eliminations</t>
        </is>
      </c>
      <c r="B7" s="6" t="n">
        <v>-487.7</v>
      </c>
      <c r="C7" s="6" t="n">
        <v>-479.1</v>
      </c>
      <c r="D7" s="6" t="n">
        <v>-871.5</v>
      </c>
      <c r="E7" s="13">
        <f>-(E5+E6)*0.013</f>
        <v/>
      </c>
      <c r="F7" s="13">
        <f>-(F5+F6)*0.013</f>
        <v/>
      </c>
      <c r="G7" s="13">
        <f>-(G5+G6)*0.013</f>
        <v/>
      </c>
      <c r="H7" s="13">
        <f>-(H5+H6)*0.013</f>
        <v/>
      </c>
      <c r="I7" s="13">
        <f>-(I5+I6)*0.013</f>
        <v/>
      </c>
    </row>
    <row r="8">
      <c r="A8" s="1" t="inlineStr">
        <is>
          <t>Group revenue</t>
        </is>
      </c>
      <c r="B8" s="18">
        <f>SUM(B5:B7)</f>
        <v/>
      </c>
      <c r="C8" s="18">
        <f>SUM(C5:C7)</f>
        <v/>
      </c>
      <c r="D8" s="18">
        <f>SUM(D5:D7)</f>
        <v/>
      </c>
      <c r="E8" s="18">
        <f>SUM(E5:E7)</f>
        <v/>
      </c>
      <c r="F8" s="18">
        <f>SUM(F5:F7)</f>
        <v/>
      </c>
      <c r="G8" s="18">
        <f>SUM(G5:G7)</f>
        <v/>
      </c>
      <c r="H8" s="18">
        <f>SUM(H5:H7)</f>
        <v/>
      </c>
      <c r="I8" s="18">
        <f>SUM(I5:I7)</f>
        <v/>
      </c>
    </row>
    <row r="10">
      <c r="A10" s="2" t="inlineStr">
        <is>
          <t>Automotive EBIT</t>
        </is>
      </c>
      <c r="E10" s="13">
        <f>DCF!E10</f>
        <v/>
      </c>
      <c r="F10" s="13">
        <f>DCF!F10</f>
        <v/>
      </c>
      <c r="G10" s="13">
        <f>DCF!G10</f>
        <v/>
      </c>
      <c r="H10" s="13">
        <f>DCF!H10</f>
        <v/>
      </c>
      <c r="I10" s="13">
        <f>DCF!I10</f>
        <v/>
      </c>
    </row>
    <row r="11">
      <c r="A11" s="2" t="inlineStr">
        <is>
          <t>Automotive finance cost</t>
        </is>
      </c>
      <c r="E11" s="13">
        <f>-(2206.7+0.5*Assumptions!B64*Assumptions!E48)</f>
        <v/>
      </c>
      <c r="F11" s="13">
        <f>-'Balance Sheet'!E10*Assumptions!F48</f>
        <v/>
      </c>
      <c r="G11" s="13">
        <f>-'Balance Sheet'!F10*Assumptions!G48</f>
        <v/>
      </c>
      <c r="H11" s="13">
        <f>-'Balance Sheet'!G10*Assumptions!H48</f>
        <v/>
      </c>
      <c r="I11" s="13">
        <f>-'Balance Sheet'!H10*Assumptions!I48</f>
        <v/>
      </c>
    </row>
    <row r="12">
      <c r="A12" s="2" t="inlineStr">
        <is>
          <t>Automotive profit before tax</t>
        </is>
      </c>
      <c r="E12" s="13">
        <f>E10+E11</f>
        <v/>
      </c>
      <c r="F12" s="13">
        <f>F10+F11</f>
        <v/>
      </c>
      <c r="G12" s="13">
        <f>G10+G11</f>
        <v/>
      </c>
      <c r="H12" s="13">
        <f>H10+H11</f>
        <v/>
      </c>
      <c r="I12" s="13">
        <f>I10+I11</f>
        <v/>
      </c>
    </row>
    <row r="13">
      <c r="A13" s="2" t="inlineStr">
        <is>
          <t>Automotive tax</t>
        </is>
      </c>
      <c r="E13" s="13">
        <f>-E12*DCF!E11</f>
        <v/>
      </c>
      <c r="F13" s="13">
        <f>-F12*DCF!F11</f>
        <v/>
      </c>
      <c r="G13" s="13">
        <f>-G12*DCF!G11</f>
        <v/>
      </c>
      <c r="H13" s="13">
        <f>-H12*DCF!H11</f>
        <v/>
      </c>
      <c r="I13" s="13">
        <f>-I12*DCF!I11</f>
        <v/>
      </c>
    </row>
    <row r="14">
      <c r="A14" s="2" t="inlineStr">
        <is>
          <t>Automotive net profit</t>
        </is>
      </c>
      <c r="E14" s="13">
        <f>E12+E13</f>
        <v/>
      </c>
      <c r="F14" s="13">
        <f>F12+F13</f>
        <v/>
      </c>
      <c r="G14" s="13">
        <f>G12+G13</f>
        <v/>
      </c>
      <c r="H14" s="13">
        <f>H12+H13</f>
        <v/>
      </c>
      <c r="I14" s="13">
        <f>I12+I13</f>
        <v/>
      </c>
    </row>
    <row r="15">
      <c r="A15" s="2" t="inlineStr">
        <is>
          <t>GB Capital net profit (incl associates)</t>
        </is>
      </c>
      <c r="E15" s="13">
        <f>Segments!E25</f>
        <v/>
      </c>
      <c r="F15" s="13">
        <f>Segments!F25</f>
        <v/>
      </c>
      <c r="G15" s="13">
        <f>Segments!G25</f>
        <v/>
      </c>
      <c r="H15" s="13">
        <f>Segments!H25</f>
        <v/>
      </c>
      <c r="I15" s="13">
        <f>Segments!I25</f>
        <v/>
      </c>
    </row>
    <row r="16">
      <c r="A16" s="1" t="inlineStr">
        <is>
          <t>Group net profit (attributable)</t>
        </is>
      </c>
      <c r="E16" s="18">
        <f>E14+E15</f>
        <v/>
      </c>
      <c r="F16" s="18">
        <f>F14+F15</f>
        <v/>
      </c>
      <c r="G16" s="18">
        <f>G14+G15</f>
        <v/>
      </c>
      <c r="H16" s="18">
        <f>H14+H15</f>
        <v/>
      </c>
      <c r="I16" s="18">
        <f>I14+I15</f>
        <v/>
      </c>
    </row>
    <row r="17">
      <c r="A17" s="2" t="inlineStr">
        <is>
          <t>Earnings per share (EGP)</t>
        </is>
      </c>
      <c r="E17" s="4">
        <f>E16/Assumptions!$B$5</f>
        <v/>
      </c>
      <c r="F17" s="4">
        <f>F16/Assumptions!$B$5</f>
        <v/>
      </c>
      <c r="G17" s="4">
        <f>G16/Assumptions!$B$5</f>
        <v/>
      </c>
      <c r="H17" s="4">
        <f>H16/Assumptions!$B$5</f>
        <v/>
      </c>
      <c r="I17" s="4">
        <f>I16/Assumptions!$B$5</f>
        <v/>
      </c>
    </row>
    <row r="19">
      <c r="A19" s="3" t="inlineStr">
        <is>
          <t>Historical group lines (disclosed): net profit attributable FY23 1,890.8 / FY24 2,928.1 / FY25 2,880.0; H1-26 actual 1,262.0 (EPS 1.163). The model's FY26E includes that realized half.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2:I18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>
      <c r="B2" s="1" t="inlineStr">
        <is>
          <t>Condensed group balance-sheet model (working capital on its measured cycle)</t>
        </is>
      </c>
    </row>
    <row r="4">
      <c r="A4" s="2" t="inlineStr"/>
      <c r="D4" s="8" t="inlineStr">
        <is>
          <t>FY25</t>
        </is>
      </c>
      <c r="E4" s="8" t="inlineStr">
        <is>
          <t>FY26E</t>
        </is>
      </c>
      <c r="F4" s="8" t="inlineStr">
        <is>
          <t>FY27E</t>
        </is>
      </c>
      <c r="G4" s="8" t="inlineStr">
        <is>
          <t>FY28E</t>
        </is>
      </c>
      <c r="H4" s="8" t="inlineStr">
        <is>
          <t>FY29E</t>
        </is>
      </c>
      <c r="I4" s="8" t="inlineStr">
        <is>
          <t>FY30E</t>
        </is>
      </c>
    </row>
    <row r="5">
      <c r="A5" s="2" t="inlineStr">
        <is>
          <t>Automotive working capital</t>
        </is>
      </c>
      <c r="D5" s="6" t="n">
        <v>18917</v>
      </c>
      <c r="E5" s="13">
        <f>DCF!E16</f>
        <v/>
      </c>
      <c r="F5" s="13">
        <f>DCF!F16</f>
        <v/>
      </c>
      <c r="G5" s="13">
        <f>DCF!G16</f>
        <v/>
      </c>
      <c r="H5" s="13">
        <f>DCF!H16</f>
        <v/>
      </c>
      <c r="I5" s="13">
        <f>DCF!I16</f>
        <v/>
      </c>
    </row>
    <row r="6">
      <c r="A6" s="2" t="inlineStr">
        <is>
          <t>Net PP&amp;E and intangibles (roll: + capex − D&amp;A)</t>
        </is>
      </c>
      <c r="D6" s="6" t="n">
        <v>13389.1</v>
      </c>
      <c r="E6" s="13">
        <f>D6+DCF!E15*-1-DCF!E13</f>
        <v/>
      </c>
      <c r="F6" s="13">
        <f>E6+DCF!F15*-1-DCF!F13</f>
        <v/>
      </c>
      <c r="G6" s="13">
        <f>F6+DCF!G15*-1-DCF!G13</f>
        <v/>
      </c>
      <c r="H6" s="13">
        <f>G6+DCF!H15*-1-DCF!H13</f>
        <v/>
      </c>
      <c r="I6" s="13">
        <f>H6+DCF!I15*-1-DCF!I13</f>
        <v/>
      </c>
    </row>
    <row r="7">
      <c r="A7" s="2" t="inlineStr">
        <is>
          <t>Investments in associates (roll: + equity pickup)</t>
        </is>
      </c>
      <c r="D7" s="6" t="n">
        <v>16230.465</v>
      </c>
      <c r="E7" s="13">
        <f>D7+850.0</f>
        <v/>
      </c>
      <c r="F7" s="13">
        <f>E7+1065.0</f>
        <v/>
      </c>
      <c r="G7" s="13">
        <f>F7+1330.0</f>
        <v/>
      </c>
      <c r="H7" s="13">
        <f>G7+1600.0</f>
        <v/>
      </c>
      <c r="I7" s="13">
        <f>H7+1870.0</f>
        <v/>
      </c>
    </row>
    <row r="8">
      <c r="A8" s="2" t="inlineStr">
        <is>
          <t>GB Capital operating net assets (held)</t>
        </is>
      </c>
      <c r="D8" s="6" t="n">
        <v>6267.334999999999</v>
      </c>
      <c r="E8" s="13">
        <f>Assumptions!$B$63</f>
        <v/>
      </c>
      <c r="F8" s="13">
        <f>Assumptions!$B$63</f>
        <v/>
      </c>
      <c r="G8" s="13">
        <f>Assumptions!$B$63</f>
        <v/>
      </c>
      <c r="H8" s="13">
        <f>Assumptions!$B$63</f>
        <v/>
      </c>
      <c r="I8" s="13">
        <f>Assumptions!$B$63</f>
        <v/>
      </c>
    </row>
    <row r="10">
      <c r="A10" s="1" t="inlineStr">
        <is>
          <t>Automotive net debt (cash-sweep roll)</t>
        </is>
      </c>
      <c r="D10" s="6" t="n">
        <v>14493.6</v>
      </c>
      <c r="E10" s="13">
        <f>D10-(DCF!E18+'Income Statement'!E11*(1-DCF!E11)-E12*0.85)</f>
        <v/>
      </c>
      <c r="F10" s="13">
        <f>E10-(DCF!F18+'Income Statement'!F11*(1-DCF!F11)-F12*0.85)</f>
        <v/>
      </c>
      <c r="G10" s="13">
        <f>F10-(DCF!G18+'Income Statement'!G11*(1-DCF!G11)-G12*0.85)</f>
        <v/>
      </c>
      <c r="H10" s="13">
        <f>G10-(DCF!H18+'Income Statement'!H11*(1-DCF!H11)-H12*0.85)</f>
        <v/>
      </c>
      <c r="I10" s="13">
        <f>H10-(DCF!I18+'Income Statement'!I11*(1-DCF!I11)-I12*0.85)</f>
        <v/>
      </c>
    </row>
    <row r="11">
      <c r="A11" s="1" t="inlineStr">
        <is>
          <t>Parent equity (roll: + profit − dividends)</t>
        </is>
      </c>
      <c r="D11" s="6" t="n">
        <v>33454.268</v>
      </c>
      <c r="E11" s="13">
        <f>D11+'Income Statement'!E16-E12</f>
        <v/>
      </c>
      <c r="F11" s="13">
        <f>E11+'Income Statement'!F16-F12</f>
        <v/>
      </c>
      <c r="G11" s="13">
        <f>F11+'Income Statement'!G16-G12</f>
        <v/>
      </c>
      <c r="H11" s="13">
        <f>G11+'Income Statement'!H16-H12</f>
        <v/>
      </c>
      <c r="I11" s="13">
        <f>H11+'Income Statement'!I16-I12</f>
        <v/>
      </c>
    </row>
    <row r="12">
      <c r="A12" s="2" t="inlineStr">
        <is>
          <t>Dividends paid (per-share held at the FY25 level)</t>
        </is>
      </c>
      <c r="E12" s="13">
        <f>0.35*Assumptions!$B$5</f>
        <v/>
      </c>
      <c r="F12" s="13">
        <f>0.35*Assumptions!$B$5</f>
        <v/>
      </c>
      <c r="G12" s="13">
        <f>0.35*Assumptions!$B$5</f>
        <v/>
      </c>
      <c r="H12" s="13">
        <f>0.35*Assumptions!$B$5</f>
        <v/>
      </c>
      <c r="I12" s="13">
        <f>0.35*Assumptions!$B$5</f>
        <v/>
      </c>
    </row>
    <row r="14">
      <c r="A14" s="3" t="inlineStr">
        <is>
          <t>FY25 associates column is the restated figure (the statements' note on prior-period adjustments raised the opening MNT B.V. carrying by 2,460.2).</t>
        </is>
      </c>
    </row>
    <row r="16">
      <c r="A16" s="2" t="inlineStr">
        <is>
          <t>Book value per share</t>
        </is>
      </c>
      <c r="E16" s="4">
        <f>E11/Assumptions!$B$5</f>
        <v/>
      </c>
      <c r="F16" s="4">
        <f>F11/Assumptions!$B$5</f>
        <v/>
      </c>
      <c r="G16" s="4">
        <f>G11/Assumptions!$B$5</f>
        <v/>
      </c>
      <c r="H16" s="4">
        <f>H11/Assumptions!$B$5</f>
        <v/>
      </c>
      <c r="I16" s="4">
        <f>I11/Assumptions!$B$5</f>
        <v/>
      </c>
    </row>
    <row r="18">
      <c r="A18" s="3" t="inlineStr">
        <is>
          <t>Measured conversion cycle at 30-Jun-26 (from the statements): inventory 122 days of cost, receivables 27 days of revenue, payables 82 days of cost — a 67-day cash cycle. The working-capital ratio above projects that cycle; the five disclosed quarterly snapshots (16.7-18.9bn) are the anchor.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2:I13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>
      <c r="B2" s="1" t="inlineStr">
        <is>
          <t>Condensed group cash-flow model</t>
        </is>
      </c>
    </row>
    <row r="4">
      <c r="E4" s="8" t="inlineStr">
        <is>
          <t>FY26E</t>
        </is>
      </c>
      <c r="F4" s="8" t="inlineStr">
        <is>
          <t>FY27E</t>
        </is>
      </c>
      <c r="G4" s="8" t="inlineStr">
        <is>
          <t>FY28E</t>
        </is>
      </c>
      <c r="H4" s="8" t="inlineStr">
        <is>
          <t>FY29E</t>
        </is>
      </c>
      <c r="I4" s="8" t="inlineStr">
        <is>
          <t>FY30E</t>
        </is>
      </c>
    </row>
    <row r="5">
      <c r="A5" s="2" t="inlineStr">
        <is>
          <t>Group net profit</t>
        </is>
      </c>
      <c r="E5" s="13">
        <f>'Income Statement'!E16</f>
        <v/>
      </c>
      <c r="F5" s="13">
        <f>'Income Statement'!F16</f>
        <v/>
      </c>
      <c r="G5" s="13">
        <f>'Income Statement'!G16</f>
        <v/>
      </c>
      <c r="H5" s="13">
        <f>'Income Statement'!H16</f>
        <v/>
      </c>
      <c r="I5" s="13">
        <f>'Income Statement'!I16</f>
        <v/>
      </c>
    </row>
    <row r="6">
      <c r="A6" s="2" t="inlineStr">
        <is>
          <t>Depreciation &amp; amortisation</t>
        </is>
      </c>
      <c r="E6" s="13">
        <f>DCF!E13</f>
        <v/>
      </c>
      <c r="F6" s="13">
        <f>DCF!F13</f>
        <v/>
      </c>
      <c r="G6" s="13">
        <f>DCF!G13</f>
        <v/>
      </c>
      <c r="H6" s="13">
        <f>DCF!H13</f>
        <v/>
      </c>
      <c r="I6" s="13">
        <f>DCF!I13</f>
        <v/>
      </c>
    </row>
    <row r="7">
      <c r="A7" s="2" t="inlineStr">
        <is>
          <t>Change in working capital</t>
        </is>
      </c>
      <c r="E7" s="13">
        <f>-DCF!E17</f>
        <v/>
      </c>
      <c r="F7" s="13">
        <f>-DCF!F17</f>
        <v/>
      </c>
      <c r="G7" s="13">
        <f>-DCF!G17</f>
        <v/>
      </c>
      <c r="H7" s="13">
        <f>-DCF!H17</f>
        <v/>
      </c>
      <c r="I7" s="13">
        <f>-DCF!I17</f>
        <v/>
      </c>
    </row>
    <row r="8">
      <c r="A8" s="2" t="inlineStr">
        <is>
          <t>Capex</t>
        </is>
      </c>
      <c r="E8" s="13">
        <f>DCF!E15</f>
        <v/>
      </c>
      <c r="F8" s="13">
        <f>DCF!F15</f>
        <v/>
      </c>
      <c r="G8" s="13">
        <f>DCF!G15</f>
        <v/>
      </c>
      <c r="H8" s="13">
        <f>DCF!H15</f>
        <v/>
      </c>
      <c r="I8" s="13">
        <f>DCF!I15</f>
        <v/>
      </c>
    </row>
    <row r="9">
      <c r="A9" s="2" t="inlineStr">
        <is>
          <t>Dividends paid</t>
        </is>
      </c>
      <c r="E9" s="13">
        <f>-'Balance Sheet'!E12</f>
        <v/>
      </c>
      <c r="F9" s="13">
        <f>-'Balance Sheet'!F12</f>
        <v/>
      </c>
      <c r="G9" s="13">
        <f>-'Balance Sheet'!G12</f>
        <v/>
      </c>
      <c r="H9" s="13">
        <f>-'Balance Sheet'!H12</f>
        <v/>
      </c>
      <c r="I9" s="13">
        <f>-'Balance Sheet'!I12</f>
        <v/>
      </c>
    </row>
    <row r="10">
      <c r="A10" s="1" t="inlineStr">
        <is>
          <t>Operating &amp; investing cash flow after dividends</t>
        </is>
      </c>
      <c r="E10" s="18">
        <f>SUM(E5:E9)</f>
        <v/>
      </c>
      <c r="F10" s="18">
        <f>SUM(F5:F9)</f>
        <v/>
      </c>
      <c r="G10" s="18">
        <f>SUM(G5:G9)</f>
        <v/>
      </c>
      <c r="H10" s="18">
        <f>SUM(H5:H9)</f>
        <v/>
      </c>
      <c r="I10" s="18">
        <f>SUM(I5:I9)</f>
        <v/>
      </c>
    </row>
    <row r="11">
      <c r="A11" s="2" t="inlineStr">
        <is>
          <t>Change in automotive net debt (from the sweep)</t>
        </is>
      </c>
      <c r="E11" s="13">
        <f>'Balance Sheet'!E10-Assumptions!B64</f>
        <v/>
      </c>
      <c r="F11" s="13">
        <f>'Balance Sheet'!F10-'Balance Sheet'!E10</f>
        <v/>
      </c>
      <c r="G11" s="13">
        <f>'Balance Sheet'!G10-'Balance Sheet'!F10</f>
        <v/>
      </c>
      <c r="H11" s="13">
        <f>'Balance Sheet'!H10-'Balance Sheet'!G10</f>
        <v/>
      </c>
      <c r="I11" s="13">
        <f>'Balance Sheet'!I10-'Balance Sheet'!H10</f>
        <v/>
      </c>
    </row>
    <row r="13">
      <c r="A13" s="3" t="inlineStr">
        <is>
          <t>Signs follow the model: a positive change in net debt funds the gap between spending and the cash the businesses release.</t>
        </is>
      </c>
    </row>
  </sheetData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2:I8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2">
      <c r="B2" s="1" t="inlineStr">
        <is>
          <t>Summary financials (links)</t>
        </is>
      </c>
    </row>
    <row r="4">
      <c r="B4" s="8" t="inlineStr">
        <is>
          <t>FY23</t>
        </is>
      </c>
      <c r="C4" s="8" t="inlineStr">
        <is>
          <t>FY24</t>
        </is>
      </c>
      <c r="D4" s="8" t="inlineStr">
        <is>
          <t>FY25</t>
        </is>
      </c>
      <c r="E4" s="8" t="inlineStr">
        <is>
          <t>FY26E</t>
        </is>
      </c>
      <c r="F4" s="8" t="inlineStr">
        <is>
          <t>FY27E</t>
        </is>
      </c>
      <c r="G4" s="8" t="inlineStr">
        <is>
          <t>FY28E</t>
        </is>
      </c>
      <c r="H4" s="8" t="inlineStr">
        <is>
          <t>FY29E</t>
        </is>
      </c>
      <c r="I4" s="8" t="inlineStr">
        <is>
          <t>FY30E</t>
        </is>
      </c>
    </row>
    <row r="5">
      <c r="A5" s="2" t="inlineStr">
        <is>
          <t>Group revenue</t>
        </is>
      </c>
      <c r="B5" s="13">
        <f>'Income Statement'!B8</f>
        <v/>
      </c>
      <c r="C5" s="13">
        <f>'Income Statement'!C8</f>
        <v/>
      </c>
      <c r="D5" s="13">
        <f>'Income Statement'!D8</f>
        <v/>
      </c>
      <c r="E5" s="13">
        <f>'Income Statement'!E8</f>
        <v/>
      </c>
      <c r="F5" s="13">
        <f>'Income Statement'!F8</f>
        <v/>
      </c>
      <c r="G5" s="13">
        <f>'Income Statement'!G8</f>
        <v/>
      </c>
      <c r="H5" s="13">
        <f>'Income Statement'!H8</f>
        <v/>
      </c>
      <c r="I5" s="13">
        <f>'Income Statement'!I8</f>
        <v/>
      </c>
    </row>
    <row r="6">
      <c r="A6" s="2" t="inlineStr">
        <is>
          <t>Automotive EBITDA</t>
        </is>
      </c>
      <c r="B6" s="6" t="n">
        <v>3794.6</v>
      </c>
      <c r="C6" s="6" t="n">
        <v>5880.5</v>
      </c>
      <c r="D6" s="6" t="n">
        <v>6363.3</v>
      </c>
      <c r="E6" s="13">
        <f>DCF!E14</f>
        <v/>
      </c>
      <c r="F6" s="13">
        <f>DCF!F14</f>
        <v/>
      </c>
      <c r="G6" s="13">
        <f>DCF!G14</f>
        <v/>
      </c>
      <c r="H6" s="13">
        <f>DCF!H14</f>
        <v/>
      </c>
      <c r="I6" s="13">
        <f>DCF!I14</f>
        <v/>
      </c>
    </row>
    <row r="7">
      <c r="A7" s="2" t="inlineStr">
        <is>
          <t>Group net profit (attributable)</t>
        </is>
      </c>
      <c r="B7" s="6" t="n">
        <v>1890.8</v>
      </c>
      <c r="C7" s="6" t="n">
        <v>2928.1</v>
      </c>
      <c r="D7" s="6" t="n">
        <v>2880</v>
      </c>
      <c r="E7" s="13">
        <f>'Income Statement'!E16</f>
        <v/>
      </c>
      <c r="F7" s="13">
        <f>'Income Statement'!F16</f>
        <v/>
      </c>
      <c r="G7" s="13">
        <f>'Income Statement'!G16</f>
        <v/>
      </c>
      <c r="H7" s="13">
        <f>'Income Statement'!H16</f>
        <v/>
      </c>
      <c r="I7" s="13">
        <f>'Income Statement'!I16</f>
        <v/>
      </c>
    </row>
    <row r="8">
      <c r="A8" s="2" t="inlineStr">
        <is>
          <t>Earnings per share (EGP)</t>
        </is>
      </c>
      <c r="B8" s="4" t="n">
        <v>1.742</v>
      </c>
      <c r="C8" s="4" t="n">
        <v>2.697</v>
      </c>
      <c r="D8" s="4" t="n">
        <v>2.653</v>
      </c>
      <c r="E8" s="4">
        <f>'Income Statement'!E17</f>
        <v/>
      </c>
      <c r="F8" s="4">
        <f>'Income Statement'!F17</f>
        <v/>
      </c>
      <c r="G8" s="4">
        <f>'Income Statement'!G17</f>
        <v/>
      </c>
      <c r="H8" s="4">
        <f>'Income Statement'!H17</f>
        <v/>
      </c>
      <c r="I8" s="4">
        <f>'Income Statement'!I17</f>
        <v/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2:G18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2">
      <c r="B2" s="1" t="inlineStr">
        <is>
          <t>Published price-probability map — reproduced unchanged from the live page</t>
        </is>
      </c>
    </row>
    <row r="4">
      <c r="A4" s="3" t="inlineStr">
        <is>
          <t>This sheet is a copy, not a computation. The map was struck on the closing library of 22 July 2026 and computed on 28 July 2026 (the page's own stamps: price data 2026-07-22, computed 2026-07-28). This refresh changes the fundamental fair-value range only; the probability map was NOT re-struck and is four weeks stale against the refresh date — its 1-month window resolves 23 August 2026. A fresh price data-set re-strikes it on its own clock.</t>
        </is>
      </c>
    </row>
    <row r="6">
      <c r="A6" s="8" t="inlineStr">
        <is>
          <t>Horizon</t>
        </is>
      </c>
      <c r="C6" s="8" t="inlineStr">
        <is>
          <t>5th</t>
        </is>
      </c>
      <c r="D6" s="8" t="inlineStr">
        <is>
          <t>25th</t>
        </is>
      </c>
      <c r="E6" s="8" t="inlineStr">
        <is>
          <t>median</t>
        </is>
      </c>
      <c r="F6" s="8" t="inlineStr">
        <is>
          <t>75th</t>
        </is>
      </c>
      <c r="G6" s="8" t="inlineStr">
        <is>
          <t>95th</t>
        </is>
      </c>
    </row>
    <row r="7">
      <c r="A7" s="2" t="inlineStr">
        <is>
          <t>1 month (resolves 23-Aug-26)</t>
        </is>
      </c>
      <c r="C7" s="7" t="n">
        <v>25.55</v>
      </c>
      <c r="D7" s="7" t="n">
        <v>29.31</v>
      </c>
      <c r="E7" s="7" t="n">
        <v>31.78</v>
      </c>
      <c r="F7" s="7" t="n">
        <v>34.47</v>
      </c>
      <c r="G7" s="7" t="n">
        <v>39.54</v>
      </c>
    </row>
    <row r="8">
      <c r="A8" s="2" t="inlineStr">
        <is>
          <t>3 months (resolves 22-Oct-26)</t>
        </is>
      </c>
      <c r="C8" s="7" t="n">
        <v>22.08</v>
      </c>
      <c r="D8" s="7" t="n">
        <v>28.34</v>
      </c>
      <c r="E8" s="7" t="n">
        <v>32.8</v>
      </c>
      <c r="F8" s="7" t="n">
        <v>37.86</v>
      </c>
      <c r="G8" s="7" t="n">
        <v>48.54</v>
      </c>
    </row>
    <row r="10">
      <c r="A10" s="2" t="inlineStr">
        <is>
          <t>Touch ladder (level, probability of touching within 1 month / 3 months, %)</t>
        </is>
      </c>
    </row>
    <row r="11">
      <c r="B11" s="7" t="n">
        <v>40</v>
      </c>
      <c r="C11" s="22" t="n">
        <v>7</v>
      </c>
      <c r="D11" s="22" t="n">
        <v>30</v>
      </c>
    </row>
    <row r="12">
      <c r="B12" s="7" t="n">
        <v>38</v>
      </c>
      <c r="C12" s="22" t="n">
        <v>13</v>
      </c>
      <c r="D12" s="22" t="n">
        <v>40</v>
      </c>
    </row>
    <row r="13">
      <c r="B13" s="7" t="n">
        <v>36</v>
      </c>
      <c r="C13" s="22" t="n">
        <v>25</v>
      </c>
      <c r="D13" s="22" t="n">
        <v>54</v>
      </c>
    </row>
    <row r="14">
      <c r="B14" s="7" t="n">
        <v>34</v>
      </c>
      <c r="C14" s="22" t="n">
        <v>46</v>
      </c>
      <c r="D14" s="22" t="n">
        <v>71</v>
      </c>
    </row>
    <row r="15">
      <c r="B15" s="7" t="n">
        <v>32</v>
      </c>
      <c r="C15" s="22" t="n">
        <v>78</v>
      </c>
      <c r="D15" s="22" t="n">
        <v>89</v>
      </c>
    </row>
    <row r="16">
      <c r="B16" s="7" t="n">
        <v>30</v>
      </c>
      <c r="C16" s="22" t="n">
        <v>59</v>
      </c>
      <c r="D16" s="22" t="n">
        <v>73</v>
      </c>
    </row>
    <row r="17">
      <c r="B17" s="7" t="n">
        <v>28</v>
      </c>
      <c r="C17" s="22" t="n">
        <v>27</v>
      </c>
      <c r="D17" s="22" t="n">
        <v>48</v>
      </c>
    </row>
    <row r="18">
      <c r="B18" s="7" t="n">
        <v>26</v>
      </c>
      <c r="C18" s="22" t="n">
        <v>11</v>
      </c>
      <c r="D18" s="22" t="n">
        <v>30</v>
      </c>
    </row>
  </sheetData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2:G1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2">
      <c r="B2" s="1" t="inlineStr">
        <is>
          <t>Sum-of-the-parts per share — MNT-Halan mark x holding discount (live formulas)</t>
        </is>
      </c>
    </row>
    <row r="4">
      <c r="C4" s="23" t="n">
        <v>0</v>
      </c>
      <c r="D4" s="23" t="n">
        <v>0.05</v>
      </c>
      <c r="E4" s="23" t="n">
        <v>0.1</v>
      </c>
      <c r="F4" s="23" t="n">
        <v>0.15</v>
      </c>
      <c r="G4" s="23" t="n">
        <v>0.2</v>
      </c>
    </row>
    <row r="5">
      <c r="B5" s="23" t="n">
        <v>0.5</v>
      </c>
      <c r="C5" s="5">
        <f>(DCF!$B$34+Assumptions!$B$63+Assumptions!$B$67*$B5+Assumptions!$B$60+Assumptions!$B$61)*(1-C$4)/Assumptions!$B$5</f>
        <v/>
      </c>
      <c r="D5" s="5">
        <f>(DCF!$B$34+Assumptions!$B$63+Assumptions!$B$67*$B5+Assumptions!$B$60+Assumptions!$B$61)*(1-D$4)/Assumptions!$B$5</f>
        <v/>
      </c>
      <c r="E5" s="5">
        <f>(DCF!$B$34+Assumptions!$B$63+Assumptions!$B$67*$B5+Assumptions!$B$60+Assumptions!$B$61)*(1-E$4)/Assumptions!$B$5</f>
        <v/>
      </c>
      <c r="F5" s="5">
        <f>(DCF!$B$34+Assumptions!$B$63+Assumptions!$B$67*$B5+Assumptions!$B$60+Assumptions!$B$61)*(1-F$4)/Assumptions!$B$5</f>
        <v/>
      </c>
      <c r="G5" s="5">
        <f>(DCF!$B$34+Assumptions!$B$63+Assumptions!$B$67*$B5+Assumptions!$B$60+Assumptions!$B$61)*(1-G$4)/Assumptions!$B$5</f>
        <v/>
      </c>
    </row>
    <row r="6">
      <c r="B6" s="23" t="n">
        <v>0.625</v>
      </c>
      <c r="C6" s="5">
        <f>(DCF!$B$34+Assumptions!$B$63+Assumptions!$B$67*$B6+Assumptions!$B$60+Assumptions!$B$61)*(1-C$4)/Assumptions!$B$5</f>
        <v/>
      </c>
      <c r="D6" s="5">
        <f>(DCF!$B$34+Assumptions!$B$63+Assumptions!$B$67*$B6+Assumptions!$B$60+Assumptions!$B$61)*(1-D$4)/Assumptions!$B$5</f>
        <v/>
      </c>
      <c r="E6" s="5">
        <f>(DCF!$B$34+Assumptions!$B$63+Assumptions!$B$67*$B6+Assumptions!$B$60+Assumptions!$B$61)*(1-E$4)/Assumptions!$B$5</f>
        <v/>
      </c>
      <c r="F6" s="5">
        <f>(DCF!$B$34+Assumptions!$B$63+Assumptions!$B$67*$B6+Assumptions!$B$60+Assumptions!$B$61)*(1-F$4)/Assumptions!$B$5</f>
        <v/>
      </c>
      <c r="G6" s="5">
        <f>(DCF!$B$34+Assumptions!$B$63+Assumptions!$B$67*$B6+Assumptions!$B$60+Assumptions!$B$61)*(1-G$4)/Assumptions!$B$5</f>
        <v/>
      </c>
    </row>
    <row r="7">
      <c r="B7" s="23" t="n">
        <v>0.75</v>
      </c>
      <c r="C7" s="5">
        <f>(DCF!$B$34+Assumptions!$B$63+Assumptions!$B$67*$B7+Assumptions!$B$60+Assumptions!$B$61)*(1-C$4)/Assumptions!$B$5</f>
        <v/>
      </c>
      <c r="D7" s="5">
        <f>(DCF!$B$34+Assumptions!$B$63+Assumptions!$B$67*$B7+Assumptions!$B$60+Assumptions!$B$61)*(1-D$4)/Assumptions!$B$5</f>
        <v/>
      </c>
      <c r="E7" s="5">
        <f>(DCF!$B$34+Assumptions!$B$63+Assumptions!$B$67*$B7+Assumptions!$B$60+Assumptions!$B$61)*(1-E$4)/Assumptions!$B$5</f>
        <v/>
      </c>
      <c r="F7" s="5">
        <f>(DCF!$B$34+Assumptions!$B$63+Assumptions!$B$67*$B7+Assumptions!$B$60+Assumptions!$B$61)*(1-F$4)/Assumptions!$B$5</f>
        <v/>
      </c>
      <c r="G7" s="5">
        <f>(DCF!$B$34+Assumptions!$B$63+Assumptions!$B$67*$B7+Assumptions!$B$60+Assumptions!$B$61)*(1-G$4)/Assumptions!$B$5</f>
        <v/>
      </c>
    </row>
    <row r="8">
      <c r="B8" s="23" t="n">
        <v>0.875</v>
      </c>
      <c r="C8" s="5">
        <f>(DCF!$B$34+Assumptions!$B$63+Assumptions!$B$67*$B8+Assumptions!$B$60+Assumptions!$B$61)*(1-C$4)/Assumptions!$B$5</f>
        <v/>
      </c>
      <c r="D8" s="5">
        <f>(DCF!$B$34+Assumptions!$B$63+Assumptions!$B$67*$B8+Assumptions!$B$60+Assumptions!$B$61)*(1-D$4)/Assumptions!$B$5</f>
        <v/>
      </c>
      <c r="E8" s="5">
        <f>(DCF!$B$34+Assumptions!$B$63+Assumptions!$B$67*$B8+Assumptions!$B$60+Assumptions!$B$61)*(1-E$4)/Assumptions!$B$5</f>
        <v/>
      </c>
      <c r="F8" s="5">
        <f>(DCF!$B$34+Assumptions!$B$63+Assumptions!$B$67*$B8+Assumptions!$B$60+Assumptions!$B$61)*(1-F$4)/Assumptions!$B$5</f>
        <v/>
      </c>
      <c r="G8" s="5">
        <f>(DCF!$B$34+Assumptions!$B$63+Assumptions!$B$67*$B8+Assumptions!$B$60+Assumptions!$B$61)*(1-G$4)/Assumptions!$B$5</f>
        <v/>
      </c>
    </row>
    <row r="9">
      <c r="B9" s="23" t="n">
        <v>1</v>
      </c>
      <c r="C9" s="5">
        <f>(DCF!$B$34+Assumptions!$B$63+Assumptions!$B$67*$B9+Assumptions!$B$60+Assumptions!$B$61)*(1-C$4)/Assumptions!$B$5</f>
        <v/>
      </c>
      <c r="D9" s="5">
        <f>(DCF!$B$34+Assumptions!$B$63+Assumptions!$B$67*$B9+Assumptions!$B$60+Assumptions!$B$61)*(1-D$4)/Assumptions!$B$5</f>
        <v/>
      </c>
      <c r="E9" s="5">
        <f>(DCF!$B$34+Assumptions!$B$63+Assumptions!$B$67*$B9+Assumptions!$B$60+Assumptions!$B$61)*(1-E$4)/Assumptions!$B$5</f>
        <v/>
      </c>
      <c r="F9" s="5">
        <f>(DCF!$B$34+Assumptions!$B$63+Assumptions!$B$67*$B9+Assumptions!$B$60+Assumptions!$B$61)*(1-F$4)/Assumptions!$B$5</f>
        <v/>
      </c>
      <c r="G9" s="5">
        <f>(DCF!$B$34+Assumptions!$B$63+Assumptions!$B$67*$B9+Assumptions!$B$60+Assumptions!$B$61)*(1-G$4)/Assumptions!$B$5</f>
        <v/>
      </c>
    </row>
    <row r="11">
      <c r="A11" s="3" t="inlineStr">
        <is>
          <t>The company's own balance-sheet mark equals 52% of the round — between the first and second rows. The July study's margin axis is retained as a line: ±1pt of automotive gross margin moves the automotive leg by about 6.49 per share.</t>
        </is>
      </c>
    </row>
  </sheetData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2:I11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2">
      <c r="B2" s="1" t="inlineStr">
        <is>
          <t>Per-share values and ratios</t>
        </is>
      </c>
    </row>
    <row r="4">
      <c r="E4" s="8" t="inlineStr">
        <is>
          <t>FY26E</t>
        </is>
      </c>
      <c r="F4" s="8" t="inlineStr">
        <is>
          <t>FY27E</t>
        </is>
      </c>
      <c r="G4" s="8" t="inlineStr">
        <is>
          <t>FY28E</t>
        </is>
      </c>
      <c r="H4" s="8" t="inlineStr">
        <is>
          <t>FY29E</t>
        </is>
      </c>
      <c r="I4" s="8" t="inlineStr">
        <is>
          <t>FY30E</t>
        </is>
      </c>
    </row>
    <row r="5">
      <c r="A5" s="2" t="inlineStr">
        <is>
          <t>Earnings per share</t>
        </is>
      </c>
      <c r="E5" s="4">
        <f>'Income Statement'!E17</f>
        <v/>
      </c>
      <c r="F5" s="4">
        <f>'Income Statement'!F17</f>
        <v/>
      </c>
      <c r="G5" s="4">
        <f>'Income Statement'!G17</f>
        <v/>
      </c>
      <c r="H5" s="4">
        <f>'Income Statement'!H17</f>
        <v/>
      </c>
      <c r="I5" s="4">
        <f>'Income Statement'!I17</f>
        <v/>
      </c>
    </row>
    <row r="6">
      <c r="A6" s="2" t="inlineStr">
        <is>
          <t>Book value per share</t>
        </is>
      </c>
      <c r="E6" s="4">
        <f>'Balance Sheet'!E16</f>
        <v/>
      </c>
      <c r="F6" s="4">
        <f>'Balance Sheet'!F16</f>
        <v/>
      </c>
      <c r="G6" s="4">
        <f>'Balance Sheet'!G16</f>
        <v/>
      </c>
      <c r="H6" s="4">
        <f>'Balance Sheet'!H16</f>
        <v/>
      </c>
      <c r="I6" s="4">
        <f>'Balance Sheet'!I16</f>
        <v/>
      </c>
    </row>
    <row r="7">
      <c r="A7" s="2" t="inlineStr">
        <is>
          <t>Return on equity</t>
        </is>
      </c>
      <c r="E7" s="21">
        <f>'Income Statement'!E16/'Balance Sheet'!E11</f>
        <v/>
      </c>
      <c r="F7" s="21">
        <f>'Income Statement'!F16/'Balance Sheet'!F11</f>
        <v/>
      </c>
      <c r="G7" s="21">
        <f>'Income Statement'!G16/'Balance Sheet'!G11</f>
        <v/>
      </c>
      <c r="H7" s="21">
        <f>'Income Statement'!H16/'Balance Sheet'!H11</f>
        <v/>
      </c>
      <c r="I7" s="21">
        <f>'Income Statement'!I16/'Balance Sheet'!I11</f>
        <v/>
      </c>
    </row>
    <row r="8">
      <c r="A8" s="2" t="inlineStr">
        <is>
          <t>Net debt / automotive EBITDA</t>
        </is>
      </c>
      <c r="E8" s="4">
        <f>'Balance Sheet'!E10/DCF!E14</f>
        <v/>
      </c>
      <c r="F8" s="4">
        <f>'Balance Sheet'!F10/DCF!F14</f>
        <v/>
      </c>
      <c r="G8" s="4">
        <f>'Balance Sheet'!G10/DCF!G14</f>
        <v/>
      </c>
      <c r="H8" s="4">
        <f>'Balance Sheet'!H10/DCF!H14</f>
        <v/>
      </c>
      <c r="I8" s="4">
        <f>'Balance Sheet'!I10/DCF!I14</f>
        <v/>
      </c>
    </row>
    <row r="9">
      <c r="A9" s="2" t="inlineStr">
        <is>
          <t>Price / earnings at the last close</t>
        </is>
      </c>
      <c r="E9" s="5">
        <f>Assumptions!$B$6/'Income Statement'!E17</f>
        <v/>
      </c>
      <c r="F9" s="5">
        <f>Assumptions!$B$6/'Income Statement'!F17</f>
        <v/>
      </c>
      <c r="G9" s="5">
        <f>Assumptions!$B$6/'Income Statement'!G17</f>
        <v/>
      </c>
      <c r="H9" s="5">
        <f>Assumptions!$B$6/'Income Statement'!H17</f>
        <v/>
      </c>
      <c r="I9" s="5">
        <f>Assumptions!$B$6/'Income Statement'!I17</f>
        <v/>
      </c>
    </row>
    <row r="10">
      <c r="A10" s="2" t="inlineStr">
        <is>
          <t>Price / book at the last close</t>
        </is>
      </c>
      <c r="E10" s="4">
        <f>Assumptions!$B$6/'Balance Sheet'!E16</f>
        <v/>
      </c>
      <c r="F10" s="4">
        <f>Assumptions!$B$6/'Balance Sheet'!F16</f>
        <v/>
      </c>
      <c r="G10" s="4">
        <f>Assumptions!$B$6/'Balance Sheet'!G16</f>
        <v/>
      </c>
      <c r="H10" s="4">
        <f>Assumptions!$B$6/'Balance Sheet'!H16</f>
        <v/>
      </c>
      <c r="I10" s="4">
        <f>Assumptions!$B$6/'Balance Sheet'!I16</f>
        <v/>
      </c>
    </row>
    <row r="11">
      <c r="A11" s="2" t="inlineStr">
        <is>
          <t>Dividend yield at the last close (payout held)</t>
        </is>
      </c>
      <c r="E11" s="21">
        <f>0.35/Assumptions!$B$6</f>
        <v/>
      </c>
      <c r="F11" s="21">
        <f>0.35/Assumptions!$B$6</f>
        <v/>
      </c>
      <c r="G11" s="21">
        <f>0.35/Assumptions!$B$6</f>
        <v/>
      </c>
      <c r="H11" s="21">
        <f>0.35/Assumptions!$B$6</f>
        <v/>
      </c>
      <c r="I11" s="21">
        <f>0.35/Assumptions!$B$6</f>
        <v/>
      </c>
    </row>
  </sheetData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2:C13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52" customWidth="1" min="3" max="3"/>
  </cols>
  <sheetData>
    <row r="2">
      <c r="B2" s="1" t="inlineStr">
        <is>
          <t>Peer frame (context only — never a source for the subject's own numbers)</t>
        </is>
      </c>
    </row>
    <row r="4">
      <c r="A4" s="8" t="inlineStr">
        <is>
          <t>Peer</t>
        </is>
      </c>
      <c r="B4" s="8" t="inlineStr">
        <is>
          <t>Trailing P/E</t>
        </is>
      </c>
      <c r="C4" s="8" t="inlineStr">
        <is>
          <t>Note</t>
        </is>
      </c>
    </row>
    <row r="5">
      <c r="A5" s="2" t="inlineStr">
        <is>
          <t>Contact Financial (EGX) — consumer/NBFS</t>
        </is>
      </c>
      <c r="B5" s="7" t="n">
        <v>9.41</v>
      </c>
      <c r="C5" s="3" t="inlineStr">
        <is>
          <t>the direct Egyptian financing peer</t>
        </is>
      </c>
    </row>
    <row r="6">
      <c r="A6" s="2" t="inlineStr">
        <is>
          <t>Dogus Otomotiv (Istanbul) — auto distribution</t>
        </is>
      </c>
      <c r="B6" s="7" t="n">
        <v>12.55</v>
      </c>
      <c r="C6" s="3" t="inlineStr">
        <is>
          <t>P/B 0.62 on inflation-restated book</t>
        </is>
      </c>
    </row>
    <row r="7">
      <c r="A7" s="2" t="inlineStr">
        <is>
          <t>AutoNation (US) — auto retail</t>
        </is>
      </c>
      <c r="B7" s="7" t="n">
        <v>9.109999999999999</v>
      </c>
      <c r="C7" s="3" t="inlineStr">
        <is>
          <t>mature-market anchor; fwd 8.35</t>
        </is>
      </c>
    </row>
    <row r="8">
      <c r="A8" s="2" t="inlineStr">
        <is>
          <t>Bajaj Auto (India) — two/three-wheelers</t>
        </is>
      </c>
      <c r="B8" s="7" t="n">
        <v>27.56</v>
      </c>
      <c r="C8" s="3" t="inlineStr">
        <is>
          <t>partner brand; rich-market multiple</t>
        </is>
      </c>
    </row>
    <row r="10">
      <c r="A10" s="2" t="inlineStr">
        <is>
          <t>GB Corp at the last close on FY26E earnings</t>
        </is>
      </c>
      <c r="B10" s="5">
        <f>Assumptions!B6/'Income Statement'!E17</f>
        <v/>
      </c>
    </row>
    <row r="11">
      <c r="A11" s="2" t="inlineStr">
        <is>
          <t>GB Corp at the last close on restated book</t>
        </is>
      </c>
      <c r="B11" s="4">
        <f>Assumptions!B6/('Fundamental Valuation'!B7)</f>
        <v/>
      </c>
    </row>
    <row r="13">
      <c r="A13" s="3" t="inlineStr">
        <is>
          <t>All peer marks 19-Aug-2026, aggregator-sourced (market data only). One material aggregator discrepancy was logged: Contact Financial's market capitalisation is quoted between EGP 4.5bn and 6.6bn across services on different dates.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2026-08-19T11:45:05Z</dcterms:created>
  <dcterms:modified xmlns:dcterms="http://purl.org/dc/terms/" xmlns:xsi="http://www.w3.org/2001/XMLSchema-instance" xsi:type="dcterms:W3CDTF">2026-08-19T11:45:05Z</dcterms:modified>
</cp:coreProperties>
</file>