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Valuation Bridge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&quot;-&quot;"/>
    <numFmt numFmtId="165" formatCode="0.0%;(0.0%);&quot;-&quot;"/>
    <numFmt numFmtId="166" formatCode="0.00%;(0.00%);&quot;-&quot;"/>
    <numFmt numFmtId="167" formatCode="0.00x"/>
    <numFmt numFmtId="168" formatCode="0.0000%"/>
    <numFmt numFmtId="169" formatCode="0.000"/>
  </numFmts>
  <fonts count="12">
    <font>
      <name val="Calibri"/>
      <family val="2"/>
      <color theme="1"/>
      <sz val="11"/>
      <scheme val="minor"/>
    </font>
    <font>
      <b val="1"/>
      <color rgb="00F6F1E6"/>
      <sz val="13"/>
    </font>
    <font>
      <sz val="10"/>
    </font>
    <font>
      <color rgb="006E7B77"/>
      <sz val="9"/>
    </font>
    <font>
      <b val="1"/>
      <color rgb="00000000"/>
    </font>
    <font>
      <color rgb="00000000"/>
    </font>
    <font>
      <color rgb="000000FF"/>
    </font>
    <font>
      <color rgb="006E7B77"/>
    </font>
    <font>
      <color rgb="00008000"/>
    </font>
    <font>
      <b val="1"/>
      <color rgb="000000FF"/>
    </font>
    <font>
      <b val="1"/>
      <color rgb="00008000"/>
    </font>
    <font>
      <b val="1"/>
    </font>
  </fonts>
  <fills count="5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EAF0EE"/>
      </patternFill>
    </fill>
    <fill>
      <patternFill patternType="solid">
        <fgColor rgb="00F6F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2" fontId="6" fillId="0" borderId="0" pivotButton="0" quotePrefix="0" xfId="0"/>
    <xf numFmtId="0" fontId="7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6" fontId="5" fillId="0" borderId="0" pivotButton="0" quotePrefix="0" xfId="0"/>
    <xf numFmtId="167" fontId="6" fillId="0" borderId="0" pivotButton="0" quotePrefix="0" xfId="0"/>
    <xf numFmtId="168" fontId="6" fillId="0" borderId="0" pivotButton="0" quotePrefix="0" xfId="0"/>
    <xf numFmtId="49" fontId="6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49" fontId="5" fillId="0" borderId="0" pivotButton="0" quotePrefix="0" xfId="0"/>
    <xf numFmtId="164" fontId="8" fillId="0" borderId="0" pivotButton="0" quotePrefix="0" xfId="0"/>
    <xf numFmtId="164" fontId="4" fillId="0" borderId="0" pivotButton="0" quotePrefix="0" xfId="0"/>
    <xf numFmtId="169" fontId="5" fillId="0" borderId="0" pivotButton="0" quotePrefix="0" xfId="0"/>
    <xf numFmtId="165" fontId="4" fillId="0" borderId="0" pivotButton="0" quotePrefix="0" xfId="0"/>
    <xf numFmtId="2" fontId="4" fillId="0" borderId="0" pivotButton="0" quotePrefix="0" xfId="0"/>
    <xf numFmtId="164" fontId="9" fillId="0" borderId="0" pivotButton="0" quotePrefix="0" xfId="0"/>
    <xf numFmtId="164" fontId="10" fillId="0" borderId="0" pivotButton="0" quotePrefix="0" xfId="0"/>
    <xf numFmtId="2" fontId="5" fillId="0" borderId="0" pivotButton="0" quotePrefix="0" xfId="0"/>
    <xf numFmtId="164" fontId="11" fillId="0" borderId="0" pivotButton="0" quotePrefix="0" xfId="0"/>
    <xf numFmtId="164" fontId="0" fillId="0" borderId="0" pivotButton="0" quotePrefix="0" xfId="0"/>
    <xf numFmtId="2" fontId="8" fillId="0" borderId="0" pivotButton="0" quotePrefix="0" xfId="0"/>
    <xf numFmtId="165" fontId="8" fillId="0" borderId="0" pivotButton="0" quotePrefix="0" xfId="0"/>
    <xf numFmtId="2" fontId="10" fillId="0" borderId="0" pivotButton="0" quotePrefix="0" xfId="0"/>
    <xf numFmtId="165" fontId="10" fillId="0" borderId="0" pivotButton="0" quotePrefix="0" xfId="0"/>
    <xf numFmtId="167" fontId="5" fillId="0" borderId="0" pivotButton="0" quotePrefix="0" xfId="0"/>
    <xf numFmtId="0" fontId="4" fillId="4" borderId="0" pivotButton="0" quotePrefix="0" xfId="0"/>
    <xf numFmtId="165" fontId="4" fillId="3" borderId="0" pivotButton="0" quotePrefix="0" xfId="0"/>
    <xf numFmtId="165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18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inlineStr">
        <is>
          <t>Testahil — Saudi Telecom Company (Tadawul: 7010)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Companion model · Independent Valuation Study · Educational analysis · Not investment advice</t>
        </is>
      </c>
    </row>
    <row r="4">
      <c r="A4" s="3" t="inlineStr"/>
    </row>
    <row r="5">
      <c r="A5" s="3" t="inlineStr">
        <is>
          <t>What this workbook is. A transparent companion to the stc valuation study. Every blue cell is an input; every</t>
        </is>
      </c>
    </row>
    <row r="6">
      <c r="A6" s="3" t="inlineStr">
        <is>
          <t>black cell is a formula; green cells link across sheets. All inputs live on the Assumptions sheet — change one</t>
        </is>
      </c>
    </row>
    <row r="7">
      <c r="A7" s="3" t="inlineStr">
        <is>
          <t>(the EBITDA margin path, capex intensity, the beta, terminal growth, a stake mark) and the whole model reprices.</t>
        </is>
      </c>
    </row>
    <row r="8">
      <c r="A8" s="3" t="inlineStr"/>
    </row>
    <row r="9">
      <c r="A9" s="3" t="inlineStr">
        <is>
          <t>What it is not. It is not investment advice, a recommendation, or a price target. Values are model outputs shown</t>
        </is>
      </c>
    </row>
    <row r="10">
      <c r="A10" s="3" t="inlineStr">
        <is>
          <t>as ranges. The preparer is not licensed by any securities regulator and may hold a position in the security.</t>
        </is>
      </c>
    </row>
    <row r="11">
      <c r="A11" s="3" t="inlineStr"/>
    </row>
    <row r="12">
      <c r="A12" s="3" t="inlineStr">
        <is>
          <t>Entity note. Saudi Telecom Company (stc Group) is the Kingdom’s incumbent operator: stc KSA (consumer,</t>
        </is>
      </c>
    </row>
    <row r="13">
      <c r="A13" s="3" t="inlineStr">
        <is>
          <t>enterprise, wholesale) plus subsidiaries — solutions by stc (79%, listed 7202), stc bank (85%, SAMA-licensed</t>
        </is>
      </c>
    </row>
    <row r="14">
      <c r="A14" s="3" t="inlineStr">
        <is>
          <t>Jan-2025), stc Kuwait (51.8%), stc Bahrain (100%), center3 (data centres), sirar, iot squared (50% PIF JV) —</t>
        </is>
      </c>
    </row>
    <row r="15">
      <c r="A15" s="3" t="inlineStr">
        <is>
          <t>and minority stakes: 43.06% of Digital Infrastructure Co (TAWAL+GLIC towers, PIF-controlled) and 9.97% of</t>
        </is>
      </c>
    </row>
    <row r="16">
      <c r="A16" s="3" t="inlineStr">
        <is>
          <t>Telefónica. House lens: going-concern FCFF DCF (primary), cross-checked by the dividend-policy DDM,</t>
        </is>
      </c>
    </row>
    <row r="17">
      <c r="A17" s="3" t="inlineStr">
        <is>
          <t>relative multiples and normalized earnings; the tower and Telefónica stakes are bridge items marked separately.</t>
        </is>
      </c>
    </row>
    <row r="18">
      <c r="A18" s="3" t="inlineStr"/>
    </row>
    <row r="19">
      <c r="A19" s="3" t="inlineStr">
        <is>
          <t>Currency. SAR million unless stated. Spot SAR 43.58 (7 Jul 2026 close, from the attached daily history).</t>
        </is>
      </c>
    </row>
    <row r="20">
      <c r="A20" s="3" t="inlineStr">
        <is>
          <t>Historical financials are stc’s own IR disclosure (FY23–FY25 releases, restated continuing-ops basis;</t>
        </is>
      </c>
    </row>
    <row r="21">
      <c r="A21" s="3" t="inlineStr">
        <is>
          <t>Q1-26 release 28 Apr 2026); balance-sheet detail from the Q1-2026 interim FS (31-Dec-25 comparatives).</t>
        </is>
      </c>
    </row>
    <row r="22">
      <c r="A22" s="3" t="inlineStr"/>
    </row>
    <row r="23">
      <c r="A23" s="3" t="inlineStr">
        <is>
          <t>Sheets: Summary · Fundamental Valuation · Assumptions · Valuation Bridge · Segments · Relative &amp; Normalized ·</t>
        </is>
      </c>
    </row>
    <row r="24">
      <c r="A24" s="3" t="inlineStr">
        <is>
          <t>DCF · Income Statement · Balance Sheet · Cash Flow · Summary Financials · Monte Carlo · Sensitivity ·</t>
        </is>
      </c>
    </row>
    <row r="25">
      <c r="A25" s="3" t="inlineStr">
        <is>
          <t>Per-Share &amp; Ratios · Peer &amp; Sector.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Valuation summary — Saudi Telecom Company (Tadawul: 7010)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Four-lens fair value vs spot. Base links live; bear/bull are scenario outputs (study §1.5).</t>
        </is>
      </c>
    </row>
    <row r="5">
      <c r="A5" s="5" t="inlineStr"/>
      <c r="B5" s="5" t="inlineStr">
        <is>
          <t>Bear</t>
        </is>
      </c>
      <c r="C5" s="5" t="inlineStr">
        <is>
          <t>Base</t>
        </is>
      </c>
      <c r="D5" s="5" t="inlineStr">
        <is>
          <t>Bull</t>
        </is>
      </c>
      <c r="E5" s="5" t="inlineStr">
        <is>
          <t>Weight</t>
        </is>
      </c>
    </row>
    <row r="6">
      <c r="A6" s="17" t="inlineStr">
        <is>
          <t>FCFF DCF (primary)</t>
        </is>
      </c>
      <c r="B6" s="7" t="n">
        <v>35.5</v>
      </c>
      <c r="C6" s="30">
        <f>'Valuation Bridge'!C13</f>
        <v/>
      </c>
      <c r="D6" s="7" t="n">
        <v>69.09999999999999</v>
      </c>
      <c r="E6" s="31">
        <f>Assumptions!B32</f>
        <v/>
      </c>
    </row>
    <row r="7">
      <c r="A7" s="17" t="inlineStr">
        <is>
          <t>Dividend discount (policy lens)</t>
        </is>
      </c>
      <c r="B7" s="7" t="n">
        <v>32.1</v>
      </c>
      <c r="C7" s="30">
        <f>'Valuation Bridge'!C22</f>
        <v/>
      </c>
      <c r="D7" s="7" t="n">
        <v>57.5</v>
      </c>
      <c r="E7" s="31">
        <f>Assumptions!B33</f>
        <v/>
      </c>
    </row>
    <row r="8">
      <c r="A8" s="17" t="inlineStr">
        <is>
          <t>Relative (EV/EBITDA)</t>
        </is>
      </c>
      <c r="B8" s="7" t="n">
        <v>42.1</v>
      </c>
      <c r="C8" s="30">
        <f>'Relative &amp; Normalized'!C6</f>
        <v/>
      </c>
      <c r="D8" s="7" t="n">
        <v>52.4</v>
      </c>
      <c r="E8" s="31">
        <f>Assumptions!B34</f>
        <v/>
      </c>
    </row>
    <row r="9">
      <c r="A9" s="17" t="inlineStr">
        <is>
          <t>Normalized earnings</t>
        </is>
      </c>
      <c r="B9" s="7" t="n">
        <v>36.8</v>
      </c>
      <c r="C9" s="30">
        <f>'Relative &amp; Normalized'!C9</f>
        <v/>
      </c>
      <c r="D9" s="7" t="n">
        <v>50.3</v>
      </c>
      <c r="E9" s="31">
        <f>Assumptions!B35</f>
        <v/>
      </c>
    </row>
    <row r="10">
      <c r="A10" s="16" t="inlineStr">
        <is>
          <t>Weighted central</t>
        </is>
      </c>
      <c r="B10" s="24">
        <f>SUMPRODUCT(B6:B9,$E$6:$E$9)</f>
        <v/>
      </c>
      <c r="C10" s="24">
        <f>SUMPRODUCT(C6:C9,$E$6:$E$9)</f>
        <v/>
      </c>
      <c r="D10" s="24">
        <f>SUMPRODUCT(D6:D9,$E$6:$E$9)</f>
        <v/>
      </c>
    </row>
    <row r="12">
      <c r="A12" s="17" t="inlineStr">
        <is>
          <t>Spot price (SAR)</t>
        </is>
      </c>
      <c r="B12" s="30">
        <f>Assumptions!B5</f>
        <v/>
      </c>
    </row>
    <row r="13">
      <c r="A13" s="17" t="inlineStr">
        <is>
          <t>Upside to central base</t>
        </is>
      </c>
      <c r="B13" s="18">
        <f>C10/Assumptions!B5-1</f>
        <v/>
      </c>
    </row>
    <row r="15">
      <c r="A15" s="8" t="inlineStr">
        <is>
          <t>Read: modestly undervalued — the DCF and relative lenses sit above spot, the dividend and normalized lenses close to it; the swing is capex intensity vs the locked SAR 2.20 payout, the beta/discount-rate question, and the KSA mobile competitive picture.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Fundamental valuation — football-field data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Bear/base/bull per lens (links to Summary).</t>
        </is>
      </c>
    </row>
    <row r="5">
      <c r="A5" s="5" t="inlineStr">
        <is>
          <t>Lens</t>
        </is>
      </c>
      <c r="B5" s="5" t="inlineStr">
        <is>
          <t>Bear</t>
        </is>
      </c>
      <c r="C5" s="5" t="inlineStr">
        <is>
          <t>Base</t>
        </is>
      </c>
      <c r="D5" s="5" t="inlineStr">
        <is>
          <t>Bull</t>
        </is>
      </c>
    </row>
    <row r="6">
      <c r="A6" s="6" t="inlineStr">
        <is>
          <t>FCFF DCF (primary)</t>
        </is>
      </c>
      <c r="B6" s="30">
        <f>Summary!B6</f>
        <v/>
      </c>
      <c r="C6" s="30">
        <f>Summary!C6</f>
        <v/>
      </c>
      <c r="D6" s="30">
        <f>Summary!D6</f>
        <v/>
      </c>
    </row>
    <row r="7">
      <c r="A7" s="6" t="inlineStr">
        <is>
          <t>Dividend discount (policy lens)</t>
        </is>
      </c>
      <c r="B7" s="30">
        <f>Summary!B7</f>
        <v/>
      </c>
      <c r="C7" s="30">
        <f>Summary!C7</f>
        <v/>
      </c>
      <c r="D7" s="30">
        <f>Summary!D7</f>
        <v/>
      </c>
    </row>
    <row r="8">
      <c r="A8" s="6" t="inlineStr">
        <is>
          <t>Relative (EV/EBITDA)</t>
        </is>
      </c>
      <c r="B8" s="30">
        <f>Summary!B8</f>
        <v/>
      </c>
      <c r="C8" s="30">
        <f>Summary!C8</f>
        <v/>
      </c>
      <c r="D8" s="30">
        <f>Summary!D8</f>
        <v/>
      </c>
    </row>
    <row r="9">
      <c r="A9" s="6" t="inlineStr">
        <is>
          <t>Normalized earnings</t>
        </is>
      </c>
      <c r="B9" s="30">
        <f>Summary!B9</f>
        <v/>
      </c>
      <c r="C9" s="30">
        <f>Summary!C9</f>
        <v/>
      </c>
      <c r="D9" s="30">
        <f>Summary!D9</f>
        <v/>
      </c>
    </row>
    <row r="10">
      <c r="A10" s="16" t="inlineStr">
        <is>
          <t>Weighted central</t>
        </is>
      </c>
      <c r="B10" s="32">
        <f>Summary!B10</f>
        <v/>
      </c>
      <c r="C10" s="32">
        <f>Summary!C10</f>
        <v/>
      </c>
      <c r="D10" s="32">
        <f>Summary!D10</f>
        <v/>
      </c>
    </row>
    <row r="11">
      <c r="A11" s="17" t="inlineStr">
        <is>
          <t>Spot</t>
        </is>
      </c>
      <c r="B11" s="30">
        <f>Assumptions!B5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44" customWidth="1" min="1" max="1"/>
    <col width="12.5" customWidth="1" min="2" max="2"/>
    <col width="11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inlineStr">
        <is>
          <t>Assumptions — the single input layer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All blue cells are inputs. Every other sheet links here.</t>
        </is>
      </c>
    </row>
    <row r="4">
      <c r="A4" s="5" t="inlineStr">
        <is>
          <t>ANCHORS</t>
        </is>
      </c>
    </row>
    <row r="5">
      <c r="A5" s="6" t="inlineStr">
        <is>
          <t>Spot price (SAR/share)</t>
        </is>
      </c>
      <c r="B5" s="7" t="n">
        <v>43.58</v>
      </c>
      <c r="C5" s="8" t="inlineStr">
        <is>
          <t>7 Jul 2026 close, attached daily history</t>
        </is>
      </c>
    </row>
    <row r="6">
      <c r="A6" s="6" t="inlineStr">
        <is>
          <t>Shares outstanding (mn)</t>
        </is>
      </c>
      <c r="B6" s="9" t="n">
        <v>4989.8</v>
      </c>
      <c r="C6" s="8" t="inlineStr">
        <is>
          <t>5,000mn issued − ~10.2mn treasury; 26mn ESIP buyback approved 7-May-2026 not yet netted</t>
        </is>
      </c>
    </row>
    <row r="7">
      <c r="A7" s="6" t="inlineStr">
        <is>
          <t>Normalized effective zakat &amp; income tax</t>
        </is>
      </c>
      <c r="B7" s="10" t="n">
        <v>0.097</v>
      </c>
      <c r="C7" s="8" t="inlineStr">
        <is>
          <t>stc is a zakat payer (statutory 2.5% on the zakat base) plus foreign-subsidiary income taxes/WHT. Both framings: statutory 2.5% vs normalized effective ~9.7% (FY23 9.5%, FY24 9.8%; FY25 was a one-off net CREDIT of SAR 466mn from prior-year provision reversals). The model uses the normalized effective rate.</t>
        </is>
      </c>
    </row>
    <row r="8">
      <c r="A8" s="5" t="inlineStr">
        <is>
          <t>COST OF CAPITAL — bottom-up, sourced (house rule §3.5-G; full sourcing rows 84+)</t>
        </is>
      </c>
    </row>
    <row r="9">
      <c r="A9" s="6" t="inlineStr">
        <is>
          <t>Risk-free rate (SAR 10Y sovereign, derived 8-Jul-2026)</t>
        </is>
      </c>
      <c r="B9" s="11" t="n">
        <v>0.055</v>
      </c>
      <c r="C9" s="8" t="inlineStr">
        <is>
          <t>DERIVED: KSA govt-guaranteed USD 10Y priced UST+95bp on 8-Jul-2026 (SRC $1.5bn 10y sukuk; UST 10Y 4.45%) = 5.40%, plus the SAR-over-USD sovereign pickup documented in the Saudi Exchange "KSA Sovereign Local Currency Debt Primer Update" (21-May-2026); cross-checked vs FAB Securities 5.5% SAR rf (Feb-2026). No free live SAR 10Y screen quote exists — flagged as derived, not a screen print. NEVER shortcut to UST (peg ≠ equivalence).</t>
        </is>
      </c>
    </row>
    <row r="10">
      <c r="A10" s="6" t="inlineStr">
        <is>
          <t>Equity beta (regressed vs TASI — see row 88)</t>
        </is>
      </c>
      <c r="B10" s="7" t="n">
        <v>0.48</v>
      </c>
      <c r="C10" s="8" t="inlineStr">
        <is>
          <t>GENUINE REGRESSION: daily stc-vs-TASI, n=40 paired sessions (5-May→7-Jul-2026): beta 0.475, R²=0.143, SE=0.189 — passes the house usability gate (n≥24, R²≥5%, SE&lt;|β|, β&gt;0). Flag: 9-week window (longer TASI history not programmatically accessible); the beta sensitivity grid below is therefore mandatory reading.</t>
        </is>
      </c>
    </row>
    <row r="11">
      <c r="A11" s="6" t="inlineStr">
        <is>
          <t>Equity risk premium — Saudi Arabia, rating-based (primary; CDS alt. row 86)</t>
        </is>
      </c>
      <c r="B11" s="11" t="n">
        <v>0.0501</v>
      </c>
      <c r="C11" s="8" t="inlineStr">
        <is>
          <t>Damodaran ORIGINAL file (ctryprem.html), Saudi Arabia row, "Last updated: January 5, 2026": Moody’s Aa3, CRP 0.78% + mature-market 4.23% = 5.01%. Rating-based = "standard practice" primary; the CDS-based 5.72% is the "more current" alternative (note: for Saudi the CDS basis is HIGHER, unlike Egypt).</t>
        </is>
      </c>
    </row>
    <row r="12">
      <c r="A12" s="6" t="inlineStr">
        <is>
          <t>Cost of equity Ke = rf + β × ERP</t>
        </is>
      </c>
      <c r="B12" s="12">
        <f>B9+B10*B11</f>
        <v/>
      </c>
      <c r="C12" s="8" t="inlineStr">
        <is>
          <t>Primary Ke (rating-based ERP), used in the base-case WACC.</t>
        </is>
      </c>
    </row>
    <row r="13">
      <c r="A13" s="6" t="inlineStr">
        <is>
          <t>Pre-tax cost of debt (blended, sourced — row 89)</t>
        </is>
      </c>
      <c r="B13" s="11" t="n">
        <v>0.05</v>
      </c>
      <c r="C13" s="8" t="inlineStr">
        <is>
          <t>stc's own instruments: Jan-2026 $2bn sukuk 4.489% (5y, T+75) / 5.083% (10y, T+90); 2019 $1.25bn sukuk 3.89%; SAR murabaha ≈ 3M SAIBOR 4.79% (Apr-2026) + 60–100bp. Weighted outstanding ≈ 5.0% pre-tax.</t>
        </is>
      </c>
    </row>
    <row r="14">
      <c r="A14" s="6" t="inlineStr">
        <is>
          <t>After-tax Kd</t>
        </is>
      </c>
      <c r="B14" s="12">
        <f>B13*(1-B7)</f>
        <v/>
      </c>
    </row>
    <row r="15">
      <c r="A15" s="6" t="inlineStr">
        <is>
          <t>Debt weight D/(D+E) — computed, never assumed</t>
        </is>
      </c>
      <c r="B15" s="12">
        <f>22475/(B5*B6+22475)</f>
        <v/>
      </c>
      <c r="C15" s="8" t="inlineStr">
        <is>
          <t>Market cap = spot × shares = SAR 217.5bn; total debt = Q1-26 IR-disclosed SAR 22,475mn (post Jan-26 $2bn sukuk; excludes leases 2,296).</t>
        </is>
      </c>
    </row>
    <row r="16">
      <c r="A16" s="6" t="inlineStr">
        <is>
          <t>WACC (rating-based ERP, primary)</t>
        </is>
      </c>
      <c r="B16" s="12">
        <f>(1-B15)*B12+B15*B14</f>
        <v/>
      </c>
    </row>
    <row r="17">
      <c r="A17" s="6" t="inlineStr">
        <is>
          <t>Terminal growth g (nominal SAR)</t>
        </is>
      </c>
      <c r="B17" s="11" t="n">
        <v>0.025</v>
      </c>
      <c r="C17" s="8" t="inlineStr">
        <is>
          <t>≈ Saudi long-run nominal GDP-lite for a mature telecom; sensitized §1.9</t>
        </is>
      </c>
    </row>
    <row r="18">
      <c r="A18" s="5" t="inlineStr">
        <is>
          <t>EV → EQUITY BRIDGE (marks)</t>
        </is>
      </c>
    </row>
    <row r="19">
      <c r="A19" s="6" t="inlineStr">
        <is>
          <t>Investments in associates &amp; JVs (incl. 43.06% DIIC/TAWAL)</t>
        </is>
      </c>
      <c r="B19" s="9" t="n">
        <v>4641</v>
      </c>
      <c r="C19" s="8" t="inlineStr">
        <is>
          <t>31-Dec-25, Q1-26 FS comparative (carrying value)</t>
        </is>
      </c>
    </row>
    <row r="20">
      <c r="A20" s="6" t="inlineStr">
        <is>
          <t>Telefónica 9.97% stake (market mark)</t>
        </is>
      </c>
      <c r="B20" s="9" t="n">
        <v>8630</v>
      </c>
      <c r="C20" s="8" t="inlineStr">
        <is>
          <t>561mn shares × €3.50 (6-Jul-26) × 4.40 SAR/EUR ≈ SAR 8.6bn; cost €2.1bn (Sep-2023) ≈ SAR 8.5bn</t>
        </is>
      </c>
    </row>
    <row r="21">
      <c r="A21" s="6" t="inlineStr">
        <is>
          <t>Net debt (IR basis, Q1-2026)</t>
        </is>
      </c>
      <c r="B21" s="9" t="n">
        <v>7063</v>
      </c>
      <c r="C21" s="8" t="inlineStr">
        <is>
          <t>Total debt 22,475 − IR cash 15,412 (IR cash excludes ~SAR 6.0bn stc bank banking-operations cash). Two framings: FS cash+murabaha 21,442 → net debt ~1,033; IR basis 7,063 used (conservative, core-group).</t>
        </is>
      </c>
    </row>
    <row r="22">
      <c r="A22" s="6" t="inlineStr">
        <is>
          <t>Non-controlling interests (book)</t>
        </is>
      </c>
      <c r="B22" s="9" t="n">
        <v>2335</v>
      </c>
      <c r="C22" s="8" t="inlineStr">
        <is>
          <t>31-Mar-26 FS</t>
        </is>
      </c>
    </row>
    <row r="23">
      <c r="A23" s="5" t="inlineStr">
        <is>
          <t>DDM (the locked SAR 0.55/quarter policy)</t>
        </is>
      </c>
    </row>
    <row r="24">
      <c r="A24" s="6" t="inlineStr">
        <is>
          <t>DPS path FY26E–FY30E (SAR)</t>
        </is>
      </c>
      <c r="C24" s="7" t="n">
        <v>2.2</v>
      </c>
      <c r="D24" s="7" t="n">
        <v>2.2</v>
      </c>
      <c r="E24" s="7" t="n">
        <v>2.3</v>
      </c>
      <c r="F24" s="7" t="n">
        <v>2.4</v>
      </c>
      <c r="G24" s="7" t="n">
        <v>2.55</v>
      </c>
    </row>
    <row r="25">
      <c r="A25" s="6" t="inlineStr">
        <is>
          <t>DDM terminal dividend growth</t>
        </is>
      </c>
      <c r="B25" s="11" t="n">
        <v>0.03</v>
      </c>
      <c r="C25" s="8" t="inlineStr">
        <is>
          <t>post-policy (2027+) payout growth ≈ EPS growth at ~75% payout</t>
        </is>
      </c>
    </row>
    <row r="26">
      <c r="A26" s="5" t="inlineStr">
        <is>
          <t>RELATIVE &amp; NORMALIZED</t>
        </is>
      </c>
    </row>
    <row r="27">
      <c r="A27" s="6" t="inlineStr">
        <is>
          <t>Justified EV/EBITDA (base)</t>
        </is>
      </c>
      <c r="B27" s="13" t="n">
        <v>9</v>
      </c>
      <c r="C27" s="8" t="inlineStr">
        <is>
          <t>GCC band ~8–10×; stc trades ~9.5× trailing</t>
        </is>
      </c>
    </row>
    <row r="28">
      <c r="A28" s="6" t="inlineStr">
        <is>
          <t>FY26E net profit for the relative P/E cross-check</t>
        </is>
      </c>
      <c r="B28" s="9" t="n">
        <v>14090</v>
      </c>
      <c r="C28" s="8" t="inlineStr">
        <is>
          <t>IS-build aligned (attributable)</t>
        </is>
      </c>
    </row>
    <row r="29">
      <c r="A29" s="6" t="inlineStr">
        <is>
          <t>Normalized PAT (ex one-offs)</t>
        </is>
      </c>
      <c r="B29" s="9" t="n">
        <v>14400</v>
      </c>
      <c r="C29" s="8" t="inlineStr">
        <is>
          <t>FY25 14,828 less the +466 zakat credit ≈ 14,360; mid-cycle margins</t>
        </is>
      </c>
    </row>
    <row r="30">
      <c r="A30" s="6" t="inlineStr">
        <is>
          <t>Justified through-cycle P/E</t>
        </is>
      </c>
      <c r="B30" s="13" t="n">
        <v>15</v>
      </c>
    </row>
    <row r="31">
      <c r="A31" s="5" t="inlineStr">
        <is>
          <t>SYNTHESIS WEIGHTS</t>
        </is>
      </c>
    </row>
    <row r="32">
      <c r="A32" s="6" t="inlineStr">
        <is>
          <t>FCFF DCF weight</t>
        </is>
      </c>
      <c r="B32" s="10" t="n">
        <v>0.35</v>
      </c>
    </row>
    <row r="33">
      <c r="A33" s="6" t="inlineStr">
        <is>
          <t>DDM weight</t>
        </is>
      </c>
      <c r="B33" s="10" t="n">
        <v>0.25</v>
      </c>
    </row>
    <row r="34">
      <c r="A34" s="6" t="inlineStr">
        <is>
          <t>Relative weight</t>
        </is>
      </c>
      <c r="B34" s="10" t="n">
        <v>0.2</v>
      </c>
    </row>
    <row r="35">
      <c r="A35" s="6" t="inlineStr">
        <is>
          <t>Normalized-earnings weight</t>
        </is>
      </c>
      <c r="B35" s="10" t="n">
        <v>0.2</v>
      </c>
    </row>
    <row r="36">
      <c r="A36" s="5" t="inlineStr">
        <is>
          <t>MONTE CARLO (YZ-HAR v2 — engine outputs on the Monte Carlo sheet)</t>
        </is>
      </c>
    </row>
    <row r="37">
      <c r="A37" s="6" t="inlineStr">
        <is>
          <t>Anchor volatility (HAR forecast, annualized)</t>
        </is>
      </c>
      <c r="B37" s="10" t="n">
        <v>0.1509</v>
      </c>
    </row>
    <row r="38">
      <c r="A38" s="6" t="inlineStr">
        <is>
          <t>Secular drift (daily) — zero-drift class</t>
        </is>
      </c>
      <c r="B38" s="14" t="n">
        <v>0</v>
      </c>
      <c r="C38" s="8" t="inlineStr">
        <is>
          <t>International/GCC name: zero drift passed Step 0; secular drift failed (−4.8%)</t>
        </is>
      </c>
    </row>
    <row r="39">
      <c r="A39" s="6" t="inlineStr">
        <is>
          <t>Net factor drift per quarter (16-factor stack)</t>
        </is>
      </c>
      <c r="B39" s="10" t="n">
        <v>0.0072</v>
      </c>
    </row>
    <row r="40">
      <c r="A40" s="6" t="inlineStr">
        <is>
          <t>Paths / seed</t>
        </is>
      </c>
      <c r="B40" s="15" t="inlineStr">
        <is>
          <t>50,000 / 42</t>
        </is>
      </c>
    </row>
    <row r="41">
      <c r="A41" s="5" t="inlineStr">
        <is>
          <t>FORECAST DRIVERS (FY26E–FY30E) — top-down (§3.5-C gate: subs × ARPU not disclosed)</t>
        </is>
      </c>
    </row>
    <row r="42">
      <c r="A42" s="16" t="inlineStr">
        <is>
          <t>Driver \ year</t>
        </is>
      </c>
      <c r="C42" s="5" t="inlineStr">
        <is>
          <t>FY26E</t>
        </is>
      </c>
      <c r="D42" s="5" t="inlineStr">
        <is>
          <t>FY27E</t>
        </is>
      </c>
      <c r="E42" s="5" t="inlineStr">
        <is>
          <t>FY28E</t>
        </is>
      </c>
      <c r="F42" s="5" t="inlineStr">
        <is>
          <t>FY29E</t>
        </is>
      </c>
      <c r="G42" s="5" t="inlineStr">
        <is>
          <t>FY30E</t>
        </is>
      </c>
    </row>
    <row r="43">
      <c r="A43" s="6" t="inlineStr">
        <is>
          <t>KSA Consumer (CBU) revenue growth</t>
        </is>
      </c>
      <c r="C43" s="10" t="n">
        <v>0.03</v>
      </c>
      <c r="D43" s="10" t="n">
        <v>0.028</v>
      </c>
      <c r="E43" s="10" t="n">
        <v>0.025</v>
      </c>
      <c r="F43" s="10" t="n">
        <v>0.022</v>
      </c>
      <c r="G43" s="10" t="n">
        <v>0.02</v>
      </c>
    </row>
    <row r="44">
      <c r="A44" s="6" t="inlineStr">
        <is>
          <t>KSA Enterprise (EBU) revenue growth</t>
        </is>
      </c>
      <c r="C44" s="10" t="n">
        <v>0.02</v>
      </c>
      <c r="D44" s="10" t="n">
        <v>0.035</v>
      </c>
      <c r="E44" s="10" t="n">
        <v>0.04</v>
      </c>
      <c r="F44" s="10" t="n">
        <v>0.04</v>
      </c>
      <c r="G44" s="10" t="n">
        <v>0.035</v>
      </c>
    </row>
    <row r="45">
      <c r="A45" s="6" t="inlineStr">
        <is>
          <t>KSA Wholesale &amp; Carrier revenue growth</t>
        </is>
      </c>
      <c r="C45" s="10" t="n">
        <v>0.06</v>
      </c>
      <c r="D45" s="10" t="n">
        <v>0.05</v>
      </c>
      <c r="E45" s="10" t="n">
        <v>0.04</v>
      </c>
      <c r="F45" s="10" t="n">
        <v>0.035</v>
      </c>
      <c r="G45" s="10" t="n">
        <v>0.03</v>
      </c>
    </row>
    <row r="46">
      <c r="A46" s="6" t="inlineStr">
        <is>
          <t>Subsidiaries net revenue growth</t>
        </is>
      </c>
      <c r="C46" s="10" t="n">
        <v>0.06</v>
      </c>
      <c r="D46" s="10" t="n">
        <v>0.058</v>
      </c>
      <c r="E46" s="10" t="n">
        <v>0.052</v>
      </c>
      <c r="F46" s="10" t="n">
        <v>0.047</v>
      </c>
      <c r="G46" s="10" t="n">
        <v>0.042</v>
      </c>
    </row>
    <row r="47">
      <c r="A47" s="6" t="inlineStr">
        <is>
          <t>Group EBITDA margin</t>
        </is>
      </c>
      <c r="C47" s="10" t="n">
        <v>0.318</v>
      </c>
      <c r="D47" s="10" t="n">
        <v>0.32</v>
      </c>
      <c r="E47" s="10" t="n">
        <v>0.322</v>
      </c>
      <c r="F47" s="10" t="n">
        <v>0.323</v>
      </c>
      <c r="G47" s="10" t="n">
        <v>0.325</v>
      </c>
    </row>
    <row r="48">
      <c r="A48" s="6" t="inlineStr">
        <is>
          <t>D&amp;A (% of revenue)</t>
        </is>
      </c>
      <c r="C48" s="10" t="n">
        <v>0.129</v>
      </c>
      <c r="D48" s="10" t="n">
        <v>0.128</v>
      </c>
      <c r="E48" s="10" t="n">
        <v>0.127</v>
      </c>
      <c r="F48" s="10" t="n">
        <v>0.126</v>
      </c>
      <c r="G48" s="10" t="n">
        <v>0.125</v>
      </c>
    </row>
    <row r="49">
      <c r="A49" s="6" t="inlineStr">
        <is>
          <t>Capex intensity (% of revenue)</t>
        </is>
      </c>
      <c r="C49" s="10" t="n">
        <v>0.165</v>
      </c>
      <c r="D49" s="10" t="n">
        <v>0.165</v>
      </c>
      <c r="E49" s="10" t="n">
        <v>0.16</v>
      </c>
      <c r="F49" s="10" t="n">
        <v>0.155</v>
      </c>
      <c r="G49" s="10" t="n">
        <v>0.15</v>
      </c>
    </row>
    <row r="50">
      <c r="A50" s="6" t="inlineStr">
        <is>
          <t>Net WC / OCF-conversion drag (% of revenue)</t>
        </is>
      </c>
      <c r="C50" s="10" t="n">
        <v>0.008</v>
      </c>
      <c r="D50" s="10" t="n">
        <v>0.006</v>
      </c>
      <c r="E50" s="10" t="n">
        <v>0.005</v>
      </c>
      <c r="F50" s="10" t="n">
        <v>0.004</v>
      </c>
      <c r="G50" s="10" t="n">
        <v>0.004</v>
      </c>
    </row>
    <row r="51">
      <c r="A51" s="6" t="inlineStr">
        <is>
          <t>Associates income (SAR mn)</t>
        </is>
      </c>
      <c r="C51" s="9" t="n">
        <v>500</v>
      </c>
      <c r="D51" s="9" t="n">
        <v>530</v>
      </c>
      <c r="E51" s="9" t="n">
        <v>560</v>
      </c>
      <c r="F51" s="9" t="n">
        <v>590</v>
      </c>
      <c r="G51" s="9" t="n">
        <v>620</v>
      </c>
    </row>
    <row r="52">
      <c r="A52" s="6" t="inlineStr">
        <is>
          <t>Net finance &amp; other income (SAR mn)</t>
        </is>
      </c>
      <c r="C52" s="9" t="n">
        <v>200</v>
      </c>
      <c r="D52" s="9" t="n">
        <v>220</v>
      </c>
      <c r="E52" s="9" t="n">
        <v>240</v>
      </c>
      <c r="F52" s="9" t="n">
        <v>260</v>
      </c>
      <c r="G52" s="9" t="n">
        <v>280</v>
      </c>
    </row>
    <row r="53">
      <c r="A53" s="6" t="inlineStr">
        <is>
          <t>NCI share of profit (% of group NP)</t>
        </is>
      </c>
      <c r="C53" s="10" t="n">
        <v>0.025</v>
      </c>
      <c r="D53" s="10" t="n">
        <v>0.025</v>
      </c>
      <c r="E53" s="10" t="n">
        <v>0.025</v>
      </c>
      <c r="F53" s="10" t="n">
        <v>0.025</v>
      </c>
      <c r="G53" s="10" t="n">
        <v>0.025</v>
      </c>
    </row>
    <row r="54">
      <c r="A54" s="6" t="inlineStr">
        <is>
          <t>DPS declared (SAR/share)</t>
        </is>
      </c>
      <c r="C54" s="7" t="n">
        <v>2.2</v>
      </c>
      <c r="D54" s="7" t="n">
        <v>2.2</v>
      </c>
      <c r="E54" s="7" t="n">
        <v>2.3</v>
      </c>
      <c r="F54" s="7" t="n">
        <v>2.4</v>
      </c>
      <c r="G54" s="7" t="n">
        <v>2.55</v>
      </c>
    </row>
    <row r="55">
      <c r="A55" t="inlineStr">
        <is>
          <t>Gross margin (% of revenue)</t>
        </is>
      </c>
      <c r="C55" s="10" t="n">
        <v>0.485</v>
      </c>
      <c r="D55" s="10" t="n">
        <v>0.485</v>
      </c>
      <c r="E55" s="10" t="n">
        <v>0.485</v>
      </c>
      <c r="F55" s="10" t="n">
        <v>0.485</v>
      </c>
      <c r="G55" s="10" t="n">
        <v>0.485</v>
      </c>
    </row>
    <row r="84">
      <c r="A84" s="5" t="inlineStr">
        <is>
          <t>WACC BUILD — FULL DETAIL &amp; SOURCING (feeds rows 9-17; reference only)</t>
        </is>
      </c>
    </row>
    <row r="85">
      <c r="A85" s="6" t="inlineStr">
        <is>
          <t>rf source</t>
        </is>
      </c>
      <c r="C85" s="8" t="inlineStr">
        <is>
          <t>Derived SAR 10Y sovereign: SRC (govt-guaranteed) $1.5bn 10y sukuk priced UST+95bp on 8-Jul-2026; UST 10Y 4.45% → 5.40% USD basis; the Saudi Exchange "KSA Sovereign Local Currency Debt Primer Update" (21-May-2026) documents SAR sovereign yields sitting ABOVE the USD curve through 10Y → 5.4–5.6% band, 5.5% point. Cross-check: FAB Securities stc note (27-Feb-2026) uses 5.5%. Per house rule the SAR-USD peg does NOT make UST a substitute — this is a documented named mistake in professional practice.</t>
        </is>
      </c>
    </row>
    <row r="86">
      <c r="A86" s="6" t="inlineStr">
        <is>
          <t>ERP — CDS-based (Damodaran, "more current" alternative)</t>
        </is>
      </c>
      <c r="B86" s="11" t="n">
        <v>0.0572</v>
      </c>
      <c r="C86" s="8" t="inlineStr">
        <is>
          <t>Same original file, Saudi row, CDS column: sovereign CDS 0.98% → ERP 5.72%. For Saudi the CDS basis is ABOVE the rating basis (CDS prices more risk than Aa3 implies) — the alternative WACC below is therefore the HIGHER one.</t>
        </is>
      </c>
    </row>
    <row r="87">
      <c r="A87" s="6" t="inlineStr">
        <is>
          <t>Ke, alternative (CDS-based ERP)</t>
        </is>
      </c>
      <c r="B87" s="12">
        <f>B9+B10*B86</f>
        <v/>
      </c>
    </row>
    <row r="88">
      <c r="A88" s="6" t="inlineStr">
        <is>
          <t>WACC, alternative (CDS-based ERP)</t>
        </is>
      </c>
      <c r="B88" s="12">
        <f>(1-B15)*B87+B15*B14</f>
        <v/>
      </c>
    </row>
    <row r="89">
      <c r="A89" s="6" t="inlineStr">
        <is>
          <t>Beta — regression detail</t>
        </is>
      </c>
      <c r="C89" s="8" t="inlineStr">
        <is>
          <t>Daily stc-vs-TASI OLS, n=40 paired sessions 5-May→7-Jul-2026 (TASI closes: investing.com historical table; stc: the attached price history): beta 0.475 (SE 0.189), R² 14.3%, alpha ≈ 0. Ex-Eid-gap robustness: 0.494. Passes RegressionBetaAttempt.is_usable() (n≥24, R²≥5%, SE&lt;|β|, β&gt;0). Honest flag: a 9-week daily window is the best obtainable (Yahoo/stooq/WSJ TASI history all blocked programmatically; Saudi Exchange login-gated); a 2–5yr weekly regression should replace it when accessible. Sensitivity: at β=1.0, Ke 10.51%, WACC 9.90% (rating basis) — the DCF grid in §1.9 spans this.</t>
        </is>
      </c>
    </row>
    <row r="90">
      <c r="A90" s="6" t="inlineStr">
        <is>
          <t>Kd source &amp; currency-mix evidence</t>
        </is>
      </c>
      <c r="C90" s="8" t="inlineStr">
        <is>
          <t>Named instruments: May-2019 $1.25bn 10y sukuk at 3.89% (matures 2029); Jan-2026 $2bn dual-tranche sukuk 4.489% (5y, T+75) / 5.083% (10y, T+90) under the $5bn programme (books $5.4bn); Mar-2021 ECA loan $584mn; remainder SAR murabaha/facilities (3M SAIBOR 4.79% Apr-2026 + 60–100bp). USD-linked ≈ 55–60% of gross debt; SAR pegged 3.75 → USD legs economically quasi-SAR, single blended Kd 5.0% used (no floating-FX tranche modelled).</t>
        </is>
      </c>
    </row>
    <row r="91">
      <c r="A91" s="6" t="inlineStr">
        <is>
          <t>Weights source</t>
        </is>
      </c>
      <c r="C91" s="8" t="inlineStr">
        <is>
          <t>Market cap = 43.58 × 4,989.8mn = SAR 217,455mn; total debt = SAR 22,475mn (Q1-2026 IR release, post the Jan-2026 $2bn sukuk; excludes lease liabilities 2,296). E/(D+E) = 90.6%.</t>
        </is>
      </c>
    </row>
    <row r="92">
      <c r="A92" s="6" t="inlineStr">
        <is>
          <t>Full reference &amp; cache</t>
        </is>
      </c>
      <c r="C92" s="8" t="inlineStr">
        <is>
          <t>See Cost_of_Capital_Reference.md (Saudi Arabia row, filled 09-07-2026) and wacc_builder.py for the standing method. Both ERP-basis WACCs are published per protocol.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Valuation bridge — FCFF DCF (primary) + the dividend-policy DDM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Core-operations EV from the DCF sheet; stakes marked separately; DDM = the locked SAR 0.55/quarter policy. Links to DCF / Assumptions.</t>
        </is>
      </c>
    </row>
    <row r="5">
      <c r="A5" s="16" t="inlineStr">
        <is>
          <t>Component</t>
        </is>
      </c>
      <c r="B5" s="8" t="inlineStr">
        <is>
          <t>Basis</t>
        </is>
      </c>
      <c r="C5" s="21" t="inlineStr">
        <is>
          <t>Value (SAR mn)</t>
        </is>
      </c>
    </row>
    <row r="6">
      <c r="A6" s="6" t="inlineStr">
        <is>
          <t>Core operations enterprise value</t>
        </is>
      </c>
      <c r="B6" s="8" t="inlineStr">
        <is>
          <t>FCFF DCF (§1.1): Σ PV FCFF + PV terminal</t>
        </is>
      </c>
      <c r="C6" s="20">
        <f>DCF!B21</f>
        <v/>
      </c>
    </row>
    <row r="7">
      <c r="A7" s="6" t="inlineStr">
        <is>
          <t xml:space="preserve">  of which terminal value (device A-7)</t>
        </is>
      </c>
      <c r="B7" s="8" t="inlineStr">
        <is>
          <t>% of core EV</t>
        </is>
      </c>
      <c r="C7" s="31">
        <f>DCF!B22</f>
        <v/>
      </c>
    </row>
    <row r="8">
      <c r="A8" s="6" t="inlineStr">
        <is>
          <t>+ Investments in associates &amp; JVs</t>
        </is>
      </c>
      <c r="B8" s="8" t="inlineStr">
        <is>
          <t>43.06% DIIC/TAWAL at carrying value</t>
        </is>
      </c>
      <c r="C8" s="20">
        <f>Assumptions!B19</f>
        <v/>
      </c>
    </row>
    <row r="9">
      <c r="A9" s="6" t="inlineStr">
        <is>
          <t>+ Telefónica 9.97%</t>
        </is>
      </c>
      <c r="B9" s="8" t="inlineStr">
        <is>
          <t>Market mark: 561mn sh × €3.50 × 4.40</t>
        </is>
      </c>
      <c r="C9" s="20">
        <f>Assumptions!B20</f>
        <v/>
      </c>
    </row>
    <row r="10">
      <c r="A10" s="6" t="inlineStr">
        <is>
          <t>− Net debt (IR basis, Q1-26)</t>
        </is>
      </c>
      <c r="B10" s="8" t="inlineStr">
        <is>
          <t>Total debt 22,475 − core cash 15,412</t>
        </is>
      </c>
      <c r="C10" s="20">
        <f>-Assumptions!B21</f>
        <v/>
      </c>
    </row>
    <row r="11">
      <c r="A11" s="6" t="inlineStr">
        <is>
          <t>− Non-controlling interests</t>
        </is>
      </c>
      <c r="B11" s="8" t="inlineStr">
        <is>
          <t>Book, 31-Mar-26</t>
        </is>
      </c>
      <c r="C11" s="20">
        <f>-Assumptions!B22</f>
        <v/>
      </c>
    </row>
    <row r="12">
      <c r="A12" s="16" t="inlineStr">
        <is>
          <t>Equity value</t>
        </is>
      </c>
      <c r="B12" s="6" t="inlineStr"/>
      <c r="C12" s="26">
        <f>C6+Assumptions!B19+Assumptions!B20-Assumptions!B21-Assumptions!B22</f>
        <v/>
      </c>
    </row>
    <row r="13">
      <c r="A13" s="16" t="inlineStr">
        <is>
          <t>DCF fair value per share (SAR)</t>
        </is>
      </c>
      <c r="B13" s="6" t="inlineStr"/>
      <c r="C13" s="32">
        <f>C12/Assumptions!B6</f>
        <v/>
      </c>
    </row>
    <row r="14">
      <c r="A14" s="16" t="inlineStr">
        <is>
          <t>Upside / (downside) vs spot</t>
        </is>
      </c>
      <c r="B14" s="6" t="inlineStr"/>
      <c r="C14" s="33">
        <f>C13/Assumptions!B5-1</f>
        <v/>
      </c>
    </row>
    <row r="16">
      <c r="A16" s="5" t="inlineStr">
        <is>
          <t>DDM — the locked dividend policy as a lens</t>
        </is>
      </c>
    </row>
    <row r="17">
      <c r="A17" s="16" t="inlineStr">
        <is>
          <t>DPS (SAR)</t>
        </is>
      </c>
      <c r="C17" s="30">
        <f>Assumptions!C24</f>
        <v/>
      </c>
      <c r="D17" s="30">
        <f>Assumptions!D24</f>
        <v/>
      </c>
      <c r="E17" s="30">
        <f>Assumptions!E24</f>
        <v/>
      </c>
      <c r="F17" s="30">
        <f>Assumptions!F24</f>
        <v/>
      </c>
      <c r="G17" s="30">
        <f>Assumptions!G24</f>
        <v/>
      </c>
    </row>
    <row r="18">
      <c r="A18" s="6" t="inlineStr">
        <is>
          <t>PV of DPS @ Ke</t>
        </is>
      </c>
      <c r="C18" s="27">
        <f>C17/(1+Assumptions!$B$12)^1</f>
        <v/>
      </c>
      <c r="D18" s="27">
        <f>D17/(1+Assumptions!$B$12)^2</f>
        <v/>
      </c>
      <c r="E18" s="27">
        <f>E17/(1+Assumptions!$B$12)^3</f>
        <v/>
      </c>
      <c r="F18" s="27">
        <f>F17/(1+Assumptions!$B$12)^4</f>
        <v/>
      </c>
      <c r="G18" s="27">
        <f>G17/(1+Assumptions!$B$12)^5</f>
        <v/>
      </c>
    </row>
    <row r="19">
      <c r="A19" s="17" t="inlineStr">
        <is>
          <t>Σ PV of explicit DPS (FY26–30E)</t>
        </is>
      </c>
      <c r="C19" s="27">
        <f>SUM(C18:G18)</f>
        <v/>
      </c>
    </row>
    <row r="20">
      <c r="A20" s="17" t="inlineStr">
        <is>
          <t>Terminal value = DPS30 × (1+g) / (Ke − g)</t>
        </is>
      </c>
      <c r="C20" s="27">
        <f>G17*(1+Assumptions!$B$25)/(Assumptions!$B$12-Assumptions!$B$25)</f>
        <v/>
      </c>
    </row>
    <row r="21">
      <c r="A21" s="17" t="inlineStr">
        <is>
          <t>PV of terminal value</t>
        </is>
      </c>
      <c r="C21" s="27">
        <f>C20/(1+Assumptions!$B$12)^5</f>
        <v/>
      </c>
    </row>
    <row r="22">
      <c r="A22" s="16" t="inlineStr">
        <is>
          <t>DDM fair value per share (SAR)</t>
        </is>
      </c>
      <c r="C22" s="24">
        <f>C19+C21</f>
        <v/>
      </c>
    </row>
    <row r="23">
      <c r="A23" s="17" t="inlineStr">
        <is>
          <t xml:space="preserve">  terminal as % of DDM value (device A-7)</t>
        </is>
      </c>
      <c r="C23" s="18">
        <f>C21/C22</f>
        <v/>
      </c>
    </row>
    <row r="25">
      <c r="A25" s="8" t="inlineStr">
        <is>
          <t>Market-implied read: at spot, the market pays ≈ core EV of SAR 209bn for operations that produce ~SAR 10–11bn of model FCFF — an implied core FCFF yield of ~5% against a 7.6% WACC, i.e. the market already prices a large share of the terminal growth. The regular dividend (SAR 2.20 ≈ 5.0% yield) is ~0.9–1.0× covered by model FY26E FCF at the guided capex band — the balance sheet (SAR 15.4bn core cash) carries the difference; §1.7 of the study sensitizes this in real units.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2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</cols>
  <sheetData>
    <row r="1">
      <c r="A1" s="1" t="inlineStr">
        <is>
          <t>Segment view — stc KSA units + subsidiaries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FY24–FY25 disclosed per stc’s FY2025 presentation (restated); FY23 available at group level only on the restated continuing-ops basis. Forecast links to Assumptions growth drivers.</t>
        </is>
      </c>
    </row>
    <row r="4">
      <c r="A4" s="5" t="inlineStr"/>
      <c r="B4" s="5" t="inlineStr">
        <is>
          <t>FY23</t>
        </is>
      </c>
      <c r="C4" s="5" t="inlineStr">
        <is>
          <t>FY24</t>
        </is>
      </c>
      <c r="D4" s="5" t="inlineStr">
        <is>
          <t>FY25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6">
      <c r="A6" s="17" t="inlineStr">
        <is>
          <t>KSA Consumer (CBU)</t>
        </is>
      </c>
      <c r="C6" s="9" t="n">
        <v>31741</v>
      </c>
      <c r="D6" s="9" t="n">
        <v>32826</v>
      </c>
      <c r="E6" s="17">
        <f>D6*(1+Assumptions!$C$43)</f>
        <v/>
      </c>
      <c r="F6" s="17">
        <f>E6*(1+Assumptions!$D$43)</f>
        <v/>
      </c>
      <c r="G6" s="17">
        <f>F6*(1+Assumptions!$E$43)</f>
        <v/>
      </c>
      <c r="H6" s="17">
        <f>G6*(1+Assumptions!$F$43)</f>
        <v/>
      </c>
      <c r="I6" s="17">
        <f>H6*(1+Assumptions!$G$43)</f>
        <v/>
      </c>
    </row>
    <row r="7">
      <c r="A7" s="17" t="inlineStr">
        <is>
          <t>KSA Enterprise (EBU)</t>
        </is>
      </c>
      <c r="C7" s="9" t="n">
        <v>13466</v>
      </c>
      <c r="D7" s="9" t="n">
        <v>13514</v>
      </c>
      <c r="E7" s="17">
        <f>D7*(1+Assumptions!$C$44)</f>
        <v/>
      </c>
      <c r="F7" s="17">
        <f>E7*(1+Assumptions!$D$44)</f>
        <v/>
      </c>
      <c r="G7" s="17">
        <f>F7*(1+Assumptions!$E$44)</f>
        <v/>
      </c>
      <c r="H7" s="17">
        <f>G7*(1+Assumptions!$F$44)</f>
        <v/>
      </c>
      <c r="I7" s="17">
        <f>H7*(1+Assumptions!$G$44)</f>
        <v/>
      </c>
    </row>
    <row r="8">
      <c r="A8" s="17" t="inlineStr">
        <is>
          <t>KSA Wholesale &amp; Carrier</t>
        </is>
      </c>
      <c r="C8" s="9" t="n">
        <v>4313</v>
      </c>
      <c r="D8" s="9" t="n">
        <v>4779</v>
      </c>
      <c r="E8" s="17">
        <f>D8*(1+Assumptions!$C$45)</f>
        <v/>
      </c>
      <c r="F8" s="17">
        <f>E8*(1+Assumptions!$D$45)</f>
        <v/>
      </c>
      <c r="G8" s="17">
        <f>F8*(1+Assumptions!$E$45)</f>
        <v/>
      </c>
      <c r="H8" s="17">
        <f>G8*(1+Assumptions!$F$45)</f>
        <v/>
      </c>
      <c r="I8" s="17">
        <f>H8*(1+Assumptions!$G$45)</f>
        <v/>
      </c>
    </row>
    <row r="9">
      <c r="A9" s="17" t="inlineStr">
        <is>
          <t>stc KSA total</t>
        </is>
      </c>
      <c r="C9" s="17">
        <f>C6+C7+C8</f>
        <v/>
      </c>
      <c r="D9" s="17">
        <f>D6+D7+D8</f>
        <v/>
      </c>
      <c r="E9" s="17">
        <f>E6+E7+E8</f>
        <v/>
      </c>
      <c r="F9" s="17">
        <f>F6+F7+F8</f>
        <v/>
      </c>
      <c r="G9" s="17">
        <f>G6+G7+G8</f>
        <v/>
      </c>
      <c r="H9" s="17">
        <f>H6+H7+H8</f>
        <v/>
      </c>
      <c r="I9" s="17">
        <f>I6+I7+I8</f>
        <v/>
      </c>
    </row>
    <row r="10">
      <c r="A10" s="17" t="inlineStr">
        <is>
          <t>Subsidiaries, net of eliminations</t>
        </is>
      </c>
      <c r="C10" s="9" t="n">
        <v>26249</v>
      </c>
      <c r="D10" s="9" t="n">
        <v>26700</v>
      </c>
      <c r="E10" s="17">
        <f>D10*(1+Assumptions!$C$46)</f>
        <v/>
      </c>
      <c r="F10" s="17">
        <f>E10*(1+Assumptions!$D$46)</f>
        <v/>
      </c>
      <c r="G10" s="17">
        <f>F10*(1+Assumptions!$E$46)</f>
        <v/>
      </c>
      <c r="H10" s="17">
        <f>G10*(1+Assumptions!$F$46)</f>
        <v/>
      </c>
      <c r="I10" s="17">
        <f>H10*(1+Assumptions!$G$46)</f>
        <v/>
      </c>
    </row>
    <row r="11">
      <c r="A11" s="17" t="inlineStr">
        <is>
          <t>Group revenue</t>
        </is>
      </c>
      <c r="B11" s="9" t="n">
        <v>71777</v>
      </c>
      <c r="C11" s="9" t="n">
        <v>75893</v>
      </c>
      <c r="D11" s="9" t="n">
        <v>77819</v>
      </c>
      <c r="E11" s="17">
        <f>E9+E10</f>
        <v/>
      </c>
      <c r="F11" s="17">
        <f>F9+F10</f>
        <v/>
      </c>
      <c r="G11" s="17">
        <f>G9+G10</f>
        <v/>
      </c>
      <c r="H11" s="17">
        <f>H9+H10</f>
        <v/>
      </c>
      <c r="I11" s="17">
        <f>I9+I10</f>
        <v/>
      </c>
    </row>
    <row r="13">
      <c r="A13" s="17" t="inlineStr">
        <is>
          <t>Group EBITDA</t>
        </is>
      </c>
      <c r="B13" s="9" t="n">
        <v>22445</v>
      </c>
      <c r="C13" s="9" t="n">
        <v>23951</v>
      </c>
      <c r="D13" s="9" t="n">
        <v>24469</v>
      </c>
      <c r="E13" s="17">
        <f>E11*Assumptions!$C$47</f>
        <v/>
      </c>
      <c r="F13" s="17">
        <f>F11*Assumptions!$D$47</f>
        <v/>
      </c>
      <c r="G13" s="17">
        <f>G11*Assumptions!$E$47</f>
        <v/>
      </c>
      <c r="H13" s="17">
        <f>H11*Assumptions!$F$47</f>
        <v/>
      </c>
      <c r="I13" s="17">
        <f>I11*Assumptions!$G$47</f>
        <v/>
      </c>
    </row>
    <row r="14">
      <c r="A14" s="17" t="inlineStr">
        <is>
          <t>EBITDA margin</t>
        </is>
      </c>
      <c r="B14" s="18">
        <f>B13/B11</f>
        <v/>
      </c>
      <c r="C14" s="18">
        <f>C13/C11</f>
        <v/>
      </c>
      <c r="D14" s="18">
        <f>D13/D11</f>
        <v/>
      </c>
      <c r="E14" s="18">
        <f>E13/E11</f>
        <v/>
      </c>
      <c r="F14" s="18">
        <f>F13/F11</f>
        <v/>
      </c>
      <c r="G14" s="18">
        <f>G13/G11</f>
        <v/>
      </c>
      <c r="H14" s="18">
        <f>H13/H11</f>
        <v/>
      </c>
      <c r="I14" s="18">
        <f>I13/I11</f>
        <v/>
      </c>
    </row>
    <row r="16">
      <c r="A16" s="8" t="inlineStr">
        <is>
          <t>Named subsidiary revenue, FY2025 (gross, incl. inter-segment — context, not modelled lines):</t>
        </is>
      </c>
    </row>
    <row r="17">
      <c r="A17" s="6" t="inlineStr">
        <is>
          <t xml:space="preserve">  solutions by stc (7202, 79%)</t>
        </is>
      </c>
      <c r="B17" s="19" t="inlineStr">
        <is>
          <t>12,730</t>
        </is>
      </c>
    </row>
    <row r="18">
      <c r="A18" s="6" t="inlineStr">
        <is>
          <t xml:space="preserve">  channels</t>
        </is>
      </c>
      <c r="B18" s="19" t="inlineStr">
        <is>
          <t>~14,085</t>
        </is>
      </c>
    </row>
    <row r="19">
      <c r="A19" s="6" t="inlineStr">
        <is>
          <t xml:space="preserve">  stc bank (85%)</t>
        </is>
      </c>
      <c r="B19" s="19" t="inlineStr">
        <is>
          <t>1,968 (+11%)</t>
        </is>
      </c>
    </row>
    <row r="20">
      <c r="A20" s="6" t="inlineStr">
        <is>
          <t xml:space="preserve">  SCCC cloud (55%)</t>
        </is>
      </c>
      <c r="B20" s="19" t="inlineStr">
        <is>
          <t>1,962 (+62%)</t>
        </is>
      </c>
    </row>
    <row r="21">
      <c r="A21" s="6" t="inlineStr">
        <is>
          <t xml:space="preserve">  iot squared (50%)</t>
        </is>
      </c>
      <c r="B21" s="19" t="inlineStr">
        <is>
          <t>1,928</t>
        </is>
      </c>
    </row>
    <row r="22">
      <c r="A22" s="6" t="inlineStr">
        <is>
          <t xml:space="preserve">  sirar (100%)</t>
        </is>
      </c>
      <c r="B22" s="19" t="inlineStr">
        <is>
          <t>1,401 (+13%)</t>
        </is>
      </c>
    </row>
    <row r="23">
      <c r="A23" s="6" t="inlineStr">
        <is>
          <t xml:space="preserve">  center3 (100%)</t>
        </is>
      </c>
      <c r="B23" s="19" t="inlineStr">
        <is>
          <t>~827</t>
        </is>
      </c>
    </row>
    <row r="25">
      <c r="A25" s="8" t="inlineStr">
        <is>
          <t>Source: stc FY2025 earnings presentation &amp; Q1-2026 release (stc.com IR). KSA unit splits disclosed from FY24 on the restated basis; FY23 KSA split not restated — group only. Q1-26: KSA 13,001 (CBU 8,283 +5.2%, EBU 3,483 −3.6%, W&amp;C 1,235 +6.2%).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Relative &amp; normalized-earnings lenses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Links to Assumptions, DCF and the Income Statement.</t>
        </is>
      </c>
    </row>
    <row r="5">
      <c r="A5" s="5" t="inlineStr">
        <is>
          <t>Lens</t>
        </is>
      </c>
      <c r="B5" s="5" t="inlineStr">
        <is>
          <t>Workings</t>
        </is>
      </c>
      <c r="C5" s="5" t="inlineStr">
        <is>
          <t>SAR/share</t>
        </is>
      </c>
    </row>
    <row r="6">
      <c r="A6" s="17" t="inlineStr">
        <is>
          <t>Relative EV/EBITDA</t>
        </is>
      </c>
      <c r="B6" s="8" t="inlineStr">
        <is>
          <t>FY26E EBITDA × justified multiple + stakes − net debt − NCI, /sh</t>
        </is>
      </c>
      <c r="C6" s="30">
        <f>(DCF!B7*Assumptions!B27+Assumptions!B19+Assumptions!B20-Assumptions!B21-Assumptions!B22)/Assumptions!B6</f>
        <v/>
      </c>
    </row>
    <row r="7">
      <c r="A7" s="17" t="inlineStr">
        <is>
          <t xml:space="preserve">  implied P/E cross-check at that value</t>
        </is>
      </c>
      <c r="C7" s="34">
        <f>C6*Assumptions!B6/Assumptions!B28</f>
        <v/>
      </c>
    </row>
    <row r="8">
      <c r="A8" s="17" t="inlineStr">
        <is>
          <t xml:space="preserve">  IS-build FY26E EPS, for reference</t>
        </is>
      </c>
      <c r="C8" s="30">
        <f>'Income Statement'!E21</f>
        <v/>
      </c>
    </row>
    <row r="9">
      <c r="A9" s="17" t="inlineStr">
        <is>
          <t>Normalized earnings power</t>
        </is>
      </c>
      <c r="B9" s="8" t="inlineStr">
        <is>
          <t>Normalized PAT (ex one-offs) × through-cycle P/E, /sh</t>
        </is>
      </c>
      <c r="C9" s="30">
        <f>Assumptions!B29*Assumptions!B30/Assumptions!B6</f>
        <v/>
      </c>
    </row>
    <row r="10">
      <c r="A10" s="17" t="inlineStr">
        <is>
          <t xml:space="preserve">  normalized EPS (SAR)</t>
        </is>
      </c>
      <c r="C10" s="30">
        <f>Assumptions!B29/Assumptions!B6</f>
        <v/>
      </c>
    </row>
    <row r="12">
      <c r="A12" s="17" t="inlineStr">
        <is>
          <t>P/B cross-check: spot / FY25 BVPS</t>
        </is>
      </c>
      <c r="C12" s="34">
        <f>Assumptions!B5/('Balance Sheet'!D14/Assumptions!B6)</f>
        <v/>
      </c>
    </row>
    <row r="13">
      <c r="A13" s="8" t="inlineStr">
        <is>
          <t>Dividend yield — two framings: regular declared 2.20/sh = 5.0%; cash paid during 2025 (incl. the SAR 2.00 special for FY24) 4.20/sh = 9.6%.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2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</cols>
  <sheetData>
    <row r="1">
      <c r="A1" s="1" t="inlineStr">
        <is>
          <t>DCF — going-concern FCFF, explicit 5 years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Revenue → EBITDA → D&amp;A → EBIT → NOPAT → +D&amp;A → −Capex → −ΔWC → FCFF → discount factor → PV. WACC built bottom-up on Assumptions (rf + β×ERP, both ERP bases published).</t>
        </is>
      </c>
    </row>
    <row r="4">
      <c r="B4" s="5" t="inlineStr">
        <is>
          <t>FY26E</t>
        </is>
      </c>
      <c r="C4" s="5" t="inlineStr">
        <is>
          <t>FY27E</t>
        </is>
      </c>
      <c r="D4" s="5" t="inlineStr">
        <is>
          <t>FY28E</t>
        </is>
      </c>
      <c r="E4" s="5" t="inlineStr">
        <is>
          <t>FY29E</t>
        </is>
      </c>
      <c r="F4" s="5" t="inlineStr">
        <is>
          <t>FY30E</t>
        </is>
      </c>
    </row>
    <row r="6">
      <c r="A6" s="6" t="inlineStr">
        <is>
          <t>Group revenue</t>
        </is>
      </c>
      <c r="B6" s="20">
        <f>Segments!E11</f>
        <v/>
      </c>
      <c r="C6" s="20">
        <f>Segments!F11</f>
        <v/>
      </c>
      <c r="D6" s="20">
        <f>Segments!G11</f>
        <v/>
      </c>
      <c r="E6" s="20">
        <f>Segments!H11</f>
        <v/>
      </c>
      <c r="F6" s="20">
        <f>Segments!I11</f>
        <v/>
      </c>
    </row>
    <row r="7">
      <c r="A7" s="6" t="inlineStr">
        <is>
          <t>EBITDA</t>
        </is>
      </c>
      <c r="B7" s="20">
        <f>Segments!E13</f>
        <v/>
      </c>
      <c r="C7" s="20">
        <f>Segments!F13</f>
        <v/>
      </c>
      <c r="D7" s="20">
        <f>Segments!G13</f>
        <v/>
      </c>
      <c r="E7" s="20">
        <f>Segments!H13</f>
        <v/>
      </c>
      <c r="F7" s="20">
        <f>Segments!I13</f>
        <v/>
      </c>
    </row>
    <row r="8">
      <c r="A8" s="6" t="inlineStr">
        <is>
          <t>D&amp;A</t>
        </is>
      </c>
      <c r="B8" s="17">
        <f>-B6*Assumptions!$C$48</f>
        <v/>
      </c>
      <c r="C8" s="17">
        <f>-C6*Assumptions!$D$48</f>
        <v/>
      </c>
      <c r="D8" s="17">
        <f>-D6*Assumptions!$E$48</f>
        <v/>
      </c>
      <c r="E8" s="17">
        <f>-E6*Assumptions!$F$48</f>
        <v/>
      </c>
      <c r="F8" s="17">
        <f>-F6*Assumptions!$G$48</f>
        <v/>
      </c>
    </row>
    <row r="9">
      <c r="A9" s="6" t="inlineStr">
        <is>
          <t>EBIT</t>
        </is>
      </c>
      <c r="B9" s="17">
        <f>B7+B8</f>
        <v/>
      </c>
      <c r="C9" s="17">
        <f>C7+C8</f>
        <v/>
      </c>
      <c r="D9" s="17">
        <f>D7+D8</f>
        <v/>
      </c>
      <c r="E9" s="17">
        <f>E7+E8</f>
        <v/>
      </c>
      <c r="F9" s="17">
        <f>F7+F8</f>
        <v/>
      </c>
    </row>
    <row r="10">
      <c r="A10" s="6" t="inlineStr">
        <is>
          <t>NOPAT = EBIT × (1 − zakat/tax)</t>
        </is>
      </c>
      <c r="B10" s="17">
        <f>B9*(1-Assumptions!$B$7)</f>
        <v/>
      </c>
      <c r="C10" s="17">
        <f>C9*(1-Assumptions!$B$7)</f>
        <v/>
      </c>
      <c r="D10" s="17">
        <f>D9*(1-Assumptions!$B$7)</f>
        <v/>
      </c>
      <c r="E10" s="17">
        <f>E9*(1-Assumptions!$B$7)</f>
        <v/>
      </c>
      <c r="F10" s="17">
        <f>F9*(1-Assumptions!$B$7)</f>
        <v/>
      </c>
    </row>
    <row r="11">
      <c r="A11" s="6" t="inlineStr">
        <is>
          <t>+ D&amp;A</t>
        </is>
      </c>
      <c r="B11" s="17">
        <f>-B8</f>
        <v/>
      </c>
      <c r="C11" s="17">
        <f>-C8</f>
        <v/>
      </c>
      <c r="D11" s="17">
        <f>-D8</f>
        <v/>
      </c>
      <c r="E11" s="17">
        <f>-E8</f>
        <v/>
      </c>
      <c r="F11" s="17">
        <f>-F8</f>
        <v/>
      </c>
    </row>
    <row r="12">
      <c r="A12" s="6" t="inlineStr">
        <is>
          <t>− Capex</t>
        </is>
      </c>
      <c r="B12" s="17">
        <f>-B6*Assumptions!$C$49</f>
        <v/>
      </c>
      <c r="C12" s="17">
        <f>-C6*Assumptions!$D$49</f>
        <v/>
      </c>
      <c r="D12" s="17">
        <f>-D6*Assumptions!$E$49</f>
        <v/>
      </c>
      <c r="E12" s="17">
        <f>-E6*Assumptions!$F$49</f>
        <v/>
      </c>
      <c r="F12" s="17">
        <f>-F6*Assumptions!$G$49</f>
        <v/>
      </c>
    </row>
    <row r="13">
      <c r="A13" s="6" t="inlineStr">
        <is>
          <t>− Increase in net working capital</t>
        </is>
      </c>
      <c r="B13" s="17">
        <f>-B6*Assumptions!$C$50</f>
        <v/>
      </c>
      <c r="C13" s="17">
        <f>-C6*Assumptions!$D$50</f>
        <v/>
      </c>
      <c r="D13" s="17">
        <f>-D6*Assumptions!$E$50</f>
        <v/>
      </c>
      <c r="E13" s="17">
        <f>-E6*Assumptions!$F$50</f>
        <v/>
      </c>
      <c r="F13" s="17">
        <f>-F6*Assumptions!$G$50</f>
        <v/>
      </c>
    </row>
    <row r="14">
      <c r="A14" s="16" t="inlineStr">
        <is>
          <t>FCFF</t>
        </is>
      </c>
      <c r="B14" s="21">
        <f>SUM(B10:B13)</f>
        <v/>
      </c>
      <c r="C14" s="21">
        <f>SUM(C10:C13)</f>
        <v/>
      </c>
      <c r="D14" s="21">
        <f>SUM(D10:D13)</f>
        <v/>
      </c>
      <c r="E14" s="21">
        <f>SUM(E10:E13)</f>
        <v/>
      </c>
      <c r="F14" s="21">
        <f>SUM(F10:F13)</f>
        <v/>
      </c>
    </row>
    <row r="15">
      <c r="A15" s="6" t="inlineStr">
        <is>
          <t>Discount factor</t>
        </is>
      </c>
      <c r="B15" s="22">
        <f>1/(1+Assumptions!$B$16)^1</f>
        <v/>
      </c>
      <c r="C15" s="22">
        <f>1/(1+Assumptions!$B$16)^2</f>
        <v/>
      </c>
      <c r="D15" s="22">
        <f>1/(1+Assumptions!$B$16)^3</f>
        <v/>
      </c>
      <c r="E15" s="22">
        <f>1/(1+Assumptions!$B$16)^4</f>
        <v/>
      </c>
      <c r="F15" s="22">
        <f>1/(1+Assumptions!$B$16)^5</f>
        <v/>
      </c>
    </row>
    <row r="16">
      <c r="A16" s="16" t="inlineStr">
        <is>
          <t>PV of FCFF</t>
        </is>
      </c>
      <c r="B16" s="21">
        <f>B14*B15</f>
        <v/>
      </c>
      <c r="C16" s="21">
        <f>C14*C15</f>
        <v/>
      </c>
      <c r="D16" s="21">
        <f>D14*D15</f>
        <v/>
      </c>
      <c r="E16" s="21">
        <f>E14*E15</f>
        <v/>
      </c>
      <c r="F16" s="21">
        <f>F14*F15</f>
        <v/>
      </c>
    </row>
    <row r="18">
      <c r="A18" s="16" t="inlineStr">
        <is>
          <t>Σ PV of explicit FCFF (FY26–30E)</t>
        </is>
      </c>
      <c r="B18" s="21">
        <f>SUM(B16:F16)</f>
        <v/>
      </c>
    </row>
    <row r="19">
      <c r="A19" s="6" t="inlineStr">
        <is>
          <t>Terminal value (Gordon, g = Assumptions B17)</t>
        </is>
      </c>
      <c r="B19" s="17">
        <f>F14*(1+Assumptions!$B$17)/(Assumptions!$B$16-Assumptions!$B$17)</f>
        <v/>
      </c>
    </row>
    <row r="20">
      <c r="A20" s="6" t="inlineStr">
        <is>
          <t>PV of terminal value</t>
        </is>
      </c>
      <c r="B20" s="17">
        <f>B19*F15</f>
        <v/>
      </c>
    </row>
    <row r="21">
      <c r="A21" s="16" t="inlineStr">
        <is>
          <t>Enterprise value — core operations</t>
        </is>
      </c>
      <c r="B21" s="21">
        <f>B18+B20</f>
        <v/>
      </c>
    </row>
    <row r="22">
      <c r="A22" s="16" t="inlineStr">
        <is>
          <t>% terminal of EV (device A-7)</t>
        </is>
      </c>
      <c r="B22" s="23">
        <f>B20/B21</f>
        <v/>
      </c>
    </row>
    <row r="23">
      <c r="A23" s="6" t="inlineStr">
        <is>
          <t>+ Investments in associates (DIIC/TAWAL 43.06%)</t>
        </is>
      </c>
      <c r="B23" s="17">
        <f>Assumptions!$B$19</f>
        <v/>
      </c>
    </row>
    <row r="24">
      <c r="A24" s="6" t="inlineStr">
        <is>
          <t>+ Telefónica 9.97% (market mark)</t>
        </is>
      </c>
      <c r="B24" s="17">
        <f>Assumptions!$B$20</f>
        <v/>
      </c>
    </row>
    <row r="25">
      <c r="A25" s="6" t="inlineStr">
        <is>
          <t>− Net debt (IR basis, Q1-26)</t>
        </is>
      </c>
      <c r="B25" s="17">
        <f>-Assumptions!$B$21</f>
        <v/>
      </c>
    </row>
    <row r="26">
      <c r="A26" s="6" t="inlineStr">
        <is>
          <t>− Non-controlling interests</t>
        </is>
      </c>
      <c r="B26" s="17">
        <f>-Assumptions!$B$22</f>
        <v/>
      </c>
    </row>
    <row r="27">
      <c r="A27" s="16" t="inlineStr">
        <is>
          <t>Equity value</t>
        </is>
      </c>
      <c r="B27" s="21">
        <f>B21+Assumptions!$B$19+Assumptions!$B$20-Assumptions!$B$21-Assumptions!$B$22</f>
        <v/>
      </c>
    </row>
    <row r="28">
      <c r="A28" s="16" t="inlineStr">
        <is>
          <t>DCF fair value per share (SAR)</t>
        </is>
      </c>
      <c r="B28" s="24">
        <f>B27/Assumptions!$B$6</f>
        <v/>
      </c>
    </row>
    <row r="29">
      <c r="A29" s="6" t="inlineStr">
        <is>
          <t>Upside / (downside) vs spot</t>
        </is>
      </c>
      <c r="B29" s="18">
        <f>B28/Assumptions!$B$5-1</f>
        <v/>
      </c>
    </row>
    <row r="31">
      <c r="A31" s="8" t="inlineStr">
        <is>
          <t>WACC is built on Assumptions as Ke = rf + β×ERP blended with after-tax Kd (§3.5-G); the alternative CDS-based WACC is on Assumptions row 88. Terminal value is disclosed as % of EV above rather than blended away (device A-7).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2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</cols>
  <sheetData>
    <row r="1">
      <c r="A1" s="1" t="inlineStr">
        <is>
          <t>Income statement (SAR mn, consolidated, continuing operations)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FY23–FY25 as disclosed in stc IR releases, restated continuing-ops basis (blue); FY26E–FY30E formulas linked to Segments and Assumptions.</t>
        </is>
      </c>
    </row>
    <row r="4">
      <c r="A4" s="5" t="inlineStr"/>
      <c r="B4" s="5" t="inlineStr">
        <is>
          <t>FY23</t>
        </is>
      </c>
      <c r="C4" s="5" t="inlineStr">
        <is>
          <t>FY24</t>
        </is>
      </c>
      <c r="D4" s="5" t="inlineStr">
        <is>
          <t>FY25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6">
      <c r="A6" s="16" t="inlineStr">
        <is>
          <t>Total revenue</t>
        </is>
      </c>
      <c r="B6" s="25" t="n">
        <v>71777</v>
      </c>
      <c r="C6" s="25" t="n">
        <v>75893</v>
      </c>
      <c r="D6" s="25" t="n">
        <v>77819</v>
      </c>
      <c r="E6" s="26">
        <f>Segments!E11</f>
        <v/>
      </c>
      <c r="F6" s="26">
        <f>Segments!F11</f>
        <v/>
      </c>
      <c r="G6" s="26">
        <f>Segments!G11</f>
        <v/>
      </c>
      <c r="H6" s="26">
        <f>Segments!H11</f>
        <v/>
      </c>
      <c r="I6" s="26">
        <f>Segments!I11</f>
        <v/>
      </c>
    </row>
    <row r="7">
      <c r="A7" s="6" t="inlineStr">
        <is>
          <t>Gross profit</t>
        </is>
      </c>
      <c r="B7" s="9" t="n">
        <v>34740</v>
      </c>
      <c r="C7" s="9" t="n">
        <v>37326</v>
      </c>
      <c r="D7" s="9" t="n">
        <v>37700</v>
      </c>
      <c r="E7" s="17">
        <f>E6*Assumptions!$C$55</f>
        <v/>
      </c>
      <c r="F7" s="17">
        <f>F6*Assumptions!$D$55</f>
        <v/>
      </c>
      <c r="G7" s="17">
        <f>G6*Assumptions!$E$55</f>
        <v/>
      </c>
      <c r="H7" s="17">
        <f>H6*Assumptions!$F$55</f>
        <v/>
      </c>
      <c r="I7" s="17">
        <f>I6*Assumptions!$G$55</f>
        <v/>
      </c>
    </row>
    <row r="8">
      <c r="A8" s="6" t="inlineStr">
        <is>
          <t>Gross margin</t>
        </is>
      </c>
      <c r="B8" s="18">
        <f>B7/B6</f>
        <v/>
      </c>
      <c r="C8" s="18">
        <f>C7/C6</f>
        <v/>
      </c>
      <c r="D8" s="18">
        <f>D7/D6</f>
        <v/>
      </c>
      <c r="E8" s="18">
        <f>E7/E6</f>
        <v/>
      </c>
      <c r="F8" s="18">
        <f>F7/F6</f>
        <v/>
      </c>
      <c r="G8" s="18">
        <f>G7/G6</f>
        <v/>
      </c>
      <c r="H8" s="18">
        <f>H7/H6</f>
        <v/>
      </c>
      <c r="I8" s="18">
        <f>I7/I6</f>
        <v/>
      </c>
    </row>
    <row r="9">
      <c r="A9" s="16" t="inlineStr">
        <is>
          <t>EBITDA</t>
        </is>
      </c>
      <c r="B9" s="25" t="n">
        <v>22445</v>
      </c>
      <c r="C9" s="25" t="n">
        <v>23951</v>
      </c>
      <c r="D9" s="25" t="n">
        <v>24469</v>
      </c>
      <c r="E9" s="26">
        <f>Segments!E13</f>
        <v/>
      </c>
      <c r="F9" s="26">
        <f>Segments!F13</f>
        <v/>
      </c>
      <c r="G9" s="26">
        <f>Segments!G13</f>
        <v/>
      </c>
      <c r="H9" s="26">
        <f>Segments!H13</f>
        <v/>
      </c>
      <c r="I9" s="26">
        <f>Segments!I13</f>
        <v/>
      </c>
    </row>
    <row r="10">
      <c r="A10" s="6" t="inlineStr">
        <is>
          <t>EBITDA margin</t>
        </is>
      </c>
      <c r="B10" s="18">
        <f>B9/B6</f>
        <v/>
      </c>
      <c r="C10" s="18">
        <f>C9/C6</f>
        <v/>
      </c>
      <c r="D10" s="18">
        <f>D9/D6</f>
        <v/>
      </c>
      <c r="E10" s="18">
        <f>E9/E6</f>
        <v/>
      </c>
      <c r="F10" s="18">
        <f>F9/F6</f>
        <v/>
      </c>
      <c r="G10" s="18">
        <f>G9/G6</f>
        <v/>
      </c>
      <c r="H10" s="18">
        <f>H9/H6</f>
        <v/>
      </c>
      <c r="I10" s="18">
        <f>I9/I6</f>
        <v/>
      </c>
    </row>
    <row r="11">
      <c r="A11" s="6" t="inlineStr">
        <is>
          <t>Depreciation, amortisation &amp; impairment</t>
        </is>
      </c>
      <c r="B11" s="9" t="n">
        <v>-9284</v>
      </c>
      <c r="C11" s="9" t="n">
        <v>-9525</v>
      </c>
      <c r="D11" s="9" t="n">
        <v>-10031</v>
      </c>
      <c r="E11" s="17">
        <f>-E6*Assumptions!$C$48</f>
        <v/>
      </c>
      <c r="F11" s="17">
        <f>-F6*Assumptions!$D$48</f>
        <v/>
      </c>
      <c r="G11" s="17">
        <f>-G6*Assumptions!$E$48</f>
        <v/>
      </c>
      <c r="H11" s="17">
        <f>-H6*Assumptions!$F$48</f>
        <v/>
      </c>
      <c r="I11" s="17">
        <f>-I6*Assumptions!$G$48</f>
        <v/>
      </c>
    </row>
    <row r="12">
      <c r="A12" s="16" t="inlineStr">
        <is>
          <t>Operating profit (EBIT)</t>
        </is>
      </c>
      <c r="B12" s="25" t="n">
        <v>13161</v>
      </c>
      <c r="C12" s="25" t="n">
        <v>14426</v>
      </c>
      <c r="D12" s="25" t="n">
        <v>14438</v>
      </c>
      <c r="E12" s="21">
        <f>E9+E11</f>
        <v/>
      </c>
      <c r="F12" s="21">
        <f>F9+F11</f>
        <v/>
      </c>
      <c r="G12" s="21">
        <f>G9+G11</f>
        <v/>
      </c>
      <c r="H12" s="21">
        <f>H9+H11</f>
        <v/>
      </c>
      <c r="I12" s="21">
        <f>I9+I11</f>
        <v/>
      </c>
    </row>
    <row r="13">
      <c r="A13" s="6" t="inlineStr">
        <is>
          <t>Associates, net finance, impairments &amp; other</t>
        </is>
      </c>
      <c r="B13" s="9" t="n">
        <v>826</v>
      </c>
      <c r="C13" s="9" t="n">
        <v>-2292</v>
      </c>
      <c r="D13" s="9" t="n">
        <v>285</v>
      </c>
      <c r="E13" s="17">
        <f>Assumptions!$C$51+Assumptions!$C$52</f>
        <v/>
      </c>
      <c r="F13" s="17">
        <f>Assumptions!$D$51+Assumptions!$D$52</f>
        <v/>
      </c>
      <c r="G13" s="17">
        <f>Assumptions!$E$51+Assumptions!$E$52</f>
        <v/>
      </c>
      <c r="H13" s="17">
        <f>Assumptions!$F$51+Assumptions!$F$52</f>
        <v/>
      </c>
      <c r="I13" s="17">
        <f>Assumptions!$G$51+Assumptions!$G$52</f>
        <v/>
      </c>
    </row>
    <row r="14">
      <c r="A14" s="16" t="inlineStr">
        <is>
          <t>Profit before zakat &amp; income tax</t>
        </is>
      </c>
      <c r="B14" s="9" t="n">
        <v>13987</v>
      </c>
      <c r="C14" s="9" t="n">
        <v>12134</v>
      </c>
      <c r="D14" s="9" t="n">
        <v>14723</v>
      </c>
      <c r="E14" s="21">
        <f>E12+E13</f>
        <v/>
      </c>
      <c r="F14" s="21">
        <f>F12+F13</f>
        <v/>
      </c>
      <c r="G14" s="21">
        <f>G12+G13</f>
        <v/>
      </c>
      <c r="H14" s="21">
        <f>H12+H13</f>
        <v/>
      </c>
      <c r="I14" s="21">
        <f>I12+I13</f>
        <v/>
      </c>
    </row>
    <row r="15">
      <c r="A15" s="6" t="inlineStr">
        <is>
          <t>Zakat &amp; income tax</t>
        </is>
      </c>
      <c r="B15" s="9" t="n">
        <v>-1327</v>
      </c>
      <c r="C15" s="9" t="n">
        <v>-1192</v>
      </c>
      <c r="D15" s="9" t="n">
        <v>466</v>
      </c>
      <c r="E15" s="17">
        <f>-E14*Assumptions!$B$7</f>
        <v/>
      </c>
      <c r="F15" s="17">
        <f>-F14*Assumptions!$B$7</f>
        <v/>
      </c>
      <c r="G15" s="17">
        <f>-G14*Assumptions!$B$7</f>
        <v/>
      </c>
      <c r="H15" s="17">
        <f>-H14*Assumptions!$B$7</f>
        <v/>
      </c>
      <c r="I15" s="17">
        <f>-I14*Assumptions!$B$7</f>
        <v/>
      </c>
    </row>
    <row r="16">
      <c r="A16" s="16" t="inlineStr">
        <is>
          <t>Profit from continuing operations</t>
        </is>
      </c>
      <c r="B16" s="21" t="n">
        <v>12660</v>
      </c>
      <c r="C16" s="21" t="n">
        <v>10942</v>
      </c>
      <c r="D16" s="21" t="n">
        <v>15189</v>
      </c>
      <c r="E16" s="21">
        <f>E14+E15</f>
        <v/>
      </c>
      <c r="F16" s="21">
        <f>F14+F15</f>
        <v/>
      </c>
      <c r="G16" s="21">
        <f>G14+G15</f>
        <v/>
      </c>
      <c r="H16" s="21">
        <f>H14+H15</f>
        <v/>
      </c>
      <c r="I16" s="21">
        <f>I14+I15</f>
        <v/>
      </c>
    </row>
    <row r="17">
      <c r="A17" s="6" t="inlineStr">
        <is>
          <t>Profit from discontinued operations</t>
        </is>
      </c>
      <c r="B17" s="9" t="n">
        <v>759</v>
      </c>
      <c r="C17" s="9" t="n">
        <v>13973</v>
      </c>
      <c r="D17" s="9" t="n">
        <v>0</v>
      </c>
      <c r="E17" s="17">
        <f>0</f>
        <v/>
      </c>
      <c r="F17" s="17">
        <f>0</f>
        <v/>
      </c>
      <c r="G17" s="17">
        <f>0</f>
        <v/>
      </c>
      <c r="H17" s="17">
        <f>0</f>
        <v/>
      </c>
      <c r="I17" s="17">
        <f>0</f>
        <v/>
      </c>
    </row>
    <row r="18">
      <c r="A18" s="6" t="inlineStr">
        <is>
          <t>Non-controlling interests</t>
        </is>
      </c>
      <c r="B18" s="9" t="n">
        <v>-124</v>
      </c>
      <c r="C18" s="9" t="n">
        <v>-226</v>
      </c>
      <c r="D18" s="9" t="n">
        <v>-361</v>
      </c>
      <c r="E18" s="17">
        <f>-(E16)*Assumptions!$C$53</f>
        <v/>
      </c>
      <c r="F18" s="17">
        <f>-(F16)*Assumptions!$D$53</f>
        <v/>
      </c>
      <c r="G18" s="17">
        <f>-(G16)*Assumptions!$E$53</f>
        <v/>
      </c>
      <c r="H18" s="17">
        <f>-(H16)*Assumptions!$F$53</f>
        <v/>
      </c>
      <c r="I18" s="17">
        <f>-(I16)*Assumptions!$G$53</f>
        <v/>
      </c>
    </row>
    <row r="19">
      <c r="A19" s="16" t="inlineStr">
        <is>
          <t>Net profit (attributable)</t>
        </is>
      </c>
      <c r="B19" s="25" t="n">
        <v>13295</v>
      </c>
      <c r="C19" s="25" t="n">
        <v>24689</v>
      </c>
      <c r="D19" s="25" t="n">
        <v>14828</v>
      </c>
      <c r="E19" s="21">
        <f>E16+E17+E18</f>
        <v/>
      </c>
      <c r="F19" s="21">
        <f>F16+F17+F18</f>
        <v/>
      </c>
      <c r="G19" s="21">
        <f>G16+G17+G18</f>
        <v/>
      </c>
      <c r="H19" s="21">
        <f>H16+H17+H18</f>
        <v/>
      </c>
      <c r="I19" s="21">
        <f>I16+I17+I18</f>
        <v/>
      </c>
    </row>
    <row r="20">
      <c r="A20" s="6" t="inlineStr">
        <is>
          <t>Net margin (attributable)</t>
        </is>
      </c>
      <c r="B20" s="18">
        <f>B19/B6</f>
        <v/>
      </c>
      <c r="C20" s="18">
        <f>C19/C6</f>
        <v/>
      </c>
      <c r="D20" s="18">
        <f>D19/D6</f>
        <v/>
      </c>
      <c r="E20" s="18">
        <f>E19/E6</f>
        <v/>
      </c>
      <c r="F20" s="18">
        <f>F19/F6</f>
        <v/>
      </c>
      <c r="G20" s="18">
        <f>G19/G6</f>
        <v/>
      </c>
      <c r="H20" s="18">
        <f>H19/H6</f>
        <v/>
      </c>
      <c r="I20" s="18">
        <f>I19/I6</f>
        <v/>
      </c>
    </row>
    <row r="21">
      <c r="A21" s="6" t="inlineStr">
        <is>
          <t>EPS (SAR)</t>
        </is>
      </c>
      <c r="B21" s="27">
        <f>B19/Assumptions!$B$6</f>
        <v/>
      </c>
      <c r="C21" s="27">
        <f>C19/Assumptions!$B$6</f>
        <v/>
      </c>
      <c r="D21" s="27">
        <f>D19/Assumptions!$B$6</f>
        <v/>
      </c>
      <c r="E21" s="27">
        <f>E19/Assumptions!$B$6</f>
        <v/>
      </c>
      <c r="F21" s="27">
        <f>F19/Assumptions!$B$6</f>
        <v/>
      </c>
      <c r="G21" s="27">
        <f>G19/Assumptions!$B$6</f>
        <v/>
      </c>
      <c r="H21" s="27">
        <f>H19/Assumptions!$B$6</f>
        <v/>
      </c>
      <c r="I21" s="27">
        <f>I19/Assumptions!$B$6</f>
        <v/>
      </c>
    </row>
    <row r="23">
      <c r="A23" s="8" t="inlineStr">
        <is>
          <t>Sources: stc FY2024/FY2025 IR releases + Q1-2026 interim FS (all stc.com). FY23/FY24 restated to continuing operations (TAWAL + Digital Infrastructure Co reclassified as discontinued; FY24 discontinued profit 13,973 incl. the SAR 12,885mn disposal gain). One-offs: FY23 AlKhobar land gain +1,296, WHT reversal +724, ERP −863; FY24 WHT reversal +1,500, ERP −2,577, BGSM impairment −764; FY25 zakat credit +466, ERP ≈ −824. "Share of associates + net finance &amp; other" is the residual bridging disclosed EBIT to disclosed profit before zakat — stc does not publish those lines separately in the IR release layout; the FY25 annual FS carries the full detail.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42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</cols>
  <sheetData>
    <row r="1">
      <c r="A1" s="1" t="inlineStr">
        <is>
          <t>Balance sheet (SAR mn, consolidated)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FY23–FY25 grouped from stc disclosure to a house layout (blue; FY25 detail from the Q1-2026 FS comparatives). Forecast rolls forward clean-surplus; the check row is zero by construction.</t>
        </is>
      </c>
    </row>
    <row r="4">
      <c r="A4" s="5" t="inlineStr"/>
      <c r="B4" s="5" t="inlineStr">
        <is>
          <t>FY23</t>
        </is>
      </c>
      <c r="C4" s="5" t="inlineStr">
        <is>
          <t>FY24</t>
        </is>
      </c>
      <c r="D4" s="5" t="inlineStr">
        <is>
          <t>FY25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6">
      <c r="A6" s="6" t="inlineStr">
        <is>
          <t>Net fixed &amp; intangible assets (PP&amp;E, ROU, intangibles, inv. prop.)</t>
        </is>
      </c>
      <c r="B6" s="17">
        <f>B12-B7-B8-B9-B10-B11</f>
        <v/>
      </c>
      <c r="C6" s="17">
        <f>C12-C7-C8-C9-C10-C11</f>
        <v/>
      </c>
      <c r="D6" s="17">
        <f>D12-D7-D8-D9-D10-D11</f>
        <v/>
      </c>
      <c r="E6" s="20">
        <f>D6+Segments!E11*Assumptions!$C$49+'Income Statement'!E11</f>
        <v/>
      </c>
      <c r="F6" s="20">
        <f>E6+Segments!F11*Assumptions!$D$49+'Income Statement'!F11</f>
        <v/>
      </c>
      <c r="G6" s="20">
        <f>F6+Segments!G11*Assumptions!$E$49+'Income Statement'!G11</f>
        <v/>
      </c>
      <c r="H6" s="20">
        <f>G6+Segments!H11*Assumptions!$F$49+'Income Statement'!H11</f>
        <v/>
      </c>
      <c r="I6" s="20">
        <f>H6+Segments!I11*Assumptions!$G$49+'Income Statement'!I11</f>
        <v/>
      </c>
    </row>
    <row r="7">
      <c r="A7" s="6" t="inlineStr">
        <is>
          <t>Investments in associates &amp; JVs</t>
        </is>
      </c>
      <c r="B7" s="9" t="n">
        <v>3800</v>
      </c>
      <c r="C7" s="9" t="n">
        <v>4200</v>
      </c>
      <c r="D7" s="9" t="n">
        <v>4641</v>
      </c>
      <c r="E7" s="17">
        <f>D7+Assumptions!$C$51</f>
        <v/>
      </c>
      <c r="F7" s="17">
        <f>E7+Assumptions!$D$51</f>
        <v/>
      </c>
      <c r="G7" s="17">
        <f>F7+Assumptions!$E$51</f>
        <v/>
      </c>
      <c r="H7" s="17">
        <f>G7+Assumptions!$F$51</f>
        <v/>
      </c>
      <c r="I7" s="17">
        <f>H7+Assumptions!$G$51</f>
        <v/>
      </c>
    </row>
    <row r="8">
      <c r="A8" s="6" t="inlineStr">
        <is>
          <t>Financial assets (incl. Telefónica 9.97%)</t>
        </is>
      </c>
      <c r="B8" s="9" t="n">
        <v>22000</v>
      </c>
      <c r="C8" s="9" t="n">
        <v>23500</v>
      </c>
      <c r="D8" s="9" t="n">
        <v>24893</v>
      </c>
      <c r="E8" s="17">
        <f>D8</f>
        <v/>
      </c>
      <c r="F8" s="17">
        <f>E8</f>
        <v/>
      </c>
      <c r="G8" s="17">
        <f>F8</f>
        <v/>
      </c>
      <c r="H8" s="17">
        <f>G8</f>
        <v/>
      </c>
      <c r="I8" s="17">
        <f>H8</f>
        <v/>
      </c>
    </row>
    <row r="9">
      <c r="A9" s="6" t="inlineStr">
        <is>
          <t>Trade receivables, net</t>
        </is>
      </c>
      <c r="B9" s="9" t="n">
        <v>24500</v>
      </c>
      <c r="C9" s="9" t="n">
        <v>25800</v>
      </c>
      <c r="D9" s="9" t="n">
        <v>26727</v>
      </c>
      <c r="E9" s="20">
        <f>D9+Segments!E11*Assumptions!$C$50</f>
        <v/>
      </c>
      <c r="F9" s="20">
        <f>E9+Segments!F11*Assumptions!$D$50</f>
        <v/>
      </c>
      <c r="G9" s="20">
        <f>F9+Segments!G11*Assumptions!$E$50</f>
        <v/>
      </c>
      <c r="H9" s="20">
        <f>G9+Segments!H11*Assumptions!$F$50</f>
        <v/>
      </c>
      <c r="I9" s="20">
        <f>H9+Segments!I11*Assumptions!$G$50</f>
        <v/>
      </c>
    </row>
    <row r="10">
      <c r="A10" s="6" t="inlineStr">
        <is>
          <t>Cash, equivalents &amp; short-term murabahas</t>
        </is>
      </c>
      <c r="B10" s="9" t="n">
        <v>28138</v>
      </c>
      <c r="C10" s="9" t="n">
        <v>30755</v>
      </c>
      <c r="D10" s="9" t="n">
        <v>15080</v>
      </c>
      <c r="E10" s="20">
        <f>'Cash Flow'!E17</f>
        <v/>
      </c>
      <c r="F10" s="20">
        <f>'Cash Flow'!F17</f>
        <v/>
      </c>
      <c r="G10" s="20">
        <f>'Cash Flow'!G17</f>
        <v/>
      </c>
      <c r="H10" s="20">
        <f>'Cash Flow'!H17</f>
        <v/>
      </c>
      <c r="I10" s="20">
        <f>'Cash Flow'!I17</f>
        <v/>
      </c>
    </row>
    <row r="11">
      <c r="A11" s="6" t="inlineStr">
        <is>
          <t>Other assets</t>
        </is>
      </c>
      <c r="B11" s="9" t="n">
        <v>2600</v>
      </c>
      <c r="C11" s="9" t="n">
        <v>2600</v>
      </c>
      <c r="D11" s="9" t="n">
        <v>2952</v>
      </c>
      <c r="E11" s="17">
        <f>D11</f>
        <v/>
      </c>
      <c r="F11" s="17">
        <f>E11</f>
        <v/>
      </c>
      <c r="G11" s="17">
        <f>F11</f>
        <v/>
      </c>
      <c r="H11" s="17">
        <f>G11</f>
        <v/>
      </c>
      <c r="I11" s="17">
        <f>H11</f>
        <v/>
      </c>
    </row>
    <row r="12">
      <c r="A12" s="16" t="inlineStr">
        <is>
          <t>TOTAL ASSETS</t>
        </is>
      </c>
      <c r="B12" s="25" t="n">
        <v>159646</v>
      </c>
      <c r="C12" s="25" t="n">
        <v>160638</v>
      </c>
      <c r="D12" s="25" t="n">
        <v>157477</v>
      </c>
      <c r="E12" s="28">
        <f>SUM(E6:E11)</f>
        <v/>
      </c>
      <c r="F12" s="28">
        <f>SUM(F6:F11)</f>
        <v/>
      </c>
      <c r="G12" s="28">
        <f>SUM(G6:G11)</f>
        <v/>
      </c>
      <c r="H12" s="28">
        <f>SUM(H6:H11)</f>
        <v/>
      </c>
      <c r="I12" s="28">
        <f>SUM(I6:I11)</f>
        <v/>
      </c>
    </row>
    <row r="14">
      <c r="A14" s="6" t="inlineStr">
        <is>
          <t>Equity attributable to shareholders</t>
        </is>
      </c>
      <c r="B14" s="9" t="n">
        <v>78985</v>
      </c>
      <c r="C14" s="9" t="n">
        <v>89417</v>
      </c>
      <c r="D14" s="9" t="n">
        <v>83414</v>
      </c>
      <c r="E14" s="20">
        <f>D14+'Income Statement'!E19-Assumptions!$C$54*Assumptions!$B$6</f>
        <v/>
      </c>
      <c r="F14" s="20">
        <f>E14+'Income Statement'!F19-Assumptions!$D$54*Assumptions!$B$6</f>
        <v/>
      </c>
      <c r="G14" s="20">
        <f>F14+'Income Statement'!G19-Assumptions!$E$54*Assumptions!$B$6</f>
        <v/>
      </c>
      <c r="H14" s="20">
        <f>G14+'Income Statement'!H19-Assumptions!$F$54*Assumptions!$B$6</f>
        <v/>
      </c>
      <c r="I14" s="20">
        <f>H14+'Income Statement'!I19-Assumptions!$G$54*Assumptions!$B$6</f>
        <v/>
      </c>
    </row>
    <row r="15">
      <c r="A15" s="6" t="inlineStr">
        <is>
          <t>Non-controlling interests</t>
        </is>
      </c>
      <c r="B15" s="9" t="n">
        <v>2530</v>
      </c>
      <c r="C15" s="9" t="n">
        <v>3069</v>
      </c>
      <c r="D15" s="9" t="n">
        <v>3482</v>
      </c>
      <c r="E15" s="20">
        <f>D15-'Income Statement'!E18</f>
        <v/>
      </c>
      <c r="F15" s="20">
        <f>E15-'Income Statement'!F18</f>
        <v/>
      </c>
      <c r="G15" s="20">
        <f>F15-'Income Statement'!G18</f>
        <v/>
      </c>
      <c r="H15" s="20">
        <f>G15-'Income Statement'!H18</f>
        <v/>
      </c>
      <c r="I15" s="20">
        <f>H15-'Income Statement'!I18</f>
        <v/>
      </c>
    </row>
    <row r="16">
      <c r="A16" s="16" t="inlineStr">
        <is>
          <t>Total equity</t>
        </is>
      </c>
      <c r="B16" s="28">
        <f>B14+B15</f>
        <v/>
      </c>
      <c r="C16" s="28">
        <f>C14+C15</f>
        <v/>
      </c>
      <c r="D16" s="28">
        <f>D14+D15</f>
        <v/>
      </c>
      <c r="E16" s="21">
        <f>E14+E15</f>
        <v/>
      </c>
      <c r="F16" s="21">
        <f>F14+F15</f>
        <v/>
      </c>
      <c r="G16" s="21">
        <f>G14+G15</f>
        <v/>
      </c>
      <c r="H16" s="21">
        <f>H14+H15</f>
        <v/>
      </c>
      <c r="I16" s="21">
        <f>I14+I15</f>
        <v/>
      </c>
    </row>
    <row r="17">
      <c r="A17" s="6" t="inlineStr">
        <is>
          <t>Borrowings &amp; sukuk (excl. leases)</t>
        </is>
      </c>
      <c r="B17" s="9" t="n">
        <v>21958</v>
      </c>
      <c r="C17" s="9" t="n">
        <v>15132</v>
      </c>
      <c r="D17" s="9" t="n">
        <v>15191</v>
      </c>
      <c r="E17" s="17">
        <f>D17+7284</f>
        <v/>
      </c>
      <c r="F17" s="17">
        <f>E17</f>
        <v/>
      </c>
      <c r="G17" s="17">
        <f>F17</f>
        <v/>
      </c>
      <c r="H17" s="17">
        <f>G17</f>
        <v/>
      </c>
      <c r="I17" s="17">
        <f>H17</f>
        <v/>
      </c>
    </row>
    <row r="18">
      <c r="A18" s="6" t="inlineStr">
        <is>
          <t>Lease liabilities</t>
        </is>
      </c>
      <c r="B18" s="9" t="n">
        <v>6985</v>
      </c>
      <c r="C18" s="9" t="n">
        <v>4580</v>
      </c>
      <c r="D18" s="9" t="n">
        <v>2253</v>
      </c>
      <c r="E18" s="17">
        <f>D18</f>
        <v/>
      </c>
      <c r="F18" s="17">
        <f>E18</f>
        <v/>
      </c>
      <c r="G18" s="17">
        <f>F18</f>
        <v/>
      </c>
      <c r="H18" s="17">
        <f>G18</f>
        <v/>
      </c>
      <c r="I18" s="17">
        <f>H18</f>
        <v/>
      </c>
    </row>
    <row r="19">
      <c r="A19" s="6" t="inlineStr">
        <is>
          <t>Trade payables &amp; financial liabilities</t>
        </is>
      </c>
      <c r="B19" s="9" t="n">
        <v>25000</v>
      </c>
      <c r="C19" s="9" t="n">
        <v>26500</v>
      </c>
      <c r="D19" s="9" t="n">
        <v>29610</v>
      </c>
      <c r="E19" s="17">
        <f>D19</f>
        <v/>
      </c>
      <c r="F19" s="17">
        <f>E19</f>
        <v/>
      </c>
      <c r="G19" s="17">
        <f>F19</f>
        <v/>
      </c>
      <c r="H19" s="17">
        <f>G19</f>
        <v/>
      </c>
      <c r="I19" s="17">
        <f>H19</f>
        <v/>
      </c>
    </row>
    <row r="20">
      <c r="A20" s="6" t="inlineStr">
        <is>
          <t>Zakat payable, provisions &amp; other liabilities</t>
        </is>
      </c>
      <c r="B20" s="17">
        <f>B12-B16-B17-B18-B19</f>
        <v/>
      </c>
      <c r="C20" s="17">
        <f>C12-C16-C17-C18-C19</f>
        <v/>
      </c>
      <c r="D20" s="17">
        <f>D12-D16-D17-D18-D19</f>
        <v/>
      </c>
      <c r="E20" s="17">
        <f>D20</f>
        <v/>
      </c>
      <c r="F20" s="17">
        <f>E20</f>
        <v/>
      </c>
      <c r="G20" s="17">
        <f>F20</f>
        <v/>
      </c>
      <c r="H20" s="17">
        <f>G20</f>
        <v/>
      </c>
      <c r="I20" s="17">
        <f>H20</f>
        <v/>
      </c>
    </row>
    <row r="21">
      <c r="A21" s="16" t="inlineStr">
        <is>
          <t>TOTAL EQUITY &amp; LIABILITIES</t>
        </is>
      </c>
      <c r="B21" s="28">
        <f>B16+B17+B18+B19+B20</f>
        <v/>
      </c>
      <c r="C21" s="28">
        <f>C16+C17+C18+C19+C20</f>
        <v/>
      </c>
      <c r="D21" s="28">
        <f>D16+D17+D18+D19+D20</f>
        <v/>
      </c>
      <c r="E21" s="21">
        <f>E16+E17+E18+E19+E20</f>
        <v/>
      </c>
      <c r="F21" s="21">
        <f>F16+F17+F18+F19+F20</f>
        <v/>
      </c>
      <c r="G21" s="21">
        <f>G16+G17+G18+G19+G20</f>
        <v/>
      </c>
      <c r="H21" s="21">
        <f>H16+H17+H18+H19+H20</f>
        <v/>
      </c>
      <c r="I21" s="21">
        <f>I16+I17+I18+I19+I20</f>
        <v/>
      </c>
    </row>
    <row r="23">
      <c r="A23" s="16" t="inlineStr">
        <is>
          <t>Balance check (assets − L&amp;E)</t>
        </is>
      </c>
      <c r="B23" s="29">
        <f>B12-B21</f>
        <v/>
      </c>
      <c r="C23" s="29">
        <f>C12-C21</f>
        <v/>
      </c>
      <c r="D23" s="29">
        <f>D12-D21</f>
        <v/>
      </c>
      <c r="E23" s="21">
        <f>E12-E21</f>
        <v/>
      </c>
      <c r="F23" s="21">
        <f>F12-F21</f>
        <v/>
      </c>
      <c r="G23" s="21">
        <f>G12-G21</f>
        <v/>
      </c>
      <c r="H23" s="21">
        <f>H12-H21</f>
        <v/>
      </c>
      <c r="I23" s="21">
        <f>I12-I21</f>
        <v/>
      </c>
    </row>
    <row r="24">
      <c r="A24" s="6" t="inlineStr">
        <is>
          <t>Net debt — IR basis (borrowings − cash, group def.)</t>
        </is>
      </c>
      <c r="B24" s="29">
        <f>B17-B10</f>
        <v/>
      </c>
      <c r="C24" s="29">
        <f>C17-C10</f>
        <v/>
      </c>
      <c r="D24" s="29">
        <f>D17-D10</f>
        <v/>
      </c>
      <c r="E24" s="17">
        <f>E17-E10</f>
        <v/>
      </c>
      <c r="F24" s="17">
        <f>F17-F10</f>
        <v/>
      </c>
      <c r="G24" s="17">
        <f>G17-G10</f>
        <v/>
      </c>
      <c r="H24" s="17">
        <f>H17-H10</f>
        <v/>
      </c>
      <c r="I24" s="17">
        <f>I17-I10</f>
        <v/>
      </c>
    </row>
    <row r="25">
      <c r="A25" s="4" t="inlineStr">
        <is>
          <t>Historic mapping: disclosed IR anchors (total assets, cash+murabaha, total debt, attributable equity) are blue as reported; FY25 line detail (associates 4,641 · financial assets 24,893 · receivables 26,727 · leases 2,253 · payables+financial liabilities 29,610 · NCI 3,482) is from the Q1-2026 FS 31-Dec-25 comparatives; FY23/FY24 line detail is estimated to tie to the disclosed totals (flagged). "Net fixed &amp; intangible assets" and "Zakat payable, provisions &amp; other liabilities" are the balancing lines — shown as formulas off the disclosed totals, so the balance check is exact in every column. FY26E borrowings step up SAR +7,284mn (the completed Jan-2026 $2bn sukuk net of amortisation); gross debt flat thereafter. Two cash framings: FS cash incl. stc bank (21,442 at Q1-26) vs IR core-group cash (15,412) — the model rolls the IR-basis series (FY25: 15,080).</t>
        </is>
      </c>
    </row>
    <row r="26">
      <c r="A26" s="8" t="inlineStr">
        <is>
          <t>Historic mapping: FY25 line detail from the Q1-2026 FS 31-Dec-25 comparatives (PP&amp;E 95,313 + ROU 2,635 + intangibles 28,139 + inv. property 350 grouped; cash 13,376 + murabaha 1,732). FY23/FY24 detail lines are grouped estimates reconciling to the disclosed IR totals (blue totals are as-disclosed); "Other" lines are the disclosed-total balancing items, shown as formulas. FY26E borrowings step up SAR +7,284mn = the Jan-2026 $2bn sukuk (net of FY26 amortisation) — thereafter gross debt held flat. Two cash framings exist (FS 21,442 incl. stc bank vs IR 15,412 core): the model rolls the FS-basis cash from FY25’s 15,108 (cash + murabaha) and states the IR basis in the net-debt memo.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42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</cols>
  <sheetData>
    <row r="1">
      <c r="A1" s="1" t="inlineStr">
        <is>
          <t>Cash flow (SAR mn, forecast)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Derived from the Income Statement and Balance Sheet; closing cash ties to the Balance Sheet, so the check row is zero.</t>
        </is>
      </c>
    </row>
    <row r="4">
      <c r="D4" s="5" t="inlineStr"/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6">
      <c r="A6" s="6" t="inlineStr">
        <is>
          <t>Profit for the period (incl. NCI)</t>
        </is>
      </c>
      <c r="E6" s="20">
        <f>'Income Statement'!E16</f>
        <v/>
      </c>
      <c r="F6" s="20">
        <f>'Income Statement'!F16</f>
        <v/>
      </c>
      <c r="G6" s="20">
        <f>'Income Statement'!G16</f>
        <v/>
      </c>
      <c r="H6" s="20">
        <f>'Income Statement'!H16</f>
        <v/>
      </c>
      <c r="I6" s="20">
        <f>'Income Statement'!I16</f>
        <v/>
      </c>
    </row>
    <row r="7">
      <c r="A7" s="6" t="inlineStr">
        <is>
          <t>+ D&amp;A</t>
        </is>
      </c>
      <c r="E7" s="20">
        <f>-'Income Statement'!E11</f>
        <v/>
      </c>
      <c r="F7" s="20">
        <f>-'Income Statement'!F11</f>
        <v/>
      </c>
      <c r="G7" s="20">
        <f>-'Income Statement'!G11</f>
        <v/>
      </c>
      <c r="H7" s="20">
        <f>-'Income Statement'!H11</f>
        <v/>
      </c>
      <c r="I7" s="20">
        <f>-'Income Statement'!I11</f>
        <v/>
      </c>
    </row>
    <row r="8">
      <c r="A8" s="6" t="inlineStr">
        <is>
          <t>− Associates income (non-cash)</t>
        </is>
      </c>
      <c r="E8" s="20">
        <f>-Assumptions!$C$51</f>
        <v/>
      </c>
      <c r="F8" s="20">
        <f>-Assumptions!$D$51</f>
        <v/>
      </c>
      <c r="G8" s="20">
        <f>-Assumptions!$E$51</f>
        <v/>
      </c>
      <c r="H8" s="20">
        <f>-Assumptions!$F$51</f>
        <v/>
      </c>
      <c r="I8" s="20">
        <f>-Assumptions!$G$51</f>
        <v/>
      </c>
    </row>
    <row r="9">
      <c r="A9" s="6" t="inlineStr">
        <is>
          <t>− Increase in trade receivables (ΔWC)</t>
        </is>
      </c>
      <c r="E9" s="20">
        <f>-(('Balance Sheet'!E9)-('Balance Sheet'!D9))</f>
        <v/>
      </c>
      <c r="F9" s="20">
        <f>-(('Balance Sheet'!F9)-('Balance Sheet'!E9))</f>
        <v/>
      </c>
      <c r="G9" s="20">
        <f>-(('Balance Sheet'!G9)-('Balance Sheet'!F9))</f>
        <v/>
      </c>
      <c r="H9" s="20">
        <f>-(('Balance Sheet'!H9)-('Balance Sheet'!G9))</f>
        <v/>
      </c>
      <c r="I9" s="20">
        <f>-(('Balance Sheet'!I9)-('Balance Sheet'!H9))</f>
        <v/>
      </c>
    </row>
    <row r="10">
      <c r="A10" s="16" t="inlineStr">
        <is>
          <t>Operating cash flow</t>
        </is>
      </c>
      <c r="E10" s="21">
        <f>SUM(E6:E9)</f>
        <v/>
      </c>
      <c r="F10" s="21">
        <f>SUM(F6:F9)</f>
        <v/>
      </c>
      <c r="G10" s="21">
        <f>SUM(G6:G9)</f>
        <v/>
      </c>
      <c r="H10" s="21">
        <f>SUM(H6:H9)</f>
        <v/>
      </c>
      <c r="I10" s="21">
        <f>SUM(I6:I9)</f>
        <v/>
      </c>
    </row>
    <row r="11">
      <c r="A11" s="6" t="inlineStr">
        <is>
          <t>− Capex</t>
        </is>
      </c>
      <c r="E11" s="20">
        <f>-Segments!E11*Assumptions!$C$49</f>
        <v/>
      </c>
      <c r="F11" s="20">
        <f>-Segments!F11*Assumptions!$D$49</f>
        <v/>
      </c>
      <c r="G11" s="20">
        <f>-Segments!G11*Assumptions!$E$49</f>
        <v/>
      </c>
      <c r="H11" s="20">
        <f>-Segments!H11*Assumptions!$F$49</f>
        <v/>
      </c>
      <c r="I11" s="20">
        <f>-Segments!I11*Assumptions!$G$49</f>
        <v/>
      </c>
    </row>
    <row r="12">
      <c r="A12" s="16" t="inlineStr">
        <is>
          <t>Free cash flow</t>
        </is>
      </c>
      <c r="E12" s="21">
        <f>E10+E11</f>
        <v/>
      </c>
      <c r="F12" s="21">
        <f>F10+F11</f>
        <v/>
      </c>
      <c r="G12" s="21">
        <f>G10+G11</f>
        <v/>
      </c>
      <c r="H12" s="21">
        <f>H10+H11</f>
        <v/>
      </c>
      <c r="I12" s="21">
        <f>I10+I11</f>
        <v/>
      </c>
    </row>
    <row r="13">
      <c r="A13" s="6" t="inlineStr">
        <is>
          <t>+ Increase in borrowings (net)</t>
        </is>
      </c>
      <c r="E13" s="17">
        <f>7284</f>
        <v/>
      </c>
      <c r="F13" s="17">
        <f>0</f>
        <v/>
      </c>
      <c r="G13" s="17">
        <f>0</f>
        <v/>
      </c>
      <c r="H13" s="17">
        <f>0</f>
        <v/>
      </c>
      <c r="I13" s="17">
        <f>0</f>
        <v/>
      </c>
    </row>
    <row r="14">
      <c r="A14" s="6" t="inlineStr">
        <is>
          <t>− Dividends paid (attributable)</t>
        </is>
      </c>
      <c r="E14" s="20">
        <f>-Assumptions!$C$54*Assumptions!$B$6</f>
        <v/>
      </c>
      <c r="F14" s="20">
        <f>-Assumptions!$D$54*Assumptions!$B$6</f>
        <v/>
      </c>
      <c r="G14" s="20">
        <f>-Assumptions!$E$54*Assumptions!$B$6</f>
        <v/>
      </c>
      <c r="H14" s="20">
        <f>-Assumptions!$F$54*Assumptions!$B$6</f>
        <v/>
      </c>
      <c r="I14" s="20">
        <f>-Assumptions!$G$54*Assumptions!$B$6</f>
        <v/>
      </c>
    </row>
    <row r="15">
      <c r="A15" s="16" t="inlineStr">
        <is>
          <t>Net change in cash</t>
        </is>
      </c>
      <c r="E15" s="21">
        <f>E12+E13+E14</f>
        <v/>
      </c>
      <c r="F15" s="21">
        <f>F12+F13+F14</f>
        <v/>
      </c>
      <c r="G15" s="21">
        <f>G12+G13+G14</f>
        <v/>
      </c>
      <c r="H15" s="21">
        <f>H12+H13+H14</f>
        <v/>
      </c>
      <c r="I15" s="21">
        <f>I12+I13+I14</f>
        <v/>
      </c>
    </row>
    <row r="16">
      <c r="A16" s="6" t="inlineStr">
        <is>
          <t>Opening cash</t>
        </is>
      </c>
      <c r="E16" s="20">
        <f>'Balance Sheet'!D10</f>
        <v/>
      </c>
      <c r="F16" s="17">
        <f>E17</f>
        <v/>
      </c>
      <c r="G16" s="17">
        <f>F17</f>
        <v/>
      </c>
      <c r="H16" s="17">
        <f>G17</f>
        <v/>
      </c>
      <c r="I16" s="17">
        <f>H17</f>
        <v/>
      </c>
    </row>
    <row r="17">
      <c r="A17" s="16" t="inlineStr">
        <is>
          <t>Closing cash</t>
        </is>
      </c>
      <c r="E17" s="21">
        <f>E16+E15</f>
        <v/>
      </c>
      <c r="F17" s="21">
        <f>F16+F15</f>
        <v/>
      </c>
      <c r="G17" s="21">
        <f>G16+G15</f>
        <v/>
      </c>
      <c r="H17" s="21">
        <f>H16+H15</f>
        <v/>
      </c>
      <c r="I17" s="21">
        <f>I16+I15</f>
        <v/>
      </c>
    </row>
    <row r="19">
      <c r="A19" s="8" t="inlineStr">
        <is>
          <t>NCI profit is retained (no NCI dividend modelled — solutions’ minority dividend leakage is inside "net finance &amp; other"). Historical group cash flows: OCF 22,418 / 19,885 / 18,283 and FCF 12,628 / 7,959 / 6,488 (FY23/24/25, stc IR releases; restated). The FY26E borrowings line is the Jan-2026 sukuk already completed.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Summary financials (SAR mn)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Every cell links to the statement sheets.</t>
        </is>
      </c>
    </row>
    <row r="4">
      <c r="A4" s="5" t="inlineStr"/>
      <c r="B4" s="5" t="inlineStr">
        <is>
          <t>FY23</t>
        </is>
      </c>
      <c r="C4" s="5" t="inlineStr">
        <is>
          <t>FY24</t>
        </is>
      </c>
      <c r="D4" s="5" t="inlineStr">
        <is>
          <t>FY25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6">
      <c r="A6" s="17" t="inlineStr">
        <is>
          <t>Revenue</t>
        </is>
      </c>
      <c r="B6" s="20">
        <f>'Income Statement'!B6</f>
        <v/>
      </c>
      <c r="C6" s="20">
        <f>'Income Statement'!C6</f>
        <v/>
      </c>
      <c r="D6" s="20">
        <f>'Income Statement'!D6</f>
        <v/>
      </c>
      <c r="E6" s="20">
        <f>'Income Statement'!E6</f>
        <v/>
      </c>
      <c r="F6" s="20">
        <f>'Income Statement'!F6</f>
        <v/>
      </c>
      <c r="G6" s="20">
        <f>'Income Statement'!G6</f>
        <v/>
      </c>
      <c r="H6" s="20">
        <f>'Income Statement'!H6</f>
        <v/>
      </c>
      <c r="I6" s="20">
        <f>'Income Statement'!I6</f>
        <v/>
      </c>
    </row>
    <row r="7">
      <c r="A7" s="17" t="inlineStr">
        <is>
          <t>EBITDA</t>
        </is>
      </c>
      <c r="B7" s="20">
        <f>'Income Statement'!B9</f>
        <v/>
      </c>
      <c r="C7" s="20">
        <f>'Income Statement'!C9</f>
        <v/>
      </c>
      <c r="D7" s="20">
        <f>'Income Statement'!D9</f>
        <v/>
      </c>
      <c r="E7" s="20">
        <f>'Income Statement'!E9</f>
        <v/>
      </c>
      <c r="F7" s="20">
        <f>'Income Statement'!F9</f>
        <v/>
      </c>
      <c r="G7" s="20">
        <f>'Income Statement'!G9</f>
        <v/>
      </c>
      <c r="H7" s="20">
        <f>'Income Statement'!H9</f>
        <v/>
      </c>
      <c r="I7" s="20">
        <f>'Income Statement'!I9</f>
        <v/>
      </c>
    </row>
    <row r="8">
      <c r="A8" s="17" t="inlineStr">
        <is>
          <t>EBIT</t>
        </is>
      </c>
      <c r="B8" s="20">
        <f>'Income Statement'!B12</f>
        <v/>
      </c>
      <c r="C8" s="20">
        <f>'Income Statement'!C12</f>
        <v/>
      </c>
      <c r="D8" s="20">
        <f>'Income Statement'!D12</f>
        <v/>
      </c>
      <c r="E8" s="20">
        <f>'Income Statement'!E12</f>
        <v/>
      </c>
      <c r="F8" s="20">
        <f>'Income Statement'!F12</f>
        <v/>
      </c>
      <c r="G8" s="20">
        <f>'Income Statement'!G12</f>
        <v/>
      </c>
      <c r="H8" s="20">
        <f>'Income Statement'!H12</f>
        <v/>
      </c>
      <c r="I8" s="20">
        <f>'Income Statement'!I12</f>
        <v/>
      </c>
    </row>
    <row r="9">
      <c r="A9" s="17" t="inlineStr">
        <is>
          <t>Net profit (attributable)</t>
        </is>
      </c>
      <c r="B9" s="20">
        <f>'Income Statement'!B19</f>
        <v/>
      </c>
      <c r="C9" s="20">
        <f>'Income Statement'!C19</f>
        <v/>
      </c>
      <c r="D9" s="20">
        <f>'Income Statement'!D19</f>
        <v/>
      </c>
      <c r="E9" s="20">
        <f>'Income Statement'!E19</f>
        <v/>
      </c>
      <c r="F9" s="20">
        <f>'Income Statement'!F19</f>
        <v/>
      </c>
      <c r="G9" s="20">
        <f>'Income Statement'!G19</f>
        <v/>
      </c>
      <c r="H9" s="20">
        <f>'Income Statement'!H19</f>
        <v/>
      </c>
      <c r="I9" s="20">
        <f>'Income Statement'!I19</f>
        <v/>
      </c>
    </row>
    <row r="10">
      <c r="A10" s="17" t="inlineStr">
        <is>
          <t>Total assets</t>
        </is>
      </c>
      <c r="B10" s="20">
        <f>'Balance Sheet'!B12</f>
        <v/>
      </c>
      <c r="C10" s="20">
        <f>'Balance Sheet'!C12</f>
        <v/>
      </c>
      <c r="D10" s="20">
        <f>'Balance Sheet'!D12</f>
        <v/>
      </c>
      <c r="E10" s="20">
        <f>'Balance Sheet'!E12</f>
        <v/>
      </c>
      <c r="F10" s="20">
        <f>'Balance Sheet'!F12</f>
        <v/>
      </c>
      <c r="G10" s="20">
        <f>'Balance Sheet'!G12</f>
        <v/>
      </c>
      <c r="H10" s="20">
        <f>'Balance Sheet'!H12</f>
        <v/>
      </c>
      <c r="I10" s="20">
        <f>'Balance Sheet'!I12</f>
        <v/>
      </c>
    </row>
    <row r="11">
      <c r="A11" s="17" t="inlineStr">
        <is>
          <t>Total equity</t>
        </is>
      </c>
      <c r="B11" s="20">
        <f>'Balance Sheet'!B16</f>
        <v/>
      </c>
      <c r="C11" s="20">
        <f>'Balance Sheet'!C16</f>
        <v/>
      </c>
      <c r="D11" s="20">
        <f>'Balance Sheet'!D16</f>
        <v/>
      </c>
      <c r="E11" s="20">
        <f>'Balance Sheet'!E16</f>
        <v/>
      </c>
      <c r="F11" s="20">
        <f>'Balance Sheet'!F16</f>
        <v/>
      </c>
      <c r="G11" s="20">
        <f>'Balance Sheet'!G16</f>
        <v/>
      </c>
      <c r="H11" s="20">
        <f>'Balance Sheet'!H16</f>
        <v/>
      </c>
      <c r="I11" s="20">
        <f>'Balance Sheet'!I16</f>
        <v/>
      </c>
    </row>
    <row r="12">
      <c r="A12" s="17" t="inlineStr">
        <is>
          <t>Net debt (IR basis)</t>
        </is>
      </c>
      <c r="B12" s="20">
        <f>'Balance Sheet'!B24</f>
        <v/>
      </c>
      <c r="C12" s="20">
        <f>'Balance Sheet'!C24</f>
        <v/>
      </c>
      <c r="D12" s="20">
        <f>'Balance Sheet'!D24</f>
        <v/>
      </c>
      <c r="E12" s="20">
        <f>'Balance Sheet'!E24</f>
        <v/>
      </c>
      <c r="F12" s="20">
        <f>'Balance Sheet'!F24</f>
        <v/>
      </c>
      <c r="G12" s="20">
        <f>'Balance Sheet'!G24</f>
        <v/>
      </c>
      <c r="H12" s="20">
        <f>'Balance Sheet'!H24</f>
        <v/>
      </c>
      <c r="I12" s="20">
        <f>'Balance Sheet'!I24</f>
        <v/>
      </c>
    </row>
    <row r="13">
      <c r="A13" s="17" t="inlineStr">
        <is>
          <t>Free cash flow (forecast)</t>
        </is>
      </c>
      <c r="E13" s="20">
        <f>'Cash Flow'!E12</f>
        <v/>
      </c>
      <c r="F13" s="20">
        <f>'Cash Flow'!F12</f>
        <v/>
      </c>
      <c r="G13" s="20">
        <f>'Cash Flow'!G12</f>
        <v/>
      </c>
      <c r="H13" s="20">
        <f>'Cash Flow'!H12</f>
        <v/>
      </c>
      <c r="I13" s="20">
        <f>'Cash Flow'!I12</f>
        <v/>
      </c>
    </row>
    <row r="14">
      <c r="A14" s="6" t="inlineStr">
        <is>
          <t>Free cash flow (historical, disclosed)</t>
        </is>
      </c>
      <c r="B14" s="9" t="n">
        <v>12628</v>
      </c>
      <c r="C14" s="9" t="n">
        <v>7959</v>
      </c>
      <c r="D14" s="9" t="n">
        <v>6488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Monte Carlo — engine outputs (YZ-HAR v2)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50,000 paths · 16 factors · seed 42 · computed by the Testahil MC engine (values, not a sheet simulation). Zero drift — the Step 0-passed configuration for this name.</t>
        </is>
      </c>
    </row>
    <row r="5">
      <c r="A5" s="35" t="inlineStr">
        <is>
          <t>The probability read (T+60)</t>
        </is>
      </c>
    </row>
    <row r="6">
      <c r="A6" s="17" t="inlineStr">
        <is>
          <t>P(price above spot)</t>
        </is>
      </c>
      <c r="B6" s="18" t="n">
        <v>0.54698</v>
      </c>
    </row>
    <row r="7">
      <c r="A7" s="17" t="inlineStr">
        <is>
          <t>P(+10%) vs P(−10%) — odds</t>
        </is>
      </c>
      <c r="B7" s="19" t="inlineStr">
        <is>
          <t>10% vs 6% · 1.7:1</t>
        </is>
      </c>
    </row>
    <row r="8">
      <c r="A8" s="17" t="inlineStr">
        <is>
          <t>Median level (SAR) and % move</t>
        </is>
      </c>
      <c r="B8" s="19" t="inlineStr">
        <is>
          <t>43.91 (+0.7%)</t>
        </is>
      </c>
    </row>
    <row r="9">
      <c r="A9" s="17" t="inlineStr">
        <is>
          <t>50% band (25th–75th)</t>
        </is>
      </c>
      <c r="B9" s="19" t="inlineStr">
        <is>
          <t>42.0 – 45.8  (-3.6% / +5.2%)</t>
        </is>
      </c>
    </row>
    <row r="10">
      <c r="A10" s="17" t="inlineStr">
        <is>
          <t>Touch(+10%) / touch(−10%)</t>
        </is>
      </c>
      <c r="B10" s="19" t="inlineStr">
        <is>
          <t>17% / 11%</t>
        </is>
      </c>
    </row>
    <row r="12">
      <c r="A12" s="5" t="inlineStr">
        <is>
          <t>Percentile map (SAR/share)</t>
        </is>
      </c>
    </row>
    <row r="13">
      <c r="A13" s="5" t="inlineStr">
        <is>
          <t>Horizon</t>
        </is>
      </c>
      <c r="B13" s="5" t="inlineStr">
        <is>
          <t>p5</t>
        </is>
      </c>
      <c r="C13" s="5" t="inlineStr">
        <is>
          <t>p25</t>
        </is>
      </c>
      <c r="D13" s="5" t="inlineStr">
        <is>
          <t>p50</t>
        </is>
      </c>
      <c r="E13" s="5" t="inlineStr">
        <is>
          <t>p75</t>
        </is>
      </c>
      <c r="F13" s="5" t="inlineStr">
        <is>
          <t>p95</t>
        </is>
      </c>
    </row>
    <row r="14">
      <c r="A14" s="17" t="inlineStr">
        <is>
          <t>T+20 sessions</t>
        </is>
      </c>
      <c r="B14" s="27" t="n">
        <v>40.8</v>
      </c>
      <c r="C14" s="27" t="n">
        <v>42.6</v>
      </c>
      <c r="D14" s="27" t="n">
        <v>43.7</v>
      </c>
      <c r="E14" s="27" t="n">
        <v>44.8</v>
      </c>
      <c r="F14" s="27" t="n">
        <v>46.8</v>
      </c>
    </row>
    <row r="15">
      <c r="A15" s="17" t="inlineStr">
        <is>
          <t>T+60 sessions</t>
        </is>
      </c>
      <c r="B15" s="27" t="n">
        <v>39</v>
      </c>
      <c r="C15" s="27" t="n">
        <v>42</v>
      </c>
      <c r="D15" s="27" t="n">
        <v>43.9</v>
      </c>
      <c r="E15" s="27" t="n">
        <v>45.8</v>
      </c>
      <c r="F15" s="27" t="n">
        <v>49.5</v>
      </c>
    </row>
    <row r="17">
      <c r="A17" s="5" t="inlineStr">
        <is>
          <t>Engine inputs (from Assumptions)</t>
        </is>
      </c>
    </row>
    <row r="18">
      <c r="A18" s="17" t="inlineStr">
        <is>
          <t>Anchor volatility (HAR, annualized)</t>
        </is>
      </c>
      <c r="B18" s="31">
        <f>Assumptions!B37</f>
        <v/>
      </c>
    </row>
    <row r="19">
      <c r="A19" s="17" t="inlineStr">
        <is>
          <t>Secular drift (daily) — zero-drift class</t>
        </is>
      </c>
      <c r="B19" s="31">
        <f>Assumptions!B38</f>
        <v/>
      </c>
    </row>
    <row r="20">
      <c r="A20" s="17" t="inlineStr">
        <is>
          <t>Net factor drift / quarter</t>
        </is>
      </c>
      <c r="B20" s="31">
        <f>Assumptions!B39</f>
        <v/>
      </c>
    </row>
    <row r="22">
      <c r="A22" s="5" t="inlineStr">
        <is>
          <t>Level-touch ladder (probability of touching by horizon)</t>
        </is>
      </c>
    </row>
    <row r="23">
      <c r="A23" s="5" t="inlineStr">
        <is>
          <t>Level (SAR)</t>
        </is>
      </c>
      <c r="B23" s="5" t="inlineStr">
        <is>
          <t>T+20</t>
        </is>
      </c>
      <c r="C23" s="5" t="inlineStr">
        <is>
          <t>T+60</t>
        </is>
      </c>
    </row>
    <row r="24">
      <c r="A24" s="27" t="n">
        <v>50</v>
      </c>
      <c r="B24" s="18" t="n">
        <v>0.00844</v>
      </c>
      <c r="C24" s="18" t="n">
        <v>0.06708</v>
      </c>
    </row>
    <row r="25">
      <c r="A25" s="27" t="n">
        <v>48</v>
      </c>
      <c r="B25" s="18" t="n">
        <v>0.03116</v>
      </c>
      <c r="C25" s="18" t="n">
        <v>0.16298</v>
      </c>
    </row>
    <row r="26">
      <c r="A26" s="27" t="n">
        <v>46</v>
      </c>
      <c r="B26" s="18" t="n">
        <v>0.15438</v>
      </c>
      <c r="C26" s="18" t="n">
        <v>0.40508</v>
      </c>
    </row>
    <row r="27">
      <c r="A27" s="27" t="n">
        <v>44</v>
      </c>
      <c r="B27" s="18" t="n">
        <v>0.71468</v>
      </c>
      <c r="C27" s="18" t="n">
        <v>0.84502</v>
      </c>
    </row>
    <row r="28">
      <c r="A28" s="27" t="n">
        <v>42</v>
      </c>
      <c r="B28" s="18" t="n">
        <v>0.26218</v>
      </c>
      <c r="C28" s="18" t="n">
        <v>0.4823</v>
      </c>
    </row>
    <row r="29">
      <c r="A29" s="27" t="n">
        <v>40</v>
      </c>
      <c r="B29" s="18" t="n">
        <v>0.03876</v>
      </c>
      <c r="C29" s="18" t="n">
        <v>0.16472</v>
      </c>
    </row>
    <row r="30">
      <c r="A30" s="27" t="n">
        <v>38</v>
      </c>
      <c r="B30" s="18" t="n">
        <v>0.00724</v>
      </c>
      <c r="C30" s="18" t="n">
        <v>0.05186</v>
      </c>
    </row>
    <row r="31">
      <c r="A31" s="27" t="n">
        <v>36</v>
      </c>
      <c r="B31" s="18" t="n">
        <v>0.00156</v>
      </c>
      <c r="C31" s="18" t="n">
        <v>0.01692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DCF sensitivity — WACC × terminal growth (live formulas)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Fair value per share (SAR). Recomputes the full FCFF stream off the DCF sheet; the centre cell is the base case.</t>
        </is>
      </c>
    </row>
    <row r="5">
      <c r="A5" s="5" t="inlineStr">
        <is>
          <t>WACC \ terminal g</t>
        </is>
      </c>
      <c r="B5" s="36" t="n">
        <v>0.015</v>
      </c>
      <c r="C5" s="36" t="n">
        <v>0.02</v>
      </c>
      <c r="D5" s="36" t="n">
        <v>0.025</v>
      </c>
      <c r="E5" s="36" t="n">
        <v>0.03</v>
      </c>
      <c r="F5" s="36" t="n">
        <v>0.035</v>
      </c>
    </row>
    <row r="6">
      <c r="A6" s="18" t="n">
        <v>0.0658726738084353</v>
      </c>
      <c r="B6" s="27">
        <f>(SUMPRODUCT(DCF!$B$14:$F$14,1/(1+$A6)^{1,2,3,4,5})+DCF!$F$14*(1+B$5)/($A6-B$5)/(1+$A6)^5+Assumptions!$B$19+Assumptions!$B$20-Assumptions!$B$21-Assumptions!$B$22)/Assumptions!$B$6</f>
        <v/>
      </c>
      <c r="C6" s="27">
        <f>(SUMPRODUCT(DCF!$B$14:$F$14,1/(1+$A6)^{1,2,3,4,5})+DCF!$F$14*(1+C$5)/($A6-C$5)/(1+$A6)^5+Assumptions!$B$19+Assumptions!$B$20-Assumptions!$B$21-Assumptions!$B$22)/Assumptions!$B$6</f>
        <v/>
      </c>
      <c r="D6" s="27">
        <f>(SUMPRODUCT(DCF!$B$14:$F$14,1/(1+$A6)^{1,2,3,4,5})+DCF!$F$14*(1+D$5)/($A6-D$5)/(1+$A6)^5+Assumptions!$B$19+Assumptions!$B$20-Assumptions!$B$21-Assumptions!$B$22)/Assumptions!$B$6</f>
        <v/>
      </c>
      <c r="E6" s="27">
        <f>(SUMPRODUCT(DCF!$B$14:$F$14,1/(1+$A6)^{1,2,3,4,5})+DCF!$F$14*(1+E$5)/($A6-E$5)/(1+$A6)^5+Assumptions!$B$19+Assumptions!$B$20-Assumptions!$B$21-Assumptions!$B$22)/Assumptions!$B$6</f>
        <v/>
      </c>
      <c r="F6" s="27">
        <f>(SUMPRODUCT(DCF!$B$14:$F$14,1/(1+$A6)^{1,2,3,4,5})+DCF!$F$14*(1+F$5)/($A6-F$5)/(1+$A6)^5+Assumptions!$B$19+Assumptions!$B$20-Assumptions!$B$21-Assumptions!$B$22)/Assumptions!$B$6</f>
        <v/>
      </c>
    </row>
    <row r="7">
      <c r="A7" s="18" t="n">
        <v>0.07087267380843529</v>
      </c>
      <c r="B7" s="27">
        <f>(SUMPRODUCT(DCF!$B$14:$F$14,1/(1+$A7)^{1,2,3,4,5})+DCF!$F$14*(1+B$5)/($A7-B$5)/(1+$A7)^5+Assumptions!$B$19+Assumptions!$B$20-Assumptions!$B$21-Assumptions!$B$22)/Assumptions!$B$6</f>
        <v/>
      </c>
      <c r="C7" s="27">
        <f>(SUMPRODUCT(DCF!$B$14:$F$14,1/(1+$A7)^{1,2,3,4,5})+DCF!$F$14*(1+C$5)/($A7-C$5)/(1+$A7)^5+Assumptions!$B$19+Assumptions!$B$20-Assumptions!$B$21-Assumptions!$B$22)/Assumptions!$B$6</f>
        <v/>
      </c>
      <c r="D7" s="27">
        <f>(SUMPRODUCT(DCF!$B$14:$F$14,1/(1+$A7)^{1,2,3,4,5})+DCF!$F$14*(1+D$5)/($A7-D$5)/(1+$A7)^5+Assumptions!$B$19+Assumptions!$B$20-Assumptions!$B$21-Assumptions!$B$22)/Assumptions!$B$6</f>
        <v/>
      </c>
      <c r="E7" s="27">
        <f>(SUMPRODUCT(DCF!$B$14:$F$14,1/(1+$A7)^{1,2,3,4,5})+DCF!$F$14*(1+E$5)/($A7-E$5)/(1+$A7)^5+Assumptions!$B$19+Assumptions!$B$20-Assumptions!$B$21-Assumptions!$B$22)/Assumptions!$B$6</f>
        <v/>
      </c>
      <c r="F7" s="27">
        <f>(SUMPRODUCT(DCF!$B$14:$F$14,1/(1+$A7)^{1,2,3,4,5})+DCF!$F$14*(1+F$5)/($A7-F$5)/(1+$A7)^5+Assumptions!$B$19+Assumptions!$B$20-Assumptions!$B$21-Assumptions!$B$22)/Assumptions!$B$6</f>
        <v/>
      </c>
    </row>
    <row r="8">
      <c r="A8" s="37" t="n">
        <v>0.07587267380843529</v>
      </c>
      <c r="B8" s="27">
        <f>(SUMPRODUCT(DCF!$B$14:$F$14,1/(1+$A8)^{1,2,3,4,5})+DCF!$F$14*(1+B$5)/($A8-B$5)/(1+$A8)^5+Assumptions!$B$19+Assumptions!$B$20-Assumptions!$B$21-Assumptions!$B$22)/Assumptions!$B$6</f>
        <v/>
      </c>
      <c r="C8" s="27">
        <f>(SUMPRODUCT(DCF!$B$14:$F$14,1/(1+$A8)^{1,2,3,4,5})+DCF!$F$14*(1+C$5)/($A8-C$5)/(1+$A8)^5+Assumptions!$B$19+Assumptions!$B$20-Assumptions!$B$21-Assumptions!$B$22)/Assumptions!$B$6</f>
        <v/>
      </c>
      <c r="D8" s="27">
        <f>(SUMPRODUCT(DCF!$B$14:$F$14,1/(1+$A8)^{1,2,3,4,5})+DCF!$F$14*(1+D$5)/($A8-D$5)/(1+$A8)^5+Assumptions!$B$19+Assumptions!$B$20-Assumptions!$B$21-Assumptions!$B$22)/Assumptions!$B$6</f>
        <v/>
      </c>
      <c r="E8" s="27">
        <f>(SUMPRODUCT(DCF!$B$14:$F$14,1/(1+$A8)^{1,2,3,4,5})+DCF!$F$14*(1+E$5)/($A8-E$5)/(1+$A8)^5+Assumptions!$B$19+Assumptions!$B$20-Assumptions!$B$21-Assumptions!$B$22)/Assumptions!$B$6</f>
        <v/>
      </c>
      <c r="F8" s="27">
        <f>(SUMPRODUCT(DCF!$B$14:$F$14,1/(1+$A8)^{1,2,3,4,5})+DCF!$F$14*(1+F$5)/($A8-F$5)/(1+$A8)^5+Assumptions!$B$19+Assumptions!$B$20-Assumptions!$B$21-Assumptions!$B$22)/Assumptions!$B$6</f>
        <v/>
      </c>
    </row>
    <row r="9">
      <c r="A9" s="18" t="n">
        <v>0.0808726738084353</v>
      </c>
      <c r="B9" s="27">
        <f>(SUMPRODUCT(DCF!$B$14:$F$14,1/(1+$A9)^{1,2,3,4,5})+DCF!$F$14*(1+B$5)/($A9-B$5)/(1+$A9)^5+Assumptions!$B$19+Assumptions!$B$20-Assumptions!$B$21-Assumptions!$B$22)/Assumptions!$B$6</f>
        <v/>
      </c>
      <c r="C9" s="27">
        <f>(SUMPRODUCT(DCF!$B$14:$F$14,1/(1+$A9)^{1,2,3,4,5})+DCF!$F$14*(1+C$5)/($A9-C$5)/(1+$A9)^5+Assumptions!$B$19+Assumptions!$B$20-Assumptions!$B$21-Assumptions!$B$22)/Assumptions!$B$6</f>
        <v/>
      </c>
      <c r="D9" s="27">
        <f>(SUMPRODUCT(DCF!$B$14:$F$14,1/(1+$A9)^{1,2,3,4,5})+DCF!$F$14*(1+D$5)/($A9-D$5)/(1+$A9)^5+Assumptions!$B$19+Assumptions!$B$20-Assumptions!$B$21-Assumptions!$B$22)/Assumptions!$B$6</f>
        <v/>
      </c>
      <c r="E9" s="27">
        <f>(SUMPRODUCT(DCF!$B$14:$F$14,1/(1+$A9)^{1,2,3,4,5})+DCF!$F$14*(1+E$5)/($A9-E$5)/(1+$A9)^5+Assumptions!$B$19+Assumptions!$B$20-Assumptions!$B$21-Assumptions!$B$22)/Assumptions!$B$6</f>
        <v/>
      </c>
      <c r="F9" s="27">
        <f>(SUMPRODUCT(DCF!$B$14:$F$14,1/(1+$A9)^{1,2,3,4,5})+DCF!$F$14*(1+F$5)/($A9-F$5)/(1+$A9)^5+Assumptions!$B$19+Assumptions!$B$20-Assumptions!$B$21-Assumptions!$B$22)/Assumptions!$B$6</f>
        <v/>
      </c>
    </row>
    <row r="10">
      <c r="A10" s="18" t="n">
        <v>0.08587267380843529</v>
      </c>
      <c r="B10" s="27">
        <f>(SUMPRODUCT(DCF!$B$14:$F$14,1/(1+$A10)^{1,2,3,4,5})+DCF!$F$14*(1+B$5)/($A10-B$5)/(1+$A10)^5+Assumptions!$B$19+Assumptions!$B$20-Assumptions!$B$21-Assumptions!$B$22)/Assumptions!$B$6</f>
        <v/>
      </c>
      <c r="C10" s="27">
        <f>(SUMPRODUCT(DCF!$B$14:$F$14,1/(1+$A10)^{1,2,3,4,5})+DCF!$F$14*(1+C$5)/($A10-C$5)/(1+$A10)^5+Assumptions!$B$19+Assumptions!$B$20-Assumptions!$B$21-Assumptions!$B$22)/Assumptions!$B$6</f>
        <v/>
      </c>
      <c r="D10" s="27">
        <f>(SUMPRODUCT(DCF!$B$14:$F$14,1/(1+$A10)^{1,2,3,4,5})+DCF!$F$14*(1+D$5)/($A10-D$5)/(1+$A10)^5+Assumptions!$B$19+Assumptions!$B$20-Assumptions!$B$21-Assumptions!$B$22)/Assumptions!$B$6</f>
        <v/>
      </c>
      <c r="E10" s="27">
        <f>(SUMPRODUCT(DCF!$B$14:$F$14,1/(1+$A10)^{1,2,3,4,5})+DCF!$F$14*(1+E$5)/($A10-E$5)/(1+$A10)^5+Assumptions!$B$19+Assumptions!$B$20-Assumptions!$B$21-Assumptions!$B$22)/Assumptions!$B$6</f>
        <v/>
      </c>
      <c r="F10" s="27">
        <f>(SUMPRODUCT(DCF!$B$14:$F$14,1/(1+$A10)^{1,2,3,4,5})+DCF!$F$14*(1+F$5)/($A10-F$5)/(1+$A10)^5+Assumptions!$B$19+Assumptions!$B$20-Assumptions!$B$21-Assumptions!$B$22)/Assumptions!$B$6</f>
        <v/>
      </c>
    </row>
    <row r="12">
      <c r="A12" s="8" t="inlineStr">
        <is>
          <t>The WACC axis centres on the sourced bottom-up build (rf 5.5% + β 0.48 × ERP 5.01%, blended with after-tax Kd 4.5%); the CDS-ERP alternative WACC (7.90%) sits between rows 3 and 4. At β = 1.0 the WACC is 9.90% — off this grid deliberately: see the beta grid below.</t>
        </is>
      </c>
    </row>
    <row r="14">
      <c r="A14" s="5" t="inlineStr">
        <is>
          <t>Beta sensitivity (regressed β = 0.48 on a 9-week window — grid mandatory)</t>
        </is>
      </c>
    </row>
    <row r="15">
      <c r="A15" s="16" t="inlineStr">
        <is>
          <t>beta</t>
        </is>
      </c>
      <c r="B15" s="16" t="inlineStr">
        <is>
          <t>Ke (rating ERP)</t>
        </is>
      </c>
      <c r="C15" s="16" t="inlineStr">
        <is>
          <t>WACC</t>
        </is>
      </c>
      <c r="D15" s="16" t="inlineStr">
        <is>
          <t>DCF value/sh</t>
        </is>
      </c>
    </row>
    <row r="16">
      <c r="A16" s="7" t="n">
        <v>0.3</v>
      </c>
      <c r="B16" s="18">
        <f>Assumptions!$B$9+A16*Assumptions!$B$11</f>
        <v/>
      </c>
      <c r="C16" s="18">
        <f>(1-Assumptions!$B$15)*B16+Assumptions!$B$15*Assumptions!$B$14</f>
        <v/>
      </c>
      <c r="D16" s="27">
        <f>(SUMPRODUCT(DCF!$B$14:$F$14,1/(1+C16)^{1,2,3,4,5})+DCF!$F$14*(1+Assumptions!$B$17)/(C16-Assumptions!$B$17)/(1+C16)^5+Assumptions!$B$19+Assumptions!$B$20-Assumptions!$B$21-Assumptions!$B$22)/Assumptions!$B$6</f>
        <v/>
      </c>
    </row>
    <row r="17">
      <c r="A17" s="7" t="n">
        <v>0.48</v>
      </c>
      <c r="B17" s="18">
        <f>Assumptions!$B$9+A17*Assumptions!$B$11</f>
        <v/>
      </c>
      <c r="C17" s="18">
        <f>(1-Assumptions!$B$15)*B17+Assumptions!$B$15*Assumptions!$B$14</f>
        <v/>
      </c>
      <c r="D17" s="27">
        <f>(SUMPRODUCT(DCF!$B$14:$F$14,1/(1+C17)^{1,2,3,4,5})+DCF!$F$14*(1+Assumptions!$B$17)/(C17-Assumptions!$B$17)/(1+C17)^5+Assumptions!$B$19+Assumptions!$B$20-Assumptions!$B$21-Assumptions!$B$22)/Assumptions!$B$6</f>
        <v/>
      </c>
      <c r="E17" s="8" t="inlineStr">
        <is>
          <t>&lt;- regressed base</t>
        </is>
      </c>
    </row>
    <row r="18">
      <c r="A18" s="7" t="n">
        <v>0.7</v>
      </c>
      <c r="B18" s="18">
        <f>Assumptions!$B$9+A18*Assumptions!$B$11</f>
        <v/>
      </c>
      <c r="C18" s="18">
        <f>(1-Assumptions!$B$15)*B18+Assumptions!$B$15*Assumptions!$B$14</f>
        <v/>
      </c>
      <c r="D18" s="27">
        <f>(SUMPRODUCT(DCF!$B$14:$F$14,1/(1+C18)^{1,2,3,4,5})+DCF!$F$14*(1+Assumptions!$B$17)/(C18-Assumptions!$B$17)/(1+C18)^5+Assumptions!$B$19+Assumptions!$B$20-Assumptions!$B$21-Assumptions!$B$22)/Assumptions!$B$6</f>
        <v/>
      </c>
    </row>
    <row r="19">
      <c r="A19" s="7" t="n">
        <v>0.85</v>
      </c>
      <c r="B19" s="18">
        <f>Assumptions!$B$9+A19*Assumptions!$B$11</f>
        <v/>
      </c>
      <c r="C19" s="18">
        <f>(1-Assumptions!$B$15)*B19+Assumptions!$B$15*Assumptions!$B$14</f>
        <v/>
      </c>
      <c r="D19" s="27">
        <f>(SUMPRODUCT(DCF!$B$14:$F$14,1/(1+C19)^{1,2,3,4,5})+DCF!$F$14*(1+Assumptions!$B$17)/(C19-Assumptions!$B$17)/(1+C19)^5+Assumptions!$B$19+Assumptions!$B$20-Assumptions!$B$21-Assumptions!$B$22)/Assumptions!$B$6</f>
        <v/>
      </c>
    </row>
    <row r="20">
      <c r="A20" s="7" t="n">
        <v>1</v>
      </c>
      <c r="B20" s="18">
        <f>Assumptions!$B$9+A20*Assumptions!$B$11</f>
        <v/>
      </c>
      <c r="C20" s="18">
        <f>(1-Assumptions!$B$15)*B20+Assumptions!$B$15*Assumptions!$B$14</f>
        <v/>
      </c>
      <c r="D20" s="27">
        <f>(SUMPRODUCT(DCF!$B$14:$F$14,1/(1+C20)^{1,2,3,4,5})+DCF!$F$14*(1+Assumptions!$B$17)/(C20-Assumptions!$B$17)/(1+C20)^5+Assumptions!$B$19+Assumptions!$B$20-Assumptions!$B$21-Assumptions!$B$22)/Assumptions!$B$6</f>
        <v/>
      </c>
      <c r="E20" s="8" t="inlineStr">
        <is>
          <t>&lt;- house fallback had the regression failed</t>
        </is>
      </c>
    </row>
    <row r="21">
      <c r="A21" s="7" t="n">
        <v>1.2</v>
      </c>
      <c r="B21" s="18">
        <f>Assumptions!$B$9+A21*Assumptions!$B$11</f>
        <v/>
      </c>
      <c r="C21" s="18">
        <f>(1-Assumptions!$B$15)*B21+Assumptions!$B$15*Assumptions!$B$14</f>
        <v/>
      </c>
      <c r="D21" s="27">
        <f>(SUMPRODUCT(DCF!$B$14:$F$14,1/(1+C21)^{1,2,3,4,5})+DCF!$F$14*(1+Assumptions!$B$17)/(C21-Assumptions!$B$17)/(1+C21)^5+Assumptions!$B$19+Assumptions!$B$20-Assumptions!$B$21-Assumptions!$B$22)/Assumptions!$B$6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Per-share &amp; ratios — the standing dashboard (device A-5)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Links to statements / Assumptions.</t>
        </is>
      </c>
    </row>
    <row r="4">
      <c r="A4" s="5" t="inlineStr"/>
      <c r="B4" s="5" t="inlineStr">
        <is>
          <t>FY23</t>
        </is>
      </c>
      <c r="C4" s="5" t="inlineStr">
        <is>
          <t>FY24</t>
        </is>
      </c>
      <c r="D4" s="5" t="inlineStr">
        <is>
          <t>FY25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6">
      <c r="A6" s="17" t="inlineStr">
        <is>
          <t>EPS (SAR)</t>
        </is>
      </c>
      <c r="B6" s="27">
        <f>'Income Statement'!B19/Assumptions!$B$6</f>
        <v/>
      </c>
      <c r="C6" s="27">
        <f>'Income Statement'!C19/Assumptions!$B$6</f>
        <v/>
      </c>
      <c r="D6" s="27">
        <f>'Income Statement'!D19/Assumptions!$B$6</f>
        <v/>
      </c>
      <c r="E6" s="27">
        <f>'Income Statement'!E19/Assumptions!$B$6</f>
        <v/>
      </c>
      <c r="F6" s="27">
        <f>'Income Statement'!F19/Assumptions!$B$6</f>
        <v/>
      </c>
      <c r="G6" s="27">
        <f>'Income Statement'!G19/Assumptions!$B$6</f>
        <v/>
      </c>
      <c r="H6" s="27">
        <f>'Income Statement'!H19/Assumptions!$B$6</f>
        <v/>
      </c>
      <c r="I6" s="27">
        <f>'Income Statement'!I19/Assumptions!$B$6</f>
        <v/>
      </c>
    </row>
    <row r="7">
      <c r="A7" s="17" t="inlineStr">
        <is>
          <t>DPS declared (SAR)</t>
        </is>
      </c>
      <c r="B7" s="7" t="n">
        <v>1.6</v>
      </c>
      <c r="C7" s="7" t="n">
        <v>3.75</v>
      </c>
      <c r="D7" s="7" t="n">
        <v>2.2</v>
      </c>
      <c r="E7" s="30">
        <f>Assumptions!C24</f>
        <v/>
      </c>
      <c r="F7" s="30">
        <f>Assumptions!D24</f>
        <v/>
      </c>
      <c r="G7" s="30">
        <f>Assumptions!E24</f>
        <v/>
      </c>
      <c r="H7" s="30">
        <f>Assumptions!F24</f>
        <v/>
      </c>
      <c r="I7" s="30">
        <f>Assumptions!G24</f>
        <v/>
      </c>
    </row>
    <row r="8">
      <c r="A8" s="17" t="inlineStr">
        <is>
          <t>Book value / share (SAR)</t>
        </is>
      </c>
      <c r="B8" s="27">
        <f>'Balance Sheet'!B14/Assumptions!$B$6</f>
        <v/>
      </c>
      <c r="C8" s="27">
        <f>'Balance Sheet'!C14/Assumptions!$B$6</f>
        <v/>
      </c>
      <c r="D8" s="27">
        <f>'Balance Sheet'!D14/Assumptions!$B$6</f>
        <v/>
      </c>
      <c r="E8" s="27">
        <f>'Balance Sheet'!E14/Assumptions!$B$6</f>
        <v/>
      </c>
      <c r="F8" s="27">
        <f>'Balance Sheet'!F14/Assumptions!$B$6</f>
        <v/>
      </c>
      <c r="G8" s="27">
        <f>'Balance Sheet'!G14/Assumptions!$B$6</f>
        <v/>
      </c>
      <c r="H8" s="27">
        <f>'Balance Sheet'!H14/Assumptions!$B$6</f>
        <v/>
      </c>
      <c r="I8" s="27">
        <f>'Balance Sheet'!I14/Assumptions!$B$6</f>
        <v/>
      </c>
    </row>
    <row r="9">
      <c r="A9" s="17" t="inlineStr">
        <is>
          <t>P/E at spot (×)</t>
        </is>
      </c>
      <c r="B9" s="34">
        <f>Assumptions!$B$5/('Income Statement'!B19/Assumptions!$B$6)</f>
        <v/>
      </c>
      <c r="C9" s="34">
        <f>Assumptions!$B$5/('Income Statement'!C19/Assumptions!$B$6)</f>
        <v/>
      </c>
      <c r="D9" s="34">
        <f>Assumptions!$B$5/('Income Statement'!D19/Assumptions!$B$6)</f>
        <v/>
      </c>
      <c r="E9" s="34">
        <f>Assumptions!$B$5/('Income Statement'!E19/Assumptions!$B$6)</f>
        <v/>
      </c>
      <c r="F9" s="34">
        <f>Assumptions!$B$5/('Income Statement'!F19/Assumptions!$B$6)</f>
        <v/>
      </c>
      <c r="G9" s="34">
        <f>Assumptions!$B$5/('Income Statement'!G19/Assumptions!$B$6)</f>
        <v/>
      </c>
      <c r="H9" s="34">
        <f>Assumptions!$B$5/('Income Statement'!H19/Assumptions!$B$6)</f>
        <v/>
      </c>
      <c r="I9" s="34">
        <f>Assumptions!$B$5/('Income Statement'!I19/Assumptions!$B$6)</f>
        <v/>
      </c>
    </row>
    <row r="10">
      <c r="A10" s="17" t="inlineStr">
        <is>
          <t>P/B at spot (×)</t>
        </is>
      </c>
      <c r="B10" s="34">
        <f>Assumptions!$B$5/('Balance Sheet'!B14/Assumptions!$B$6)</f>
        <v/>
      </c>
      <c r="C10" s="34">
        <f>Assumptions!$B$5/('Balance Sheet'!C14/Assumptions!$B$6)</f>
        <v/>
      </c>
      <c r="D10" s="34">
        <f>Assumptions!$B$5/('Balance Sheet'!D14/Assumptions!$B$6)</f>
        <v/>
      </c>
      <c r="E10" s="34">
        <f>Assumptions!$B$5/('Balance Sheet'!E14/Assumptions!$B$6)</f>
        <v/>
      </c>
      <c r="F10" s="34">
        <f>Assumptions!$B$5/('Balance Sheet'!F14/Assumptions!$B$6)</f>
        <v/>
      </c>
      <c r="G10" s="34">
        <f>Assumptions!$B$5/('Balance Sheet'!G14/Assumptions!$B$6)</f>
        <v/>
      </c>
      <c r="H10" s="34">
        <f>Assumptions!$B$5/('Balance Sheet'!H14/Assumptions!$B$6)</f>
        <v/>
      </c>
      <c r="I10" s="34">
        <f>Assumptions!$B$5/('Balance Sheet'!I14/Assumptions!$B$6)</f>
        <v/>
      </c>
    </row>
    <row r="11">
      <c r="A11" s="17" t="inlineStr">
        <is>
          <t>Dividend yield at spot (declared)</t>
        </is>
      </c>
      <c r="B11" s="18">
        <f>B7/Assumptions!$B$5</f>
        <v/>
      </c>
      <c r="C11" s="18">
        <f>C7/Assumptions!$B$5</f>
        <v/>
      </c>
      <c r="D11" s="18">
        <f>D7/Assumptions!$B$5</f>
        <v/>
      </c>
      <c r="E11" s="18">
        <f>E7/Assumptions!$B$5</f>
        <v/>
      </c>
      <c r="F11" s="18">
        <f>F7/Assumptions!$B$5</f>
        <v/>
      </c>
      <c r="G11" s="18">
        <f>G7/Assumptions!$B$5</f>
        <v/>
      </c>
      <c r="H11" s="18">
        <f>H7/Assumptions!$B$5</f>
        <v/>
      </c>
      <c r="I11" s="18">
        <f>I7/Assumptions!$B$5</f>
        <v/>
      </c>
    </row>
    <row r="12">
      <c r="A12" s="17" t="inlineStr">
        <is>
          <t>Payout (of attributable NP)</t>
        </is>
      </c>
      <c r="B12" s="18">
        <f>B7*Assumptions!$B$6/'Income Statement'!B19</f>
        <v/>
      </c>
      <c r="C12" s="18">
        <f>C7*Assumptions!$B$6/'Income Statement'!C19</f>
        <v/>
      </c>
      <c r="D12" s="18">
        <f>D7*Assumptions!$B$6/'Income Statement'!D19</f>
        <v/>
      </c>
      <c r="E12" s="18">
        <f>E7*Assumptions!$B$6/'Income Statement'!E19</f>
        <v/>
      </c>
      <c r="F12" s="18">
        <f>F7*Assumptions!$B$6/'Income Statement'!F19</f>
        <v/>
      </c>
      <c r="G12" s="18">
        <f>G7*Assumptions!$B$6/'Income Statement'!G19</f>
        <v/>
      </c>
      <c r="H12" s="18">
        <f>H7*Assumptions!$B$6/'Income Statement'!H19</f>
        <v/>
      </c>
      <c r="I12" s="18">
        <f>I7*Assumptions!$B$6/'Income Statement'!I19</f>
        <v/>
      </c>
    </row>
    <row r="13">
      <c r="A13" s="17" t="inlineStr">
        <is>
          <t>EBITDA margin</t>
        </is>
      </c>
      <c r="B13" s="18">
        <f>'Income Statement'!B9/'Income Statement'!B6</f>
        <v/>
      </c>
      <c r="C13" s="18">
        <f>'Income Statement'!C9/'Income Statement'!C6</f>
        <v/>
      </c>
      <c r="D13" s="18">
        <f>'Income Statement'!D9/'Income Statement'!D6</f>
        <v/>
      </c>
      <c r="E13" s="18">
        <f>'Income Statement'!E9/'Income Statement'!E6</f>
        <v/>
      </c>
      <c r="F13" s="18">
        <f>'Income Statement'!F9/'Income Statement'!F6</f>
        <v/>
      </c>
      <c r="G13" s="18">
        <f>'Income Statement'!G9/'Income Statement'!G6</f>
        <v/>
      </c>
      <c r="H13" s="18">
        <f>'Income Statement'!H9/'Income Statement'!H6</f>
        <v/>
      </c>
      <c r="I13" s="18">
        <f>'Income Statement'!I9/'Income Statement'!I6</f>
        <v/>
      </c>
    </row>
    <row r="14">
      <c r="A14" s="17" t="inlineStr">
        <is>
          <t>Net margin</t>
        </is>
      </c>
      <c r="B14" s="18">
        <f>'Income Statement'!B19/'Income Statement'!B6</f>
        <v/>
      </c>
      <c r="C14" s="18">
        <f>'Income Statement'!C19/'Income Statement'!C6</f>
        <v/>
      </c>
      <c r="D14" s="18">
        <f>'Income Statement'!D19/'Income Statement'!D6</f>
        <v/>
      </c>
      <c r="E14" s="18">
        <f>'Income Statement'!E19/'Income Statement'!E6</f>
        <v/>
      </c>
      <c r="F14" s="18">
        <f>'Income Statement'!F19/'Income Statement'!F6</f>
        <v/>
      </c>
      <c r="G14" s="18">
        <f>'Income Statement'!G19/'Income Statement'!G6</f>
        <v/>
      </c>
      <c r="H14" s="18">
        <f>'Income Statement'!H19/'Income Statement'!H6</f>
        <v/>
      </c>
      <c r="I14" s="18">
        <f>'Income Statement'!I19/'Income Statement'!I6</f>
        <v/>
      </c>
    </row>
    <row r="15">
      <c r="A15" s="17" t="inlineStr">
        <is>
          <t>ROAE (attributable)</t>
        </is>
      </c>
      <c r="B15" s="18">
        <f>'Income Statement'!B19/'Balance Sheet'!B14</f>
        <v/>
      </c>
      <c r="C15" s="18">
        <f>'Income Statement'!C19/'Balance Sheet'!C14</f>
        <v/>
      </c>
      <c r="D15" s="18">
        <f>'Income Statement'!D19/'Balance Sheet'!D14</f>
        <v/>
      </c>
      <c r="E15" s="18">
        <f>'Income Statement'!E19/'Balance Sheet'!E14</f>
        <v/>
      </c>
      <c r="F15" s="18">
        <f>'Income Statement'!F19/'Balance Sheet'!F14</f>
        <v/>
      </c>
      <c r="G15" s="18">
        <f>'Income Statement'!G19/'Balance Sheet'!G14</f>
        <v/>
      </c>
      <c r="H15" s="18">
        <f>'Income Statement'!H19/'Balance Sheet'!H14</f>
        <v/>
      </c>
      <c r="I15" s="18">
        <f>'Income Statement'!I19/'Balance Sheet'!I14</f>
        <v/>
      </c>
    </row>
    <row r="16">
      <c r="A16" s="17" t="inlineStr">
        <is>
          <t>Net debt (IR) / EBITDA (×)</t>
        </is>
      </c>
      <c r="B16" s="34">
        <f>'Balance Sheet'!B24/'Income Statement'!B9</f>
        <v/>
      </c>
      <c r="C16" s="34">
        <f>'Balance Sheet'!C24/'Income Statement'!C9</f>
        <v/>
      </c>
      <c r="D16" s="34">
        <f>'Balance Sheet'!D24/'Income Statement'!D9</f>
        <v/>
      </c>
      <c r="E16" s="34">
        <f>'Balance Sheet'!E24/'Income Statement'!E9</f>
        <v/>
      </c>
      <c r="F16" s="34">
        <f>'Balance Sheet'!F24/'Income Statement'!F9</f>
        <v/>
      </c>
      <c r="G16" s="34">
        <f>'Balance Sheet'!G24/'Income Statement'!G9</f>
        <v/>
      </c>
      <c r="H16" s="34">
        <f>'Balance Sheet'!H24/'Income Statement'!H9</f>
        <v/>
      </c>
      <c r="I16" s="34">
        <f>'Balance Sheet'!I24/'Income Statement'!I9</f>
        <v/>
      </c>
    </row>
    <row r="17">
      <c r="A17" s="17" t="inlineStr">
        <is>
          <t>Capex intensity (% of revenue)</t>
        </is>
      </c>
      <c r="B17" s="10" t="n">
        <v>0.136</v>
      </c>
      <c r="C17" s="10" t="n">
        <v>0.157</v>
      </c>
      <c r="D17" s="10" t="n">
        <v>0.152</v>
      </c>
      <c r="E17" s="18">
        <f>-'Cash Flow'!E11/'Income Statement'!E6</f>
        <v/>
      </c>
      <c r="F17" s="18">
        <f>-'Cash Flow'!F11/'Income Statement'!F6</f>
        <v/>
      </c>
      <c r="G17" s="18">
        <f>-'Cash Flow'!G11/'Income Statement'!G6</f>
        <v/>
      </c>
      <c r="H17" s="18">
        <f>-'Cash Flow'!H11/'Income Statement'!H6</f>
        <v/>
      </c>
      <c r="I17" s="18">
        <f>-'Cash Flow'!I11/'Income Statement'!I6</f>
        <v/>
      </c>
    </row>
    <row r="18">
      <c r="A18" s="17" t="inlineStr">
        <is>
          <t>FCF yield at spot (forecast)</t>
        </is>
      </c>
      <c r="E18" s="18">
        <f>'Cash Flow'!E12/(Assumptions!$B$5*Assumptions!$B$6)</f>
        <v/>
      </c>
      <c r="F18" s="18">
        <f>'Cash Flow'!F12/(Assumptions!$B$5*Assumptions!$B$6)</f>
        <v/>
      </c>
      <c r="G18" s="18">
        <f>'Cash Flow'!G12/(Assumptions!$B$5*Assumptions!$B$6)</f>
        <v/>
      </c>
      <c r="H18" s="18">
        <f>'Cash Flow'!H12/(Assumptions!$B$5*Assumptions!$B$6)</f>
        <v/>
      </c>
      <c r="I18" s="18">
        <f>'Cash Flow'!I12/(Assumptions!$B$5*Assumptions!$B$6)</f>
        <v/>
      </c>
    </row>
    <row r="19">
      <c r="A19" s="17" t="inlineStr">
        <is>
          <t>Revenue YoY</t>
        </is>
      </c>
      <c r="C19" s="18">
        <f>'Income Statement'!C6/'Income Statement'!B6-1</f>
        <v/>
      </c>
      <c r="D19" s="18">
        <f>'Income Statement'!D6/'Income Statement'!C6-1</f>
        <v/>
      </c>
      <c r="E19" s="18">
        <f>'Income Statement'!E6/'Income Statement'!D6-1</f>
        <v/>
      </c>
      <c r="F19" s="18">
        <f>'Income Statement'!F6/'Income Statement'!E6-1</f>
        <v/>
      </c>
      <c r="G19" s="18">
        <f>'Income Statement'!G6/'Income Statement'!F6-1</f>
        <v/>
      </c>
      <c r="H19" s="18">
        <f>'Income Statement'!H6/'Income Statement'!G6-1</f>
        <v/>
      </c>
      <c r="I19" s="18">
        <f>'Income Statement'!I6/'Income Statement'!H6-1</f>
        <v/>
      </c>
    </row>
    <row r="20">
      <c r="A20" s="17" t="inlineStr">
        <is>
          <t>EPS YoY</t>
        </is>
      </c>
      <c r="C20" s="18">
        <f>('Income Statement'!C19/'Income Statement'!B19)-1</f>
        <v/>
      </c>
      <c r="D20" s="18">
        <f>('Income Statement'!D19/'Income Statement'!C19)-1</f>
        <v/>
      </c>
      <c r="E20" s="18">
        <f>('Income Statement'!E19/'Income Statement'!D19)-1</f>
        <v/>
      </c>
      <c r="F20" s="18">
        <f>('Income Statement'!F19/'Income Statement'!E19)-1</f>
        <v/>
      </c>
      <c r="G20" s="18">
        <f>('Income Statement'!G19/'Income Statement'!F19)-1</f>
        <v/>
      </c>
      <c r="H20" s="18">
        <f>('Income Statement'!H19/'Income Statement'!G19)-1</f>
        <v/>
      </c>
      <c r="I20" s="18">
        <f>('Income Statement'!I19/'Income Statement'!H19)-1</f>
        <v/>
      </c>
    </row>
    <row r="22">
      <c r="A22" s="8" t="inlineStr">
        <is>
          <t>FY24 EPS/DPS carry the TAWAL disposal gain and the SAR 2.00 special dividend — the payout row prints &gt;100% on the cash-paid framing (141% LTM per stc). Declared-regular vs cash-paid framings both stated (house rule).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46" customWidth="1" min="6" max="6"/>
    <col width="12" customWidth="1" min="7" max="7"/>
  </cols>
  <sheetData>
    <row r="1">
      <c r="A1" s="1" t="inlineStr">
        <is>
          <t>Peer set &amp; sector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GCC/regional telecoms; multiples approximate, as-of dates flagged (context, not model inputs).</t>
        </is>
      </c>
    </row>
    <row r="5">
      <c r="A5" s="5" t="inlineStr">
        <is>
          <t>Name</t>
        </is>
      </c>
      <c r="B5" s="5" t="inlineStr">
        <is>
          <t>Mkt</t>
        </is>
      </c>
      <c r="C5" s="5" t="inlineStr">
        <is>
          <t>P/E (t)</t>
        </is>
      </c>
      <c r="D5" s="5" t="inlineStr">
        <is>
          <t>EV/EBITDA</t>
        </is>
      </c>
      <c r="E5" s="5" t="inlineStr">
        <is>
          <t>Div yield</t>
        </is>
      </c>
      <c r="F5" s="5" t="inlineStr">
        <is>
          <t>Note</t>
        </is>
      </c>
    </row>
    <row r="6">
      <c r="A6" s="6" t="inlineStr">
        <is>
          <t>stc (7010)</t>
        </is>
      </c>
      <c r="B6" s="6" t="inlineStr">
        <is>
          <t>KSA</t>
        </is>
      </c>
      <c r="C6" s="6" t="inlineStr">
        <is>
          <t>14.7×</t>
        </is>
      </c>
      <c r="D6" s="6" t="inlineStr">
        <is>
          <t>9.5×</t>
        </is>
      </c>
      <c r="E6" s="6" t="inlineStr">
        <is>
          <t>5.0% (9.6% incl. special)</t>
        </is>
      </c>
      <c r="F6" s="6" t="inlineStr">
        <is>
          <t>Incumbent; ~57% mobile share; net debt ~0</t>
        </is>
      </c>
    </row>
    <row r="7">
      <c r="A7" s="6" t="inlineStr">
        <is>
          <t>Mobily (7020)</t>
        </is>
      </c>
      <c r="B7" s="6" t="inlineStr">
        <is>
          <t>KSA</t>
        </is>
      </c>
      <c r="C7" s="6" t="inlineStr">
        <is>
          <t>13.5×</t>
        </is>
      </c>
      <c r="D7" s="6" t="inlineStr">
        <is>
          <t>~7.4×</t>
        </is>
      </c>
      <c r="E7" s="6" t="inlineStr">
        <is>
          <t>4.5%</t>
        </is>
      </c>
      <c r="F7" s="6" t="inlineStr">
        <is>
          <t>No.2; e&amp; anchor shareholder; fastest sub growth</t>
        </is>
      </c>
    </row>
    <row r="8">
      <c r="A8" s="6" t="inlineStr">
        <is>
          <t>Zain KSA (7030)</t>
        </is>
      </c>
      <c r="B8" s="6" t="inlineStr">
        <is>
          <t>KSA</t>
        </is>
      </c>
      <c r="C8" s="6" t="inlineStr">
        <is>
          <t>12.8×</t>
        </is>
      </c>
      <c r="D8" s="6" t="inlineStr">
        <is>
          <t>n/a</t>
        </is>
      </c>
      <c r="E8" s="6" t="inlineStr">
        <is>
          <t>4.9%</t>
        </is>
      </c>
      <c r="F8" s="6" t="inlineStr">
        <is>
          <t>No.3; tower-light; higher leverage</t>
        </is>
      </c>
    </row>
    <row r="9">
      <c r="A9" s="6" t="inlineStr">
        <is>
          <t>e&amp; (EAND)</t>
        </is>
      </c>
      <c r="B9" s="6" t="inlineStr">
        <is>
          <t>UAE</t>
        </is>
      </c>
      <c r="C9" s="6" t="inlineStr">
        <is>
          <t>13.2×</t>
        </is>
      </c>
      <c r="D9" s="6" t="inlineStr">
        <is>
          <t>n/a</t>
        </is>
      </c>
      <c r="E9" s="6" t="inlineStr">
        <is>
          <t>5.1%</t>
        </is>
      </c>
      <c r="F9" s="6" t="inlineStr">
        <is>
          <t>UAE incumbent + international portfolio</t>
        </is>
      </c>
    </row>
    <row r="10">
      <c r="A10" s="6" t="inlineStr">
        <is>
          <t>Ooredoo (ORDS)</t>
        </is>
      </c>
      <c r="B10" s="6" t="inlineStr">
        <is>
          <t>Qatar</t>
        </is>
      </c>
      <c r="C10" s="6" t="inlineStr">
        <is>
          <t>10.7×</t>
        </is>
      </c>
      <c r="D10" s="6" t="inlineStr">
        <is>
          <t>n/a</t>
        </is>
      </c>
      <c r="E10" s="6" t="inlineStr">
        <is>
          <t>5.7%</t>
        </is>
      </c>
      <c r="F10" s="6" t="inlineStr">
        <is>
          <t>Multi-market; data-centre pivot</t>
        </is>
      </c>
    </row>
    <row r="11">
      <c r="A11" s="6" t="inlineStr">
        <is>
          <t>du (DU)</t>
        </is>
      </c>
      <c r="B11" s="6" t="inlineStr">
        <is>
          <t>UAE</t>
        </is>
      </c>
      <c r="C11" s="6" t="inlineStr">
        <is>
          <t>17.6×</t>
        </is>
      </c>
      <c r="D11" s="6" t="inlineStr">
        <is>
          <t>n/a</t>
        </is>
      </c>
      <c r="E11" s="6" t="inlineStr">
        <is>
          <t>5.5%</t>
        </is>
      </c>
      <c r="F11" s="6" t="inlineStr">
        <is>
          <t>No.2 UAE; hyperscale DC momentum</t>
        </is>
      </c>
    </row>
    <row r="12">
      <c r="A12" s="6" t="inlineStr">
        <is>
          <t>Omantel / Beyon / ETEL</t>
        </is>
      </c>
      <c r="B12" s="6" t="inlineStr">
        <is>
          <t>Oman/Bah/Egy</t>
        </is>
      </c>
      <c r="C12" s="6" t="inlineStr">
        <is>
          <t>11.5× / 11.1× / 8.8×</t>
        </is>
      </c>
      <c r="D12" s="6" t="inlineStr">
        <is>
          <t>n/a</t>
        </is>
      </c>
      <c r="E12" s="6" t="inlineStr">
        <is>
          <t>3.9% / 7.1% / 1.5%</t>
        </is>
      </c>
      <c r="F12" s="6" t="inlineStr">
        <is>
          <t>Regional context</t>
        </is>
      </c>
    </row>
    <row r="14">
      <c r="A14" s="8" t="inlineStr">
        <is>
          <t>Sector: KSA mobile ≈ 57/27/16 stc/Mobily/Zain; Nov-2024 CST spectrum auction (stc: 600MHz + 3.8GHz); 10,800+ stc 5G sites, 63% populated coverage; FTTH 3.75mn; FWA one of the highest-adoption markets globally; center3–HUMAIN 1GW AI-DC ambition; SilkLink Syria fibre corridor (SAR 3bn, Feb-2026). Peer P/E band 10.7–17.6×; stc premium tracks its share, balance sheet and yield.</t>
        </is>
      </c>
    </row>
    <row r="15">
      <c r="A15" s="8" t="inlineStr">
        <is>
          <t>Analyst context (not a model input): 17 analysts, 8 Buy / 9 Hold, average 12m TP SAR 47.9 (41.1–55.0), Jul-2026.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2026-07-09T21:43:42Z</dcterms:created>
  <dcterms:modified xmlns:dcterms="http://purl.org/dc/terms/" xmlns:xsi="http://www.w3.org/2001/XMLSchema-instance" xsi:type="dcterms:W3CDTF">2026-07-09T21:43:42Z</dcterms:modified>
</cp:coreProperties>
</file>