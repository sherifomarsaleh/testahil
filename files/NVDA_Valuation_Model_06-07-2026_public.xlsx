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DCF (Primary)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 Scenarios &amp; ROIC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;\-"/>
    <numFmt numFmtId="166" formatCode="0.0&quot;x&quot;"/>
  </numFmts>
  <fonts count="9">
    <font>
      <name val="Calibri"/>
      <family val="2"/>
      <color theme="1"/>
      <sz val="11"/>
      <scheme val="minor"/>
    </font>
    <font>
      <name val="Arial"/>
      <b val="1"/>
      <color rgb="001C3A36"/>
      <sz val="14"/>
    </font>
    <font>
      <name val="Arial"/>
      <i val="1"/>
      <color rgb="00555555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000000"/>
      <sz val="10"/>
    </font>
    <font>
      <name val="Arial"/>
      <b val="1"/>
      <color rgb="001C3A36"/>
      <sz val="10"/>
    </font>
  </fonts>
  <fills count="4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EA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4" fontId="5" fillId="0" borderId="0" applyAlignment="1" pivotButton="0" quotePrefix="0" xfId="0">
      <alignment horizontal="right"/>
    </xf>
    <xf numFmtId="4" fontId="6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7" fillId="0" borderId="0" pivotButton="0" quotePrefix="0" xfId="0"/>
    <xf numFmtId="4" fontId="7" fillId="0" borderId="0" applyAlignment="1" pivotButton="0" quotePrefix="0" xfId="0">
      <alignment horizontal="right"/>
    </xf>
    <xf numFmtId="0" fontId="8" fillId="3" borderId="0" pivotButton="0" quotePrefix="0" xfId="0"/>
    <xf numFmtId="165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2" fontId="3" fillId="0" borderId="0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4" fontId="3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64" fontId="4" fillId="2" borderId="0" applyAlignment="1" pivotButton="0" quotePrefix="0" xfId="0">
      <alignment horizontal="center"/>
    </xf>
    <xf numFmtId="166" fontId="6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Testahil — NVIDIA Corporation (NASDAQ: NVDA)</t>
        </is>
      </c>
    </row>
    <row r="2">
      <c r="A2" s="2" t="inlineStr">
        <is>
          <t>Companion model · Independent Valuation Study · Educational analysis · Not investment advice</t>
        </is>
      </c>
    </row>
    <row r="5">
      <c r="A5" s="3" t="inlineStr">
        <is>
          <t>What this workbook is. A transparent companion to the NVDA valuation study. Every blue cell is an input; every</t>
        </is>
      </c>
    </row>
    <row r="6">
      <c r="A6" s="3" t="inlineStr">
        <is>
          <t>black cell is a formula; green cells link across sheets. All inputs live on the Assumptions sheet — change one</t>
        </is>
      </c>
    </row>
    <row r="7">
      <c r="A7" s="3" t="inlineStr">
        <is>
          <t>(a growth rate, the WACC, a multiple) and the whole model reprices.</t>
        </is>
      </c>
    </row>
    <row r="9">
      <c r="A9" s="3" t="inlineStr">
        <is>
          <t>What it is not. It is not investment advice, a recommendation, or a price target. Values are model outputs shown</t>
        </is>
      </c>
    </row>
    <row r="10">
      <c r="A10" s="3" t="inlineStr">
        <is>
          <t>as ranges. The preparer is not licensed by any securities regulator and may hold a position in the security.</t>
        </is>
      </c>
    </row>
    <row r="12">
      <c r="A12" s="3" t="inlineStr">
        <is>
          <t>Primary lens. NVDA is valued on a discounted-cash-flow basis (DCF), cross-checked with forward relative multiples,</t>
        </is>
      </c>
    </row>
    <row r="13">
      <c r="A13" s="3" t="inlineStr">
        <is>
          <t>a forward-earnings-power read, and a reverse-DCF. Data Center is ~90% of revenue and is the whole thesis.</t>
        </is>
      </c>
    </row>
    <row r="15">
      <c r="A15" s="3" t="inlineStr">
        <is>
          <t>Currency &amp; fiscal year. US$ millions unless stated; fiscal year ends late January (FY26 ended 25 Jan 2026).</t>
        </is>
      </c>
    </row>
    <row r="16">
      <c r="A16" s="3" t="inlineStr">
        <is>
          <t>Spot $196.44 (6 Jul 2026). ~24.3bn diluted shares → market cap ~$4.77tn. Net cash ~$54bn; strategic equity ~$22bn.</t>
        </is>
      </c>
    </row>
    <row r="17">
      <c r="A17" s="3" t="inlineStr">
        <is>
          <t>Historicals are company disclosure (FY26 10-K, 25 Feb 2026); some balance-sheet lines plug to disclosed totals.</t>
        </is>
      </c>
    </row>
    <row r="19">
      <c r="A19" s="3" t="inlineStr">
        <is>
          <t>Sheets: Summary · Fundamental Valuation · Assumptions · DCF (Primary) · Segments · Relative &amp; Normalized ·</t>
        </is>
      </c>
    </row>
    <row r="20">
      <c r="A20" s="3" t="inlineStr">
        <is>
          <t>DCF Scenarios &amp; ROIC · Income Statement · Balance Sheet · Cash Flow · Summary Financials · Monte Carlo ·</t>
        </is>
      </c>
    </row>
    <row r="21">
      <c r="A21" s="3" t="inlineStr">
        <is>
          <t>Sensitivity · Per-Share &amp; Ratios · Peer &amp; Sector.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Valuation summary — NVIDIA Corporation (NASDAQ: NVDA)</t>
        </is>
      </c>
    </row>
    <row r="2">
      <c r="A2" s="2" t="inlineStr">
        <is>
          <t>Three-lens fair value vs spot. Base links live; bear/bull are scenario outputs (see study §1.5).</t>
        </is>
      </c>
    </row>
    <row r="3">
      <c r="B3" s="4" t="inlineStr">
        <is>
          <t>Bear</t>
        </is>
      </c>
      <c r="C3" s="4" t="inlineStr">
        <is>
          <t>Base</t>
        </is>
      </c>
      <c r="D3" s="4" t="inlineStr">
        <is>
          <t>Bull</t>
        </is>
      </c>
      <c r="E3" s="4" t="inlineStr">
        <is>
          <t>Weight</t>
        </is>
      </c>
    </row>
    <row r="4">
      <c r="A4" s="3" t="inlineStr">
        <is>
          <t>DCF (primary)</t>
        </is>
      </c>
      <c r="B4" s="5" t="n">
        <v>146</v>
      </c>
      <c r="C4" s="6">
        <f>'DCF (Primary)'!B21</f>
        <v/>
      </c>
      <c r="D4" s="5" t="n">
        <v>291</v>
      </c>
      <c r="E4" s="7">
        <f>Assumptions!$B$40</f>
        <v/>
      </c>
    </row>
    <row r="5">
      <c r="A5" s="3" t="inlineStr">
        <is>
          <t>Relative multiples</t>
        </is>
      </c>
      <c r="B5" s="5" t="n">
        <v>129</v>
      </c>
      <c r="C5" s="6">
        <f>'Relative &amp; Normalized'!C4</f>
        <v/>
      </c>
      <c r="D5" s="5" t="n">
        <v>256</v>
      </c>
      <c r="E5" s="7">
        <f>Assumptions!$B$41</f>
        <v/>
      </c>
    </row>
    <row r="6">
      <c r="A6" s="3" t="inlineStr">
        <is>
          <t>Forward earnings</t>
        </is>
      </c>
      <c r="B6" s="5" t="n">
        <v>164</v>
      </c>
      <c r="C6" s="6">
        <f>'Relative &amp; Normalized'!C7</f>
        <v/>
      </c>
      <c r="D6" s="5" t="n">
        <v>306</v>
      </c>
      <c r="E6" s="7">
        <f>Assumptions!$B$42</f>
        <v/>
      </c>
    </row>
    <row r="7">
      <c r="A7" s="8" t="inlineStr">
        <is>
          <t>Weighted central</t>
        </is>
      </c>
      <c r="B7" s="9">
        <f>SUMPRODUCT(B4:B6,E4:E6)</f>
        <v/>
      </c>
      <c r="C7" s="9">
        <f>SUMPRODUCT(C4:C6,E4:E6)</f>
        <v/>
      </c>
      <c r="D7" s="9">
        <f>SUMPRODUCT(D4:D6,E4:E6)</f>
        <v/>
      </c>
    </row>
    <row r="9">
      <c r="A9" s="3" t="inlineStr">
        <is>
          <t>Spot price ($)</t>
        </is>
      </c>
      <c r="C9" s="6">
        <f>Assumptions!$B$4</f>
        <v/>
      </c>
    </row>
    <row r="10">
      <c r="A10" s="3" t="inlineStr">
        <is>
          <t>Upside to central base</t>
        </is>
      </c>
      <c r="C10" s="7">
        <f>C7/C9-1</f>
        <v/>
      </c>
    </row>
    <row r="12">
      <c r="A12" s="2" t="inlineStr">
        <is>
          <t>Read: roughly fairly valued; the swing factor is the durability of the AI data-center compute cycle.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Fundamental valuation — football-field data</t>
        </is>
      </c>
    </row>
    <row r="2">
      <c r="A2" s="2" t="inlineStr">
        <is>
          <t>Bear/base/bull per lens (links to Summary).</t>
        </is>
      </c>
    </row>
    <row r="3">
      <c r="A3" s="4" t="inlineStr">
        <is>
          <t>Lens</t>
        </is>
      </c>
      <c r="B3" s="4" t="inlineStr">
        <is>
          <t>Bear</t>
        </is>
      </c>
      <c r="C3" s="4" t="inlineStr">
        <is>
          <t>Base</t>
        </is>
      </c>
      <c r="D3" s="4" t="inlineStr">
        <is>
          <t>Bull</t>
        </is>
      </c>
    </row>
    <row r="4">
      <c r="A4" s="3" t="inlineStr">
        <is>
          <t>DCF (primary)</t>
        </is>
      </c>
      <c r="B4" s="6">
        <f>Summary!B4</f>
        <v/>
      </c>
      <c r="C4" s="6">
        <f>Summary!C4</f>
        <v/>
      </c>
      <c r="D4" s="6">
        <f>Summary!D4</f>
        <v/>
      </c>
    </row>
    <row r="5">
      <c r="A5" s="3" t="inlineStr">
        <is>
          <t>Relative multiples</t>
        </is>
      </c>
      <c r="B5" s="6">
        <f>Summary!B5</f>
        <v/>
      </c>
      <c r="C5" s="6">
        <f>Summary!C5</f>
        <v/>
      </c>
      <c r="D5" s="6">
        <f>Summary!D5</f>
        <v/>
      </c>
    </row>
    <row r="6">
      <c r="A6" s="3" t="inlineStr">
        <is>
          <t>Forward earnings</t>
        </is>
      </c>
      <c r="B6" s="6">
        <f>Summary!B6</f>
        <v/>
      </c>
      <c r="C6" s="6">
        <f>Summary!C6</f>
        <v/>
      </c>
      <c r="D6" s="6">
        <f>Summary!D6</f>
        <v/>
      </c>
    </row>
    <row r="7">
      <c r="A7" s="8" t="inlineStr">
        <is>
          <t>Weighted central</t>
        </is>
      </c>
      <c r="B7" s="6">
        <f>Summary!B7</f>
        <v/>
      </c>
      <c r="C7" s="6">
        <f>Summary!C7</f>
        <v/>
      </c>
      <c r="D7" s="6">
        <f>Summary!D7</f>
        <v/>
      </c>
    </row>
    <row r="8">
      <c r="A8" s="3" t="inlineStr">
        <is>
          <t>Spot</t>
        </is>
      </c>
      <c r="C8" s="6">
        <f>Assumptions!$B$4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Assumptions — the single input layer</t>
        </is>
      </c>
    </row>
    <row r="2">
      <c r="A2" s="2" t="inlineStr">
        <is>
          <t>All blue cells are inputs. Every other sheet links here.</t>
        </is>
      </c>
    </row>
    <row r="3">
      <c r="A3" s="10" t="inlineStr">
        <is>
          <t>ANCHORS</t>
        </is>
      </c>
    </row>
    <row r="4">
      <c r="A4" s="3" t="inlineStr">
        <is>
          <t>Spot price ($/share)</t>
        </is>
      </c>
      <c r="B4" s="5" t="n">
        <v>196.44</v>
      </c>
    </row>
    <row r="5">
      <c r="A5" s="3" t="inlineStr">
        <is>
          <t>Diluted shares (mn)</t>
        </is>
      </c>
      <c r="B5" s="11" t="n">
        <v>24300</v>
      </c>
    </row>
    <row r="6">
      <c r="A6" s="3" t="inlineStr">
        <is>
          <t>Net cash (cash+securities − debt, $m)</t>
        </is>
      </c>
      <c r="B6" s="11" t="n">
        <v>54093</v>
      </c>
    </row>
    <row r="7">
      <c r="A7" s="3" t="inlineStr">
        <is>
          <t>Strategic equity investments ($m)</t>
        </is>
      </c>
      <c r="B7" s="11" t="n">
        <v>22251</v>
      </c>
    </row>
    <row r="8">
      <c r="A8" s="3" t="inlineStr">
        <is>
          <t>Risk-free rate (rf)</t>
        </is>
      </c>
      <c r="B8" s="12" t="n">
        <v>0.043</v>
      </c>
    </row>
    <row r="9">
      <c r="A9" s="3" t="inlineStr">
        <is>
          <t>Equity risk premium (ERP)</t>
        </is>
      </c>
      <c r="B9" s="12" t="n">
        <v>0.048</v>
      </c>
    </row>
    <row r="10">
      <c r="A10" s="3" t="inlineStr">
        <is>
          <t>Beta (house band 0.8–1.3)</t>
        </is>
      </c>
      <c r="B10" s="13" t="n">
        <v>1.3</v>
      </c>
    </row>
    <row r="11">
      <c r="A11" s="3" t="inlineStr">
        <is>
          <t>WACC = rf + beta×ERP (net cash → =Ke)</t>
        </is>
      </c>
      <c r="B11" s="14">
        <f>B8+B10*B9</f>
        <v/>
      </c>
    </row>
    <row r="12">
      <c r="A12" s="3" t="inlineStr">
        <is>
          <t>Terminal growth</t>
        </is>
      </c>
      <c r="B12" s="12" t="n">
        <v>0.045</v>
      </c>
    </row>
    <row r="13">
      <c r="A13" s="3" t="inlineStr">
        <is>
          <t>Tax rate</t>
        </is>
      </c>
      <c r="B13" s="12" t="n">
        <v>0.16</v>
      </c>
    </row>
    <row r="15">
      <c r="A15" s="10" t="inlineStr">
        <is>
          <t>RELATIVE &amp; NORMALIZED</t>
        </is>
      </c>
    </row>
    <row r="16">
      <c r="A16" s="3" t="inlineStr">
        <is>
          <t>Forward EV/EBITDA multiple (FY27E)</t>
        </is>
      </c>
      <c r="B16" s="15" t="n">
        <v>20</v>
      </c>
    </row>
    <row r="17">
      <c r="A17" s="3" t="inlineStr">
        <is>
          <t>Forward P/E multiple (FY27E)</t>
        </is>
      </c>
      <c r="B17" s="15" t="n">
        <v>24</v>
      </c>
    </row>
    <row r="18">
      <c r="A18" s="3" t="inlineStr">
        <is>
          <t>Forward-earnings P/E (FY28E)</t>
        </is>
      </c>
      <c r="B18" s="15" t="n">
        <v>21</v>
      </c>
    </row>
    <row r="20">
      <c r="A20" s="10" t="inlineStr">
        <is>
          <t>SYNTHESIS WEIGHTS</t>
        </is>
      </c>
    </row>
    <row r="22">
      <c r="A22" s="10" t="inlineStr">
        <is>
          <t>WORKING CAPITAL (% of revenue, forecast)</t>
        </is>
      </c>
    </row>
    <row r="23">
      <c r="A23" s="3" t="inlineStr">
        <is>
          <t>Accounts receivable</t>
        </is>
      </c>
      <c r="B23" s="12" t="n">
        <v>0.178</v>
      </c>
    </row>
    <row r="24">
      <c r="A24" s="3" t="inlineStr">
        <is>
          <t>Inventories</t>
        </is>
      </c>
      <c r="B24" s="12" t="n">
        <v>0.099</v>
      </c>
    </row>
    <row r="25">
      <c r="A25" s="3" t="inlineStr">
        <is>
          <t>Accounts payable</t>
        </is>
      </c>
      <c r="B25" s="12" t="n">
        <v>0.03</v>
      </c>
    </row>
    <row r="27">
      <c r="A27" s="10" t="inlineStr">
        <is>
          <t>MONTE CARLO</t>
        </is>
      </c>
    </row>
    <row r="28">
      <c r="A28" s="3" t="inlineStr">
        <is>
          <t>Diffusion volatility σ (YZ-HAR, ann.)</t>
        </is>
      </c>
      <c r="B28" s="12" t="n">
        <v>0.451</v>
      </c>
    </row>
    <row r="29">
      <c r="A29" s="3" t="inlineStr">
        <is>
          <t>Net continuous factor drift (3m)</t>
        </is>
      </c>
      <c r="B29" s="12" t="n">
        <v>0</v>
      </c>
    </row>
    <row r="30">
      <c r="A30" s="3" t="inlineStr">
        <is>
          <t>Paths / seed</t>
        </is>
      </c>
      <c r="B30" s="11" t="n">
        <v>50000</v>
      </c>
      <c r="C30" s="16" t="inlineStr">
        <is>
          <t>seed 42</t>
        </is>
      </c>
    </row>
    <row r="40">
      <c r="A40" s="3" t="inlineStr">
        <is>
          <t>DCF weight</t>
        </is>
      </c>
      <c r="B40" s="12" t="n">
        <v>0.45</v>
      </c>
    </row>
    <row r="41">
      <c r="A41" s="3" t="inlineStr">
        <is>
          <t>Relative weight</t>
        </is>
      </c>
      <c r="B41" s="12" t="n">
        <v>0.25</v>
      </c>
    </row>
    <row r="42">
      <c r="A42" s="3" t="inlineStr">
        <is>
          <t>Forward-earnings weight</t>
        </is>
      </c>
      <c r="B42" s="12" t="n">
        <v>0.3</v>
      </c>
    </row>
    <row r="44">
      <c r="A44" s="10" t="inlineStr">
        <is>
          <t>FORECAST DRIVERS (FY27E–FY31E)</t>
        </is>
      </c>
      <c r="E44" s="4" t="inlineStr">
        <is>
          <t>FY27E</t>
        </is>
      </c>
      <c r="F44" s="4" t="inlineStr">
        <is>
          <t>FY28E</t>
        </is>
      </c>
      <c r="G44" s="4" t="inlineStr">
        <is>
          <t>FY29E</t>
        </is>
      </c>
      <c r="H44" s="4" t="inlineStr">
        <is>
          <t>FY30E</t>
        </is>
      </c>
      <c r="I44" s="4" t="inlineStr">
        <is>
          <t>FY31E</t>
        </is>
      </c>
    </row>
    <row r="45">
      <c r="A45" s="3" t="inlineStr">
        <is>
          <t>Data-center revenue growth</t>
        </is>
      </c>
      <c r="E45" s="12" t="n">
        <v>0.73</v>
      </c>
      <c r="F45" s="12" t="n">
        <v>0.34</v>
      </c>
      <c r="G45" s="12" t="n">
        <v>0.23</v>
      </c>
      <c r="H45" s="12" t="n">
        <v>0.15</v>
      </c>
      <c r="I45" s="12" t="n">
        <v>0.09</v>
      </c>
    </row>
    <row r="46">
      <c r="A46" s="3" t="inlineStr">
        <is>
          <t>Non-DC revenue growth</t>
        </is>
      </c>
      <c r="E46" s="12" t="n">
        <v>0.17</v>
      </c>
      <c r="F46" s="12" t="n">
        <v>0.12</v>
      </c>
      <c r="G46" s="12" t="n">
        <v>0.1</v>
      </c>
      <c r="H46" s="12" t="n">
        <v>0.08</v>
      </c>
      <c r="I46" s="12" t="n">
        <v>0.06</v>
      </c>
    </row>
    <row r="47">
      <c r="A47" s="3" t="inlineStr">
        <is>
          <t>Gross margin</t>
        </is>
      </c>
      <c r="E47" s="12" t="n">
        <v>0.745</v>
      </c>
      <c r="F47" s="12" t="n">
        <v>0.74</v>
      </c>
      <c r="G47" s="12" t="n">
        <v>0.73</v>
      </c>
      <c r="H47" s="12" t="n">
        <v>0.72</v>
      </c>
      <c r="I47" s="12" t="n">
        <v>0.71</v>
      </c>
    </row>
    <row r="48">
      <c r="A48" s="3" t="inlineStr">
        <is>
          <t>Opex % of revenue</t>
        </is>
      </c>
      <c r="E48" s="12" t="n">
        <v>0.1</v>
      </c>
      <c r="F48" s="12" t="n">
        <v>0.1</v>
      </c>
      <c r="G48" s="12" t="n">
        <v>0.105</v>
      </c>
      <c r="H48" s="12" t="n">
        <v>0.11</v>
      </c>
      <c r="I48" s="12" t="n">
        <v>0.115</v>
      </c>
    </row>
    <row r="49">
      <c r="A49" s="3" t="inlineStr">
        <is>
          <t>D&amp;A % of revenue</t>
        </is>
      </c>
      <c r="E49" s="12" t="n">
        <v>0.015</v>
      </c>
      <c r="F49" s="12" t="n">
        <v>0.015</v>
      </c>
      <c r="G49" s="12" t="n">
        <v>0.015</v>
      </c>
      <c r="H49" s="12" t="n">
        <v>0.016</v>
      </c>
      <c r="I49" s="12" t="n">
        <v>0.016</v>
      </c>
    </row>
    <row r="50">
      <c r="A50" s="3" t="inlineStr">
        <is>
          <t>Capex % of revenue</t>
        </is>
      </c>
      <c r="E50" s="12" t="n">
        <v>0.025</v>
      </c>
      <c r="F50" s="12" t="n">
        <v>0.025</v>
      </c>
      <c r="G50" s="12" t="n">
        <v>0.026</v>
      </c>
      <c r="H50" s="12" t="n">
        <v>0.027</v>
      </c>
      <c r="I50" s="12" t="n">
        <v>0.028</v>
      </c>
    </row>
    <row r="51">
      <c r="A51" s="3" t="inlineStr">
        <is>
          <t>Other income (net, $m)</t>
        </is>
      </c>
      <c r="E51" s="11" t="n">
        <v>10000</v>
      </c>
      <c r="F51" s="11" t="n">
        <v>10500</v>
      </c>
      <c r="G51" s="11" t="n">
        <v>11000</v>
      </c>
      <c r="H51" s="11" t="n">
        <v>11500</v>
      </c>
      <c r="I51" s="11" t="n">
        <v>12000</v>
      </c>
    </row>
    <row r="52">
      <c r="A52" s="3" t="inlineStr">
        <is>
          <t>Dividends ($m)</t>
        </is>
      </c>
      <c r="E52" s="11" t="n">
        <v>6100</v>
      </c>
      <c r="F52" s="11" t="n">
        <v>7500</v>
      </c>
      <c r="G52" s="11" t="n">
        <v>9000</v>
      </c>
      <c r="H52" s="11" t="n">
        <v>11000</v>
      </c>
      <c r="I52" s="11" t="n">
        <v>13000</v>
      </c>
    </row>
    <row r="53">
      <c r="A53" s="3" t="inlineStr">
        <is>
          <t>Net buybacks ($m)</t>
        </is>
      </c>
      <c r="E53" s="11" t="n">
        <v>70000</v>
      </c>
      <c r="F53" s="11" t="n">
        <v>75000</v>
      </c>
      <c r="G53" s="11" t="n">
        <v>80000</v>
      </c>
      <c r="H53" s="11" t="n">
        <v>85000</v>
      </c>
      <c r="I53" s="11" t="n">
        <v>90000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Discounted cash flow — primary lens (explicit 5-year FCFF)</t>
        </is>
      </c>
    </row>
    <row r="2">
      <c r="A2" s="2" t="inlineStr">
        <is>
          <t>NOPAT + D&amp;A − capex − ΔWC, discounted at WACC (=Ke, net cash). Links to Income Statement / Balance Sheet / Assumptions.</t>
        </is>
      </c>
    </row>
    <row r="3">
      <c r="E3" s="4" t="inlineStr">
        <is>
          <t>FY27E</t>
        </is>
      </c>
      <c r="F3" s="4" t="inlineStr">
        <is>
          <t>FY28E</t>
        </is>
      </c>
      <c r="G3" s="4" t="inlineStr">
        <is>
          <t>FY29E</t>
        </is>
      </c>
      <c r="H3" s="4" t="inlineStr">
        <is>
          <t>FY30E</t>
        </is>
      </c>
      <c r="I3" s="4" t="inlineStr">
        <is>
          <t>FY31E</t>
        </is>
      </c>
    </row>
    <row r="4">
      <c r="A4" s="3" t="inlineStr">
        <is>
          <t>Revenue</t>
        </is>
      </c>
      <c r="E4" s="17">
        <f>'Income Statement'!E6</f>
        <v/>
      </c>
      <c r="F4" s="17">
        <f>'Income Statement'!F6</f>
        <v/>
      </c>
      <c r="G4" s="17">
        <f>'Income Statement'!G6</f>
        <v/>
      </c>
      <c r="H4" s="17">
        <f>'Income Statement'!H6</f>
        <v/>
      </c>
      <c r="I4" s="17">
        <f>'Income Statement'!I6</f>
        <v/>
      </c>
    </row>
    <row r="5">
      <c r="A5" s="3" t="inlineStr">
        <is>
          <t>EBITDA</t>
        </is>
      </c>
      <c r="E5" s="17">
        <f>'Income Statement'!E14</f>
        <v/>
      </c>
      <c r="F5" s="17">
        <f>'Income Statement'!F14</f>
        <v/>
      </c>
      <c r="G5" s="17">
        <f>'Income Statement'!G14</f>
        <v/>
      </c>
      <c r="H5" s="17">
        <f>'Income Statement'!H14</f>
        <v/>
      </c>
      <c r="I5" s="17">
        <f>'Income Statement'!I14</f>
        <v/>
      </c>
    </row>
    <row r="6">
      <c r="A6" s="3" t="inlineStr">
        <is>
          <t>− D&amp;A</t>
        </is>
      </c>
      <c r="E6" s="17">
        <f>-'Income Statement'!E13</f>
        <v/>
      </c>
      <c r="F6" s="17">
        <f>-'Income Statement'!F13</f>
        <v/>
      </c>
      <c r="G6" s="17">
        <f>-'Income Statement'!G13</f>
        <v/>
      </c>
      <c r="H6" s="17">
        <f>-'Income Statement'!H13</f>
        <v/>
      </c>
      <c r="I6" s="17">
        <f>-'Income Statement'!I13</f>
        <v/>
      </c>
    </row>
    <row r="7">
      <c r="A7" s="8" t="inlineStr">
        <is>
          <t>EBIT</t>
        </is>
      </c>
      <c r="E7" s="18">
        <f>'Income Statement'!E11</f>
        <v/>
      </c>
      <c r="F7" s="18">
        <f>'Income Statement'!F11</f>
        <v/>
      </c>
      <c r="G7" s="18">
        <f>'Income Statement'!G11</f>
        <v/>
      </c>
      <c r="H7" s="18">
        <f>'Income Statement'!H11</f>
        <v/>
      </c>
      <c r="I7" s="18">
        <f>'Income Statement'!I11</f>
        <v/>
      </c>
    </row>
    <row r="8">
      <c r="A8" s="3" t="inlineStr">
        <is>
          <t>NOPAT = EBIT×(1−tax)</t>
        </is>
      </c>
      <c r="E8" s="17">
        <f>E7*(1-Assumptions!$B$13)</f>
        <v/>
      </c>
      <c r="F8" s="17">
        <f>F7*(1-Assumptions!$B$13)</f>
        <v/>
      </c>
      <c r="G8" s="17">
        <f>G7*(1-Assumptions!$B$13)</f>
        <v/>
      </c>
      <c r="H8" s="17">
        <f>H7*(1-Assumptions!$B$13)</f>
        <v/>
      </c>
      <c r="I8" s="17">
        <f>I7*(1-Assumptions!$B$13)</f>
        <v/>
      </c>
    </row>
    <row r="9">
      <c r="A9" s="3" t="inlineStr">
        <is>
          <t>+ D&amp;A</t>
        </is>
      </c>
      <c r="E9" s="17">
        <f>'Income Statement'!E13</f>
        <v/>
      </c>
      <c r="F9" s="17">
        <f>'Income Statement'!F13</f>
        <v/>
      </c>
      <c r="G9" s="17">
        <f>'Income Statement'!G13</f>
        <v/>
      </c>
      <c r="H9" s="17">
        <f>'Income Statement'!H13</f>
        <v/>
      </c>
      <c r="I9" s="17">
        <f>'Income Statement'!I13</f>
        <v/>
      </c>
    </row>
    <row r="10">
      <c r="A10" s="3" t="inlineStr">
        <is>
          <t>− Capex</t>
        </is>
      </c>
      <c r="E10" s="17">
        <f>-Assumptions!E50*'Income Statement'!E6</f>
        <v/>
      </c>
      <c r="F10" s="17">
        <f>-Assumptions!F50*'Income Statement'!F6</f>
        <v/>
      </c>
      <c r="G10" s="17">
        <f>-Assumptions!G50*'Income Statement'!G6</f>
        <v/>
      </c>
      <c r="H10" s="17">
        <f>-Assumptions!H50*'Income Statement'!H6</f>
        <v/>
      </c>
      <c r="I10" s="17">
        <f>-Assumptions!I50*'Income Statement'!I6</f>
        <v/>
      </c>
    </row>
    <row r="11">
      <c r="A11" s="3" t="inlineStr">
        <is>
          <t>− Increase in net working capital</t>
        </is>
      </c>
      <c r="E11" s="17">
        <f>-(('Balance Sheet'!E5+'Balance Sheet'!E6-'Balance Sheet'!E14)-('Balance Sheet'!D5+'Balance Sheet'!D6-'Balance Sheet'!D14))</f>
        <v/>
      </c>
      <c r="F11" s="17">
        <f>-(('Balance Sheet'!F5+'Balance Sheet'!F6-'Balance Sheet'!F14)-('Balance Sheet'!E5+'Balance Sheet'!E6-'Balance Sheet'!E14))</f>
        <v/>
      </c>
      <c r="G11" s="17">
        <f>-(('Balance Sheet'!G5+'Balance Sheet'!G6-'Balance Sheet'!G14)-('Balance Sheet'!F5+'Balance Sheet'!F6-'Balance Sheet'!F14))</f>
        <v/>
      </c>
      <c r="H11" s="17">
        <f>-(('Balance Sheet'!H5+'Balance Sheet'!H6-'Balance Sheet'!H14)-('Balance Sheet'!G5+'Balance Sheet'!G6-'Balance Sheet'!G14))</f>
        <v/>
      </c>
      <c r="I11" s="17">
        <f>-(('Balance Sheet'!I5+'Balance Sheet'!I6-'Balance Sheet'!I14)-('Balance Sheet'!H5+'Balance Sheet'!H6-'Balance Sheet'!H14))</f>
        <v/>
      </c>
    </row>
    <row r="12">
      <c r="A12" s="8" t="inlineStr">
        <is>
          <t>Free cash flow to firm (FCFF)</t>
        </is>
      </c>
      <c r="E12" s="18">
        <f>E8+E9+E10+E11</f>
        <v/>
      </c>
      <c r="F12" s="18">
        <f>F8+F9+F10+F11</f>
        <v/>
      </c>
      <c r="G12" s="18">
        <f>G8+G9+G10+G11</f>
        <v/>
      </c>
      <c r="H12" s="18">
        <f>H8+H9+H10+H11</f>
        <v/>
      </c>
      <c r="I12" s="18">
        <f>I8+I9+I10+I11</f>
        <v/>
      </c>
    </row>
    <row r="13">
      <c r="A13" s="3" t="inlineStr">
        <is>
          <t>Discount factor</t>
        </is>
      </c>
      <c r="E13" s="19">
        <f>1/(1+Assumptions!$B$11)^1</f>
        <v/>
      </c>
      <c r="F13" s="19">
        <f>1/(1+Assumptions!$B$11)^2</f>
        <v/>
      </c>
      <c r="G13" s="19">
        <f>1/(1+Assumptions!$B$11)^3</f>
        <v/>
      </c>
      <c r="H13" s="19">
        <f>1/(1+Assumptions!$B$11)^4</f>
        <v/>
      </c>
      <c r="I13" s="19">
        <f>1/(1+Assumptions!$B$11)^5</f>
        <v/>
      </c>
    </row>
    <row r="14">
      <c r="A14" s="8" t="inlineStr">
        <is>
          <t>PV of FCFF</t>
        </is>
      </c>
      <c r="E14" s="18">
        <f>E12*E13</f>
        <v/>
      </c>
      <c r="F14" s="18">
        <f>F12*F13</f>
        <v/>
      </c>
      <c r="G14" s="18">
        <f>G12*G13</f>
        <v/>
      </c>
      <c r="H14" s="18">
        <f>H12*H13</f>
        <v/>
      </c>
      <c r="I14" s="18">
        <f>I12*I13</f>
        <v/>
      </c>
    </row>
    <row r="16">
      <c r="A16" s="3" t="inlineStr">
        <is>
          <t>Σ PV of explicit FCFF (FY27–31)</t>
        </is>
      </c>
      <c r="B16" s="17">
        <f>SUM(E14:I14)</f>
        <v/>
      </c>
    </row>
    <row r="17">
      <c r="A17" s="3" t="inlineStr">
        <is>
          <t>Terminal value (Gordon, on FY31 FCFF)</t>
        </is>
      </c>
      <c r="B17" s="17">
        <f>I12*(1+Assumptions!$B$12)/(Assumptions!$B$11-Assumptions!$B$12)</f>
        <v/>
      </c>
    </row>
    <row r="18">
      <c r="A18" s="3" t="inlineStr">
        <is>
          <t>PV of terminal value</t>
        </is>
      </c>
      <c r="B18" s="17">
        <f>B17/(1+Assumptions!$B$11)^5</f>
        <v/>
      </c>
    </row>
    <row r="19">
      <c r="A19" s="8" t="inlineStr">
        <is>
          <t>Enterprise value</t>
        </is>
      </c>
      <c r="B19" s="18">
        <f>B16+B18</f>
        <v/>
      </c>
    </row>
    <row r="20">
      <c r="A20" s="3" t="inlineStr">
        <is>
          <t>+ Net cash + strategic investments</t>
        </is>
      </c>
      <c r="B20" s="17">
        <f>Assumptions!$B$6+Assumptions!$B$7</f>
        <v/>
      </c>
    </row>
    <row r="21">
      <c r="A21" s="8" t="inlineStr">
        <is>
          <t>Equity value → per share ($)</t>
        </is>
      </c>
      <c r="B21" s="9">
        <f>(B19+B20)/Assumptions!$B$5</f>
        <v/>
      </c>
    </row>
    <row r="22">
      <c r="A22" s="3" t="inlineStr">
        <is>
          <t>Terminal value as % of EV</t>
        </is>
      </c>
      <c r="B22" s="14">
        <f>B18/B19</f>
        <v/>
      </c>
    </row>
    <row r="23">
      <c r="A23" s="3" t="inlineStr">
        <is>
          <t>Implied EV / FY27E EBITDA</t>
        </is>
      </c>
      <c r="B23" s="20">
        <f>B19/'Income Statement'!E14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Segment view</t>
        </is>
      </c>
    </row>
    <row r="2">
      <c r="A2" s="2" t="inlineStr">
        <is>
          <t>Revenue and mix by segment, FY24–FY31 (links to Income Statement).</t>
        </is>
      </c>
    </row>
    <row r="3">
      <c r="B3" s="4" t="inlineStr">
        <is>
          <t>FY24</t>
        </is>
      </c>
      <c r="C3" s="4" t="inlineStr">
        <is>
          <t>FY25</t>
        </is>
      </c>
      <c r="D3" s="4" t="inlineStr">
        <is>
          <t>FY26</t>
        </is>
      </c>
      <c r="E3" s="4" t="inlineStr">
        <is>
          <t>FY27E</t>
        </is>
      </c>
      <c r="F3" s="4" t="inlineStr">
        <is>
          <t>FY28E</t>
        </is>
      </c>
      <c r="G3" s="4" t="inlineStr">
        <is>
          <t>FY29E</t>
        </is>
      </c>
      <c r="H3" s="4" t="inlineStr">
        <is>
          <t>FY30E</t>
        </is>
      </c>
      <c r="I3" s="4" t="inlineStr">
        <is>
          <t>FY31E</t>
        </is>
      </c>
    </row>
    <row r="4">
      <c r="A4" s="3" t="inlineStr">
        <is>
          <t>Data Center revenue</t>
        </is>
      </c>
      <c r="B4" s="21">
        <f>'Income Statement'!B4</f>
        <v/>
      </c>
      <c r="C4" s="21">
        <f>'Income Statement'!C4</f>
        <v/>
      </c>
      <c r="D4" s="21">
        <f>'Income Statement'!D4</f>
        <v/>
      </c>
      <c r="E4" s="21">
        <f>'Income Statement'!E4</f>
        <v/>
      </c>
      <c r="F4" s="21">
        <f>'Income Statement'!F4</f>
        <v/>
      </c>
      <c r="G4" s="21">
        <f>'Income Statement'!G4</f>
        <v/>
      </c>
      <c r="H4" s="21">
        <f>'Income Statement'!H4</f>
        <v/>
      </c>
      <c r="I4" s="21">
        <f>'Income Statement'!I4</f>
        <v/>
      </c>
    </row>
    <row r="5">
      <c r="A5" s="3" t="inlineStr">
        <is>
          <t>Non-DC revenue</t>
        </is>
      </c>
      <c r="B5" s="21">
        <f>'Income Statement'!B5</f>
        <v/>
      </c>
      <c r="C5" s="21">
        <f>'Income Statement'!C5</f>
        <v/>
      </c>
      <c r="D5" s="21">
        <f>'Income Statement'!D5</f>
        <v/>
      </c>
      <c r="E5" s="21">
        <f>'Income Statement'!E5</f>
        <v/>
      </c>
      <c r="F5" s="21">
        <f>'Income Statement'!F5</f>
        <v/>
      </c>
      <c r="G5" s="21">
        <f>'Income Statement'!G5</f>
        <v/>
      </c>
      <c r="H5" s="21">
        <f>'Income Statement'!H5</f>
        <v/>
      </c>
      <c r="I5" s="21">
        <f>'Income Statement'!I5</f>
        <v/>
      </c>
    </row>
    <row r="6">
      <c r="A6" s="8" t="inlineStr">
        <is>
          <t>Total revenue</t>
        </is>
      </c>
      <c r="B6" s="18">
        <f>B4+B5</f>
        <v/>
      </c>
      <c r="C6" s="18">
        <f>C4+C5</f>
        <v/>
      </c>
      <c r="D6" s="18">
        <f>D4+D5</f>
        <v/>
      </c>
      <c r="E6" s="18">
        <f>E4+E5</f>
        <v/>
      </c>
      <c r="F6" s="18">
        <f>F4+F5</f>
        <v/>
      </c>
      <c r="G6" s="18">
        <f>G4+G5</f>
        <v/>
      </c>
      <c r="H6" s="18">
        <f>H4+H5</f>
        <v/>
      </c>
      <c r="I6" s="18">
        <f>I4+I5</f>
        <v/>
      </c>
    </row>
    <row r="7">
      <c r="A7" s="3" t="inlineStr">
        <is>
          <t>Data Center % of revenue</t>
        </is>
      </c>
      <c r="B7" s="14">
        <f>B4/B6</f>
        <v/>
      </c>
      <c r="C7" s="14">
        <f>C4/C6</f>
        <v/>
      </c>
      <c r="D7" s="14">
        <f>D4/D6</f>
        <v/>
      </c>
      <c r="E7" s="14">
        <f>E4/E6</f>
        <v/>
      </c>
      <c r="F7" s="14">
        <f>F4/F6</f>
        <v/>
      </c>
      <c r="G7" s="14">
        <f>G4/G6</f>
        <v/>
      </c>
      <c r="H7" s="14">
        <f>H4/H6</f>
        <v/>
      </c>
      <c r="I7" s="14">
        <f>I4/I6</f>
        <v/>
      </c>
    </row>
    <row r="8">
      <c r="A8" s="3" t="inlineStr">
        <is>
          <t>Data Center YoY growth</t>
        </is>
      </c>
      <c r="C8" s="14">
        <f>C4/B4-1</f>
        <v/>
      </c>
      <c r="D8" s="14">
        <f>D4/C4-1</f>
        <v/>
      </c>
      <c r="E8" s="14">
        <f>E4/D4-1</f>
        <v/>
      </c>
      <c r="F8" s="14">
        <f>F4/E4-1</f>
        <v/>
      </c>
      <c r="G8" s="14">
        <f>G4/F4-1</f>
        <v/>
      </c>
      <c r="H8" s="14">
        <f>H4/G4-1</f>
        <v/>
      </c>
      <c r="I8" s="14">
        <f>I4/H4-1</f>
        <v/>
      </c>
    </row>
    <row r="9">
      <c r="A9" s="3" t="inlineStr">
        <is>
          <t>Total revenue YoY growth</t>
        </is>
      </c>
      <c r="C9" s="14">
        <f>C6/B6-1</f>
        <v/>
      </c>
      <c r="D9" s="14">
        <f>D6/C6-1</f>
        <v/>
      </c>
      <c r="E9" s="14">
        <f>E6/D6-1</f>
        <v/>
      </c>
      <c r="F9" s="14">
        <f>F6/E6-1</f>
        <v/>
      </c>
      <c r="G9" s="14">
        <f>G6/F6-1</f>
        <v/>
      </c>
      <c r="H9" s="14">
        <f>H6/G6-1</f>
        <v/>
      </c>
      <c r="I9" s="14">
        <f>I6/H6-1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2" customWidth="1" min="3" max="3"/>
  </cols>
  <sheetData>
    <row r="1">
      <c r="A1" s="1" t="inlineStr">
        <is>
          <t>Relative &amp; forward-earnings lenses</t>
        </is>
      </c>
    </row>
    <row r="2">
      <c r="A2" s="2" t="inlineStr">
        <is>
          <t>Market-consistent forward multiples. Links to Assumptions / Income Statement.</t>
        </is>
      </c>
    </row>
    <row r="3">
      <c r="A3" s="4" t="inlineStr">
        <is>
          <t>Lens</t>
        </is>
      </c>
      <c r="B3" s="4" t="inlineStr">
        <is>
          <t>Workings</t>
        </is>
      </c>
      <c r="C3" s="4" t="inlineStr">
        <is>
          <t>$/share</t>
        </is>
      </c>
    </row>
    <row r="4">
      <c r="A4" s="3" t="inlineStr">
        <is>
          <t>Relative (blend)</t>
        </is>
      </c>
      <c r="B4" s="3" t="inlineStr">
        <is>
          <t>0.5×EV/EBITDA + 0.5×P/E, FY27E</t>
        </is>
      </c>
      <c r="C4" s="6">
        <f>0.5*(('Income Statement'!E14*Assumptions!$B$16+Assumptions!$B$6+Assumptions!$B$7)/Assumptions!$B$5)+0.5*('Income Statement'!E20*Assumptions!$B$17)</f>
        <v/>
      </c>
    </row>
    <row r="5">
      <c r="A5" s="3" t="inlineStr">
        <is>
          <t xml:space="preserve">  EV/EBITDA value</t>
        </is>
      </c>
      <c r="C5" s="22">
        <f>('Income Statement'!E14*Assumptions!$B$16+Assumptions!$B$6+Assumptions!$B$7)/Assumptions!$B$5</f>
        <v/>
      </c>
    </row>
    <row r="6">
      <c r="A6" s="3" t="inlineStr">
        <is>
          <t xml:space="preserve">  P/E value</t>
        </is>
      </c>
      <c r="C6" s="22">
        <f>'Income Statement'!E20*Assumptions!$B$17</f>
        <v/>
      </c>
    </row>
    <row r="7">
      <c r="A7" s="3" t="inlineStr">
        <is>
          <t>Forward earnings power</t>
        </is>
      </c>
      <c r="B7" s="3" t="inlineStr">
        <is>
          <t>FY28E EPS × justified P/E</t>
        </is>
      </c>
      <c r="C7" s="6">
        <f>'Income Statement'!F20*Assumptions!$B$18</f>
        <v/>
      </c>
    </row>
    <row r="8">
      <c r="A8" s="3" t="inlineStr">
        <is>
          <t xml:space="preserve">  FY28E EPS ($)</t>
        </is>
      </c>
      <c r="C8" s="22">
        <f>'Income Statement'!F20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DCF scenarios &amp; economic-profit (ROIC vs WACC)</t>
        </is>
      </c>
    </row>
    <row r="2">
      <c r="A2" s="2" t="inlineStr">
        <is>
          <t>Bear/base/bull DCF outputs and the return-on-capital check (supports the cash-returns expert).</t>
        </is>
      </c>
    </row>
    <row r="3">
      <c r="A3" s="4" t="inlineStr">
        <is>
          <t>Scenario</t>
        </is>
      </c>
      <c r="B3" s="4" t="inlineStr">
        <is>
          <t>WACC</t>
        </is>
      </c>
      <c r="C3" s="4" t="inlineStr">
        <is>
          <t>Term. g</t>
        </is>
      </c>
      <c r="D3" s="4" t="inlineStr">
        <is>
          <t>$/share</t>
        </is>
      </c>
    </row>
    <row r="4">
      <c r="A4" s="3" t="inlineStr">
        <is>
          <t>Bull</t>
        </is>
      </c>
      <c r="B4" s="12" t="n">
        <v>0.09</v>
      </c>
      <c r="C4" s="12" t="n">
        <v>0.05</v>
      </c>
      <c r="D4" s="5" t="n">
        <v>291</v>
      </c>
    </row>
    <row r="5">
      <c r="A5" s="8" t="inlineStr">
        <is>
          <t>Base (live)</t>
        </is>
      </c>
      <c r="B5" s="7">
        <f>Assumptions!$B$11</f>
        <v/>
      </c>
      <c r="C5" s="7">
        <f>Assumptions!$B$12</f>
        <v/>
      </c>
      <c r="D5" s="6">
        <f>'DCF (Primary)'!B21</f>
        <v/>
      </c>
    </row>
    <row r="6">
      <c r="A6" s="3" t="inlineStr">
        <is>
          <t>Bear</t>
        </is>
      </c>
      <c r="B6" s="12" t="n">
        <v>0.125</v>
      </c>
      <c r="C6" s="12" t="n">
        <v>0.035</v>
      </c>
      <c r="D6" s="5" t="n">
        <v>146</v>
      </c>
    </row>
    <row r="8">
      <c r="A8" s="10" t="inlineStr">
        <is>
          <t>Economic-profit / return-on-capital check</t>
        </is>
      </c>
    </row>
    <row r="9">
      <c r="A9" s="3" t="inlineStr">
        <is>
          <t>NOPAT (FY26 actual = EBIT×(1−t), $m)</t>
        </is>
      </c>
      <c r="B9" s="21">
        <f>'Income Statement'!D11*(1-Assumptions!$B$13)</f>
        <v/>
      </c>
    </row>
    <row r="10">
      <c r="A10" s="3" t="inlineStr">
        <is>
          <t>Capital employed (equity + debt, FY26, $m)</t>
        </is>
      </c>
      <c r="B10" s="21">
        <f>'Balance Sheet'!D12+'Balance Sheet'!D13</f>
        <v/>
      </c>
    </row>
    <row r="11">
      <c r="A11" s="3" t="inlineStr">
        <is>
          <t>Return on capital employed (NOPAT / capital)</t>
        </is>
      </c>
      <c r="B11" s="14">
        <f>B9/B10</f>
        <v/>
      </c>
    </row>
    <row r="12">
      <c r="A12" s="3" t="inlineStr">
        <is>
          <t>WACC (= Ke, net cash)</t>
        </is>
      </c>
      <c r="B12" s="7">
        <f>Assumptions!$B$11</f>
        <v/>
      </c>
    </row>
    <row r="13">
      <c r="A13" s="8" t="inlineStr">
        <is>
          <t>Economic-profit spread (ROCE − WACC)</t>
        </is>
      </c>
      <c r="B13" s="23">
        <f>B11-B12</f>
        <v/>
      </c>
    </row>
    <row r="15">
      <c r="A15" s="2" t="inlineStr">
        <is>
          <t>Capital employed uses the full balance-sheet base (equity + debt), so the ~$62bn net cash conservatively depresses the ratio; netting excess cash lifts it materially higher. Either way the return runs many multiples of the 10.5% cost of capital — the cash-returns expert's core point.</t>
        </is>
      </c>
    </row>
    <row r="16">
      <c r="A16" s="2" t="inlineStr">
        <is>
          <t>Reverse-DCF: FCF CAGR implied by spot ≈ 12% (see study §1.2). The market pays for a longer super-normal runway than the 5-yr explicit window.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Income statement ($m, GAAP, fiscal year ends late Jan)</t>
        </is>
      </c>
    </row>
    <row r="2">
      <c r="A2" s="2" t="inlineStr">
        <is>
          <t>FY24–FY26 disclosed (blue); FY27–FY31 forecast (formulas linking to Assumptions).</t>
        </is>
      </c>
    </row>
    <row r="3">
      <c r="B3" s="4" t="inlineStr">
        <is>
          <t>FY24</t>
        </is>
      </c>
      <c r="C3" s="4" t="inlineStr">
        <is>
          <t>FY25</t>
        </is>
      </c>
      <c r="D3" s="4" t="inlineStr">
        <is>
          <t>FY26</t>
        </is>
      </c>
      <c r="E3" s="4" t="inlineStr">
        <is>
          <t>FY27E</t>
        </is>
      </c>
      <c r="F3" s="4" t="inlineStr">
        <is>
          <t>FY28E</t>
        </is>
      </c>
      <c r="G3" s="4" t="inlineStr">
        <is>
          <t>FY29E</t>
        </is>
      </c>
      <c r="H3" s="4" t="inlineStr">
        <is>
          <t>FY30E</t>
        </is>
      </c>
      <c r="I3" s="4" t="inlineStr">
        <is>
          <t>FY31E</t>
        </is>
      </c>
    </row>
    <row r="4">
      <c r="A4" s="3" t="inlineStr">
        <is>
          <t>Data Center revenue</t>
        </is>
      </c>
      <c r="B4" s="11" t="n">
        <v>47525</v>
      </c>
      <c r="C4" s="11" t="n">
        <v>115186</v>
      </c>
      <c r="D4" s="11" t="n">
        <v>193737</v>
      </c>
      <c r="E4" s="17">
        <f>D4*(1+Assumptions!E45)</f>
        <v/>
      </c>
      <c r="F4" s="17">
        <f>E4*(1+Assumptions!F45)</f>
        <v/>
      </c>
      <c r="G4" s="17">
        <f>F4*(1+Assumptions!G45)</f>
        <v/>
      </c>
      <c r="H4" s="17">
        <f>G4*(1+Assumptions!H45)</f>
        <v/>
      </c>
      <c r="I4" s="17">
        <f>H4*(1+Assumptions!I45)</f>
        <v/>
      </c>
    </row>
    <row r="5">
      <c r="A5" s="3" t="inlineStr">
        <is>
          <t>Non-DC revenue (Gaming/ProViz/Auto/OEM)</t>
        </is>
      </c>
      <c r="B5" s="11" t="n">
        <v>13397</v>
      </c>
      <c r="C5" s="11" t="n">
        <v>15311</v>
      </c>
      <c r="D5" s="11" t="n">
        <v>22201</v>
      </c>
      <c r="E5" s="17">
        <f>D5*(1+Assumptions!E46)</f>
        <v/>
      </c>
      <c r="F5" s="17">
        <f>E5*(1+Assumptions!F46)</f>
        <v/>
      </c>
      <c r="G5" s="17">
        <f>F5*(1+Assumptions!G46)</f>
        <v/>
      </c>
      <c r="H5" s="17">
        <f>G5*(1+Assumptions!H46)</f>
        <v/>
      </c>
      <c r="I5" s="17">
        <f>H5*(1+Assumptions!I46)</f>
        <v/>
      </c>
    </row>
    <row r="6">
      <c r="A6" s="8" t="inlineStr">
        <is>
          <t>Total revenue</t>
        </is>
      </c>
      <c r="B6" s="18">
        <f>B4+B5</f>
        <v/>
      </c>
      <c r="C6" s="18">
        <f>C4+C5</f>
        <v/>
      </c>
      <c r="D6" s="18">
        <f>D4+D5</f>
        <v/>
      </c>
      <c r="E6" s="18">
        <f>E4+E5</f>
        <v/>
      </c>
      <c r="F6" s="18">
        <f>F4+F5</f>
        <v/>
      </c>
      <c r="G6" s="18">
        <f>G4+G5</f>
        <v/>
      </c>
      <c r="H6" s="18">
        <f>H4+H5</f>
        <v/>
      </c>
      <c r="I6" s="18">
        <f>I4+I5</f>
        <v/>
      </c>
    </row>
    <row r="8">
      <c r="A8" s="3" t="inlineStr">
        <is>
          <t>Gross profit</t>
        </is>
      </c>
      <c r="B8" s="11" t="n">
        <v>44290</v>
      </c>
      <c r="C8" s="11" t="n">
        <v>97873</v>
      </c>
      <c r="D8" s="11" t="n">
        <v>153532</v>
      </c>
      <c r="E8" s="17">
        <f>E6*Assumptions!E47</f>
        <v/>
      </c>
      <c r="F8" s="17">
        <f>F6*Assumptions!F47</f>
        <v/>
      </c>
      <c r="G8" s="17">
        <f>G6*Assumptions!G47</f>
        <v/>
      </c>
      <c r="H8" s="17">
        <f>H6*Assumptions!H47</f>
        <v/>
      </c>
      <c r="I8" s="17">
        <f>I6*Assumptions!I47</f>
        <v/>
      </c>
    </row>
    <row r="9">
      <c r="A9" s="3" t="inlineStr">
        <is>
          <t>Gross margin</t>
        </is>
      </c>
      <c r="B9" s="14">
        <f>B8/B6</f>
        <v/>
      </c>
      <c r="C9" s="14">
        <f>C8/C6</f>
        <v/>
      </c>
      <c r="D9" s="14">
        <f>D8/D6</f>
        <v/>
      </c>
      <c r="E9" s="14">
        <f>E8/E6</f>
        <v/>
      </c>
      <c r="F9" s="14">
        <f>F8/F6</f>
        <v/>
      </c>
      <c r="G9" s="14">
        <f>G8/G6</f>
        <v/>
      </c>
      <c r="H9" s="14">
        <f>H8/H6</f>
        <v/>
      </c>
      <c r="I9" s="14">
        <f>I8/I6</f>
        <v/>
      </c>
    </row>
    <row r="10">
      <c r="A10" s="3" t="inlineStr">
        <is>
          <t>Operating expenses (R&amp;D + SG&amp;A)</t>
        </is>
      </c>
      <c r="B10" s="11" t="n">
        <v>11318</v>
      </c>
      <c r="C10" s="11" t="n">
        <v>16420</v>
      </c>
      <c r="D10" s="11" t="n">
        <v>23132</v>
      </c>
      <c r="E10" s="17">
        <f>E6*Assumptions!E48</f>
        <v/>
      </c>
      <c r="F10" s="17">
        <f>F6*Assumptions!F48</f>
        <v/>
      </c>
      <c r="G10" s="17">
        <f>G6*Assumptions!G48</f>
        <v/>
      </c>
      <c r="H10" s="17">
        <f>H6*Assumptions!H48</f>
        <v/>
      </c>
      <c r="I10" s="17">
        <f>I6*Assumptions!I48</f>
        <v/>
      </c>
    </row>
    <row r="11">
      <c r="A11" s="8" t="inlineStr">
        <is>
          <t>Operating income (EBIT)</t>
        </is>
      </c>
      <c r="B11" s="18">
        <f>B8-B10</f>
        <v/>
      </c>
      <c r="C11" s="18">
        <f>C8-C10</f>
        <v/>
      </c>
      <c r="D11" s="18">
        <f>D8-D10</f>
        <v/>
      </c>
      <c r="E11" s="18">
        <f>E8-E10</f>
        <v/>
      </c>
      <c r="F11" s="18">
        <f>F8-F10</f>
        <v/>
      </c>
      <c r="G11" s="18">
        <f>G8-G10</f>
        <v/>
      </c>
      <c r="H11" s="18">
        <f>H8-H10</f>
        <v/>
      </c>
      <c r="I11" s="18">
        <f>I8-I10</f>
        <v/>
      </c>
    </row>
    <row r="12">
      <c r="A12" s="3" t="inlineStr">
        <is>
          <t>Operating margin</t>
        </is>
      </c>
      <c r="B12" s="14">
        <f>B11/B6</f>
        <v/>
      </c>
      <c r="C12" s="14">
        <f>C11/C6</f>
        <v/>
      </c>
      <c r="D12" s="14">
        <f>D11/D6</f>
        <v/>
      </c>
      <c r="E12" s="14">
        <f>E11/E6</f>
        <v/>
      </c>
      <c r="F12" s="14">
        <f>F11/F6</f>
        <v/>
      </c>
      <c r="G12" s="14">
        <f>G11/G6</f>
        <v/>
      </c>
      <c r="H12" s="14">
        <f>H11/H6</f>
        <v/>
      </c>
      <c r="I12" s="14">
        <f>I11/I6</f>
        <v/>
      </c>
    </row>
    <row r="13">
      <c r="A13" s="3" t="inlineStr">
        <is>
          <t>Depreciation &amp; amortization</t>
        </is>
      </c>
      <c r="B13" s="11" t="n">
        <v>1508</v>
      </c>
      <c r="C13" s="11" t="n">
        <v>1864</v>
      </c>
      <c r="D13" s="11" t="n">
        <v>3000</v>
      </c>
      <c r="E13" s="17">
        <f>E6*Assumptions!E49</f>
        <v/>
      </c>
      <c r="F13" s="17">
        <f>F6*Assumptions!F49</f>
        <v/>
      </c>
      <c r="G13" s="17">
        <f>G6*Assumptions!G49</f>
        <v/>
      </c>
      <c r="H13" s="17">
        <f>H6*Assumptions!H49</f>
        <v/>
      </c>
      <c r="I13" s="17">
        <f>I6*Assumptions!I49</f>
        <v/>
      </c>
    </row>
    <row r="14">
      <c r="A14" s="8" t="inlineStr">
        <is>
          <t>EBITDA</t>
        </is>
      </c>
      <c r="B14" s="18">
        <f>B11+B13</f>
        <v/>
      </c>
      <c r="C14" s="18">
        <f>C11+C13</f>
        <v/>
      </c>
      <c r="D14" s="18">
        <f>D11+D13</f>
        <v/>
      </c>
      <c r="E14" s="18">
        <f>E11+E13</f>
        <v/>
      </c>
      <c r="F14" s="18">
        <f>F11+F13</f>
        <v/>
      </c>
      <c r="G14" s="18">
        <f>G11+G13</f>
        <v/>
      </c>
      <c r="H14" s="18">
        <f>H11+H13</f>
        <v/>
      </c>
      <c r="I14" s="18">
        <f>I11+I13</f>
        <v/>
      </c>
    </row>
    <row r="15">
      <c r="A15" s="3" t="inlineStr">
        <is>
          <t>EBITDA margin</t>
        </is>
      </c>
      <c r="B15" s="14">
        <f>B14/B6</f>
        <v/>
      </c>
      <c r="C15" s="14">
        <f>C14/C6</f>
        <v/>
      </c>
      <c r="D15" s="14">
        <f>D14/D6</f>
        <v/>
      </c>
      <c r="E15" s="14">
        <f>E14/E6</f>
        <v/>
      </c>
      <c r="F15" s="14">
        <f>F14/F6</f>
        <v/>
      </c>
      <c r="G15" s="14">
        <f>G14/G6</f>
        <v/>
      </c>
      <c r="H15" s="14">
        <f>H14/H6</f>
        <v/>
      </c>
      <c r="I15" s="14">
        <f>I14/I6</f>
        <v/>
      </c>
    </row>
    <row r="16">
      <c r="A16" s="3" t="inlineStr">
        <is>
          <t>Other income (net int.+investments)</t>
        </is>
      </c>
      <c r="B16" s="11" t="n">
        <v>848</v>
      </c>
      <c r="C16" s="11" t="n">
        <v>2607</v>
      </c>
      <c r="D16" s="11" t="n">
        <v>9200</v>
      </c>
      <c r="E16" s="17">
        <f>Assumptions!E51</f>
        <v/>
      </c>
      <c r="F16" s="17">
        <f>Assumptions!F51</f>
        <v/>
      </c>
      <c r="G16" s="17">
        <f>Assumptions!G51</f>
        <v/>
      </c>
      <c r="H16" s="17">
        <f>Assumptions!H51</f>
        <v/>
      </c>
      <c r="I16" s="17">
        <f>Assumptions!I51</f>
        <v/>
      </c>
    </row>
    <row r="17">
      <c r="A17" s="8" t="inlineStr">
        <is>
          <t>Pre-tax income (PBT)</t>
        </is>
      </c>
      <c r="B17" s="18">
        <f>B11+B16</f>
        <v/>
      </c>
      <c r="C17" s="18">
        <f>C11+C16</f>
        <v/>
      </c>
      <c r="D17" s="18">
        <f>D11+D16</f>
        <v/>
      </c>
      <c r="E17" s="18">
        <f>E11+E16</f>
        <v/>
      </c>
      <c r="F17" s="18">
        <f>F11+F16</f>
        <v/>
      </c>
      <c r="G17" s="18">
        <f>G11+G16</f>
        <v/>
      </c>
      <c r="H17" s="18">
        <f>H11+H16</f>
        <v/>
      </c>
      <c r="I17" s="18">
        <f>I11+I16</f>
        <v/>
      </c>
    </row>
    <row r="18">
      <c r="A18" s="3" t="inlineStr">
        <is>
          <t>Tax</t>
        </is>
      </c>
      <c r="B18" s="11" t="n">
        <v>4062</v>
      </c>
      <c r="C18" s="11" t="n">
        <v>11180</v>
      </c>
      <c r="D18" s="11" t="n">
        <v>19533</v>
      </c>
      <c r="E18" s="17">
        <f>E17*Assumptions!$B$13</f>
        <v/>
      </c>
      <c r="F18" s="17">
        <f>F17*Assumptions!$B$13</f>
        <v/>
      </c>
      <c r="G18" s="17">
        <f>G17*Assumptions!$B$13</f>
        <v/>
      </c>
      <c r="H18" s="17">
        <f>H17*Assumptions!$B$13</f>
        <v/>
      </c>
      <c r="I18" s="17">
        <f>I17*Assumptions!$B$13</f>
        <v/>
      </c>
    </row>
    <row r="19">
      <c r="A19" s="8" t="inlineStr">
        <is>
          <t>Net income (GAAP)</t>
        </is>
      </c>
      <c r="B19" s="18">
        <f>B17-B18</f>
        <v/>
      </c>
      <c r="C19" s="18">
        <f>C17-C18</f>
        <v/>
      </c>
      <c r="D19" s="18">
        <f>D17-D18</f>
        <v/>
      </c>
      <c r="E19" s="18">
        <f>E17-E18</f>
        <v/>
      </c>
      <c r="F19" s="18">
        <f>F17-F18</f>
        <v/>
      </c>
      <c r="G19" s="18">
        <f>G17-G18</f>
        <v/>
      </c>
      <c r="H19" s="18">
        <f>H17-H18</f>
        <v/>
      </c>
      <c r="I19" s="18">
        <f>I17-I18</f>
        <v/>
      </c>
    </row>
    <row r="20">
      <c r="A20" s="3" t="inlineStr">
        <is>
          <t>Diluted EPS ($)</t>
        </is>
      </c>
      <c r="B20" s="5" t="n">
        <v>1.19</v>
      </c>
      <c r="C20" s="5" t="n">
        <v>2.94</v>
      </c>
      <c r="D20" s="5" t="n">
        <v>4.9</v>
      </c>
      <c r="E20" s="22">
        <f>E19/Assumptions!$B$5</f>
        <v/>
      </c>
      <c r="F20" s="22">
        <f>F19/Assumptions!$B$5</f>
        <v/>
      </c>
      <c r="G20" s="22">
        <f>G19/Assumptions!$B$5</f>
        <v/>
      </c>
      <c r="H20" s="22">
        <f>H19/Assumptions!$B$5</f>
        <v/>
      </c>
      <c r="I20" s="22">
        <f>I19/Assumptions!$B$5</f>
        <v/>
      </c>
    </row>
    <row r="22">
      <c r="A22" s="2" t="inlineStr">
        <is>
          <t>Source: NVDA FY26 10-K (25 Feb 2026); Q1 FY27 print $81.6bn and Q2 guide $91bn frame the forecast. Forecast = formulas.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Balance sheet ($m)</t>
        </is>
      </c>
    </row>
    <row r="2">
      <c r="A2" s="2" t="inlineStr">
        <is>
          <t>Historicals anchored to disclosed lines; PP&amp;E/goodwill plugs to disclosed totals; forecast rolls forward.</t>
        </is>
      </c>
    </row>
    <row r="3">
      <c r="B3" s="4" t="inlineStr">
        <is>
          <t>FY24</t>
        </is>
      </c>
      <c r="C3" s="4" t="inlineStr">
        <is>
          <t>FY25</t>
        </is>
      </c>
      <c r="D3" s="4" t="inlineStr">
        <is>
          <t>FY26</t>
        </is>
      </c>
      <c r="E3" s="4" t="inlineStr">
        <is>
          <t>FY27E</t>
        </is>
      </c>
      <c r="F3" s="4" t="inlineStr">
        <is>
          <t>FY28E</t>
        </is>
      </c>
      <c r="G3" s="4" t="inlineStr">
        <is>
          <t>FY29E</t>
        </is>
      </c>
      <c r="H3" s="4" t="inlineStr">
        <is>
          <t>FY30E</t>
        </is>
      </c>
      <c r="I3" s="4" t="inlineStr">
        <is>
          <t>FY31E</t>
        </is>
      </c>
    </row>
    <row r="4">
      <c r="A4" s="3" t="inlineStr">
        <is>
          <t>Cash &amp; equivalents + marketable securities</t>
        </is>
      </c>
      <c r="B4" s="11" t="n">
        <v>25984</v>
      </c>
      <c r="C4" s="11" t="n">
        <v>43210</v>
      </c>
      <c r="D4" s="11" t="n">
        <v>62556</v>
      </c>
      <c r="E4" s="17">
        <f>D4+('Cash Flow'!E9)-Assumptions!E52-Assumptions!E53</f>
        <v/>
      </c>
      <c r="F4" s="17">
        <f>E4+('Cash Flow'!F9)-Assumptions!F52-Assumptions!F53</f>
        <v/>
      </c>
      <c r="G4" s="17">
        <f>F4+('Cash Flow'!G9)-Assumptions!G52-Assumptions!G53</f>
        <v/>
      </c>
      <c r="H4" s="17">
        <f>G4+('Cash Flow'!H9)-Assumptions!H52-Assumptions!H53</f>
        <v/>
      </c>
      <c r="I4" s="17">
        <f>H4+('Cash Flow'!I9)-Assumptions!I52-Assumptions!I53</f>
        <v/>
      </c>
    </row>
    <row r="5">
      <c r="A5" s="3" t="inlineStr">
        <is>
          <t>Accounts receivable</t>
        </is>
      </c>
      <c r="B5" s="11" t="n">
        <v>9999</v>
      </c>
      <c r="C5" s="11" t="n">
        <v>23065</v>
      </c>
      <c r="D5" s="11" t="n">
        <v>38466</v>
      </c>
      <c r="E5" s="17">
        <f>'Income Statement'!E6*Assumptions!$B$23</f>
        <v/>
      </c>
      <c r="F5" s="17">
        <f>'Income Statement'!F6*Assumptions!$B$23</f>
        <v/>
      </c>
      <c r="G5" s="17">
        <f>'Income Statement'!G6*Assumptions!$B$23</f>
        <v/>
      </c>
      <c r="H5" s="17">
        <f>'Income Statement'!H6*Assumptions!$B$23</f>
        <v/>
      </c>
      <c r="I5" s="17">
        <f>'Income Statement'!I6*Assumptions!$B$23</f>
        <v/>
      </c>
    </row>
    <row r="6">
      <c r="A6" s="3" t="inlineStr">
        <is>
          <t>Inventories</t>
        </is>
      </c>
      <c r="B6" s="11" t="n">
        <v>5282</v>
      </c>
      <c r="C6" s="11" t="n">
        <v>10080</v>
      </c>
      <c r="D6" s="11" t="n">
        <v>21403</v>
      </c>
      <c r="E6" s="17">
        <f>'Income Statement'!E6*Assumptions!$B$24</f>
        <v/>
      </c>
      <c r="F6" s="17">
        <f>'Income Statement'!F6*Assumptions!$B$24</f>
        <v/>
      </c>
      <c r="G6" s="17">
        <f>'Income Statement'!G6*Assumptions!$B$24</f>
        <v/>
      </c>
      <c r="H6" s="17">
        <f>'Income Statement'!H6*Assumptions!$B$24</f>
        <v/>
      </c>
      <c r="I6" s="17">
        <f>'Income Statement'!I6*Assumptions!$B$24</f>
        <v/>
      </c>
    </row>
    <row r="7">
      <c r="A7" s="3" t="inlineStr">
        <is>
          <t>Strategic &amp; other assets</t>
        </is>
      </c>
      <c r="B7" s="11" t="n">
        <v>6000</v>
      </c>
      <c r="C7" s="11" t="n">
        <v>17000</v>
      </c>
      <c r="D7" s="11" t="n">
        <v>44000</v>
      </c>
      <c r="E7" s="17">
        <f>D7</f>
        <v/>
      </c>
      <c r="F7" s="17">
        <f>E7</f>
        <v/>
      </c>
      <c r="G7" s="17">
        <f>F7</f>
        <v/>
      </c>
      <c r="H7" s="17">
        <f>G7</f>
        <v/>
      </c>
      <c r="I7" s="17">
        <f>H7</f>
        <v/>
      </c>
    </row>
    <row r="8">
      <c r="A8" s="3" t="inlineStr">
        <is>
          <t>PP&amp;E, goodwill &amp; intangibles (plug)</t>
        </is>
      </c>
      <c r="B8" s="17">
        <f>(B12+B13+B14+B15+B16)-(B4+B5+B6+B7)</f>
        <v/>
      </c>
      <c r="C8" s="17">
        <f>(C12+C13+C14+C15+C16)-(C4+C5+C6+C7)</f>
        <v/>
      </c>
      <c r="D8" s="17">
        <f>(D12+D13+D14+D15+D16)-(D4+D5+D6+D7)</f>
        <v/>
      </c>
      <c r="E8" s="17">
        <f>D8+Assumptions!E50*'Income Statement'!E6-'Income Statement'!E13</f>
        <v/>
      </c>
      <c r="F8" s="17">
        <f>E8+Assumptions!F50*'Income Statement'!F6-'Income Statement'!F13</f>
        <v/>
      </c>
      <c r="G8" s="17">
        <f>F8+Assumptions!G50*'Income Statement'!G6-'Income Statement'!G13</f>
        <v/>
      </c>
      <c r="H8" s="17">
        <f>G8+Assumptions!H50*'Income Statement'!H6-'Income Statement'!H13</f>
        <v/>
      </c>
      <c r="I8" s="17">
        <f>H8+Assumptions!I50*'Income Statement'!I6-'Income Statement'!I13</f>
        <v/>
      </c>
    </row>
    <row r="9">
      <c r="A9" s="8" t="inlineStr">
        <is>
          <t>Total assets</t>
        </is>
      </c>
      <c r="B9" s="18">
        <f>SUM(B4:B8)</f>
        <v/>
      </c>
      <c r="C9" s="18">
        <f>SUM(C4:C8)</f>
        <v/>
      </c>
      <c r="D9" s="18">
        <f>SUM(D4:D8)</f>
        <v/>
      </c>
      <c r="E9" s="18">
        <f>SUM(E4:E8)</f>
        <v/>
      </c>
      <c r="F9" s="18">
        <f>SUM(F4:F8)</f>
        <v/>
      </c>
      <c r="G9" s="18">
        <f>SUM(G4:G8)</f>
        <v/>
      </c>
      <c r="H9" s="18">
        <f>SUM(H4:H8)</f>
        <v/>
      </c>
      <c r="I9" s="18">
        <f>SUM(I4:I8)</f>
        <v/>
      </c>
    </row>
    <row r="12">
      <c r="A12" s="3" t="inlineStr">
        <is>
          <t>Shareholders' equity</t>
        </is>
      </c>
      <c r="B12" s="11" t="n">
        <v>42978</v>
      </c>
      <c r="C12" s="11" t="n">
        <v>79327</v>
      </c>
      <c r="D12" s="11" t="n">
        <v>168540</v>
      </c>
      <c r="E12" s="17">
        <f>D12+'Income Statement'!E19-Assumptions!E52-Assumptions!E53</f>
        <v/>
      </c>
      <c r="F12" s="17">
        <f>E12+'Income Statement'!F19-Assumptions!F52-Assumptions!F53</f>
        <v/>
      </c>
      <c r="G12" s="17">
        <f>F12+'Income Statement'!G19-Assumptions!G52-Assumptions!G53</f>
        <v/>
      </c>
      <c r="H12" s="17">
        <f>G12+'Income Statement'!H19-Assumptions!H52-Assumptions!H53</f>
        <v/>
      </c>
      <c r="I12" s="17">
        <f>H12+'Income Statement'!I19-Assumptions!I52-Assumptions!I53</f>
        <v/>
      </c>
    </row>
    <row r="13">
      <c r="A13" s="3" t="inlineStr">
        <is>
          <t>Debt (notes payable)</t>
        </is>
      </c>
      <c r="B13" s="11" t="n">
        <v>9709</v>
      </c>
      <c r="C13" s="11" t="n">
        <v>8463</v>
      </c>
      <c r="D13" s="11" t="n">
        <v>8463</v>
      </c>
      <c r="E13" s="17">
        <f>D13</f>
        <v/>
      </c>
      <c r="F13" s="17">
        <f>E13</f>
        <v/>
      </c>
      <c r="G13" s="17">
        <f>F13</f>
        <v/>
      </c>
      <c r="H13" s="17">
        <f>G13</f>
        <v/>
      </c>
      <c r="I13" s="17">
        <f>H13</f>
        <v/>
      </c>
    </row>
    <row r="14">
      <c r="A14" s="3" t="inlineStr">
        <is>
          <t>Accounts payable</t>
        </is>
      </c>
      <c r="B14" s="11" t="n">
        <v>2699</v>
      </c>
      <c r="C14" s="11" t="n">
        <v>3466</v>
      </c>
      <c r="D14" s="11" t="n">
        <v>6300</v>
      </c>
      <c r="E14" s="17">
        <f>'Income Statement'!E6*Assumptions!$B$25</f>
        <v/>
      </c>
      <c r="F14" s="17">
        <f>'Income Statement'!F6*Assumptions!$B$25</f>
        <v/>
      </c>
      <c r="G14" s="17">
        <f>'Income Statement'!G6*Assumptions!$B$25</f>
        <v/>
      </c>
      <c r="H14" s="17">
        <f>'Income Statement'!H6*Assumptions!$B$25</f>
        <v/>
      </c>
      <c r="I14" s="17">
        <f>'Income Statement'!I6*Assumptions!$B$25</f>
        <v/>
      </c>
    </row>
    <row r="15">
      <c r="A15" s="3" t="inlineStr">
        <is>
          <t>Accrued &amp; other current liabilities</t>
        </is>
      </c>
      <c r="B15" s="11" t="n">
        <v>6000</v>
      </c>
      <c r="C15" s="11" t="n">
        <v>12000</v>
      </c>
      <c r="D15" s="11" t="n">
        <v>18000</v>
      </c>
      <c r="E15" s="17">
        <f>D15</f>
        <v/>
      </c>
      <c r="F15" s="17">
        <f>E15</f>
        <v/>
      </c>
      <c r="G15" s="17">
        <f>F15</f>
        <v/>
      </c>
      <c r="H15" s="17">
        <f>G15</f>
        <v/>
      </c>
      <c r="I15" s="17">
        <f>H15</f>
        <v/>
      </c>
    </row>
    <row r="16">
      <c r="A16" s="3" t="inlineStr">
        <is>
          <t>Other long-term liabilities</t>
        </is>
      </c>
      <c r="B16" s="11" t="n">
        <v>4342</v>
      </c>
      <c r="C16" s="11" t="n">
        <v>8345</v>
      </c>
      <c r="D16" s="11" t="n">
        <v>5000</v>
      </c>
      <c r="E16" s="17">
        <f>D16</f>
        <v/>
      </c>
      <c r="F16" s="17">
        <f>E16</f>
        <v/>
      </c>
      <c r="G16" s="17">
        <f>F16</f>
        <v/>
      </c>
      <c r="H16" s="17">
        <f>G16</f>
        <v/>
      </c>
      <c r="I16" s="17">
        <f>H16</f>
        <v/>
      </c>
    </row>
    <row r="17">
      <c r="A17" s="8" t="inlineStr">
        <is>
          <t>Total liabilities &amp; equity</t>
        </is>
      </c>
      <c r="B17" s="18">
        <f>B12+B13+B14+B15+B16</f>
        <v/>
      </c>
      <c r="C17" s="18">
        <f>C12+C13+C14+C15+C16</f>
        <v/>
      </c>
      <c r="D17" s="18">
        <f>D12+D13+D14+D15+D16</f>
        <v/>
      </c>
      <c r="E17" s="18">
        <f>E12+E13+E14+E15+E16</f>
        <v/>
      </c>
      <c r="F17" s="18">
        <f>F12+F13+F14+F15+F16</f>
        <v/>
      </c>
      <c r="G17" s="18">
        <f>G12+G13+G14+G15+G16</f>
        <v/>
      </c>
      <c r="H17" s="18">
        <f>H12+H13+H14+H15+H16</f>
        <v/>
      </c>
      <c r="I17" s="18">
        <f>I12+I13+I14+I15+I16</f>
        <v/>
      </c>
    </row>
    <row r="19">
      <c r="A19" s="3" t="inlineStr">
        <is>
          <t>Balance check (assets − L&amp;E)</t>
        </is>
      </c>
      <c r="B19" s="17">
        <f>B9-B17</f>
        <v/>
      </c>
      <c r="C19" s="17">
        <f>C9-C17</f>
        <v/>
      </c>
      <c r="D19" s="17">
        <f>D9-D17</f>
        <v/>
      </c>
      <c r="E19" s="17">
        <f>E9-E17</f>
        <v/>
      </c>
      <c r="F19" s="17">
        <f>F9-F17</f>
        <v/>
      </c>
      <c r="G19" s="17">
        <f>G9-G17</f>
        <v/>
      </c>
      <c r="H19" s="17">
        <f>H9-H17</f>
        <v/>
      </c>
      <c r="I19" s="17">
        <f>I9-I17</f>
        <v/>
      </c>
    </row>
    <row r="20">
      <c r="A20" s="3" t="inlineStr">
        <is>
          <t>Net cash / (debt)</t>
        </is>
      </c>
      <c r="B20" s="17">
        <f>B4-B13</f>
        <v/>
      </c>
      <c r="C20" s="17">
        <f>C4-C13</f>
        <v/>
      </c>
      <c r="D20" s="17">
        <f>D4-D13</f>
        <v/>
      </c>
      <c r="E20" s="17">
        <f>E4-E13</f>
        <v/>
      </c>
      <c r="F20" s="17">
        <f>F4-F13</f>
        <v/>
      </c>
      <c r="G20" s="17">
        <f>G4-G13</f>
        <v/>
      </c>
      <c r="H20" s="17">
        <f>H4-H13</f>
        <v/>
      </c>
      <c r="I20" s="17">
        <f>I4-I13</f>
        <v/>
      </c>
    </row>
    <row r="22">
      <c r="A22" s="2" t="inlineStr">
        <is>
          <t>Note: PP&amp;E/goodwill/intangibles plugs to disclosed total assets; forecast rolls +capex −D&amp;A. Cash rolls via the Cash Flow.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Cash flow ($m, forecast)</t>
        </is>
      </c>
    </row>
    <row r="2">
      <c r="A2" s="2" t="inlineStr">
        <is>
          <t>Derived from the Income Statement and Balance Sheet. Closing cash ties to the Balance Sheet.</t>
        </is>
      </c>
    </row>
    <row r="3">
      <c r="E3" s="4" t="inlineStr">
        <is>
          <t>FY27E</t>
        </is>
      </c>
      <c r="F3" s="4" t="inlineStr">
        <is>
          <t>FY28E</t>
        </is>
      </c>
      <c r="G3" s="4" t="inlineStr">
        <is>
          <t>FY29E</t>
        </is>
      </c>
      <c r="H3" s="4" t="inlineStr">
        <is>
          <t>FY30E</t>
        </is>
      </c>
      <c r="I3" s="4" t="inlineStr">
        <is>
          <t>FY31E</t>
        </is>
      </c>
    </row>
    <row r="4">
      <c r="A4" s="3" t="inlineStr">
        <is>
          <t>Net income</t>
        </is>
      </c>
      <c r="E4" s="21">
        <f>'Income Statement'!E19</f>
        <v/>
      </c>
      <c r="F4" s="21">
        <f>'Income Statement'!F19</f>
        <v/>
      </c>
      <c r="G4" s="21">
        <f>'Income Statement'!G19</f>
        <v/>
      </c>
      <c r="H4" s="21">
        <f>'Income Statement'!H19</f>
        <v/>
      </c>
      <c r="I4" s="21">
        <f>'Income Statement'!I19</f>
        <v/>
      </c>
    </row>
    <row r="5">
      <c r="A5" s="3" t="inlineStr">
        <is>
          <t>+ D&amp;A</t>
        </is>
      </c>
      <c r="E5" s="21">
        <f>'Income Statement'!E13</f>
        <v/>
      </c>
      <c r="F5" s="21">
        <f>'Income Statement'!F13</f>
        <v/>
      </c>
      <c r="G5" s="21">
        <f>'Income Statement'!G13</f>
        <v/>
      </c>
      <c r="H5" s="21">
        <f>'Income Statement'!H13</f>
        <v/>
      </c>
      <c r="I5" s="21">
        <f>'Income Statement'!I13</f>
        <v/>
      </c>
    </row>
    <row r="6">
      <c r="A6" s="3" t="inlineStr">
        <is>
          <t>− Increase in net working capital</t>
        </is>
      </c>
      <c r="E6" s="17">
        <f>-(('Balance Sheet'!E5+'Balance Sheet'!E6-'Balance Sheet'!E14)-('Balance Sheet'!D5+'Balance Sheet'!D6-'Balance Sheet'!D14))</f>
        <v/>
      </c>
      <c r="F6" s="17">
        <f>-(('Balance Sheet'!F5+'Balance Sheet'!F6-'Balance Sheet'!F14)-('Balance Sheet'!E5+'Balance Sheet'!E6-'Balance Sheet'!E14))</f>
        <v/>
      </c>
      <c r="G6" s="17">
        <f>-(('Balance Sheet'!G5+'Balance Sheet'!G6-'Balance Sheet'!G14)-('Balance Sheet'!F5+'Balance Sheet'!F6-'Balance Sheet'!F14))</f>
        <v/>
      </c>
      <c r="H6" s="17">
        <f>-(('Balance Sheet'!H5+'Balance Sheet'!H6-'Balance Sheet'!H14)-('Balance Sheet'!G5+'Balance Sheet'!G6-'Balance Sheet'!G14))</f>
        <v/>
      </c>
      <c r="I6" s="17">
        <f>-(('Balance Sheet'!I5+'Balance Sheet'!I6-'Balance Sheet'!I14)-('Balance Sheet'!H5+'Balance Sheet'!H6-'Balance Sheet'!H14))</f>
        <v/>
      </c>
    </row>
    <row r="7">
      <c r="A7" s="8" t="inlineStr">
        <is>
          <t>Operating cash flow</t>
        </is>
      </c>
      <c r="E7" s="18">
        <f>E4+E5+E6</f>
        <v/>
      </c>
      <c r="F7" s="18">
        <f>F4+F5+F6</f>
        <v/>
      </c>
      <c r="G7" s="18">
        <f>G4+G5+G6</f>
        <v/>
      </c>
      <c r="H7" s="18">
        <f>H4+H5+H6</f>
        <v/>
      </c>
      <c r="I7" s="18">
        <f>I4+I5+I6</f>
        <v/>
      </c>
    </row>
    <row r="8">
      <c r="A8" s="3" t="inlineStr">
        <is>
          <t>− Capex</t>
        </is>
      </c>
      <c r="E8" s="17">
        <f>-Assumptions!E50*'Income Statement'!E6</f>
        <v/>
      </c>
      <c r="F8" s="17">
        <f>-Assumptions!F50*'Income Statement'!F6</f>
        <v/>
      </c>
      <c r="G8" s="17">
        <f>-Assumptions!G50*'Income Statement'!G6</f>
        <v/>
      </c>
      <c r="H8" s="17">
        <f>-Assumptions!H50*'Income Statement'!H6</f>
        <v/>
      </c>
      <c r="I8" s="17">
        <f>-Assumptions!I50*'Income Statement'!I6</f>
        <v/>
      </c>
    </row>
    <row r="9">
      <c r="A9" s="8" t="inlineStr">
        <is>
          <t>Free cash flow</t>
        </is>
      </c>
      <c r="E9" s="18">
        <f>E7+E8</f>
        <v/>
      </c>
      <c r="F9" s="18">
        <f>F7+F8</f>
        <v/>
      </c>
      <c r="G9" s="18">
        <f>G7+G8</f>
        <v/>
      </c>
      <c r="H9" s="18">
        <f>H7+H8</f>
        <v/>
      </c>
      <c r="I9" s="18">
        <f>I7+I8</f>
        <v/>
      </c>
    </row>
    <row r="10">
      <c r="A10" s="3" t="inlineStr">
        <is>
          <t>− Dividends</t>
        </is>
      </c>
      <c r="E10" s="17">
        <f>-Assumptions!E52</f>
        <v/>
      </c>
      <c r="F10" s="17">
        <f>-Assumptions!F52</f>
        <v/>
      </c>
      <c r="G10" s="17">
        <f>-Assumptions!G52</f>
        <v/>
      </c>
      <c r="H10" s="17">
        <f>-Assumptions!H52</f>
        <v/>
      </c>
      <c r="I10" s="17">
        <f>-Assumptions!I52</f>
        <v/>
      </c>
    </row>
    <row r="11">
      <c r="A11" s="3" t="inlineStr">
        <is>
          <t>− Net buybacks</t>
        </is>
      </c>
      <c r="E11" s="17">
        <f>-Assumptions!E53</f>
        <v/>
      </c>
      <c r="F11" s="17">
        <f>-Assumptions!F53</f>
        <v/>
      </c>
      <c r="G11" s="17">
        <f>-Assumptions!G53</f>
        <v/>
      </c>
      <c r="H11" s="17">
        <f>-Assumptions!H53</f>
        <v/>
      </c>
      <c r="I11" s="17">
        <f>-Assumptions!I53</f>
        <v/>
      </c>
    </row>
    <row r="12">
      <c r="A12" s="3" t="inlineStr">
        <is>
          <t>Net change in cash</t>
        </is>
      </c>
      <c r="E12" s="17">
        <f>E9+E10+E11</f>
        <v/>
      </c>
      <c r="F12" s="17">
        <f>F9+F10+F11</f>
        <v/>
      </c>
      <c r="G12" s="17">
        <f>G9+G10+G11</f>
        <v/>
      </c>
      <c r="H12" s="17">
        <f>H9+H10+H11</f>
        <v/>
      </c>
      <c r="I12" s="17">
        <f>I9+I10+I11</f>
        <v/>
      </c>
    </row>
    <row r="13">
      <c r="A13" s="3" t="inlineStr">
        <is>
          <t>Opening cash+securities</t>
        </is>
      </c>
      <c r="E13" s="17">
        <f>'Balance Sheet'!D4</f>
        <v/>
      </c>
      <c r="F13" s="17">
        <f>'Balance Sheet'!E4</f>
        <v/>
      </c>
      <c r="G13" s="17">
        <f>'Balance Sheet'!F4</f>
        <v/>
      </c>
      <c r="H13" s="17">
        <f>'Balance Sheet'!G4</f>
        <v/>
      </c>
      <c r="I13" s="17">
        <f>'Balance Sheet'!H4</f>
        <v/>
      </c>
    </row>
    <row r="14">
      <c r="A14" s="8" t="inlineStr">
        <is>
          <t>Closing cash+securities</t>
        </is>
      </c>
      <c r="E14" s="18">
        <f>E13+E12</f>
        <v/>
      </c>
      <c r="F14" s="18">
        <f>F13+F12</f>
        <v/>
      </c>
      <c r="G14" s="18">
        <f>G13+G12</f>
        <v/>
      </c>
      <c r="H14" s="18">
        <f>H13+H12</f>
        <v/>
      </c>
      <c r="I14" s="18">
        <f>I13+I12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Summary financials ($m)</t>
        </is>
      </c>
    </row>
    <row r="2">
      <c r="A2" s="2" t="inlineStr">
        <is>
          <t>Every cell links to the statement sheets.</t>
        </is>
      </c>
    </row>
    <row r="3">
      <c r="B3" s="4" t="inlineStr">
        <is>
          <t>FY24</t>
        </is>
      </c>
      <c r="C3" s="4" t="inlineStr">
        <is>
          <t>FY25</t>
        </is>
      </c>
      <c r="D3" s="4" t="inlineStr">
        <is>
          <t>FY26</t>
        </is>
      </c>
      <c r="E3" s="4" t="inlineStr">
        <is>
          <t>FY27E</t>
        </is>
      </c>
      <c r="F3" s="4" t="inlineStr">
        <is>
          <t>FY28E</t>
        </is>
      </c>
      <c r="G3" s="4" t="inlineStr">
        <is>
          <t>FY29E</t>
        </is>
      </c>
      <c r="H3" s="4" t="inlineStr">
        <is>
          <t>FY30E</t>
        </is>
      </c>
      <c r="I3" s="4" t="inlineStr">
        <is>
          <t>FY31E</t>
        </is>
      </c>
    </row>
    <row r="4">
      <c r="A4" s="3" t="inlineStr">
        <is>
          <t>Revenue</t>
        </is>
      </c>
      <c r="B4" s="21">
        <f>'Income Statement'!B6</f>
        <v/>
      </c>
      <c r="C4" s="21">
        <f>'Income Statement'!C6</f>
        <v/>
      </c>
      <c r="D4" s="21">
        <f>'Income Statement'!D6</f>
        <v/>
      </c>
      <c r="E4" s="21">
        <f>'Income Statement'!E6</f>
        <v/>
      </c>
      <c r="F4" s="21">
        <f>'Income Statement'!F6</f>
        <v/>
      </c>
      <c r="G4" s="21">
        <f>'Income Statement'!G6</f>
        <v/>
      </c>
      <c r="H4" s="21">
        <f>'Income Statement'!H6</f>
        <v/>
      </c>
      <c r="I4" s="21">
        <f>'Income Statement'!I6</f>
        <v/>
      </c>
    </row>
    <row r="5">
      <c r="A5" s="3" t="inlineStr">
        <is>
          <t>EBITDA</t>
        </is>
      </c>
      <c r="B5" s="21">
        <f>'Income Statement'!B14</f>
        <v/>
      </c>
      <c r="C5" s="21">
        <f>'Income Statement'!C14</f>
        <v/>
      </c>
      <c r="D5" s="21">
        <f>'Income Statement'!D14</f>
        <v/>
      </c>
      <c r="E5" s="21">
        <f>'Income Statement'!E14</f>
        <v/>
      </c>
      <c r="F5" s="21">
        <f>'Income Statement'!F14</f>
        <v/>
      </c>
      <c r="G5" s="21">
        <f>'Income Statement'!G14</f>
        <v/>
      </c>
      <c r="H5" s="21">
        <f>'Income Statement'!H14</f>
        <v/>
      </c>
      <c r="I5" s="21">
        <f>'Income Statement'!I14</f>
        <v/>
      </c>
    </row>
    <row r="6">
      <c r="A6" s="3" t="inlineStr">
        <is>
          <t>EBIT</t>
        </is>
      </c>
      <c r="B6" s="21">
        <f>'Income Statement'!B11</f>
        <v/>
      </c>
      <c r="C6" s="21">
        <f>'Income Statement'!C11</f>
        <v/>
      </c>
      <c r="D6" s="21">
        <f>'Income Statement'!D11</f>
        <v/>
      </c>
      <c r="E6" s="21">
        <f>'Income Statement'!E11</f>
        <v/>
      </c>
      <c r="F6" s="21">
        <f>'Income Statement'!F11</f>
        <v/>
      </c>
      <c r="G6" s="21">
        <f>'Income Statement'!G11</f>
        <v/>
      </c>
      <c r="H6" s="21">
        <f>'Income Statement'!H11</f>
        <v/>
      </c>
      <c r="I6" s="21">
        <f>'Income Statement'!I11</f>
        <v/>
      </c>
    </row>
    <row r="7">
      <c r="A7" s="3" t="inlineStr">
        <is>
          <t>Net income</t>
        </is>
      </c>
      <c r="B7" s="21">
        <f>'Income Statement'!B19</f>
        <v/>
      </c>
      <c r="C7" s="21">
        <f>'Income Statement'!C19</f>
        <v/>
      </c>
      <c r="D7" s="21">
        <f>'Income Statement'!D19</f>
        <v/>
      </c>
      <c r="E7" s="21">
        <f>'Income Statement'!E19</f>
        <v/>
      </c>
      <c r="F7" s="21">
        <f>'Income Statement'!F19</f>
        <v/>
      </c>
      <c r="G7" s="21">
        <f>'Income Statement'!G19</f>
        <v/>
      </c>
      <c r="H7" s="21">
        <f>'Income Statement'!H19</f>
        <v/>
      </c>
      <c r="I7" s="21">
        <f>'Income Statement'!I19</f>
        <v/>
      </c>
    </row>
    <row r="8">
      <c r="A8" s="3" t="inlineStr">
        <is>
          <t>Total assets</t>
        </is>
      </c>
      <c r="B8" s="21">
        <f>'Balance Sheet'!B9</f>
        <v/>
      </c>
      <c r="C8" s="21">
        <f>'Balance Sheet'!C9</f>
        <v/>
      </c>
      <c r="D8" s="21">
        <f>'Balance Sheet'!D9</f>
        <v/>
      </c>
      <c r="E8" s="21">
        <f>'Balance Sheet'!E9</f>
        <v/>
      </c>
      <c r="F8" s="21">
        <f>'Balance Sheet'!F9</f>
        <v/>
      </c>
      <c r="G8" s="21">
        <f>'Balance Sheet'!G9</f>
        <v/>
      </c>
      <c r="H8" s="21">
        <f>'Balance Sheet'!H9</f>
        <v/>
      </c>
      <c r="I8" s="21">
        <f>'Balance Sheet'!I9</f>
        <v/>
      </c>
    </row>
    <row r="9">
      <c r="A9" s="3" t="inlineStr">
        <is>
          <t>Equity</t>
        </is>
      </c>
      <c r="B9" s="21">
        <f>'Balance Sheet'!B12</f>
        <v/>
      </c>
      <c r="C9" s="21">
        <f>'Balance Sheet'!C12</f>
        <v/>
      </c>
      <c r="D9" s="21">
        <f>'Balance Sheet'!D12</f>
        <v/>
      </c>
      <c r="E9" s="21">
        <f>'Balance Sheet'!E12</f>
        <v/>
      </c>
      <c r="F9" s="21">
        <f>'Balance Sheet'!F12</f>
        <v/>
      </c>
      <c r="G9" s="21">
        <f>'Balance Sheet'!G12</f>
        <v/>
      </c>
      <c r="H9" s="21">
        <f>'Balance Sheet'!H12</f>
        <v/>
      </c>
      <c r="I9" s="21">
        <f>'Balance Sheet'!I12</f>
        <v/>
      </c>
    </row>
    <row r="10">
      <c r="A10" s="3" t="inlineStr">
        <is>
          <t>Net cash</t>
        </is>
      </c>
      <c r="B10" s="21">
        <f>'Balance Sheet'!B20</f>
        <v/>
      </c>
      <c r="C10" s="21">
        <f>'Balance Sheet'!C20</f>
        <v/>
      </c>
      <c r="D10" s="21">
        <f>'Balance Sheet'!D20</f>
        <v/>
      </c>
      <c r="E10" s="21">
        <f>'Balance Sheet'!E20</f>
        <v/>
      </c>
      <c r="F10" s="21">
        <f>'Balance Sheet'!F20</f>
        <v/>
      </c>
      <c r="G10" s="21">
        <f>'Balance Sheet'!G20</f>
        <v/>
      </c>
      <c r="H10" s="21">
        <f>'Balance Sheet'!H20</f>
        <v/>
      </c>
      <c r="I10" s="21">
        <f>'Balance Sheet'!I20</f>
        <v/>
      </c>
    </row>
    <row r="11">
      <c r="A11" s="3" t="inlineStr">
        <is>
          <t>Free cash flow</t>
        </is>
      </c>
      <c r="E11" s="21">
        <f>'Cash Flow'!E9</f>
        <v/>
      </c>
      <c r="F11" s="21">
        <f>'Cash Flow'!F9</f>
        <v/>
      </c>
      <c r="G11" s="21">
        <f>'Cash Flow'!G9</f>
        <v/>
      </c>
      <c r="H11" s="21">
        <f>'Cash Flow'!H9</f>
        <v/>
      </c>
      <c r="I11" s="21">
        <f>'Cash Flow'!I9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Monte Carlo — engine outputs</t>
        </is>
      </c>
    </row>
    <row r="2">
      <c r="A2" s="2" t="inlineStr">
        <is>
          <t>50,000 paths · 16 factors · seed 42 · zero drift (international) · YZ-HAR width · Student-t(5). Values, not a sheet simulation.</t>
        </is>
      </c>
    </row>
    <row r="3">
      <c r="A3" s="10" t="inlineStr">
        <is>
          <t>Probability read (T+60, from the same 50,000 paths)</t>
        </is>
      </c>
    </row>
    <row r="4">
      <c r="A4" s="3" t="inlineStr">
        <is>
          <t>P(price above spot)</t>
        </is>
      </c>
      <c r="C4" s="24" t="inlineStr">
        <is>
          <t>47%</t>
        </is>
      </c>
    </row>
    <row r="5">
      <c r="A5" s="3" t="inlineStr">
        <is>
          <t>P(+10%) vs P(−10%)</t>
        </is>
      </c>
      <c r="C5" s="24" t="inlineStr">
        <is>
          <t>30% vs 34%  (odds 0.89)</t>
        </is>
      </c>
    </row>
    <row r="6">
      <c r="A6" s="3" t="inlineStr">
        <is>
          <t>Median level / move</t>
        </is>
      </c>
      <c r="C6" s="24" t="inlineStr">
        <is>
          <t>$193  (−1.6%)</t>
        </is>
      </c>
    </row>
    <row r="7">
      <c r="A7" s="3" t="inlineStr">
        <is>
          <t>50% band (25th–75th)</t>
        </is>
      </c>
      <c r="C7" s="24" t="inlineStr">
        <is>
          <t>$167 – $223  (−15% / +14%)</t>
        </is>
      </c>
    </row>
    <row r="8">
      <c r="A8" s="3" t="inlineStr">
        <is>
          <t>Touch +10% / −10%</t>
        </is>
      </c>
      <c r="C8" s="24" t="inlineStr">
        <is>
          <t>57% / 59%</t>
        </is>
      </c>
    </row>
    <row r="10">
      <c r="A10" s="10" t="inlineStr">
        <is>
          <t>Percentile map ($/share)</t>
        </is>
      </c>
    </row>
    <row r="11">
      <c r="A11" s="4" t="inlineStr">
        <is>
          <t>Horizon</t>
        </is>
      </c>
      <c r="B11" s="4" t="inlineStr">
        <is>
          <t>p5</t>
        </is>
      </c>
      <c r="C11" s="4" t="inlineStr">
        <is>
          <t>p25</t>
        </is>
      </c>
      <c r="D11" s="4" t="inlineStr">
        <is>
          <t>p50</t>
        </is>
      </c>
      <c r="E11" s="4" t="inlineStr">
        <is>
          <t>p75</t>
        </is>
      </c>
      <c r="F11" s="4" t="inlineStr">
        <is>
          <t>p95</t>
        </is>
      </c>
    </row>
    <row r="12">
      <c r="A12" s="3" t="inlineStr">
        <is>
          <t>T+20 sessions</t>
        </is>
      </c>
      <c r="B12" s="5" t="n">
        <v>156</v>
      </c>
      <c r="C12" s="5" t="n">
        <v>180</v>
      </c>
      <c r="D12" s="5" t="n">
        <v>195</v>
      </c>
      <c r="E12" s="5" t="n">
        <v>212</v>
      </c>
      <c r="F12" s="5" t="n">
        <v>244</v>
      </c>
    </row>
    <row r="13">
      <c r="A13" s="3" t="inlineStr">
        <is>
          <t>T+60 sessions</t>
        </is>
      </c>
      <c r="B13" s="5" t="n">
        <v>132</v>
      </c>
      <c r="C13" s="5" t="n">
        <v>167</v>
      </c>
      <c r="D13" s="5" t="n">
        <v>193</v>
      </c>
      <c r="E13" s="5" t="n">
        <v>223</v>
      </c>
      <c r="F13" s="5" t="n">
        <v>283</v>
      </c>
    </row>
    <row r="15">
      <c r="A15" s="3" t="inlineStr">
        <is>
          <t>Inputs (from Assumptions): σ</t>
        </is>
      </c>
      <c r="C15" s="7">
        <f>Assumptions!$B$28</f>
        <v/>
      </c>
    </row>
    <row r="16">
      <c r="A16" s="3" t="inlineStr">
        <is>
          <t>net continuous factor drift</t>
        </is>
      </c>
      <c r="C16" s="7">
        <f>Assumptions!$B$29</f>
        <v/>
      </c>
    </row>
    <row r="18">
      <c r="A18" s="10" t="inlineStr">
        <is>
          <t>Level-touch ladder</t>
        </is>
      </c>
    </row>
    <row r="19">
      <c r="A19" s="4" t="inlineStr">
        <is>
          <t>Level</t>
        </is>
      </c>
      <c r="B19" s="4" t="inlineStr">
        <is>
          <t>T+20</t>
        </is>
      </c>
      <c r="C19" s="4" t="inlineStr">
        <is>
          <t>T+60</t>
        </is>
      </c>
    </row>
    <row r="20">
      <c r="A20" s="3" t="n">
        <v>240</v>
      </c>
      <c r="B20" s="12" t="n">
        <v>0.098</v>
      </c>
      <c r="C20" s="12" t="n">
        <v>0.295</v>
      </c>
    </row>
    <row r="21">
      <c r="A21" s="3" t="n">
        <v>230</v>
      </c>
      <c r="B21" s="12" t="n">
        <v>0.169</v>
      </c>
      <c r="C21" s="12" t="n">
        <v>0.392</v>
      </c>
    </row>
    <row r="22">
      <c r="A22" s="3" t="n">
        <v>220</v>
      </c>
      <c r="B22" s="12" t="n">
        <v>0.289</v>
      </c>
      <c r="C22" s="12" t="n">
        <v>0.517</v>
      </c>
    </row>
    <row r="23">
      <c r="A23" s="3" t="n">
        <v>210</v>
      </c>
      <c r="B23" s="12" t="n">
        <v>0.476</v>
      </c>
      <c r="C23" s="12" t="n">
        <v>0.666</v>
      </c>
    </row>
    <row r="24">
      <c r="A24" s="3" t="n">
        <v>200</v>
      </c>
      <c r="B24" s="12" t="n">
        <v>0.758</v>
      </c>
      <c r="C24" s="12" t="n">
        <v>0.852</v>
      </c>
    </row>
    <row r="25">
      <c r="A25" s="3" t="n">
        <v>190</v>
      </c>
      <c r="B25" s="12" t="n">
        <v>0.6909999999999999</v>
      </c>
      <c r="C25" s="12" t="n">
        <v>0.825</v>
      </c>
    </row>
    <row r="26">
      <c r="A26" s="3" t="n">
        <v>180</v>
      </c>
      <c r="B26" s="12" t="n">
        <v>0.414</v>
      </c>
      <c r="C26" s="12" t="n">
        <v>0.644</v>
      </c>
    </row>
    <row r="27">
      <c r="A27" s="3" t="n">
        <v>170</v>
      </c>
      <c r="B27" s="12" t="n">
        <v>0.217</v>
      </c>
      <c r="C27" s="12" t="n">
        <v>0.478</v>
      </c>
    </row>
    <row r="28">
      <c r="A28" s="3" t="n">
        <v>160</v>
      </c>
      <c r="B28" s="12" t="n">
        <v>0.105</v>
      </c>
      <c r="C28" s="12" t="n">
        <v>0.335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DCF sensitivity — WACC × terminal growth</t>
        </is>
      </c>
    </row>
    <row r="2">
      <c r="A2" s="2" t="inlineStr">
        <is>
          <t>Fair value ($/share) live off the DCF engine. Cells near spot show how much AI-compute durability is priced.</t>
        </is>
      </c>
    </row>
    <row r="4">
      <c r="A4" s="4" t="inlineStr">
        <is>
          <t>WACC \ g</t>
        </is>
      </c>
      <c r="B4" s="25" t="n">
        <v>0.03</v>
      </c>
      <c r="C4" s="25" t="n">
        <v>0.035</v>
      </c>
      <c r="D4" s="25" t="n">
        <v>0.04</v>
      </c>
      <c r="E4" s="25" t="n">
        <v>0.045</v>
      </c>
      <c r="F4" s="25" t="n">
        <v>0.05</v>
      </c>
    </row>
    <row r="5">
      <c r="A5" s="12" t="n">
        <v>0.095</v>
      </c>
      <c r="B5" s="22" t="n">
        <v>189</v>
      </c>
      <c r="C5" s="22" t="n">
        <v>202</v>
      </c>
      <c r="D5" s="22" t="n">
        <v>217</v>
      </c>
      <c r="E5" s="22" t="n">
        <v>235</v>
      </c>
      <c r="F5" s="22" t="n">
        <v>257</v>
      </c>
    </row>
    <row r="6">
      <c r="A6" s="12" t="n">
        <v>0.105</v>
      </c>
      <c r="B6" s="22" t="n">
        <v>163</v>
      </c>
      <c r="C6" s="22" t="n">
        <v>172</v>
      </c>
      <c r="D6" s="22" t="n">
        <v>183</v>
      </c>
      <c r="E6" s="22" t="n">
        <v>195</v>
      </c>
      <c r="F6" s="22" t="n">
        <v>210</v>
      </c>
    </row>
    <row r="7">
      <c r="A7" s="12" t="n">
        <v>0.11</v>
      </c>
      <c r="B7" s="22" t="n">
        <v>153</v>
      </c>
      <c r="C7" s="22" t="n">
        <v>160</v>
      </c>
      <c r="D7" s="6">
        <f>'DCF (Primary)'!B21</f>
        <v/>
      </c>
      <c r="E7" s="22" t="n">
        <v>180</v>
      </c>
      <c r="F7" s="22" t="n">
        <v>192</v>
      </c>
    </row>
    <row r="8">
      <c r="A8" s="12" t="n">
        <v>0.115</v>
      </c>
      <c r="B8" s="22" t="n">
        <v>143</v>
      </c>
      <c r="C8" s="22" t="n">
        <v>150</v>
      </c>
      <c r="D8" s="22" t="n">
        <v>158</v>
      </c>
      <c r="E8" s="22" t="n">
        <v>167</v>
      </c>
      <c r="F8" s="22" t="n">
        <v>177</v>
      </c>
    </row>
    <row r="9">
      <c r="A9" s="12" t="n">
        <v>0.125</v>
      </c>
      <c r="B9" s="22" t="n">
        <v>128</v>
      </c>
      <c r="C9" s="22" t="n">
        <v>133</v>
      </c>
      <c r="D9" s="22" t="n">
        <v>139</v>
      </c>
      <c r="E9" s="22" t="n">
        <v>145</v>
      </c>
      <c r="F9" s="22" t="n">
        <v>153</v>
      </c>
    </row>
    <row r="11">
      <c r="A11" s="2" t="inlineStr">
        <is>
          <t>Base cell (10.5% × 4.5%) links live to the DCF; other cells are engine outputs at the labelled WACC/g. TV = 79% of EV.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Per-share &amp; ratios</t>
        </is>
      </c>
    </row>
    <row r="2">
      <c r="A2" s="2" t="inlineStr">
        <is>
          <t>Links to statements / Assumptions.</t>
        </is>
      </c>
    </row>
    <row r="3">
      <c r="B3" s="4" t="inlineStr">
        <is>
          <t>FY24</t>
        </is>
      </c>
      <c r="C3" s="4" t="inlineStr">
        <is>
          <t>FY25</t>
        </is>
      </c>
      <c r="D3" s="4" t="inlineStr">
        <is>
          <t>FY26</t>
        </is>
      </c>
      <c r="E3" s="4" t="inlineStr">
        <is>
          <t>FY27E</t>
        </is>
      </c>
      <c r="F3" s="4" t="inlineStr">
        <is>
          <t>FY28E</t>
        </is>
      </c>
      <c r="G3" s="4" t="inlineStr">
        <is>
          <t>FY29E</t>
        </is>
      </c>
      <c r="H3" s="4" t="inlineStr">
        <is>
          <t>FY30E</t>
        </is>
      </c>
      <c r="I3" s="4" t="inlineStr">
        <is>
          <t>FY31E</t>
        </is>
      </c>
    </row>
    <row r="4">
      <c r="A4" s="3" t="inlineStr">
        <is>
          <t>Diluted EPS ($)</t>
        </is>
      </c>
      <c r="B4" s="6">
        <f>'Income Statement'!B20</f>
        <v/>
      </c>
      <c r="C4" s="6">
        <f>'Income Statement'!C20</f>
        <v/>
      </c>
      <c r="D4" s="6">
        <f>'Income Statement'!D20</f>
        <v/>
      </c>
      <c r="E4" s="6">
        <f>'Income Statement'!E20</f>
        <v/>
      </c>
      <c r="F4" s="6">
        <f>'Income Statement'!F20</f>
        <v/>
      </c>
      <c r="G4" s="6">
        <f>'Income Statement'!G20</f>
        <v/>
      </c>
      <c r="H4" s="6">
        <f>'Income Statement'!H20</f>
        <v/>
      </c>
      <c r="I4" s="6">
        <f>'Income Statement'!I20</f>
        <v/>
      </c>
    </row>
    <row r="5">
      <c r="A5" s="3" t="inlineStr">
        <is>
          <t>Book value / share ($)</t>
        </is>
      </c>
      <c r="B5" s="6">
        <f>'Balance Sheet'!B12/Assumptions!$B$5</f>
        <v/>
      </c>
      <c r="C5" s="6">
        <f>'Balance Sheet'!C12/Assumptions!$B$5</f>
        <v/>
      </c>
      <c r="D5" s="6">
        <f>'Balance Sheet'!D12/Assumptions!$B$5</f>
        <v/>
      </c>
      <c r="E5" s="6">
        <f>'Balance Sheet'!E12/Assumptions!$B$5</f>
        <v/>
      </c>
      <c r="F5" s="6">
        <f>'Balance Sheet'!F12/Assumptions!$B$5</f>
        <v/>
      </c>
      <c r="G5" s="6">
        <f>'Balance Sheet'!G12/Assumptions!$B$5</f>
        <v/>
      </c>
      <c r="H5" s="6">
        <f>'Balance Sheet'!H12/Assumptions!$B$5</f>
        <v/>
      </c>
      <c r="I5" s="6">
        <f>'Balance Sheet'!I12/Assumptions!$B$5</f>
        <v/>
      </c>
    </row>
    <row r="6">
      <c r="A6" s="3" t="inlineStr">
        <is>
          <t>Gross margin</t>
        </is>
      </c>
      <c r="B6" s="7">
        <f>'Income Statement'!B9</f>
        <v/>
      </c>
      <c r="C6" s="7">
        <f>'Income Statement'!C9</f>
        <v/>
      </c>
      <c r="D6" s="7">
        <f>'Income Statement'!D9</f>
        <v/>
      </c>
      <c r="E6" s="7">
        <f>'Income Statement'!E9</f>
        <v/>
      </c>
      <c r="F6" s="7">
        <f>'Income Statement'!F9</f>
        <v/>
      </c>
      <c r="G6" s="7">
        <f>'Income Statement'!G9</f>
        <v/>
      </c>
      <c r="H6" s="7">
        <f>'Income Statement'!H9</f>
        <v/>
      </c>
      <c r="I6" s="7">
        <f>'Income Statement'!I9</f>
        <v/>
      </c>
    </row>
    <row r="7">
      <c r="A7" s="3" t="inlineStr">
        <is>
          <t>Operating margin</t>
        </is>
      </c>
      <c r="B7" s="7">
        <f>'Income Statement'!B12</f>
        <v/>
      </c>
      <c r="C7" s="7">
        <f>'Income Statement'!C12</f>
        <v/>
      </c>
      <c r="D7" s="7">
        <f>'Income Statement'!D12</f>
        <v/>
      </c>
      <c r="E7" s="7">
        <f>'Income Statement'!E12</f>
        <v/>
      </c>
      <c r="F7" s="7">
        <f>'Income Statement'!F12</f>
        <v/>
      </c>
      <c r="G7" s="7">
        <f>'Income Statement'!G12</f>
        <v/>
      </c>
      <c r="H7" s="7">
        <f>'Income Statement'!H12</f>
        <v/>
      </c>
      <c r="I7" s="7">
        <f>'Income Statement'!I12</f>
        <v/>
      </c>
    </row>
    <row r="8">
      <c r="A8" s="3" t="inlineStr">
        <is>
          <t>Net margin</t>
        </is>
      </c>
      <c r="B8" s="7">
        <f>'Income Statement'!B19/'Income Statement'!B6</f>
        <v/>
      </c>
      <c r="C8" s="7">
        <f>'Income Statement'!C19/'Income Statement'!C6</f>
        <v/>
      </c>
      <c r="D8" s="7">
        <f>'Income Statement'!D19/'Income Statement'!D6</f>
        <v/>
      </c>
      <c r="E8" s="7">
        <f>'Income Statement'!E19/'Income Statement'!E6</f>
        <v/>
      </c>
      <c r="F8" s="7">
        <f>'Income Statement'!F19/'Income Statement'!F6</f>
        <v/>
      </c>
      <c r="G8" s="7">
        <f>'Income Statement'!G19/'Income Statement'!G6</f>
        <v/>
      </c>
      <c r="H8" s="7">
        <f>'Income Statement'!H19/'Income Statement'!H6</f>
        <v/>
      </c>
      <c r="I8" s="7">
        <f>'Income Statement'!I19/'Income Statement'!I6</f>
        <v/>
      </c>
    </row>
    <row r="9">
      <c r="A9" s="3" t="inlineStr">
        <is>
          <t>Revenue YoY</t>
        </is>
      </c>
      <c r="C9" s="7">
        <f>'Income Statement'!C6/'Income Statement'!B6-1</f>
        <v/>
      </c>
      <c r="D9" s="7">
        <f>'Income Statement'!D6/'Income Statement'!C6-1</f>
        <v/>
      </c>
      <c r="E9" s="7">
        <f>'Income Statement'!E6/'Income Statement'!D6-1</f>
        <v/>
      </c>
      <c r="F9" s="7">
        <f>'Income Statement'!F6/'Income Statement'!E6-1</f>
        <v/>
      </c>
      <c r="G9" s="7">
        <f>'Income Statement'!G6/'Income Statement'!F6-1</f>
        <v/>
      </c>
      <c r="H9" s="7">
        <f>'Income Statement'!H6/'Income Statement'!G6-1</f>
        <v/>
      </c>
      <c r="I9" s="7">
        <f>'Income Statement'!I6/'Income Statement'!H6-1</f>
        <v/>
      </c>
    </row>
    <row r="10">
      <c r="A10" s="3" t="inlineStr">
        <is>
          <t>ROE (NI / equity)</t>
        </is>
      </c>
      <c r="B10" s="7">
        <f>'Income Statement'!B19/'Balance Sheet'!B12</f>
        <v/>
      </c>
      <c r="C10" s="7">
        <f>'Income Statement'!C19/'Balance Sheet'!C12</f>
        <v/>
      </c>
      <c r="D10" s="7">
        <f>'Income Statement'!D19/'Balance Sheet'!D12</f>
        <v/>
      </c>
      <c r="E10" s="7">
        <f>'Income Statement'!E19/'Balance Sheet'!E12</f>
        <v/>
      </c>
      <c r="F10" s="7">
        <f>'Income Statement'!F19/'Balance Sheet'!F12</f>
        <v/>
      </c>
      <c r="G10" s="7">
        <f>'Income Statement'!G19/'Balance Sheet'!G12</f>
        <v/>
      </c>
      <c r="H10" s="7">
        <f>'Income Statement'!H19/'Balance Sheet'!H12</f>
        <v/>
      </c>
      <c r="I10" s="7">
        <f>'Income Statement'!I19/'Balance Sheet'!I12</f>
        <v/>
      </c>
    </row>
    <row r="11">
      <c r="A11" s="3" t="inlineStr">
        <is>
          <t>P/E on spot (×)</t>
        </is>
      </c>
      <c r="B11" s="26">
        <f>Assumptions!$B$4/'Income Statement'!B20</f>
        <v/>
      </c>
      <c r="C11" s="26">
        <f>Assumptions!$B$4/'Income Statement'!C20</f>
        <v/>
      </c>
      <c r="D11" s="26">
        <f>Assumptions!$B$4/'Income Statement'!D20</f>
        <v/>
      </c>
      <c r="E11" s="26">
        <f>Assumptions!$B$4/'Income Statement'!E20</f>
        <v/>
      </c>
      <c r="F11" s="26">
        <f>Assumptions!$B$4/'Income Statement'!F20</f>
        <v/>
      </c>
      <c r="G11" s="26">
        <f>Assumptions!$B$4/'Income Statement'!G20</f>
        <v/>
      </c>
      <c r="H11" s="26">
        <f>Assumptions!$B$4/'Income Statement'!H20</f>
        <v/>
      </c>
      <c r="I11" s="26">
        <f>Assumptions!$B$4/'Income Statement'!I20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20" customWidth="1" min="3" max="3"/>
  </cols>
  <sheetData>
    <row r="1">
      <c r="A1" s="1" t="inlineStr">
        <is>
          <t>Peer set &amp; sector</t>
        </is>
      </c>
    </row>
    <row r="2">
      <c r="A2" s="2" t="inlineStr">
        <is>
          <t>AI-accelerator / semiconductor peers and context.</t>
        </is>
      </c>
    </row>
    <row r="3">
      <c r="A3" s="4" t="inlineStr">
        <is>
          <t>Peer</t>
        </is>
      </c>
      <c r="B3" s="4" t="inlineStr">
        <is>
          <t>Note</t>
        </is>
      </c>
      <c r="C3" s="4" t="inlineStr">
        <is>
          <t>Typical valuation</t>
        </is>
      </c>
    </row>
    <row r="4">
      <c r="A4" s="3" t="inlineStr">
        <is>
          <t>AMD</t>
        </is>
      </c>
      <c r="B4" s="3" t="inlineStr">
        <is>
          <t>AI-GPU challenger (MI300/MI450)</t>
        </is>
      </c>
      <c r="C4" s="3" t="inlineStr">
        <is>
          <t>~35–40× fwd P/E</t>
        </is>
      </c>
    </row>
    <row r="5">
      <c r="A5" s="3" t="inlineStr">
        <is>
          <t>Broadcom</t>
        </is>
      </c>
      <c r="B5" s="3" t="inlineStr">
        <is>
          <t>Custom-ASIC / networking</t>
        </is>
      </c>
      <c r="C5" s="3" t="inlineStr">
        <is>
          <t>~30–35× fwd P/E</t>
        </is>
      </c>
    </row>
    <row r="6">
      <c r="A6" s="3" t="inlineStr">
        <is>
          <t>TSMC</t>
        </is>
      </c>
      <c r="B6" s="3" t="inlineStr">
        <is>
          <t>Foundry (supply constraint)</t>
        </is>
      </c>
      <c r="C6" s="3" t="inlineStr">
        <is>
          <t>~20–25× fwd P/E</t>
        </is>
      </c>
    </row>
    <row r="7">
      <c r="A7" s="3" t="inlineStr">
        <is>
          <t>Marvell / hyperscaler ASIC</t>
        </is>
      </c>
      <c r="B7" s="3" t="inlineStr">
        <is>
          <t>Custom silicon supplements GPUs</t>
        </is>
      </c>
      <c r="C7" s="3" t="inlineStr">
        <is>
          <t>growth / strategic</t>
        </is>
      </c>
    </row>
    <row r="9">
      <c r="A9" s="2" t="inlineStr">
        <is>
          <t>Context: ~81% AI-accelerator share; CUDA moat; hyperscaler capex ~$650–700bn (2026) → ~$1tn (2027, NVDA est). Not model inputs.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2026-07-06T19:54:06Z</dcterms:created>
  <dcterms:modified xmlns:dcterms="http://purl.org/dc/terms/" xmlns:xsi="http://www.w3.org/2001/XMLSchema-instance" xsi:type="dcterms:W3CDTF">2026-07-06T19:54:06Z</dcterms:modified>
</cp:coreProperties>
</file>