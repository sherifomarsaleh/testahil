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<sst xmlns="http://schemas.openxmlformats.org/spreadsheetml/2006/main" count="372" uniqueCount="290">
  <si>
    <t xml:space="preserve">Testahil — Aldar Properties PJSC (ADX: ALDAR)</t>
  </si>
  <si>
    <t xml:space="preserve">Companion model · Independent Valuation Study · Educational analysis · Not investment advice</t>
  </si>
  <si>
    <t xml:space="preserve">What this workbook is. A transparent companion to the Aldar valuation study. Every blue cell is an input; every</t>
  </si>
  <si>
    <t xml:space="preserve">black cell is a formula; green cells link across sheets. All inputs live on the Assumptions sheet — change one</t>
  </si>
  <si>
    <t xml:space="preserve">(the recurring-asset GAV, a development-EBITDA margin, the discount rate)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</si>
  <si>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</si>
  <si>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</si>
  <si>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Method. Mixed real-estate name valued SPLIT-THE-LEGS: Aldar Development (going-concern DCF, finite horizon, NO</t>
  </si>
  <si>
    <t xml:space="preserve">perpetual terminal — split-NAV discipline) + Aldar Investment (recurring platform marked at cap-rate GAV, the</t>
  </si>
  <si>
    <t xml:space="preserve">only perpetually-capitalised leg). A consolidated FCFF DCF and relative multiples cross-check. International name</t>
  </si>
  <si>
    <t xml:space="preserve">→ zero secular drift in the Monte Carlo (§3 / Monte Carlo sheet).</t>
  </si>
  <si>
    <t xml:space="preserve">Currency. AED bn unless stated; per-share in AED. Spot AED 8.30 (3 Jul 2026); ~7.854bn shares; mkt cap ~AED 65.2bn.</t>
  </si>
  <si>
    <t xml:space="preserve">Historical financials are company disclosure (FY2023–FY2025 results, Q1 2026); some balance-sheet lines are</t>
  </si>
  <si>
    <t xml:space="preserve">estimated to balance to disclosed totals (equity, borrowings, cash) — flagged on the Balance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</si>
  <si>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</si>
  <si>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</si>
  <si>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Aldar Properties (ADX: ALDAR)</t>
  </si>
  <si>
    <t xml:space="preserve">Four-lens fair value vs spot. Base links live; bear/bull are scenario outputs (study §1.5).</t>
  </si>
  <si>
    <t xml:space="preserve">Lens</t>
  </si>
  <si>
    <t xml:space="preserve">Bear</t>
  </si>
  <si>
    <t xml:space="preserve">Base</t>
  </si>
  <si>
    <t xml:space="preserve">Bull</t>
  </si>
  <si>
    <t xml:space="preserve">Weight</t>
  </si>
  <si>
    <t xml:space="preserve">SOTP / RNAV (risk-adjusted)</t>
  </si>
  <si>
    <t xml:space="preserve">Consolidated DCF (FCFF)</t>
  </si>
  <si>
    <t xml:space="preserve">Relative multiples</t>
  </si>
  <si>
    <t xml:space="preserve">SOTP — full execution</t>
  </si>
  <si>
    <t xml:space="preserve">Weighted central</t>
  </si>
  <si>
    <t xml:space="preserve">Spot price (AED)</t>
  </si>
  <si>
    <t xml:space="preserve">Upside to central base</t>
  </si>
  <si>
    <t xml:space="preserve">Read: modestly undervalued vs a split-legs RNAV; the swing is how much the development franchise is worth beyond current backlog.</t>
  </si>
  <si>
    <t xml:space="preserve">Fundamental valuation — football-field data</t>
  </si>
  <si>
    <t xml:space="preserve">Bear/base/bull per lens (links to Summary).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</si>
  <si>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</si>
  <si>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</si>
  <si>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</si>
  <si>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</si>
  <si>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(AED/share)</t>
  </si>
  <si>
    <t xml:space="preserve">Shares outstanding (bn)</t>
  </si>
  <si>
    <t xml:space="preserve">Net debt (AED bn, incl. hybrids)</t>
  </si>
  <si>
    <t xml:space="preserve">Non-controlling interests (AED bn)</t>
  </si>
  <si>
    <t xml:space="preserve">COST OF CAPITAL (Ke = rf + ERP)</t>
  </si>
  <si>
    <t xml:space="preserve">Risk-free rate (AD 10-yr)</t>
  </si>
  <si>
    <t xml:space="preserve">Equity risk premium</t>
  </si>
  <si>
    <t xml:space="preserve">Beta</t>
  </si>
  <si>
    <t xml:space="preserve">Cost of equity (Ke)</t>
  </si>
  <si>
    <t xml:space="preserve">After-tax cost of debt (Kd)</t>
  </si>
  <si>
    <t xml:space="preserve">Group WACC</t>
  </si>
  <si>
    <t xml:space="preserve">Development WACC</t>
  </si>
  <si>
    <t xml:space="preserve">Terminal growth (consolidated)</t>
  </si>
  <si>
    <t xml:space="preserve">Effective tax rate (DMTT)</t>
  </si>
  <si>
    <t xml:space="preserve">ALDAR INVESTMENT (recurring — cap-rate leg)</t>
  </si>
  <si>
    <t xml:space="preserve">Recurring-asset GAV (AED bn)</t>
  </si>
  <si>
    <t xml:space="preserve">Recurring adj EBITDA (AED bn)</t>
  </si>
  <si>
    <t xml:space="preserve">ALDAR DEVELOPMENT (finite DCF leg — 10-yr EBITDA, AED bn)</t>
  </si>
  <si>
    <t xml:space="preserve">Dev EBITDA yr1</t>
  </si>
  <si>
    <t xml:space="preserve">Dev EBITDA yr2</t>
  </si>
  <si>
    <t xml:space="preserve">Dev EBITDA yr3</t>
  </si>
  <si>
    <t xml:space="preserve">Dev EBITDA yr4</t>
  </si>
  <si>
    <t xml:space="preserve">Dev EBITDA yr5</t>
  </si>
  <si>
    <t xml:space="preserve">Dev EBITDA yr6</t>
  </si>
  <si>
    <t xml:space="preserve">Dev EBITDA yr7</t>
  </si>
  <si>
    <t xml:space="preserve">Dev EBITDA yr8</t>
  </si>
  <si>
    <t xml:space="preserve">Dev EBITDA yr9</t>
  </si>
  <si>
    <t xml:space="preserve">Dev EBITDA yr10</t>
  </si>
  <si>
    <t xml:space="preserve">Dev D&amp;A (% of EBITDA)</t>
  </si>
  <si>
    <t xml:space="preserve">Dev land-replenishment tail (AED bn PV)</t>
  </si>
  <si>
    <t xml:space="preserve">CONSOLIDATED FORECAST (AED bn)</t>
  </si>
  <si>
    <t xml:space="preserve">Group revenue 2026e</t>
  </si>
  <si>
    <t xml:space="preserve">Group revenue 2027e</t>
  </si>
  <si>
    <t xml:space="preserve">Group revenue 2028e</t>
  </si>
  <si>
    <t xml:space="preserve">Group revenue 2029e</t>
  </si>
  <si>
    <t xml:space="preserve">Group revenue 2030e</t>
  </si>
  <si>
    <t xml:space="preserve">Group EBITDA margin 2026e</t>
  </si>
  <si>
    <t xml:space="preserve">Group EBITDA margin 2027e</t>
  </si>
  <si>
    <t xml:space="preserve">Group EBITDA margin 2028e</t>
  </si>
  <si>
    <t xml:space="preserve">Group EBITDA margin 2029e</t>
  </si>
  <si>
    <t xml:space="preserve">Group EBITDA margin 2030e</t>
  </si>
  <si>
    <t xml:space="preserve">Group D&amp;A (% of revenue)</t>
  </si>
  <si>
    <t xml:space="preserve">Group capex (maintenance) p.a. (AED bn)</t>
  </si>
  <si>
    <t xml:space="preserve">Exit EV/EBITDA multiple (terminal)</t>
  </si>
  <si>
    <t xml:space="preserve">SYNTHESIS WEIGHTS</t>
  </si>
  <si>
    <t xml:space="preserve">SOTP / RNAV (risk-adj)</t>
  </si>
  <si>
    <t xml:space="preserve">MONTE CARLO</t>
  </si>
  <si>
    <t xml:space="preserve">Diffusion vol (annualized, HAR)</t>
  </si>
  <si>
    <t xml:space="preserve">Net 3-month factor drift</t>
  </si>
  <si>
    <t xml:space="preserve">Paths / seed</t>
  </si>
  <si>
    <t xml:space="preserve">Sum-of-the-parts / RNAV (primary lens)</t>
  </si>
  <si>
    <t xml:space="preserve">Split the legs: development = finite DCF (no perpetual terminal); investment = cap-rate GAV. Links to Assumptions + DCF.</t>
  </si>
  <si>
    <t xml:space="preserve">Component</t>
  </si>
  <si>
    <t xml:space="preserve">Basis</t>
  </si>
  <si>
    <t xml:space="preserve">Value (AED bn)</t>
  </si>
  <si>
    <t xml:space="preserve">AED/share</t>
  </si>
  <si>
    <t xml:space="preserve">Aldar Investment (recurring)</t>
  </si>
  <si>
    <t xml:space="preserve">Recurring-asset GAV (cap-rate)</t>
  </si>
  <si>
    <t xml:space="preserve">Aldar Development (finite DCF)</t>
  </si>
  <si>
    <t xml:space="preserve">10-yr FCFF + land tail (no perpetual g)</t>
  </si>
  <si>
    <t xml:space="preserve">Gross asset value (GAV)</t>
  </si>
  <si>
    <t xml:space="preserve">less: net debt (incl. hybrids)</t>
  </si>
  <si>
    <t xml:space="preserve">less: non-controlling interests</t>
  </si>
  <si>
    <t xml:space="preserve">SOTP equity value (risk-adjusted)</t>
  </si>
  <si>
    <t xml:space="preserve">  vs spot</t>
  </si>
  <si>
    <t xml:space="preserve">Memo — implied recurring yield</t>
  </si>
  <si>
    <t xml:space="preserve">Memo — implied recurring EV/EBITDA</t>
  </si>
  <si>
    <t xml:space="preserve">Segment view — Development vs Investment</t>
  </si>
  <si>
    <t xml:space="preserve">Links to Income Statement.</t>
  </si>
  <si>
    <t xml:space="preserve">AED bn</t>
  </si>
  <si>
    <t xml:space="preserve">FY2023a</t>
  </si>
  <si>
    <t xml:space="preserve">FY2024a</t>
  </si>
  <si>
    <t xml:space="preserve">FY2025a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</si>
  <si>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</si>
  <si>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</si>
  <si>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</si>
  <si>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</si>
  <si>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</si>
  <si>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Aldar Development revenue</t>
  </si>
  <si>
    <t xml:space="preserve">Aldar Investment revenue</t>
  </si>
  <si>
    <t xml:space="preserve">Group revenue</t>
  </si>
  <si>
    <t xml:space="preserve">Aldar Development EBITDA (est.)</t>
  </si>
  <si>
    <t xml:space="preserve">Aldar Investment adj EBITDA (est.)</t>
  </si>
  <si>
    <t xml:space="preserve">Development backlog (AED bn)</t>
  </si>
  <si>
    <t xml:space="preserve">Relative multiples &amp; discount-to-NAV</t>
  </si>
  <si>
    <t xml:space="preserve">Links to Assumptions / SOTP.</t>
  </si>
  <si>
    <t xml:space="preserve">Aldar now</t>
  </si>
  <si>
    <t xml:space="preserve">Fair low</t>
  </si>
  <si>
    <t xml:space="preserve">Fair high</t>
  </si>
  <si>
    <t xml:space="preserve">Implied AED/sh</t>
  </si>
  <si>
    <t xml:space="preserve">P/E (FY25 EPS 0.96)</t>
  </si>
  <si>
    <t xml:space="preserve">P/B (BVPS ~5.1)</t>
  </si>
  <si>
    <t xml:space="preserve">EV/EBITDA (FY25 11.2)</t>
  </si>
  <si>
    <t xml:space="preserve">Discount to NAV</t>
  </si>
  <si>
    <t xml:space="preserve">Relative blended midpoint</t>
  </si>
  <si>
    <t xml:space="preserve">Property-cycle framing replaces 'normalized earnings' for developers (see study §1.4).</t>
  </si>
  <si>
    <t xml:space="preserve">Going-concern DCF — consolidated FCFF cross-check (exit multiple, not a perpetuity) + development-leg DCF (for SOTP)</t>
  </si>
  <si>
    <t xml:space="preserve">Waterfall: Revenue→EBITDA→D&amp;A→EBIT→NOPAT→+D&amp;A→−Capex→−Land investment→−ΔWC→FCFF→DF→PV. Terminal = exit EV/EBITDA multiple anchored to Aldar's own ~6.6x; Gordon perpetuity disclosed but NOT used (device A-7).</t>
  </si>
  <si>
    <t xml:space="preserve">CONSOLIDATED FCFF (AED bn)</t>
  </si>
  <si>
    <t xml:space="preserve">Revenue</t>
  </si>
  <si>
    <t xml:space="preserve">EBITDA</t>
  </si>
  <si>
    <t xml:space="preserve">D&amp;A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</si>
  <si>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</si>
  <si>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</si>
  <si>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</si>
  <si>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</si>
  <si>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Land investment</t>
  </si>
  <si>
    <t xml:space="preserve">− Δ working capital</t>
  </si>
  <si>
    <t xml:space="preserve">Free cash flow to firm</t>
  </si>
  <si>
    <t xml:space="preserve">Discount factor @ WACC</t>
  </si>
  <si>
    <t xml:space="preserve">PV of FCFF</t>
  </si>
  <si>
    <t xml:space="preserve">Σ PV of explicit FCFF (2026e–2030e)</t>
  </si>
  <si>
    <t xml:space="preserve">Terminal value (exit EV/EBITDA ×)</t>
  </si>
  <si>
    <t xml:space="preserve">PV of terminal value</t>
  </si>
  <si>
    <t xml:space="preserve">Enterprise value</t>
  </si>
  <si>
    <t xml:space="preserve">Equity value</t>
  </si>
  <si>
    <t xml:space="preserve">Fair value per share (AED) — consolidated DCF</t>
  </si>
  <si>
    <t xml:space="preserve">% terminal of EV (device A-7)</t>
  </si>
  <si>
    <t xml:space="preserve">Memo — Gordon-perpetuity FV (disclosed, not used)</t>
  </si>
  <si>
    <t xml:space="preserve">WACC (≈ Ke, modest net debt)</t>
  </si>
  <si>
    <t xml:space="preserve">Ke = rf + beta × ERP</t>
  </si>
  <si>
    <t xml:space="preserve">DEVELOPMENT LEG — finite DCF (AED bn)</t>
  </si>
  <si>
    <t xml:space="preserve">Development enterprise value</t>
  </si>
  <si>
    <t xml:space="preserve">  land-replenishment tail (PV, memo)</t>
  </si>
  <si>
    <t xml:space="preserve">Dev EBITDA</t>
  </si>
  <si>
    <t xml:space="preserve">Dev FCFF (≈70% cash-conv, after tax/capex/WC)</t>
  </si>
  <si>
    <t xml:space="preserve">Discount factor</t>
  </si>
  <si>
    <t xml:space="preserve">PV of dev FCFF</t>
  </si>
  <si>
    <t xml:space="preserve">Income statement (AED bn, consolidated)</t>
  </si>
  <si>
    <t xml:space="preserve">FY2023–FY2025 disclosed (blue); 2026e–2030e forecast (formula). Links to Assumptions.</t>
  </si>
  <si>
    <t xml:space="preserve">Total revenue</t>
  </si>
  <si>
    <t xml:space="preserve">EBITDA margin</t>
  </si>
  <si>
    <t xml:space="preserve">Net finance cost</t>
  </si>
  <si>
    <t xml:space="preserve">Fair-value gains / other (actuals)</t>
  </si>
  <si>
    <t xml:space="preserve">Profit before tax</t>
  </si>
  <si>
    <t xml:space="preserve">Tax</t>
  </si>
  <si>
    <t xml:space="preserve">Net profit (group, after tax)</t>
  </si>
  <si>
    <t xml:space="preserve">less: non-controlling interest</t>
  </si>
  <si>
    <t xml:space="preserve">Attributable net profit</t>
  </si>
  <si>
    <t xml:space="preserve">EPS (AED)</t>
  </si>
  <si>
    <t xml:space="preserve">DPS (AED)</t>
  </si>
  <si>
    <t xml:space="preserve">Source: Aldar FY2023–FY2025 results &amp; Q1 2026; forecast is the study's operating model. Figures rounded.</t>
  </si>
  <si>
    <t xml:space="preserve">Balance sheet (AED bn, consolidated)</t>
  </si>
  <si>
    <t xml:space="preserve">Historical anchored to disclosed totals; forecast rolls forward. Balance check = 0.</t>
  </si>
  <si>
    <t xml:space="preserve">Cash &amp; deposits</t>
  </si>
  <si>
    <t xml:space="preserve">Receivables</t>
  </si>
  <si>
    <t xml:space="preserve">Development inventory / WIP</t>
  </si>
  <si>
    <t xml:space="preserve">Investment property (recurring)</t>
  </si>
  <si>
    <t xml:space="preserve">Other assets</t>
  </si>
  <si>
    <t xml:space="preserve">Total assets</t>
  </si>
  <si>
    <t xml:space="preserve">Debt (incl. hybrids)</t>
  </si>
  <si>
    <t xml:space="preserve">Customer advances / contract liab.</t>
  </si>
  <si>
    <t xml:space="preserve">Payables &amp; other liabilities</t>
  </si>
  <si>
    <t xml:space="preserve">Non-controlling interests</t>
  </si>
  <si>
    <t xml:space="preserve">Equity (attributable)</t>
  </si>
  <si>
    <t xml:space="preserve">Total liabilities &amp; equity</t>
  </si>
  <si>
    <t xml:space="preserve">Balance check (assets − L&amp;E)</t>
  </si>
  <si>
    <t xml:space="preserve">Net debt (debt − cash)</t>
  </si>
  <si>
    <t xml:space="preserve">Historical 'Other assets' is a balancing plug to disclosed totals; forecast holds non-core lines flat.</t>
  </si>
  <si>
    <t xml:space="preserve">Cash flow (AED bn, forecast)</t>
  </si>
  <si>
    <t xml:space="preserve">Derived from Income Statement &amp; Balance Sheet.</t>
  </si>
  <si>
    <t xml:space="preserve">+ NCI &amp; non-cash</t>
  </si>
  <si>
    <t xml:space="preserve">Operating cash flow</t>
  </si>
  <si>
    <t xml:space="preserve">Free cash flow</t>
  </si>
  <si>
    <t xml:space="preserve">− Dividends</t>
  </si>
  <si>
    <t xml:space="preserve">Net change in cash</t>
  </si>
  <si>
    <t xml:space="preserve">Summary financials (AED bn)</t>
  </si>
  <si>
    <t xml:space="preserve">Every cell links to the statement sheets.</t>
  </si>
  <si>
    <t xml:space="preserve">Net debt</t>
  </si>
  <si>
    <t xml:space="preserve">Monte Carlo — engine outputs</t>
  </si>
  <si>
    <t xml:space="preserve">50,000 paths · 16 factors · seed 42 · YZ-HAR width · Student-t(5) · zero drift (international). Computed by the Testahil engine.</t>
  </si>
  <si>
    <t xml:space="preserve">Percentile map (AED/share)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</si>
  <si>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</si>
  <si>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</si>
  <si>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</si>
  <si>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</si>
  <si>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</si>
  <si>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</si>
  <si>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</si>
  <si>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</si>
  <si>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Probability read (T+60)</t>
  </si>
  <si>
    <t xml:space="preserve">P(above spot)</t>
  </si>
  <si>
    <t xml:space="preserve">P(+10%)</t>
  </si>
  <si>
    <t xml:space="preserve">P(−10%)</t>
  </si>
  <si>
    <t xml:space="preserve">Odds (up/down)</t>
  </si>
  <si>
    <t xml:space="preserve">Median (AED)</t>
  </si>
  <si>
    <t xml:space="preserve">Median move</t>
  </si>
  <si>
    <t xml:space="preserve">50% band low</t>
  </si>
  <si>
    <t xml:space="preserve">50% band high</t>
  </si>
  <si>
    <t xml:space="preserve">Touch +10%</t>
  </si>
  <si>
    <t xml:space="preserve">Touch −10%</t>
  </si>
  <si>
    <t xml:space="preserve">Level-touch ladder</t>
  </si>
  <si>
    <t xml:space="preserve">Level</t>
  </si>
  <si>
    <t xml:space="preserve">T+20</t>
  </si>
  <si>
    <t xml:space="preserve">T+60</t>
  </si>
  <si>
    <t xml:space="preserve">Step 0 calibration (5-yr backtest)</t>
  </si>
  <si>
    <t xml:space="preserve">Scheme</t>
  </si>
  <si>
    <t xml:space="preserve">n</t>
  </si>
  <si>
    <t xml:space="preserve">CRPS skill</t>
  </si>
  <si>
    <t xml:space="preserve">Winkler skill</t>
  </si>
  <si>
    <t xml:space="preserve">PIT mean</t>
  </si>
  <si>
    <t xml:space="preserve">Non-overlapping (step 63d)</t>
  </si>
  <si>
    <t xml:space="preserve">Monthly origins (step 21d)</t>
  </si>
  <si>
    <t xml:space="preserve">Fortnightly (step 10d)</t>
  </si>
  <si>
    <t xml:space="preserve">Pass gate: CRPS skill &gt; 0 vs a zero-drift random-walk benchmark. All three schemes pass.</t>
  </si>
  <si>
    <t xml:space="preserve">Sensitivity grids</t>
  </si>
  <si>
    <t xml:space="preserve">SOTP: dev WACC × dev EBITDA level. Consolidated DCF: WACC × exit EV/EBITDA multiple. Recomputed from Assumptions.</t>
  </si>
  <si>
    <t xml:space="preserve">SOTP fair value (AED/share): dev WACC ↓ × dev EBITDA shift →</t>
  </si>
  <si>
    <t xml:space="preserve">WACC \ ΔEBITDA</t>
  </si>
  <si>
    <t xml:space="preserve">-1.2</t>
  </si>
  <si>
    <t xml:space="preserve">-0.6</t>
  </si>
  <si>
    <t xml:space="preserve">+0.0</t>
  </si>
  <si>
    <t xml:space="preserve">+0.6</t>
  </si>
  <si>
    <t xml:space="preserve">+1.2</t>
  </si>
  <si>
    <t xml:space="preserve">8.0%</t>
  </si>
  <si>
    <t xml:space="preserve">8.5%</t>
  </si>
  <si>
    <t xml:space="preserve">9.0%</t>
  </si>
  <si>
    <t xml:space="preserve">9.5%</t>
  </si>
  <si>
    <t xml:space="preserve">10.0%</t>
  </si>
  <si>
    <t xml:space="preserve">Consolidated DCF fair value (AED/share): WACC ↓ × exit EV/EBITDA multiple →</t>
  </si>
  <si>
    <t xml:space="preserve">WACC \ exit×</t>
  </si>
  <si>
    <t xml:space="preserve">5.0x</t>
  </si>
  <si>
    <t xml:space="preserve">5.5x</t>
  </si>
  <si>
    <t xml:space="preserve">6.0x</t>
  </si>
  <si>
    <t xml:space="preserve">6.5x</t>
  </si>
  <si>
    <t xml:space="preserve">7.0x</t>
  </si>
  <si>
    <t xml:space="preserve">7.5%</t>
  </si>
  <si>
    <t xml:space="preserve">Per-share &amp; ratios</t>
  </si>
  <si>
    <t xml:space="preserve">Links to statements / Assumptions.</t>
  </si>
  <si>
    <t xml:space="preserve">BVPS (AED)</t>
  </si>
  <si>
    <t xml:space="preserve">P/E (x)</t>
  </si>
  <si>
    <t xml:space="preserve">P/B (x)</t>
  </si>
  <si>
    <t xml:space="preserve">Peer set &amp; sector</t>
  </si>
  <si>
    <t xml:space="preserve">GCC / UAE developers and diversified real-estate platforms.</t>
  </si>
  <si>
    <t xml:space="preserve">Peer</t>
  </si>
  <si>
    <t xml:space="preserve">Profile</t>
  </si>
  <si>
    <t xml:space="preserve">Typical valuation</t>
  </si>
  <si>
    <t xml:space="preserve">Emaar Properties (DFM)</t>
  </si>
  <si>
    <t xml:space="preserve">Dubai developer + malls/hospitality</t>
  </si>
  <si>
    <t xml:space="preserve">P/E ~8–10x; EV/EBITDA ~7–9x</t>
  </si>
  <si>
    <t xml:space="preserve">Emaar Development (DFM)</t>
  </si>
  <si>
    <t xml:space="preserve">Dubai pure development</t>
  </si>
  <si>
    <t xml:space="preserve">P/E ~6–8x; discount to NAV</t>
  </si>
  <si>
    <t xml:space="preserve">TAQA / ADNOC-linked (ADX)</t>
  </si>
  <si>
    <t xml:space="preserve">Abu Dhabi infrastructure</t>
  </si>
  <si>
    <t xml:space="preserve">utility multiples</t>
  </si>
  <si>
    <t xml:space="preserve">DAMAC / Deyaar (DFM)</t>
  </si>
  <si>
    <t xml:space="preserve">Dubai developers</t>
  </si>
  <si>
    <t xml:space="preserve">P/E ~6–9x; NAV discount</t>
  </si>
  <si>
    <t xml:space="preserve">Aldar (ADX: ALDAR)</t>
  </si>
  <si>
    <t xml:space="preserve">AD developer + AED 52bn recurring platform</t>
  </si>
  <si>
    <t xml:space="preserve">P/E ~8.6x; ~18% discount to RNAV</t>
  </si>
  <si>
    <t xml:space="preserve">Analyst context: sell-side targets AED 11.0–12.2 (FCFF DCF, WACC ~8%); our exit-multiple DCF AED 9.81, RNAV AED 10.14. Verify live before use.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</si>
</sst>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"/>
    <numFmt numFmtId="166" formatCode="0.0%"/>
    <numFmt numFmtId="167" formatCode="#,##0.000"/>
    <numFmt numFmtId="168" formatCode="#,##0.0;\(#,##0.0\);\-"/>
    <numFmt numFmtId="169" formatCode="0.00"/>
    <numFmt numFmtId="170" formatCode="#,##0.00;\(#,##0.00\);\-"/>
    <numFmt numFmtId="171" formatCode="#,##0"/>
    <numFmt numFmtId="172" formatCode="0.0\x"/>
    <numFmt numFmtId="173" formatCode="0"/>
    <numFmt numFmtId="174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sz val="9"/>
      <color rgb="FF5B6B67"/>
      <name val="Arial"/>
      <family val="0"/>
      <charset val="1"/>
    </font>
    <font>
      <sz val="10"/>
      <color rgb="FF1C3A36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8"/>
      <color rgb="FF5B6B6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0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1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</row>
    <row r="4" customFormat="false" ht="15" hidden="false" customHeight="false" outlineLevel="0" collapsed="false">
      <c r="A4" s="5" t="s">
        <v>23</v>
      </c>
      <c r="B4" s="6" t="n">
        <v>7.24</v>
      </c>
      <c r="C4" s="7" t="n">
        <f aca="false">SOTP!D9</f>
        <v>10.1424328186786</v>
      </c>
      <c r="D4" s="6" t="n">
        <v>11.29</v>
      </c>
      <c r="E4" s="8" t="n">
        <f aca="false">Assumptions!$B$49</f>
        <v>0.4</v>
      </c>
    </row>
    <row r="5" customFormat="false" ht="15" hidden="false" customHeight="false" outlineLevel="0" collapsed="false">
      <c r="A5" s="5" t="s">
        <v>24</v>
      </c>
      <c r="B5" s="6" t="n">
        <v>8.14</v>
      </c>
      <c r="C5" s="7" t="n">
        <f aca="false">DCF!B24</f>
        <v>9.80696430880311</v>
      </c>
      <c r="D5" s="6" t="n">
        <v>11.62</v>
      </c>
      <c r="E5" s="8" t="n">
        <f aca="false">Assumptions!$B$50</f>
        <v>0.25</v>
      </c>
    </row>
    <row r="6" customFormat="false" ht="15" hidden="false" customHeight="false" outlineLevel="0" collapsed="false">
      <c r="A6" s="5" t="s">
        <v>25</v>
      </c>
      <c r="B6" s="6" t="n">
        <v>6.62</v>
      </c>
      <c r="C6" s="7" t="n">
        <f aca="false">'Relative &amp; Normalized'!E9</f>
        <v>9.4525</v>
      </c>
      <c r="D6" s="6" t="n">
        <v>12.13</v>
      </c>
      <c r="E6" s="8" t="n">
        <f aca="false">Assumptions!$B$51</f>
        <v>0.15</v>
      </c>
    </row>
    <row r="7" customFormat="false" ht="15" hidden="false" customHeight="false" outlineLevel="0" collapsed="false">
      <c r="A7" s="5" t="s">
        <v>26</v>
      </c>
      <c r="B7" s="6" t="n">
        <v>10.14</v>
      </c>
      <c r="C7" s="6" t="n">
        <v>11.29</v>
      </c>
      <c r="D7" s="6" t="n">
        <v>12.64</v>
      </c>
      <c r="E7" s="8" t="n">
        <f aca="false">Assumptions!$B$52</f>
        <v>0.2</v>
      </c>
    </row>
    <row r="8" customFormat="false" ht="15" hidden="false" customHeight="false" outlineLevel="0" collapsed="false">
      <c r="A8" s="9" t="s">
        <v>27</v>
      </c>
      <c r="B8" s="10" t="n">
        <f aca="false">SUMPRODUCT(B4:B7,E4:E7)</f>
        <v>7.952</v>
      </c>
      <c r="C8" s="10" t="n">
        <f aca="false">SUMPRODUCT(C4:C7,E4:E7)</f>
        <v>10.1845892046722</v>
      </c>
      <c r="D8" s="10" t="n">
        <f aca="false">SUMPRODUCT(D4:D7,E4:E7)</f>
        <v>11.7685</v>
      </c>
    </row>
    <row r="10" customFormat="false" ht="15" hidden="false" customHeight="false" outlineLevel="0" collapsed="false">
      <c r="A10" s="5" t="s">
        <v>28</v>
      </c>
      <c r="C10" s="11" t="n">
        <f aca="false">Assumptions!$B$4</f>
        <v>8.3</v>
      </c>
    </row>
    <row r="11" customFormat="false" ht="15" hidden="false" customHeight="false" outlineLevel="0" collapsed="false">
      <c r="A11" s="5" t="s">
        <v>29</v>
      </c>
      <c r="C11" s="12" t="n">
        <f aca="false">C8/C10-1</f>
        <v>0.227058940321952</v>
      </c>
    </row>
    <row r="13" customFormat="false" ht="15" hidden="false" customHeight="false" outlineLevel="0" collapsed="false">
      <c r="A13" s="1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1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</row>
    <row r="4" customFormat="false" ht="15" hidden="false" customHeight="false" outlineLevel="0" collapsed="false">
      <c r="A4" s="14" t="str">
        <f aca="false">Summary!A4</f>
        <v>SOTP / RNAV (risk-adjusted)</v>
      </c>
      <c r="B4" s="7" t="n">
        <f aca="false">Summary!B4</f>
        <v>7.24</v>
      </c>
      <c r="C4" s="7" t="n">
        <f aca="false">Summary!C4</f>
        <v>10.1424328186786</v>
      </c>
      <c r="D4" s="7" t="n">
        <f aca="false">Summary!D4</f>
        <v>11.29</v>
      </c>
    </row>
    <row r="5" customFormat="false" ht="15" hidden="false" customHeight="false" outlineLevel="0" collapsed="false">
      <c r="A5" s="14" t="str">
        <f aca="false">Summary!A5</f>
        <v>Consolidated DCF (FCFF)</v>
      </c>
      <c r="B5" s="7" t="n">
        <f aca="false">Summary!B5</f>
        <v>8.14</v>
      </c>
      <c r="C5" s="7" t="n">
        <f aca="false">Summary!C5</f>
        <v>9.80696430880311</v>
      </c>
      <c r="D5" s="7" t="n">
        <f aca="false">Summary!D5</f>
        <v>11.62</v>
      </c>
    </row>
    <row r="6" customFormat="false" ht="15" hidden="false" customHeight="false" outlineLevel="0" collapsed="false">
      <c r="A6" s="14" t="str">
        <f aca="false">Summary!A6</f>
        <v>Relative multiples</v>
      </c>
      <c r="B6" s="7" t="n">
        <f aca="false">Summary!B6</f>
        <v>6.62</v>
      </c>
      <c r="C6" s="7" t="n">
        <f aca="false">Summary!C6</f>
        <v>9.4525</v>
      </c>
      <c r="D6" s="7" t="n">
        <f aca="false">Summary!D6</f>
        <v>12.13</v>
      </c>
    </row>
    <row r="7" customFormat="false" ht="15" hidden="false" customHeight="false" outlineLevel="0" collapsed="false">
      <c r="A7" s="14" t="str">
        <f aca="false">Summary!A7</f>
        <v>SOTP — full execution</v>
      </c>
      <c r="B7" s="7" t="n">
        <f aca="false">Summary!B7</f>
        <v>10.14</v>
      </c>
      <c r="C7" s="7" t="n">
        <f aca="false">Summary!C7</f>
        <v>11.29</v>
      </c>
      <c r="D7" s="7" t="n">
        <f aca="false">Summary!D7</f>
        <v>12.64</v>
      </c>
    </row>
    <row r="8" customFormat="false" ht="15" hidden="false" customHeight="false" outlineLevel="0" collapsed="false">
      <c r="A8" s="15" t="s">
        <v>27</v>
      </c>
      <c r="B8" s="16" t="n">
        <f aca="false">Summary!B8</f>
        <v>7.952</v>
      </c>
      <c r="C8" s="16" t="n">
        <f aca="false">Summary!C8</f>
        <v>10.1845892046722</v>
      </c>
      <c r="D8" s="16" t="n">
        <f aca="false">Summary!D8</f>
        <v>11.7685</v>
      </c>
    </row>
    <row r="9" customFormat="false" ht="15" hidden="false" customHeight="false" outlineLevel="0" collapsed="false">
      <c r="A9" s="5" t="s">
        <v>33</v>
      </c>
      <c r="C9" s="11" t="n">
        <f aca="false">Assumptions!$B$4</f>
        <v>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3" customFormat="false" ht="15" hidden="false" customHeight="false" outlineLevel="0" collapsed="false">
      <c r="A3" s="4" t="s">
        <v>36</v>
      </c>
      <c r="B3" s="17"/>
      <c r="C3" s="17"/>
      <c r="D3" s="17"/>
      <c r="E3" s="17"/>
      <c r="F3" s="17"/>
      <c r="G3" s="17"/>
      <c r="H3" s="17"/>
      <c r="I3" s="17"/>
    </row>
    <row r="4" customFormat="false" ht="15" hidden="false" customHeight="false" outlineLevel="0" collapsed="false">
      <c r="A4" s="5" t="s">
        <v>37</v>
      </c>
      <c r="B4" s="6" t="n">
        <v>8.3</v>
      </c>
    </row>
    <row r="5" customFormat="false" ht="15" hidden="false" customHeight="false" outlineLevel="0" collapsed="false">
      <c r="A5" s="5" t="s">
        <v>38</v>
      </c>
      <c r="B5" s="18" t="n">
        <v>7.854</v>
      </c>
    </row>
    <row r="6" customFormat="false" ht="15" hidden="false" customHeight="false" outlineLevel="0" collapsed="false">
      <c r="A6" s="5" t="s">
        <v>39</v>
      </c>
      <c r="B6" s="19" t="n">
        <v>5.5</v>
      </c>
    </row>
    <row r="7" customFormat="false" ht="15" hidden="false" customHeight="false" outlineLevel="0" collapsed="false">
      <c r="A7" s="5" t="s">
        <v>40</v>
      </c>
      <c r="B7" s="19" t="n">
        <v>3</v>
      </c>
    </row>
    <row r="8" customFormat="false" ht="15" hidden="false" customHeight="false" outlineLevel="0" collapsed="false">
      <c r="A8" s="4" t="s">
        <v>41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5" t="s">
        <v>42</v>
      </c>
      <c r="B9" s="20" t="n">
        <v>0.048</v>
      </c>
    </row>
    <row r="10" customFormat="false" ht="15" hidden="false" customHeight="false" outlineLevel="0" collapsed="false">
      <c r="A10" s="5" t="s">
        <v>43</v>
      </c>
      <c r="B10" s="20" t="n">
        <v>0.044</v>
      </c>
    </row>
    <row r="11" customFormat="false" ht="15" hidden="false" customHeight="false" outlineLevel="0" collapsed="false">
      <c r="A11" s="5" t="s">
        <v>44</v>
      </c>
      <c r="B11" s="21" t="n">
        <v>1</v>
      </c>
    </row>
    <row r="12" customFormat="false" ht="15" hidden="false" customHeight="false" outlineLevel="0" collapsed="false">
      <c r="A12" s="5" t="s">
        <v>45</v>
      </c>
      <c r="B12" s="12" t="n">
        <f aca="false">B9+B11*B10</f>
        <v>0.092</v>
      </c>
    </row>
    <row r="13" customFormat="false" ht="15" hidden="false" customHeight="false" outlineLevel="0" collapsed="false">
      <c r="A13" s="5" t="s">
        <v>46</v>
      </c>
      <c r="B13" s="20" t="n">
        <v>0.049</v>
      </c>
    </row>
    <row r="14" customFormat="false" ht="15" hidden="false" customHeight="false" outlineLevel="0" collapsed="false">
      <c r="A14" s="5" t="s">
        <v>47</v>
      </c>
      <c r="B14" s="20" t="n">
        <v>0.085</v>
      </c>
    </row>
    <row r="15" customFormat="false" ht="15" hidden="false" customHeight="false" outlineLevel="0" collapsed="false">
      <c r="A15" s="5" t="s">
        <v>48</v>
      </c>
      <c r="B15" s="20" t="n">
        <v>0.09</v>
      </c>
    </row>
    <row r="16" customFormat="false" ht="15" hidden="false" customHeight="false" outlineLevel="0" collapsed="false">
      <c r="A16" s="5" t="s">
        <v>49</v>
      </c>
      <c r="B16" s="20" t="n">
        <v>0.025</v>
      </c>
    </row>
    <row r="17" customFormat="false" ht="15" hidden="false" customHeight="false" outlineLevel="0" collapsed="false">
      <c r="A17" s="5" t="s">
        <v>50</v>
      </c>
      <c r="B17" s="20" t="n">
        <v>0.12</v>
      </c>
    </row>
    <row r="18" customFormat="false" ht="15" hidden="false" customHeight="false" outlineLevel="0" collapsed="false">
      <c r="A18" s="4" t="s">
        <v>51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5" t="s">
        <v>52</v>
      </c>
      <c r="B19" s="19" t="n">
        <v>52</v>
      </c>
    </row>
    <row r="20" customFormat="false" ht="15" hidden="false" customHeight="false" outlineLevel="0" collapsed="false">
      <c r="A20" s="5" t="s">
        <v>53</v>
      </c>
      <c r="B20" s="19" t="n">
        <v>3.2</v>
      </c>
    </row>
    <row r="21" customFormat="false" ht="15" hidden="false" customHeight="false" outlineLevel="0" collapsed="false">
      <c r="A21" s="4" t="s">
        <v>54</v>
      </c>
      <c r="B21" s="17"/>
      <c r="C21" s="17"/>
      <c r="D21" s="17"/>
      <c r="E21" s="17"/>
      <c r="F21" s="17"/>
      <c r="G21" s="17"/>
      <c r="H21" s="17"/>
      <c r="I21" s="17"/>
    </row>
    <row r="22" customFormat="false" ht="15" hidden="false" customHeight="false" outlineLevel="0" collapsed="false">
      <c r="A22" s="5" t="s">
        <v>55</v>
      </c>
      <c r="B22" s="19" t="n">
        <v>7.6</v>
      </c>
    </row>
    <row r="23" customFormat="false" ht="15" hidden="false" customHeight="false" outlineLevel="0" collapsed="false">
      <c r="A23" s="5" t="s">
        <v>56</v>
      </c>
      <c r="B23" s="19" t="n">
        <v>8.3</v>
      </c>
    </row>
    <row r="24" customFormat="false" ht="15" hidden="false" customHeight="false" outlineLevel="0" collapsed="false">
      <c r="A24" s="5" t="s">
        <v>57</v>
      </c>
      <c r="B24" s="19" t="n">
        <v>8.9</v>
      </c>
    </row>
    <row r="25" customFormat="false" ht="15" hidden="false" customHeight="false" outlineLevel="0" collapsed="false">
      <c r="A25" s="5" t="s">
        <v>58</v>
      </c>
      <c r="B25" s="19" t="n">
        <v>9.2</v>
      </c>
    </row>
    <row r="26" customFormat="false" ht="15" hidden="false" customHeight="false" outlineLevel="0" collapsed="false">
      <c r="A26" s="5" t="s">
        <v>59</v>
      </c>
      <c r="B26" s="19" t="n">
        <v>9.2</v>
      </c>
    </row>
    <row r="27" customFormat="false" ht="15" hidden="false" customHeight="false" outlineLevel="0" collapsed="false">
      <c r="A27" s="5" t="s">
        <v>60</v>
      </c>
      <c r="B27" s="19" t="n">
        <v>8.8</v>
      </c>
    </row>
    <row r="28" customFormat="false" ht="15" hidden="false" customHeight="false" outlineLevel="0" collapsed="false">
      <c r="A28" s="5" t="s">
        <v>61</v>
      </c>
      <c r="B28" s="19" t="n">
        <v>8.3</v>
      </c>
    </row>
    <row r="29" customFormat="false" ht="15" hidden="false" customHeight="false" outlineLevel="0" collapsed="false">
      <c r="A29" s="5" t="s">
        <v>62</v>
      </c>
      <c r="B29" s="19" t="n">
        <v>7.6</v>
      </c>
    </row>
    <row r="30" customFormat="false" ht="15" hidden="false" customHeight="false" outlineLevel="0" collapsed="false">
      <c r="A30" s="5" t="s">
        <v>63</v>
      </c>
      <c r="B30" s="19" t="n">
        <v>6.8</v>
      </c>
    </row>
    <row r="31" customFormat="false" ht="15" hidden="false" customHeight="false" outlineLevel="0" collapsed="false">
      <c r="A31" s="5" t="s">
        <v>64</v>
      </c>
      <c r="B31" s="19" t="n">
        <v>6</v>
      </c>
    </row>
    <row r="32" customFormat="false" ht="15" hidden="false" customHeight="false" outlineLevel="0" collapsed="false">
      <c r="A32" s="5" t="s">
        <v>65</v>
      </c>
      <c r="B32" s="20" t="n">
        <v>0.035</v>
      </c>
    </row>
    <row r="33" customFormat="false" ht="15" hidden="false" customHeight="false" outlineLevel="0" collapsed="false">
      <c r="A33" s="5" t="s">
        <v>66</v>
      </c>
      <c r="B33" s="19" t="n">
        <v>5</v>
      </c>
    </row>
    <row r="34" customFormat="false" ht="15" hidden="false" customHeight="false" outlineLevel="0" collapsed="false">
      <c r="A34" s="4" t="s">
        <v>67</v>
      </c>
      <c r="B34" s="17"/>
      <c r="C34" s="17"/>
      <c r="D34" s="17"/>
      <c r="E34" s="17"/>
      <c r="F34" s="17"/>
      <c r="G34" s="17"/>
      <c r="H34" s="17"/>
      <c r="I34" s="17"/>
    </row>
    <row r="35" customFormat="false" ht="15" hidden="false" customHeight="false" outlineLevel="0" collapsed="false">
      <c r="A35" s="5" t="s">
        <v>68</v>
      </c>
      <c r="B35" s="19" t="n">
        <v>37</v>
      </c>
    </row>
    <row r="36" customFormat="false" ht="15" hidden="false" customHeight="false" outlineLevel="0" collapsed="false">
      <c r="A36" s="5" t="s">
        <v>69</v>
      </c>
      <c r="B36" s="19" t="n">
        <v>41</v>
      </c>
    </row>
    <row r="37" customFormat="false" ht="15" hidden="false" customHeight="false" outlineLevel="0" collapsed="false">
      <c r="A37" s="5" t="s">
        <v>70</v>
      </c>
      <c r="B37" s="19" t="n">
        <v>45</v>
      </c>
    </row>
    <row r="38" customFormat="false" ht="15" hidden="false" customHeight="false" outlineLevel="0" collapsed="false">
      <c r="A38" s="5" t="s">
        <v>71</v>
      </c>
      <c r="B38" s="19" t="n">
        <v>48</v>
      </c>
    </row>
    <row r="39" customFormat="false" ht="15" hidden="false" customHeight="false" outlineLevel="0" collapsed="false">
      <c r="A39" s="5" t="s">
        <v>72</v>
      </c>
      <c r="B39" s="19" t="n">
        <v>50.5</v>
      </c>
    </row>
    <row r="40" customFormat="false" ht="15" hidden="false" customHeight="false" outlineLevel="0" collapsed="false">
      <c r="A40" s="5" t="s">
        <v>73</v>
      </c>
      <c r="B40" s="20" t="n">
        <v>0.315</v>
      </c>
    </row>
    <row r="41" customFormat="false" ht="15" hidden="false" customHeight="false" outlineLevel="0" collapsed="false">
      <c r="A41" s="5" t="s">
        <v>74</v>
      </c>
      <c r="B41" s="20" t="n">
        <v>0.31</v>
      </c>
    </row>
    <row r="42" customFormat="false" ht="15" hidden="false" customHeight="false" outlineLevel="0" collapsed="false">
      <c r="A42" s="5" t="s">
        <v>75</v>
      </c>
      <c r="B42" s="20" t="n">
        <v>0.305</v>
      </c>
    </row>
    <row r="43" customFormat="false" ht="15" hidden="false" customHeight="false" outlineLevel="0" collapsed="false">
      <c r="A43" s="5" t="s">
        <v>76</v>
      </c>
      <c r="B43" s="20" t="n">
        <v>0.303</v>
      </c>
    </row>
    <row r="44" customFormat="false" ht="15" hidden="false" customHeight="false" outlineLevel="0" collapsed="false">
      <c r="A44" s="5" t="s">
        <v>77</v>
      </c>
      <c r="B44" s="20" t="n">
        <v>0.302</v>
      </c>
    </row>
    <row r="45" customFormat="false" ht="15" hidden="false" customHeight="false" outlineLevel="0" collapsed="false">
      <c r="A45" s="5" t="s">
        <v>78</v>
      </c>
      <c r="B45" s="20" t="n">
        <v>0.02</v>
      </c>
    </row>
    <row r="46" customFormat="false" ht="15" hidden="false" customHeight="false" outlineLevel="0" collapsed="false">
      <c r="A46" s="5" t="s">
        <v>79</v>
      </c>
      <c r="B46" s="19" t="n">
        <v>0.9</v>
      </c>
    </row>
    <row r="47" customFormat="false" ht="15" hidden="false" customHeight="false" outlineLevel="0" collapsed="false">
      <c r="A47" s="5" t="s">
        <v>80</v>
      </c>
      <c r="B47" s="22" t="n">
        <v>6</v>
      </c>
    </row>
    <row r="48" customFormat="false" ht="15" hidden="false" customHeight="false" outlineLevel="0" collapsed="false">
      <c r="A48" s="4" t="s">
        <v>81</v>
      </c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5" t="s">
        <v>82</v>
      </c>
      <c r="B49" s="20" t="n">
        <v>0.4</v>
      </c>
    </row>
    <row r="50" customFormat="false" ht="15" hidden="false" customHeight="false" outlineLevel="0" collapsed="false">
      <c r="A50" s="5" t="s">
        <v>24</v>
      </c>
      <c r="B50" s="20" t="n">
        <v>0.25</v>
      </c>
    </row>
    <row r="51" customFormat="false" ht="15" hidden="false" customHeight="false" outlineLevel="0" collapsed="false">
      <c r="A51" s="5" t="s">
        <v>25</v>
      </c>
      <c r="B51" s="20" t="n">
        <v>0.15</v>
      </c>
    </row>
    <row r="52" customFormat="false" ht="15" hidden="false" customHeight="false" outlineLevel="0" collapsed="false">
      <c r="A52" s="5" t="s">
        <v>26</v>
      </c>
      <c r="B52" s="20" t="n">
        <v>0.2</v>
      </c>
    </row>
    <row r="53" customFormat="false" ht="15" hidden="false" customHeight="false" outlineLevel="0" collapsed="false">
      <c r="A53" s="4" t="s">
        <v>83</v>
      </c>
      <c r="B53" s="17"/>
      <c r="C53" s="17"/>
      <c r="D53" s="17"/>
      <c r="E53" s="17"/>
      <c r="F53" s="17"/>
      <c r="G53" s="17"/>
      <c r="H53" s="17"/>
      <c r="I53" s="17"/>
    </row>
    <row r="54" customFormat="false" ht="15" hidden="false" customHeight="false" outlineLevel="0" collapsed="false">
      <c r="A54" s="5" t="s">
        <v>84</v>
      </c>
      <c r="B54" s="20" t="n">
        <v>0.302783462601511</v>
      </c>
    </row>
    <row r="55" customFormat="false" ht="15" hidden="false" customHeight="false" outlineLevel="0" collapsed="false">
      <c r="A55" s="5" t="s">
        <v>85</v>
      </c>
      <c r="B55" s="20" t="n">
        <v>0.016</v>
      </c>
    </row>
    <row r="56" customFormat="false" ht="15" hidden="false" customHeight="false" outlineLevel="0" collapsed="false">
      <c r="A56" s="5" t="s">
        <v>86</v>
      </c>
      <c r="B56" s="23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4" t="s">
        <v>89</v>
      </c>
      <c r="B3" s="4" t="s">
        <v>90</v>
      </c>
      <c r="C3" s="4" t="s">
        <v>91</v>
      </c>
      <c r="D3" s="4" t="s">
        <v>92</v>
      </c>
    </row>
    <row r="4" customFormat="false" ht="15" hidden="false" customHeight="false" outlineLevel="0" collapsed="false">
      <c r="A4" s="5" t="s">
        <v>93</v>
      </c>
      <c r="B4" s="5" t="s">
        <v>94</v>
      </c>
      <c r="C4" s="24" t="n">
        <f aca="false">Assumptions!$B$19</f>
        <v>52</v>
      </c>
      <c r="D4" s="11" t="n">
        <f aca="false">C4/Assumptions!$B$5</f>
        <v>6.62083015024192</v>
      </c>
    </row>
    <row r="5" customFormat="false" ht="15" hidden="false" customHeight="false" outlineLevel="0" collapsed="false">
      <c r="A5" s="5" t="s">
        <v>95</v>
      </c>
      <c r="B5" s="5" t="s">
        <v>96</v>
      </c>
      <c r="C5" s="24" t="n">
        <f aca="false">DCF!B32</f>
        <v>36.1586673579015</v>
      </c>
      <c r="D5" s="11" t="n">
        <f aca="false">C5/Assumptions!$B$5</f>
        <v>4.60385375068773</v>
      </c>
    </row>
    <row r="6" customFormat="false" ht="15" hidden="false" customHeight="false" outlineLevel="0" collapsed="false">
      <c r="A6" s="15" t="s">
        <v>97</v>
      </c>
      <c r="C6" s="25" t="n">
        <f aca="false">C4+C5</f>
        <v>88.1586673579015</v>
      </c>
      <c r="D6" s="26" t="n">
        <f aca="false">C6/Assumptions!$B$5</f>
        <v>11.2246839009297</v>
      </c>
    </row>
    <row r="7" customFormat="false" ht="15" hidden="false" customHeight="false" outlineLevel="0" collapsed="false">
      <c r="A7" s="5" t="s">
        <v>98</v>
      </c>
      <c r="C7" s="24" t="n">
        <f aca="false">-Assumptions!$B$6</f>
        <v>-5.5</v>
      </c>
      <c r="D7" s="11" t="n">
        <f aca="false">C7/Assumptions!$B$5</f>
        <v>-0.700280112044818</v>
      </c>
    </row>
    <row r="8" customFormat="false" ht="15" hidden="false" customHeight="false" outlineLevel="0" collapsed="false">
      <c r="A8" s="5" t="s">
        <v>99</v>
      </c>
      <c r="C8" s="24" t="n">
        <f aca="false">-Assumptions!$B$7</f>
        <v>-3</v>
      </c>
      <c r="D8" s="11" t="n">
        <f aca="false">C8/Assumptions!$B$5</f>
        <v>-0.381970970206264</v>
      </c>
    </row>
    <row r="9" customFormat="false" ht="15" hidden="false" customHeight="false" outlineLevel="0" collapsed="false">
      <c r="A9" s="9" t="s">
        <v>100</v>
      </c>
      <c r="C9" s="27" t="n">
        <f aca="false">C6+C7+C8</f>
        <v>79.6586673579015</v>
      </c>
      <c r="D9" s="10" t="n">
        <f aca="false">C9/Assumptions!$B$5</f>
        <v>10.1424328186786</v>
      </c>
    </row>
    <row r="10" customFormat="false" ht="15" hidden="false" customHeight="false" outlineLevel="0" collapsed="false">
      <c r="A10" s="5" t="s">
        <v>101</v>
      </c>
      <c r="D10" s="12" t="n">
        <f aca="false">D9/Assumptions!$B$4-1</f>
        <v>0.221979857672116</v>
      </c>
    </row>
    <row r="12" customFormat="false" ht="15" hidden="false" customHeight="false" outlineLevel="0" collapsed="false">
      <c r="A12" s="5" t="s">
        <v>102</v>
      </c>
      <c r="D12" s="12" t="n">
        <f aca="false">Assumptions!$B$20/Assumptions!$B$19</f>
        <v>0.0615384615384615</v>
      </c>
    </row>
    <row r="13" customFormat="false" ht="15" hidden="false" customHeight="false" outlineLevel="0" collapsed="false">
      <c r="A13" s="5" t="s">
        <v>103</v>
      </c>
      <c r="D13" s="28" t="n">
        <f aca="false">Assumptions!$B$19/Assumptions!$B$20</f>
        <v>16.25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9.51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115</v>
      </c>
      <c r="B4" s="24" t="n">
        <f aca="false">'Income Statement'!B4</f>
        <v>8.71</v>
      </c>
      <c r="C4" s="24" t="n">
        <f aca="false">'Income Statement'!C4</f>
        <v>15.7</v>
      </c>
      <c r="D4" s="24" t="n">
        <f aca="false">'Income Statement'!D4</f>
        <v>24.8</v>
      </c>
      <c r="E4" s="24" t="n">
        <f aca="false">'Income Statement'!E4</f>
        <v>27.01</v>
      </c>
      <c r="F4" s="24" t="n">
        <f aca="false">'Income Statement'!F4</f>
        <v>29.93</v>
      </c>
      <c r="G4" s="24" t="n">
        <f aca="false">'Income Statement'!G4</f>
        <v>32.85</v>
      </c>
      <c r="H4" s="24" t="n">
        <f aca="false">'Income Statement'!H4</f>
        <v>35.04</v>
      </c>
      <c r="I4" s="24" t="n">
        <f aca="false">'Income Statement'!I4</f>
        <v>36.865</v>
      </c>
    </row>
    <row r="5" customFormat="false" ht="15" hidden="false" customHeight="false" outlineLevel="0" collapsed="false">
      <c r="A5" s="5" t="s">
        <v>116</v>
      </c>
      <c r="B5" s="24" t="n">
        <f aca="false">'Income Statement'!B5</f>
        <v>5.8</v>
      </c>
      <c r="C5" s="24" t="n">
        <f aca="false">'Income Statement'!C5</f>
        <v>7</v>
      </c>
      <c r="D5" s="24" t="n">
        <f aca="false">'Income Statement'!D5</f>
        <v>9</v>
      </c>
      <c r="E5" s="24" t="n">
        <f aca="false">'Income Statement'!E5</f>
        <v>9.99</v>
      </c>
      <c r="F5" s="24" t="n">
        <f aca="false">'Income Statement'!F5</f>
        <v>11.07</v>
      </c>
      <c r="G5" s="24" t="n">
        <f aca="false">'Income Statement'!G5</f>
        <v>12.15</v>
      </c>
      <c r="H5" s="24" t="n">
        <f aca="false">'Income Statement'!H5</f>
        <v>12.96</v>
      </c>
      <c r="I5" s="24" t="n">
        <f aca="false">'Income Statement'!I5</f>
        <v>13.635</v>
      </c>
    </row>
    <row r="6" customFormat="false" ht="15" hidden="false" customHeight="false" outlineLevel="0" collapsed="false">
      <c r="A6" s="5" t="s">
        <v>117</v>
      </c>
      <c r="B6" s="29" t="n">
        <f aca="false">'Income Statement'!B6</f>
        <v>14.2</v>
      </c>
      <c r="C6" s="29" t="n">
        <f aca="false">'Income Statement'!C6</f>
        <v>23</v>
      </c>
      <c r="D6" s="29" t="n">
        <f aca="false">'Income Statement'!D6</f>
        <v>33.8</v>
      </c>
      <c r="E6" s="29" t="n">
        <f aca="false">'Income Statement'!E6</f>
        <v>37</v>
      </c>
      <c r="F6" s="29" t="n">
        <f aca="false">'Income Statement'!F6</f>
        <v>41</v>
      </c>
      <c r="G6" s="29" t="n">
        <f aca="false">'Income Statement'!G6</f>
        <v>45</v>
      </c>
      <c r="H6" s="29" t="n">
        <f aca="false">'Income Statement'!H6</f>
        <v>48</v>
      </c>
      <c r="I6" s="29" t="n">
        <f aca="false">'Income Statement'!I6</f>
        <v>50.5</v>
      </c>
    </row>
    <row r="8" customFormat="false" ht="15" hidden="false" customHeight="false" outlineLevel="0" collapsed="false">
      <c r="A8" s="5" t="s">
        <v>118</v>
      </c>
      <c r="B8" s="19" t="n">
        <v>2.47</v>
      </c>
      <c r="C8" s="19" t="n">
        <v>4.3</v>
      </c>
      <c r="D8" s="19" t="n">
        <v>7.2</v>
      </c>
      <c r="E8" s="30" t="n">
        <f aca="false">E4*0.28</f>
        <v>7.5628</v>
      </c>
      <c r="F8" s="30" t="n">
        <f aca="false">F4*0.28</f>
        <v>8.3804</v>
      </c>
      <c r="G8" s="30" t="n">
        <f aca="false">G4*0.28</f>
        <v>9.198</v>
      </c>
      <c r="H8" s="30" t="n">
        <f aca="false">H4*0.28</f>
        <v>9.8112</v>
      </c>
      <c r="I8" s="30" t="n">
        <f aca="false">I4*0.28</f>
        <v>10.3222</v>
      </c>
    </row>
    <row r="9" customFormat="false" ht="15" hidden="false" customHeight="false" outlineLevel="0" collapsed="false">
      <c r="A9" s="5" t="s">
        <v>119</v>
      </c>
      <c r="B9" s="19" t="n">
        <v>2.25</v>
      </c>
      <c r="C9" s="19" t="n">
        <v>2.7</v>
      </c>
      <c r="D9" s="19" t="n">
        <v>3.2</v>
      </c>
      <c r="E9" s="30" t="n">
        <f aca="false">E5*0.42</f>
        <v>4.1958</v>
      </c>
      <c r="F9" s="30" t="n">
        <f aca="false">F5*0.42</f>
        <v>4.6494</v>
      </c>
      <c r="G9" s="30" t="n">
        <f aca="false">G5*0.42</f>
        <v>5.103</v>
      </c>
      <c r="H9" s="30" t="n">
        <f aca="false">H5*0.42</f>
        <v>5.4432</v>
      </c>
      <c r="I9" s="30" t="n">
        <f aca="false">I5*0.42</f>
        <v>5.7267</v>
      </c>
    </row>
    <row r="10" customFormat="false" ht="15" hidden="false" customHeight="false" outlineLevel="0" collapsed="false">
      <c r="A10" s="5" t="s">
        <v>120</v>
      </c>
      <c r="B10" s="19" t="n">
        <v>36.8</v>
      </c>
      <c r="C10" s="19" t="n">
        <v>54.6</v>
      </c>
      <c r="D10" s="19" t="n">
        <v>71.7</v>
      </c>
    </row>
    <row r="11" customFormat="false" ht="15" hidden="false" customHeight="false" outlineLevel="0" collapsed="false">
      <c r="A11" s="5" t="s">
        <v>52</v>
      </c>
      <c r="B11" s="19" t="n">
        <v>33</v>
      </c>
      <c r="C11" s="19" t="n">
        <v>42</v>
      </c>
      <c r="D11" s="19" t="n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A3" s="4" t="s">
        <v>18</v>
      </c>
      <c r="B3" s="4" t="s">
        <v>123</v>
      </c>
      <c r="C3" s="4" t="s">
        <v>124</v>
      </c>
      <c r="D3" s="4" t="s">
        <v>125</v>
      </c>
      <c r="E3" s="4" t="s">
        <v>126</v>
      </c>
    </row>
    <row r="4" customFormat="false" ht="15" hidden="false" customHeight="false" outlineLevel="0" collapsed="false">
      <c r="A4" s="5" t="s">
        <v>127</v>
      </c>
      <c r="B4" s="22" t="n">
        <v>8.65</v>
      </c>
      <c r="C4" s="6" t="n">
        <v>8.64</v>
      </c>
      <c r="D4" s="6" t="n">
        <v>11.52</v>
      </c>
      <c r="E4" s="11" t="n">
        <f aca="false">AVERAGE(C4:D4)</f>
        <v>10.08</v>
      </c>
    </row>
    <row r="5" customFormat="false" ht="15" hidden="false" customHeight="false" outlineLevel="0" collapsed="false">
      <c r="A5" s="5" t="s">
        <v>128</v>
      </c>
      <c r="B5" s="22" t="n">
        <v>1.63</v>
      </c>
      <c r="C5" s="6" t="n">
        <v>6.62</v>
      </c>
      <c r="D5" s="6" t="n">
        <v>9.17</v>
      </c>
      <c r="E5" s="11" t="n">
        <f aca="false">AVERAGE(C5:D5)</f>
        <v>7.895</v>
      </c>
    </row>
    <row r="6" customFormat="false" ht="15" hidden="false" customHeight="false" outlineLevel="0" collapsed="false">
      <c r="A6" s="5" t="s">
        <v>129</v>
      </c>
      <c r="B6" s="22" t="n">
        <v>6.31</v>
      </c>
      <c r="C6" s="6" t="n">
        <v>9.28</v>
      </c>
      <c r="D6" s="6" t="n">
        <v>12.13</v>
      </c>
      <c r="E6" s="11" t="n">
        <f aca="false">AVERAGE(C6:D6)</f>
        <v>10.705</v>
      </c>
    </row>
    <row r="7" customFormat="false" ht="15" hidden="false" customHeight="false" outlineLevel="0" collapsed="false">
      <c r="A7" s="5" t="s">
        <v>130</v>
      </c>
      <c r="B7" s="22" t="n">
        <v>0.18</v>
      </c>
      <c r="C7" s="6" t="n">
        <v>8.62</v>
      </c>
      <c r="D7" s="6" t="n">
        <v>9.64</v>
      </c>
      <c r="E7" s="11" t="n">
        <f aca="false">AVERAGE(C7:D7)</f>
        <v>9.13</v>
      </c>
    </row>
    <row r="9" customFormat="false" ht="15" hidden="false" customHeight="false" outlineLevel="0" collapsed="false">
      <c r="A9" s="9" t="s">
        <v>131</v>
      </c>
      <c r="E9" s="10" t="n">
        <f aca="false">AVERAGE(E4:E7)</f>
        <v>9.4525</v>
      </c>
    </row>
    <row r="11" customFormat="false" ht="15" hidden="false" customHeight="false" outlineLevel="0" collapsed="false">
      <c r="A11" s="13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9.51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4" t="s">
        <v>135</v>
      </c>
      <c r="B3" s="17"/>
      <c r="C3" s="17"/>
      <c r="D3" s="17"/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136</v>
      </c>
      <c r="E4" s="30" t="n">
        <f aca="false">Assumptions!$B$35</f>
        <v>37</v>
      </c>
      <c r="F4" s="30" t="n">
        <f aca="false">Assumptions!$B$36</f>
        <v>41</v>
      </c>
      <c r="G4" s="30" t="n">
        <f aca="false">Assumptions!$B$37</f>
        <v>45</v>
      </c>
      <c r="H4" s="30" t="n">
        <f aca="false">Assumptions!$B$38</f>
        <v>48</v>
      </c>
      <c r="I4" s="30" t="n">
        <f aca="false">Assumptions!$B$39</f>
        <v>50.5</v>
      </c>
    </row>
    <row r="5" customFormat="false" ht="15" hidden="false" customHeight="false" outlineLevel="0" collapsed="false">
      <c r="A5" s="5" t="s">
        <v>137</v>
      </c>
      <c r="E5" s="30" t="n">
        <f aca="false">E4*Assumptions!$B$40</f>
        <v>11.655</v>
      </c>
      <c r="F5" s="30" t="n">
        <f aca="false">F4*Assumptions!$B$41</f>
        <v>12.71</v>
      </c>
      <c r="G5" s="30" t="n">
        <f aca="false">G4*Assumptions!$B$42</f>
        <v>13.725</v>
      </c>
      <c r="H5" s="30" t="n">
        <f aca="false">H4*Assumptions!$B$43</f>
        <v>14.544</v>
      </c>
      <c r="I5" s="30" t="n">
        <f aca="false">I4*Assumptions!$B$44</f>
        <v>15.251</v>
      </c>
    </row>
    <row r="6" customFormat="false" ht="15" hidden="false" customHeight="false" outlineLevel="0" collapsed="false">
      <c r="A6" s="5" t="s">
        <v>138</v>
      </c>
      <c r="E6" s="30" t="n">
        <f aca="false">-E4*Assumptions!$B$45</f>
        <v>-0.74</v>
      </c>
      <c r="F6" s="30" t="n">
        <f aca="false">-F4*Assumptions!$B$45</f>
        <v>-0.82</v>
      </c>
      <c r="G6" s="30" t="n">
        <f aca="false">-G4*Assumptions!$B$45</f>
        <v>-0.9</v>
      </c>
      <c r="H6" s="30" t="n">
        <f aca="false">-H4*Assumptions!$B$45</f>
        <v>-0.96</v>
      </c>
      <c r="I6" s="30" t="n">
        <f aca="false">-I4*Assumptions!$B$45</f>
        <v>-1.01</v>
      </c>
    </row>
    <row r="7" customFormat="false" ht="15" hidden="false" customHeight="false" outlineLevel="0" collapsed="false">
      <c r="A7" s="5" t="s">
        <v>139</v>
      </c>
      <c r="E7" s="30" t="n">
        <f aca="false">E5+E6</f>
        <v>10.915</v>
      </c>
      <c r="F7" s="30" t="n">
        <f aca="false">F5+F6</f>
        <v>11.89</v>
      </c>
      <c r="G7" s="30" t="n">
        <f aca="false">G5+G6</f>
        <v>12.825</v>
      </c>
      <c r="H7" s="30" t="n">
        <f aca="false">H5+H6</f>
        <v>13.584</v>
      </c>
      <c r="I7" s="30" t="n">
        <f aca="false">I5+I6</f>
        <v>14.241</v>
      </c>
    </row>
    <row r="8" customFormat="false" ht="15" hidden="false" customHeight="false" outlineLevel="0" collapsed="false">
      <c r="A8" s="5" t="s">
        <v>140</v>
      </c>
      <c r="E8" s="30" t="n">
        <f aca="false">E7*(1-Assumptions!$B$17)</f>
        <v>9.6052</v>
      </c>
      <c r="F8" s="30" t="n">
        <f aca="false">F7*(1-Assumptions!$B$17)</f>
        <v>10.4632</v>
      </c>
      <c r="G8" s="30" t="n">
        <f aca="false">G7*(1-Assumptions!$B$17)</f>
        <v>11.286</v>
      </c>
      <c r="H8" s="30" t="n">
        <f aca="false">H7*(1-Assumptions!$B$17)</f>
        <v>11.95392</v>
      </c>
      <c r="I8" s="30" t="n">
        <f aca="false">I7*(1-Assumptions!$B$17)</f>
        <v>12.53208</v>
      </c>
    </row>
    <row r="9" customFormat="false" ht="15" hidden="false" customHeight="false" outlineLevel="0" collapsed="false">
      <c r="A9" s="5" t="s">
        <v>141</v>
      </c>
      <c r="E9" s="30" t="n">
        <f aca="false">-E6</f>
        <v>0.74</v>
      </c>
      <c r="F9" s="30" t="n">
        <f aca="false">-F6</f>
        <v>0.82</v>
      </c>
      <c r="G9" s="30" t="n">
        <f aca="false">-G6</f>
        <v>0.9</v>
      </c>
      <c r="H9" s="30" t="n">
        <f aca="false">-H6</f>
        <v>0.96</v>
      </c>
      <c r="I9" s="30" t="n">
        <f aca="false">-I6</f>
        <v>1.01</v>
      </c>
    </row>
    <row r="10" customFormat="false" ht="15" hidden="false" customHeight="false" outlineLevel="0" collapsed="false">
      <c r="A10" s="5" t="s">
        <v>142</v>
      </c>
      <c r="E10" s="30" t="n">
        <f aca="false">-Assumptions!$B$46</f>
        <v>-0.9</v>
      </c>
      <c r="F10" s="30" t="n">
        <f aca="false">-Assumptions!$B$46</f>
        <v>-0.9</v>
      </c>
      <c r="G10" s="30" t="n">
        <f aca="false">-Assumptions!$B$46</f>
        <v>-0.9</v>
      </c>
      <c r="H10" s="30" t="n">
        <f aca="false">-Assumptions!$B$46</f>
        <v>-0.9</v>
      </c>
      <c r="I10" s="30" t="n">
        <f aca="false">-Assumptions!$B$46</f>
        <v>-0.9</v>
      </c>
    </row>
    <row r="11" customFormat="false" ht="15" hidden="false" customHeight="false" outlineLevel="0" collapsed="false">
      <c r="A11" s="5" t="s">
        <v>143</v>
      </c>
      <c r="E11" s="19" t="n">
        <v>-3.6</v>
      </c>
      <c r="F11" s="19" t="n">
        <v>-3.6</v>
      </c>
      <c r="G11" s="19" t="n">
        <v>-3.7</v>
      </c>
      <c r="H11" s="19" t="n">
        <v>-3.7</v>
      </c>
      <c r="I11" s="19" t="n">
        <v>-3.7</v>
      </c>
    </row>
    <row r="12" customFormat="false" ht="15" hidden="false" customHeight="false" outlineLevel="0" collapsed="false">
      <c r="A12" s="5" t="s">
        <v>144</v>
      </c>
      <c r="E12" s="19" t="n">
        <v>-1.5</v>
      </c>
      <c r="F12" s="19" t="n">
        <v>-1.2</v>
      </c>
      <c r="G12" s="19" t="n">
        <v>-1</v>
      </c>
      <c r="H12" s="19" t="n">
        <v>-0.9</v>
      </c>
      <c r="I12" s="19" t="n">
        <v>-0.8</v>
      </c>
    </row>
    <row r="13" customFormat="false" ht="15" hidden="false" customHeight="false" outlineLevel="0" collapsed="false">
      <c r="A13" s="5" t="s">
        <v>145</v>
      </c>
      <c r="E13" s="25" t="n">
        <f aca="false">E8+E9+E10+E11+E12</f>
        <v>4.3452</v>
      </c>
      <c r="F13" s="25" t="n">
        <f aca="false">F8+F9+F10+F11+F12</f>
        <v>5.5832</v>
      </c>
      <c r="G13" s="25" t="n">
        <f aca="false">G8+G9+G10+G11+G12</f>
        <v>6.586</v>
      </c>
      <c r="H13" s="25" t="n">
        <f aca="false">H8+H9+H10+H11+H12</f>
        <v>7.41392</v>
      </c>
      <c r="I13" s="25" t="n">
        <f aca="false">I8+I9+I10+I11+I12</f>
        <v>8.14208</v>
      </c>
    </row>
    <row r="14" customFormat="false" ht="15" hidden="false" customHeight="false" outlineLevel="0" collapsed="false">
      <c r="A14" s="5" t="s">
        <v>146</v>
      </c>
      <c r="E14" s="30" t="n">
        <f aca="false">1/(1+Assumptions!$B$14)^1</f>
        <v>0.921658986175115</v>
      </c>
      <c r="F14" s="30" t="n">
        <f aca="false">1/(1+Assumptions!$B$14)^2</f>
        <v>0.849455286797341</v>
      </c>
      <c r="G14" s="30" t="n">
        <f aca="false">1/(1+Assumptions!$B$14)^3</f>
        <v>0.782908098430729</v>
      </c>
      <c r="H14" s="30" t="n">
        <f aca="false">1/(1+Assumptions!$B$14)^4</f>
        <v>0.721574284267953</v>
      </c>
      <c r="I14" s="30" t="n">
        <f aca="false">1/(1+Assumptions!$B$14)^5</f>
        <v>0.665045423288436</v>
      </c>
    </row>
    <row r="15" customFormat="false" ht="15" hidden="false" customHeight="false" outlineLevel="0" collapsed="false">
      <c r="A15" s="5" t="s">
        <v>147</v>
      </c>
      <c r="E15" s="30" t="n">
        <f aca="false">E13*E14</f>
        <v>4.00479262672811</v>
      </c>
      <c r="F15" s="30" t="n">
        <f aca="false">F13*F14</f>
        <v>4.74267875724692</v>
      </c>
      <c r="G15" s="30" t="n">
        <f aca="false">G13*G14</f>
        <v>5.15623273626478</v>
      </c>
      <c r="H15" s="30" t="n">
        <f aca="false">H13*H14</f>
        <v>5.34969401761986</v>
      </c>
      <c r="I15" s="30" t="n">
        <f aca="false">I13*I14</f>
        <v>5.41485304004831</v>
      </c>
    </row>
    <row r="17" customFormat="false" ht="15" hidden="false" customHeight="false" outlineLevel="0" collapsed="false">
      <c r="A17" s="5" t="s">
        <v>148</v>
      </c>
      <c r="B17" s="30" t="n">
        <f aca="false">SUM(E15:I15)</f>
        <v>24.668251177908</v>
      </c>
    </row>
    <row r="18" customFormat="false" ht="15" hidden="false" customHeight="false" outlineLevel="0" collapsed="false">
      <c r="A18" s="5" t="s">
        <v>149</v>
      </c>
      <c r="B18" s="30" t="n">
        <f aca="false">I5*Assumptions!$B$47</f>
        <v>91.506</v>
      </c>
    </row>
    <row r="19" customFormat="false" ht="15" hidden="false" customHeight="false" outlineLevel="0" collapsed="false">
      <c r="A19" s="5" t="s">
        <v>150</v>
      </c>
      <c r="B19" s="30" t="n">
        <f aca="false">B18*I14</f>
        <v>60.8556465034316</v>
      </c>
    </row>
    <row r="20" customFormat="false" ht="15" hidden="false" customHeight="false" outlineLevel="0" collapsed="false">
      <c r="A20" s="15" t="s">
        <v>151</v>
      </c>
      <c r="B20" s="25" t="n">
        <f aca="false">B17+B19</f>
        <v>85.5238976813396</v>
      </c>
    </row>
    <row r="21" customFormat="false" ht="15" hidden="false" customHeight="false" outlineLevel="0" collapsed="false">
      <c r="A21" s="5" t="s">
        <v>98</v>
      </c>
      <c r="B21" s="30" t="n">
        <f aca="false">-Assumptions!$B$6</f>
        <v>-5.5</v>
      </c>
    </row>
    <row r="22" customFormat="false" ht="15" hidden="false" customHeight="false" outlineLevel="0" collapsed="false">
      <c r="A22" s="5" t="s">
        <v>99</v>
      </c>
      <c r="B22" s="30" t="n">
        <f aca="false">-Assumptions!$B$7</f>
        <v>-3</v>
      </c>
    </row>
    <row r="23" customFormat="false" ht="15" hidden="false" customHeight="false" outlineLevel="0" collapsed="false">
      <c r="A23" s="15" t="s">
        <v>152</v>
      </c>
      <c r="B23" s="25" t="n">
        <f aca="false">B20+B21+B22</f>
        <v>77.0238976813396</v>
      </c>
    </row>
    <row r="24" customFormat="false" ht="15" hidden="false" customHeight="false" outlineLevel="0" collapsed="false">
      <c r="A24" s="9" t="s">
        <v>153</v>
      </c>
      <c r="B24" s="10" t="n">
        <f aca="false">B23/Assumptions!$B$5</f>
        <v>9.80696430880311</v>
      </c>
    </row>
    <row r="25" customFormat="false" ht="15" hidden="false" customHeight="false" outlineLevel="0" collapsed="false">
      <c r="A25" s="5" t="s">
        <v>101</v>
      </c>
      <c r="B25" s="12" t="n">
        <f aca="false">B24/Assumptions!$B$4-1</f>
        <v>0.181561964916037</v>
      </c>
    </row>
    <row r="26" customFormat="false" ht="15" hidden="false" customHeight="false" outlineLevel="0" collapsed="false">
      <c r="A26" s="5" t="s">
        <v>154</v>
      </c>
      <c r="B26" s="12" t="n">
        <f aca="false">B19/B20</f>
        <v>0.711563061942974</v>
      </c>
    </row>
    <row r="27" customFormat="false" ht="15" hidden="false" customHeight="false" outlineLevel="0" collapsed="false">
      <c r="A27" s="5" t="s">
        <v>155</v>
      </c>
      <c r="B27" s="11" t="n">
        <f aca="false">(B17+(I13*(1+Assumptions!$B$16)/(Assumptions!$B$14-Assumptions!$B$16))*I14-Assumptions!$B$6-Assumptions!$B$7)/Assumptions!$B$5</f>
        <v>13.8365152294457</v>
      </c>
    </row>
    <row r="28" customFormat="false" ht="15" hidden="false" customHeight="false" outlineLevel="0" collapsed="false">
      <c r="A28" s="5" t="s">
        <v>156</v>
      </c>
      <c r="B28" s="12" t="n">
        <f aca="false">Assumptions!$B$14</f>
        <v>0.085</v>
      </c>
    </row>
    <row r="29" customFormat="false" ht="15" hidden="false" customHeight="false" outlineLevel="0" collapsed="false">
      <c r="A29" s="5" t="s">
        <v>157</v>
      </c>
      <c r="B29" s="12" t="n">
        <f aca="false">Assumptions!$B$12</f>
        <v>0.092</v>
      </c>
    </row>
    <row r="31" customFormat="false" ht="15" hidden="false" customHeight="false" outlineLevel="0" collapsed="false">
      <c r="A31" s="4" t="s">
        <v>158</v>
      </c>
      <c r="B31" s="17"/>
      <c r="C31" s="17"/>
      <c r="D31" s="17"/>
      <c r="E31" s="17"/>
      <c r="F31" s="17"/>
      <c r="G31" s="17"/>
      <c r="H31" s="17"/>
      <c r="I31" s="17"/>
    </row>
    <row r="32" customFormat="false" ht="15" hidden="false" customHeight="false" outlineLevel="0" collapsed="false">
      <c r="A32" s="15" t="s">
        <v>159</v>
      </c>
      <c r="B32" s="25" t="n">
        <f aca="false">SUM(B38:K38)+Assumptions!$B$33</f>
        <v>36.1586673579015</v>
      </c>
    </row>
    <row r="33" customFormat="false" ht="15" hidden="false" customHeight="false" outlineLevel="0" collapsed="false">
      <c r="A33" s="5" t="s">
        <v>160</v>
      </c>
      <c r="B33" s="30" t="n">
        <f aca="false">Assumptions!$B$33</f>
        <v>5</v>
      </c>
    </row>
    <row r="35" customFormat="false" ht="15" hidden="false" customHeight="false" outlineLevel="0" collapsed="false">
      <c r="A35" s="5" t="s">
        <v>161</v>
      </c>
      <c r="B35" s="24" t="n">
        <f aca="false">Assumptions!$B$22</f>
        <v>7.6</v>
      </c>
      <c r="C35" s="24" t="n">
        <f aca="false">Assumptions!$B$23</f>
        <v>8.3</v>
      </c>
      <c r="D35" s="24" t="n">
        <f aca="false">Assumptions!$B$24</f>
        <v>8.9</v>
      </c>
      <c r="E35" s="24" t="n">
        <f aca="false">Assumptions!$B$25</f>
        <v>9.2</v>
      </c>
      <c r="F35" s="24" t="n">
        <f aca="false">Assumptions!$B$26</f>
        <v>9.2</v>
      </c>
      <c r="G35" s="24" t="n">
        <f aca="false">Assumptions!$B$27</f>
        <v>8.8</v>
      </c>
      <c r="H35" s="24" t="n">
        <f aca="false">Assumptions!$B$28</f>
        <v>8.3</v>
      </c>
      <c r="I35" s="24" t="n">
        <f aca="false">Assumptions!$B$29</f>
        <v>7.6</v>
      </c>
      <c r="J35" s="24" t="n">
        <f aca="false">Assumptions!$B$30</f>
        <v>6.8</v>
      </c>
      <c r="K35" s="24" t="n">
        <f aca="false">Assumptions!$B$31</f>
        <v>6</v>
      </c>
    </row>
    <row r="36" customFormat="false" ht="15" hidden="false" customHeight="false" outlineLevel="0" collapsed="false">
      <c r="A36" s="5" t="s">
        <v>162</v>
      </c>
      <c r="B36" s="30" t="n">
        <f aca="false">(B35*(1-Assumptions!$B$32))*(1-Assumptions!$B$17)+B35*Assumptions!$B$32-1.6-1.3</f>
        <v>3.81992</v>
      </c>
      <c r="C36" s="30" t="n">
        <f aca="false">(C35*(1-Assumptions!$B$32))*(1-Assumptions!$B$17)+C35*Assumptions!$B$32-1.7-1.1</f>
        <v>4.53886</v>
      </c>
      <c r="D36" s="30" t="n">
        <f aca="false">(D35*(1-Assumptions!$B$32))*(1-Assumptions!$B$17)+D35*Assumptions!$B$32-1.8-1</f>
        <v>5.06938</v>
      </c>
      <c r="E36" s="30" t="n">
        <f aca="false">(E35*(1-Assumptions!$B$32))*(1-Assumptions!$B$17)+E35*Assumptions!$B$32-1.9-0.9</f>
        <v>5.33464</v>
      </c>
      <c r="F36" s="30" t="n">
        <f aca="false">(F35*(1-Assumptions!$B$32))*(1-Assumptions!$B$17)+F35*Assumptions!$B$32-1.9-0.8</f>
        <v>5.43464</v>
      </c>
      <c r="G36" s="30" t="n">
        <f aca="false">(G35*(1-Assumptions!$B$32))*(1-Assumptions!$B$17)+G35*Assumptions!$B$32-1.7-0.6</f>
        <v>5.48096</v>
      </c>
      <c r="H36" s="30" t="n">
        <f aca="false">(H35*(1-Assumptions!$B$32))*(1-Assumptions!$B$17)+H35*Assumptions!$B$32-1.5-0.5</f>
        <v>5.33886</v>
      </c>
      <c r="I36" s="30" t="n">
        <f aca="false">(I35*(1-Assumptions!$B$32))*(1-Assumptions!$B$17)+I35*Assumptions!$B$32-1.3-0.4</f>
        <v>5.01992</v>
      </c>
      <c r="J36" s="30" t="n">
        <f aca="false">(J35*(1-Assumptions!$B$32))*(1-Assumptions!$B$17)+J35*Assumptions!$B$32-1.1-0.3</f>
        <v>4.61256</v>
      </c>
      <c r="K36" s="30" t="n">
        <f aca="false">(K35*(1-Assumptions!$B$32))*(1-Assumptions!$B$17)+K35*Assumptions!$B$32-0.9-0.2</f>
        <v>4.2052</v>
      </c>
    </row>
    <row r="37" customFormat="false" ht="15" hidden="false" customHeight="false" outlineLevel="0" collapsed="false">
      <c r="A37" s="5" t="s">
        <v>163</v>
      </c>
      <c r="B37" s="31" t="n">
        <f aca="false">1/(1+Assumptions!$B$15)^1</f>
        <v>0.91743119266055</v>
      </c>
      <c r="C37" s="31" t="n">
        <f aca="false">1/(1+Assumptions!$B$15)^2</f>
        <v>0.84167999326656</v>
      </c>
      <c r="D37" s="31" t="n">
        <f aca="false">1/(1+Assumptions!$B$15)^3</f>
        <v>0.772183480061064</v>
      </c>
      <c r="E37" s="31" t="n">
        <f aca="false">1/(1+Assumptions!$B$15)^4</f>
        <v>0.708425211065196</v>
      </c>
      <c r="F37" s="31" t="n">
        <f aca="false">1/(1+Assumptions!$B$15)^5</f>
        <v>0.649931386298345</v>
      </c>
      <c r="G37" s="31" t="n">
        <f aca="false">1/(1+Assumptions!$B$15)^6</f>
        <v>0.596267326879216</v>
      </c>
      <c r="H37" s="31" t="n">
        <f aca="false">1/(1+Assumptions!$B$15)^7</f>
        <v>0.547034244843317</v>
      </c>
      <c r="I37" s="31" t="n">
        <f aca="false">1/(1+Assumptions!$B$15)^8</f>
        <v>0.501866279672768</v>
      </c>
      <c r="J37" s="31" t="n">
        <f aca="false">1/(1+Assumptions!$B$15)^9</f>
        <v>0.460427779516301</v>
      </c>
      <c r="K37" s="31" t="n">
        <f aca="false">1/(1+Assumptions!$B$15)^10</f>
        <v>0.422410806895689</v>
      </c>
    </row>
    <row r="38" customFormat="false" ht="15" hidden="false" customHeight="false" outlineLevel="0" collapsed="false">
      <c r="A38" s="5" t="s">
        <v>164</v>
      </c>
      <c r="B38" s="30" t="n">
        <f aca="false">B36*B37</f>
        <v>3.50451376146789</v>
      </c>
      <c r="C38" s="30" t="n">
        <f aca="false">C36*C37</f>
        <v>3.82026765423786</v>
      </c>
      <c r="D38" s="30" t="n">
        <f aca="false">D36*D37</f>
        <v>3.91449149015196</v>
      </c>
      <c r="E38" s="30" t="n">
        <f aca="false">E36*E37</f>
        <v>3.77919346795684</v>
      </c>
      <c r="F38" s="30" t="n">
        <f aca="false">F36*F37</f>
        <v>3.53214310923244</v>
      </c>
      <c r="G38" s="30" t="n">
        <f aca="false">G36*G37</f>
        <v>3.26811736793191</v>
      </c>
      <c r="H38" s="30" t="n">
        <f aca="false">H36*H37</f>
        <v>2.92053924842419</v>
      </c>
      <c r="I38" s="30" t="n">
        <f aca="false">I36*I37</f>
        <v>2.51932857465492</v>
      </c>
      <c r="J38" s="30" t="n">
        <f aca="false">J36*J37</f>
        <v>2.12375075868571</v>
      </c>
      <c r="K38" s="30" t="n">
        <f aca="false">K36*K37</f>
        <v>1.77632192515775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9.51"/>
  </cols>
  <sheetData>
    <row r="1" customFormat="false" ht="17.35" hidden="false" customHeight="false" outlineLevel="0" collapsed="false">
      <c r="A1" s="1" t="s">
        <v>165</v>
      </c>
    </row>
    <row r="2" customFormat="false" ht="15" hidden="false" customHeight="false" outlineLevel="0" collapsed="false">
      <c r="A2" s="2" t="s">
        <v>166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115</v>
      </c>
      <c r="B4" s="19" t="n">
        <v>8.71</v>
      </c>
      <c r="C4" s="19" t="n">
        <v>15.7</v>
      </c>
      <c r="D4" s="19" t="n">
        <v>24.8</v>
      </c>
      <c r="E4" s="30" t="n">
        <f aca="false">E6*0.73</f>
        <v>27.01</v>
      </c>
      <c r="F4" s="30" t="n">
        <f aca="false">F6*0.73</f>
        <v>29.93</v>
      </c>
      <c r="G4" s="30" t="n">
        <f aca="false">G6*0.73</f>
        <v>32.85</v>
      </c>
      <c r="H4" s="30" t="n">
        <f aca="false">H6*0.73</f>
        <v>35.04</v>
      </c>
      <c r="I4" s="30" t="n">
        <f aca="false">I6*0.73</f>
        <v>36.865</v>
      </c>
    </row>
    <row r="5" customFormat="false" ht="15" hidden="false" customHeight="false" outlineLevel="0" collapsed="false">
      <c r="A5" s="5" t="s">
        <v>116</v>
      </c>
      <c r="B5" s="19" t="n">
        <v>5.8</v>
      </c>
      <c r="C5" s="19" t="n">
        <v>7</v>
      </c>
      <c r="D5" s="19" t="n">
        <v>9</v>
      </c>
      <c r="E5" s="30" t="n">
        <f aca="false">E6*0.27</f>
        <v>9.99</v>
      </c>
      <c r="F5" s="30" t="n">
        <f aca="false">F6*0.27</f>
        <v>11.07</v>
      </c>
      <c r="G5" s="30" t="n">
        <f aca="false">G6*0.27</f>
        <v>12.15</v>
      </c>
      <c r="H5" s="30" t="n">
        <f aca="false">H6*0.27</f>
        <v>12.96</v>
      </c>
      <c r="I5" s="30" t="n">
        <f aca="false">I6*0.27</f>
        <v>13.635</v>
      </c>
    </row>
    <row r="6" customFormat="false" ht="15" hidden="false" customHeight="false" outlineLevel="0" collapsed="false">
      <c r="A6" s="15" t="s">
        <v>167</v>
      </c>
      <c r="B6" s="32" t="n">
        <v>14.2</v>
      </c>
      <c r="C6" s="32" t="n">
        <v>23</v>
      </c>
      <c r="D6" s="32" t="n">
        <v>33.8</v>
      </c>
      <c r="E6" s="29" t="n">
        <f aca="false">Assumptions!$B$35</f>
        <v>37</v>
      </c>
      <c r="F6" s="29" t="n">
        <f aca="false">Assumptions!$B$36</f>
        <v>41</v>
      </c>
      <c r="G6" s="29" t="n">
        <f aca="false">Assumptions!$B$37</f>
        <v>45</v>
      </c>
      <c r="H6" s="29" t="n">
        <f aca="false">Assumptions!$B$38</f>
        <v>48</v>
      </c>
      <c r="I6" s="29" t="n">
        <f aca="false">Assumptions!$B$39</f>
        <v>50.5</v>
      </c>
    </row>
    <row r="8" customFormat="false" ht="15" hidden="false" customHeight="false" outlineLevel="0" collapsed="false">
      <c r="A8" s="15" t="s">
        <v>137</v>
      </c>
      <c r="B8" s="32" t="n">
        <v>5.1</v>
      </c>
      <c r="C8" s="32" t="n">
        <v>7.7</v>
      </c>
      <c r="D8" s="32" t="n">
        <v>11.2</v>
      </c>
      <c r="E8" s="25" t="n">
        <f aca="false">E6*Assumptions!$B$40</f>
        <v>11.655</v>
      </c>
      <c r="F8" s="25" t="n">
        <f aca="false">F6*Assumptions!$B$41</f>
        <v>12.71</v>
      </c>
      <c r="G8" s="25" t="n">
        <f aca="false">G6*Assumptions!$B$42</f>
        <v>13.725</v>
      </c>
      <c r="H8" s="25" t="n">
        <f aca="false">H6*Assumptions!$B$43</f>
        <v>14.544</v>
      </c>
      <c r="I8" s="25" t="n">
        <f aca="false">I6*Assumptions!$B$44</f>
        <v>15.251</v>
      </c>
    </row>
    <row r="9" customFormat="false" ht="15" hidden="false" customHeight="false" outlineLevel="0" collapsed="false">
      <c r="A9" s="5" t="s">
        <v>168</v>
      </c>
      <c r="B9" s="12" t="n">
        <f aca="false">B8/B6</f>
        <v>0.359154929577465</v>
      </c>
      <c r="C9" s="12" t="n">
        <f aca="false">C8/C6</f>
        <v>0.334782608695652</v>
      </c>
      <c r="D9" s="12" t="n">
        <f aca="false">D8/D6</f>
        <v>0.331360946745562</v>
      </c>
      <c r="E9" s="12" t="n">
        <f aca="false">E8/E6</f>
        <v>0.315</v>
      </c>
      <c r="F9" s="12" t="n">
        <f aca="false">F8/F6</f>
        <v>0.31</v>
      </c>
      <c r="G9" s="12" t="n">
        <f aca="false">G8/G6</f>
        <v>0.305</v>
      </c>
      <c r="H9" s="12" t="n">
        <f aca="false">H8/H6</f>
        <v>0.303</v>
      </c>
      <c r="I9" s="12" t="n">
        <f aca="false">I8/I6</f>
        <v>0.302</v>
      </c>
    </row>
    <row r="10" customFormat="false" ht="15" hidden="false" customHeight="false" outlineLevel="0" collapsed="false">
      <c r="A10" s="5" t="s">
        <v>138</v>
      </c>
      <c r="B10" s="19" t="n">
        <v>-0.5</v>
      </c>
      <c r="C10" s="19" t="n">
        <v>-0.6</v>
      </c>
      <c r="D10" s="19" t="n">
        <v>-0.7</v>
      </c>
      <c r="E10" s="30" t="n">
        <f aca="false">-E6*Assumptions!$B$45</f>
        <v>-0.74</v>
      </c>
      <c r="F10" s="30" t="n">
        <f aca="false">-F6*Assumptions!$B$45</f>
        <v>-0.82</v>
      </c>
      <c r="G10" s="30" t="n">
        <f aca="false">-G6*Assumptions!$B$45</f>
        <v>-0.9</v>
      </c>
      <c r="H10" s="30" t="n">
        <f aca="false">-H6*Assumptions!$B$45</f>
        <v>-0.96</v>
      </c>
      <c r="I10" s="30" t="n">
        <f aca="false">-I6*Assumptions!$B$45</f>
        <v>-1.01</v>
      </c>
    </row>
    <row r="11" customFormat="false" ht="15" hidden="false" customHeight="false" outlineLevel="0" collapsed="false">
      <c r="A11" s="15" t="s">
        <v>139</v>
      </c>
      <c r="B11" s="25" t="n">
        <f aca="false">B8+B10</f>
        <v>4.6</v>
      </c>
      <c r="C11" s="25" t="n">
        <f aca="false">C8+C10</f>
        <v>7.1</v>
      </c>
      <c r="D11" s="25" t="n">
        <f aca="false">D8+D10</f>
        <v>10.5</v>
      </c>
      <c r="E11" s="25" t="n">
        <f aca="false">E8+E10</f>
        <v>10.915</v>
      </c>
      <c r="F11" s="25" t="n">
        <f aca="false">F8+F10</f>
        <v>11.89</v>
      </c>
      <c r="G11" s="25" t="n">
        <f aca="false">G8+G10</f>
        <v>12.825</v>
      </c>
      <c r="H11" s="25" t="n">
        <f aca="false">H8+H10</f>
        <v>13.584</v>
      </c>
      <c r="I11" s="25" t="n">
        <f aca="false">I8+I10</f>
        <v>14.241</v>
      </c>
    </row>
    <row r="12" customFormat="false" ht="15" hidden="false" customHeight="false" outlineLevel="0" collapsed="false">
      <c r="A12" s="5" t="s">
        <v>169</v>
      </c>
      <c r="B12" s="19" t="n">
        <v>-0.4</v>
      </c>
      <c r="C12" s="19" t="n">
        <v>-0.5</v>
      </c>
      <c r="D12" s="19" t="n">
        <v>-0.9</v>
      </c>
      <c r="E12" s="30" t="n">
        <f aca="false">-0.9</f>
        <v>-0.9</v>
      </c>
      <c r="F12" s="30" t="n">
        <f aca="false">-0.9</f>
        <v>-0.9</v>
      </c>
      <c r="G12" s="30" t="n">
        <f aca="false">-0.9</f>
        <v>-0.9</v>
      </c>
      <c r="H12" s="30" t="n">
        <f aca="false">-0.9</f>
        <v>-0.9</v>
      </c>
      <c r="I12" s="30" t="n">
        <f aca="false">-0.9</f>
        <v>-0.9</v>
      </c>
    </row>
    <row r="13" customFormat="false" ht="15" hidden="false" customHeight="false" outlineLevel="0" collapsed="false">
      <c r="A13" s="5" t="s">
        <v>170</v>
      </c>
      <c r="B13" s="19" t="n">
        <v>0.3</v>
      </c>
      <c r="C13" s="19" t="n">
        <v>0.5</v>
      </c>
      <c r="D13" s="19" t="n">
        <v>0.6</v>
      </c>
      <c r="E13" s="30" t="n">
        <f aca="false">0</f>
        <v>0</v>
      </c>
      <c r="F13" s="30" t="n">
        <f aca="false">0</f>
        <v>0</v>
      </c>
      <c r="G13" s="30" t="n">
        <f aca="false">0</f>
        <v>0</v>
      </c>
      <c r="H13" s="30" t="n">
        <f aca="false">0</f>
        <v>0</v>
      </c>
      <c r="I13" s="30" t="n">
        <f aca="false">0</f>
        <v>0</v>
      </c>
    </row>
    <row r="14" customFormat="false" ht="15" hidden="false" customHeight="false" outlineLevel="0" collapsed="false">
      <c r="A14" s="15" t="s">
        <v>171</v>
      </c>
      <c r="B14" s="25" t="n">
        <f aca="false">B11+B12+B13</f>
        <v>4.5</v>
      </c>
      <c r="C14" s="25" t="n">
        <f aca="false">C11+C12+C13</f>
        <v>7.1</v>
      </c>
      <c r="D14" s="25" t="n">
        <f aca="false">D11+D12+D13</f>
        <v>10.2</v>
      </c>
      <c r="E14" s="25" t="n">
        <f aca="false">E11+E12+E13</f>
        <v>10.015</v>
      </c>
      <c r="F14" s="25" t="n">
        <f aca="false">F11+F12+F13</f>
        <v>10.99</v>
      </c>
      <c r="G14" s="25" t="n">
        <f aca="false">G11+G12+G13</f>
        <v>11.925</v>
      </c>
      <c r="H14" s="25" t="n">
        <f aca="false">H11+H12+H13</f>
        <v>12.684</v>
      </c>
      <c r="I14" s="25" t="n">
        <f aca="false">I11+I12+I13</f>
        <v>13.341</v>
      </c>
    </row>
    <row r="15" customFormat="false" ht="15" hidden="false" customHeight="false" outlineLevel="0" collapsed="false">
      <c r="A15" s="5" t="s">
        <v>172</v>
      </c>
      <c r="B15" s="19" t="n">
        <v>-0.3</v>
      </c>
      <c r="C15" s="19" t="n">
        <v>-0.7</v>
      </c>
      <c r="D15" s="19" t="n">
        <v>-1.4</v>
      </c>
      <c r="E15" s="30" t="n">
        <f aca="false">-MAX(0,E14)*Assumptions!$B$17</f>
        <v>-1.2018</v>
      </c>
      <c r="F15" s="30" t="n">
        <f aca="false">-MAX(0,F14)*Assumptions!$B$17</f>
        <v>-1.3188</v>
      </c>
      <c r="G15" s="30" t="n">
        <f aca="false">-MAX(0,G14)*Assumptions!$B$17</f>
        <v>-1.431</v>
      </c>
      <c r="H15" s="30" t="n">
        <f aca="false">-MAX(0,H14)*Assumptions!$B$17</f>
        <v>-1.52208</v>
      </c>
      <c r="I15" s="30" t="n">
        <f aca="false">-MAX(0,I14)*Assumptions!$B$17</f>
        <v>-1.60092</v>
      </c>
    </row>
    <row r="16" customFormat="false" ht="15" hidden="false" customHeight="false" outlineLevel="0" collapsed="false">
      <c r="A16" s="15" t="s">
        <v>173</v>
      </c>
      <c r="B16" s="25" t="n">
        <f aca="false">B14+B15</f>
        <v>4.2</v>
      </c>
      <c r="C16" s="25" t="n">
        <f aca="false">C14+C15</f>
        <v>6.4</v>
      </c>
      <c r="D16" s="25" t="n">
        <f aca="false">D14+D15</f>
        <v>8.8</v>
      </c>
      <c r="E16" s="25" t="n">
        <f aca="false">E14+E15</f>
        <v>8.8132</v>
      </c>
      <c r="F16" s="25" t="n">
        <f aca="false">F14+F15</f>
        <v>9.6712</v>
      </c>
      <c r="G16" s="25" t="n">
        <f aca="false">G14+G15</f>
        <v>10.494</v>
      </c>
      <c r="H16" s="25" t="n">
        <f aca="false">H14+H15</f>
        <v>11.16192</v>
      </c>
      <c r="I16" s="25" t="n">
        <f aca="false">I14+I15</f>
        <v>11.74008</v>
      </c>
    </row>
    <row r="17" customFormat="false" ht="15" hidden="false" customHeight="false" outlineLevel="0" collapsed="false">
      <c r="A17" s="5" t="s">
        <v>174</v>
      </c>
      <c r="B17" s="19" t="n">
        <v>-0.5</v>
      </c>
      <c r="C17" s="19" t="n">
        <v>-0.9</v>
      </c>
      <c r="D17" s="19" t="n">
        <v>-1.2</v>
      </c>
      <c r="E17" s="30" t="n">
        <f aca="false">-E16*0.12</f>
        <v>-1.057584</v>
      </c>
      <c r="F17" s="30" t="n">
        <f aca="false">-F16*0.12</f>
        <v>-1.160544</v>
      </c>
      <c r="G17" s="30" t="n">
        <f aca="false">-G16*0.12</f>
        <v>-1.25928</v>
      </c>
      <c r="H17" s="30" t="n">
        <f aca="false">-H16*0.12</f>
        <v>-1.3394304</v>
      </c>
      <c r="I17" s="30" t="n">
        <f aca="false">-I16*0.12</f>
        <v>-1.4088096</v>
      </c>
    </row>
    <row r="18" customFormat="false" ht="15" hidden="false" customHeight="false" outlineLevel="0" collapsed="false">
      <c r="A18" s="9" t="s">
        <v>175</v>
      </c>
      <c r="B18" s="27" t="n">
        <f aca="false">B16+B17</f>
        <v>3.7</v>
      </c>
      <c r="C18" s="27" t="n">
        <f aca="false">C16+C17</f>
        <v>5.5</v>
      </c>
      <c r="D18" s="27" t="n">
        <f aca="false">D16+D17</f>
        <v>7.6</v>
      </c>
      <c r="E18" s="27" t="n">
        <f aca="false">E16+E17</f>
        <v>7.755616</v>
      </c>
      <c r="F18" s="27" t="n">
        <f aca="false">F16+F17</f>
        <v>8.510656</v>
      </c>
      <c r="G18" s="27" t="n">
        <f aca="false">G16+G17</f>
        <v>9.23472</v>
      </c>
      <c r="H18" s="27" t="n">
        <f aca="false">H16+H17</f>
        <v>9.8224896</v>
      </c>
      <c r="I18" s="27" t="n">
        <f aca="false">I16+I17</f>
        <v>10.3312704</v>
      </c>
    </row>
    <row r="19" customFormat="false" ht="15" hidden="false" customHeight="false" outlineLevel="0" collapsed="false">
      <c r="A19" s="5" t="s">
        <v>176</v>
      </c>
      <c r="B19" s="11" t="n">
        <f aca="false">B18/Assumptions!$B$5</f>
        <v>0.471097529921059</v>
      </c>
      <c r="C19" s="11" t="n">
        <f aca="false">C18/Assumptions!$B$5</f>
        <v>0.700280112044818</v>
      </c>
      <c r="D19" s="11" t="n">
        <f aca="false">D18/Assumptions!$B$5</f>
        <v>0.967659791189203</v>
      </c>
      <c r="E19" s="11" t="n">
        <f aca="false">E18/Assumptions!$B$5</f>
        <v>0.987473389355742</v>
      </c>
      <c r="F19" s="11" t="n">
        <f aca="false">F18/Assumptions!$B$5</f>
        <v>1.08360784313725</v>
      </c>
      <c r="G19" s="11" t="n">
        <f aca="false">G18/Assumptions!$B$5</f>
        <v>1.17579831932773</v>
      </c>
      <c r="H19" s="11" t="n">
        <f aca="false">H18/Assumptions!$B$5</f>
        <v>1.25063529411765</v>
      </c>
      <c r="I19" s="11" t="n">
        <f aca="false">I18/Assumptions!$B$5</f>
        <v>1.31541512605042</v>
      </c>
    </row>
    <row r="20" customFormat="false" ht="15" hidden="false" customHeight="false" outlineLevel="0" collapsed="false">
      <c r="A20" s="5" t="s">
        <v>177</v>
      </c>
      <c r="B20" s="6" t="n">
        <v>0.17</v>
      </c>
      <c r="C20" s="6" t="n">
        <v>0.185</v>
      </c>
      <c r="D20" s="6" t="n">
        <v>0.205</v>
      </c>
      <c r="E20" s="11" t="n">
        <f aca="false">E19*0.55</f>
        <v>0.543110364145658</v>
      </c>
      <c r="F20" s="11" t="n">
        <f aca="false">F19*0.55</f>
        <v>0.59598431372549</v>
      </c>
      <c r="G20" s="11" t="n">
        <f aca="false">G19*0.55</f>
        <v>0.646689075630252</v>
      </c>
      <c r="H20" s="11" t="n">
        <f aca="false">H19*0.55</f>
        <v>0.687849411764706</v>
      </c>
      <c r="I20" s="11" t="n">
        <f aca="false">I19*0.55</f>
        <v>0.723478319327731</v>
      </c>
    </row>
    <row r="22" customFormat="false" ht="15" hidden="false" customHeight="false" outlineLevel="0" collapsed="false">
      <c r="A22" s="13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9.51"/>
  </cols>
  <sheetData>
    <row r="1" customFormat="false" ht="17.35" hidden="false" customHeight="fals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181</v>
      </c>
      <c r="B4" s="19" t="n">
        <v>11.7</v>
      </c>
      <c r="C4" s="19" t="n">
        <v>15.1</v>
      </c>
      <c r="D4" s="19" t="n">
        <v>21</v>
      </c>
      <c r="E4" s="30" t="n">
        <f aca="false">D4+'Cash Flow'!E12</f>
        <v>23.8876112</v>
      </c>
      <c r="F4" s="30" t="n">
        <f aca="false">E4+'Cash Flow'!F12</f>
        <v>27.5979504</v>
      </c>
      <c r="G4" s="30" t="n">
        <f aca="false">F4+'Cash Flow'!G12</f>
        <v>32.0128544</v>
      </c>
      <c r="H4" s="30" t="n">
        <f aca="false">G4+'Cash Flow'!H12</f>
        <v>36.93240512</v>
      </c>
      <c r="I4" s="30" t="n">
        <f aca="false">H4+'Cash Flow'!I12</f>
        <v>42.3002864</v>
      </c>
    </row>
    <row r="5" customFormat="false" ht="15" hidden="false" customHeight="false" outlineLevel="0" collapsed="false">
      <c r="A5" s="5" t="s">
        <v>182</v>
      </c>
      <c r="B5" s="19" t="n">
        <v>8</v>
      </c>
      <c r="C5" s="19" t="n">
        <v>10</v>
      </c>
      <c r="D5" s="19" t="n">
        <v>12</v>
      </c>
      <c r="E5" s="30" t="n">
        <f aca="false">D5</f>
        <v>12</v>
      </c>
      <c r="F5" s="30" t="n">
        <f aca="false">E5</f>
        <v>12</v>
      </c>
      <c r="G5" s="30" t="n">
        <f aca="false">F5</f>
        <v>12</v>
      </c>
      <c r="H5" s="30" t="n">
        <f aca="false">G5</f>
        <v>12</v>
      </c>
      <c r="I5" s="30" t="n">
        <f aca="false">H5</f>
        <v>12</v>
      </c>
    </row>
    <row r="6" customFormat="false" ht="15" hidden="false" customHeight="false" outlineLevel="0" collapsed="false">
      <c r="A6" s="5" t="s">
        <v>183</v>
      </c>
      <c r="B6" s="19" t="n">
        <v>28</v>
      </c>
      <c r="C6" s="19" t="n">
        <v>33</v>
      </c>
      <c r="D6" s="19" t="n">
        <v>34</v>
      </c>
      <c r="E6" s="30" t="n">
        <f aca="false">D6</f>
        <v>34</v>
      </c>
      <c r="F6" s="30" t="n">
        <f aca="false">E6</f>
        <v>34</v>
      </c>
      <c r="G6" s="30" t="n">
        <f aca="false">F6</f>
        <v>34</v>
      </c>
      <c r="H6" s="30" t="n">
        <f aca="false">G6</f>
        <v>34</v>
      </c>
      <c r="I6" s="30" t="n">
        <f aca="false">H6</f>
        <v>34</v>
      </c>
    </row>
    <row r="7" customFormat="false" ht="15" hidden="false" customHeight="false" outlineLevel="0" collapsed="false">
      <c r="A7" s="5" t="s">
        <v>184</v>
      </c>
      <c r="B7" s="19" t="n">
        <v>18</v>
      </c>
      <c r="C7" s="19" t="n">
        <v>22</v>
      </c>
      <c r="D7" s="19" t="n">
        <v>25</v>
      </c>
      <c r="E7" s="30" t="n">
        <f aca="false">D7+1</f>
        <v>26</v>
      </c>
      <c r="F7" s="30" t="n">
        <f aca="false">E7+1</f>
        <v>27</v>
      </c>
      <c r="G7" s="30" t="n">
        <f aca="false">F7+1</f>
        <v>28</v>
      </c>
      <c r="H7" s="30" t="n">
        <f aca="false">G7+1</f>
        <v>29</v>
      </c>
      <c r="I7" s="30" t="n">
        <f aca="false">H7+1</f>
        <v>30</v>
      </c>
    </row>
    <row r="8" customFormat="false" ht="15" hidden="false" customHeight="false" outlineLevel="0" collapsed="false">
      <c r="A8" s="5" t="s">
        <v>185</v>
      </c>
      <c r="B8" s="30" t="n">
        <f aca="false">(B11+B12+B13+B14+B15)-(B4+B5+B6+B7)</f>
        <v>9.3</v>
      </c>
      <c r="C8" s="30" t="n">
        <f aca="false">(C11+C12+C13+C14+C15)-(C4+C5+C6+C7)</f>
        <v>8.5</v>
      </c>
      <c r="D8" s="30" t="n">
        <f aca="false">(D11+D12+D13+D14+D15)-(D4+D5+D6+D7)</f>
        <v>16</v>
      </c>
      <c r="E8" s="24" t="n">
        <f aca="false">(E11+E12+E13+E14+E15)-(E4+E5+E6+E7)</f>
        <v>16.3779776</v>
      </c>
      <c r="F8" s="24" t="n">
        <f aca="false">(F11+F12+F13+F14+F15)-(F4+F5+F6+F7)</f>
        <v>16.3484992</v>
      </c>
      <c r="G8" s="24" t="n">
        <f aca="false">(G11+G12+G13+G14+G15)-(G4+G5+G6+G7)</f>
        <v>16.0126912</v>
      </c>
      <c r="H8" s="24" t="n">
        <f aca="false">(H11+H12+H13+H14+H15)-(H4+H5+H6+H7)</f>
        <v>15.49550976</v>
      </c>
      <c r="I8" s="24" t="n">
        <f aca="false">(I11+I12+I13+I14+I15)-(I4+I5+I6+I7)</f>
        <v>14.8098272</v>
      </c>
    </row>
    <row r="9" customFormat="false" ht="15" hidden="false" customHeight="false" outlineLevel="0" collapsed="false">
      <c r="A9" s="15" t="s">
        <v>186</v>
      </c>
      <c r="B9" s="25" t="n">
        <f aca="false">SUM(B4:B8)</f>
        <v>75</v>
      </c>
      <c r="C9" s="25" t="n">
        <f aca="false">SUM(C4:C8)</f>
        <v>88.6</v>
      </c>
      <c r="D9" s="25" t="n">
        <f aca="false">SUM(D4:D8)</f>
        <v>108</v>
      </c>
      <c r="E9" s="25" t="n">
        <f aca="false">SUM(E4:E8)</f>
        <v>112.2655888</v>
      </c>
      <c r="F9" s="25" t="n">
        <f aca="false">SUM(F4:F8)</f>
        <v>116.9464496</v>
      </c>
      <c r="G9" s="25" t="n">
        <f aca="false">SUM(G4:G8)</f>
        <v>122.0255456</v>
      </c>
      <c r="H9" s="25" t="n">
        <f aca="false">SUM(H4:H8)</f>
        <v>127.42791488</v>
      </c>
      <c r="I9" s="25" t="n">
        <f aca="false">SUM(I4:I8)</f>
        <v>133.1101136</v>
      </c>
    </row>
    <row r="11" customFormat="false" ht="15" hidden="false" customHeight="false" outlineLevel="0" collapsed="false">
      <c r="A11" s="5" t="s">
        <v>187</v>
      </c>
      <c r="B11" s="19" t="n">
        <v>12.1</v>
      </c>
      <c r="C11" s="19" t="n">
        <v>16.4</v>
      </c>
      <c r="D11" s="19" t="n">
        <v>26.5</v>
      </c>
      <c r="E11" s="30" t="n">
        <f aca="false">D11</f>
        <v>26.5</v>
      </c>
      <c r="F11" s="30" t="n">
        <f aca="false">E11</f>
        <v>26.5</v>
      </c>
      <c r="G11" s="30" t="n">
        <f aca="false">F11</f>
        <v>26.5</v>
      </c>
      <c r="H11" s="30" t="n">
        <f aca="false">G11</f>
        <v>26.5</v>
      </c>
      <c r="I11" s="30" t="n">
        <f aca="false">H11</f>
        <v>26.5</v>
      </c>
    </row>
    <row r="12" customFormat="false" ht="15" hidden="false" customHeight="false" outlineLevel="0" collapsed="false">
      <c r="A12" s="5" t="s">
        <v>188</v>
      </c>
      <c r="B12" s="19" t="n">
        <v>15</v>
      </c>
      <c r="C12" s="19" t="n">
        <v>18</v>
      </c>
      <c r="D12" s="19" t="n">
        <v>20</v>
      </c>
      <c r="E12" s="30" t="n">
        <f aca="false">D12</f>
        <v>20</v>
      </c>
      <c r="F12" s="30" t="n">
        <f aca="false">E12</f>
        <v>20</v>
      </c>
      <c r="G12" s="30" t="n">
        <f aca="false">F12</f>
        <v>20</v>
      </c>
      <c r="H12" s="30" t="n">
        <f aca="false">G12</f>
        <v>20</v>
      </c>
      <c r="I12" s="30" t="n">
        <f aca="false">H12</f>
        <v>20</v>
      </c>
    </row>
    <row r="13" customFormat="false" ht="15" hidden="false" customHeight="false" outlineLevel="0" collapsed="false">
      <c r="A13" s="5" t="s">
        <v>189</v>
      </c>
      <c r="B13" s="19" t="n">
        <v>14.9</v>
      </c>
      <c r="C13" s="19" t="n">
        <v>16.7</v>
      </c>
      <c r="D13" s="19" t="n">
        <v>18.5</v>
      </c>
      <c r="E13" s="30" t="n">
        <f aca="false">D13</f>
        <v>18.5</v>
      </c>
      <c r="F13" s="30" t="n">
        <f aca="false">E13</f>
        <v>18.5</v>
      </c>
      <c r="G13" s="30" t="n">
        <f aca="false">F13</f>
        <v>18.5</v>
      </c>
      <c r="H13" s="30" t="n">
        <f aca="false">G13</f>
        <v>18.5</v>
      </c>
      <c r="I13" s="30" t="n">
        <f aca="false">H13</f>
        <v>18.5</v>
      </c>
    </row>
    <row r="14" customFormat="false" ht="15" hidden="false" customHeight="false" outlineLevel="0" collapsed="false">
      <c r="A14" s="5" t="s">
        <v>190</v>
      </c>
      <c r="B14" s="19" t="n">
        <v>2</v>
      </c>
      <c r="C14" s="19" t="n">
        <v>2.6</v>
      </c>
      <c r="D14" s="19" t="n">
        <v>3</v>
      </c>
      <c r="E14" s="30" t="n">
        <f aca="false">D14</f>
        <v>3</v>
      </c>
      <c r="F14" s="30" t="n">
        <f aca="false">E14</f>
        <v>3</v>
      </c>
      <c r="G14" s="30" t="n">
        <f aca="false">F14</f>
        <v>3</v>
      </c>
      <c r="H14" s="30" t="n">
        <f aca="false">G14</f>
        <v>3</v>
      </c>
      <c r="I14" s="30" t="n">
        <f aca="false">H14</f>
        <v>3</v>
      </c>
    </row>
    <row r="15" customFormat="false" ht="15" hidden="false" customHeight="false" outlineLevel="0" collapsed="false">
      <c r="A15" s="15" t="s">
        <v>191</v>
      </c>
      <c r="B15" s="32" t="n">
        <v>31</v>
      </c>
      <c r="C15" s="32" t="n">
        <v>34.9</v>
      </c>
      <c r="D15" s="32" t="n">
        <v>40</v>
      </c>
      <c r="E15" s="25" t="n">
        <f aca="false">D15+'Income Statement'!E18-'Income Statement'!E18*0.45</f>
        <v>44.2655888</v>
      </c>
      <c r="F15" s="25" t="n">
        <f aca="false">E15+'Income Statement'!F18-'Income Statement'!F18*0.45</f>
        <v>48.9464496</v>
      </c>
      <c r="G15" s="25" t="n">
        <f aca="false">F15+'Income Statement'!G18-'Income Statement'!G18*0.45</f>
        <v>54.0255456</v>
      </c>
      <c r="H15" s="25" t="n">
        <f aca="false">G15+'Income Statement'!H18-'Income Statement'!H18*0.45</f>
        <v>59.42791488</v>
      </c>
      <c r="I15" s="25" t="n">
        <f aca="false">H15+'Income Statement'!I18-'Income Statement'!I18*0.45</f>
        <v>65.1101136</v>
      </c>
    </row>
    <row r="16" customFormat="false" ht="15" hidden="false" customHeight="false" outlineLevel="0" collapsed="false">
      <c r="A16" s="15" t="s">
        <v>192</v>
      </c>
      <c r="B16" s="25" t="n">
        <f aca="false">B11+B12+B13+B14+B15</f>
        <v>75</v>
      </c>
      <c r="C16" s="25" t="n">
        <f aca="false">C11+C12+C13+C14+C15</f>
        <v>88.6</v>
      </c>
      <c r="D16" s="25" t="n">
        <f aca="false">D11+D12+D13+D14+D15</f>
        <v>108</v>
      </c>
      <c r="E16" s="25" t="n">
        <f aca="false">E11+E12+E13+E14+E15</f>
        <v>112.2655888</v>
      </c>
      <c r="F16" s="25" t="n">
        <f aca="false">F11+F12+F13+F14+F15</f>
        <v>116.9464496</v>
      </c>
      <c r="G16" s="25" t="n">
        <f aca="false">G11+G12+G13+G14+G15</f>
        <v>122.0255456</v>
      </c>
      <c r="H16" s="25" t="n">
        <f aca="false">H11+H12+H13+H14+H15</f>
        <v>127.42791488</v>
      </c>
      <c r="I16" s="25" t="n">
        <f aca="false">I11+I12+I13+I14+I15</f>
        <v>133.1101136</v>
      </c>
    </row>
    <row r="18" customFormat="false" ht="15" hidden="false" customHeight="false" outlineLevel="0" collapsed="false">
      <c r="A18" s="5" t="s">
        <v>193</v>
      </c>
      <c r="B18" s="31" t="n">
        <f aca="false">B9-B16</f>
        <v>0</v>
      </c>
      <c r="C18" s="31" t="n">
        <f aca="false">C9-C16</f>
        <v>0</v>
      </c>
      <c r="D18" s="31" t="n">
        <f aca="false">D9-D16</f>
        <v>0</v>
      </c>
      <c r="E18" s="31" t="n">
        <f aca="false">E9-E16</f>
        <v>0</v>
      </c>
      <c r="F18" s="31" t="n">
        <f aca="false">F9-F16</f>
        <v>0</v>
      </c>
      <c r="G18" s="31" t="n">
        <f aca="false">G9-G16</f>
        <v>0</v>
      </c>
      <c r="H18" s="31" t="n">
        <f aca="false">H9-H16</f>
        <v>0</v>
      </c>
      <c r="I18" s="31" t="n">
        <f aca="false">I9-I16</f>
        <v>0</v>
      </c>
    </row>
    <row r="19" customFormat="false" ht="15" hidden="false" customHeight="false" outlineLevel="0" collapsed="false">
      <c r="A19" s="5" t="s">
        <v>194</v>
      </c>
      <c r="B19" s="30" t="n">
        <f aca="false">B11-B4</f>
        <v>0.4</v>
      </c>
      <c r="C19" s="30" t="n">
        <f aca="false">C11-C4</f>
        <v>1.3</v>
      </c>
      <c r="D19" s="30" t="n">
        <f aca="false">D11-D4</f>
        <v>5.5</v>
      </c>
      <c r="E19" s="30" t="n">
        <f aca="false">E11-E4</f>
        <v>2.6123888</v>
      </c>
      <c r="F19" s="30" t="n">
        <f aca="false">F11-F4</f>
        <v>-1.0979504</v>
      </c>
      <c r="G19" s="30" t="n">
        <f aca="false">G11-G4</f>
        <v>-5.5128544</v>
      </c>
      <c r="H19" s="30" t="n">
        <f aca="false">H11-H4</f>
        <v>-10.43240512</v>
      </c>
      <c r="I19" s="30" t="n">
        <f aca="false">I11-I4</f>
        <v>-15.8002864</v>
      </c>
    </row>
    <row r="21" customFormat="false" ht="15" hidden="false" customHeight="false" outlineLevel="0" collapsed="false">
      <c r="A21" s="1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5" style="0" width="9.51"/>
  </cols>
  <sheetData>
    <row r="1" customFormat="false" ht="17.35" hidden="false" customHeight="false" outlineLevel="0" collapsed="false">
      <c r="A1" s="1" t="s">
        <v>196</v>
      </c>
    </row>
    <row r="2" customFormat="false" ht="15" hidden="false" customHeight="false" outlineLevel="0" collapsed="false">
      <c r="A2" s="2" t="s">
        <v>197</v>
      </c>
    </row>
    <row r="3" customFormat="false" ht="15" hidden="false" customHeight="false" outlineLevel="0" collapsed="false">
      <c r="A3" s="4" t="s">
        <v>106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175</v>
      </c>
      <c r="E4" s="30" t="n">
        <f aca="false">'Income Statement'!E18</f>
        <v>7.755616</v>
      </c>
      <c r="F4" s="30" t="n">
        <f aca="false">'Income Statement'!F18</f>
        <v>8.510656</v>
      </c>
      <c r="G4" s="30" t="n">
        <f aca="false">'Income Statement'!G18</f>
        <v>9.23472</v>
      </c>
      <c r="H4" s="30" t="n">
        <f aca="false">'Income Statement'!H18</f>
        <v>9.8224896</v>
      </c>
      <c r="I4" s="30" t="n">
        <f aca="false">'Income Statement'!I18</f>
        <v>10.3312704</v>
      </c>
    </row>
    <row r="5" customFormat="false" ht="15" hidden="false" customHeight="false" outlineLevel="0" collapsed="false">
      <c r="A5" s="5" t="s">
        <v>141</v>
      </c>
      <c r="E5" s="30" t="n">
        <f aca="false">-'Income Statement'!E10</f>
        <v>0.74</v>
      </c>
      <c r="F5" s="30" t="n">
        <f aca="false">-'Income Statement'!F10</f>
        <v>0.82</v>
      </c>
      <c r="G5" s="30" t="n">
        <f aca="false">-'Income Statement'!G10</f>
        <v>0.9</v>
      </c>
      <c r="H5" s="30" t="n">
        <f aca="false">-'Income Statement'!H10</f>
        <v>0.96</v>
      </c>
      <c r="I5" s="30" t="n">
        <f aca="false">-'Income Statement'!I10</f>
        <v>1.01</v>
      </c>
    </row>
    <row r="6" customFormat="false" ht="15" hidden="false" customHeight="false" outlineLevel="0" collapsed="false">
      <c r="A6" s="5" t="s">
        <v>198</v>
      </c>
      <c r="E6" s="30" t="n">
        <f aca="false">-'Income Statement'!E17</f>
        <v>1.057584</v>
      </c>
      <c r="F6" s="30" t="n">
        <f aca="false">-'Income Statement'!F17</f>
        <v>1.160544</v>
      </c>
      <c r="G6" s="30" t="n">
        <f aca="false">-'Income Statement'!G17</f>
        <v>1.25928</v>
      </c>
      <c r="H6" s="30" t="n">
        <f aca="false">-'Income Statement'!H17</f>
        <v>1.3394304</v>
      </c>
      <c r="I6" s="30" t="n">
        <f aca="false">-'Income Statement'!I17</f>
        <v>1.4088096</v>
      </c>
    </row>
    <row r="7" customFormat="false" ht="15" hidden="false" customHeight="false" outlineLevel="0" collapsed="false">
      <c r="A7" s="5" t="s">
        <v>144</v>
      </c>
      <c r="E7" s="19" t="n">
        <v>-1.5</v>
      </c>
      <c r="F7" s="19" t="n">
        <v>-1.2</v>
      </c>
      <c r="G7" s="19" t="n">
        <v>-1</v>
      </c>
      <c r="H7" s="19" t="n">
        <v>-0.9</v>
      </c>
      <c r="I7" s="19" t="n">
        <v>-0.8</v>
      </c>
    </row>
    <row r="8" customFormat="false" ht="15" hidden="false" customHeight="false" outlineLevel="0" collapsed="false">
      <c r="A8" s="15" t="s">
        <v>199</v>
      </c>
      <c r="E8" s="25" t="n">
        <f aca="false">E4+E5+E6+E7</f>
        <v>8.0532</v>
      </c>
      <c r="F8" s="25" t="n">
        <f aca="false">F4+F5+F6+F7</f>
        <v>9.2912</v>
      </c>
      <c r="G8" s="25" t="n">
        <f aca="false">G4+G5+G6+G7</f>
        <v>10.394</v>
      </c>
      <c r="H8" s="25" t="n">
        <f aca="false">H4+H5+H6+H7</f>
        <v>11.22192</v>
      </c>
      <c r="I8" s="25" t="n">
        <f aca="false">I4+I5+I6+I7</f>
        <v>11.95008</v>
      </c>
    </row>
    <row r="9" customFormat="false" ht="15" hidden="false" customHeight="false" outlineLevel="0" collapsed="false">
      <c r="A9" s="5" t="s">
        <v>142</v>
      </c>
      <c r="E9" s="30" t="n">
        <f aca="false">-Assumptions!$B$46</f>
        <v>-0.9</v>
      </c>
      <c r="F9" s="30" t="n">
        <f aca="false">-Assumptions!$B$46</f>
        <v>-0.9</v>
      </c>
      <c r="G9" s="30" t="n">
        <f aca="false">-Assumptions!$B$46</f>
        <v>-0.9</v>
      </c>
      <c r="H9" s="30" t="n">
        <f aca="false">-Assumptions!$B$46</f>
        <v>-0.9</v>
      </c>
      <c r="I9" s="30" t="n">
        <f aca="false">-Assumptions!$B$46</f>
        <v>-0.9</v>
      </c>
    </row>
    <row r="10" customFormat="false" ht="15" hidden="false" customHeight="false" outlineLevel="0" collapsed="false">
      <c r="A10" s="15" t="s">
        <v>200</v>
      </c>
      <c r="E10" s="25" t="n">
        <f aca="false">E8+E9</f>
        <v>7.1532</v>
      </c>
      <c r="F10" s="25" t="n">
        <f aca="false">F8+F9</f>
        <v>8.3912</v>
      </c>
      <c r="G10" s="25" t="n">
        <f aca="false">G8+G9</f>
        <v>9.494</v>
      </c>
      <c r="H10" s="25" t="n">
        <f aca="false">H8+H9</f>
        <v>10.32192</v>
      </c>
      <c r="I10" s="25" t="n">
        <f aca="false">I8+I9</f>
        <v>11.05008</v>
      </c>
    </row>
    <row r="11" customFormat="false" ht="15" hidden="false" customHeight="false" outlineLevel="0" collapsed="false">
      <c r="A11" s="5" t="s">
        <v>201</v>
      </c>
      <c r="E11" s="30" t="n">
        <f aca="false">-'Income Statement'!E20*Assumptions!$B$5</f>
        <v>-4.2655888</v>
      </c>
      <c r="F11" s="30" t="n">
        <f aca="false">-'Income Statement'!F20*Assumptions!$B$5</f>
        <v>-4.6808608</v>
      </c>
      <c r="G11" s="30" t="n">
        <f aca="false">-'Income Statement'!G20*Assumptions!$B$5</f>
        <v>-5.079096</v>
      </c>
      <c r="H11" s="30" t="n">
        <f aca="false">-'Income Statement'!H20*Assumptions!$B$5</f>
        <v>-5.40236928</v>
      </c>
      <c r="I11" s="30" t="n">
        <f aca="false">-'Income Statement'!I20*Assumptions!$B$5</f>
        <v>-5.68219872</v>
      </c>
    </row>
    <row r="12" customFormat="false" ht="15" hidden="false" customHeight="false" outlineLevel="0" collapsed="false">
      <c r="A12" s="15" t="s">
        <v>202</v>
      </c>
      <c r="E12" s="25" t="n">
        <f aca="false">E10+E11</f>
        <v>2.8876112</v>
      </c>
      <c r="F12" s="25" t="n">
        <f aca="false">F10+F11</f>
        <v>3.7103392</v>
      </c>
      <c r="G12" s="25" t="n">
        <f aca="false">G10+G11</f>
        <v>4.414904</v>
      </c>
      <c r="H12" s="25" t="n">
        <f aca="false">H10+H11</f>
        <v>4.91955072</v>
      </c>
      <c r="I12" s="25" t="n">
        <f aca="false">I10+I11</f>
        <v>5.36788128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9.51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136</v>
      </c>
      <c r="B4" s="24" t="n">
        <f aca="false">'Income Statement'!B6</f>
        <v>14.2</v>
      </c>
      <c r="C4" s="24" t="n">
        <f aca="false">'Income Statement'!C6</f>
        <v>23</v>
      </c>
      <c r="D4" s="24" t="n">
        <f aca="false">'Income Statement'!D6</f>
        <v>33.8</v>
      </c>
      <c r="E4" s="24" t="n">
        <f aca="false">'Income Statement'!E6</f>
        <v>37</v>
      </c>
      <c r="F4" s="24" t="n">
        <f aca="false">'Income Statement'!F6</f>
        <v>41</v>
      </c>
      <c r="G4" s="24" t="n">
        <f aca="false">'Income Statement'!G6</f>
        <v>45</v>
      </c>
      <c r="H4" s="24" t="n">
        <f aca="false">'Income Statement'!H6</f>
        <v>48</v>
      </c>
      <c r="I4" s="24" t="n">
        <f aca="false">'Income Statement'!I6</f>
        <v>50.5</v>
      </c>
    </row>
    <row r="5" customFormat="false" ht="15" hidden="false" customHeight="false" outlineLevel="0" collapsed="false">
      <c r="A5" s="5" t="s">
        <v>137</v>
      </c>
      <c r="B5" s="24" t="n">
        <f aca="false">'Income Statement'!B8</f>
        <v>5.1</v>
      </c>
      <c r="C5" s="24" t="n">
        <f aca="false">'Income Statement'!C8</f>
        <v>7.7</v>
      </c>
      <c r="D5" s="24" t="n">
        <f aca="false">'Income Statement'!D8</f>
        <v>11.2</v>
      </c>
      <c r="E5" s="24" t="n">
        <f aca="false">'Income Statement'!E8</f>
        <v>11.655</v>
      </c>
      <c r="F5" s="24" t="n">
        <f aca="false">'Income Statement'!F8</f>
        <v>12.71</v>
      </c>
      <c r="G5" s="24" t="n">
        <f aca="false">'Income Statement'!G8</f>
        <v>13.725</v>
      </c>
      <c r="H5" s="24" t="n">
        <f aca="false">'Income Statement'!H8</f>
        <v>14.544</v>
      </c>
      <c r="I5" s="24" t="n">
        <f aca="false">'Income Statement'!I8</f>
        <v>15.251</v>
      </c>
    </row>
    <row r="6" customFormat="false" ht="15" hidden="false" customHeight="false" outlineLevel="0" collapsed="false">
      <c r="A6" s="5" t="s">
        <v>139</v>
      </c>
      <c r="B6" s="24" t="n">
        <f aca="false">'Income Statement'!B11</f>
        <v>4.6</v>
      </c>
      <c r="C6" s="24" t="n">
        <f aca="false">'Income Statement'!C11</f>
        <v>7.1</v>
      </c>
      <c r="D6" s="24" t="n">
        <f aca="false">'Income Statement'!D11</f>
        <v>10.5</v>
      </c>
      <c r="E6" s="24" t="n">
        <f aca="false">'Income Statement'!E11</f>
        <v>10.915</v>
      </c>
      <c r="F6" s="24" t="n">
        <f aca="false">'Income Statement'!F11</f>
        <v>11.89</v>
      </c>
      <c r="G6" s="24" t="n">
        <f aca="false">'Income Statement'!G11</f>
        <v>12.825</v>
      </c>
      <c r="H6" s="24" t="n">
        <f aca="false">'Income Statement'!H11</f>
        <v>13.584</v>
      </c>
      <c r="I6" s="24" t="n">
        <f aca="false">'Income Statement'!I11</f>
        <v>14.241</v>
      </c>
    </row>
    <row r="7" customFormat="false" ht="15" hidden="false" customHeight="false" outlineLevel="0" collapsed="false">
      <c r="A7" s="5" t="s">
        <v>175</v>
      </c>
      <c r="B7" s="24" t="n">
        <f aca="false">'Income Statement'!B18</f>
        <v>3.7</v>
      </c>
      <c r="C7" s="24" t="n">
        <f aca="false">'Income Statement'!C18</f>
        <v>5.5</v>
      </c>
      <c r="D7" s="24" t="n">
        <f aca="false">'Income Statement'!D18</f>
        <v>7.6</v>
      </c>
      <c r="E7" s="24" t="n">
        <f aca="false">'Income Statement'!E18</f>
        <v>7.755616</v>
      </c>
      <c r="F7" s="24" t="n">
        <f aca="false">'Income Statement'!F18</f>
        <v>8.510656</v>
      </c>
      <c r="G7" s="24" t="n">
        <f aca="false">'Income Statement'!G18</f>
        <v>9.23472</v>
      </c>
      <c r="H7" s="24" t="n">
        <f aca="false">'Income Statement'!H18</f>
        <v>9.8224896</v>
      </c>
      <c r="I7" s="24" t="n">
        <f aca="false">'Income Statement'!I18</f>
        <v>10.3312704</v>
      </c>
    </row>
    <row r="8" customFormat="false" ht="15" hidden="false" customHeight="false" outlineLevel="0" collapsed="false">
      <c r="A8" s="5" t="s">
        <v>186</v>
      </c>
      <c r="B8" s="24" t="n">
        <f aca="false">'Balance Sheet'!B9</f>
        <v>75</v>
      </c>
      <c r="C8" s="24" t="n">
        <f aca="false">'Balance Sheet'!C9</f>
        <v>88.6</v>
      </c>
      <c r="D8" s="24" t="n">
        <f aca="false">'Balance Sheet'!D9</f>
        <v>108</v>
      </c>
      <c r="E8" s="24" t="n">
        <f aca="false">'Balance Sheet'!E9</f>
        <v>112.2655888</v>
      </c>
      <c r="F8" s="24" t="n">
        <f aca="false">'Balance Sheet'!F9</f>
        <v>116.9464496</v>
      </c>
      <c r="G8" s="24" t="n">
        <f aca="false">'Balance Sheet'!G9</f>
        <v>122.0255456</v>
      </c>
      <c r="H8" s="24" t="n">
        <f aca="false">'Balance Sheet'!H9</f>
        <v>127.42791488</v>
      </c>
      <c r="I8" s="24" t="n">
        <f aca="false">'Balance Sheet'!I9</f>
        <v>133.1101136</v>
      </c>
    </row>
    <row r="9" customFormat="false" ht="15" hidden="false" customHeight="false" outlineLevel="0" collapsed="false">
      <c r="A9" s="5" t="s">
        <v>191</v>
      </c>
      <c r="B9" s="24" t="n">
        <f aca="false">'Balance Sheet'!B15</f>
        <v>31</v>
      </c>
      <c r="C9" s="24" t="n">
        <f aca="false">'Balance Sheet'!C15</f>
        <v>34.9</v>
      </c>
      <c r="D9" s="24" t="n">
        <f aca="false">'Balance Sheet'!D15</f>
        <v>40</v>
      </c>
      <c r="E9" s="24" t="n">
        <f aca="false">'Balance Sheet'!E15</f>
        <v>44.2655888</v>
      </c>
      <c r="F9" s="24" t="n">
        <f aca="false">'Balance Sheet'!F15</f>
        <v>48.9464496</v>
      </c>
      <c r="G9" s="24" t="n">
        <f aca="false">'Balance Sheet'!G15</f>
        <v>54.0255456</v>
      </c>
      <c r="H9" s="24" t="n">
        <f aca="false">'Balance Sheet'!H15</f>
        <v>59.42791488</v>
      </c>
      <c r="I9" s="24" t="n">
        <f aca="false">'Balance Sheet'!I15</f>
        <v>65.1101136</v>
      </c>
    </row>
    <row r="10" customFormat="false" ht="15" hidden="false" customHeight="false" outlineLevel="0" collapsed="false">
      <c r="A10" s="5" t="s">
        <v>205</v>
      </c>
      <c r="B10" s="24" t="n">
        <f aca="false">'Balance Sheet'!B19</f>
        <v>0.4</v>
      </c>
      <c r="C10" s="24" t="n">
        <f aca="false">'Balance Sheet'!C19</f>
        <v>1.3</v>
      </c>
      <c r="D10" s="24" t="n">
        <f aca="false">'Balance Sheet'!D19</f>
        <v>5.5</v>
      </c>
      <c r="E10" s="24" t="n">
        <f aca="false">'Balance Sheet'!E19</f>
        <v>2.6123888</v>
      </c>
      <c r="F10" s="24" t="n">
        <f aca="false">'Balance Sheet'!F19</f>
        <v>-1.0979504</v>
      </c>
      <c r="G10" s="24" t="n">
        <f aca="false">'Balance Sheet'!G19</f>
        <v>-5.5128544</v>
      </c>
      <c r="H10" s="24" t="n">
        <f aca="false">'Balance Sheet'!H19</f>
        <v>-10.43240512</v>
      </c>
      <c r="I10" s="24" t="n">
        <f aca="false">'Balance Sheet'!I19</f>
        <v>-15.8002864</v>
      </c>
    </row>
    <row r="11" customFormat="false" ht="15" hidden="false" customHeight="false" outlineLevel="0" collapsed="false">
      <c r="A11" s="5" t="s">
        <v>200</v>
      </c>
      <c r="E11" s="24" t="n">
        <f aca="false">'Cash Flow'!E10</f>
        <v>7.1532</v>
      </c>
      <c r="F11" s="24" t="n">
        <f aca="false">'Cash Flow'!F10</f>
        <v>8.3912</v>
      </c>
      <c r="G11" s="24" t="n">
        <f aca="false">'Cash Flow'!G10</f>
        <v>9.494</v>
      </c>
      <c r="H11" s="24" t="n">
        <f aca="false">'Cash Flow'!H10</f>
        <v>10.32192</v>
      </c>
      <c r="I11" s="24" t="n">
        <f aca="false">'Cash Flow'!I10</f>
        <v>11.05008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3" customFormat="false" ht="15" hidden="false" customHeight="false" outlineLevel="0" collapsed="false">
      <c r="A3" s="4" t="s">
        <v>208</v>
      </c>
      <c r="B3" s="17"/>
      <c r="C3" s="17"/>
      <c r="D3" s="17"/>
      <c r="E3" s="17"/>
      <c r="F3" s="17"/>
    </row>
    <row r="4" customFormat="false" ht="15" hidden="false" customHeight="false" outlineLevel="0" collapsed="false">
      <c r="A4" s="15" t="s">
        <v>209</v>
      </c>
      <c r="B4" s="33" t="s">
        <v>210</v>
      </c>
      <c r="C4" s="33" t="s">
        <v>211</v>
      </c>
      <c r="D4" s="33" t="s">
        <v>212</v>
      </c>
      <c r="E4" s="33" t="s">
        <v>213</v>
      </c>
      <c r="F4" s="33" t="s">
        <v>214</v>
      </c>
    </row>
    <row r="5" customFormat="false" ht="15" hidden="false" customHeight="false" outlineLevel="0" collapsed="false">
      <c r="A5" s="5" t="s">
        <v>215</v>
      </c>
      <c r="B5" s="6" t="n">
        <v>7.017</v>
      </c>
      <c r="C5" s="6" t="n">
        <v>7.858</v>
      </c>
      <c r="D5" s="6" t="n">
        <v>8.375</v>
      </c>
      <c r="E5" s="6" t="n">
        <v>8.925</v>
      </c>
      <c r="F5" s="6" t="n">
        <v>9.912</v>
      </c>
    </row>
    <row r="6" customFormat="false" ht="15" hidden="false" customHeight="false" outlineLevel="0" collapsed="false">
      <c r="A6" s="5" t="s">
        <v>216</v>
      </c>
      <c r="B6" s="6" t="n">
        <v>6.363</v>
      </c>
      <c r="C6" s="6" t="n">
        <v>7.599</v>
      </c>
      <c r="D6" s="6" t="n">
        <v>8.496</v>
      </c>
      <c r="E6" s="6" t="n">
        <v>9.48</v>
      </c>
      <c r="F6" s="6" t="n">
        <v>11.293</v>
      </c>
    </row>
    <row r="8" customFormat="false" ht="15" hidden="false" customHeight="false" outlineLevel="0" collapsed="false">
      <c r="A8" s="4" t="s">
        <v>217</v>
      </c>
      <c r="B8" s="17"/>
      <c r="C8" s="17"/>
      <c r="D8" s="17"/>
      <c r="E8" s="17"/>
      <c r="F8" s="17"/>
    </row>
    <row r="9" customFormat="false" ht="15" hidden="false" customHeight="false" outlineLevel="0" collapsed="false">
      <c r="A9" s="5" t="s">
        <v>218</v>
      </c>
      <c r="B9" s="20" t="n">
        <v>0.5581</v>
      </c>
    </row>
    <row r="10" customFormat="false" ht="15" hidden="false" customHeight="false" outlineLevel="0" collapsed="false">
      <c r="A10" s="5" t="s">
        <v>219</v>
      </c>
      <c r="B10" s="20" t="n">
        <v>0.3286</v>
      </c>
    </row>
    <row r="11" customFormat="false" ht="15" hidden="false" customHeight="false" outlineLevel="0" collapsed="false">
      <c r="A11" s="5" t="s">
        <v>220</v>
      </c>
      <c r="B11" s="20" t="n">
        <v>0.2193</v>
      </c>
    </row>
    <row r="12" customFormat="false" ht="15" hidden="false" customHeight="false" outlineLevel="0" collapsed="false">
      <c r="A12" s="5" t="s">
        <v>221</v>
      </c>
      <c r="B12" s="34" t="n">
        <v>1.4982</v>
      </c>
    </row>
    <row r="13" customFormat="false" ht="15" hidden="false" customHeight="false" outlineLevel="0" collapsed="false">
      <c r="A13" s="5" t="s">
        <v>222</v>
      </c>
      <c r="B13" s="6" t="n">
        <v>8.4963</v>
      </c>
    </row>
    <row r="14" customFormat="false" ht="15" hidden="false" customHeight="false" outlineLevel="0" collapsed="false">
      <c r="A14" s="5" t="s">
        <v>223</v>
      </c>
      <c r="B14" s="20" t="n">
        <v>0.0237</v>
      </c>
    </row>
    <row r="15" customFormat="false" ht="15" hidden="false" customHeight="false" outlineLevel="0" collapsed="false">
      <c r="A15" s="5" t="s">
        <v>224</v>
      </c>
      <c r="B15" s="6" t="n">
        <v>7.5989</v>
      </c>
    </row>
    <row r="16" customFormat="false" ht="15" hidden="false" customHeight="false" outlineLevel="0" collapsed="false">
      <c r="A16" s="5" t="s">
        <v>225</v>
      </c>
      <c r="B16" s="6" t="n">
        <v>9.4797</v>
      </c>
    </row>
    <row r="17" customFormat="false" ht="15" hidden="false" customHeight="false" outlineLevel="0" collapsed="false">
      <c r="A17" s="5" t="s">
        <v>226</v>
      </c>
      <c r="B17" s="20" t="n">
        <v>0.5579</v>
      </c>
    </row>
    <row r="18" customFormat="false" ht="15" hidden="false" customHeight="false" outlineLevel="0" collapsed="false">
      <c r="A18" s="5" t="s">
        <v>227</v>
      </c>
      <c r="B18" s="20" t="n">
        <v>0.4245</v>
      </c>
    </row>
    <row r="20" customFormat="false" ht="15" hidden="false" customHeight="false" outlineLevel="0" collapsed="false">
      <c r="A20" s="4" t="s">
        <v>228</v>
      </c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15" t="s">
        <v>229</v>
      </c>
      <c r="B21" s="15" t="s">
        <v>230</v>
      </c>
      <c r="C21" s="15" t="s">
        <v>231</v>
      </c>
    </row>
    <row r="22" customFormat="false" ht="15" hidden="false" customHeight="false" outlineLevel="0" collapsed="false">
      <c r="A22" s="11" t="n">
        <v>10.5</v>
      </c>
      <c r="B22" s="20" t="n">
        <v>0.028</v>
      </c>
      <c r="C22" s="20" t="n">
        <v>0.172</v>
      </c>
    </row>
    <row r="23" customFormat="false" ht="15" hidden="false" customHeight="false" outlineLevel="0" collapsed="false">
      <c r="A23" s="11" t="n">
        <v>10</v>
      </c>
      <c r="B23" s="20" t="n">
        <v>0.065</v>
      </c>
      <c r="C23" s="20" t="n">
        <v>0.273</v>
      </c>
    </row>
    <row r="24" customFormat="false" ht="15" hidden="false" customHeight="false" outlineLevel="0" collapsed="false">
      <c r="A24" s="11" t="n">
        <v>9.5</v>
      </c>
      <c r="B24" s="20" t="n">
        <v>0.155</v>
      </c>
      <c r="C24" s="20" t="n">
        <v>0.419</v>
      </c>
    </row>
    <row r="25" customFormat="false" ht="15" hidden="false" customHeight="false" outlineLevel="0" collapsed="false">
      <c r="A25" s="11" t="n">
        <v>9</v>
      </c>
      <c r="B25" s="20" t="n">
        <v>0.346</v>
      </c>
      <c r="C25" s="20" t="n">
        <v>0.612</v>
      </c>
    </row>
    <row r="26" customFormat="false" ht="15" hidden="false" customHeight="false" outlineLevel="0" collapsed="false">
      <c r="A26" s="11" t="n">
        <v>8.6</v>
      </c>
      <c r="B26" s="20" t="n">
        <v>0.614</v>
      </c>
      <c r="C26" s="20" t="n">
        <v>0.795</v>
      </c>
    </row>
    <row r="27" customFormat="false" ht="15" hidden="false" customHeight="false" outlineLevel="0" collapsed="false">
      <c r="A27" s="11" t="n">
        <v>8.3</v>
      </c>
      <c r="B27" s="20" t="n">
        <v>1</v>
      </c>
      <c r="C27" s="20" t="n">
        <v>1</v>
      </c>
    </row>
    <row r="28" customFormat="false" ht="15" hidden="false" customHeight="false" outlineLevel="0" collapsed="false">
      <c r="A28" s="11" t="n">
        <v>8</v>
      </c>
      <c r="B28" s="20" t="n">
        <v>0.54</v>
      </c>
      <c r="C28" s="20" t="n">
        <v>0.712</v>
      </c>
    </row>
    <row r="29" customFormat="false" ht="15" hidden="false" customHeight="false" outlineLevel="0" collapsed="false">
      <c r="A29" s="11" t="n">
        <v>7.6</v>
      </c>
      <c r="B29" s="20" t="n">
        <v>0.26</v>
      </c>
      <c r="C29" s="20" t="n">
        <v>0.485</v>
      </c>
    </row>
    <row r="30" customFormat="false" ht="15" hidden="false" customHeight="false" outlineLevel="0" collapsed="false">
      <c r="A30" s="11" t="n">
        <v>7.2</v>
      </c>
      <c r="B30" s="20" t="n">
        <v>0.116</v>
      </c>
      <c r="C30" s="20" t="n">
        <v>0.311</v>
      </c>
    </row>
    <row r="31" customFormat="false" ht="15" hidden="false" customHeight="false" outlineLevel="0" collapsed="false">
      <c r="A31" s="11" t="n">
        <v>7</v>
      </c>
      <c r="B31" s="20" t="n">
        <v>0.076</v>
      </c>
      <c r="C31" s="20" t="n">
        <v>0.242</v>
      </c>
    </row>
    <row r="34" customFormat="false" ht="15" hidden="false" customHeight="false" outlineLevel="0" collapsed="false">
      <c r="A34" s="4" t="s">
        <v>232</v>
      </c>
      <c r="B34" s="17"/>
      <c r="C34" s="17"/>
      <c r="D34" s="17"/>
      <c r="E34" s="17"/>
      <c r="F34" s="17"/>
    </row>
    <row r="35" customFormat="false" ht="15" hidden="false" customHeight="false" outlineLevel="0" collapsed="false">
      <c r="A35" s="15" t="s">
        <v>233</v>
      </c>
      <c r="B35" s="15" t="s">
        <v>234</v>
      </c>
      <c r="C35" s="15" t="s">
        <v>235</v>
      </c>
      <c r="D35" s="15" t="s">
        <v>236</v>
      </c>
      <c r="E35" s="15" t="s">
        <v>237</v>
      </c>
    </row>
    <row r="36" customFormat="false" ht="15" hidden="false" customHeight="false" outlineLevel="0" collapsed="false">
      <c r="A36" s="5" t="s">
        <v>238</v>
      </c>
      <c r="B36" s="35" t="n">
        <v>17</v>
      </c>
      <c r="C36" s="36" t="n">
        <v>0.018</v>
      </c>
      <c r="D36" s="36" t="n">
        <v>0.017</v>
      </c>
      <c r="E36" s="36" t="n">
        <v>0.584</v>
      </c>
    </row>
    <row r="37" customFormat="false" ht="15" hidden="false" customHeight="false" outlineLevel="0" collapsed="false">
      <c r="A37" s="5" t="s">
        <v>239</v>
      </c>
      <c r="B37" s="35" t="n">
        <v>49</v>
      </c>
      <c r="C37" s="36" t="n">
        <v>0.01</v>
      </c>
      <c r="D37" s="36" t="n">
        <v>0.059</v>
      </c>
      <c r="E37" s="36" t="n">
        <v>0.597</v>
      </c>
    </row>
    <row r="38" customFormat="false" ht="15" hidden="false" customHeight="false" outlineLevel="0" collapsed="false">
      <c r="A38" s="5" t="s">
        <v>240</v>
      </c>
      <c r="B38" s="35" t="n">
        <v>102</v>
      </c>
      <c r="C38" s="36" t="n">
        <v>0.009</v>
      </c>
      <c r="D38" s="36" t="n">
        <v>0.081</v>
      </c>
      <c r="E38" s="36" t="n">
        <v>0.587</v>
      </c>
    </row>
    <row r="40" customFormat="false" ht="15" hidden="false" customHeight="false" outlineLevel="0" collapsed="false">
      <c r="A40" s="1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3" customFormat="false" ht="15" hidden="false" customHeight="false" outlineLevel="0" collapsed="false">
      <c r="A3" s="4" t="s">
        <v>244</v>
      </c>
      <c r="B3" s="17"/>
      <c r="C3" s="17"/>
      <c r="D3" s="17"/>
      <c r="E3" s="17"/>
      <c r="F3" s="17"/>
      <c r="G3" s="17"/>
    </row>
    <row r="4" customFormat="false" ht="15" hidden="false" customHeight="false" outlineLevel="0" collapsed="false">
      <c r="A4" s="5" t="s">
        <v>245</v>
      </c>
      <c r="B4" s="33" t="s">
        <v>246</v>
      </c>
      <c r="C4" s="33" t="s">
        <v>247</v>
      </c>
      <c r="D4" s="33" t="s">
        <v>248</v>
      </c>
      <c r="E4" s="33" t="s">
        <v>249</v>
      </c>
      <c r="F4" s="33" t="s">
        <v>250</v>
      </c>
    </row>
    <row r="5" customFormat="false" ht="15" hidden="false" customHeight="false" outlineLevel="0" collapsed="false">
      <c r="A5" s="15" t="s">
        <v>251</v>
      </c>
      <c r="B5" s="6" t="n">
        <v>9.42</v>
      </c>
      <c r="C5" s="6" t="n">
        <v>9.88</v>
      </c>
      <c r="D5" s="6" t="n">
        <v>10.33</v>
      </c>
      <c r="E5" s="6" t="n">
        <v>10.78</v>
      </c>
      <c r="F5" s="6" t="n">
        <v>11.23</v>
      </c>
    </row>
    <row r="6" customFormat="false" ht="15" hidden="false" customHeight="false" outlineLevel="0" collapsed="false">
      <c r="A6" s="15" t="s">
        <v>252</v>
      </c>
      <c r="B6" s="6" t="n">
        <v>9.35</v>
      </c>
      <c r="C6" s="6" t="n">
        <v>9.79</v>
      </c>
      <c r="D6" s="6" t="n">
        <v>10.23</v>
      </c>
      <c r="E6" s="6" t="n">
        <v>10.67</v>
      </c>
      <c r="F6" s="6" t="n">
        <v>11.12</v>
      </c>
    </row>
    <row r="7" customFormat="false" ht="15" hidden="false" customHeight="false" outlineLevel="0" collapsed="false">
      <c r="A7" s="15" t="s">
        <v>253</v>
      </c>
      <c r="B7" s="6" t="n">
        <v>9.28</v>
      </c>
      <c r="C7" s="6" t="n">
        <v>9.71</v>
      </c>
      <c r="D7" s="6" t="n">
        <v>10.14</v>
      </c>
      <c r="E7" s="6" t="n">
        <v>10.57</v>
      </c>
      <c r="F7" s="6" t="n">
        <v>11.01</v>
      </c>
    </row>
    <row r="8" customFormat="false" ht="15" hidden="false" customHeight="false" outlineLevel="0" collapsed="false">
      <c r="A8" s="15" t="s">
        <v>254</v>
      </c>
      <c r="B8" s="6" t="n">
        <v>9.21</v>
      </c>
      <c r="C8" s="6" t="n">
        <v>9.63</v>
      </c>
      <c r="D8" s="6" t="n">
        <v>10.05</v>
      </c>
      <c r="E8" s="6" t="n">
        <v>10.48</v>
      </c>
      <c r="F8" s="6" t="n">
        <v>10.9</v>
      </c>
    </row>
    <row r="9" customFormat="false" ht="15" hidden="false" customHeight="false" outlineLevel="0" collapsed="false">
      <c r="A9" s="15" t="s">
        <v>255</v>
      </c>
      <c r="B9" s="6" t="n">
        <v>9.14</v>
      </c>
      <c r="C9" s="6" t="n">
        <v>9.56</v>
      </c>
      <c r="D9" s="6" t="n">
        <v>9.97</v>
      </c>
      <c r="E9" s="6" t="n">
        <v>10.38</v>
      </c>
      <c r="F9" s="6" t="n">
        <v>10.8</v>
      </c>
    </row>
    <row r="12" customFormat="false" ht="15" hidden="false" customHeight="false" outlineLevel="0" collapsed="false">
      <c r="A12" s="4" t="s">
        <v>256</v>
      </c>
      <c r="B12" s="17"/>
      <c r="C12" s="17"/>
      <c r="D12" s="17"/>
      <c r="E12" s="17"/>
      <c r="F12" s="17"/>
      <c r="G12" s="17"/>
    </row>
    <row r="13" customFormat="false" ht="15" hidden="false" customHeight="false" outlineLevel="0" collapsed="false">
      <c r="A13" s="5" t="s">
        <v>257</v>
      </c>
      <c r="B13" s="33" t="s">
        <v>258</v>
      </c>
      <c r="C13" s="33" t="s">
        <v>259</v>
      </c>
      <c r="D13" s="33" t="s">
        <v>260</v>
      </c>
      <c r="E13" s="33" t="s">
        <v>261</v>
      </c>
      <c r="F13" s="33" t="s">
        <v>262</v>
      </c>
    </row>
    <row r="14" customFormat="false" ht="15" hidden="false" customHeight="false" outlineLevel="0" collapsed="false">
      <c r="A14" s="15" t="s">
        <v>263</v>
      </c>
      <c r="B14" s="6" t="n">
        <v>8.91</v>
      </c>
      <c r="C14" s="6" t="n">
        <v>9.59</v>
      </c>
      <c r="D14" s="6" t="n">
        <v>10.27</v>
      </c>
      <c r="E14" s="6" t="n">
        <v>10.94</v>
      </c>
      <c r="F14" s="6" t="n">
        <v>11.62</v>
      </c>
    </row>
    <row r="15" customFormat="false" ht="15" hidden="false" customHeight="false" outlineLevel="0" collapsed="false">
      <c r="A15" s="15" t="s">
        <v>251</v>
      </c>
      <c r="B15" s="6" t="n">
        <v>8.71</v>
      </c>
      <c r="C15" s="6" t="n">
        <v>9.37</v>
      </c>
      <c r="D15" s="6" t="n">
        <v>10.03</v>
      </c>
      <c r="E15" s="6" t="n">
        <v>10.69</v>
      </c>
      <c r="F15" s="6" t="n">
        <v>11.36</v>
      </c>
    </row>
    <row r="16" customFormat="false" ht="15" hidden="false" customHeight="false" outlineLevel="0" collapsed="false">
      <c r="A16" s="15" t="s">
        <v>252</v>
      </c>
      <c r="B16" s="6" t="n">
        <v>8.52</v>
      </c>
      <c r="C16" s="6" t="n">
        <v>9.16</v>
      </c>
      <c r="D16" s="6" t="n">
        <v>9.81</v>
      </c>
      <c r="E16" s="6" t="n">
        <v>10.45</v>
      </c>
      <c r="F16" s="6" t="n">
        <v>11.1</v>
      </c>
    </row>
    <row r="17" customFormat="false" ht="15" hidden="false" customHeight="false" outlineLevel="0" collapsed="false">
      <c r="A17" s="15" t="s">
        <v>253</v>
      </c>
      <c r="B17" s="6" t="n">
        <v>8.32</v>
      </c>
      <c r="C17" s="6" t="n">
        <v>8.95</v>
      </c>
      <c r="D17" s="6" t="n">
        <v>9.59</v>
      </c>
      <c r="E17" s="6" t="n">
        <v>10.22</v>
      </c>
      <c r="F17" s="6" t="n">
        <v>10.85</v>
      </c>
    </row>
    <row r="18" customFormat="false" ht="15" hidden="false" customHeight="false" outlineLevel="0" collapsed="false">
      <c r="A18" s="15" t="s">
        <v>254</v>
      </c>
      <c r="B18" s="6" t="n">
        <v>8.14</v>
      </c>
      <c r="C18" s="6" t="n">
        <v>8.75</v>
      </c>
      <c r="D18" s="6" t="n">
        <v>9.37</v>
      </c>
      <c r="E18" s="6" t="n">
        <v>9.99</v>
      </c>
      <c r="F18" s="6" t="n">
        <v>10.6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9" min="2" style="0" width="9.51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3" customFormat="false" ht="15" hidden="false" customHeight="false" outlineLevel="0" collapsed="false">
      <c r="A3" s="4"/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</row>
    <row r="4" customFormat="false" ht="15" hidden="false" customHeight="false" outlineLevel="0" collapsed="false">
      <c r="A4" s="5" t="s">
        <v>176</v>
      </c>
      <c r="B4" s="11" t="n">
        <f aca="false">'Income Statement'!B19</f>
        <v>0.471097529921059</v>
      </c>
      <c r="C4" s="11" t="n">
        <f aca="false">'Income Statement'!C19</f>
        <v>0.700280112044818</v>
      </c>
      <c r="D4" s="11" t="n">
        <f aca="false">'Income Statement'!D19</f>
        <v>0.967659791189203</v>
      </c>
      <c r="E4" s="11" t="n">
        <f aca="false">'Income Statement'!E19</f>
        <v>0.987473389355742</v>
      </c>
      <c r="F4" s="11" t="n">
        <f aca="false">'Income Statement'!F19</f>
        <v>1.08360784313725</v>
      </c>
      <c r="G4" s="11" t="n">
        <f aca="false">'Income Statement'!G19</f>
        <v>1.17579831932773</v>
      </c>
      <c r="H4" s="11" t="n">
        <f aca="false">'Income Statement'!H19</f>
        <v>1.25063529411765</v>
      </c>
      <c r="I4" s="11" t="n">
        <f aca="false">'Income Statement'!I19</f>
        <v>1.31541512605042</v>
      </c>
    </row>
    <row r="5" customFormat="false" ht="15" hidden="false" customHeight="false" outlineLevel="0" collapsed="false">
      <c r="A5" s="5" t="s">
        <v>177</v>
      </c>
      <c r="B5" s="11" t="n">
        <f aca="false">'Income Statement'!B20</f>
        <v>0.17</v>
      </c>
      <c r="C5" s="11" t="n">
        <f aca="false">'Income Statement'!C20</f>
        <v>0.185</v>
      </c>
      <c r="D5" s="11" t="n">
        <f aca="false">'Income Statement'!D20</f>
        <v>0.205</v>
      </c>
      <c r="E5" s="11" t="n">
        <f aca="false">'Income Statement'!E20</f>
        <v>0.543110364145658</v>
      </c>
      <c r="F5" s="11" t="n">
        <f aca="false">'Income Statement'!F20</f>
        <v>0.59598431372549</v>
      </c>
      <c r="G5" s="11" t="n">
        <f aca="false">'Income Statement'!G20</f>
        <v>0.646689075630252</v>
      </c>
      <c r="H5" s="11" t="n">
        <f aca="false">'Income Statement'!H20</f>
        <v>0.687849411764706</v>
      </c>
      <c r="I5" s="11" t="n">
        <f aca="false">'Income Statement'!I20</f>
        <v>0.723478319327731</v>
      </c>
    </row>
    <row r="6" customFormat="false" ht="15" hidden="false" customHeight="false" outlineLevel="0" collapsed="false">
      <c r="A6" s="5" t="s">
        <v>266</v>
      </c>
      <c r="B6" s="11" t="n">
        <f aca="false">'Balance Sheet'!B15/Assumptions!$B$5</f>
        <v>3.94703335879807</v>
      </c>
      <c r="C6" s="11" t="n">
        <f aca="false">'Balance Sheet'!C15/Assumptions!$B$5</f>
        <v>4.44359562006621</v>
      </c>
      <c r="D6" s="11" t="n">
        <f aca="false">'Balance Sheet'!D15/Assumptions!$B$5</f>
        <v>5.09294626941686</v>
      </c>
      <c r="E6" s="11" t="n">
        <f aca="false">'Balance Sheet'!E15/Assumptions!$B$5</f>
        <v>5.63605663356252</v>
      </c>
      <c r="F6" s="11" t="n">
        <f aca="false">'Balance Sheet'!F15/Assumptions!$B$5</f>
        <v>6.23204094728801</v>
      </c>
      <c r="G6" s="11" t="n">
        <f aca="false">'Balance Sheet'!G15/Assumptions!$B$5</f>
        <v>6.87873002291826</v>
      </c>
      <c r="H6" s="11" t="n">
        <f aca="false">'Balance Sheet'!H15/Assumptions!$B$5</f>
        <v>7.56657943468296</v>
      </c>
      <c r="I6" s="11" t="n">
        <f aca="false">'Balance Sheet'!I15/Assumptions!$B$5</f>
        <v>8.29005775401069</v>
      </c>
    </row>
    <row r="7" customFormat="false" ht="15" hidden="false" customHeight="false" outlineLevel="0" collapsed="false">
      <c r="A7" s="5" t="s">
        <v>267</v>
      </c>
      <c r="B7" s="28" t="n">
        <f aca="false">Assumptions!$B$4/'Income Statement'!B19</f>
        <v>17.6184324324324</v>
      </c>
      <c r="C7" s="28" t="n">
        <f aca="false">Assumptions!$B$4/'Income Statement'!C19</f>
        <v>11.8524</v>
      </c>
      <c r="D7" s="28" t="n">
        <f aca="false">Assumptions!$B$4/'Income Statement'!D19</f>
        <v>8.57739473684211</v>
      </c>
      <c r="E7" s="28" t="n">
        <f aca="false">Assumptions!$B$4/'Income Statement'!E19</f>
        <v>8.40528979258385</v>
      </c>
      <c r="F7" s="28" t="n">
        <f aca="false">Assumptions!$B$4/'Income Statement'!F19</f>
        <v>7.65959756803706</v>
      </c>
      <c r="G7" s="28" t="n">
        <f aca="false">Assumptions!$B$4/'Income Statement'!G19</f>
        <v>7.05903373356204</v>
      </c>
      <c r="H7" s="28" t="n">
        <f aca="false">Assumptions!$B$4/'Income Statement'!H19</f>
        <v>6.63662703190849</v>
      </c>
      <c r="I7" s="28" t="n">
        <f aca="false">Assumptions!$B$4/'Income Statement'!I19</f>
        <v>6.30979516323569</v>
      </c>
    </row>
    <row r="8" customFormat="false" ht="15" hidden="false" customHeight="false" outlineLevel="0" collapsed="false">
      <c r="A8" s="5" t="s">
        <v>268</v>
      </c>
      <c r="B8" s="28" t="n">
        <f aca="false">Assumptions!$B$4/'Balance Sheet'!B15*Assumptions!$B$5</f>
        <v>2.10284516129032</v>
      </c>
      <c r="C8" s="28" t="n">
        <f aca="false">Assumptions!$B$4/'Balance Sheet'!C15*Assumptions!$B$5</f>
        <v>1.86785673352436</v>
      </c>
      <c r="D8" s="28" t="n">
        <f aca="false">Assumptions!$B$4/'Balance Sheet'!D15*Assumptions!$B$5</f>
        <v>1.629705</v>
      </c>
      <c r="E8" s="28" t="n">
        <f aca="false">Assumptions!$B$4/'Balance Sheet'!E15*Assumptions!$B$5</f>
        <v>1.47266085840476</v>
      </c>
      <c r="F8" s="28" t="n">
        <f aca="false">Assumptions!$B$4/'Balance Sheet'!F15*Assumptions!$B$5</f>
        <v>1.33182693602357</v>
      </c>
      <c r="G8" s="28" t="n">
        <f aca="false">Assumptions!$B$4/'Balance Sheet'!G15*Assumptions!$B$5</f>
        <v>1.20661807809674</v>
      </c>
      <c r="H8" s="28" t="n">
        <f aca="false">Assumptions!$B$4/'Balance Sheet'!H15*Assumptions!$B$5</f>
        <v>1.09692894545655</v>
      </c>
      <c r="I8" s="28" t="n">
        <f aca="false">Assumptions!$B$4/'Balance Sheet'!I15*Assumptions!$B$5</f>
        <v>1.00119929755429</v>
      </c>
    </row>
    <row r="9" customFormat="false" ht="15" hidden="false" customHeight="false" outlineLevel="0" collapsed="false">
      <c r="A9" s="5" t="s">
        <v>168</v>
      </c>
      <c r="B9" s="12" t="n">
        <f aca="false">'Income Statement'!B8/'Income Statement'!B6</f>
        <v>0.359154929577465</v>
      </c>
      <c r="C9" s="12" t="n">
        <f aca="false">'Income Statement'!C8/'Income Statement'!C6</f>
        <v>0.334782608695652</v>
      </c>
      <c r="D9" s="12" t="n">
        <f aca="false">'Income Statement'!D8/'Income Statement'!D6</f>
        <v>0.331360946745562</v>
      </c>
      <c r="E9" s="12" t="n">
        <f aca="false">'Income Statement'!E8/'Income Statement'!E6</f>
        <v>0.315</v>
      </c>
      <c r="F9" s="12" t="n">
        <f aca="false">'Income Statement'!F8/'Income Statement'!F6</f>
        <v>0.31</v>
      </c>
      <c r="G9" s="12" t="n">
        <f aca="false">'Income Statement'!G8/'Income Statement'!G6</f>
        <v>0.305</v>
      </c>
      <c r="H9" s="12" t="n">
        <f aca="false">'Income Statement'!H8/'Income Statement'!H6</f>
        <v>0.303</v>
      </c>
      <c r="I9" s="12" t="n">
        <f aca="false">'Income Statement'!I8/'Income Statement'!I6</f>
        <v>0.302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3" customFormat="false" ht="15" hidden="false" customHeight="false" outlineLevel="0" collapsed="false">
      <c r="A3" s="4" t="s">
        <v>271</v>
      </c>
      <c r="B3" s="4" t="s">
        <v>272</v>
      </c>
      <c r="C3" s="4" t="s">
        <v>273</v>
      </c>
    </row>
    <row r="4" customFormat="false" ht="15" hidden="false" customHeight="false" outlineLevel="0" collapsed="false">
      <c r="A4" s="5" t="s">
        <v>274</v>
      </c>
      <c r="B4" s="5" t="s">
        <v>275</v>
      </c>
      <c r="C4" s="5" t="s">
        <v>276</v>
      </c>
    </row>
    <row r="5" customFormat="false" ht="15" hidden="false" customHeight="false" outlineLevel="0" collapsed="false">
      <c r="A5" s="5" t="s">
        <v>277</v>
      </c>
      <c r="B5" s="5" t="s">
        <v>278</v>
      </c>
      <c r="C5" s="5" t="s">
        <v>279</v>
      </c>
    </row>
    <row r="6" customFormat="false" ht="15" hidden="false" customHeight="false" outlineLevel="0" collapsed="false">
      <c r="A6" s="5" t="s">
        <v>280</v>
      </c>
      <c r="B6" s="5" t="s">
        <v>281</v>
      </c>
      <c r="C6" s="5" t="s">
        <v>282</v>
      </c>
    </row>
    <row r="7" customFormat="false" ht="15" hidden="false" customHeight="false" outlineLevel="0" collapsed="false">
      <c r="A7" s="5" t="s">
        <v>283</v>
      </c>
      <c r="B7" s="5" t="s">
        <v>284</v>
      </c>
      <c r="C7" s="5" t="s">
        <v>285</v>
      </c>
    </row>
    <row r="8" customFormat="false" ht="15" hidden="false" customHeight="false" outlineLevel="0" collapsed="false">
      <c r="A8" s="5" t="s">
        <v>286</v>
      </c>
      <c r="B8" s="5" t="s">
        <v>287</v>
      </c>
      <c r="C8" s="5" t="s">
        <v>288</v>
      </c>
    </row>
    <row r="10" customFormat="false" ht="15" hidden="false" customHeight="false" outlineLevel="0" collapsed="false">
      <c r="A10" s="1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2026-07-08T10:25:46Z</dcterms:created>
  <dc:creator>openpyxl</dc:creator>
  <dc:description/>
  <dc:language>en-US</dc:language>
  <cp:lastModifiedBy/>
  <dcterms:modified xsi:type="dcterms:W3CDTF">2026-07-08T10:25:46Z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