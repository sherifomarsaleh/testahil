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FIRST" sheetId="1" state="visible" r:id="rId3"/>
    <sheet name="Summary" sheetId="2" state="visible" r:id="rId4"/>
    <sheet name="Fundamental Valuation" sheetId="3" state="visible" r:id="rId5"/>
    <sheet name="Assumptions" sheetId="4" state="visible" r:id="rId6"/>
    <sheet name="SOTP" sheetId="5" state="visible" r:id="rId7"/>
    <sheet name="Segments" sheetId="6" state="visible" r:id="rId8"/>
    <sheet name="Relative &amp; Normalized" sheetId="7" state="visible" r:id="rId9"/>
    <sheet name="DCF" sheetId="8" state="visible" r:id="rId10"/>
    <sheet name="Income Statement" sheetId="9" state="visible" r:id="rId11"/>
    <sheet name="Balance Sheet" sheetId="10" state="visible" r:id="rId12"/>
    <sheet name="Cash Flow" sheetId="11" state="visible" r:id="rId13"/>
    <sheet name="Summary Financials" sheetId="12" state="visible" r:id="rId14"/>
    <sheet name="Monte Carlo" sheetId="13" state="visible" r:id="rId15"/>
    <sheet name="Sensitivity" sheetId="14" state="visible" r:id="rId16"/>
    <sheet name="Per-Share &amp; Ratios" sheetId="15" state="visible" r:id="rId17"/>
    <sheet name="Peer &amp; Sector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<sst xmlns="http://schemas.openxmlformats.org/spreadsheetml/2006/main" count="455" uniqueCount="358">
  <si>
    <t xml:space="preserve">Testahil — Beltone Financial Holding (EGX: BTFH)</t>
  </si>
  <si>
    <t xml:space="preserve">Companion model · Independent Valuation Study · Educational analysis · Not investment advice</t>
  </si>
  <si>
    <t xml:space="preserve">What this workbook is. A transparent companion to the BTFH valuation study. Every blue cell is an input; every</t>
  </si>
  <si>
    <t xml:space="preserve">black cell is a formula; green cells link across sheets. All inputs live on the Assumptions sheet — change one</t>
  </si>
  <si>
    <t xml:space="preserve">(a platform P/B mark, the complexity discount, the cost of equity, a growth rate) and the whole model reprices.</t>
  </si>
  <si>
    <t xml:space="preserve">What it is not. It is not investment advice, a recommendation, or a price target. Values are model outputs shown</t>
  </si>
  <si>
    <t xml:space="preserve">as ranges. The preparer is not licensed by any securities regulator and may hold a position in the security.</t>
  </si>
  <si>
    <t xml:space="preserve">Entity note. Beltone Financial Holding S.A.E. (brand: Beltone Holding) is an EGX-listed financial holding company:</t>
  </si>
  <si>
    <t xml:space="preserve">an Investment Bank platform (brokerage, investment banking, asset management, research), an Egypt NBFI lending</t>
  </si>
  <si>
    <t xml:space="preserve">platform (leasing &amp; factoring, consumer finance 'seven', mortgage, microfinance, SMEs), Beltone Capital / Venture</t>
  </si>
  <si>
    <t xml:space="preserve">Capital, and — consolidated from Q1 2026 — Baobab Group, a pan-African microfinance banking group acquired for</t>
  </si>
  <si>
    <t xml:space="preserve">EUR 197.6m from the majority shareholder (Chimera / 2PointZero, Abu Dhabi) via the Lumen Aegis SPV (Dec 2025).</t>
  </si>
  <si>
    <t xml:space="preserve">Currency. EGP million unless stated; per-share values in EGP. Spot EGP 2.97 (1 Jul 2026 close); 10,718.1m shares</t>
  </si>
  <si>
    <t xml:space="preserve">(issued capital EGP 21,436m at par EGP 2 after the Jul-2023 EGP 10.0bn and Apr-2025 EGP 10.5bn rights issues).</t>
  </si>
  <si>
    <t xml:space="preserve">Historical financials are company disclosure (FY2023–FY2025 earnings releases; Q1-2026 results, 25 May 2026);</t>
  </si>
  <si>
    <t xml:space="preserve">several income-statement and allocation lines are preparer estimates to balance to disclosed totals — flagged</t>
  </si>
  <si>
    <t xml:space="preserve">'(est.)' where they appear. FY2025 balance-sheet aggregation cross-checked against public data providers.</t>
  </si>
  <si>
    <t xml:space="preserve">Sheets: Summary · Fundamental Valuation · Assumptions · SOTP · Segments · Relative &amp; Normalized · DCF ·</t>
  </si>
  <si>
    <t xml:space="preserve">Income Statement · Balance Sheet · Cash Flow · Summary Financials · Monte Carlo · Sensitivity · Per-Share &amp; Ratios · Peer &amp; Sector.</t>
  </si>
  <si>
    <t xml:space="preserve">Valuation summary — Beltone Financial Holding (EGX: BTFH)</t>
  </si>
  <si>
    <t xml:space="preserve">Four-lens fair value vs spot; Monte Carlo three-month map. Base links live (study §1.5, §3).</t>
  </si>
  <si>
    <t xml:space="preserve">Lens</t>
  </si>
  <si>
    <t xml:space="preserve">Bear</t>
  </si>
  <si>
    <t xml:space="preserve">Base</t>
  </si>
  <si>
    <t xml:space="preserve">Bull</t>
  </si>
  <si>
    <t xml:space="preserve">Weight</t>
  </si>
  <si>
    <t xml:space="preserve">Weighted central</t>
  </si>
  <si>
    <t xml:space="preserve">Spot price (EGP)</t>
  </si>
  <si>
    <t xml:space="preserve">Upside / (downside) to central base</t>
  </si>
  <si>
    <t xml:space="preserve">Monte Carlo (T+60): p5 / p50 / p95</t>
  </si>
  <si>
    <t xml:space="preserve">Read: fairly valued, price ~3% ahead of the central; the answer turns on the ROE bridge (§1.7) — whether the enlarged, Baobab-</t>
  </si>
  <si>
    <t xml:space="preserve">consolidated book can lift attributable ROE from ~11% today toward the high-teens that a premium to book requires.</t>
  </si>
  <si>
    <t xml:space="preserve">Fundamental valuation — football field data</t>
  </si>
  <si>
    <t xml:space="preserve">Bear/base/bull per lens; base links live to the lens sheets, bear/bull are scenario outputs (study §1.5).</t>
  </si>
  <si>
    <t xml:space="preserve">Sum-of-the-parts</t>
  </si>
  <si>
    <t xml:space="preserve">Equity DCF / residual income</t>
  </si>
  <si>
    <t xml:space="preserve">Relative multiples</t>
  </si>
  <si>
    <t xml:space="preserve">Normalized earnings</t>
  </si>
  <si>
    <t xml:space="preserve">Spot (EGP)</t>
  </si>
  <si>
    <t xml:space="preserve">Spot premium / (discount) to central base</t>
  </si>
  <si>
    <t xml:space="preserve">Assumptions — the single input layer (blue cells)</t>
  </si>
  <si>
    <t xml:space="preserve">Change any blue cell; every downstream sheet reprices. Sources &amp; as-of dates noted at right.</t>
  </si>
  <si>
    <t xml:space="preserve">Market &amp; share data</t>
  </si>
  <si>
    <t xml:space="preserve">Value</t>
  </si>
  <si>
    <t xml:space="preserve">Source / note</t>
  </si>
  <si>
    <t xml:space="preserve">Spot price (EGP, 1 Jul 2026 close)</t>
  </si>
  <si>
    <t xml:space="preserve">Uploaded daily price history, 1-Jul-2026</t>
  </si>
  <si>
    <t xml:space="preserve">Shares outstanding (m)</t>
  </si>
  <si>
    <t xml:space="preserve">Issued capital EGP 21,436m / par EGP 2; post Apr-2025 raise (EGX disclosures)</t>
  </si>
  <si>
    <t xml:space="preserve">Attributable equity, 31-Dec-2025 (EGP m)</t>
  </si>
  <si>
    <t xml:space="preserve">FY2025 statements (aggregated); total equity 23,499 less MI 246</t>
  </si>
  <si>
    <t xml:space="preserve">Minority interest, 31-Dec-2025 (EGP m)</t>
  </si>
  <si>
    <t xml:space="preserve">FY2025 statements (aggregated)</t>
  </si>
  <si>
    <t xml:space="preserve">52-week low / high (EGP)</t>
  </si>
  <si>
    <t xml:space="preserve">From uploaded price history (high 3.79 in C-col note)</t>
  </si>
  <si>
    <t xml:space="preserve">EGP per USD (study date, approx.)</t>
  </si>
  <si>
    <t xml:space="preserve">Implied by Q1-2026 press conversions (TechCabal, Jun-2026)</t>
  </si>
  <si>
    <t xml:space="preserve">EGP per EUR (study date, approx.)</t>
  </si>
  <si>
    <t xml:space="preserve">Approximate cross at study date; Baobab consideration EUR 197.6m</t>
  </si>
  <si>
    <t xml:space="preserve">SOTP — allocated equity &amp; marks</t>
  </si>
  <si>
    <t xml:space="preserve">Equity (EGP m)</t>
  </si>
  <si>
    <t xml:space="preserve">Justified P/B</t>
  </si>
  <si>
    <t xml:space="preserve">Note</t>
  </si>
  <si>
    <t xml:space="preserve">Egypt NBFI lending platform</t>
  </si>
  <si>
    <t xml:space="preserve">Leasing &amp; factoring, seven, mortgage, micro, SMEs; ROE ~26% justified</t>
  </si>
  <si>
    <t xml:space="preserve">Investment Bank platform</t>
  </si>
  <si>
    <t xml:space="preserve">Brokerage 5.6% share, IB, AM EGP 49bn AUM; asset-light, EFG-plus mark</t>
  </si>
  <si>
    <t xml:space="preserve">Baobab (pan-Africa, at ~cost)</t>
  </si>
  <si>
    <t xml:space="preserve">EUR 197.6m consideration; related-party purchase — marked at ~cost</t>
  </si>
  <si>
    <t xml:space="preserve">Beltone Capital / VC / other &amp; surplus</t>
  </si>
  <si>
    <t xml:space="preserve">NSC 51%, VC AUM EGP 2.7bn, residual holdco items</t>
  </si>
  <si>
    <t xml:space="preserve">Allocation check — sum of buckets (= attributable book)</t>
  </si>
  <si>
    <t xml:space="preserve">Complexity / related-party discount</t>
  </si>
  <si>
    <t xml:space="preserve">Cost of equity (COE)</t>
  </si>
  <si>
    <t xml:space="preserve">T-bill ~19–20% falling + equity premium; nominal EGP</t>
  </si>
  <si>
    <t xml:space="preserve">Terminal P/E on 2030E NPAT&amp;MI</t>
  </si>
  <si>
    <t xml:space="preserve">Through-cycle EM-financial multiple</t>
  </si>
  <si>
    <t xml:space="preserve">Dividend payout 2026–27 / 2028–30</t>
  </si>
  <si>
    <t xml:space="preserve">Growth phase: nil, then 20% (cell C below)</t>
  </si>
  <si>
    <t xml:space="preserve">Long-run nominal growth g (justified P/B)</t>
  </si>
  <si>
    <t xml:space="preserve">~nominal GDP; used on Sensitivity sheet</t>
  </si>
  <si>
    <t xml:space="preserve">Sustainable ROE (normalized lens)</t>
  </si>
  <si>
    <t xml:space="preserve">The §1.7 ROE-bridge landing point</t>
  </si>
  <si>
    <t xml:space="preserve">Justified P/E (normalized lens)</t>
  </si>
  <si>
    <t xml:space="preserve">Mid-cycle EM diversified-financial</t>
  </si>
  <si>
    <t xml:space="preserve">2026E P/E (relative lens)</t>
  </si>
  <si>
    <t xml:space="preserve">EFG ~10.5x trailing; small discount for float/seasoning</t>
  </si>
  <si>
    <t xml:space="preserve">P/B cross-check multiple</t>
  </si>
  <si>
    <t xml:space="preserve">EFG ~1.2x; Egyptian financials range 0.9–2.6x</t>
  </si>
  <si>
    <t xml:space="preserve">Forecast drivers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</si>
  <si>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</si>
  <si>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</si>
  <si>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</si>
  <si>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</si>
  <si>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</si>
  <si>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Operating revenue (2026E level, EGP m; then growth)</t>
  </si>
  <si>
    <t xml:space="preserve">Net operating profit margin</t>
  </si>
  <si>
    <t xml:space="preserve">Finance &amp; central costs (% of revenue)</t>
  </si>
  <si>
    <t xml:space="preserve">FX &amp; non-recurring (EGP m)</t>
  </si>
  <si>
    <t xml:space="preserve">Effective tax rate</t>
  </si>
  <si>
    <t xml:space="preserve">Minority share of NPAT</t>
  </si>
  <si>
    <t xml:space="preserve">Total assets (2026E level, EGP m; then growth)</t>
  </si>
  <si>
    <t xml:space="preserve">Net lending portfolio (2026E level; then growth)</t>
  </si>
  <si>
    <t xml:space="preserve">Customer deposits (2026E level; then growth)</t>
  </si>
  <si>
    <t xml:space="preserve">Cash (% of total assets)</t>
  </si>
  <si>
    <t xml:space="preserve">Other liabilities (% of total assets)</t>
  </si>
  <si>
    <t xml:space="preserve">Lens weights (§1.5)</t>
  </si>
  <si>
    <t xml:space="preserve">Normalized earnings power</t>
  </si>
  <si>
    <t xml:space="preserve">Weight check</t>
  </si>
  <si>
    <t xml:space="preserve">Cost-of-equity build (reference)</t>
  </si>
  <si>
    <t xml:space="preserve">Risk-free (blended 5-yr EGP forward path)</t>
  </si>
  <si>
    <t xml:space="preserve">T-bills ~19-20% today, fading with the easing cycle</t>
  </si>
  <si>
    <t xml:space="preserve">Equity risk premium</t>
  </si>
  <si>
    <t xml:space="preserve">EM-financial premium</t>
  </si>
  <si>
    <t xml:space="preserve">Beta (vs EGX30)</t>
  </si>
  <si>
    <t xml:space="preserve">Liquid large-cap financial</t>
  </si>
  <si>
    <t xml:space="preserve">COE check (rf + beta x ERP) - operative input is B22</t>
  </si>
  <si>
    <t xml:space="preserve">Sum-of-the-parts — the primary lens</t>
  </si>
  <si>
    <t xml:space="preserve">Attributable book (EGP 23.9bn incl. Q1-2026 profit) allocated to four platforms; each marked at a justified P/B; complexity discount applied.</t>
  </si>
  <si>
    <t xml:space="preserve">Platform</t>
  </si>
  <si>
    <t xml:space="preserve">Allocated equity (EGP m)</t>
  </si>
  <si>
    <t xml:space="preserve">Value (EGP m)</t>
  </si>
  <si>
    <t xml:space="preserve">EGP / share</t>
  </si>
  <si>
    <t xml:space="preserve">Baobab (pan-Africa)</t>
  </si>
  <si>
    <t xml:space="preserve">Beltone Capital / VC / other</t>
  </si>
  <si>
    <t xml:space="preserve">Σ marked platform value (pre-discount)</t>
  </si>
  <si>
    <t xml:space="preserve">less: complexity / related-party discount</t>
  </si>
  <si>
    <t xml:space="preserve">SOTP equity value</t>
  </si>
  <si>
    <t xml:space="preserve">Market-implied discount to pre-discount NAV</t>
  </si>
  <si>
    <t xml:space="preserve">Allocation note. Buckets are a preparer judgment summing to attributable book — the group does not disclose allocated equity by</t>
  </si>
  <si>
    <t xml:space="preserve">platform. Baobab is held near cost (EUR 197.6m ≈ EGP 11.4bn gross; net-of-funding allocation shown) because it was purchased from</t>
  </si>
  <si>
    <t xml:space="preserve">the majority shareholder — a related-party mark that deserves an independent test, which is what the bear case applies.</t>
  </si>
  <si>
    <t xml:space="preserve">Segments — platform operating revenue, portfolios, franchise KPIs</t>
  </si>
  <si>
    <t xml:space="preserve">Company disclosure; FY2025 platform split part-estimated from 1H2025 detail (flagged).</t>
  </si>
  <si>
    <t xml:space="preserve">Operating revenue (EGP m)</t>
  </si>
  <si>
    <t xml:space="preserve">FY2024</t>
  </si>
  <si>
    <t xml:space="preserve">FY2025 (est. split)</t>
  </si>
  <si>
    <t xml:space="preserve">Q1-2026</t>
  </si>
  <si>
    <t xml:space="preserve">Egypt NBFI platform</t>
  </si>
  <si>
    <t xml:space="preserve">Baobab (pan-Africa; from Q1-26)</t>
  </si>
  <si>
    <t xml:space="preserve">Total operating revenue</t>
  </si>
  <si>
    <t xml:space="preserve">Portfolios &amp; KPIs</t>
  </si>
  <si>
    <t xml:space="preserve">FY2025</t>
  </si>
  <si>
    <t xml:space="preserve">Gross lending portfolio (EGP bn)</t>
  </si>
  <si>
    <t xml:space="preserve">of which Baobab (EGP bn)</t>
  </si>
  <si>
    <t xml:space="preserve">Assets under management (EGP bn)</t>
  </si>
  <si>
    <t xml:space="preserve">Brokerage market share</t>
  </si>
  <si>
    <t xml:space="preserve">Brokerage executions (EGP bn, FY)</t>
  </si>
  <si>
    <t xml:space="preserve">—</t>
  </si>
  <si>
    <t xml:space="preserve">seven consumer-finance portfolio (EGP bn)</t>
  </si>
  <si>
    <t xml:space="preserve">Mortgage portfolio (EGP bn, 1H25)</t>
  </si>
  <si>
    <t xml:space="preserve">Securitizations closed (FY2025, EGP bn)</t>
  </si>
  <si>
    <t xml:space="preserve">Sources: FY2024/FY2025 earnings releases; 1H2025 earnings release (EGX bulletin); Q1-2026 results &amp; press (May–Jun 2026).</t>
  </si>
  <si>
    <t xml:space="preserve">Baobab: acquired via Lumen Aegis SPV from the majority shareholder for EUR 197.6m; contributed 53% of Q1-2026 operating revenue.</t>
  </si>
  <si>
    <t xml:space="preserve">Relative multiples &amp; normalized earnings power</t>
  </si>
  <si>
    <t xml:space="preserve">Lens 3: 2026E P/E and a P/B cross-check. Lens 4: sustainable mid-cycle earnings × a justified multiple.</t>
  </si>
  <si>
    <t xml:space="preserve">2026E NPAT &amp; minority (EGP m)</t>
  </si>
  <si>
    <t xml:space="preserve">2026E EPS (EGP)</t>
  </si>
  <si>
    <t xml:space="preserve">Applied P/E</t>
  </si>
  <si>
    <t xml:space="preserve">Relative fair value (EGP/share)</t>
  </si>
  <si>
    <t xml:space="preserve">BVPS, 31-Dec-2025 (EGP)</t>
  </si>
  <si>
    <t xml:space="preserve">P/B cross-check value (EGP/share)</t>
  </si>
  <si>
    <t xml:space="preserve">Attributable book, today (EGP m, incl. Q1-26 NI)</t>
  </si>
  <si>
    <t xml:space="preserve">Sustainable ROE (the bridge landing point)</t>
  </si>
  <si>
    <t xml:space="preserve">Mid-cycle NPAT &amp; minority (EGP m)</t>
  </si>
  <si>
    <t xml:space="preserve">Mid-cycle EPS (EGP)</t>
  </si>
  <si>
    <t xml:space="preserve">Justified P/E</t>
  </si>
  <si>
    <t xml:space="preserve">Normalized fair value (EGP/share)</t>
  </si>
  <si>
    <t xml:space="preserve">The normalized lens asks what the enlarged book earns once Baobab is integrated, the two raises are deployed and the book seasons —</t>
  </si>
  <si>
    <t xml:space="preserve">it is the recovery/deployment ceiling, exactly as the normalized lens was the JLR-recovery ceiling in the TMPV study.</t>
  </si>
  <si>
    <t xml:space="preserve">DCF - free cash flow to equity, year by year</t>
  </si>
  <si>
    <t xml:space="preserve">NPAT less capital retained for book growth = distributable FCFE; each year discounted at the cost of equity (the WACC-equivalent for a financial); terminal at 8.0x 2030E NPAT&amp;MI. FCFF/WACC on enterprise value is not meaningful for a lender - deposits and borrowings are operating liabilities.</t>
  </si>
  <si>
    <t xml:space="preserve">EGP m</t>
  </si>
  <si>
    <t xml:space="preserve">Terminal</t>
  </si>
  <si>
    <t xml:space="preserve">NPAT &amp; minority</t>
  </si>
  <si>
    <t xml:space="preserve">(-) Retained for book growth</t>
  </si>
  <si>
    <t xml:space="preserve">Free cash flow to equity (FCFE)</t>
  </si>
  <si>
    <t xml:space="preserve">Terminal value (8.0x 2030E NPAT&amp;MI)</t>
  </si>
  <si>
    <t xml:space="preserve">Discount factor @ COE</t>
  </si>
  <si>
    <t xml:space="preserve">PV of FCFE / terminal</t>
  </si>
  <si>
    <t xml:space="preserve">Equity value (S PV, EGP m)</t>
  </si>
  <si>
    <t xml:space="preserve">Value per share (EGP)</t>
  </si>
  <si>
    <t xml:space="preserve">Cost of equity (operative input)</t>
  </si>
  <si>
    <t xml:space="preserve">COE build (reference): 17.5% blended risk-free + 1.0 beta x 5.5% ERP = 23.0%; WACC = COE here because equity cash flows are discounted.</t>
  </si>
  <si>
    <t xml:space="preserve">Residual-income cross-check</t>
  </si>
  <si>
    <t xml:space="preserve">Book value, start of year</t>
  </si>
  <si>
    <t xml:space="preserve">ROE on opening book</t>
  </si>
  <si>
    <t xml:space="preserve">Residual income (NI - COE x book)</t>
  </si>
  <si>
    <t xml:space="preserve">PV of residual income</t>
  </si>
  <si>
    <t xml:space="preserve">RI value = opening book + S PV(RI) + PV(terminal premium)</t>
  </si>
  <si>
    <t xml:space="preserve">RI value per share (EGP)</t>
  </si>
  <si>
    <t xml:space="preserve">The RI construction lands modestly higher (2.74 vs 2.51) because it credits book compounding above COE explicitly; we take the</t>
  </si>
  <si>
    <t xml:space="preserve">more conservative FCFE construction as the section 1.2 base. Near-term RI is negative (ROE 11-15% vs a 23% COE): the case is back-loaded, which is why section 1.7 is the crux.</t>
  </si>
  <si>
    <t xml:space="preserve">Income statement — consolidated (EGP m)</t>
  </si>
  <si>
    <t xml:space="preserve">3 years historical (company disclosure; lines marked (est.) reconcile to disclosed anchors) + 5-year forecast.</t>
  </si>
  <si>
    <t xml:space="preserve">FY2023</t>
  </si>
  <si>
    <t xml:space="preserve">Operating revenue</t>
  </si>
  <si>
    <t xml:space="preserve">Net operating profit (est. hist.)</t>
  </si>
  <si>
    <t xml:space="preserve">Finance &amp; central costs, net (est. hist.)</t>
  </si>
  <si>
    <t xml:space="preserve">Recurring profit before tax</t>
  </si>
  <si>
    <t xml:space="preserve">FX &amp; non-recurring items (est. hist.)</t>
  </si>
  <si>
    <t xml:space="preserve">Profit before tax</t>
  </si>
  <si>
    <t xml:space="preserve">Income tax (est. hist.)</t>
  </si>
  <si>
    <t xml:space="preserve">Net profit after tax</t>
  </si>
  <si>
    <t xml:space="preserve">Minority interest (est. hist.)</t>
  </si>
  <si>
    <t xml:space="preserve">Net profit after tax &amp; minority</t>
  </si>
  <si>
    <t xml:space="preserve">Basic EPS (EGP)</t>
  </si>
  <si>
    <t xml:space="preserve">Revenue growth</t>
  </si>
  <si>
    <t xml:space="preserve">n/m</t>
  </si>
  <si>
    <t xml:space="preserve">NPAT&amp;MI margin</t>
  </si>
  <si>
    <t xml:space="preserve">Disclosed anchors: FY2023 NPAT&amp;MI EGP 369m; FY2024 op. revenue EGP 7.2bn, recurring PBT EGP 1.9bn, NPAT&amp;MI EGP 1,702m;</t>
  </si>
  <si>
    <t xml:space="preserve">FY2025 op. revenue EGP 12.8bn, recurring PBT EGP 2.5bn, NPAT&amp;MI EGP 1,347m (FX loss on USD long). Source: company earnings releases.</t>
  </si>
  <si>
    <t xml:space="preserve">Balance sheet — consolidated (EGP m)</t>
  </si>
  <si>
    <t xml:space="preserve">Historical per FY statements (aggregated); Baobab consolidates from 2026. Borrowings are the balancing item in forecast.</t>
  </si>
  <si>
    <t xml:space="preserve">Cash &amp; equivalents</t>
  </si>
  <si>
    <t xml:space="preserve">Net lending portfolio (gross hist.)</t>
  </si>
  <si>
    <t xml:space="preserve">Other assets (plug)</t>
  </si>
  <si>
    <t xml:space="preserve">Total assets</t>
  </si>
  <si>
    <t xml:space="preserve">Customer deposits (Baobab)</t>
  </si>
  <si>
    <t xml:space="preserve">Borrowings &amp; debt (forecast = balancing)</t>
  </si>
  <si>
    <t xml:space="preserve">Other liabilities</t>
  </si>
  <si>
    <t xml:space="preserve">Total liabilities</t>
  </si>
  <si>
    <t xml:space="preserve">Attributable equity</t>
  </si>
  <si>
    <t xml:space="preserve">Total equity (incl. minority)</t>
  </si>
  <si>
    <t xml:space="preserve">Minority interest</t>
  </si>
  <si>
    <t xml:space="preserve">Balance check (assets − liab − equity)</t>
  </si>
  <si>
    <t xml:space="preserve">Book value per share (EGP)</t>
  </si>
  <si>
    <t xml:space="preserve">Historical totals: FY2023/24/25 assets 18,285 / 33,747 / 53,024; equity (incl. MI) 10,472 / 12,473 / 23,499; issued capital</t>
  </si>
  <si>
    <t xml:space="preserve">EGP 10,927m (2023–24) and 21,436m (2025). Hist. portfolio shown gross per releases. Sources: FY statements via public aggregation, EGX disclosures.</t>
  </si>
  <si>
    <t xml:space="preserve">Cash flow — financial-holding presentation (EGP m)</t>
  </si>
  <si>
    <t xml:space="preserve">Portfolio growth is the investing use; deposits/borrowings the funding source. 'Other' plugs to the BS cash movement.</t>
  </si>
  <si>
    <t xml:space="preserve">Increase in net lending portfolio</t>
  </si>
  <si>
    <t xml:space="preserve">Increase in customer deposits</t>
  </si>
  <si>
    <t xml:space="preserve">Increase in borrowings &amp; debt</t>
  </si>
  <si>
    <t xml:space="preserve">Rights issues (paid-in capital)</t>
  </si>
  <si>
    <t xml:space="preserve">Dividends paid</t>
  </si>
  <si>
    <t xml:space="preserve">Other operating, FX &amp; consolidation (plug)</t>
  </si>
  <si>
    <t xml:space="preserve">Cash, beginning of period</t>
  </si>
  <si>
    <t xml:space="preserve">Net change in cash</t>
  </si>
  <si>
    <t xml:space="preserve">Cash, end of period</t>
  </si>
  <si>
    <t xml:space="preserve">2025 'Other' absorbs FX/other comprehensive losses (~EGP −0.7bn) and working-capital swings; 2026 absorbs Baobab first-time consolidation.</t>
  </si>
  <si>
    <t xml:space="preserve">Summary financials — every cell links to the statement sheets</t>
  </si>
  <si>
    <t xml:space="preserve">Net lending portfolio</t>
  </si>
  <si>
    <t xml:space="preserve">Borrowings &amp; debt</t>
  </si>
  <si>
    <t xml:space="preserve">Attributable ROE (avg. book)</t>
  </si>
  <si>
    <t xml:space="preserve">Monte Carlo — three-month probabilistic price map</t>
  </si>
  <si>
    <t xml:space="preserve">50,000 paths, seed 42; YZ-HAR width, Student-t(5) innovations, drift OFF (EGX non-developer class, Step 0). Simulation outputs from mc_v2.py.</t>
  </si>
  <si>
    <t xml:space="preserve">Engine parameter</t>
  </si>
  <si>
    <t xml:space="preserve">Anchor (spot, 1 Jul 2026)</t>
  </si>
  <si>
    <t xml:space="preserve">HAR-forecast daily σ</t>
  </si>
  <si>
    <t xml:space="preserve">Annualized σ (HAR)</t>
  </si>
  <si>
    <t xml:space="preserve">60-session horizon σ</t>
  </si>
  <si>
    <t xml:space="preserve">Trailing 252d close-close vol (benchmark)</t>
  </si>
  <si>
    <t xml:space="preserve">Net continuous drift (7 factors, 3M)</t>
  </si>
  <si>
    <t xml:space="preserve">Σ prob × mean impact (9 events)</t>
  </si>
  <si>
    <t xml:space="preserve">Simulated annualized path vol (events widen)</t>
  </si>
  <si>
    <t xml:space="preserve">Paths / seed</t>
  </si>
  <si>
    <t xml:space="preserve">Percentile map (EGP/share)</t>
  </si>
  <si>
    <t xml:space="preserve">p5</t>
  </si>
  <si>
    <t xml:space="preserve">p25</t>
  </si>
  <si>
    <t xml:space="preserve">p50</t>
  </si>
  <si>
    <t xml:space="preserve">p75</t>
  </si>
  <si>
    <t xml:space="preserve">p95</t>
  </si>
  <si>
    <t xml:space="preserve">T+20 sessions</t>
  </si>
  <si>
    <t xml:space="preserve">T+60 sessions</t>
  </si>
  <si>
    <t xml:space="preserve">Level-touch ladder</t>
  </si>
  <si>
    <t xml:space="preserve">T+20 touch</t>
  </si>
  <si>
    <t xml:space="preserve">T+60 touch</t>
  </si>
  <si>
    <t xml:space="preserve">EGP 3.80</t>
  </si>
  <si>
    <t xml:space="preserve">Above the 52-wk high 3.79</t>
  </si>
  <si>
    <t xml:space="preserve">EGP 3.50</t>
  </si>
  <si>
    <t xml:space="preserve">Toward the normalized lens</t>
  </si>
  <si>
    <t xml:space="preserve">EGP 3.30</t>
  </si>
  <si>
    <t xml:space="preserve">Upper band</t>
  </si>
  <si>
    <t xml:space="preserve">EGP 3.10</t>
  </si>
  <si>
    <t xml:space="preserve">Just above spot</t>
  </si>
  <si>
    <t xml:space="preserve">EGP 2.80</t>
  </si>
  <si>
    <t xml:space="preserve">Just below spot</t>
  </si>
  <si>
    <t xml:space="preserve">EGP 2.60</t>
  </si>
  <si>
    <t xml:space="preserve">Toward the 52-wk low 2.65</t>
  </si>
  <si>
    <t xml:space="preserve">EGP 2.40</t>
  </si>
  <si>
    <t xml:space="preserve">Below the 52-wk low</t>
  </si>
  <si>
    <t xml:space="preserve">EGP 2.10</t>
  </si>
  <si>
    <t xml:space="preserve">Deep downside / bear lens zone</t>
  </si>
  <si>
    <t xml:space="preserve">Probability zones (T+60)</t>
  </si>
  <si>
    <t xml:space="preserve">Range</t>
  </si>
  <si>
    <t xml:space="preserve">Probability</t>
  </si>
  <si>
    <t xml:space="preserve">Deep downside</t>
  </si>
  <si>
    <t xml:space="preserve">&lt; 2.40</t>
  </si>
  <si>
    <t xml:space="preserve">Lower band</t>
  </si>
  <si>
    <t xml:space="preserve">2.40 – 2.80</t>
  </si>
  <si>
    <t xml:space="preserve">Around spot</t>
  </si>
  <si>
    <t xml:space="preserve">2.80 – 3.20</t>
  </si>
  <si>
    <t xml:space="preserve">3.20 – 3.60</t>
  </si>
  <si>
    <t xml:space="preserve">Strong upside</t>
  </si>
  <si>
    <t xml:space="preserve">&gt; 3.60</t>
  </si>
  <si>
    <t xml:space="preserve">Lens independence: paths diffuse from spot; the §1 fundamental value gap is deliberately kept out of the drift.</t>
  </si>
  <si>
    <t xml:space="preserve">Sensitivity — the two grids that carry the answer</t>
  </si>
  <si>
    <t xml:space="preserve">Grid 1: justified P/B on sustainable ROE × COE (× BVPS). Grid 2: SOTP per share on the complexity discount × the Baobab mark.</t>
  </si>
  <si>
    <t xml:space="preserve">Justified value per share (EGP) — g = 15%</t>
  </si>
  <si>
    <t xml:space="preserve">COE \ ROE</t>
  </si>
  <si>
    <t xml:space="preserve">12%</t>
  </si>
  <si>
    <t xml:space="preserve">15%</t>
  </si>
  <si>
    <t xml:space="preserve">18%</t>
  </si>
  <si>
    <t xml:space="preserve">21%</t>
  </si>
  <si>
    <t xml:space="preserve">24%</t>
  </si>
  <si>
    <t xml:space="preserve">26%</t>
  </si>
  <si>
    <t xml:space="preserve">22%</t>
  </si>
  <si>
    <t xml:space="preserve">20%</t>
  </si>
  <si>
    <t xml:space="preserve">SOTP value per share (EGP) — discount × Baobab P/B mark</t>
  </si>
  <si>
    <t xml:space="preserve">Discount \ Baobab P/B</t>
  </si>
  <si>
    <t xml:space="preserve">0.60x</t>
  </si>
  <si>
    <t xml:space="preserve">0.80x</t>
  </si>
  <si>
    <t xml:space="preserve">1.00x</t>
  </si>
  <si>
    <t xml:space="preserve">1.20x</t>
  </si>
  <si>
    <t xml:space="preserve">1.40x</t>
  </si>
  <si>
    <t xml:space="preserve">0%</t>
  </si>
  <si>
    <t xml:space="preserve">5%</t>
  </si>
  <si>
    <t xml:space="preserve">10%</t>
  </si>
  <si>
    <t xml:space="preserve">Read grid 1 as the whole argument: at an 18% sustainable ROE and a 22% COE the shares are worth about book ×1 (~EGP 2.2–2.4);</t>
  </si>
  <si>
    <t xml:space="preserve">the market's 2.97 needs either ~21% ROE or a COE below 21% — i.e. it is already paying for most of the bridge.</t>
  </si>
  <si>
    <t xml:space="preserve">Per-share values &amp; ratios</t>
  </si>
  <si>
    <t xml:space="preserve">All formulas; multiples struck on the 1-Jul-2026 spot.</t>
  </si>
  <si>
    <t xml:space="preserve">Metric</t>
  </si>
  <si>
    <t xml:space="preserve">EPS (EGP)</t>
  </si>
  <si>
    <t xml:space="preserve">BVPS (EGP)</t>
  </si>
  <si>
    <t xml:space="preserve">DPS (EGP)</t>
  </si>
  <si>
    <t xml:space="preserve">P/E at spot</t>
  </si>
  <si>
    <t xml:space="preserve">P/B at spot</t>
  </si>
  <si>
    <t xml:space="preserve">Attributable ROE (avg.)</t>
  </si>
  <si>
    <t xml:space="preserve">Dividend yield at spot</t>
  </si>
  <si>
    <t xml:space="preserve">Assets / equity (leverage)</t>
  </si>
  <si>
    <t xml:space="preserve">Peer set &amp; sector structure</t>
  </si>
  <si>
    <t xml:space="preserve">Approximate peer marks as of Jun–Jul 2026 (public data; flagged approximate). BTFH rows link live.</t>
  </si>
  <si>
    <t xml:space="preserve">Name</t>
  </si>
  <si>
    <t xml:space="preserve">Ticker</t>
  </si>
  <si>
    <t xml:space="preserve">P/E (trailing)</t>
  </si>
  <si>
    <t xml:space="preserve">P/B</t>
  </si>
  <si>
    <t xml:space="preserve">ROE</t>
  </si>
  <si>
    <t xml:space="preserve">EFG Holding</t>
  </si>
  <si>
    <t xml:space="preserve">HRHO</t>
  </si>
  <si>
    <t xml:space="preserve">Closest listed comparable: IB + NBFI platform; ~EGP 42bn mkt cap</t>
  </si>
  <si>
    <t xml:space="preserve">Contact Financial</t>
  </si>
  <si>
    <t xml:space="preserve">CNFN</t>
  </si>
  <si>
    <t xml:space="preserve">Pure NBFI consumer/auto lender</t>
  </si>
  <si>
    <t xml:space="preserve">Commercial International Bank</t>
  </si>
  <si>
    <t xml:space="preserve">COMI</t>
  </si>
  <si>
    <t xml:space="preserve">Bank reference point: high-ROE, premium P/B</t>
  </si>
  <si>
    <t xml:space="preserve">Fawry</t>
  </si>
  <si>
    <t xml:space="preserve">FWRY</t>
  </si>
  <si>
    <t xml:space="preserve">Payments/growth reference — not a valuation comp</t>
  </si>
  <si>
    <t xml:space="preserve">Baobab-type frontier microfinance</t>
  </si>
  <si>
    <t xml:space="preserve">Frontier microfinance banks trade at/below book</t>
  </si>
  <si>
    <t xml:space="preserve">Beltone (BTFH) — on FY2025 / 2026E</t>
  </si>
  <si>
    <t xml:space="preserve">BTFH</t>
  </si>
  <si>
    <t xml:space="preserve">Sector structure. Egyptian capital-markets revenue pools (brokerage, AM, IB) are in a cyclical upswing as the CBE cuts from the</t>
  </si>
  <si>
    <t xml:space="preserve">27.25% peak; NBFI lending competes on funding cost and distribution; pan-African microfinance adds a frontier credit cycle.</t>
  </si>
  <si>
    <t xml:space="preserve">Principal risks: cost of risk on a 236%-grown book; FX on USD/EUR funding; related-party governance; further dilution.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</si>
</sst>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;\(#,##0.00\);\-"/>
    <numFmt numFmtId="166" formatCode="0.0%"/>
    <numFmt numFmtId="167" formatCode="#,##0;\(#,##0\);\-"/>
    <numFmt numFmtId="168" formatCode="#,##0.0"/>
    <numFmt numFmtId="169" formatCode="0.00\x"/>
    <numFmt numFmtId="170" formatCode="0.00"/>
    <numFmt numFmtId="171" formatCode="0.000"/>
    <numFmt numFmtId="172" formatCode="0.00%"/>
    <numFmt numFmtId="173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B5E5E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B5E5E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5E5E"/>
        <bgColor rgb="FF008080"/>
      </patternFill>
    </fill>
    <fill>
      <patternFill patternType="solid">
        <fgColor rgb="FFFFF2CC"/>
        <bgColor rgb="FFE9F2F2"/>
      </patternFill>
    </fill>
    <fill>
      <patternFill patternType="solid">
        <fgColor rgb="FFE9F2F2"/>
        <bgColor rgb="FFD9E2E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2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5E5E"/>
      <rgbColor rgb="FFC0C0C0"/>
      <rgbColor rgb="FF808080"/>
      <rgbColor rgb="FF9999FF"/>
      <rgbColor rgb="FF993366"/>
      <rgbColor rgb="FFFFF2CC"/>
      <rgbColor rgb="FFE9F2F2"/>
      <rgbColor rgb="FF660066"/>
      <rgbColor rgb="FFFF8080"/>
      <rgbColor rgb="FF0066CC"/>
      <rgbColor rgb="FFD9E2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2"/>
    <col collapsed="false" customWidth="true" hidden="false" outlineLevel="0" max="3" min="2" style="0" width="1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3" t="s">
        <v>17</v>
      </c>
    </row>
    <row r="24" customFormat="false" ht="15" hidden="false" customHeight="false" outlineLevel="0" collapsed="false">
      <c r="A24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2"/>
  </cols>
  <sheetData>
    <row r="1" customFormat="false" ht="16.15" hidden="false" customHeight="false" outlineLevel="0" collapsed="false">
      <c r="A1" s="1" t="s">
        <v>19</v>
      </c>
    </row>
    <row r="2" customFormat="false" ht="15" hidden="false" customHeight="false" outlineLevel="0" collapsed="false">
      <c r="A2" s="2" t="s">
        <v>20</v>
      </c>
    </row>
    <row r="4" customFormat="false" ht="15" hidden="false" customHeight="false" outlineLevel="0" collapsed="false">
      <c r="A4" s="4" t="s">
        <v>21</v>
      </c>
      <c r="B4" s="5" t="s">
        <v>22</v>
      </c>
      <c r="C4" s="5" t="s">
        <v>23</v>
      </c>
      <c r="D4" s="5" t="s">
        <v>24</v>
      </c>
      <c r="E4" s="5" t="s">
        <v>25</v>
      </c>
    </row>
    <row r="5" customFormat="false" ht="15" hidden="false" customHeight="false" outlineLevel="0" collapsed="false">
      <c r="A5" s="6" t="str">
        <f aca="false">'Fundamental Valuation'!A5</f>
        <v>Sum-of-the-parts</v>
      </c>
      <c r="B5" s="7" t="n">
        <f aca="false">'Fundamental Valuation'!B5</f>
        <v>1.8</v>
      </c>
      <c r="C5" s="7" t="n">
        <f aca="false">'Fundamental Valuation'!C5</f>
        <v>2.70131833067428</v>
      </c>
      <c r="D5" s="7" t="n">
        <f aca="false">'Fundamental Valuation'!D5</f>
        <v>3.68</v>
      </c>
      <c r="E5" s="8" t="n">
        <f aca="false">'Fundamental Valuation'!E5</f>
        <v>0.4</v>
      </c>
    </row>
    <row r="6" customFormat="false" ht="15" hidden="false" customHeight="false" outlineLevel="0" collapsed="false">
      <c r="A6" s="6" t="str">
        <f aca="false">'Fundamental Valuation'!A6</f>
        <v>Equity DCF / residual income</v>
      </c>
      <c r="B6" s="7" t="n">
        <f aca="false">'Fundamental Valuation'!B6</f>
        <v>1.75</v>
      </c>
      <c r="C6" s="7" t="n">
        <f aca="false">'Fundamental Valuation'!C6</f>
        <v>2.5070499694484</v>
      </c>
      <c r="D6" s="7" t="n">
        <f aca="false">'Fundamental Valuation'!D6</f>
        <v>3.95</v>
      </c>
      <c r="E6" s="8" t="n">
        <f aca="false">'Fundamental Valuation'!E6</f>
        <v>0.2</v>
      </c>
    </row>
    <row r="7" customFormat="false" ht="15" hidden="false" customHeight="false" outlineLevel="0" collapsed="false">
      <c r="A7" s="6" t="str">
        <f aca="false">'Fundamental Valuation'!A7</f>
        <v>Relative multiples</v>
      </c>
      <c r="B7" s="7" t="n">
        <f aca="false">'Fundamental Valuation'!B7</f>
        <v>1.68</v>
      </c>
      <c r="C7" s="7" t="n">
        <f aca="false">'Fundamental Valuation'!C7</f>
        <v>2.64364136367453</v>
      </c>
      <c r="D7" s="7" t="n">
        <f aca="false">'Fundamental Valuation'!D7</f>
        <v>3.9</v>
      </c>
      <c r="E7" s="8" t="n">
        <f aca="false">'Fundamental Valuation'!E7</f>
        <v>0.15</v>
      </c>
    </row>
    <row r="8" customFormat="false" ht="15" hidden="false" customHeight="false" outlineLevel="0" collapsed="false">
      <c r="A8" s="6" t="str">
        <f aca="false">'Fundamental Valuation'!A8</f>
        <v>Normalized earnings</v>
      </c>
      <c r="B8" s="7" t="n">
        <f aca="false">'Fundamental Valuation'!B8</f>
        <v>2.29</v>
      </c>
      <c r="C8" s="7" t="n">
        <f aca="false">'Fundamental Valuation'!C8</f>
        <v>3.61964900495424</v>
      </c>
      <c r="D8" s="7" t="n">
        <f aca="false">'Fundamental Valuation'!D8</f>
        <v>5.13</v>
      </c>
      <c r="E8" s="8" t="n">
        <f aca="false">'Fundamental Valuation'!E8</f>
        <v>0.25</v>
      </c>
    </row>
    <row r="9" customFormat="false" ht="15" hidden="false" customHeight="false" outlineLevel="0" collapsed="false">
      <c r="A9" s="9" t="s">
        <v>26</v>
      </c>
      <c r="B9" s="10" t="n">
        <f aca="false">'Fundamental Valuation'!B9</f>
        <v>1.8945</v>
      </c>
      <c r="C9" s="10" t="n">
        <f aca="false">'Fundamental Valuation'!C9</f>
        <v>2.88339578194913</v>
      </c>
      <c r="D9" s="10" t="n">
        <f aca="false">'Fundamental Valuation'!D9</f>
        <v>4.1295</v>
      </c>
    </row>
    <row r="10" customFormat="false" ht="15" hidden="false" customHeight="false" outlineLevel="0" collapsed="false">
      <c r="A10" s="11" t="s">
        <v>27</v>
      </c>
      <c r="B10" s="12"/>
      <c r="C10" s="13" t="n">
        <f aca="false">Assumptions!B5</f>
        <v>2.97</v>
      </c>
    </row>
    <row r="11" customFormat="false" ht="15" hidden="false" customHeight="false" outlineLevel="0" collapsed="false">
      <c r="A11" s="11" t="s">
        <v>28</v>
      </c>
      <c r="B11" s="14"/>
      <c r="C11" s="14" t="n">
        <f aca="false">C9/Assumptions!B5-1</f>
        <v>-0.0291596693773976</v>
      </c>
    </row>
    <row r="13" customFormat="false" ht="15" hidden="false" customHeight="false" outlineLevel="0" collapsed="false">
      <c r="A13" s="11" t="s">
        <v>29</v>
      </c>
      <c r="B13" s="12" t="n">
        <v>2.04</v>
      </c>
      <c r="C13" s="12" t="n">
        <v>2.89</v>
      </c>
      <c r="D13" s="12" t="n">
        <v>4.04</v>
      </c>
    </row>
    <row r="15" customFormat="false" ht="15" hidden="false" customHeight="false" outlineLevel="0" collapsed="false">
      <c r="A15" s="2" t="s">
        <v>30</v>
      </c>
    </row>
    <row r="16" customFormat="false" ht="15" hidden="false" customHeight="false" outlineLevel="0" collapsed="false">
      <c r="A16" s="2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2"/>
  </cols>
  <sheetData>
    <row r="1" customFormat="false" ht="16.15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33</v>
      </c>
    </row>
    <row r="4" customFormat="false" ht="15" hidden="false" customHeight="false" outlineLevel="0" collapsed="false">
      <c r="A4" s="4" t="s">
        <v>21</v>
      </c>
      <c r="B4" s="5" t="s">
        <v>22</v>
      </c>
      <c r="C4" s="5" t="s">
        <v>23</v>
      </c>
      <c r="D4" s="5" t="s">
        <v>24</v>
      </c>
      <c r="E4" s="5" t="s">
        <v>25</v>
      </c>
    </row>
    <row r="5" customFormat="false" ht="15" hidden="false" customHeight="false" outlineLevel="0" collapsed="false">
      <c r="A5" s="11" t="s">
        <v>34</v>
      </c>
      <c r="B5" s="15" t="n">
        <v>1.8</v>
      </c>
      <c r="C5" s="7" t="n">
        <f aca="false">SOTP!E11</f>
        <v>2.70131833067428</v>
      </c>
      <c r="D5" s="15" t="n">
        <v>3.68</v>
      </c>
      <c r="E5" s="8" t="n">
        <f aca="false">Assumptions!B45</f>
        <v>0.4</v>
      </c>
    </row>
    <row r="6" customFormat="false" ht="15" hidden="false" customHeight="false" outlineLevel="0" collapsed="false">
      <c r="A6" s="11" t="s">
        <v>35</v>
      </c>
      <c r="B6" s="15" t="n">
        <v>1.75</v>
      </c>
      <c r="C6" s="7" t="n">
        <f aca="false">DCF!B12</f>
        <v>2.5070499694484</v>
      </c>
      <c r="D6" s="15" t="n">
        <v>3.95</v>
      </c>
      <c r="E6" s="8" t="n">
        <f aca="false">Assumptions!B46</f>
        <v>0.2</v>
      </c>
    </row>
    <row r="7" customFormat="false" ht="15" hidden="false" customHeight="false" outlineLevel="0" collapsed="false">
      <c r="A7" s="11" t="s">
        <v>36</v>
      </c>
      <c r="B7" s="15" t="n">
        <v>1.68</v>
      </c>
      <c r="C7" s="7" t="n">
        <f aca="false">'Relative &amp; Normalized'!B8</f>
        <v>2.64364136367453</v>
      </c>
      <c r="D7" s="15" t="n">
        <v>3.9</v>
      </c>
      <c r="E7" s="8" t="n">
        <f aca="false">Assumptions!B47</f>
        <v>0.15</v>
      </c>
    </row>
    <row r="8" customFormat="false" ht="15" hidden="false" customHeight="false" outlineLevel="0" collapsed="false">
      <c r="A8" s="11" t="s">
        <v>37</v>
      </c>
      <c r="B8" s="15" t="n">
        <v>2.29</v>
      </c>
      <c r="C8" s="7" t="n">
        <f aca="false">'Relative &amp; Normalized'!B20</f>
        <v>3.61964900495424</v>
      </c>
      <c r="D8" s="15" t="n">
        <v>5.13</v>
      </c>
      <c r="E8" s="8" t="n">
        <f aca="false">Assumptions!B48</f>
        <v>0.25</v>
      </c>
    </row>
    <row r="9" customFormat="false" ht="15" hidden="false" customHeight="false" outlineLevel="0" collapsed="false">
      <c r="A9" s="9" t="s">
        <v>26</v>
      </c>
      <c r="B9" s="16" t="n">
        <f aca="false">SUMPRODUCT(B5:B8,$E$5:$E$8)</f>
        <v>1.8945</v>
      </c>
      <c r="C9" s="16" t="n">
        <f aca="false">SUMPRODUCT(C5:C8,$E$5:$E$8)</f>
        <v>2.88339578194913</v>
      </c>
      <c r="D9" s="16" t="n">
        <f aca="false">SUMPRODUCT(D5:D8,$E$5:$E$8)</f>
        <v>4.1295</v>
      </c>
    </row>
    <row r="10" customFormat="false" ht="15" hidden="false" customHeight="false" outlineLevel="0" collapsed="false">
      <c r="A10" s="11" t="s">
        <v>38</v>
      </c>
      <c r="B10" s="12"/>
      <c r="C10" s="13" t="n">
        <f aca="false">Assumptions!B5</f>
        <v>2.97</v>
      </c>
    </row>
    <row r="11" customFormat="false" ht="15" hidden="false" customHeight="false" outlineLevel="0" collapsed="false">
      <c r="A11" s="11" t="s">
        <v>39</v>
      </c>
      <c r="B11" s="14"/>
      <c r="C11" s="14" t="n">
        <f aca="false">Assumptions!B5/C9-1</f>
        <v>0.0300354944656012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3"/>
  </cols>
  <sheetData>
    <row r="1" customFormat="false" ht="16.15" hidden="false" customHeight="false" outlineLevel="0" collapsed="false">
      <c r="A1" s="1" t="s">
        <v>40</v>
      </c>
    </row>
    <row r="2" customFormat="false" ht="15" hidden="false" customHeight="false" outlineLevel="0" collapsed="false">
      <c r="A2" s="2" t="s">
        <v>41</v>
      </c>
    </row>
    <row r="4" customFormat="false" ht="15" hidden="false" customHeight="false" outlineLevel="0" collapsed="false">
      <c r="A4" s="4" t="s">
        <v>42</v>
      </c>
      <c r="B4" s="5" t="s">
        <v>43</v>
      </c>
      <c r="C4" s="5"/>
      <c r="D4" s="5" t="s">
        <v>44</v>
      </c>
    </row>
    <row r="5" customFormat="false" ht="15" hidden="false" customHeight="false" outlineLevel="0" collapsed="false">
      <c r="A5" s="3" t="s">
        <v>45</v>
      </c>
      <c r="B5" s="17" t="n">
        <v>2.97</v>
      </c>
      <c r="D5" s="2" t="s">
        <v>46</v>
      </c>
    </row>
    <row r="6" customFormat="false" ht="15" hidden="false" customHeight="false" outlineLevel="0" collapsed="false">
      <c r="A6" s="3" t="s">
        <v>47</v>
      </c>
      <c r="B6" s="18" t="n">
        <v>10718.1</v>
      </c>
      <c r="D6" s="2" t="s">
        <v>48</v>
      </c>
    </row>
    <row r="7" customFormat="false" ht="15" hidden="false" customHeight="false" outlineLevel="0" collapsed="false">
      <c r="A7" s="3" t="s">
        <v>49</v>
      </c>
      <c r="B7" s="18" t="n">
        <v>23253</v>
      </c>
      <c r="D7" s="2" t="s">
        <v>50</v>
      </c>
    </row>
    <row r="8" customFormat="false" ht="15" hidden="false" customHeight="false" outlineLevel="0" collapsed="false">
      <c r="A8" s="3" t="s">
        <v>51</v>
      </c>
      <c r="B8" s="18" t="n">
        <v>246</v>
      </c>
      <c r="C8" s="19" t="n">
        <v>3.79</v>
      </c>
      <c r="D8" s="2" t="s">
        <v>52</v>
      </c>
    </row>
    <row r="9" customFormat="false" ht="15" hidden="false" customHeight="false" outlineLevel="0" collapsed="false">
      <c r="A9" s="3" t="s">
        <v>53</v>
      </c>
      <c r="B9" s="19" t="n">
        <v>2.65</v>
      </c>
      <c r="D9" s="2" t="s">
        <v>54</v>
      </c>
    </row>
    <row r="10" customFormat="false" ht="15" hidden="false" customHeight="false" outlineLevel="0" collapsed="false">
      <c r="A10" s="3" t="s">
        <v>55</v>
      </c>
      <c r="B10" s="20" t="n">
        <v>49.7</v>
      </c>
      <c r="D10" s="2" t="s">
        <v>56</v>
      </c>
    </row>
    <row r="11" customFormat="false" ht="15" hidden="false" customHeight="false" outlineLevel="0" collapsed="false">
      <c r="A11" s="3" t="s">
        <v>57</v>
      </c>
      <c r="B11" s="20" t="n">
        <v>57.5</v>
      </c>
      <c r="D11" s="2" t="s">
        <v>58</v>
      </c>
    </row>
    <row r="13" customFormat="false" ht="15" hidden="false" customHeight="false" outlineLevel="0" collapsed="false">
      <c r="A13" s="4" t="s">
        <v>59</v>
      </c>
      <c r="B13" s="5" t="s">
        <v>60</v>
      </c>
      <c r="C13" s="5" t="s">
        <v>61</v>
      </c>
      <c r="D13" s="5" t="s">
        <v>62</v>
      </c>
    </row>
    <row r="14" customFormat="false" ht="15" hidden="false" customHeight="false" outlineLevel="0" collapsed="false">
      <c r="A14" s="3" t="s">
        <v>63</v>
      </c>
      <c r="B14" s="18" t="n">
        <v>8000</v>
      </c>
      <c r="C14" s="21" t="n">
        <v>1.6</v>
      </c>
      <c r="D14" s="2" t="s">
        <v>64</v>
      </c>
    </row>
    <row r="15" customFormat="false" ht="15" hidden="false" customHeight="false" outlineLevel="0" collapsed="false">
      <c r="A15" s="3" t="s">
        <v>65</v>
      </c>
      <c r="B15" s="18" t="n">
        <v>4500</v>
      </c>
      <c r="C15" s="21" t="n">
        <v>1.9</v>
      </c>
      <c r="D15" s="2" t="s">
        <v>66</v>
      </c>
    </row>
    <row r="16" customFormat="false" ht="15" hidden="false" customHeight="false" outlineLevel="0" collapsed="false">
      <c r="A16" s="3" t="s">
        <v>67</v>
      </c>
      <c r="B16" s="18" t="n">
        <v>8500</v>
      </c>
      <c r="C16" s="21" t="n">
        <v>1</v>
      </c>
      <c r="D16" s="2" t="s">
        <v>68</v>
      </c>
    </row>
    <row r="17" customFormat="false" ht="15" hidden="false" customHeight="false" outlineLevel="0" collapsed="false">
      <c r="A17" s="3" t="s">
        <v>69</v>
      </c>
      <c r="B17" s="18" t="n">
        <v>2900</v>
      </c>
      <c r="C17" s="21" t="n">
        <v>0.8</v>
      </c>
      <c r="D17" s="2" t="s">
        <v>70</v>
      </c>
    </row>
    <row r="18" customFormat="false" ht="15" hidden="false" customHeight="false" outlineLevel="0" collapsed="false">
      <c r="A18" s="3" t="s">
        <v>71</v>
      </c>
      <c r="B18" s="22" t="n">
        <f aca="false">SUM(B14:B17)</f>
        <v>23900</v>
      </c>
    </row>
    <row r="19" customFormat="false" ht="15" hidden="false" customHeight="false" outlineLevel="0" collapsed="false">
      <c r="A19" s="3" t="s">
        <v>72</v>
      </c>
      <c r="B19" s="23" t="n">
        <v>0.1</v>
      </c>
    </row>
    <row r="21" customFormat="false" ht="15" hidden="false" customHeight="false" outlineLevel="0" collapsed="false">
      <c r="A21" s="4" t="s">
        <v>35</v>
      </c>
      <c r="B21" s="5" t="s">
        <v>43</v>
      </c>
      <c r="C21" s="5"/>
      <c r="D21" s="5" t="s">
        <v>62</v>
      </c>
    </row>
    <row r="22" customFormat="false" ht="15" hidden="false" customHeight="false" outlineLevel="0" collapsed="false">
      <c r="A22" s="3" t="s">
        <v>73</v>
      </c>
      <c r="B22" s="23" t="n">
        <v>0.23</v>
      </c>
      <c r="D22" s="2" t="s">
        <v>74</v>
      </c>
    </row>
    <row r="23" customFormat="false" ht="15" hidden="false" customHeight="false" outlineLevel="0" collapsed="false">
      <c r="A23" s="3" t="s">
        <v>75</v>
      </c>
      <c r="B23" s="21" t="n">
        <v>8</v>
      </c>
      <c r="D23" s="2" t="s">
        <v>76</v>
      </c>
    </row>
    <row r="24" customFormat="false" ht="15" hidden="false" customHeight="false" outlineLevel="0" collapsed="false">
      <c r="A24" s="3" t="s">
        <v>77</v>
      </c>
      <c r="B24" s="23" t="n">
        <v>0</v>
      </c>
      <c r="C24" s="23" t="n">
        <v>0.2</v>
      </c>
      <c r="D24" s="2" t="s">
        <v>78</v>
      </c>
    </row>
    <row r="25" customFormat="false" ht="15" hidden="false" customHeight="false" outlineLevel="0" collapsed="false">
      <c r="A25" s="3" t="s">
        <v>79</v>
      </c>
      <c r="B25" s="23" t="n">
        <v>0.15</v>
      </c>
      <c r="D25" s="2" t="s">
        <v>80</v>
      </c>
    </row>
    <row r="26" customFormat="false" ht="15" hidden="false" customHeight="false" outlineLevel="0" collapsed="false">
      <c r="A26" s="3" t="s">
        <v>81</v>
      </c>
      <c r="B26" s="23" t="n">
        <v>0.18</v>
      </c>
      <c r="D26" s="2" t="s">
        <v>82</v>
      </c>
    </row>
    <row r="27" customFormat="false" ht="15" hidden="false" customHeight="false" outlineLevel="0" collapsed="false">
      <c r="A27" s="3" t="s">
        <v>83</v>
      </c>
      <c r="B27" s="21" t="n">
        <v>9</v>
      </c>
      <c r="D27" s="2" t="s">
        <v>84</v>
      </c>
    </row>
    <row r="28" customFormat="false" ht="15" hidden="false" customHeight="false" outlineLevel="0" collapsed="false">
      <c r="A28" s="3" t="s">
        <v>85</v>
      </c>
      <c r="B28" s="21" t="n">
        <v>10</v>
      </c>
      <c r="D28" s="2" t="s">
        <v>86</v>
      </c>
    </row>
    <row r="29" customFormat="false" ht="15" hidden="false" customHeight="false" outlineLevel="0" collapsed="false">
      <c r="A29" s="3" t="s">
        <v>87</v>
      </c>
      <c r="B29" s="21" t="n">
        <v>1.2</v>
      </c>
      <c r="D29" s="2" t="s">
        <v>88</v>
      </c>
    </row>
    <row r="31" customFormat="false" ht="15" hidden="false" customHeight="false" outlineLevel="0" collapsed="false">
      <c r="A31" s="4" t="s">
        <v>89</v>
      </c>
      <c r="B31" s="5" t="s">
        <v>90</v>
      </c>
      <c r="C31" s="5" t="s">
        <v>91</v>
      </c>
      <c r="D31" s="5" t="s">
        <v>92</v>
      </c>
      <c r="E31" s="5" t="s">
        <v>93</v>
      </c>
      <c r="F31" s="5" t="s">
        <v>94</v>
      </c>
    </row>
    <row r="32" customFormat="false" ht="15" hidden="false" customHeight="false" outlineLevel="0" collapsed="false">
      <c r="A32" s="3" t="s">
        <v>95</v>
      </c>
      <c r="B32" s="18" t="n">
        <v>29000</v>
      </c>
      <c r="C32" s="23" t="n">
        <v>0.28</v>
      </c>
      <c r="D32" s="23" t="n">
        <v>0.22</v>
      </c>
      <c r="E32" s="23" t="n">
        <v>0.18</v>
      </c>
      <c r="F32" s="23" t="n">
        <v>0.15</v>
      </c>
    </row>
    <row r="33" customFormat="false" ht="15" hidden="false" customHeight="false" outlineLevel="0" collapsed="false">
      <c r="A33" s="3" t="s">
        <v>96</v>
      </c>
      <c r="B33" s="23" t="n">
        <v>0.19</v>
      </c>
      <c r="C33" s="23" t="n">
        <v>0.205</v>
      </c>
      <c r="D33" s="23" t="n">
        <v>0.22</v>
      </c>
      <c r="E33" s="23" t="n">
        <v>0.23</v>
      </c>
      <c r="F33" s="23" t="n">
        <v>0.24</v>
      </c>
    </row>
    <row r="34" customFormat="false" ht="15" hidden="false" customHeight="false" outlineLevel="0" collapsed="false">
      <c r="A34" s="3" t="s">
        <v>97</v>
      </c>
      <c r="B34" s="23" t="n">
        <v>-0.055</v>
      </c>
      <c r="C34" s="23" t="n">
        <v>-0.052</v>
      </c>
      <c r="D34" s="23" t="n">
        <v>-0.05</v>
      </c>
      <c r="E34" s="23" t="n">
        <v>-0.046</v>
      </c>
      <c r="F34" s="23" t="n">
        <v>-0.042</v>
      </c>
    </row>
    <row r="35" customFormat="false" ht="15" hidden="false" customHeight="false" outlineLevel="0" collapsed="false">
      <c r="A35" s="3" t="s">
        <v>98</v>
      </c>
      <c r="B35" s="18" t="n">
        <v>0</v>
      </c>
      <c r="C35" s="18" t="n">
        <v>0</v>
      </c>
      <c r="D35" s="18" t="n">
        <v>0</v>
      </c>
      <c r="E35" s="18" t="n">
        <v>0</v>
      </c>
      <c r="F35" s="18" t="n">
        <v>0</v>
      </c>
    </row>
    <row r="36" customFormat="false" ht="15" hidden="false" customHeight="false" outlineLevel="0" collapsed="false">
      <c r="A36" s="3" t="s">
        <v>99</v>
      </c>
      <c r="B36" s="23" t="n">
        <v>0.25</v>
      </c>
      <c r="C36" s="23" t="n">
        <v>0.25</v>
      </c>
      <c r="D36" s="23" t="n">
        <v>0.25</v>
      </c>
      <c r="E36" s="23" t="n">
        <v>0.25</v>
      </c>
      <c r="F36" s="23" t="n">
        <v>0.25</v>
      </c>
    </row>
    <row r="37" customFormat="false" ht="15" hidden="false" customHeight="false" outlineLevel="0" collapsed="false">
      <c r="A37" s="3" t="s">
        <v>100</v>
      </c>
      <c r="B37" s="23" t="n">
        <v>0.035</v>
      </c>
      <c r="C37" s="23" t="n">
        <v>0.035</v>
      </c>
      <c r="D37" s="23" t="n">
        <v>0.035</v>
      </c>
      <c r="E37" s="23" t="n">
        <v>0.035</v>
      </c>
      <c r="F37" s="23" t="n">
        <v>0.035</v>
      </c>
    </row>
    <row r="38" customFormat="false" ht="15" hidden="false" customHeight="false" outlineLevel="0" collapsed="false">
      <c r="A38" s="3" t="s">
        <v>101</v>
      </c>
      <c r="B38" s="18" t="n">
        <v>145000</v>
      </c>
      <c r="C38" s="23" t="n">
        <v>0.22</v>
      </c>
      <c r="D38" s="23" t="n">
        <v>0.19</v>
      </c>
      <c r="E38" s="23" t="n">
        <v>0.16</v>
      </c>
      <c r="F38" s="23" t="n">
        <v>0.14</v>
      </c>
    </row>
    <row r="39" customFormat="false" ht="15" hidden="false" customHeight="false" outlineLevel="0" collapsed="false">
      <c r="A39" s="3" t="s">
        <v>102</v>
      </c>
      <c r="B39" s="18" t="n">
        <v>105000</v>
      </c>
      <c r="C39" s="23" t="n">
        <v>0.24</v>
      </c>
      <c r="D39" s="23" t="n">
        <v>0.2</v>
      </c>
      <c r="E39" s="23" t="n">
        <v>0.17</v>
      </c>
      <c r="F39" s="23" t="n">
        <v>0.15</v>
      </c>
    </row>
    <row r="40" customFormat="false" ht="15" hidden="false" customHeight="false" outlineLevel="0" collapsed="false">
      <c r="A40" s="3" t="s">
        <v>103</v>
      </c>
      <c r="B40" s="18" t="n">
        <v>30000</v>
      </c>
      <c r="C40" s="23" t="n">
        <v>0.2</v>
      </c>
      <c r="D40" s="23" t="n">
        <v>0.2</v>
      </c>
      <c r="E40" s="23" t="n">
        <v>0.18</v>
      </c>
      <c r="F40" s="23" t="n">
        <v>0.16</v>
      </c>
    </row>
    <row r="41" customFormat="false" ht="15" hidden="false" customHeight="false" outlineLevel="0" collapsed="false">
      <c r="A41" s="3" t="s">
        <v>104</v>
      </c>
      <c r="B41" s="23" t="n">
        <v>0.08</v>
      </c>
      <c r="C41" s="23" t="n">
        <v>0.08</v>
      </c>
      <c r="D41" s="23" t="n">
        <v>0.08</v>
      </c>
      <c r="E41" s="23" t="n">
        <v>0.08</v>
      </c>
      <c r="F41" s="23" t="n">
        <v>0.08</v>
      </c>
    </row>
    <row r="42" customFormat="false" ht="15" hidden="false" customHeight="false" outlineLevel="0" collapsed="false">
      <c r="A42" s="3" t="s">
        <v>105</v>
      </c>
      <c r="B42" s="23" t="n">
        <v>0.12</v>
      </c>
      <c r="C42" s="23" t="n">
        <v>0.12</v>
      </c>
      <c r="D42" s="23" t="n">
        <v>0.12</v>
      </c>
      <c r="E42" s="23" t="n">
        <v>0.12</v>
      </c>
      <c r="F42" s="23" t="n">
        <v>0.12</v>
      </c>
    </row>
    <row r="44" customFormat="false" ht="15" hidden="false" customHeight="false" outlineLevel="0" collapsed="false">
      <c r="A44" s="4" t="s">
        <v>106</v>
      </c>
      <c r="B44" s="5" t="s">
        <v>25</v>
      </c>
    </row>
    <row r="45" customFormat="false" ht="15" hidden="false" customHeight="false" outlineLevel="0" collapsed="false">
      <c r="A45" s="3" t="s">
        <v>34</v>
      </c>
      <c r="B45" s="23" t="n">
        <v>0.4</v>
      </c>
    </row>
    <row r="46" customFormat="false" ht="15" hidden="false" customHeight="false" outlineLevel="0" collapsed="false">
      <c r="A46" s="3" t="s">
        <v>35</v>
      </c>
      <c r="B46" s="23" t="n">
        <v>0.2</v>
      </c>
    </row>
    <row r="47" customFormat="false" ht="15" hidden="false" customHeight="false" outlineLevel="0" collapsed="false">
      <c r="A47" s="3" t="s">
        <v>36</v>
      </c>
      <c r="B47" s="23" t="n">
        <v>0.15</v>
      </c>
    </row>
    <row r="48" customFormat="false" ht="15" hidden="false" customHeight="false" outlineLevel="0" collapsed="false">
      <c r="A48" s="3" t="s">
        <v>107</v>
      </c>
      <c r="B48" s="23" t="n">
        <v>0.25</v>
      </c>
    </row>
    <row r="49" customFormat="false" ht="15" hidden="false" customHeight="false" outlineLevel="0" collapsed="false">
      <c r="A49" s="3" t="s">
        <v>108</v>
      </c>
      <c r="B49" s="24" t="n">
        <f aca="false">SUM(B45:B48)</f>
        <v>1</v>
      </c>
    </row>
    <row r="51" customFormat="false" ht="15" hidden="false" customHeight="false" outlineLevel="0" collapsed="false">
      <c r="A51" s="4" t="s">
        <v>109</v>
      </c>
      <c r="B51" s="5" t="s">
        <v>43</v>
      </c>
      <c r="C51" s="5"/>
      <c r="D51" s="5" t="s">
        <v>62</v>
      </c>
    </row>
    <row r="52" customFormat="false" ht="15" hidden="false" customHeight="false" outlineLevel="0" collapsed="false">
      <c r="A52" s="3" t="s">
        <v>110</v>
      </c>
      <c r="B52" s="23" t="n">
        <v>0.175</v>
      </c>
      <c r="D52" s="2" t="s">
        <v>111</v>
      </c>
    </row>
    <row r="53" customFormat="false" ht="15" hidden="false" customHeight="false" outlineLevel="0" collapsed="false">
      <c r="A53" s="3" t="s">
        <v>112</v>
      </c>
      <c r="B53" s="23" t="n">
        <v>0.055</v>
      </c>
      <c r="D53" s="2" t="s">
        <v>113</v>
      </c>
    </row>
    <row r="54" customFormat="false" ht="15" hidden="false" customHeight="false" outlineLevel="0" collapsed="false">
      <c r="A54" s="3" t="s">
        <v>114</v>
      </c>
      <c r="B54" s="25" t="n">
        <v>1</v>
      </c>
      <c r="D54" s="2" t="s">
        <v>115</v>
      </c>
    </row>
    <row r="55" customFormat="false" ht="15" hidden="false" customHeight="false" outlineLevel="0" collapsed="false">
      <c r="A55" s="3" t="s">
        <v>116</v>
      </c>
      <c r="B55" s="24" t="n">
        <f aca="false">B52+B54*B53</f>
        <v>0.23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4"/>
  </cols>
  <sheetData>
    <row r="1" customFormat="false" ht="16.15" hidden="false" customHeight="false" outlineLevel="0" collapsed="false">
      <c r="A1" s="1" t="s">
        <v>117</v>
      </c>
    </row>
    <row r="2" customFormat="false" ht="15" hidden="false" customHeight="false" outlineLevel="0" collapsed="false">
      <c r="A2" s="2" t="s">
        <v>118</v>
      </c>
    </row>
    <row r="4" customFormat="false" ht="15" hidden="false" customHeight="false" outlineLevel="0" collapsed="false">
      <c r="A4" s="4" t="s">
        <v>119</v>
      </c>
      <c r="B4" s="5" t="s">
        <v>120</v>
      </c>
      <c r="C4" s="5" t="s">
        <v>61</v>
      </c>
      <c r="D4" s="5" t="s">
        <v>121</v>
      </c>
      <c r="E4" s="5" t="s">
        <v>122</v>
      </c>
    </row>
    <row r="5" customFormat="false" ht="15" hidden="false" customHeight="false" outlineLevel="0" collapsed="false">
      <c r="A5" s="11" t="s">
        <v>63</v>
      </c>
      <c r="B5" s="26" t="n">
        <f aca="false">Assumptions!B14</f>
        <v>8000</v>
      </c>
      <c r="C5" s="27" t="n">
        <f aca="false">Assumptions!C14</f>
        <v>1.6</v>
      </c>
      <c r="D5" s="28" t="n">
        <f aca="false">B5*C5</f>
        <v>12800</v>
      </c>
      <c r="E5" s="29" t="n">
        <f aca="false">D5/Assumptions!$B$6</f>
        <v>1.19424151668673</v>
      </c>
    </row>
    <row r="6" customFormat="false" ht="15" hidden="false" customHeight="false" outlineLevel="0" collapsed="false">
      <c r="A6" s="11" t="s">
        <v>65</v>
      </c>
      <c r="B6" s="26" t="n">
        <f aca="false">Assumptions!B15</f>
        <v>4500</v>
      </c>
      <c r="C6" s="27" t="n">
        <f aca="false">Assumptions!C15</f>
        <v>1.9</v>
      </c>
      <c r="D6" s="28" t="n">
        <f aca="false">B6*C6</f>
        <v>8550</v>
      </c>
      <c r="E6" s="29" t="n">
        <f aca="false">D6/Assumptions!$B$6</f>
        <v>0.797716013099337</v>
      </c>
    </row>
    <row r="7" customFormat="false" ht="15" hidden="false" customHeight="false" outlineLevel="0" collapsed="false">
      <c r="A7" s="11" t="s">
        <v>123</v>
      </c>
      <c r="B7" s="26" t="n">
        <f aca="false">Assumptions!B16</f>
        <v>8500</v>
      </c>
      <c r="C7" s="27" t="n">
        <f aca="false">Assumptions!C16</f>
        <v>1</v>
      </c>
      <c r="D7" s="28" t="n">
        <f aca="false">B7*C7</f>
        <v>8500</v>
      </c>
      <c r="E7" s="29" t="n">
        <f aca="false">D7/Assumptions!$B$6</f>
        <v>0.793051007174779</v>
      </c>
    </row>
    <row r="8" customFormat="false" ht="15" hidden="false" customHeight="false" outlineLevel="0" collapsed="false">
      <c r="A8" s="11" t="s">
        <v>124</v>
      </c>
      <c r="B8" s="26" t="n">
        <f aca="false">Assumptions!B17</f>
        <v>2900</v>
      </c>
      <c r="C8" s="27" t="n">
        <f aca="false">Assumptions!C17</f>
        <v>0.8</v>
      </c>
      <c r="D8" s="28" t="n">
        <f aca="false">B8*C8</f>
        <v>2320</v>
      </c>
      <c r="E8" s="29" t="n">
        <f aca="false">D8/Assumptions!$B$6</f>
        <v>0.216456274899469</v>
      </c>
    </row>
    <row r="9" customFormat="false" ht="15" hidden="false" customHeight="false" outlineLevel="0" collapsed="false">
      <c r="A9" s="9" t="s">
        <v>125</v>
      </c>
      <c r="B9" s="30" t="n">
        <f aca="false">SUM(B5:B8)</f>
        <v>23900</v>
      </c>
      <c r="C9" s="30"/>
      <c r="D9" s="30" t="n">
        <f aca="false">SUM(D5:D8)</f>
        <v>32170</v>
      </c>
      <c r="E9" s="16" t="n">
        <f aca="false">D9/Assumptions!$B$6</f>
        <v>3.00146481186031</v>
      </c>
    </row>
    <row r="10" customFormat="false" ht="15" hidden="false" customHeight="false" outlineLevel="0" collapsed="false">
      <c r="A10" s="11" t="s">
        <v>126</v>
      </c>
      <c r="B10" s="31"/>
      <c r="C10" s="31"/>
      <c r="D10" s="31" t="n">
        <f aca="false">-D9*Assumptions!B19</f>
        <v>-3217</v>
      </c>
      <c r="E10" s="12" t="n">
        <f aca="false">D10/Assumptions!$B$6</f>
        <v>-0.300146481186031</v>
      </c>
    </row>
    <row r="11" customFormat="false" ht="15" hidden="false" customHeight="false" outlineLevel="0" collapsed="false">
      <c r="A11" s="9" t="s">
        <v>127</v>
      </c>
      <c r="B11" s="30"/>
      <c r="C11" s="30"/>
      <c r="D11" s="30" t="n">
        <f aca="false">D9+D10</f>
        <v>28953</v>
      </c>
      <c r="E11" s="16" t="n">
        <f aca="false">D11/Assumptions!$B$6</f>
        <v>2.70131833067428</v>
      </c>
    </row>
    <row r="13" customFormat="false" ht="15" hidden="false" customHeight="false" outlineLevel="0" collapsed="false">
      <c r="A13" s="11" t="s">
        <v>128</v>
      </c>
      <c r="B13" s="14"/>
      <c r="C13" s="14"/>
      <c r="D13" s="14"/>
      <c r="E13" s="14" t="n">
        <f aca="false">1-Assumptions!B5/E9</f>
        <v>0.0104831520049734</v>
      </c>
    </row>
    <row r="15" customFormat="false" ht="15" hidden="false" customHeight="false" outlineLevel="0" collapsed="false">
      <c r="A15" s="2" t="s">
        <v>129</v>
      </c>
    </row>
    <row r="16" customFormat="false" ht="15" hidden="false" customHeight="false" outlineLevel="0" collapsed="false">
      <c r="A16" s="2" t="s">
        <v>130</v>
      </c>
    </row>
    <row r="17" customFormat="false" ht="15" hidden="false" customHeight="false" outlineLevel="0" collapsed="false">
      <c r="A17" s="2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8" min="2" style="0" width="12"/>
  </cols>
  <sheetData>
    <row r="1" customFormat="false" ht="16.15" hidden="false" customHeight="false" outlineLevel="0" collapsed="false">
      <c r="A1" s="1" t="s">
        <v>132</v>
      </c>
    </row>
    <row r="2" customFormat="false" ht="15" hidden="false" customHeight="false" outlineLevel="0" collapsed="false">
      <c r="A2" s="2" t="s">
        <v>133</v>
      </c>
    </row>
    <row r="4" customFormat="false" ht="15" hidden="false" customHeight="false" outlineLevel="0" collapsed="false">
      <c r="A4" s="4" t="s">
        <v>134</v>
      </c>
      <c r="B4" s="5" t="s">
        <v>135</v>
      </c>
      <c r="C4" s="5" t="s">
        <v>136</v>
      </c>
      <c r="D4" s="5" t="s">
        <v>137</v>
      </c>
    </row>
    <row r="5" customFormat="false" ht="15" hidden="false" customHeight="false" outlineLevel="0" collapsed="false">
      <c r="A5" s="11" t="s">
        <v>65</v>
      </c>
      <c r="B5" s="32" t="n">
        <v>1300</v>
      </c>
      <c r="C5" s="32" t="n">
        <v>2300</v>
      </c>
      <c r="D5" s="32" t="n">
        <v>700</v>
      </c>
    </row>
    <row r="6" customFormat="false" ht="15" hidden="false" customHeight="false" outlineLevel="0" collapsed="false">
      <c r="A6" s="11" t="s">
        <v>138</v>
      </c>
      <c r="B6" s="32" t="n">
        <v>5800</v>
      </c>
      <c r="C6" s="32" t="n">
        <v>9600</v>
      </c>
      <c r="D6" s="32" t="n">
        <v>2300</v>
      </c>
    </row>
    <row r="7" customFormat="false" ht="15" hidden="false" customHeight="false" outlineLevel="0" collapsed="false">
      <c r="A7" s="11" t="s">
        <v>139</v>
      </c>
      <c r="B7" s="32" t="n">
        <v>0</v>
      </c>
      <c r="C7" s="32" t="n">
        <v>0</v>
      </c>
      <c r="D7" s="32" t="n">
        <v>3600</v>
      </c>
    </row>
    <row r="8" customFormat="false" ht="15" hidden="false" customHeight="false" outlineLevel="0" collapsed="false">
      <c r="A8" s="11" t="s">
        <v>124</v>
      </c>
      <c r="B8" s="32" t="n">
        <v>100</v>
      </c>
      <c r="C8" s="32" t="n">
        <v>900</v>
      </c>
      <c r="D8" s="32" t="n">
        <v>200</v>
      </c>
    </row>
    <row r="9" customFormat="false" ht="15" hidden="false" customHeight="false" outlineLevel="0" collapsed="false">
      <c r="A9" s="9" t="s">
        <v>140</v>
      </c>
      <c r="B9" s="30" t="n">
        <f aca="false">SUM(B5:B8)</f>
        <v>7200</v>
      </c>
      <c r="C9" s="30" t="n">
        <f aca="false">SUM(C5:C8)</f>
        <v>12800</v>
      </c>
      <c r="D9" s="30" t="n">
        <f aca="false">SUM(D5:D8)</f>
        <v>6800</v>
      </c>
    </row>
    <row r="11" customFormat="false" ht="15" hidden="false" customHeight="false" outlineLevel="0" collapsed="false">
      <c r="A11" s="4" t="s">
        <v>141</v>
      </c>
      <c r="B11" s="5" t="s">
        <v>135</v>
      </c>
      <c r="C11" s="5" t="s">
        <v>142</v>
      </c>
      <c r="D11" s="5" t="s">
        <v>137</v>
      </c>
    </row>
    <row r="12" customFormat="false" ht="15" hidden="false" customHeight="false" outlineLevel="0" collapsed="false">
      <c r="A12" s="11" t="s">
        <v>143</v>
      </c>
      <c r="B12" s="33" t="n">
        <v>26.1</v>
      </c>
      <c r="C12" s="33" t="n">
        <v>38.6</v>
      </c>
      <c r="D12" s="33" t="n">
        <v>101.1</v>
      </c>
    </row>
    <row r="13" customFormat="false" ht="15" hidden="false" customHeight="false" outlineLevel="0" collapsed="false">
      <c r="A13" s="11" t="s">
        <v>144</v>
      </c>
      <c r="B13" s="33" t="n">
        <v>0</v>
      </c>
      <c r="C13" s="33" t="n">
        <v>0</v>
      </c>
      <c r="D13" s="33" t="n">
        <v>60.9</v>
      </c>
    </row>
    <row r="14" customFormat="false" ht="15" hidden="false" customHeight="false" outlineLevel="0" collapsed="false">
      <c r="A14" s="11" t="s">
        <v>145</v>
      </c>
      <c r="B14" s="33" t="n">
        <v>22.6</v>
      </c>
      <c r="C14" s="33" t="n">
        <v>39.2</v>
      </c>
      <c r="D14" s="33" t="n">
        <v>49</v>
      </c>
    </row>
    <row r="15" customFormat="false" ht="15" hidden="false" customHeight="false" outlineLevel="0" collapsed="false">
      <c r="A15" s="11" t="s">
        <v>146</v>
      </c>
      <c r="B15" s="34" t="n">
        <v>0.044</v>
      </c>
      <c r="C15" s="34" t="n">
        <v>0.05</v>
      </c>
      <c r="D15" s="34" t="n">
        <v>0.056</v>
      </c>
    </row>
    <row r="16" customFormat="false" ht="15" hidden="false" customHeight="false" outlineLevel="0" collapsed="false">
      <c r="A16" s="11" t="s">
        <v>147</v>
      </c>
      <c r="B16" s="35" t="s">
        <v>148</v>
      </c>
      <c r="C16" s="33" t="n">
        <v>136</v>
      </c>
      <c r="D16" s="35" t="s">
        <v>148</v>
      </c>
    </row>
    <row r="17" customFormat="false" ht="15" hidden="false" customHeight="false" outlineLevel="0" collapsed="false">
      <c r="A17" s="11" t="s">
        <v>149</v>
      </c>
      <c r="B17" s="33" t="n">
        <v>4.4</v>
      </c>
      <c r="C17" s="33" t="n">
        <v>6.2</v>
      </c>
      <c r="D17" s="35" t="s">
        <v>148</v>
      </c>
    </row>
    <row r="18" customFormat="false" ht="15" hidden="false" customHeight="false" outlineLevel="0" collapsed="false">
      <c r="A18" s="11" t="s">
        <v>150</v>
      </c>
      <c r="B18" s="35" t="s">
        <v>148</v>
      </c>
      <c r="C18" s="33" t="n">
        <v>7.3</v>
      </c>
      <c r="D18" s="35" t="s">
        <v>148</v>
      </c>
    </row>
    <row r="19" customFormat="false" ht="15" hidden="false" customHeight="false" outlineLevel="0" collapsed="false">
      <c r="A19" s="11" t="s">
        <v>151</v>
      </c>
      <c r="B19" s="35" t="s">
        <v>148</v>
      </c>
      <c r="C19" s="33" t="n">
        <v>6.4</v>
      </c>
      <c r="D19" s="35" t="s">
        <v>148</v>
      </c>
    </row>
    <row r="21" customFormat="false" ht="15" hidden="false" customHeight="false" outlineLevel="0" collapsed="false">
      <c r="A21" s="2" t="s">
        <v>152</v>
      </c>
    </row>
    <row r="22" customFormat="false" ht="15" hidden="false" customHeight="false" outlineLevel="0" collapsed="false">
      <c r="A22" s="2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3"/>
  </cols>
  <sheetData>
    <row r="1" customFormat="false" ht="16.15" hidden="false" customHeight="false" outlineLevel="0" collapsed="false">
      <c r="A1" s="1" t="s">
        <v>154</v>
      </c>
    </row>
    <row r="2" customFormat="false" ht="15" hidden="false" customHeight="false" outlineLevel="0" collapsed="false">
      <c r="A2" s="2" t="s">
        <v>155</v>
      </c>
    </row>
    <row r="4" customFormat="false" ht="15" hidden="false" customHeight="false" outlineLevel="0" collapsed="false">
      <c r="A4" s="4" t="s">
        <v>36</v>
      </c>
      <c r="B4" s="5" t="s">
        <v>43</v>
      </c>
    </row>
    <row r="5" customFormat="false" ht="15" hidden="false" customHeight="false" outlineLevel="0" collapsed="false">
      <c r="A5" s="11" t="s">
        <v>156</v>
      </c>
      <c r="B5" s="36" t="n">
        <f aca="false">'Income Statement'!E14</f>
        <v>2833.48125</v>
      </c>
    </row>
    <row r="6" customFormat="false" ht="15" hidden="false" customHeight="false" outlineLevel="0" collapsed="false">
      <c r="A6" s="11" t="s">
        <v>157</v>
      </c>
      <c r="B6" s="12" t="n">
        <f aca="false">B5/Assumptions!B6</f>
        <v>0.264364136367453</v>
      </c>
    </row>
    <row r="7" customFormat="false" ht="15" hidden="false" customHeight="false" outlineLevel="0" collapsed="false">
      <c r="A7" s="11" t="s">
        <v>158</v>
      </c>
      <c r="B7" s="37" t="n">
        <f aca="false">Assumptions!B28</f>
        <v>10</v>
      </c>
    </row>
    <row r="8" customFormat="false" ht="15" hidden="false" customHeight="false" outlineLevel="0" collapsed="false">
      <c r="A8" s="9" t="s">
        <v>159</v>
      </c>
      <c r="B8" s="16" t="n">
        <f aca="false">B6*B7</f>
        <v>2.64364136367453</v>
      </c>
    </row>
    <row r="10" customFormat="false" ht="15" hidden="false" customHeight="false" outlineLevel="0" collapsed="false">
      <c r="A10" s="11" t="s">
        <v>160</v>
      </c>
      <c r="B10" s="13" t="n">
        <f aca="false">'Balance Sheet'!D18</f>
        <v>2.16950765527472</v>
      </c>
    </row>
    <row r="11" customFormat="false" ht="15" hidden="false" customHeight="false" outlineLevel="0" collapsed="false">
      <c r="A11" s="11" t="s">
        <v>87</v>
      </c>
      <c r="B11" s="37" t="n">
        <f aca="false">Assumptions!B29</f>
        <v>1.2</v>
      </c>
    </row>
    <row r="12" customFormat="false" ht="15" hidden="false" customHeight="false" outlineLevel="0" collapsed="false">
      <c r="A12" s="11" t="s">
        <v>161</v>
      </c>
      <c r="B12" s="12" t="n">
        <f aca="false">B10*B11</f>
        <v>2.60340918632967</v>
      </c>
    </row>
    <row r="14" customFormat="false" ht="15" hidden="false" customHeight="false" outlineLevel="0" collapsed="false">
      <c r="A14" s="4" t="s">
        <v>107</v>
      </c>
      <c r="B14" s="5" t="s">
        <v>43</v>
      </c>
    </row>
    <row r="15" customFormat="false" ht="15" hidden="false" customHeight="false" outlineLevel="0" collapsed="false">
      <c r="A15" s="11" t="s">
        <v>162</v>
      </c>
      <c r="B15" s="32" t="n">
        <v>23948</v>
      </c>
    </row>
    <row r="16" customFormat="false" ht="15" hidden="false" customHeight="false" outlineLevel="0" collapsed="false">
      <c r="A16" s="11" t="s">
        <v>163</v>
      </c>
      <c r="B16" s="38" t="n">
        <f aca="false">Assumptions!B26</f>
        <v>0.18</v>
      </c>
    </row>
    <row r="17" customFormat="false" ht="15" hidden="false" customHeight="false" outlineLevel="0" collapsed="false">
      <c r="A17" s="11" t="s">
        <v>164</v>
      </c>
      <c r="B17" s="31" t="n">
        <f aca="false">B15*B16</f>
        <v>4310.64</v>
      </c>
    </row>
    <row r="18" customFormat="false" ht="15" hidden="false" customHeight="false" outlineLevel="0" collapsed="false">
      <c r="A18" s="11" t="s">
        <v>165</v>
      </c>
      <c r="B18" s="12" t="n">
        <f aca="false">B17/Assumptions!B6</f>
        <v>0.402183222772693</v>
      </c>
    </row>
    <row r="19" customFormat="false" ht="15" hidden="false" customHeight="false" outlineLevel="0" collapsed="false">
      <c r="A19" s="11" t="s">
        <v>166</v>
      </c>
      <c r="B19" s="37" t="n">
        <f aca="false">Assumptions!B27</f>
        <v>9</v>
      </c>
    </row>
    <row r="20" customFormat="false" ht="15" hidden="false" customHeight="false" outlineLevel="0" collapsed="false">
      <c r="A20" s="9" t="s">
        <v>167</v>
      </c>
      <c r="B20" s="16" t="n">
        <f aca="false">B18*B19</f>
        <v>3.61964900495424</v>
      </c>
    </row>
    <row r="22" customFormat="false" ht="15" hidden="false" customHeight="false" outlineLevel="0" collapsed="false">
      <c r="A22" s="2" t="s">
        <v>168</v>
      </c>
    </row>
    <row r="23" customFormat="false" ht="15" hidden="false" customHeight="false" outlineLevel="0" collapsed="false">
      <c r="A23" s="2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2"/>
  </cols>
  <sheetData>
    <row r="1" customFormat="false" ht="16.15" hidden="false" customHeight="false" outlineLevel="0" collapsed="false">
      <c r="A1" s="1" t="s">
        <v>170</v>
      </c>
    </row>
    <row r="2" customFormat="false" ht="15" hidden="false" customHeight="false" outlineLevel="0" collapsed="false">
      <c r="A2" s="2" t="s">
        <v>171</v>
      </c>
    </row>
    <row r="4" customFormat="false" ht="15" hidden="false" customHeight="false" outlineLevel="0" collapsed="false">
      <c r="A4" s="4" t="s">
        <v>172</v>
      </c>
      <c r="B4" s="5" t="s">
        <v>90</v>
      </c>
      <c r="C4" s="5" t="s">
        <v>91</v>
      </c>
      <c r="D4" s="5" t="s">
        <v>92</v>
      </c>
      <c r="E4" s="5" t="s">
        <v>93</v>
      </c>
      <c r="F4" s="5" t="s">
        <v>94</v>
      </c>
      <c r="G4" s="5" t="s">
        <v>173</v>
      </c>
    </row>
    <row r="5" customFormat="false" ht="15" hidden="false" customHeight="false" outlineLevel="0" collapsed="false">
      <c r="A5" s="11" t="s">
        <v>174</v>
      </c>
      <c r="B5" s="36" t="n">
        <f aca="false">'Income Statement'!E14</f>
        <v>2833.48125</v>
      </c>
      <c r="C5" s="36" t="n">
        <f aca="false">'Income Statement'!F14</f>
        <v>4110.4368</v>
      </c>
      <c r="D5" s="36" t="n">
        <f aca="false">'Income Statement'!G14</f>
        <v>5571.92544</v>
      </c>
      <c r="E5" s="36" t="n">
        <f aca="false">'Income Statement'!H14</f>
        <v>7116.33206784</v>
      </c>
      <c r="F5" s="36" t="n">
        <f aca="false">'Income Statement'!I14</f>
        <v>8806.460933952</v>
      </c>
    </row>
    <row r="6" customFormat="false" ht="15" hidden="false" customHeight="false" outlineLevel="0" collapsed="false">
      <c r="A6" s="11" t="s">
        <v>175</v>
      </c>
      <c r="B6" s="31" t="n">
        <f aca="false">-B5*(1-Assumptions!$B$24)</f>
        <v>-2833.48125</v>
      </c>
      <c r="C6" s="31" t="n">
        <f aca="false">-C5*(1-Assumptions!$B$24)</f>
        <v>-4110.4368</v>
      </c>
      <c r="D6" s="31" t="n">
        <f aca="false">-D5*(1-Assumptions!$C$24)</f>
        <v>-4457.540352</v>
      </c>
      <c r="E6" s="31" t="n">
        <f aca="false">-E5*(1-Assumptions!$C$24)</f>
        <v>-5693.065654272</v>
      </c>
      <c r="F6" s="31" t="n">
        <f aca="false">-F5*(1-Assumptions!$C$24)</f>
        <v>-7045.1687471616</v>
      </c>
    </row>
    <row r="7" customFormat="false" ht="15" hidden="false" customHeight="false" outlineLevel="0" collapsed="false">
      <c r="A7" s="9" t="s">
        <v>176</v>
      </c>
      <c r="B7" s="30" t="n">
        <f aca="false">B5+B6</f>
        <v>0</v>
      </c>
      <c r="C7" s="30" t="n">
        <f aca="false">C5+C6</f>
        <v>0</v>
      </c>
      <c r="D7" s="30" t="n">
        <f aca="false">D5+D6</f>
        <v>1114.385088</v>
      </c>
      <c r="E7" s="30" t="n">
        <f aca="false">E5+E6</f>
        <v>1423.266413568</v>
      </c>
      <c r="F7" s="30" t="n">
        <f aca="false">F5+F6</f>
        <v>1761.2921867904</v>
      </c>
    </row>
    <row r="8" customFormat="false" ht="15" hidden="false" customHeight="false" outlineLevel="0" collapsed="false">
      <c r="A8" s="11" t="s">
        <v>177</v>
      </c>
      <c r="B8" s="31"/>
      <c r="C8" s="31"/>
      <c r="D8" s="31"/>
      <c r="E8" s="31"/>
      <c r="F8" s="31"/>
      <c r="G8" s="31" t="n">
        <f aca="false">F5*Assumptions!B23</f>
        <v>70451.687471616</v>
      </c>
    </row>
    <row r="9" customFormat="false" ht="15" hidden="false" customHeight="false" outlineLevel="0" collapsed="false">
      <c r="A9" s="11" t="s">
        <v>178</v>
      </c>
      <c r="B9" s="39" t="n">
        <f aca="false">1/(1+Assumptions!$B$22)^1</f>
        <v>0.813008130081301</v>
      </c>
      <c r="C9" s="39" t="n">
        <f aca="false">1/(1+Assumptions!$B$22)^2</f>
        <v>0.660982219578293</v>
      </c>
      <c r="D9" s="39" t="n">
        <f aca="false">1/(1+Assumptions!$B$22)^3</f>
        <v>0.537383918356336</v>
      </c>
      <c r="E9" s="39" t="n">
        <f aca="false">1/(1+Assumptions!$B$22)^4</f>
        <v>0.436897494598647</v>
      </c>
      <c r="F9" s="39" t="n">
        <f aca="false">1/(1+Assumptions!$B$22)^5</f>
        <v>0.355201215120851</v>
      </c>
      <c r="G9" s="39" t="n">
        <f aca="false">F9</f>
        <v>0.355201215120851</v>
      </c>
    </row>
    <row r="10" customFormat="false" ht="15" hidden="false" customHeight="false" outlineLevel="0" collapsed="false">
      <c r="A10" s="11" t="s">
        <v>179</v>
      </c>
      <c r="B10" s="31" t="n">
        <f aca="false">B7*B9</f>
        <v>0</v>
      </c>
      <c r="C10" s="31" t="n">
        <f aca="false">C7*C9</f>
        <v>0</v>
      </c>
      <c r="D10" s="31" t="n">
        <f aca="false">D7*D9</f>
        <v>598.852625147311</v>
      </c>
      <c r="E10" s="31" t="n">
        <f aca="false">E7*E9</f>
        <v>621.821530234261</v>
      </c>
      <c r="F10" s="31" t="n">
        <f aca="false">F7*F9</f>
        <v>625.613124930812</v>
      </c>
      <c r="G10" s="31" t="n">
        <f aca="false">G8*G9</f>
        <v>25024.5249972325</v>
      </c>
    </row>
    <row r="11" customFormat="false" ht="15" hidden="false" customHeight="false" outlineLevel="0" collapsed="false">
      <c r="A11" s="9" t="s">
        <v>180</v>
      </c>
      <c r="B11" s="30" t="n">
        <f aca="false">SUM(B10:G10)</f>
        <v>26870.8122775448</v>
      </c>
    </row>
    <row r="12" customFormat="false" ht="15" hidden="false" customHeight="false" outlineLevel="0" collapsed="false">
      <c r="A12" s="9" t="s">
        <v>181</v>
      </c>
      <c r="B12" s="16" t="n">
        <f aca="false">B11/Assumptions!B6</f>
        <v>2.5070499694484</v>
      </c>
    </row>
    <row r="14" customFormat="false" ht="15" hidden="false" customHeight="false" outlineLevel="0" collapsed="false">
      <c r="A14" s="11" t="s">
        <v>182</v>
      </c>
      <c r="B14" s="38" t="n">
        <f aca="false">Assumptions!B22</f>
        <v>0.23</v>
      </c>
    </row>
    <row r="15" customFormat="false" ht="15" hidden="false" customHeight="false" outlineLevel="0" collapsed="false">
      <c r="A15" s="2" t="s">
        <v>183</v>
      </c>
    </row>
    <row r="17" customFormat="false" ht="15" hidden="false" customHeight="false" outlineLevel="0" collapsed="false">
      <c r="A17" s="11" t="s">
        <v>184</v>
      </c>
      <c r="B17" s="31"/>
    </row>
    <row r="18" customFormat="false" ht="15" hidden="false" customHeight="false" outlineLevel="0" collapsed="false">
      <c r="A18" s="11" t="s">
        <v>185</v>
      </c>
      <c r="B18" s="36" t="n">
        <f aca="false">'Balance Sheet'!D14</f>
        <v>23253</v>
      </c>
      <c r="C18" s="36" t="n">
        <f aca="false">'Balance Sheet'!E14</f>
        <v>26086.48125</v>
      </c>
      <c r="D18" s="36" t="n">
        <f aca="false">'Balance Sheet'!F14</f>
        <v>30196.91805</v>
      </c>
      <c r="E18" s="36" t="n">
        <f aca="false">'Balance Sheet'!G14</f>
        <v>34654.458402</v>
      </c>
      <c r="F18" s="36" t="n">
        <f aca="false">'Balance Sheet'!H14</f>
        <v>40347.524056272</v>
      </c>
    </row>
    <row r="19" customFormat="false" ht="15" hidden="false" customHeight="false" outlineLevel="0" collapsed="false">
      <c r="A19" s="11" t="s">
        <v>186</v>
      </c>
      <c r="B19" s="14" t="n">
        <f aca="false">B5/B18</f>
        <v>0.121854438137015</v>
      </c>
      <c r="C19" s="14" t="n">
        <f aca="false">C5/C18</f>
        <v>0.157569614721418</v>
      </c>
      <c r="D19" s="14" t="n">
        <f aca="false">D5/D18</f>
        <v>0.184519672861118</v>
      </c>
      <c r="E19" s="14" t="n">
        <f aca="false">E5/E18</f>
        <v>0.205351126405984</v>
      </c>
      <c r="F19" s="14" t="n">
        <f aca="false">F5/F18</f>
        <v>0.218265213044294</v>
      </c>
    </row>
    <row r="20" customFormat="false" ht="15" hidden="false" customHeight="false" outlineLevel="0" collapsed="false">
      <c r="A20" s="11" t="s">
        <v>187</v>
      </c>
      <c r="B20" s="31" t="n">
        <f aca="false">B5-Assumptions!$B$22*B18</f>
        <v>-2514.70875</v>
      </c>
      <c r="C20" s="31" t="n">
        <f aca="false">C5-Assumptions!$B$22*C18</f>
        <v>-1889.4538875</v>
      </c>
      <c r="D20" s="31" t="n">
        <f aca="false">D5-Assumptions!$B$22*D18</f>
        <v>-1373.3657115</v>
      </c>
      <c r="E20" s="31" t="n">
        <f aca="false">E5-Assumptions!$B$22*E18</f>
        <v>-854.193364620001</v>
      </c>
      <c r="F20" s="31" t="n">
        <f aca="false">F5-Assumptions!$B$22*F18</f>
        <v>-473.469598990563</v>
      </c>
    </row>
    <row r="21" customFormat="false" ht="15" hidden="false" customHeight="false" outlineLevel="0" collapsed="false">
      <c r="A21" s="11" t="s">
        <v>188</v>
      </c>
      <c r="B21" s="31" t="n">
        <f aca="false">B20*B9</f>
        <v>-2044.47865853659</v>
      </c>
      <c r="C21" s="31" t="n">
        <f aca="false">C20*C9</f>
        <v>-1248.89542435059</v>
      </c>
      <c r="D21" s="31" t="n">
        <f aca="false">D20*D9</f>
        <v>-738.024647382108</v>
      </c>
      <c r="E21" s="31" t="n">
        <f aca="false">E20*E9</f>
        <v>-373.194940905267</v>
      </c>
      <c r="F21" s="31" t="n">
        <f aca="false">F20*F9</f>
        <v>-168.17697688423</v>
      </c>
    </row>
    <row r="22" customFormat="false" ht="15" hidden="false" customHeight="false" outlineLevel="0" collapsed="false">
      <c r="A22" s="11" t="s">
        <v>189</v>
      </c>
      <c r="B22" s="31" t="n">
        <f aca="false">B18+SUM(B21:F21)+(G10-F18*F9)</f>
        <v>29373.2647772681</v>
      </c>
    </row>
    <row r="23" customFormat="false" ht="15" hidden="false" customHeight="false" outlineLevel="0" collapsed="false">
      <c r="A23" s="11" t="s">
        <v>190</v>
      </c>
      <c r="B23" s="12" t="n">
        <f aca="false">B22/Assumptions!B6</f>
        <v>2.74052908419105</v>
      </c>
    </row>
    <row r="25" customFormat="false" ht="15" hidden="false" customHeight="false" outlineLevel="0" collapsed="false">
      <c r="A25" s="2" t="s">
        <v>191</v>
      </c>
    </row>
    <row r="26" customFormat="false" ht="15" hidden="false" customHeight="false" outlineLevel="0" collapsed="false">
      <c r="A26" s="2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2"/>
  </cols>
  <sheetData>
    <row r="1" customFormat="false" ht="16.15" hidden="false" customHeight="false" outlineLevel="0" collapsed="false">
      <c r="A1" s="1" t="s">
        <v>193</v>
      </c>
    </row>
    <row r="2" customFormat="false" ht="15" hidden="false" customHeight="false" outlineLevel="0" collapsed="false">
      <c r="A2" s="2" t="s">
        <v>194</v>
      </c>
    </row>
    <row r="4" customFormat="false" ht="15" hidden="false" customHeight="false" outlineLevel="0" collapsed="false">
      <c r="A4" s="4" t="s">
        <v>172</v>
      </c>
      <c r="B4" s="5" t="s">
        <v>195</v>
      </c>
      <c r="C4" s="5" t="s">
        <v>135</v>
      </c>
      <c r="D4" s="5" t="s">
        <v>142</v>
      </c>
      <c r="E4" s="5" t="s">
        <v>90</v>
      </c>
      <c r="F4" s="5" t="s">
        <v>91</v>
      </c>
      <c r="G4" s="5" t="s">
        <v>92</v>
      </c>
      <c r="H4" s="5" t="s">
        <v>93</v>
      </c>
      <c r="I4" s="5" t="s">
        <v>94</v>
      </c>
    </row>
    <row r="5" customFormat="false" ht="15" hidden="false" customHeight="false" outlineLevel="0" collapsed="false">
      <c r="A5" s="9" t="s">
        <v>196</v>
      </c>
      <c r="B5" s="30" t="n">
        <v>1800</v>
      </c>
      <c r="C5" s="30" t="n">
        <v>7200</v>
      </c>
      <c r="D5" s="30" t="n">
        <v>12800</v>
      </c>
      <c r="E5" s="30" t="n">
        <f aca="false">Assumptions!B32</f>
        <v>29000</v>
      </c>
      <c r="F5" s="30" t="n">
        <f aca="false">E5*(1+Assumptions!C32)</f>
        <v>37120</v>
      </c>
      <c r="G5" s="30" t="n">
        <f aca="false">F5*(1+Assumptions!D32)</f>
        <v>45286.4</v>
      </c>
      <c r="H5" s="30" t="n">
        <f aca="false">G5*(1+Assumptions!E32)</f>
        <v>53437.952</v>
      </c>
      <c r="I5" s="30" t="n">
        <f aca="false">H5*(1+Assumptions!F32)</f>
        <v>61453.6448</v>
      </c>
    </row>
    <row r="6" customFormat="false" ht="15" hidden="false" customHeight="false" outlineLevel="0" collapsed="false">
      <c r="A6" s="11" t="s">
        <v>197</v>
      </c>
      <c r="B6" s="31" t="n">
        <v>700</v>
      </c>
      <c r="C6" s="31" t="n">
        <v>2700</v>
      </c>
      <c r="D6" s="31" t="n">
        <v>4400</v>
      </c>
      <c r="E6" s="31" t="n">
        <f aca="false">E5*Assumptions!B33</f>
        <v>5510</v>
      </c>
      <c r="F6" s="31" t="n">
        <f aca="false">F5*Assumptions!C33</f>
        <v>7609.6</v>
      </c>
      <c r="G6" s="31" t="n">
        <f aca="false">G5*Assumptions!D33</f>
        <v>9963.008</v>
      </c>
      <c r="H6" s="31" t="n">
        <f aca="false">H5*Assumptions!E33</f>
        <v>12290.72896</v>
      </c>
      <c r="I6" s="31" t="n">
        <f aca="false">I5*Assumptions!F33</f>
        <v>14748.874752</v>
      </c>
    </row>
    <row r="7" customFormat="false" ht="15" hidden="false" customHeight="false" outlineLevel="0" collapsed="false">
      <c r="A7" s="11" t="s">
        <v>198</v>
      </c>
      <c r="B7" s="31" t="n">
        <v>-250</v>
      </c>
      <c r="C7" s="31" t="n">
        <v>-800</v>
      </c>
      <c r="D7" s="31" t="n">
        <v>-1900</v>
      </c>
      <c r="E7" s="31" t="n">
        <f aca="false">E5*Assumptions!B34</f>
        <v>-1595</v>
      </c>
      <c r="F7" s="31" t="n">
        <f aca="false">F5*Assumptions!C34</f>
        <v>-1930.24</v>
      </c>
      <c r="G7" s="31" t="n">
        <f aca="false">G5*Assumptions!D34</f>
        <v>-2264.32</v>
      </c>
      <c r="H7" s="31" t="n">
        <f aca="false">H5*Assumptions!E34</f>
        <v>-2458.145792</v>
      </c>
      <c r="I7" s="31" t="n">
        <f aca="false">I5*Assumptions!F34</f>
        <v>-2581.0530816</v>
      </c>
    </row>
    <row r="8" customFormat="false" ht="15" hidden="false" customHeight="false" outlineLevel="0" collapsed="false">
      <c r="A8" s="9" t="s">
        <v>199</v>
      </c>
      <c r="B8" s="30" t="n">
        <f aca="false">B6+B7</f>
        <v>450</v>
      </c>
      <c r="C8" s="30" t="n">
        <f aca="false">C6+C7</f>
        <v>1900</v>
      </c>
      <c r="D8" s="30" t="n">
        <f aca="false">D6+D7</f>
        <v>2500</v>
      </c>
      <c r="E8" s="30" t="n">
        <f aca="false">E6+E7</f>
        <v>3915</v>
      </c>
      <c r="F8" s="30" t="n">
        <f aca="false">F6+F7</f>
        <v>5679.36</v>
      </c>
      <c r="G8" s="30" t="n">
        <f aca="false">G6+G7</f>
        <v>7698.688</v>
      </c>
      <c r="H8" s="30" t="n">
        <f aca="false">H6+H7</f>
        <v>9832.583168</v>
      </c>
      <c r="I8" s="30" t="n">
        <f aca="false">I6+I7</f>
        <v>12167.8216704</v>
      </c>
    </row>
    <row r="9" customFormat="false" ht="15" hidden="false" customHeight="false" outlineLevel="0" collapsed="false">
      <c r="A9" s="11" t="s">
        <v>200</v>
      </c>
      <c r="B9" s="31" t="n">
        <v>50</v>
      </c>
      <c r="C9" s="31" t="n">
        <v>700</v>
      </c>
      <c r="D9" s="31" t="n">
        <v>-700</v>
      </c>
      <c r="E9" s="31" t="n">
        <f aca="false">Assumptions!B35</f>
        <v>0</v>
      </c>
      <c r="F9" s="31" t="n">
        <f aca="false">Assumptions!C35</f>
        <v>0</v>
      </c>
      <c r="G9" s="31" t="n">
        <f aca="false">Assumptions!D35</f>
        <v>0</v>
      </c>
      <c r="H9" s="31" t="n">
        <f aca="false">Assumptions!E35</f>
        <v>0</v>
      </c>
      <c r="I9" s="31" t="n">
        <f aca="false">Assumptions!F35</f>
        <v>0</v>
      </c>
    </row>
    <row r="10" customFormat="false" ht="15" hidden="false" customHeight="false" outlineLevel="0" collapsed="false">
      <c r="A10" s="9" t="s">
        <v>201</v>
      </c>
      <c r="B10" s="30" t="n">
        <f aca="false">B8+B9</f>
        <v>500</v>
      </c>
      <c r="C10" s="30" t="n">
        <f aca="false">C8+C9</f>
        <v>2600</v>
      </c>
      <c r="D10" s="30" t="n">
        <f aca="false">D8+D9</f>
        <v>1800</v>
      </c>
      <c r="E10" s="30" t="n">
        <f aca="false">E8+E9</f>
        <v>3915</v>
      </c>
      <c r="F10" s="30" t="n">
        <f aca="false">F8+F9</f>
        <v>5679.36</v>
      </c>
      <c r="G10" s="30" t="n">
        <f aca="false">G8+G9</f>
        <v>7698.688</v>
      </c>
      <c r="H10" s="30" t="n">
        <f aca="false">H8+H9</f>
        <v>9832.583168</v>
      </c>
      <c r="I10" s="30" t="n">
        <f aca="false">I8+I9</f>
        <v>12167.8216704</v>
      </c>
    </row>
    <row r="11" customFormat="false" ht="15" hidden="false" customHeight="false" outlineLevel="0" collapsed="false">
      <c r="A11" s="11" t="s">
        <v>202</v>
      </c>
      <c r="B11" s="31" t="n">
        <v>-110</v>
      </c>
      <c r="C11" s="31" t="n">
        <v>-700</v>
      </c>
      <c r="D11" s="31" t="n">
        <v>-350</v>
      </c>
      <c r="E11" s="31" t="n">
        <f aca="false">-E10*Assumptions!B36</f>
        <v>-978.75</v>
      </c>
      <c r="F11" s="31" t="n">
        <f aca="false">-F10*Assumptions!C36</f>
        <v>-1419.84</v>
      </c>
      <c r="G11" s="31" t="n">
        <f aca="false">-G10*Assumptions!D36</f>
        <v>-1924.672</v>
      </c>
      <c r="H11" s="31" t="n">
        <f aca="false">-H10*Assumptions!E36</f>
        <v>-2458.145792</v>
      </c>
      <c r="I11" s="31" t="n">
        <f aca="false">-I10*Assumptions!F36</f>
        <v>-3041.9554176</v>
      </c>
    </row>
    <row r="12" customFormat="false" ht="15" hidden="false" customHeight="false" outlineLevel="0" collapsed="false">
      <c r="A12" s="11" t="s">
        <v>203</v>
      </c>
      <c r="B12" s="31" t="n">
        <f aca="false">B10+B11</f>
        <v>390</v>
      </c>
      <c r="C12" s="31" t="n">
        <f aca="false">C10+C11</f>
        <v>1900</v>
      </c>
      <c r="D12" s="31" t="n">
        <f aca="false">D10+D11</f>
        <v>1450</v>
      </c>
      <c r="E12" s="31" t="n">
        <f aca="false">E10+E11</f>
        <v>2936.25</v>
      </c>
      <c r="F12" s="31" t="n">
        <f aca="false">F10+F11</f>
        <v>4259.52</v>
      </c>
      <c r="G12" s="31" t="n">
        <f aca="false">G10+G11</f>
        <v>5774.016</v>
      </c>
      <c r="H12" s="31" t="n">
        <f aca="false">H10+H11</f>
        <v>7374.437376</v>
      </c>
      <c r="I12" s="31" t="n">
        <f aca="false">I10+I11</f>
        <v>9125.8662528</v>
      </c>
    </row>
    <row r="13" customFormat="false" ht="15" hidden="false" customHeight="false" outlineLevel="0" collapsed="false">
      <c r="A13" s="11" t="s">
        <v>204</v>
      </c>
      <c r="B13" s="31" t="n">
        <v>-21</v>
      </c>
      <c r="C13" s="31" t="n">
        <v>-198</v>
      </c>
      <c r="D13" s="31" t="n">
        <v>-103</v>
      </c>
      <c r="E13" s="31" t="n">
        <f aca="false">-E12*Assumptions!B37</f>
        <v>-102.76875</v>
      </c>
      <c r="F13" s="31" t="n">
        <f aca="false">-F12*Assumptions!C37</f>
        <v>-149.0832</v>
      </c>
      <c r="G13" s="31" t="n">
        <f aca="false">-G12*Assumptions!D37</f>
        <v>-202.09056</v>
      </c>
      <c r="H13" s="31" t="n">
        <f aca="false">-H12*Assumptions!E37</f>
        <v>-258.10530816</v>
      </c>
      <c r="I13" s="31" t="n">
        <f aca="false">-I12*Assumptions!F37</f>
        <v>-319.405318848</v>
      </c>
    </row>
    <row r="14" customFormat="false" ht="15" hidden="false" customHeight="false" outlineLevel="0" collapsed="false">
      <c r="A14" s="9" t="s">
        <v>205</v>
      </c>
      <c r="B14" s="30" t="n">
        <f aca="false">B12+B13</f>
        <v>369</v>
      </c>
      <c r="C14" s="30" t="n">
        <f aca="false">C12+C13</f>
        <v>1702</v>
      </c>
      <c r="D14" s="30" t="n">
        <f aca="false">D12+D13</f>
        <v>1347</v>
      </c>
      <c r="E14" s="30" t="n">
        <f aca="false">E12+E13</f>
        <v>2833.48125</v>
      </c>
      <c r="F14" s="30" t="n">
        <f aca="false">F12+F13</f>
        <v>4110.4368</v>
      </c>
      <c r="G14" s="30" t="n">
        <f aca="false">G12+G13</f>
        <v>5571.92544</v>
      </c>
      <c r="H14" s="30" t="n">
        <f aca="false">H12+H13</f>
        <v>7116.33206784</v>
      </c>
      <c r="I14" s="30" t="n">
        <f aca="false">I12+I13</f>
        <v>8806.460933952</v>
      </c>
    </row>
    <row r="15" customFormat="false" ht="15" hidden="false" customHeight="false" outlineLevel="0" collapsed="false">
      <c r="A15" s="11" t="s">
        <v>206</v>
      </c>
      <c r="B15" s="12" t="n">
        <v>0.07</v>
      </c>
      <c r="C15" s="12" t="n">
        <v>0.31</v>
      </c>
      <c r="D15" s="12" t="n">
        <v>0.146</v>
      </c>
      <c r="E15" s="12" t="n">
        <f aca="false">E14/Assumptions!$B$6</f>
        <v>0.264364136367453</v>
      </c>
      <c r="F15" s="12" t="n">
        <f aca="false">F14/Assumptions!$B$6</f>
        <v>0.383504240490385</v>
      </c>
      <c r="G15" s="12" t="n">
        <f aca="false">G14/Assumptions!$B$6</f>
        <v>0.519861303775856</v>
      </c>
      <c r="H15" s="12" t="n">
        <f aca="false">H14/Assumptions!$B$6</f>
        <v>0.663954625151846</v>
      </c>
      <c r="I15" s="12" t="n">
        <f aca="false">I14/Assumptions!$B$6</f>
        <v>0.821643848625409</v>
      </c>
    </row>
    <row r="16" customFormat="false" ht="15" hidden="false" customHeight="false" outlineLevel="0" collapsed="false">
      <c r="A16" s="11" t="s">
        <v>207</v>
      </c>
      <c r="B16" s="14" t="s">
        <v>208</v>
      </c>
      <c r="C16" s="14" t="n">
        <f aca="false">C5/B5-1</f>
        <v>3</v>
      </c>
      <c r="D16" s="14" t="n">
        <f aca="false">D5/C5-1</f>
        <v>0.777777777777778</v>
      </c>
      <c r="E16" s="14" t="n">
        <f aca="false">E5/D5-1</f>
        <v>1.265625</v>
      </c>
      <c r="F16" s="14" t="n">
        <f aca="false">F5/E5-1</f>
        <v>0.28</v>
      </c>
      <c r="G16" s="14" t="n">
        <f aca="false">G5/F5-1</f>
        <v>0.22</v>
      </c>
      <c r="H16" s="14" t="n">
        <f aca="false">H5/G5-1</f>
        <v>0.18</v>
      </c>
      <c r="I16" s="14" t="n">
        <f aca="false">I5/H5-1</f>
        <v>0.15</v>
      </c>
    </row>
    <row r="17" customFormat="false" ht="15" hidden="false" customHeight="false" outlineLevel="0" collapsed="false">
      <c r="A17" s="11" t="s">
        <v>209</v>
      </c>
      <c r="B17" s="14" t="n">
        <f aca="false">B14/B5</f>
        <v>0.205</v>
      </c>
      <c r="C17" s="14" t="n">
        <f aca="false">C14/C5</f>
        <v>0.236388888888889</v>
      </c>
      <c r="D17" s="14" t="n">
        <f aca="false">D14/D5</f>
        <v>0.105234375</v>
      </c>
      <c r="E17" s="14" t="n">
        <f aca="false">E14/E5</f>
        <v>0.09770625</v>
      </c>
      <c r="F17" s="14" t="n">
        <f aca="false">F14/F5</f>
        <v>0.11073375</v>
      </c>
      <c r="G17" s="14" t="n">
        <f aca="false">G14/G5</f>
        <v>0.1230375</v>
      </c>
      <c r="H17" s="14" t="n">
        <f aca="false">H14/H5</f>
        <v>0.13317</v>
      </c>
      <c r="I17" s="14" t="n">
        <f aca="false">I14/I5</f>
        <v>0.1433025</v>
      </c>
    </row>
    <row r="19" customFormat="false" ht="15" hidden="false" customHeight="false" outlineLevel="0" collapsed="false">
      <c r="A19" s="2" t="s">
        <v>210</v>
      </c>
    </row>
    <row r="20" customFormat="false" ht="15" hidden="false" customHeight="false" outlineLevel="0" collapsed="false">
      <c r="A20" s="2" t="s">
        <v>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2"/>
  </cols>
  <sheetData>
    <row r="1" customFormat="false" ht="16.15" hidden="false" customHeight="false" outlineLevel="0" collapsed="false">
      <c r="A1" s="1" t="s">
        <v>212</v>
      </c>
    </row>
    <row r="2" customFormat="false" ht="15" hidden="false" customHeight="false" outlineLevel="0" collapsed="false">
      <c r="A2" s="2" t="s">
        <v>213</v>
      </c>
    </row>
    <row r="4" customFormat="false" ht="15" hidden="false" customHeight="false" outlineLevel="0" collapsed="false">
      <c r="A4" s="4" t="s">
        <v>172</v>
      </c>
      <c r="B4" s="5" t="s">
        <v>195</v>
      </c>
      <c r="C4" s="5" t="s">
        <v>135</v>
      </c>
      <c r="D4" s="5" t="s">
        <v>142</v>
      </c>
      <c r="E4" s="5" t="s">
        <v>90</v>
      </c>
      <c r="F4" s="5" t="s">
        <v>91</v>
      </c>
      <c r="G4" s="5" t="s">
        <v>92</v>
      </c>
      <c r="H4" s="5" t="s">
        <v>93</v>
      </c>
      <c r="I4" s="5" t="s">
        <v>94</v>
      </c>
    </row>
    <row r="5" customFormat="false" ht="15" hidden="false" customHeight="false" outlineLevel="0" collapsed="false">
      <c r="A5" s="11" t="s">
        <v>214</v>
      </c>
      <c r="B5" s="31" t="n">
        <v>3343</v>
      </c>
      <c r="C5" s="31" t="n">
        <v>3457</v>
      </c>
      <c r="D5" s="31" t="n">
        <v>8099</v>
      </c>
      <c r="E5" s="31" t="n">
        <f aca="false">E8*Assumptions!B41</f>
        <v>11600</v>
      </c>
      <c r="F5" s="31" t="n">
        <f aca="false">F8*Assumptions!C41</f>
        <v>14152</v>
      </c>
      <c r="G5" s="31" t="n">
        <f aca="false">G8*Assumptions!D41</f>
        <v>16840.88</v>
      </c>
      <c r="H5" s="31" t="n">
        <f aca="false">H8*Assumptions!E41</f>
        <v>19535.4208</v>
      </c>
      <c r="I5" s="31" t="n">
        <f aca="false">I8*Assumptions!F41</f>
        <v>22270.379712</v>
      </c>
    </row>
    <row r="6" customFormat="false" ht="15" hidden="false" customHeight="false" outlineLevel="0" collapsed="false">
      <c r="A6" s="11" t="s">
        <v>215</v>
      </c>
      <c r="B6" s="31" t="n">
        <v>12400</v>
      </c>
      <c r="C6" s="31" t="n">
        <v>26100</v>
      </c>
      <c r="D6" s="31" t="n">
        <v>38600</v>
      </c>
      <c r="E6" s="31" t="n">
        <f aca="false">Assumptions!B39</f>
        <v>105000</v>
      </c>
      <c r="F6" s="31" t="n">
        <f aca="false">E6*(1+Assumptions!C39)</f>
        <v>130200</v>
      </c>
      <c r="G6" s="31" t="n">
        <f aca="false">F6*(1+Assumptions!D39)</f>
        <v>156240</v>
      </c>
      <c r="H6" s="31" t="n">
        <f aca="false">G6*(1+Assumptions!E39)</f>
        <v>182800.8</v>
      </c>
      <c r="I6" s="31" t="n">
        <f aca="false">H6*(1+Assumptions!F39)</f>
        <v>210220.92</v>
      </c>
    </row>
    <row r="7" customFormat="false" ht="15" hidden="false" customHeight="false" outlineLevel="0" collapsed="false">
      <c r="A7" s="11" t="s">
        <v>216</v>
      </c>
      <c r="B7" s="31" t="n">
        <f aca="false">B8-B5-B6</f>
        <v>2542</v>
      </c>
      <c r="C7" s="31" t="n">
        <f aca="false">C8-C5-C6</f>
        <v>4190</v>
      </c>
      <c r="D7" s="31" t="n">
        <f aca="false">D8-D5-D6</f>
        <v>6325</v>
      </c>
      <c r="E7" s="31" t="n">
        <f aca="false">E8-E5-E6</f>
        <v>28400</v>
      </c>
      <c r="F7" s="31" t="n">
        <f aca="false">F8-F5-F6</f>
        <v>32548</v>
      </c>
      <c r="G7" s="31" t="n">
        <f aca="false">G8-G5-G6</f>
        <v>37430.12</v>
      </c>
      <c r="H7" s="31" t="n">
        <f aca="false">H8-H5-H6</f>
        <v>41856.5392</v>
      </c>
      <c r="I7" s="31" t="n">
        <f aca="false">I8-I5-I6</f>
        <v>45888.446688</v>
      </c>
    </row>
    <row r="8" customFormat="false" ht="15" hidden="false" customHeight="false" outlineLevel="0" collapsed="false">
      <c r="A8" s="9" t="s">
        <v>217</v>
      </c>
      <c r="B8" s="30" t="n">
        <v>18285</v>
      </c>
      <c r="C8" s="30" t="n">
        <v>33747</v>
      </c>
      <c r="D8" s="30" t="n">
        <v>53024</v>
      </c>
      <c r="E8" s="30" t="n">
        <f aca="false">Assumptions!B38</f>
        <v>145000</v>
      </c>
      <c r="F8" s="30" t="n">
        <f aca="false">E8*(1+Assumptions!C38)</f>
        <v>176900</v>
      </c>
      <c r="G8" s="30" t="n">
        <f aca="false">F8*(1+Assumptions!D38)</f>
        <v>210511</v>
      </c>
      <c r="H8" s="30" t="n">
        <f aca="false">G8*(1+Assumptions!E38)</f>
        <v>244192.76</v>
      </c>
      <c r="I8" s="30" t="n">
        <f aca="false">H8*(1+Assumptions!F38)</f>
        <v>278379.7464</v>
      </c>
    </row>
    <row r="10" customFormat="false" ht="15" hidden="false" customHeight="false" outlineLevel="0" collapsed="false">
      <c r="A10" s="11" t="s">
        <v>218</v>
      </c>
      <c r="B10" s="31" t="n">
        <v>0</v>
      </c>
      <c r="C10" s="31" t="n">
        <v>0</v>
      </c>
      <c r="D10" s="31" t="n">
        <v>0</v>
      </c>
      <c r="E10" s="31" t="n">
        <f aca="false">Assumptions!B40</f>
        <v>30000</v>
      </c>
      <c r="F10" s="31" t="n">
        <f aca="false">E10*(1+Assumptions!C40)</f>
        <v>36000</v>
      </c>
      <c r="G10" s="31" t="n">
        <f aca="false">F10*(1+Assumptions!D40)</f>
        <v>43200</v>
      </c>
      <c r="H10" s="31" t="n">
        <f aca="false">G10*(1+Assumptions!E40)</f>
        <v>50976</v>
      </c>
      <c r="I10" s="31" t="n">
        <f aca="false">H10*(1+Assumptions!F40)</f>
        <v>59132.16</v>
      </c>
    </row>
    <row r="11" customFormat="false" ht="15" hidden="false" customHeight="false" outlineLevel="0" collapsed="false">
      <c r="A11" s="11" t="s">
        <v>219</v>
      </c>
      <c r="B11" s="31" t="n">
        <v>6058</v>
      </c>
      <c r="C11" s="31" t="n">
        <v>12263</v>
      </c>
      <c r="D11" s="31" t="n">
        <v>15940</v>
      </c>
      <c r="E11" s="31" t="n">
        <f aca="false">E8-E15-E10-E12</f>
        <v>71164.75</v>
      </c>
      <c r="F11" s="31" t="n">
        <f aca="false">F8-F15-F10-F12</f>
        <v>88977.23</v>
      </c>
      <c r="G11" s="31" t="n">
        <f aca="false">G8-G15-G10-G12</f>
        <v>106695.279088</v>
      </c>
      <c r="H11" s="31" t="n">
        <f aca="false">H8-H15-H10-H12</f>
        <v>122608.056925568</v>
      </c>
      <c r="I11" s="31" t="n">
        <f aca="false">I8-I15-I10-I12</f>
        <v>137171.870891558</v>
      </c>
    </row>
    <row r="12" customFormat="false" ht="15" hidden="false" customHeight="false" outlineLevel="0" collapsed="false">
      <c r="A12" s="11" t="s">
        <v>220</v>
      </c>
      <c r="B12" s="31" t="n">
        <v>1755</v>
      </c>
      <c r="C12" s="31" t="n">
        <v>9011</v>
      </c>
      <c r="D12" s="31" t="n">
        <v>13585</v>
      </c>
      <c r="E12" s="31" t="n">
        <f aca="false">E8*Assumptions!B42</f>
        <v>17400</v>
      </c>
      <c r="F12" s="31" t="n">
        <f aca="false">F8*Assumptions!C42</f>
        <v>21228</v>
      </c>
      <c r="G12" s="31" t="n">
        <f aca="false">G8*Assumptions!D42</f>
        <v>25261.32</v>
      </c>
      <c r="H12" s="31" t="n">
        <f aca="false">H8*Assumptions!E42</f>
        <v>29303.1312</v>
      </c>
      <c r="I12" s="31" t="n">
        <f aca="false">I8*Assumptions!F42</f>
        <v>33405.569568</v>
      </c>
    </row>
    <row r="13" customFormat="false" ht="15" hidden="false" customHeight="false" outlineLevel="0" collapsed="false">
      <c r="A13" s="9" t="s">
        <v>221</v>
      </c>
      <c r="B13" s="30" t="n">
        <f aca="false">B10+B11+B12</f>
        <v>7813</v>
      </c>
      <c r="C13" s="30" t="n">
        <f aca="false">C10+C11+C12</f>
        <v>21274</v>
      </c>
      <c r="D13" s="30" t="n">
        <f aca="false">D10+D11+D12</f>
        <v>29525</v>
      </c>
      <c r="E13" s="30" t="n">
        <f aca="false">E10+E11+E12</f>
        <v>118564.75</v>
      </c>
      <c r="F13" s="30" t="n">
        <f aca="false">F10+F11+F12</f>
        <v>146205.23</v>
      </c>
      <c r="G13" s="30" t="n">
        <f aca="false">G10+G11+G12</f>
        <v>175156.599088</v>
      </c>
      <c r="H13" s="30" t="n">
        <f aca="false">H10+H11+H12</f>
        <v>202887.188125568</v>
      </c>
      <c r="I13" s="30" t="n">
        <f aca="false">I10+I11+I12</f>
        <v>229709.600459558</v>
      </c>
    </row>
    <row r="14" customFormat="false" ht="15" hidden="false" customHeight="false" outlineLevel="0" collapsed="false">
      <c r="A14" s="11" t="s">
        <v>222</v>
      </c>
      <c r="B14" s="36" t="n">
        <v>10366</v>
      </c>
      <c r="C14" s="36" t="n">
        <v>12290</v>
      </c>
      <c r="D14" s="36" t="n">
        <v>23253</v>
      </c>
      <c r="E14" s="36" t="n">
        <f aca="false">D14+'Income Statement'!E14</f>
        <v>26086.48125</v>
      </c>
      <c r="F14" s="36" t="n">
        <f aca="false">E14+'Income Statement'!F14</f>
        <v>30196.91805</v>
      </c>
      <c r="G14" s="36" t="n">
        <f aca="false">F14+'Income Statement'!G14*(1-Assumptions!$C$24)</f>
        <v>34654.458402</v>
      </c>
      <c r="H14" s="36" t="n">
        <f aca="false">G14+'Income Statement'!H14*(1-Assumptions!$C$24)</f>
        <v>40347.524056272</v>
      </c>
      <c r="I14" s="36" t="n">
        <f aca="false">H14+'Income Statement'!I14*(1-Assumptions!$C$24)</f>
        <v>47392.6928034336</v>
      </c>
    </row>
    <row r="15" customFormat="false" ht="15" hidden="false" customHeight="false" outlineLevel="0" collapsed="false">
      <c r="A15" s="9" t="s">
        <v>223</v>
      </c>
      <c r="B15" s="30" t="n">
        <f aca="false">B14+B16</f>
        <v>10472</v>
      </c>
      <c r="C15" s="30" t="n">
        <f aca="false">C14+C16</f>
        <v>12473</v>
      </c>
      <c r="D15" s="30" t="n">
        <f aca="false">D14+D16</f>
        <v>23499</v>
      </c>
      <c r="E15" s="30" t="n">
        <f aca="false">E14+E16</f>
        <v>26435.25</v>
      </c>
      <c r="F15" s="30" t="n">
        <f aca="false">F14+F16</f>
        <v>30694.77</v>
      </c>
      <c r="G15" s="30" t="n">
        <f aca="false">G14+G16</f>
        <v>35354.400912</v>
      </c>
      <c r="H15" s="30" t="n">
        <f aca="false">H14+H16</f>
        <v>41305.571874432</v>
      </c>
      <c r="I15" s="30" t="n">
        <f aca="false">I14+I16</f>
        <v>48670.1459404416</v>
      </c>
    </row>
    <row r="16" customFormat="false" ht="15" hidden="false" customHeight="false" outlineLevel="0" collapsed="false">
      <c r="A16" s="11" t="s">
        <v>224</v>
      </c>
      <c r="B16" s="31" t="n">
        <v>106</v>
      </c>
      <c r="C16" s="31" t="n">
        <v>183</v>
      </c>
      <c r="D16" s="31" t="n">
        <v>246</v>
      </c>
      <c r="E16" s="31" t="n">
        <f aca="false">D16-'Income Statement'!E13</f>
        <v>348.76875</v>
      </c>
      <c r="F16" s="31" t="n">
        <f aca="false">E16-'Income Statement'!F13</f>
        <v>497.85195</v>
      </c>
      <c r="G16" s="31" t="n">
        <f aca="false">F16-'Income Statement'!G13</f>
        <v>699.94251</v>
      </c>
      <c r="H16" s="31" t="n">
        <f aca="false">G16-'Income Statement'!H13</f>
        <v>958.04781816</v>
      </c>
      <c r="I16" s="31" t="n">
        <f aca="false">H16-'Income Statement'!I13</f>
        <v>1277.453137008</v>
      </c>
    </row>
    <row r="17" customFormat="false" ht="15" hidden="false" customHeight="false" outlineLevel="0" collapsed="false">
      <c r="A17" s="11" t="s">
        <v>225</v>
      </c>
      <c r="B17" s="31" t="n">
        <f aca="false">B8-B13-B15</f>
        <v>0</v>
      </c>
      <c r="C17" s="31" t="n">
        <f aca="false">C8-C13-C15</f>
        <v>0</v>
      </c>
      <c r="D17" s="31" t="n">
        <f aca="false">D8-D13-D15</f>
        <v>0</v>
      </c>
      <c r="E17" s="31" t="n">
        <f aca="false">E8-E13-E15</f>
        <v>0</v>
      </c>
      <c r="F17" s="31" t="n">
        <f aca="false">F8-F13-F15</f>
        <v>0</v>
      </c>
      <c r="G17" s="31" t="n">
        <f aca="false">G8-G13-G15</f>
        <v>0</v>
      </c>
      <c r="H17" s="31" t="n">
        <f aca="false">H8-H13-H15</f>
        <v>0</v>
      </c>
      <c r="I17" s="31" t="n">
        <f aca="false">I8-I13-I15</f>
        <v>0</v>
      </c>
    </row>
    <row r="18" customFormat="false" ht="15" hidden="false" customHeight="false" outlineLevel="0" collapsed="false">
      <c r="A18" s="11" t="s">
        <v>226</v>
      </c>
      <c r="B18" s="12" t="n">
        <f aca="false">B14/Assumptions!$B$6</f>
        <v>0.967149028279266</v>
      </c>
      <c r="C18" s="12" t="n">
        <f aca="false">C14/Assumptions!$B$6</f>
        <v>1.14665845625624</v>
      </c>
      <c r="D18" s="12" t="n">
        <f aca="false">D14/Assumptions!$B$6</f>
        <v>2.16950765527472</v>
      </c>
      <c r="E18" s="12" t="n">
        <f aca="false">E14/Assumptions!$B$6</f>
        <v>2.43387179164218</v>
      </c>
      <c r="F18" s="12" t="n">
        <f aca="false">F14/Assumptions!$B$6</f>
        <v>2.81737603213256</v>
      </c>
      <c r="G18" s="12" t="n">
        <f aca="false">G14/Assumptions!$B$6</f>
        <v>3.23326507515325</v>
      </c>
      <c r="H18" s="12" t="n">
        <f aca="false">H14/Assumptions!$B$6</f>
        <v>3.76442877527472</v>
      </c>
      <c r="I18" s="12" t="n">
        <f aca="false">I14/Assumptions!$B$6</f>
        <v>4.42174385417505</v>
      </c>
    </row>
    <row r="20" customFormat="false" ht="15" hidden="false" customHeight="false" outlineLevel="0" collapsed="false">
      <c r="A20" s="2" t="s">
        <v>227</v>
      </c>
    </row>
    <row r="21" customFormat="false" ht="15" hidden="false" customHeight="false" outlineLevel="0" collapsed="false">
      <c r="A21" s="2" t="s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2"/>
  </cols>
  <sheetData>
    <row r="1" customFormat="false" ht="16.15" hidden="false" customHeight="false" outlineLevel="0" collapsed="false">
      <c r="A1" s="1" t="s">
        <v>229</v>
      </c>
    </row>
    <row r="2" customFormat="false" ht="15" hidden="false" customHeight="false" outlineLevel="0" collapsed="false">
      <c r="A2" s="2" t="s">
        <v>230</v>
      </c>
    </row>
    <row r="4" customFormat="false" ht="15" hidden="false" customHeight="false" outlineLevel="0" collapsed="false">
      <c r="A4" s="4" t="s">
        <v>172</v>
      </c>
      <c r="B4" s="5" t="s">
        <v>135</v>
      </c>
      <c r="C4" s="5" t="s">
        <v>142</v>
      </c>
      <c r="D4" s="5" t="s">
        <v>90</v>
      </c>
      <c r="E4" s="5" t="s">
        <v>91</v>
      </c>
      <c r="F4" s="5" t="s">
        <v>92</v>
      </c>
      <c r="G4" s="5" t="s">
        <v>93</v>
      </c>
      <c r="H4" s="5" t="s">
        <v>94</v>
      </c>
    </row>
    <row r="5" customFormat="false" ht="15" hidden="false" customHeight="false" outlineLevel="0" collapsed="false">
      <c r="A5" s="11" t="s">
        <v>203</v>
      </c>
      <c r="B5" s="36" t="n">
        <f aca="false">'Income Statement'!C12</f>
        <v>1900</v>
      </c>
      <c r="C5" s="36" t="n">
        <f aca="false">'Income Statement'!D12</f>
        <v>1450</v>
      </c>
      <c r="D5" s="36" t="n">
        <f aca="false">'Income Statement'!E12</f>
        <v>2936.25</v>
      </c>
      <c r="E5" s="36" t="n">
        <f aca="false">'Income Statement'!F12</f>
        <v>4259.52</v>
      </c>
      <c r="F5" s="36" t="n">
        <f aca="false">'Income Statement'!G12</f>
        <v>5774.016</v>
      </c>
      <c r="G5" s="36" t="n">
        <f aca="false">'Income Statement'!H12</f>
        <v>7374.437376</v>
      </c>
      <c r="H5" s="36" t="n">
        <f aca="false">'Income Statement'!I12</f>
        <v>9125.8662528</v>
      </c>
    </row>
    <row r="6" customFormat="false" ht="15" hidden="false" customHeight="false" outlineLevel="0" collapsed="false">
      <c r="A6" s="11" t="s">
        <v>231</v>
      </c>
      <c r="B6" s="36" t="n">
        <f aca="false">-('Balance Sheet'!C6-'Balance Sheet'!B6)</f>
        <v>-13700</v>
      </c>
      <c r="C6" s="36" t="n">
        <f aca="false">-('Balance Sheet'!D6-'Balance Sheet'!C6)</f>
        <v>-12500</v>
      </c>
      <c r="D6" s="36" t="n">
        <f aca="false">-('Balance Sheet'!E6-'Balance Sheet'!D6)</f>
        <v>-66400</v>
      </c>
      <c r="E6" s="36" t="n">
        <f aca="false">-('Balance Sheet'!F6-'Balance Sheet'!E6)</f>
        <v>-25200</v>
      </c>
      <c r="F6" s="36" t="n">
        <f aca="false">-('Balance Sheet'!G6-'Balance Sheet'!F6)</f>
        <v>-26040</v>
      </c>
      <c r="G6" s="36" t="n">
        <f aca="false">-('Balance Sheet'!H6-'Balance Sheet'!G6)</f>
        <v>-26560.8</v>
      </c>
      <c r="H6" s="36" t="n">
        <f aca="false">-('Balance Sheet'!I6-'Balance Sheet'!H6)</f>
        <v>-27420.12</v>
      </c>
    </row>
    <row r="7" customFormat="false" ht="15" hidden="false" customHeight="false" outlineLevel="0" collapsed="false">
      <c r="A7" s="11" t="s">
        <v>232</v>
      </c>
      <c r="B7" s="36" t="n">
        <f aca="false">'Balance Sheet'!C10-'Balance Sheet'!B10</f>
        <v>0</v>
      </c>
      <c r="C7" s="36" t="n">
        <f aca="false">'Balance Sheet'!D10-'Balance Sheet'!C10</f>
        <v>0</v>
      </c>
      <c r="D7" s="36" t="n">
        <f aca="false">'Balance Sheet'!E10-'Balance Sheet'!D10</f>
        <v>30000</v>
      </c>
      <c r="E7" s="36" t="n">
        <f aca="false">'Balance Sheet'!F10-'Balance Sheet'!E10</f>
        <v>6000</v>
      </c>
      <c r="F7" s="36" t="n">
        <f aca="false">'Balance Sheet'!G10-'Balance Sheet'!F10</f>
        <v>7200</v>
      </c>
      <c r="G7" s="36" t="n">
        <f aca="false">'Balance Sheet'!H10-'Balance Sheet'!G10</f>
        <v>7776</v>
      </c>
      <c r="H7" s="36" t="n">
        <f aca="false">'Balance Sheet'!I10-'Balance Sheet'!H10</f>
        <v>8156.16</v>
      </c>
    </row>
    <row r="8" customFormat="false" ht="15" hidden="false" customHeight="false" outlineLevel="0" collapsed="false">
      <c r="A8" s="11" t="s">
        <v>233</v>
      </c>
      <c r="B8" s="36" t="n">
        <f aca="false">'Balance Sheet'!C11-'Balance Sheet'!B11</f>
        <v>6205</v>
      </c>
      <c r="C8" s="36" t="n">
        <f aca="false">'Balance Sheet'!D11-'Balance Sheet'!C11</f>
        <v>3677</v>
      </c>
      <c r="D8" s="36" t="n">
        <f aca="false">'Balance Sheet'!E11-'Balance Sheet'!D11</f>
        <v>55224.75</v>
      </c>
      <c r="E8" s="36" t="n">
        <f aca="false">'Balance Sheet'!F11-'Balance Sheet'!E11</f>
        <v>17812.48</v>
      </c>
      <c r="F8" s="36" t="n">
        <f aca="false">'Balance Sheet'!G11-'Balance Sheet'!F11</f>
        <v>17718.049088</v>
      </c>
      <c r="G8" s="36" t="n">
        <f aca="false">'Balance Sheet'!H11-'Balance Sheet'!G11</f>
        <v>15912.777837568</v>
      </c>
      <c r="H8" s="36" t="n">
        <f aca="false">'Balance Sheet'!I11-'Balance Sheet'!H11</f>
        <v>14563.8139659904</v>
      </c>
    </row>
    <row r="9" customFormat="false" ht="15" hidden="false" customHeight="false" outlineLevel="0" collapsed="false">
      <c r="A9" s="11" t="s">
        <v>234</v>
      </c>
      <c r="B9" s="31" t="n">
        <v>0</v>
      </c>
      <c r="C9" s="31" t="n">
        <v>0</v>
      </c>
      <c r="D9" s="31" t="n">
        <v>10510</v>
      </c>
      <c r="E9" s="31" t="n">
        <v>0</v>
      </c>
      <c r="F9" s="31" t="n">
        <v>0</v>
      </c>
      <c r="G9" s="31" t="n">
        <v>0</v>
      </c>
      <c r="H9" s="31" t="n">
        <v>0</v>
      </c>
    </row>
    <row r="10" customFormat="false" ht="15" hidden="false" customHeight="false" outlineLevel="0" collapsed="false">
      <c r="A10" s="11" t="s">
        <v>235</v>
      </c>
      <c r="B10" s="31" t="n">
        <v>0</v>
      </c>
      <c r="C10" s="31" t="n">
        <v>0</v>
      </c>
      <c r="D10" s="31" t="n">
        <v>0</v>
      </c>
      <c r="E10" s="31" t="n">
        <f aca="false">-'Income Statement'!F14*Assumptions!$C$24</f>
        <v>-822.08736</v>
      </c>
      <c r="F10" s="31" t="n">
        <f aca="false">-'Income Statement'!G14*Assumptions!$C$24</f>
        <v>-1114.385088</v>
      </c>
      <c r="G10" s="31" t="n">
        <f aca="false">-'Income Statement'!H14*Assumptions!$C$24</f>
        <v>-1423.266413568</v>
      </c>
      <c r="H10" s="31" t="n">
        <f aca="false">-'Income Statement'!I14*Assumptions!$C$24</f>
        <v>-1761.2921867904</v>
      </c>
    </row>
    <row r="11" customFormat="false" ht="15" hidden="false" customHeight="false" outlineLevel="0" collapsed="false">
      <c r="A11" s="11" t="s">
        <v>236</v>
      </c>
      <c r="B11" s="31" t="n">
        <f aca="false">B13-SUM(B5:B10)</f>
        <v>5709</v>
      </c>
      <c r="C11" s="31" t="n">
        <f aca="false">C13-SUM(C5:C10)</f>
        <v>12015</v>
      </c>
      <c r="D11" s="31" t="n">
        <f aca="false">D13-SUM(D5:D10)</f>
        <v>-28770</v>
      </c>
      <c r="E11" s="31" t="n">
        <f aca="false">E13-SUM(E5:E10)</f>
        <v>502.08735999999</v>
      </c>
      <c r="F11" s="31" t="n">
        <f aca="false">F13-SUM(F5:F10)</f>
        <v>-848.799999999969</v>
      </c>
      <c r="G11" s="31" t="n">
        <f aca="false">G13-SUM(G5:G10)</f>
        <v>-384.608000000005</v>
      </c>
      <c r="H11" s="31" t="n">
        <f aca="false">H13-SUM(H5:H10)</f>
        <v>70.5308799999903</v>
      </c>
    </row>
    <row r="12" customFormat="false" ht="15" hidden="false" customHeight="false" outlineLevel="0" collapsed="false">
      <c r="A12" s="11" t="s">
        <v>237</v>
      </c>
      <c r="B12" s="36" t="n">
        <f aca="false">'Balance Sheet'!B5</f>
        <v>3343</v>
      </c>
      <c r="C12" s="36" t="n">
        <f aca="false">'Balance Sheet'!C5</f>
        <v>3457</v>
      </c>
      <c r="D12" s="36" t="n">
        <f aca="false">'Balance Sheet'!D5</f>
        <v>8099</v>
      </c>
      <c r="E12" s="36" t="n">
        <f aca="false">'Balance Sheet'!E5</f>
        <v>11600</v>
      </c>
      <c r="F12" s="36" t="n">
        <f aca="false">'Balance Sheet'!F5</f>
        <v>14152</v>
      </c>
      <c r="G12" s="36" t="n">
        <f aca="false">'Balance Sheet'!G5</f>
        <v>16840.88</v>
      </c>
      <c r="H12" s="36" t="n">
        <f aca="false">'Balance Sheet'!H5</f>
        <v>19535.4208</v>
      </c>
    </row>
    <row r="13" customFormat="false" ht="15" hidden="false" customHeight="false" outlineLevel="0" collapsed="false">
      <c r="A13" s="11" t="s">
        <v>238</v>
      </c>
      <c r="B13" s="36" t="n">
        <f aca="false">'Balance Sheet'!C5-'Balance Sheet'!B5</f>
        <v>114</v>
      </c>
      <c r="C13" s="36" t="n">
        <f aca="false">'Balance Sheet'!D5-'Balance Sheet'!C5</f>
        <v>4642</v>
      </c>
      <c r="D13" s="36" t="n">
        <f aca="false">'Balance Sheet'!E5-'Balance Sheet'!D5</f>
        <v>3501</v>
      </c>
      <c r="E13" s="36" t="n">
        <f aca="false">'Balance Sheet'!F5-'Balance Sheet'!E5</f>
        <v>2552</v>
      </c>
      <c r="F13" s="36" t="n">
        <f aca="false">'Balance Sheet'!G5-'Balance Sheet'!F5</f>
        <v>2688.88</v>
      </c>
      <c r="G13" s="36" t="n">
        <f aca="false">'Balance Sheet'!H5-'Balance Sheet'!G5</f>
        <v>2694.5408</v>
      </c>
      <c r="H13" s="36" t="n">
        <f aca="false">'Balance Sheet'!I5-'Balance Sheet'!H5</f>
        <v>2734.958912</v>
      </c>
    </row>
    <row r="14" customFormat="false" ht="15" hidden="false" customHeight="false" outlineLevel="0" collapsed="false">
      <c r="A14" s="9" t="s">
        <v>239</v>
      </c>
      <c r="B14" s="30" t="n">
        <f aca="false">B12+B13</f>
        <v>3457</v>
      </c>
      <c r="C14" s="30" t="n">
        <f aca="false">C12+C13</f>
        <v>8099</v>
      </c>
      <c r="D14" s="30" t="n">
        <f aca="false">D12+D13</f>
        <v>11600</v>
      </c>
      <c r="E14" s="30" t="n">
        <f aca="false">E12+E13</f>
        <v>14152</v>
      </c>
      <c r="F14" s="30" t="n">
        <f aca="false">F12+F13</f>
        <v>16840.88</v>
      </c>
      <c r="G14" s="30" t="n">
        <f aca="false">G12+G13</f>
        <v>19535.4208</v>
      </c>
      <c r="H14" s="30" t="n">
        <f aca="false">H12+H13</f>
        <v>22270.379712</v>
      </c>
    </row>
    <row r="16" customFormat="false" ht="15" hidden="false" customHeight="false" outlineLevel="0" collapsed="false">
      <c r="A16" s="2" t="s">
        <v>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2"/>
  </cols>
  <sheetData>
    <row r="1" customFormat="false" ht="16.15" hidden="false" customHeight="false" outlineLevel="0" collapsed="false">
      <c r="A1" s="1" t="s">
        <v>241</v>
      </c>
    </row>
    <row r="2" customFormat="false" ht="15" hidden="false" customHeight="false" outlineLevel="0" collapsed="false">
      <c r="A2" s="2"/>
    </row>
    <row r="4" customFormat="false" ht="15" hidden="false" customHeight="false" outlineLevel="0" collapsed="false">
      <c r="A4" s="4" t="s">
        <v>172</v>
      </c>
      <c r="B4" s="5" t="s">
        <v>195</v>
      </c>
      <c r="C4" s="5" t="s">
        <v>135</v>
      </c>
      <c r="D4" s="5" t="s">
        <v>142</v>
      </c>
      <c r="E4" s="5" t="s">
        <v>90</v>
      </c>
      <c r="F4" s="5" t="s">
        <v>91</v>
      </c>
      <c r="G4" s="5" t="s">
        <v>92</v>
      </c>
      <c r="H4" s="5" t="s">
        <v>93</v>
      </c>
      <c r="I4" s="5" t="s">
        <v>94</v>
      </c>
    </row>
    <row r="5" customFormat="false" ht="15" hidden="false" customHeight="false" outlineLevel="0" collapsed="false">
      <c r="A5" s="11" t="s">
        <v>196</v>
      </c>
      <c r="B5" s="36" t="n">
        <f aca="false">'Income Statement'!B5</f>
        <v>1800</v>
      </c>
      <c r="C5" s="36" t="n">
        <f aca="false">'Income Statement'!C5</f>
        <v>7200</v>
      </c>
      <c r="D5" s="36" t="n">
        <f aca="false">'Income Statement'!D5</f>
        <v>12800</v>
      </c>
      <c r="E5" s="36" t="n">
        <f aca="false">'Income Statement'!E5</f>
        <v>29000</v>
      </c>
      <c r="F5" s="36" t="n">
        <f aca="false">'Income Statement'!F5</f>
        <v>37120</v>
      </c>
      <c r="G5" s="36" t="n">
        <f aca="false">'Income Statement'!G5</f>
        <v>45286.4</v>
      </c>
      <c r="H5" s="36" t="n">
        <f aca="false">'Income Statement'!H5</f>
        <v>53437.952</v>
      </c>
      <c r="I5" s="36" t="n">
        <f aca="false">'Income Statement'!I5</f>
        <v>61453.6448</v>
      </c>
    </row>
    <row r="6" customFormat="false" ht="15" hidden="false" customHeight="false" outlineLevel="0" collapsed="false">
      <c r="A6" s="11" t="s">
        <v>199</v>
      </c>
      <c r="B6" s="36" t="n">
        <f aca="false">'Income Statement'!B8</f>
        <v>450</v>
      </c>
      <c r="C6" s="36" t="n">
        <f aca="false">'Income Statement'!C8</f>
        <v>1900</v>
      </c>
      <c r="D6" s="36" t="n">
        <f aca="false">'Income Statement'!D8</f>
        <v>2500</v>
      </c>
      <c r="E6" s="36" t="n">
        <f aca="false">'Income Statement'!E8</f>
        <v>3915</v>
      </c>
      <c r="F6" s="36" t="n">
        <f aca="false">'Income Statement'!F8</f>
        <v>5679.36</v>
      </c>
      <c r="G6" s="36" t="n">
        <f aca="false">'Income Statement'!G8</f>
        <v>7698.688</v>
      </c>
      <c r="H6" s="36" t="n">
        <f aca="false">'Income Statement'!H8</f>
        <v>9832.583168</v>
      </c>
      <c r="I6" s="36" t="n">
        <f aca="false">'Income Statement'!I8</f>
        <v>12167.8216704</v>
      </c>
    </row>
    <row r="7" customFormat="false" ht="15" hidden="false" customHeight="false" outlineLevel="0" collapsed="false">
      <c r="A7" s="11" t="s">
        <v>174</v>
      </c>
      <c r="B7" s="36" t="n">
        <f aca="false">'Income Statement'!B14</f>
        <v>369</v>
      </c>
      <c r="C7" s="36" t="n">
        <f aca="false">'Income Statement'!C14</f>
        <v>1702</v>
      </c>
      <c r="D7" s="36" t="n">
        <f aca="false">'Income Statement'!D14</f>
        <v>1347</v>
      </c>
      <c r="E7" s="36" t="n">
        <f aca="false">'Income Statement'!E14</f>
        <v>2833.48125</v>
      </c>
      <c r="F7" s="36" t="n">
        <f aca="false">'Income Statement'!F14</f>
        <v>4110.4368</v>
      </c>
      <c r="G7" s="36" t="n">
        <f aca="false">'Income Statement'!G14</f>
        <v>5571.92544</v>
      </c>
      <c r="H7" s="36" t="n">
        <f aca="false">'Income Statement'!H14</f>
        <v>7116.33206784</v>
      </c>
      <c r="I7" s="36" t="n">
        <f aca="false">'Income Statement'!I14</f>
        <v>8806.460933952</v>
      </c>
    </row>
    <row r="8" customFormat="false" ht="15" hidden="false" customHeight="false" outlineLevel="0" collapsed="false">
      <c r="A8" s="11" t="s">
        <v>206</v>
      </c>
      <c r="B8" s="13" t="n">
        <f aca="false">'Income Statement'!B15</f>
        <v>0.07</v>
      </c>
      <c r="C8" s="13" t="n">
        <f aca="false">'Income Statement'!C15</f>
        <v>0.31</v>
      </c>
      <c r="D8" s="13" t="n">
        <f aca="false">'Income Statement'!D15</f>
        <v>0.146</v>
      </c>
      <c r="E8" s="13" t="n">
        <f aca="false">'Income Statement'!E15</f>
        <v>0.264364136367453</v>
      </c>
      <c r="F8" s="13" t="n">
        <f aca="false">'Income Statement'!F15</f>
        <v>0.383504240490385</v>
      </c>
      <c r="G8" s="13" t="n">
        <f aca="false">'Income Statement'!G15</f>
        <v>0.519861303775856</v>
      </c>
      <c r="H8" s="13" t="n">
        <f aca="false">'Income Statement'!H15</f>
        <v>0.663954625151846</v>
      </c>
      <c r="I8" s="13" t="n">
        <f aca="false">'Income Statement'!I15</f>
        <v>0.821643848625409</v>
      </c>
    </row>
    <row r="9" customFormat="false" ht="15" hidden="false" customHeight="false" outlineLevel="0" collapsed="false">
      <c r="A9" s="11" t="s">
        <v>217</v>
      </c>
      <c r="B9" s="36" t="n">
        <f aca="false">'Balance Sheet'!B8</f>
        <v>18285</v>
      </c>
      <c r="C9" s="36" t="n">
        <f aca="false">'Balance Sheet'!C8</f>
        <v>33747</v>
      </c>
      <c r="D9" s="36" t="n">
        <f aca="false">'Balance Sheet'!D8</f>
        <v>53024</v>
      </c>
      <c r="E9" s="36" t="n">
        <f aca="false">'Balance Sheet'!E8</f>
        <v>145000</v>
      </c>
      <c r="F9" s="36" t="n">
        <f aca="false">'Balance Sheet'!F8</f>
        <v>176900</v>
      </c>
      <c r="G9" s="36" t="n">
        <f aca="false">'Balance Sheet'!G8</f>
        <v>210511</v>
      </c>
      <c r="H9" s="36" t="n">
        <f aca="false">'Balance Sheet'!H8</f>
        <v>244192.76</v>
      </c>
      <c r="I9" s="36" t="n">
        <f aca="false">'Balance Sheet'!I8</f>
        <v>278379.7464</v>
      </c>
    </row>
    <row r="10" customFormat="false" ht="15" hidden="false" customHeight="false" outlineLevel="0" collapsed="false">
      <c r="A10" s="11" t="s">
        <v>242</v>
      </c>
      <c r="B10" s="36" t="n">
        <f aca="false">'Balance Sheet'!B6</f>
        <v>12400</v>
      </c>
      <c r="C10" s="36" t="n">
        <f aca="false">'Balance Sheet'!C6</f>
        <v>26100</v>
      </c>
      <c r="D10" s="36" t="n">
        <f aca="false">'Balance Sheet'!D6</f>
        <v>38600</v>
      </c>
      <c r="E10" s="36" t="n">
        <f aca="false">'Balance Sheet'!E6</f>
        <v>105000</v>
      </c>
      <c r="F10" s="36" t="n">
        <f aca="false">'Balance Sheet'!F6</f>
        <v>130200</v>
      </c>
      <c r="G10" s="36" t="n">
        <f aca="false">'Balance Sheet'!G6</f>
        <v>156240</v>
      </c>
      <c r="H10" s="36" t="n">
        <f aca="false">'Balance Sheet'!H6</f>
        <v>182800.8</v>
      </c>
      <c r="I10" s="36" t="n">
        <f aca="false">'Balance Sheet'!I6</f>
        <v>210220.92</v>
      </c>
    </row>
    <row r="11" customFormat="false" ht="15" hidden="false" customHeight="false" outlineLevel="0" collapsed="false">
      <c r="A11" s="11" t="s">
        <v>243</v>
      </c>
      <c r="B11" s="36" t="n">
        <f aca="false">'Balance Sheet'!B11</f>
        <v>6058</v>
      </c>
      <c r="C11" s="36" t="n">
        <f aca="false">'Balance Sheet'!C11</f>
        <v>12263</v>
      </c>
      <c r="D11" s="36" t="n">
        <f aca="false">'Balance Sheet'!D11</f>
        <v>15940</v>
      </c>
      <c r="E11" s="36" t="n">
        <f aca="false">'Balance Sheet'!E11</f>
        <v>71164.75</v>
      </c>
      <c r="F11" s="36" t="n">
        <f aca="false">'Balance Sheet'!F11</f>
        <v>88977.23</v>
      </c>
      <c r="G11" s="36" t="n">
        <f aca="false">'Balance Sheet'!G11</f>
        <v>106695.279088</v>
      </c>
      <c r="H11" s="36" t="n">
        <f aca="false">'Balance Sheet'!H11</f>
        <v>122608.056925568</v>
      </c>
      <c r="I11" s="36" t="n">
        <f aca="false">'Balance Sheet'!I11</f>
        <v>137171.870891558</v>
      </c>
    </row>
    <row r="12" customFormat="false" ht="15" hidden="false" customHeight="false" outlineLevel="0" collapsed="false">
      <c r="A12" s="11" t="s">
        <v>222</v>
      </c>
      <c r="B12" s="36" t="n">
        <f aca="false">'Balance Sheet'!B14</f>
        <v>10366</v>
      </c>
      <c r="C12" s="36" t="n">
        <f aca="false">'Balance Sheet'!C14</f>
        <v>12290</v>
      </c>
      <c r="D12" s="36" t="n">
        <f aca="false">'Balance Sheet'!D14</f>
        <v>23253</v>
      </c>
      <c r="E12" s="36" t="n">
        <f aca="false">'Balance Sheet'!E14</f>
        <v>26086.48125</v>
      </c>
      <c r="F12" s="36" t="n">
        <f aca="false">'Balance Sheet'!F14</f>
        <v>30196.91805</v>
      </c>
      <c r="G12" s="36" t="n">
        <f aca="false">'Balance Sheet'!G14</f>
        <v>34654.458402</v>
      </c>
      <c r="H12" s="36" t="n">
        <f aca="false">'Balance Sheet'!H14</f>
        <v>40347.524056272</v>
      </c>
      <c r="I12" s="36" t="n">
        <f aca="false">'Balance Sheet'!I14</f>
        <v>47392.6928034336</v>
      </c>
    </row>
    <row r="13" customFormat="false" ht="15" hidden="false" customHeight="false" outlineLevel="0" collapsed="false">
      <c r="A13" s="11" t="s">
        <v>226</v>
      </c>
      <c r="B13" s="13" t="n">
        <f aca="false">'Balance Sheet'!B18</f>
        <v>0.967149028279266</v>
      </c>
      <c r="C13" s="13" t="n">
        <f aca="false">'Balance Sheet'!C18</f>
        <v>1.14665845625624</v>
      </c>
      <c r="D13" s="13" t="n">
        <f aca="false">'Balance Sheet'!D18</f>
        <v>2.16950765527472</v>
      </c>
      <c r="E13" s="13" t="n">
        <f aca="false">'Balance Sheet'!E18</f>
        <v>2.43387179164218</v>
      </c>
      <c r="F13" s="13" t="n">
        <f aca="false">'Balance Sheet'!F18</f>
        <v>2.81737603213256</v>
      </c>
      <c r="G13" s="13" t="n">
        <f aca="false">'Balance Sheet'!G18</f>
        <v>3.23326507515325</v>
      </c>
      <c r="H13" s="13" t="n">
        <f aca="false">'Balance Sheet'!H18</f>
        <v>3.76442877527472</v>
      </c>
      <c r="I13" s="13" t="n">
        <f aca="false">'Balance Sheet'!I18</f>
        <v>4.42174385417505</v>
      </c>
    </row>
    <row r="14" customFormat="false" ht="15" hidden="false" customHeight="false" outlineLevel="0" collapsed="false">
      <c r="A14" s="11" t="s">
        <v>244</v>
      </c>
      <c r="B14" s="14" t="s">
        <v>208</v>
      </c>
      <c r="C14" s="14" t="n">
        <f aca="false">'Income Statement'!C14/(('Balance Sheet'!B14+'Balance Sheet'!C14)/2)</f>
        <v>0.150247175141243</v>
      </c>
      <c r="D14" s="14" t="n">
        <f aca="false">'Income Statement'!D14/(('Balance Sheet'!C14+'Balance Sheet'!D14)/2)</f>
        <v>0.0757955152913373</v>
      </c>
      <c r="E14" s="14" t="n">
        <f aca="false">'Income Statement'!E14/(('Balance Sheet'!D14+'Balance Sheet'!E14)/2)</f>
        <v>0.114856548071226</v>
      </c>
      <c r="F14" s="14" t="n">
        <f aca="false">'Income Statement'!F14/(('Balance Sheet'!E14+'Balance Sheet'!F14)/2)</f>
        <v>0.146062137366319</v>
      </c>
      <c r="G14" s="14" t="n">
        <f aca="false">'Income Statement'!G14/(('Balance Sheet'!F14+'Balance Sheet'!G14)/2)</f>
        <v>0.171836767231119</v>
      </c>
      <c r="H14" s="14" t="n">
        <f aca="false">'Income Statement'!H14/(('Balance Sheet'!G14+'Balance Sheet'!H14)/2)</f>
        <v>0.189763839157164</v>
      </c>
      <c r="I14" s="14" t="n">
        <f aca="false">'Income Statement'!I14/(('Balance Sheet'!H14+'Balance Sheet'!I14)/2)</f>
        <v>0.200739438518446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9" min="2" style="0" width="12"/>
  </cols>
  <sheetData>
    <row r="1" customFormat="false" ht="16.15" hidden="false" customHeight="false" outlineLevel="0" collapsed="false">
      <c r="A1" s="1" t="s">
        <v>245</v>
      </c>
    </row>
    <row r="2" customFormat="false" ht="15" hidden="false" customHeight="false" outlineLevel="0" collapsed="false">
      <c r="A2" s="2" t="s">
        <v>246</v>
      </c>
    </row>
    <row r="4" customFormat="false" ht="15" hidden="false" customHeight="false" outlineLevel="0" collapsed="false">
      <c r="A4" s="4" t="s">
        <v>247</v>
      </c>
      <c r="B4" s="5" t="s">
        <v>43</v>
      </c>
    </row>
    <row r="5" customFormat="false" ht="15" hidden="false" customHeight="false" outlineLevel="0" collapsed="false">
      <c r="A5" s="11" t="s">
        <v>248</v>
      </c>
      <c r="B5" s="12" t="n">
        <v>2.97</v>
      </c>
    </row>
    <row r="6" customFormat="false" ht="15" hidden="false" customHeight="false" outlineLevel="0" collapsed="false">
      <c r="A6" s="11" t="s">
        <v>249</v>
      </c>
      <c r="B6" s="40" t="n">
        <v>0.0244</v>
      </c>
    </row>
    <row r="7" customFormat="false" ht="15" hidden="false" customHeight="false" outlineLevel="0" collapsed="false">
      <c r="A7" s="11" t="s">
        <v>250</v>
      </c>
      <c r="B7" s="14" t="n">
        <v>0.388</v>
      </c>
    </row>
    <row r="8" customFormat="false" ht="15" hidden="false" customHeight="false" outlineLevel="0" collapsed="false">
      <c r="A8" s="11" t="s">
        <v>251</v>
      </c>
      <c r="B8" s="14" t="n">
        <v>0.189</v>
      </c>
    </row>
    <row r="9" customFormat="false" ht="15" hidden="false" customHeight="false" outlineLevel="0" collapsed="false">
      <c r="A9" s="11" t="s">
        <v>252</v>
      </c>
      <c r="B9" s="14" t="n">
        <v>0.345</v>
      </c>
    </row>
    <row r="10" customFormat="false" ht="15" hidden="false" customHeight="false" outlineLevel="0" collapsed="false">
      <c r="A10" s="11" t="s">
        <v>253</v>
      </c>
      <c r="B10" s="14" t="n">
        <v>0.02</v>
      </c>
    </row>
    <row r="11" customFormat="false" ht="15" hidden="false" customHeight="false" outlineLevel="0" collapsed="false">
      <c r="A11" s="11" t="s">
        <v>254</v>
      </c>
      <c r="B11" s="14" t="n">
        <v>-0.0255</v>
      </c>
    </row>
    <row r="12" customFormat="false" ht="15" hidden="false" customHeight="false" outlineLevel="0" collapsed="false">
      <c r="A12" s="11" t="s">
        <v>255</v>
      </c>
      <c r="B12" s="14" t="n">
        <v>0.452</v>
      </c>
    </row>
    <row r="13" customFormat="false" ht="15" hidden="false" customHeight="false" outlineLevel="0" collapsed="false">
      <c r="A13" s="11" t="s">
        <v>256</v>
      </c>
      <c r="B13" s="31" t="n">
        <v>50000</v>
      </c>
    </row>
    <row r="15" customFormat="false" ht="15" hidden="false" customHeight="false" outlineLevel="0" collapsed="false">
      <c r="A15" s="4" t="s">
        <v>257</v>
      </c>
      <c r="B15" s="5" t="s">
        <v>258</v>
      </c>
      <c r="C15" s="5" t="s">
        <v>259</v>
      </c>
      <c r="D15" s="5" t="s">
        <v>260</v>
      </c>
      <c r="E15" s="5" t="s">
        <v>261</v>
      </c>
      <c r="F15" s="5" t="s">
        <v>262</v>
      </c>
    </row>
    <row r="16" customFormat="false" ht="15" hidden="false" customHeight="false" outlineLevel="0" collapsed="false">
      <c r="A16" s="11" t="s">
        <v>263</v>
      </c>
      <c r="B16" s="12" t="n">
        <v>2.39</v>
      </c>
      <c r="C16" s="12" t="n">
        <v>2.74</v>
      </c>
      <c r="D16" s="12" t="n">
        <v>2.95</v>
      </c>
      <c r="E16" s="12" t="n">
        <v>3.17</v>
      </c>
      <c r="F16" s="12" t="n">
        <v>3.58</v>
      </c>
    </row>
    <row r="17" customFormat="false" ht="15" hidden="false" customHeight="false" outlineLevel="0" collapsed="false">
      <c r="A17" s="11" t="s">
        <v>264</v>
      </c>
      <c r="B17" s="12" t="n">
        <v>2.04</v>
      </c>
      <c r="C17" s="12" t="n">
        <v>2.53</v>
      </c>
      <c r="D17" s="12" t="n">
        <v>2.89</v>
      </c>
      <c r="E17" s="12" t="n">
        <v>3.29</v>
      </c>
      <c r="F17" s="12" t="n">
        <v>4.04</v>
      </c>
    </row>
    <row r="19" customFormat="false" ht="15" hidden="false" customHeight="false" outlineLevel="0" collapsed="false">
      <c r="A19" s="4" t="s">
        <v>265</v>
      </c>
      <c r="B19" s="5" t="s">
        <v>266</v>
      </c>
      <c r="C19" s="5" t="s">
        <v>267</v>
      </c>
      <c r="D19" s="5" t="s">
        <v>62</v>
      </c>
    </row>
    <row r="20" customFormat="false" ht="15" hidden="false" customHeight="false" outlineLevel="0" collapsed="false">
      <c r="A20" s="3" t="s">
        <v>268</v>
      </c>
      <c r="B20" s="41" t="n">
        <v>0.03</v>
      </c>
      <c r="C20" s="41" t="n">
        <v>0.16</v>
      </c>
      <c r="D20" s="2" t="s">
        <v>269</v>
      </c>
    </row>
    <row r="21" customFormat="false" ht="15" hidden="false" customHeight="false" outlineLevel="0" collapsed="false">
      <c r="A21" s="3" t="s">
        <v>270</v>
      </c>
      <c r="B21" s="41" t="n">
        <v>0.11</v>
      </c>
      <c r="C21" s="41" t="n">
        <v>0.31</v>
      </c>
      <c r="D21" s="2" t="s">
        <v>271</v>
      </c>
    </row>
    <row r="22" customFormat="false" ht="15" hidden="false" customHeight="false" outlineLevel="0" collapsed="false">
      <c r="A22" s="3" t="s">
        <v>272</v>
      </c>
      <c r="B22" s="41" t="n">
        <v>0.26</v>
      </c>
      <c r="C22" s="41" t="n">
        <v>0.48</v>
      </c>
      <c r="D22" s="2" t="s">
        <v>273</v>
      </c>
    </row>
    <row r="23" customFormat="false" ht="15" hidden="false" customHeight="false" outlineLevel="0" collapsed="false">
      <c r="A23" s="3" t="s">
        <v>274</v>
      </c>
      <c r="B23" s="41" t="n">
        <v>0.57</v>
      </c>
      <c r="C23" s="41" t="n">
        <v>0.73</v>
      </c>
      <c r="D23" s="2" t="s">
        <v>275</v>
      </c>
    </row>
    <row r="24" customFormat="false" ht="15" hidden="false" customHeight="false" outlineLevel="0" collapsed="false">
      <c r="A24" s="3" t="s">
        <v>276</v>
      </c>
      <c r="B24" s="41" t="n">
        <v>0.51</v>
      </c>
      <c r="C24" s="41" t="n">
        <v>0.73</v>
      </c>
      <c r="D24" s="2" t="s">
        <v>277</v>
      </c>
    </row>
    <row r="25" customFormat="false" ht="15" hidden="false" customHeight="false" outlineLevel="0" collapsed="false">
      <c r="A25" s="3" t="s">
        <v>278</v>
      </c>
      <c r="B25" s="41" t="n">
        <v>0.22</v>
      </c>
      <c r="C25" s="41" t="n">
        <v>0.49</v>
      </c>
      <c r="D25" s="2" t="s">
        <v>279</v>
      </c>
    </row>
    <row r="26" customFormat="false" ht="15" hidden="false" customHeight="false" outlineLevel="0" collapsed="false">
      <c r="A26" s="3" t="s">
        <v>280</v>
      </c>
      <c r="B26" s="41" t="n">
        <v>0.08</v>
      </c>
      <c r="C26" s="41" t="n">
        <v>0.29</v>
      </c>
      <c r="D26" s="2" t="s">
        <v>281</v>
      </c>
    </row>
    <row r="27" customFormat="false" ht="15" hidden="false" customHeight="false" outlineLevel="0" collapsed="false">
      <c r="A27" s="3" t="s">
        <v>282</v>
      </c>
      <c r="B27" s="41" t="n">
        <v>0.01</v>
      </c>
      <c r="C27" s="41" t="n">
        <v>0.11</v>
      </c>
      <c r="D27" s="2" t="s">
        <v>283</v>
      </c>
    </row>
    <row r="29" customFormat="false" ht="15" hidden="false" customHeight="false" outlineLevel="0" collapsed="false">
      <c r="A29" s="4" t="s">
        <v>284</v>
      </c>
      <c r="B29" s="5" t="s">
        <v>285</v>
      </c>
      <c r="C29" s="5" t="s">
        <v>286</v>
      </c>
    </row>
    <row r="30" customFormat="false" ht="15" hidden="false" customHeight="false" outlineLevel="0" collapsed="false">
      <c r="A30" s="3" t="s">
        <v>287</v>
      </c>
      <c r="B30" s="3" t="s">
        <v>288</v>
      </c>
      <c r="C30" s="42" t="n">
        <v>0.17</v>
      </c>
    </row>
    <row r="31" customFormat="false" ht="15" hidden="false" customHeight="false" outlineLevel="0" collapsed="false">
      <c r="A31" s="3" t="s">
        <v>289</v>
      </c>
      <c r="B31" s="3" t="s">
        <v>290</v>
      </c>
      <c r="C31" s="42" t="n">
        <v>0.26</v>
      </c>
    </row>
    <row r="32" customFormat="false" ht="15" hidden="false" customHeight="false" outlineLevel="0" collapsed="false">
      <c r="A32" s="3" t="s">
        <v>291</v>
      </c>
      <c r="B32" s="3" t="s">
        <v>292</v>
      </c>
      <c r="C32" s="42" t="n">
        <v>0.27</v>
      </c>
    </row>
    <row r="33" customFormat="false" ht="15" hidden="false" customHeight="false" outlineLevel="0" collapsed="false">
      <c r="A33" s="3" t="s">
        <v>273</v>
      </c>
      <c r="B33" s="3" t="s">
        <v>293</v>
      </c>
      <c r="C33" s="42" t="n">
        <v>0.16</v>
      </c>
    </row>
    <row r="34" customFormat="false" ht="15" hidden="false" customHeight="false" outlineLevel="0" collapsed="false">
      <c r="A34" s="3" t="s">
        <v>294</v>
      </c>
      <c r="B34" s="3" t="s">
        <v>295</v>
      </c>
      <c r="C34" s="42" t="n">
        <v>0.13</v>
      </c>
    </row>
    <row r="36" customFormat="false" ht="15" hidden="false" customHeight="false" outlineLevel="0" collapsed="false">
      <c r="A36" s="2" t="s">
        <v>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1"/>
  </cols>
  <sheetData>
    <row r="1" customFormat="false" ht="16.15" hidden="false" customHeight="false" outlineLevel="0" collapsed="false">
      <c r="A1" s="1" t="s">
        <v>297</v>
      </c>
    </row>
    <row r="2" customFormat="false" ht="15" hidden="false" customHeight="false" outlineLevel="0" collapsed="false">
      <c r="A2" s="2" t="s">
        <v>298</v>
      </c>
    </row>
    <row r="4" customFormat="false" ht="15" hidden="false" customHeight="false" outlineLevel="0" collapsed="false">
      <c r="A4" s="43" t="s">
        <v>299</v>
      </c>
    </row>
    <row r="5" customFormat="false" ht="15" hidden="false" customHeight="false" outlineLevel="0" collapsed="false">
      <c r="A5" s="4" t="s">
        <v>300</v>
      </c>
      <c r="B5" s="5" t="s">
        <v>301</v>
      </c>
      <c r="C5" s="5" t="s">
        <v>302</v>
      </c>
      <c r="D5" s="5" t="s">
        <v>303</v>
      </c>
      <c r="E5" s="5" t="s">
        <v>304</v>
      </c>
      <c r="F5" s="5" t="s">
        <v>305</v>
      </c>
    </row>
    <row r="6" customFormat="false" ht="15" hidden="false" customHeight="false" outlineLevel="0" collapsed="false">
      <c r="A6" s="3" t="s">
        <v>306</v>
      </c>
      <c r="B6" s="44" t="n">
        <f aca="false">MAX((0.12-Assumptions!$B$25)/(0.26-Assumptions!$B$25),0.35)*'Balance Sheet'!$D$18</f>
        <v>0.759327679346153</v>
      </c>
      <c r="C6" s="44" t="n">
        <f aca="false">MAX((0.15-Assumptions!$B$25)/(0.26-Assumptions!$B$25),0.35)*'Balance Sheet'!$D$18</f>
        <v>0.759327679346153</v>
      </c>
      <c r="D6" s="44" t="n">
        <f aca="false">MAX((0.18-Assumptions!$B$25)/(0.26-Assumptions!$B$25),0.35)*'Balance Sheet'!$D$18</f>
        <v>0.759327679346153</v>
      </c>
      <c r="E6" s="44" t="n">
        <f aca="false">MAX((0.21-Assumptions!$B$25)/(0.26-Assumptions!$B$25),0.35)*'Balance Sheet'!$D$18</f>
        <v>1.18336781196803</v>
      </c>
      <c r="F6" s="44" t="n">
        <f aca="false">MAX((0.24-Assumptions!$B$25)/(0.26-Assumptions!$B$25),0.35)*'Balance Sheet'!$D$18</f>
        <v>1.77505171795205</v>
      </c>
    </row>
    <row r="7" customFormat="false" ht="15" hidden="false" customHeight="false" outlineLevel="0" collapsed="false">
      <c r="A7" s="3" t="s">
        <v>305</v>
      </c>
      <c r="B7" s="44" t="n">
        <f aca="false">MAX((0.12-Assumptions!$B$25)/(0.24-Assumptions!$B$25),0.35)*'Balance Sheet'!$D$18</f>
        <v>0.759327679346153</v>
      </c>
      <c r="C7" s="44" t="n">
        <f aca="false">MAX((0.15-Assumptions!$B$25)/(0.24-Assumptions!$B$25),0.35)*'Balance Sheet'!$D$18</f>
        <v>0.759327679346153</v>
      </c>
      <c r="D7" s="44" t="n">
        <f aca="false">MAX((0.18-Assumptions!$B$25)/(0.24-Assumptions!$B$25),0.35)*'Balance Sheet'!$D$18</f>
        <v>0.759327679346153</v>
      </c>
      <c r="E7" s="44" t="n">
        <f aca="false">MAX((0.21-Assumptions!$B$25)/(0.24-Assumptions!$B$25),0.35)*'Balance Sheet'!$D$18</f>
        <v>1.44633843684982</v>
      </c>
      <c r="F7" s="44" t="n">
        <f aca="false">MAX((0.24-Assumptions!$B$25)/(0.24-Assumptions!$B$25),0.35)*'Balance Sheet'!$D$18</f>
        <v>2.16950765527472</v>
      </c>
    </row>
    <row r="8" customFormat="false" ht="15" hidden="false" customHeight="false" outlineLevel="0" collapsed="false">
      <c r="A8" s="3" t="s">
        <v>307</v>
      </c>
      <c r="B8" s="44" t="n">
        <f aca="false">MAX((0.12-Assumptions!$B$25)/(0.22-Assumptions!$B$25),0.35)*'Balance Sheet'!$D$18</f>
        <v>0.759327679346153</v>
      </c>
      <c r="C8" s="44" t="n">
        <f aca="false">MAX((0.15-Assumptions!$B$25)/(0.22-Assumptions!$B$25),0.35)*'Balance Sheet'!$D$18</f>
        <v>0.759327679346153</v>
      </c>
      <c r="D8" s="45" t="n">
        <f aca="false">MAX((0.18-Assumptions!$B$25)/(0.22-Assumptions!$B$25),0.35)*'Balance Sheet'!$D$18</f>
        <v>0.929788995117738</v>
      </c>
      <c r="E8" s="44" t="n">
        <f aca="false">MAX((0.21-Assumptions!$B$25)/(0.22-Assumptions!$B$25),0.35)*'Balance Sheet'!$D$18</f>
        <v>1.85957799023548</v>
      </c>
      <c r="F8" s="44" t="n">
        <f aca="false">MAX((0.24-Assumptions!$B$25)/(0.22-Assumptions!$B$25),0.35)*'Balance Sheet'!$D$18</f>
        <v>2.78936698535321</v>
      </c>
    </row>
    <row r="9" customFormat="false" ht="15" hidden="false" customHeight="false" outlineLevel="0" collapsed="false">
      <c r="A9" s="3" t="s">
        <v>308</v>
      </c>
      <c r="B9" s="44" t="n">
        <f aca="false">MAX((0.12-Assumptions!$B$25)/(0.2-Assumptions!$B$25),0.35)*'Balance Sheet'!$D$18</f>
        <v>0.759327679346153</v>
      </c>
      <c r="C9" s="44" t="n">
        <f aca="false">MAX((0.15-Assumptions!$B$25)/(0.2-Assumptions!$B$25),0.35)*'Balance Sheet'!$D$18</f>
        <v>0.759327679346153</v>
      </c>
      <c r="D9" s="44" t="n">
        <f aca="false">MAX((0.18-Assumptions!$B$25)/(0.2-Assumptions!$B$25),0.35)*'Balance Sheet'!$D$18</f>
        <v>1.30170459316483</v>
      </c>
      <c r="E9" s="44" t="n">
        <f aca="false">MAX((0.21-Assumptions!$B$25)/(0.2-Assumptions!$B$25),0.35)*'Balance Sheet'!$D$18</f>
        <v>2.60340918632967</v>
      </c>
      <c r="F9" s="44" t="n">
        <f aca="false">MAX((0.24-Assumptions!$B$25)/(0.2-Assumptions!$B$25),0.35)*'Balance Sheet'!$D$18</f>
        <v>3.9051137794945</v>
      </c>
    </row>
    <row r="11" customFormat="false" ht="15" hidden="false" customHeight="false" outlineLevel="0" collapsed="false">
      <c r="A11" s="43" t="s">
        <v>309</v>
      </c>
    </row>
    <row r="12" customFormat="false" ht="15" hidden="false" customHeight="false" outlineLevel="0" collapsed="false">
      <c r="A12" s="4" t="s">
        <v>310</v>
      </c>
      <c r="B12" s="5" t="s">
        <v>311</v>
      </c>
      <c r="C12" s="5" t="s">
        <v>312</v>
      </c>
      <c r="D12" s="5" t="s">
        <v>313</v>
      </c>
      <c r="E12" s="5" t="s">
        <v>314</v>
      </c>
      <c r="F12" s="5" t="s">
        <v>315</v>
      </c>
    </row>
    <row r="13" customFormat="false" ht="15" hidden="false" customHeight="false" outlineLevel="0" collapsed="false">
      <c r="A13" s="3" t="s">
        <v>316</v>
      </c>
      <c r="B13" s="44" t="n">
        <f aca="false">((Assumptions!$B$14*Assumptions!$C$14+Assumptions!$B$15*Assumptions!$C$15+Assumptions!$B$16*0.6+Assumptions!$B$17*Assumptions!$C$17)*(1-0))/Assumptions!$B$6</f>
        <v>2.6842444089904</v>
      </c>
      <c r="C13" s="44" t="n">
        <f aca="false">((Assumptions!$B$14*Assumptions!$C$14+Assumptions!$B$15*Assumptions!$C$15+Assumptions!$B$16*0.8+Assumptions!$B$17*Assumptions!$C$17)*(1-0))/Assumptions!$B$6</f>
        <v>2.84285461042536</v>
      </c>
      <c r="D13" s="44" t="n">
        <f aca="false">((Assumptions!$B$14*Assumptions!$C$14+Assumptions!$B$15*Assumptions!$C$15+Assumptions!$B$16*1+Assumptions!$B$17*Assumptions!$C$17)*(1-0))/Assumptions!$B$6</f>
        <v>3.00146481186031</v>
      </c>
      <c r="E13" s="44" t="n">
        <f aca="false">((Assumptions!$B$14*Assumptions!$C$14+Assumptions!$B$15*Assumptions!$C$15+Assumptions!$B$16*1.2+Assumptions!$B$17*Assumptions!$C$17)*(1-0))/Assumptions!$B$6</f>
        <v>3.16007501329527</v>
      </c>
      <c r="F13" s="44" t="n">
        <f aca="false">((Assumptions!$B$14*Assumptions!$C$14+Assumptions!$B$15*Assumptions!$C$15+Assumptions!$B$16*1.4+Assumptions!$B$17*Assumptions!$C$17)*(1-0))/Assumptions!$B$6</f>
        <v>3.31868521473022</v>
      </c>
    </row>
    <row r="14" customFormat="false" ht="15" hidden="false" customHeight="false" outlineLevel="0" collapsed="false">
      <c r="A14" s="3" t="s">
        <v>317</v>
      </c>
      <c r="B14" s="44" t="n">
        <f aca="false">((Assumptions!$B$14*Assumptions!$C$14+Assumptions!$B$15*Assumptions!$C$15+Assumptions!$B$16*0.6+Assumptions!$B$17*Assumptions!$C$17)*(1-0.05))/Assumptions!$B$6</f>
        <v>2.55003218854088</v>
      </c>
      <c r="C14" s="44" t="n">
        <f aca="false">((Assumptions!$B$14*Assumptions!$C$14+Assumptions!$B$15*Assumptions!$C$15+Assumptions!$B$16*0.8+Assumptions!$B$17*Assumptions!$C$17)*(1-0.05))/Assumptions!$B$6</f>
        <v>2.70071187990409</v>
      </c>
      <c r="D14" s="44" t="n">
        <f aca="false">((Assumptions!$B$14*Assumptions!$C$14+Assumptions!$B$15*Assumptions!$C$15+Assumptions!$B$16*1+Assumptions!$B$17*Assumptions!$C$17)*(1-0.05))/Assumptions!$B$6</f>
        <v>2.8513915712673</v>
      </c>
      <c r="E14" s="44" t="n">
        <f aca="false">((Assumptions!$B$14*Assumptions!$C$14+Assumptions!$B$15*Assumptions!$C$15+Assumptions!$B$16*1.2+Assumptions!$B$17*Assumptions!$C$17)*(1-0.05))/Assumptions!$B$6</f>
        <v>3.0020712626305</v>
      </c>
      <c r="F14" s="44" t="n">
        <f aca="false">((Assumptions!$B$14*Assumptions!$C$14+Assumptions!$B$15*Assumptions!$C$15+Assumptions!$B$16*1.4+Assumptions!$B$17*Assumptions!$C$17)*(1-0.05))/Assumptions!$B$6</f>
        <v>3.15275095399371</v>
      </c>
    </row>
    <row r="15" customFormat="false" ht="15" hidden="false" customHeight="false" outlineLevel="0" collapsed="false">
      <c r="A15" s="3" t="s">
        <v>318</v>
      </c>
      <c r="B15" s="44" t="n">
        <f aca="false">((Assumptions!$B$14*Assumptions!$C$14+Assumptions!$B$15*Assumptions!$C$15+Assumptions!$B$16*0.6+Assumptions!$B$17*Assumptions!$C$17)*(1-0.1))/Assumptions!$B$6</f>
        <v>2.41581996809136</v>
      </c>
      <c r="C15" s="44" t="n">
        <f aca="false">((Assumptions!$B$14*Assumptions!$C$14+Assumptions!$B$15*Assumptions!$C$15+Assumptions!$B$16*0.8+Assumptions!$B$17*Assumptions!$C$17)*(1-0.1))/Assumptions!$B$6</f>
        <v>2.55856914938282</v>
      </c>
      <c r="D15" s="45" t="n">
        <f aca="false">((Assumptions!$B$14*Assumptions!$C$14+Assumptions!$B$15*Assumptions!$C$15+Assumptions!$B$16*1+Assumptions!$B$17*Assumptions!$C$17)*(1-0.1))/Assumptions!$B$6</f>
        <v>2.70131833067428</v>
      </c>
      <c r="E15" s="44" t="n">
        <f aca="false">((Assumptions!$B$14*Assumptions!$C$14+Assumptions!$B$15*Assumptions!$C$15+Assumptions!$B$16*1.2+Assumptions!$B$17*Assumptions!$C$17)*(1-0.1))/Assumptions!$B$6</f>
        <v>2.84406751196574</v>
      </c>
      <c r="F15" s="44" t="n">
        <f aca="false">((Assumptions!$B$14*Assumptions!$C$14+Assumptions!$B$15*Assumptions!$C$15+Assumptions!$B$16*1.4+Assumptions!$B$17*Assumptions!$C$17)*(1-0.1))/Assumptions!$B$6</f>
        <v>2.9868166932572</v>
      </c>
    </row>
    <row r="16" customFormat="false" ht="15" hidden="false" customHeight="false" outlineLevel="0" collapsed="false">
      <c r="A16" s="3" t="s">
        <v>302</v>
      </c>
      <c r="B16" s="44" t="n">
        <f aca="false">((Assumptions!$B$14*Assumptions!$C$14+Assumptions!$B$15*Assumptions!$C$15+Assumptions!$B$16*0.6+Assumptions!$B$17*Assumptions!$C$17)*(1-0.15))/Assumptions!$B$6</f>
        <v>2.28160774764184</v>
      </c>
      <c r="C16" s="44" t="n">
        <f aca="false">((Assumptions!$B$14*Assumptions!$C$14+Assumptions!$B$15*Assumptions!$C$15+Assumptions!$B$16*0.8+Assumptions!$B$17*Assumptions!$C$17)*(1-0.15))/Assumptions!$B$6</f>
        <v>2.41642641886155</v>
      </c>
      <c r="D16" s="44" t="n">
        <f aca="false">((Assumptions!$B$14*Assumptions!$C$14+Assumptions!$B$15*Assumptions!$C$15+Assumptions!$B$16*1+Assumptions!$B$17*Assumptions!$C$17)*(1-0.15))/Assumptions!$B$6</f>
        <v>2.55124509008126</v>
      </c>
      <c r="E16" s="44" t="n">
        <f aca="false">((Assumptions!$B$14*Assumptions!$C$14+Assumptions!$B$15*Assumptions!$C$15+Assumptions!$B$16*1.2+Assumptions!$B$17*Assumptions!$C$17)*(1-0.15))/Assumptions!$B$6</f>
        <v>2.68606376130098</v>
      </c>
      <c r="F16" s="44" t="n">
        <f aca="false">((Assumptions!$B$14*Assumptions!$C$14+Assumptions!$B$15*Assumptions!$C$15+Assumptions!$B$16*1.4+Assumptions!$B$17*Assumptions!$C$17)*(1-0.15))/Assumptions!$B$6</f>
        <v>2.82088243252069</v>
      </c>
    </row>
    <row r="17" customFormat="false" ht="15" hidden="false" customHeight="false" outlineLevel="0" collapsed="false">
      <c r="A17" s="3" t="s">
        <v>308</v>
      </c>
      <c r="B17" s="44" t="n">
        <f aca="false">((Assumptions!$B$14*Assumptions!$C$14+Assumptions!$B$15*Assumptions!$C$15+Assumptions!$B$16*0.6+Assumptions!$B$17*Assumptions!$C$17)*(1-0.2))/Assumptions!$B$6</f>
        <v>2.14739552719232</v>
      </c>
      <c r="C17" s="44" t="n">
        <f aca="false">((Assumptions!$B$14*Assumptions!$C$14+Assumptions!$B$15*Assumptions!$C$15+Assumptions!$B$16*0.8+Assumptions!$B$17*Assumptions!$C$17)*(1-0.2))/Assumptions!$B$6</f>
        <v>2.27428368834028</v>
      </c>
      <c r="D17" s="44" t="n">
        <f aca="false">((Assumptions!$B$14*Assumptions!$C$14+Assumptions!$B$15*Assumptions!$C$15+Assumptions!$B$16*1+Assumptions!$B$17*Assumptions!$C$17)*(1-0.2))/Assumptions!$B$6</f>
        <v>2.40117184948825</v>
      </c>
      <c r="E17" s="44" t="n">
        <f aca="false">((Assumptions!$B$14*Assumptions!$C$14+Assumptions!$B$15*Assumptions!$C$15+Assumptions!$B$16*1.2+Assumptions!$B$17*Assumptions!$C$17)*(1-0.2))/Assumptions!$B$6</f>
        <v>2.52806001063621</v>
      </c>
      <c r="F17" s="44" t="n">
        <f aca="false">((Assumptions!$B$14*Assumptions!$C$14+Assumptions!$B$15*Assumptions!$C$15+Assumptions!$B$16*1.4+Assumptions!$B$17*Assumptions!$C$17)*(1-0.2))/Assumptions!$B$6</f>
        <v>2.65494817178418</v>
      </c>
    </row>
    <row r="19" customFormat="false" ht="15" hidden="false" customHeight="false" outlineLevel="0" collapsed="false">
      <c r="A19" s="2" t="s">
        <v>319</v>
      </c>
    </row>
    <row r="20" customFormat="false" ht="15" hidden="false" customHeight="false" outlineLevel="0" collapsed="false">
      <c r="A20" s="2" t="s">
        <v>320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2"/>
  </cols>
  <sheetData>
    <row r="1" customFormat="false" ht="16.15" hidden="false" customHeight="false" outlineLevel="0" collapsed="false">
      <c r="A1" s="1" t="s">
        <v>321</v>
      </c>
    </row>
    <row r="2" customFormat="false" ht="15" hidden="false" customHeight="false" outlineLevel="0" collapsed="false">
      <c r="A2" s="2" t="s">
        <v>322</v>
      </c>
    </row>
    <row r="4" customFormat="false" ht="15" hidden="false" customHeight="false" outlineLevel="0" collapsed="false">
      <c r="A4" s="4" t="s">
        <v>323</v>
      </c>
      <c r="B4" s="5" t="s">
        <v>195</v>
      </c>
      <c r="C4" s="5" t="s">
        <v>135</v>
      </c>
      <c r="D4" s="5" t="s">
        <v>142</v>
      </c>
      <c r="E4" s="5" t="s">
        <v>90</v>
      </c>
      <c r="F4" s="5" t="s">
        <v>91</v>
      </c>
      <c r="G4" s="5" t="s">
        <v>92</v>
      </c>
      <c r="H4" s="5" t="s">
        <v>93</v>
      </c>
      <c r="I4" s="5" t="s">
        <v>94</v>
      </c>
    </row>
    <row r="5" customFormat="false" ht="15" hidden="false" customHeight="false" outlineLevel="0" collapsed="false">
      <c r="A5" s="11" t="s">
        <v>324</v>
      </c>
      <c r="B5" s="13" t="n">
        <f aca="false">'Income Statement'!B15</f>
        <v>0.07</v>
      </c>
      <c r="C5" s="13" t="n">
        <f aca="false">'Income Statement'!C15</f>
        <v>0.31</v>
      </c>
      <c r="D5" s="13" t="n">
        <f aca="false">'Income Statement'!D15</f>
        <v>0.146</v>
      </c>
      <c r="E5" s="13" t="n">
        <f aca="false">'Income Statement'!E15</f>
        <v>0.264364136367453</v>
      </c>
      <c r="F5" s="13" t="n">
        <f aca="false">'Income Statement'!F15</f>
        <v>0.383504240490385</v>
      </c>
      <c r="G5" s="13" t="n">
        <f aca="false">'Income Statement'!G15</f>
        <v>0.519861303775856</v>
      </c>
      <c r="H5" s="13" t="n">
        <f aca="false">'Income Statement'!H15</f>
        <v>0.663954625151846</v>
      </c>
      <c r="I5" s="13" t="n">
        <f aca="false">'Income Statement'!I15</f>
        <v>0.821643848625409</v>
      </c>
    </row>
    <row r="6" customFormat="false" ht="15" hidden="false" customHeight="false" outlineLevel="0" collapsed="false">
      <c r="A6" s="11" t="s">
        <v>325</v>
      </c>
      <c r="B6" s="13" t="n">
        <f aca="false">'Balance Sheet'!B18</f>
        <v>0.967149028279266</v>
      </c>
      <c r="C6" s="13" t="n">
        <f aca="false">'Balance Sheet'!C18</f>
        <v>1.14665845625624</v>
      </c>
      <c r="D6" s="13" t="n">
        <f aca="false">'Balance Sheet'!D18</f>
        <v>2.16950765527472</v>
      </c>
      <c r="E6" s="13" t="n">
        <f aca="false">'Balance Sheet'!E18</f>
        <v>2.43387179164218</v>
      </c>
      <c r="F6" s="13" t="n">
        <f aca="false">'Balance Sheet'!F18</f>
        <v>2.81737603213256</v>
      </c>
      <c r="G6" s="13" t="n">
        <f aca="false">'Balance Sheet'!G18</f>
        <v>3.23326507515325</v>
      </c>
      <c r="H6" s="13" t="n">
        <f aca="false">'Balance Sheet'!H18</f>
        <v>3.76442877527472</v>
      </c>
      <c r="I6" s="13" t="n">
        <f aca="false">'Balance Sheet'!I18</f>
        <v>4.42174385417505</v>
      </c>
    </row>
    <row r="7" customFormat="false" ht="15" hidden="false" customHeight="false" outlineLevel="0" collapsed="false">
      <c r="A7" s="11" t="s">
        <v>326</v>
      </c>
      <c r="B7" s="12" t="n">
        <v>0</v>
      </c>
      <c r="C7" s="12" t="n">
        <v>0</v>
      </c>
      <c r="D7" s="12" t="n">
        <v>0</v>
      </c>
      <c r="E7" s="12" t="n">
        <v>0</v>
      </c>
      <c r="F7" s="12" t="n">
        <f aca="false">'Income Statement'!G14*Assumptions!$C$24/Assumptions!$B$6</f>
        <v>0.103972260755171</v>
      </c>
      <c r="G7" s="12" t="n">
        <f aca="false">'Income Statement'!H14*Assumptions!$C$24/Assumptions!$B$6</f>
        <v>0.132790925030369</v>
      </c>
      <c r="H7" s="12" t="n">
        <f aca="false">'Income Statement'!I14*Assumptions!$C$24/Assumptions!$B$6</f>
        <v>0.164328769725082</v>
      </c>
    </row>
    <row r="8" customFormat="false" ht="15" hidden="false" customHeight="false" outlineLevel="0" collapsed="false">
      <c r="A8" s="11" t="s">
        <v>327</v>
      </c>
      <c r="B8" s="46" t="n">
        <f aca="false">IF(B5=0,"n/m",Assumptions!$B$5/B5)</f>
        <v>42.4285714285714</v>
      </c>
      <c r="C8" s="46" t="n">
        <f aca="false">IF(C5=0,"n/m",Assumptions!$B$5/C5)</f>
        <v>9.58064516129032</v>
      </c>
      <c r="D8" s="46" t="n">
        <f aca="false">IF(D5=0,"n/m",Assumptions!$B$5/D5)</f>
        <v>20.3424657534247</v>
      </c>
      <c r="E8" s="46" t="n">
        <f aca="false">IF(E5=0,"n/m",Assumptions!$B$5/E5)</f>
        <v>11.2345041986779</v>
      </c>
      <c r="F8" s="46" t="n">
        <f aca="false">IF(F5=0,"n/m",Assumptions!$B$5/F5)</f>
        <v>7.74437329872096</v>
      </c>
      <c r="G8" s="46" t="n">
        <f aca="false">IF(G5=0,"n/m",Assumptions!$B$5/G5)</f>
        <v>5.71306226954824</v>
      </c>
      <c r="H8" s="46" t="n">
        <f aca="false">IF(H5=0,"n/m",Assumptions!$B$5/H5)</f>
        <v>4.47319724494842</v>
      </c>
      <c r="I8" s="46" t="n">
        <f aca="false">IF(I5=0,"n/m",Assumptions!$B$5/I5)</f>
        <v>3.61470484440277</v>
      </c>
    </row>
    <row r="9" customFormat="false" ht="15" hidden="false" customHeight="false" outlineLevel="0" collapsed="false">
      <c r="A9" s="11" t="s">
        <v>328</v>
      </c>
      <c r="B9" s="46" t="n">
        <f aca="false">Assumptions!$B$5/B6</f>
        <v>3.07088143932086</v>
      </c>
      <c r="C9" s="46" t="n">
        <f aca="false">Assumptions!$B$5/C6</f>
        <v>2.59013482506103</v>
      </c>
      <c r="D9" s="46" t="n">
        <f aca="false">Assumptions!$B$5/D6</f>
        <v>1.36897419687782</v>
      </c>
      <c r="E9" s="46" t="n">
        <f aca="false">Assumptions!$B$5/E6</f>
        <v>1.2202779169383</v>
      </c>
      <c r="F9" s="46" t="n">
        <f aca="false">Assumptions!$B$5/F6</f>
        <v>1.05417238101224</v>
      </c>
      <c r="G9" s="46" t="n">
        <f aca="false">Assumptions!$B$5/G6</f>
        <v>0.918576092886301</v>
      </c>
      <c r="H9" s="46" t="n">
        <f aca="false">Assumptions!$B$5/H6</f>
        <v>0.788964322955813</v>
      </c>
      <c r="I9" s="46" t="n">
        <f aca="false">Assumptions!$B$5/I6</f>
        <v>0.671680698373267</v>
      </c>
    </row>
    <row r="10" customFormat="false" ht="15" hidden="false" customHeight="false" outlineLevel="0" collapsed="false">
      <c r="A10" s="11" t="s">
        <v>329</v>
      </c>
      <c r="B10" s="38" t="str">
        <f aca="false">'Summary Financials'!B14</f>
        <v>n/m</v>
      </c>
      <c r="C10" s="38" t="n">
        <f aca="false">'Summary Financials'!C14</f>
        <v>0.150247175141243</v>
      </c>
      <c r="D10" s="38" t="n">
        <f aca="false">'Summary Financials'!D14</f>
        <v>0.0757955152913373</v>
      </c>
      <c r="E10" s="38" t="n">
        <f aca="false">'Summary Financials'!E14</f>
        <v>0.114856548071226</v>
      </c>
      <c r="F10" s="38" t="n">
        <f aca="false">'Summary Financials'!F14</f>
        <v>0.146062137366319</v>
      </c>
      <c r="G10" s="38" t="n">
        <f aca="false">'Summary Financials'!G14</f>
        <v>0.171836767231119</v>
      </c>
      <c r="H10" s="38" t="n">
        <f aca="false">'Summary Financials'!H14</f>
        <v>0.189763839157164</v>
      </c>
      <c r="I10" s="38" t="n">
        <f aca="false">'Summary Financials'!I14</f>
        <v>0.200739438518446</v>
      </c>
    </row>
    <row r="11" customFormat="false" ht="15" hidden="false" customHeight="false" outlineLevel="0" collapsed="false">
      <c r="A11" s="11" t="s">
        <v>330</v>
      </c>
      <c r="B11" s="14" t="n">
        <f aca="false">B7/Assumptions!$B$5</f>
        <v>0</v>
      </c>
      <c r="C11" s="14" t="n">
        <f aca="false">C7/Assumptions!$B$5</f>
        <v>0</v>
      </c>
      <c r="D11" s="14" t="n">
        <f aca="false">D7/Assumptions!$B$5</f>
        <v>0</v>
      </c>
      <c r="E11" s="14" t="n">
        <f aca="false">E7/Assumptions!$B$5</f>
        <v>0</v>
      </c>
      <c r="F11" s="14" t="n">
        <f aca="false">F7/Assumptions!$B$5</f>
        <v>0.0350074952037613</v>
      </c>
      <c r="G11" s="14" t="n">
        <f aca="false">G7/Assumptions!$B$5</f>
        <v>0.0447107491684745</v>
      </c>
      <c r="H11" s="14" t="n">
        <f aca="false">H7/Assumptions!$B$5</f>
        <v>0.0553295520959872</v>
      </c>
      <c r="I11" s="14" t="n">
        <f aca="false">I7/Assumptions!$B$5</f>
        <v>0</v>
      </c>
    </row>
    <row r="12" customFormat="false" ht="15" hidden="false" customHeight="false" outlineLevel="0" collapsed="false">
      <c r="A12" s="11" t="s">
        <v>331</v>
      </c>
      <c r="B12" s="46" t="n">
        <f aca="false">'Balance Sheet'!B8/'Balance Sheet'!B15</f>
        <v>1.74608479755539</v>
      </c>
      <c r="C12" s="46" t="n">
        <f aca="false">'Balance Sheet'!C8/'Balance Sheet'!C15</f>
        <v>2.70560410486651</v>
      </c>
      <c r="D12" s="46" t="n">
        <f aca="false">'Balance Sheet'!D8/'Balance Sheet'!D15</f>
        <v>2.256436444104</v>
      </c>
      <c r="E12" s="46" t="n">
        <f aca="false">'Balance Sheet'!E8/'Balance Sheet'!E15</f>
        <v>5.48510038679415</v>
      </c>
      <c r="F12" s="46" t="n">
        <f aca="false">'Balance Sheet'!F8/'Balance Sheet'!F15</f>
        <v>5.7631967921571</v>
      </c>
      <c r="G12" s="46" t="n">
        <f aca="false">'Balance Sheet'!G8/'Balance Sheet'!G15</f>
        <v>5.95430822103249</v>
      </c>
      <c r="H12" s="46" t="n">
        <f aca="false">'Balance Sheet'!H8/'Balance Sheet'!H15</f>
        <v>5.911860044992</v>
      </c>
      <c r="I12" s="46" t="n">
        <f aca="false">'Balance Sheet'!I8/'Balance Sheet'!I15</f>
        <v>5.71972286133388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9" min="2" style="0" width="12"/>
  </cols>
  <sheetData>
    <row r="1" customFormat="false" ht="16.15" hidden="false" customHeight="false" outlineLevel="0" collapsed="false">
      <c r="A1" s="1" t="s">
        <v>332</v>
      </c>
    </row>
    <row r="2" customFormat="false" ht="15" hidden="false" customHeight="false" outlineLevel="0" collapsed="false">
      <c r="A2" s="2" t="s">
        <v>333</v>
      </c>
    </row>
    <row r="4" customFormat="false" ht="15" hidden="false" customHeight="false" outlineLevel="0" collapsed="false">
      <c r="A4" s="4" t="s">
        <v>334</v>
      </c>
      <c r="B4" s="5" t="s">
        <v>335</v>
      </c>
      <c r="C4" s="5" t="s">
        <v>336</v>
      </c>
      <c r="D4" s="5" t="s">
        <v>337</v>
      </c>
      <c r="E4" s="5" t="s">
        <v>338</v>
      </c>
      <c r="F4" s="5" t="s">
        <v>62</v>
      </c>
    </row>
    <row r="5" customFormat="false" ht="15" hidden="false" customHeight="false" outlineLevel="0" collapsed="false">
      <c r="A5" s="3" t="s">
        <v>339</v>
      </c>
      <c r="B5" s="3" t="s">
        <v>340</v>
      </c>
      <c r="C5" s="47" t="n">
        <v>10.5</v>
      </c>
      <c r="D5" s="47" t="n">
        <v>1.2</v>
      </c>
      <c r="E5" s="48" t="n">
        <v>0.13</v>
      </c>
      <c r="F5" s="2" t="s">
        <v>341</v>
      </c>
    </row>
    <row r="6" customFormat="false" ht="15" hidden="false" customHeight="false" outlineLevel="0" collapsed="false">
      <c r="A6" s="3" t="s">
        <v>342</v>
      </c>
      <c r="B6" s="3" t="s">
        <v>343</v>
      </c>
      <c r="C6" s="47" t="n">
        <v>8.5</v>
      </c>
      <c r="D6" s="47" t="n">
        <v>1.4</v>
      </c>
      <c r="E6" s="48" t="n">
        <v>0.19</v>
      </c>
      <c r="F6" s="2" t="s">
        <v>344</v>
      </c>
    </row>
    <row r="7" customFormat="false" ht="15" hidden="false" customHeight="false" outlineLevel="0" collapsed="false">
      <c r="A7" s="3" t="s">
        <v>345</v>
      </c>
      <c r="B7" s="3" t="s">
        <v>346</v>
      </c>
      <c r="C7" s="47" t="n">
        <v>5.5</v>
      </c>
      <c r="D7" s="47" t="n">
        <v>2.2</v>
      </c>
      <c r="E7" s="48" t="n">
        <v>0.38</v>
      </c>
      <c r="F7" s="2" t="s">
        <v>347</v>
      </c>
    </row>
    <row r="8" customFormat="false" ht="15" hidden="false" customHeight="false" outlineLevel="0" collapsed="false">
      <c r="A8" s="3" t="s">
        <v>348</v>
      </c>
      <c r="B8" s="3" t="s">
        <v>349</v>
      </c>
      <c r="C8" s="47" t="n">
        <v>28</v>
      </c>
      <c r="D8" s="47" t="n">
        <v>6</v>
      </c>
      <c r="E8" s="48" t="n">
        <v>0.24</v>
      </c>
      <c r="F8" s="2" t="s">
        <v>350</v>
      </c>
    </row>
    <row r="9" customFormat="false" ht="15" hidden="false" customHeight="false" outlineLevel="0" collapsed="false">
      <c r="A9" s="3" t="s">
        <v>351</v>
      </c>
      <c r="B9" s="3" t="s">
        <v>148</v>
      </c>
      <c r="C9" s="47" t="n">
        <v>6</v>
      </c>
      <c r="D9" s="47" t="n">
        <v>0.9</v>
      </c>
      <c r="E9" s="48" t="n">
        <v>0.16</v>
      </c>
      <c r="F9" s="2" t="s">
        <v>352</v>
      </c>
    </row>
    <row r="10" customFormat="false" ht="15" hidden="false" customHeight="false" outlineLevel="0" collapsed="false">
      <c r="A10" s="11" t="s">
        <v>353</v>
      </c>
      <c r="B10" s="46" t="s">
        <v>354</v>
      </c>
      <c r="C10" s="46" t="n">
        <f aca="false">Assumptions!B5/'Income Statement'!D15</f>
        <v>20.3424657534247</v>
      </c>
      <c r="D10" s="46" t="n">
        <f aca="false">Assumptions!B5/'Balance Sheet'!D18</f>
        <v>1.36897419687782</v>
      </c>
      <c r="E10" s="14" t="n">
        <f aca="false">'Summary Financials'!D14</f>
        <v>0.0757955152913373</v>
      </c>
      <c r="F10" s="46"/>
    </row>
    <row r="12" customFormat="false" ht="15" hidden="false" customHeight="false" outlineLevel="0" collapsed="false">
      <c r="A12" s="2" t="s">
        <v>355</v>
      </c>
    </row>
    <row r="13" customFormat="false" ht="15" hidden="false" customHeight="false" outlineLevel="0" collapsed="false">
      <c r="A13" s="2" t="s">
        <v>356</v>
      </c>
    </row>
    <row r="14" customFormat="false" ht="15" hidden="false" customHeight="false" outlineLevel="0" collapsed="false">
      <c r="A14" s="2" t="s">
        <v>357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2026-07-03T12:12:28Z</dcterms:created>
  <dc:creator>openpyxl</dc:creator>
  <dc:description/>
  <dc:language>en-US</dc:language>
  <cp:lastModifiedBy/>
  <dcterms:modified xsi:type="dcterms:W3CDTF">2026-07-03T12:12:28Z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