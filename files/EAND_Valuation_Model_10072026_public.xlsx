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 Bridge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<sst xmlns="http://schemas.openxmlformats.org/spreadsheetml/2006/main" count="479" uniqueCount="411">
  <si>
    <t xml:space="preserve">Testahil — e&amp; / Emirates Telecommunications Group (ADX: EAND)</t>
  </si>
  <si>
    <t xml:space="preserve">Companion model · Independent Valuation Study · Educational analysis · Not investment advice</t>
  </si>
  <si>
    <t xml:space="preserve">What this workbook is. A transparent companion to the e&amp; valuation study. Every blue cell is an input; every</t>
  </si>
  <si>
    <t xml:space="preserve">black cell is a formula; green cells link across sheets. All inputs live on the Assumptions sheet — change one</t>
  </si>
  <si>
    <t xml:space="preserve">(a segment growth rate, the EBITDA margin path, the 2027 royalty rate, a stake mark, the beta) and the whole</t>
  </si>
  <si>
    <t xml:space="preserve">model reprices through the DCF, the SOTP bridge and every ratio.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</si>
  <si>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</si>
  <si>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</si>
  <si>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e&amp; (Emirates Telecommunications Group) consolidates e&amp; UAE, Maroc Telecom (53%), PPF Telecom /</t>
  </si>
  <si>
    <t xml:space="preserve">e&amp; CEE (50%+1), e&amp; Egypt (66%), PTCL (26% + management control; 23.4% economic), e&amp; enterprise and e&amp; life;</t>
  </si>
  <si>
    <t xml:space="preserve">Mobily (28.0%) and, until the 10-Jul-2026 sale completes, Vodafone Group (16.21% issued / 17.13% voting) are</t>
  </si>
  <si>
    <t xml:space="preserve">equity-accounted. House lens: consolidated FCFF DCF + a sourced stake/claims bridge (SOTP), cross-checked by</t>
  </si>
  <si>
    <t xml:space="preserve">the dividend-policy DDM, relative multiples and normalized earnings.</t>
  </si>
  <si>
    <t xml:space="preserve">The 10-Jul-2026 event. On the study date e&amp; announced the sale of its ENTIRE Vodafone stake to Vega (Niel</t>
  </si>
  <si>
    <t xml:space="preserve">family) at 112.5p/share ≈ AED 21.8bn gross (~AED 4.7bn net cash after unwinding the associated financing),</t>
  </si>
  <si>
    <t xml:space="preserve">pending regulatory approvals. The 9-Jul anchor close (AED 19.66) PRE-dates the announcement. The bridge carries</t>
  </si>
  <si>
    <t xml:space="preserve">Vodafone at the deal value, dual-framed against the 97.76p undisturbed market value (≈ AED 19.1bn).</t>
  </si>
  <si>
    <t xml:space="preserve">Currency. AED million unless stated. Spot AED 19.66 (9 Jul 2026 close, from the attached daily history).</t>
  </si>
  <si>
    <t xml:space="preserve">Historical financials are e&amp;’s own official disclosure (FY23–FY25 earnings releases; FY25 audited FS (EY);</t>
  </si>
  <si>
    <t xml:space="preserve">Q1-2026 interim FS for the latest balance sheet). FY25 federal royalty (7,423) is the exact sum of the four</t>
  </si>
  <si>
    <t xml:space="preserve">quarterly disclosures; FY23 rows shown "n/d" precede the 2024 royalty-presentation restatement.</t>
  </si>
  <si>
    <t xml:space="preserve">Sheets: Summary · Fundamental Valuation · Assumptions · SOTP Bridge · Segments · Relative &amp; Normalized · DCF ·</t>
  </si>
  <si>
    <t xml:space="preserve">Income Statement · Balance Sheet · Cash Flow · Summary Financials · Monte Carlo · Sensitivity ·</t>
  </si>
  <si>
    <t xml:space="preserve">Per-Share &amp; Ratios · Peer &amp; Sector.</t>
  </si>
  <si>
    <t xml:space="preserve">Summary — every read at a glance</t>
  </si>
  <si>
    <t xml:space="preserve">Fair-value distribution, never a target. PARITY calibration tier: market-panel validated, no single-name edge claimed.</t>
  </si>
  <si>
    <t xml:space="preserve">Spot (9-Jul-2026)</t>
  </si>
  <si>
    <t xml:space="preserve">Market cap (AED mn)</t>
  </si>
  <si>
    <t xml:space="preserve">Weighted fundamental central (AED)</t>
  </si>
  <si>
    <t xml:space="preserve">  vs spot</t>
  </si>
  <si>
    <t xml:space="preserve">Monte Carlo probability read (T+60, carry-anchored v3)</t>
  </si>
  <si>
    <t xml:space="preserve">P(price above spot at T+60)</t>
  </si>
  <si>
    <t xml:space="preserve">P(≥ +10%) / P(≤ −10%)</t>
  </si>
  <si>
    <t xml:space="preserve">17.8% / 11.6%  → odds 1.53</t>
  </si>
  <si>
    <t xml:space="preserve">Median path (AED / move)</t>
  </si>
  <si>
    <t xml:space="preserve">19.86 / +1.0%</t>
  </si>
  <si>
    <t xml:space="preserve">50% band (25th–75th)</t>
  </si>
  <si>
    <t xml:space="preserve">18.68 – 21.09  (-5.0% / +7.3%)</t>
  </si>
  <si>
    <t xml:space="preserve">Touch ±10% anytime within T+60</t>
  </si>
  <si>
    <t xml:space="preserve">up 31% / down 22%</t>
  </si>
  <si>
    <t xml:space="preserve">Key balance-sheet &amp; policy anchors</t>
  </si>
  <si>
    <t xml:space="preserve">Net debt Q1-26 (AED mn / × LTM EBITDA)</t>
  </si>
  <si>
    <t xml:space="preserve">29,792 / 0.90×</t>
  </si>
  <si>
    <t xml:space="preserve">FY26E DPS (guided) / yield on spot</t>
  </si>
  <si>
    <t xml:space="preserve">0.95 / 4.8%</t>
  </si>
  <si>
    <t xml:space="preserve">Royalty regime</t>
  </si>
  <si>
    <t xml:space="preserve">38% + 9% CT to 31-Dec-2026; 2027+ = the crux</t>
  </si>
  <si>
    <t xml:space="preserve">Vodafone exit (announced 10-Jul-26)</t>
  </si>
  <si>
    <t xml:space="preserve">AED 21.8bn gross / ~4.7bn net</t>
  </si>
  <si>
    <t xml:space="preserve">Backtest verdict</t>
  </si>
  <si>
    <t xml:space="preserve">PARITY at panel and name level (robust, blocks 2/3/4); UAE production fit ν=4, cal 1.07 (10-name panel)</t>
  </si>
  <si>
    <t xml:space="preserve">Fundamental valuation — four lenses, weighted central</t>
  </si>
  <si>
    <t xml:space="preserve">The DCF and market lenses are never blended into one point; the football field carries the divergence.</t>
  </si>
  <si>
    <t xml:space="preserve">bear</t>
  </si>
  <si>
    <t xml:space="preserve">base</t>
  </si>
  <si>
    <t xml:space="preserve">bull</t>
  </si>
  <si>
    <t xml:space="preserve">weight</t>
  </si>
  <si>
    <t xml:space="preserve">FCFF DCF + stakes bridge (primary)</t>
  </si>
  <si>
    <t xml:space="preserve">Dividend discount (policy lens)</t>
  </si>
  <si>
    <t xml:space="preserve">Relative EV/EBITDA</t>
  </si>
  <si>
    <t xml:space="preserve">Normalized earnings</t>
  </si>
  <si>
    <t xml:space="preserve">DDM detail: PV of DPS FY26–30 + terminal at g</t>
  </si>
  <si>
    <t xml:space="preserve">← PV dividends | full DDM</t>
  </si>
  <si>
    <t xml:space="preserve">Weighted central (base)</t>
  </si>
  <si>
    <t xml:space="preserve">Weighted bear / bull</t>
  </si>
  <si>
    <t xml:space="preserve">Reading the divergence: the DCF (long-duration, WACC 7.6%, TV 79% of EV) sits far above the dividend lens (payout ~70% at Ke 9.2%); the gap prices the 2027 royalty reset, the conglomerate/NCI structure and the terminal assumption. The weighted central is a synthesis, not a blend of like-for-like.</t>
  </si>
  <si>
    <t xml:space="preserve">Assumptions — the single input layer</t>
  </si>
  <si>
    <t xml:space="preserve">All blue cells are inputs. Every other sheet links here.</t>
  </si>
  <si>
    <t xml:space="preserve">Market &amp; shares</t>
  </si>
  <si>
    <t xml:space="preserve">Spot price (AED, 9-Jul-2026 close)</t>
  </si>
  <si>
    <t xml:space="preserve">Shares outstanding (mn)</t>
  </si>
  <si>
    <t xml:space="preserve">Revenue growth (y/y)</t>
  </si>
  <si>
    <t xml:space="preserve">FY26E revenue growth</t>
  </si>
  <si>
    <t xml:space="preserve">FY26E: guidance +8–10% cc</t>
  </si>
  <si>
    <t xml:space="preserve">FY27E revenue growth</t>
  </si>
  <si>
    <t xml:space="preserve">sector CAGR 3–4% (top-down)</t>
  </si>
  <si>
    <t xml:space="preserve">FY28E revenue growth</t>
  </si>
  <si>
    <t xml:space="preserve">FY29E revenue growth</t>
  </si>
  <si>
    <t xml:space="preserve">FY30E revenue growth</t>
  </si>
  <si>
    <t xml:space="preserve">Margins &amp; intensity (% of revenue)</t>
  </si>
  <si>
    <t xml:space="preserve">FY26E EBITDA margin</t>
  </si>
  <si>
    <t xml:space="preserve">FY27E EBITDA margin</t>
  </si>
  <si>
    <t xml:space="preserve">FY28E EBITDA margin</t>
  </si>
  <si>
    <t xml:space="preserve">FY29E EBITDA margin</t>
  </si>
  <si>
    <t xml:space="preserve">FY30E EBITDA margin</t>
  </si>
  <si>
    <t xml:space="preserve">FY26E D&amp;A</t>
  </si>
  <si>
    <t xml:space="preserve">FY27E D&amp;A</t>
  </si>
  <si>
    <t xml:space="preserve">FY28E D&amp;A</t>
  </si>
  <si>
    <t xml:space="preserve">FY29E D&amp;A</t>
  </si>
  <si>
    <t xml:space="preserve">FY30E D&amp;A</t>
  </si>
  <si>
    <t xml:space="preserve">FY26E capex (all-in, incl. spectrum allowance)</t>
  </si>
  <si>
    <t xml:space="preserve">FY27E capex (all-in, incl. spectrum allowance)</t>
  </si>
  <si>
    <t xml:space="preserve">FY28E capex (all-in, incl. spectrum allowance)</t>
  </si>
  <si>
    <t xml:space="preserve">FY29E capex (all-in, incl. spectrum allowance)</t>
  </si>
  <si>
    <t xml:space="preserve">FY30E capex (all-in, incl. spectrum allowance)</t>
  </si>
  <si>
    <t xml:space="preserve">FY26E working-capital outflow</t>
  </si>
  <si>
    <t xml:space="preserve">FY27E working-capital outflow</t>
  </si>
  <si>
    <t xml:space="preserve">FY28E working-capital outflow</t>
  </si>
  <si>
    <t xml:space="preserve">FY29E working-capital outflow</t>
  </si>
  <si>
    <t xml:space="preserve">FY30E working-capital outflow</t>
  </si>
  <si>
    <t xml:space="preserve">Royalty &amp; tax (the §1.7 crux)</t>
  </si>
  <si>
    <t xml:space="preserve">UAE federal royalty rate (2024–26 regime; 2027+ = the reset)</t>
  </si>
  <si>
    <t xml:space="preserve">expires 31-Dec-2026 — sensitised on the Sensitivity sheet</t>
  </si>
  <si>
    <t xml:space="preserve">UAE corporate tax rate (royalty deductible)</t>
  </si>
  <si>
    <t xml:space="preserve">International blended tax rate</t>
  </si>
  <si>
    <t xml:space="preserve">UAE share of group EBIT</t>
  </si>
  <si>
    <t xml:space="preserve">segment table</t>
  </si>
  <si>
    <t xml:space="preserve">Effective royalty+tax on EBIT (t_eff, computed)</t>
  </si>
  <si>
    <t xml:space="preserve">Cost of capital (bottom-up, sourced)</t>
  </si>
  <si>
    <t xml:space="preserve">Risk-free (AED T-Bond Jan-2031, 23-May-26 auction)</t>
  </si>
  <si>
    <t xml:space="preserve">ERP — UAE rating-based (Damodaran 5-Jan-26)</t>
  </si>
  <si>
    <t xml:space="preserve">ERP — Abu Dhabi CDS-based (alternative)</t>
  </si>
  <si>
    <t xml:space="preserve">Beta (regression inaccessible → 1.0; grid 0.8–1.3)</t>
  </si>
  <si>
    <t xml:space="preserve">Kd pretax — AED tranche (EIBOR 3.93% + 65bp)</t>
  </si>
  <si>
    <t xml:space="preserve">Kd pretax — non-AED blend (EUR/PKR/MAD)</t>
  </si>
  <si>
    <t xml:space="preserve">% debt in AED</t>
  </si>
  <si>
    <t xml:space="preserve">Interest tax shield (blended)</t>
  </si>
  <si>
    <t xml:space="preserve">Total borrowings (Q1-26, AED mn)</t>
  </si>
  <si>
    <t xml:space="preserve">Terminal growth g</t>
  </si>
  <si>
    <t xml:space="preserve">Ke (rating ERP, computed)</t>
  </si>
  <si>
    <t xml:space="preserve">Equity weight We (computed)</t>
  </si>
  <si>
    <t xml:space="preserve">WACC (rating basis, computed)</t>
  </si>
  <si>
    <t xml:space="preserve">WACC (CDS basis, computed)</t>
  </si>
  <si>
    <t xml:space="preserve">Stake marks &amp; claims (SOTP bridge, sourced)</t>
  </si>
  <si>
    <t xml:space="preserve">Vodafone at DEAL value (10-Jul-26, gross incl. final div)</t>
  </si>
  <si>
    <t xml:space="preserve">112.5p × 3,944.7mn sh; ~4.7bn net of financing unwind</t>
  </si>
  <si>
    <t xml:space="preserve">Vodafone at undisturbed market (97.76p) — dual frame</t>
  </si>
  <si>
    <t xml:space="preserve">Mobily 28.0% at market (SAR 59.70, 6-Jul)</t>
  </si>
  <si>
    <t xml:space="preserve">Term deposits (amortised cost, Q1-26 FS)</t>
  </si>
  <si>
    <t xml:space="preserve">Other investments at book</t>
  </si>
  <si>
    <t xml:space="preserve">Net debt (Q1-26: borrowings − cash)</t>
  </si>
  <si>
    <t xml:space="preserve">PPF NCI put liability (on-BS conditional commitment)</t>
  </si>
  <si>
    <t xml:space="preserve">NCI — Maroc Telecom 47% at market (IAM MAD 91.90)</t>
  </si>
  <si>
    <t xml:space="preserve">NCI — PTCL 76.6% at market (PKR 377bn cap)</t>
  </si>
  <si>
    <t xml:space="preserve">NCI — e&amp; Egypt 34% (4.0× EBITDA − debt)</t>
  </si>
  <si>
    <t xml:space="preserve">NCI — Careem 50.0% (deal-implied $800mn, half-weight)</t>
  </si>
  <si>
    <t xml:space="preserve">NCI — other minorities (book residual)</t>
  </si>
  <si>
    <t xml:space="preserve">Dividend policy (DDM lens)</t>
  </si>
  <si>
    <t xml:space="preserve">FY26E DPS (AED)</t>
  </si>
  <si>
    <t xml:space="preserve">FY26 guided 95 fils</t>
  </si>
  <si>
    <t xml:space="preserve">FY27E DPS (AED)</t>
  </si>
  <si>
    <t xml:space="preserve">FY28E DPS (AED)</t>
  </si>
  <si>
    <t xml:space="preserve">FY29E DPS (AED)</t>
  </si>
  <si>
    <t xml:space="preserve">FY30E DPS (AED)</t>
  </si>
  <si>
    <t xml:space="preserve">DDM terminal growth</t>
  </si>
  <si>
    <t xml:space="preserve">Income-statement forecast extras</t>
  </si>
  <si>
    <t xml:space="preserve">Associates income p.a. (post-Vodafone exit; Mobily-led)</t>
  </si>
  <si>
    <t xml:space="preserve">Net finance cost FY26E (fades 15%/yr on deleveraging)</t>
  </si>
  <si>
    <t xml:space="preserve">Effective royalty+tax rate on PBT (IS presentation)</t>
  </si>
  <si>
    <t xml:space="preserve">NCI share of profit</t>
  </si>
  <si>
    <t xml:space="preserve">SOTP bridge — core EV to equity per share</t>
  </si>
  <si>
    <t xml:space="preserve">Consolidated DCF core + sourced stake marks − debt-like claims − NCI at market where listed.</t>
  </si>
  <si>
    <t xml:space="preserve">AED mn</t>
  </si>
  <si>
    <t xml:space="preserve">AED / share</t>
  </si>
  <si>
    <t xml:space="preserve">note</t>
  </si>
  <si>
    <t xml:space="preserve">Core enterprise value (DCF sheet)</t>
  </si>
  <si>
    <t xml:space="preserve">+ Vodafone at deal value (announced 10-Jul-26)</t>
  </si>
  <si>
    <t xml:space="preserve">dual frame: undisturbed market ≈ 19,063</t>
  </si>
  <si>
    <t xml:space="preserve">+ Mobily 28.0% at market</t>
  </si>
  <si>
    <t xml:space="preserve">SAR 59.70 (6-Jul-26)</t>
  </si>
  <si>
    <t xml:space="preserve">+ Term deposits (amortised cost)</t>
  </si>
  <si>
    <t xml:space="preserve">Q1-26 FS</t>
  </si>
  <si>
    <t xml:space="preserve">+ Other investments (book)</t>
  </si>
  <si>
    <t xml:space="preserve">− Net debt (Q1-26)</t>
  </si>
  <si>
    <t xml:space="preserve">borrowings 66,574 − cash 36,782</t>
  </si>
  <si>
    <t xml:space="preserve">− PPF NCI put liability</t>
  </si>
  <si>
    <t xml:space="preserve">on-BS conditional commitment</t>
  </si>
  <si>
    <t xml:space="preserve">− NCI: Maroc Telecom 47% at market</t>
  </si>
  <si>
    <t xml:space="preserve">IAM MAD 91.90 (1-Jul)</t>
  </si>
  <si>
    <t xml:space="preserve">− NCI: PTCL 76.6% at market</t>
  </si>
  <si>
    <t xml:space="preserve">PKR 377bn cap (Jul-26)</t>
  </si>
  <si>
    <t xml:space="preserve">− NCI: e&amp; Egypt 34%</t>
  </si>
  <si>
    <t xml:space="preserve">4.0× EBITDA − debt (flagged)</t>
  </si>
  <si>
    <t xml:space="preserve">− NCI: Careem (deal-implied, half-weight)</t>
  </si>
  <si>
    <t xml:space="preserve">pending Uber close</t>
  </si>
  <si>
    <t xml:space="preserve">− NCI: other minorities (book residual)</t>
  </si>
  <si>
    <t xml:space="preserve">Equity value</t>
  </si>
  <si>
    <t xml:space="preserve">DCF fair value per share (AED)</t>
  </si>
  <si>
    <t xml:space="preserve">vs spot</t>
  </si>
  <si>
    <t xml:space="preserve">Framing note: gross deal proceeds AED 21.8bn vs ~AED 4.7bn net cash after the associated financing unwind — both framings stated; net debt above already carries the financing.</t>
  </si>
  <si>
    <t xml:space="preserve">Segments — FY2024/FY2025 revenue, EBITDA, capex (AED mn)</t>
  </si>
  <si>
    <t xml:space="preserve">e&amp; Q4-2025 earnings release. Mobily &amp; Vodafone are equity-accounted associates (not consolidated).</t>
  </si>
  <si>
    <t xml:space="preserve">Rev FY24</t>
  </si>
  <si>
    <t xml:space="preserve">Rev FY25</t>
  </si>
  <si>
    <t xml:space="preserve">EBITDA FY24</t>
  </si>
  <si>
    <t xml:space="preserve">EBITDA FY25</t>
  </si>
  <si>
    <t xml:space="preserve">Margin FY25</t>
  </si>
  <si>
    <t xml:space="preserve">Capex FY25</t>
  </si>
  <si>
    <t xml:space="preserve">OpFCF FY25</t>
  </si>
  <si>
    <t xml:space="preserve">e&amp; UAE</t>
  </si>
  <si>
    <t xml:space="preserve">e&amp; international (subtotal)</t>
  </si>
  <si>
    <t xml:space="preserve">  Maroc Telecom (53%)</t>
  </si>
  <si>
    <t xml:space="preserve">  PPF / e&amp; CEE (50%+1)</t>
  </si>
  <si>
    <t xml:space="preserve">  e&amp; Egypt (66%)</t>
  </si>
  <si>
    <t xml:space="preserve">  PTCL (26%; 23.4% econ.)</t>
  </si>
  <si>
    <t xml:space="preserve">  Afghanistan (100%)</t>
  </si>
  <si>
    <t xml:space="preserve">e&amp; enterprise</t>
  </si>
  <si>
    <t xml:space="preserve">e&amp; life</t>
  </si>
  <si>
    <t xml:space="preserve">Other / eliminations</t>
  </si>
  <si>
    <t xml:space="preserve">Group</t>
  </si>
  <si>
    <t xml:space="preserve">ARPU memo: UAE blended mobile ARPU AED 76 (Q4-25) vs 80 (Q4-24); FBB ARPL 466. Subscribers 244.7mn group (FY25), UAE 16.6mn (Q1-26). OpFCF = EBITDA − capex: the UAE alone is ~80% of the group total — the cash-conversion story in one column.</t>
  </si>
  <si>
    <t xml:space="preserve">Relative (EV/EBITDA through the bridge) &amp; normalized earnings</t>
  </si>
  <si>
    <t xml:space="preserve">FY26E EBITDA (DCF sheet)</t>
  </si>
  <si>
    <t xml:space="preserve">EV/EBITDA multiple — bear / base / bull</t>
  </si>
  <si>
    <t xml:space="preserve">Implied core EV at multiple</t>
  </si>
  <si>
    <t xml:space="preserve">Bridge (stakes − debt-like − NCI, from SOTP)</t>
  </si>
  <si>
    <t xml:space="preserve">Equity at multiple / per share</t>
  </si>
  <si>
    <t xml:space="preserve">(row 9 = base per-share for the lens table)</t>
  </si>
  <si>
    <t xml:space="preserve">Normalized earnings lens</t>
  </si>
  <si>
    <t xml:space="preserve">Clean EPS — bear / base (FY26E guided) / bull</t>
  </si>
  <si>
    <t xml:space="preserve">Justified P/E — bear / base / bull</t>
  </si>
  <si>
    <t xml:space="preserve">Normalized value per share</t>
  </si>
  <si>
    <t xml:space="preserve">EV/OpFCF cross-check (OpFCF = EBITDA − capex)</t>
  </si>
  <si>
    <t xml:space="preserve">FY26E OpFCF (DCF sheet: EBITDA − capex)</t>
  </si>
  <si>
    <t xml:space="preserve">EV/OpFCF multiple — bear / base / bull</t>
  </si>
  <si>
    <t xml:space="preserve">Implied equity / share (same bridge)</t>
  </si>
  <si>
    <t xml:space="preserve">Multiple implied by spot</t>
  </si>
  <si>
    <t xml:space="preserve">Peer anchors: stc ~7.5×, du ~6.3×, Zain/Ooredoo 5–6×, Maroc Telecom ~5.5× EV/EBITDA; GCC telecom P/E 12–16×. e&amp; carries a conglomerate structure (NCI-heavy international) — the base 6.5× sits between the UAE duopoly and the emerging-market holdings.</t>
  </si>
  <si>
    <t xml:space="preserve">FCFF DCF — full waterfall, 5-year explicit + terminal</t>
  </si>
  <si>
    <t xml:space="preserve">Every driver pulls from Assumptions. Standard row order per house rule; TV disclosed as % of EV.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</si>
  <si>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</si>
  <si>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</si>
  <si>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</si>
  <si>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</si>
  <si>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</si>
  <si>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</si>
  <si>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</t>
  </si>
  <si>
    <t xml:space="preserve">EBITDA</t>
  </si>
  <si>
    <t xml:space="preserve">D&amp;A</t>
  </si>
  <si>
    <t xml:space="preserve">EBIT</t>
  </si>
  <si>
    <t xml:space="preserve">NOPAT (EBIT × (1−t_eff))</t>
  </si>
  <si>
    <t xml:space="preserve">+ D&amp;A</t>
  </si>
  <si>
    <t xml:space="preserve">− Capex</t>
  </si>
  <si>
    <t xml:space="preserve">− Δ working capital</t>
  </si>
  <si>
    <t xml:space="preserve">Free cash flow to firm</t>
  </si>
  <si>
    <t xml:space="preserve">Discount factor</t>
  </si>
  <si>
    <t xml:space="preserve">PV of FCFF</t>
  </si>
  <si>
    <t xml:space="preserve">Sum of PV of FCFF (FY26E–FY30E)</t>
  </si>
  <si>
    <t xml:space="preserve">Terminal value = FCFF FY30E × (1+g) / (WACC − g)</t>
  </si>
  <si>
    <t xml:space="preserve">PV of terminal value</t>
  </si>
  <si>
    <t xml:space="preserve">Core enterprise value (consolidated)</t>
  </si>
  <si>
    <t xml:space="preserve">Terminal value as % of core EV (disclosed)</t>
  </si>
  <si>
    <t xml:space="preserve">Ke shown explicitly: rf + β × ERP</t>
  </si>
  <si>
    <t xml:space="preserve">WACC (rating ERP) / WACC (CDS ERP)</t>
  </si>
  <si>
    <t xml:space="preserve">Income statement — FY2023–FY2025 actual, FY2026E–FY2030E forecast (AED mn)</t>
  </si>
  <si>
    <t xml:space="preserve">Historical: e&amp; official releases / audited FS. FY23 rows marked n/d precede the 2024 royalty-presentation restatement.</t>
  </si>
  <si>
    <t xml:space="preserve">FY23</t>
  </si>
  <si>
    <t xml:space="preserve">FY24</t>
  </si>
  <si>
    <t xml:space="preserve">FY25</t>
  </si>
  <si>
    <t xml:space="preserve">  Direct cost of sales</t>
  </si>
  <si>
    <t xml:space="preserve">  Staff costs</t>
  </si>
  <si>
    <t xml:space="preserve">  Network &amp; IT</t>
  </si>
  <si>
    <t xml:space="preserve">  Marketing</t>
  </si>
  <si>
    <t xml:space="preserve">  Other operating expenses</t>
  </si>
  <si>
    <t xml:space="preserve">  Total opex (forecast = revenue − EBITDA)</t>
  </si>
  <si>
    <t xml:space="preserve">EBITDA margin</t>
  </si>
  <si>
    <t xml:space="preserve">Depreciation &amp; amortisation</t>
  </si>
  <si>
    <t xml:space="preserve">Share of associates &amp; JVs</t>
  </si>
  <si>
    <t xml:space="preserve">n/d</t>
  </si>
  <si>
    <t xml:space="preserve">Impairment &amp; other one-offs</t>
  </si>
  <si>
    <t xml:space="preserve">FX gains/(losses)</t>
  </si>
  <si>
    <t xml:space="preserve">Operating profit before royalty</t>
  </si>
  <si>
    <t xml:space="preserve">Net finance income/(cost) + tax, combined (actual residual)</t>
  </si>
  <si>
    <t xml:space="preserve">  Net finance income/(cost) — forecast</t>
  </si>
  <si>
    <t xml:space="preserve">  Federal royalty + income tax — forecast</t>
  </si>
  <si>
    <t xml:space="preserve">Federal royalty (memo, actual)</t>
  </si>
  <si>
    <t xml:space="preserve">Profit for the period</t>
  </si>
  <si>
    <t xml:space="preserve">  attributable to NCI</t>
  </si>
  <si>
    <t xml:space="preserve">Net profit attributable to owners</t>
  </si>
  <si>
    <t xml:space="preserve">EPS (AED)</t>
  </si>
  <si>
    <t xml:space="preserve">EPS ex-one-offs (FY25: Khazna gain, MT settlement, VOD bargain)</t>
  </si>
  <si>
    <t xml:space="preserve">FY23 n/d rows precede the 2024 restatement that moved the federal royalty below operating profit; FY23 royalty and the finance/tax split were not re-presented. FY25 royalty 7,423 is the exact sum of the four quarterly charges (3,277 / 1,189 / 1,426 / 1,531).</t>
  </si>
  <si>
    <t xml:space="preserve">Balance sheet — FY2023–FY2025 + Q1-2026 (AED mn)</t>
  </si>
  <si>
    <t xml:space="preserve">e&amp; audited FS (Dec) and Q1-2026 interim FS (EY-reviewed).</t>
  </si>
  <si>
    <t xml:space="preserve">Dec-23</t>
  </si>
  <si>
    <t xml:space="preserve">Dec-24</t>
  </si>
  <si>
    <t xml:space="preserve">Dec-25</t>
  </si>
  <si>
    <t xml:space="preserve">Mar-26</t>
  </si>
  <si>
    <t xml:space="preserve">Cash &amp; bank balances</t>
  </si>
  <si>
    <t xml:space="preserve">Term deposits (amortised cost)</t>
  </si>
  <si>
    <t xml:space="preserve">Goodwill</t>
  </si>
  <si>
    <t xml:space="preserve">Associates &amp; JVs (incl. Vodafone, Mobily)</t>
  </si>
  <si>
    <t xml:space="preserve">Total assets</t>
  </si>
  <si>
    <t xml:space="preserve">Total borrowings</t>
  </si>
  <si>
    <t xml:space="preserve">  of which: AED 48% / EUR 33% / PKR 7% / MAD 3% / other 9%</t>
  </si>
  <si>
    <t xml:space="preserve">Net debt (borrowings − cash)</t>
  </si>
  <si>
    <t xml:space="preserve">PPF NCI put liability (conditional commitment)</t>
  </si>
  <si>
    <t xml:space="preserve">Federal royalty payable</t>
  </si>
  <si>
    <t xml:space="preserve">Equity attributable to owners</t>
  </si>
  <si>
    <t xml:space="preserve">Non-controlling interests</t>
  </si>
  <si>
    <t xml:space="preserve">Total equity</t>
  </si>
  <si>
    <t xml:space="preserve">Net debt / EBITDA (trailing)</t>
  </si>
  <si>
    <t xml:space="preserve">Dec-24 saw borrowings step up ~AED 20bn on PPF consolidation; the Q1-26 net-debt print (0.90× LTM EBITDA) is the study’s balance-sheet anchor. The PPF put is carried as a liability with the corresponding NCI derecognised — the SOTP deducts the put, not a second PPF NCI line.</t>
  </si>
  <si>
    <t xml:space="preserve">Cash flow — FY2023–FY2025 (AED mn)</t>
  </si>
  <si>
    <t xml:space="preserve">e&amp; audited consolidated statements.</t>
  </si>
  <si>
    <t xml:space="preserve">Net cash from operating activities</t>
  </si>
  <si>
    <t xml:space="preserve">  federal royalty paid (within operating)</t>
  </si>
  <si>
    <t xml:space="preserve">Net cash used in investing activities</t>
  </si>
  <si>
    <t xml:space="preserve">  capex (PP&amp;E + intangibles, incl. licences)</t>
  </si>
  <si>
    <t xml:space="preserve">  capex ex-licences (co-disclosed)</t>
  </si>
  <si>
    <t xml:space="preserve">  Khazna 40% proceeds (FY25)</t>
  </si>
  <si>
    <t xml:space="preserve">Net cash from/(used in) financing activities</t>
  </si>
  <si>
    <t xml:space="preserve">  dividends paid to owners</t>
  </si>
  <si>
    <t xml:space="preserve">Net change in cash</t>
  </si>
  <si>
    <t xml:space="preserve">Simple FCF (operating − capex incl. licences)</t>
  </si>
  <si>
    <t xml:space="preserve">FY24 financing was net positive on the PPF acquisition draw-downs; FY25 financing turned −17.2bn as dividends, royalty catch-up and deleveraging resumed. Royalty paid lags royalty expensed (payable 9.3bn at Mar-26) — the accountant expert normalises for this accrual.</t>
  </si>
  <si>
    <t xml:space="preserve">Summary financials — all links (green)</t>
  </si>
  <si>
    <t xml:space="preserve">Nothing typed here; every cell links to the statements.</t>
  </si>
  <si>
    <t xml:space="preserve">Net profit attributable</t>
  </si>
  <si>
    <t xml:space="preserve">Net debt (Dec-23/24/25 + Mar-26 in FY26E col)</t>
  </si>
  <si>
    <t xml:space="preserve">Operating cash flow (FY23–25)</t>
  </si>
  <si>
    <t xml:space="preserve">DPS (AED)</t>
  </si>
  <si>
    <t xml:space="preserve">Monte Carlo — carry-anchored YZ-HAR, Student-t(4), width_cal 1.07 (production UAE panel fit)</t>
  </si>
  <si>
    <t xml:space="preserve">Simulation outputs (50,000 paths, seed 42). Carry-anchored engine; the simulation carries no fundamental drift.</t>
  </si>
  <si>
    <t xml:space="preserve">Engine &amp; carry</t>
  </si>
  <si>
    <t xml:space="preserve">Anchor volatility (annualised, calibrated)</t>
  </si>
  <si>
    <t xml:space="preserve">Shape ν (UAE production panel fit, 10 names)</t>
  </si>
  <si>
    <t xml:space="preserve">Width calibration (UAE fit)</t>
  </si>
  <si>
    <t xml:space="preserve">rf — CBUAE Base Rate (17-Jun-2026, production carry)</t>
  </si>
  <si>
    <t xml:space="preserve">Forward dividend yield (0.95 / 19.66)</t>
  </si>
  <si>
    <t xml:space="preserve">Carry drift per quarter (rf − q)</t>
  </si>
  <si>
    <t xml:space="preserve">Continuous-factor tilt per quarter</t>
  </si>
  <si>
    <t xml:space="preserve">Discrete event ledger, expected per quarter</t>
  </si>
  <si>
    <t xml:space="preserve">Percentile map (AED)</t>
  </si>
  <si>
    <t xml:space="preserve">T+20</t>
  </si>
  <si>
    <t xml:space="preserve">T+60</t>
  </si>
  <si>
    <t xml:space="preserve">5th percentile</t>
  </si>
  <si>
    <t xml:space="preserve">25th percentile</t>
  </si>
  <si>
    <t xml:space="preserve">50th percentile</t>
  </si>
  <si>
    <t xml:space="preserve">75th percentile</t>
  </si>
  <si>
    <t xml:space="preserve">95th percentile</t>
  </si>
  <si>
    <t xml:space="preserve">Probability read (T+60)</t>
  </si>
  <si>
    <t xml:space="preserve">P(above spot)</t>
  </si>
  <si>
    <t xml:space="preserve">54.5%</t>
  </si>
  <si>
    <t xml:space="preserve">P(≥ +10%) / P(≤ −10%) → odds</t>
  </si>
  <si>
    <t xml:space="preserve">17.8% / 11.6% → 1.53</t>
  </si>
  <si>
    <t xml:space="preserve">Median / move</t>
  </si>
  <si>
    <t xml:space="preserve">50% band</t>
  </si>
  <si>
    <t xml:space="preserve">18.68 – 21.09</t>
  </si>
  <si>
    <t xml:space="preserve">Touch ±10% anytime</t>
  </si>
  <si>
    <t xml:space="preserve">Touch-probability ladder (anytime within horizon)</t>
  </si>
  <si>
    <t xml:space="preserve">AED 23 (above spot)</t>
  </si>
  <si>
    <t xml:space="preserve">AED 22 (above spot)</t>
  </si>
  <si>
    <t xml:space="preserve">AED 21 (above spot)</t>
  </si>
  <si>
    <t xml:space="preserve">AED 20 (above spot)</t>
  </si>
  <si>
    <t xml:space="preserve">AED 19 (below spot)</t>
  </si>
  <si>
    <t xml:space="preserve">AED 18 (below spot)</t>
  </si>
  <si>
    <t xml:space="preserve">AED 17 (below spot)</t>
  </si>
  <si>
    <t xml:space="preserve">AED 16 (below spot)</t>
  </si>
  <si>
    <t xml:space="preserve">Probability zones at T+60 (AED)</t>
  </si>
  <si>
    <t xml:space="preserve">&lt; 17.00</t>
  </si>
  <si>
    <t xml:space="preserve">17.00–18.50</t>
  </si>
  <si>
    <t xml:space="preserve">18.50–20.50</t>
  </si>
  <si>
    <t xml:space="preserve">20.50–22.00</t>
  </si>
  <si>
    <t xml:space="preserve">&gt; 22.00</t>
  </si>
  <si>
    <t xml:space="preserve">Independence note: the fundamental value gap (§1) never enters the MC drift; the price centre is the money-market carry (rf − dividend yield ≈ −0.2%/quarter) plus a disclosed, probability-weighted event ledger. Expected total return ≈ the 3.93% money-market rate, delivered mostly as the 4.8% dividend.</t>
  </si>
  <si>
    <t xml:space="preserve">Sensitivity — WACC × g · margin × capex · the royalty crux · beta grid</t>
  </si>
  <si>
    <t xml:space="preserve">Computed grids (values); the live formulas sit in DCF/Assumptions — change inputs there to reprice.</t>
  </si>
  <si>
    <t xml:space="preserve">DCF/share: WACC (rows) × terminal g (cols)</t>
  </si>
  <si>
    <t xml:space="preserve">DCF/share: EBITDA margin shift (rows) × capex shift (cols)</t>
  </si>
  <si>
    <t xml:space="preserve">-1.0pp</t>
  </si>
  <si>
    <t xml:space="preserve">-0.5pp</t>
  </si>
  <si>
    <t xml:space="preserve">+0.0pp</t>
  </si>
  <si>
    <t xml:space="preserve">+0.5pp</t>
  </si>
  <si>
    <t xml:space="preserve">+1.0pp</t>
  </si>
  <si>
    <t xml:space="preserve">THE CRUX — 2027+ royalty rate → t_eff → DCF/share</t>
  </si>
  <si>
    <t xml:space="preserve">royalty rate</t>
  </si>
  <si>
    <t xml:space="preserve">t_eff</t>
  </si>
  <si>
    <t xml:space="preserve">DCF AED/sh</t>
  </si>
  <si>
    <t xml:space="preserve">Δ vs base</t>
  </si>
  <si>
    <t xml:space="preserve">Beta grid (regression inaccessible → assumed 1.0, sensitised)</t>
  </si>
  <si>
    <t xml:space="preserve">beta</t>
  </si>
  <si>
    <t xml:space="preserve">Ke</t>
  </si>
  <si>
    <t xml:space="preserve">WACC</t>
  </si>
  <si>
    <t xml:space="preserve">Each 4pp on the 2027 royalty ≈ AED 1.1/share of DCF value — the single largest policy swing in the model, and undecided as of the study date.</t>
  </si>
  <si>
    <t xml:space="preserve">Per-share &amp; ratios dashboard</t>
  </si>
  <si>
    <t xml:space="preserve">Formulas link to the statements and Assumptions.</t>
  </si>
  <si>
    <t xml:space="preserve">Payout ratio</t>
  </si>
  <si>
    <t xml:space="preserve">Dividend yield on spot</t>
  </si>
  <si>
    <t xml:space="preserve">P/E on spot</t>
  </si>
  <si>
    <t xml:space="preserve">Revenue growth y/y</t>
  </si>
  <si>
    <t xml:space="preserve">Net margin (attributable)</t>
  </si>
  <si>
    <t xml:space="preserve">ROE (attributable, on FY25 equity)</t>
  </si>
  <si>
    <t xml:space="preserve">Net debt / EBITDA</t>
  </si>
  <si>
    <t xml:space="preserve">OpFCF (EBITDA − capex, AED mn)</t>
  </si>
  <si>
    <t xml:space="preserve">OpFCF margin</t>
  </si>
  <si>
    <t xml:space="preserve">ROIC (NOPAT / equity+net debt+put), FY25</t>
  </si>
  <si>
    <t xml:space="preserve">← vs WACC</t>
  </si>
  <si>
    <t xml:space="preserve">Interest cover / leverage incl. put (Q1-26 memo)</t>
  </si>
  <si>
    <t xml:space="preserve">9.9x cover · 0.91x / 1.27x</t>
  </si>
  <si>
    <t xml:space="preserve">Spot metrics memo: trailing P/E 11.9× (reported) / 15.0× (ex-one-offs); FY26E P/E 14.6×; yield 4.8%; EV/EBITDA (cons., incl. NCI at market) ≈ 7.2× FY25 / 7.0× FY26E.</t>
  </si>
  <si>
    <t xml:space="preserve">Peer &amp; sector snapshot (as of early-Jul-2026 quotes)</t>
  </si>
  <si>
    <t xml:space="preserve">Sourced dated quotes; aggregator-marked cells flagged. Used only to anchor the relative lens.</t>
  </si>
  <si>
    <t xml:space="preserve">Mkt cap (AED bn)</t>
  </si>
  <si>
    <t xml:space="preserve">EV/EBITDA (fwd)</t>
  </si>
  <si>
    <t xml:space="preserve">P/E (fwd)</t>
  </si>
  <si>
    <t xml:space="preserve">Div yield</t>
  </si>
  <si>
    <t xml:space="preserve">e&amp; (EAND) — this study</t>
  </si>
  <si>
    <t xml:space="preserve">at spot 19.66</t>
  </si>
  <si>
    <t xml:space="preserve">stc (Tadawul 7010)</t>
  </si>
  <si>
    <t xml:space="preserve">GCC incumbent benchmark</t>
  </si>
  <si>
    <t xml:space="preserve">du / EITC (DFM)</t>
  </si>
  <si>
    <t xml:space="preserve">UAE duopoly peer; cap $12.7bn Mar-26</t>
  </si>
  <si>
    <t xml:space="preserve">Zain Group (Boursa KW)</t>
  </si>
  <si>
    <t xml:space="preserve">aggregator est., flagged</t>
  </si>
  <si>
    <t xml:space="preserve">Ooredoo (QSE)</t>
  </si>
  <si>
    <t xml:space="preserve">Maroc Telecom (IAM)</t>
  </si>
  <si>
    <t xml:space="preserve">MAD 91.90 (BMCE 1-Jul); e&amp; 53%</t>
  </si>
  <si>
    <t xml:space="preserve">Mobily (Tadawul 7020)</t>
  </si>
  <si>
    <t xml:space="preserve">SAR 59.70 (6-Jul); e&amp; 28%</t>
  </si>
  <si>
    <t xml:space="preserve">Sector frame: UAE telecom is a regulated duopoly (97.5% of sector revenue), quality-led competition; sector revenue AED 50bn+ growing ~3–4%. e&amp; trades between the pure UAE duopoly multiple and the EM-holdings discount its NCI-heavy international portfolio commands.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</si>
</sst>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;\(#,##0\);\-"/>
    <numFmt numFmtId="167" formatCode="0.0%;\(0.0%\);\-"/>
    <numFmt numFmtId="168" formatCode="0.00%;\(0.00%\);\-"/>
    <numFmt numFmtId="169" formatCode="0.00\x"/>
    <numFmt numFmtId="170" formatCode="0.000"/>
    <numFmt numFmtId="171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0"/>
      <name val="Cambria"/>
      <family val="0"/>
      <charset val="1"/>
    </font>
    <font>
      <sz val="9"/>
      <color rgb="FF6E7B77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6E7B7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17</v>
      </c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 t="s">
        <v>21</v>
      </c>
    </row>
    <row r="30" customFormat="false" ht="15" hidden="false" customHeight="false" outlineLevel="0" collapsed="false">
      <c r="A30" s="3" t="s">
        <v>22</v>
      </c>
    </row>
    <row r="31" customFormat="false" ht="15" hidden="false" customHeight="false" outlineLevel="0" collapsed="false">
      <c r="A3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9" min="3" style="0" width="12.5"/>
  </cols>
  <sheetData>
    <row r="1" customFormat="false" ht="16.15" hidden="false" customHeight="false" outlineLevel="0" collapsed="false">
      <c r="A1" s="1" t="s">
        <v>24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25</v>
      </c>
    </row>
    <row r="4" customFormat="false" ht="15" hidden="false" customHeight="false" outlineLevel="0" collapsed="false">
      <c r="A4" s="5" t="s">
        <v>26</v>
      </c>
      <c r="B4" s="6" t="n">
        <f aca="false">Assumptions!B5</f>
        <v>19.66</v>
      </c>
    </row>
    <row r="5" customFormat="false" ht="15" hidden="false" customHeight="false" outlineLevel="0" collapsed="false">
      <c r="A5" s="5" t="s">
        <v>27</v>
      </c>
      <c r="B5" s="7" t="n">
        <f aca="false">Assumptions!B5*Assumptions!B6</f>
        <v>170979.088</v>
      </c>
    </row>
    <row r="6" customFormat="false" ht="15" hidden="false" customHeight="false" outlineLevel="0" collapsed="false">
      <c r="A6" s="5" t="s">
        <v>28</v>
      </c>
      <c r="B6" s="8" t="n">
        <f aca="false">'Fundamental Valuation'!B11</f>
        <v>22.7165972367931</v>
      </c>
    </row>
    <row r="7" customFormat="false" ht="15" hidden="false" customHeight="false" outlineLevel="0" collapsed="false">
      <c r="A7" s="5" t="s">
        <v>29</v>
      </c>
      <c r="B7" s="9" t="n">
        <f aca="false">B6/B4-1</f>
        <v>0.155472901159364</v>
      </c>
    </row>
    <row r="9" customFormat="false" ht="15" hidden="false" customHeight="false" outlineLevel="0" collapsed="false">
      <c r="A9" s="10" t="s">
        <v>30</v>
      </c>
    </row>
    <row r="10" customFormat="false" ht="15" hidden="false" customHeight="false" outlineLevel="0" collapsed="false">
      <c r="A10" s="5" t="s">
        <v>31</v>
      </c>
      <c r="B10" s="9" t="n">
        <v>0.54486</v>
      </c>
    </row>
    <row r="11" customFormat="false" ht="15" hidden="false" customHeight="false" outlineLevel="0" collapsed="false">
      <c r="A11" s="5" t="s">
        <v>32</v>
      </c>
      <c r="B11" s="11" t="s">
        <v>33</v>
      </c>
    </row>
    <row r="12" customFormat="false" ht="15" hidden="false" customHeight="false" outlineLevel="0" collapsed="false">
      <c r="A12" s="5" t="s">
        <v>34</v>
      </c>
      <c r="B12" s="11" t="s">
        <v>35</v>
      </c>
    </row>
    <row r="13" customFormat="false" ht="15" hidden="false" customHeight="false" outlineLevel="0" collapsed="false">
      <c r="A13" s="5" t="s">
        <v>36</v>
      </c>
      <c r="B13" s="11" t="s">
        <v>37</v>
      </c>
    </row>
    <row r="14" customFormat="false" ht="15" hidden="false" customHeight="false" outlineLevel="0" collapsed="false">
      <c r="A14" s="5" t="s">
        <v>38</v>
      </c>
      <c r="B14" s="11" t="s">
        <v>39</v>
      </c>
    </row>
    <row r="16" customFormat="false" ht="15" hidden="false" customHeight="false" outlineLevel="0" collapsed="false">
      <c r="A16" s="10" t="s">
        <v>40</v>
      </c>
    </row>
    <row r="17" customFormat="false" ht="15" hidden="false" customHeight="false" outlineLevel="0" collapsed="false">
      <c r="A17" s="5" t="s">
        <v>41</v>
      </c>
      <c r="B17" s="11" t="s">
        <v>42</v>
      </c>
    </row>
    <row r="18" customFormat="false" ht="15" hidden="false" customHeight="false" outlineLevel="0" collapsed="false">
      <c r="A18" s="5" t="s">
        <v>43</v>
      </c>
      <c r="B18" s="11" t="s">
        <v>44</v>
      </c>
    </row>
    <row r="19" customFormat="false" ht="15" hidden="false" customHeight="false" outlineLevel="0" collapsed="false">
      <c r="A19" s="5" t="s">
        <v>45</v>
      </c>
      <c r="B19" s="11" t="s">
        <v>46</v>
      </c>
    </row>
    <row r="20" customFormat="false" ht="15" hidden="false" customHeight="false" outlineLevel="0" collapsed="false">
      <c r="A20" s="5" t="s">
        <v>47</v>
      </c>
      <c r="B20" s="11" t="s">
        <v>48</v>
      </c>
    </row>
    <row r="21" customFormat="false" ht="15" hidden="false" customHeight="false" outlineLevel="0" collapsed="false">
      <c r="A21" s="5" t="s">
        <v>49</v>
      </c>
      <c r="B21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51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52</v>
      </c>
    </row>
    <row r="4" customFormat="false" ht="15" hidden="false" customHeight="false" outlineLevel="0" collapsed="false">
      <c r="B4" s="10" t="s">
        <v>53</v>
      </c>
      <c r="C4" s="10" t="s">
        <v>54</v>
      </c>
      <c r="D4" s="10" t="s">
        <v>55</v>
      </c>
      <c r="E4" s="10" t="s">
        <v>56</v>
      </c>
    </row>
    <row r="5" customFormat="false" ht="15" hidden="false" customHeight="false" outlineLevel="0" collapsed="false">
      <c r="A5" s="5" t="s">
        <v>57</v>
      </c>
      <c r="B5" s="12" t="n">
        <v>20.2607592766891</v>
      </c>
      <c r="C5" s="6" t="n">
        <f aca="false">'SOTP Bridge'!B18</f>
        <v>28.3843918183386</v>
      </c>
      <c r="D5" s="12" t="n">
        <v>39.0352892153456</v>
      </c>
      <c r="E5" s="13" t="n">
        <v>0.35</v>
      </c>
    </row>
    <row r="6" customFormat="false" ht="15" hidden="false" customHeight="false" outlineLevel="0" collapsed="false">
      <c r="A6" s="5" t="s">
        <v>58</v>
      </c>
      <c r="B6" s="12" t="n">
        <v>12.1921162875329</v>
      </c>
      <c r="C6" s="6" t="n">
        <f aca="false">C9</f>
        <v>17.0282742196569</v>
      </c>
      <c r="D6" s="12" t="n">
        <v>21.6223419729747</v>
      </c>
      <c r="E6" s="13" t="n">
        <v>0.25</v>
      </c>
    </row>
    <row r="7" customFormat="false" ht="15" hidden="false" customHeight="false" outlineLevel="0" collapsed="false">
      <c r="A7" s="5" t="s">
        <v>59</v>
      </c>
      <c r="B7" s="12" t="n">
        <v>21.7616755660471</v>
      </c>
      <c r="C7" s="6" t="n">
        <f aca="false">'Relative &amp; Normalized'!C8</f>
        <v>23.7249577273018</v>
      </c>
      <c r="D7" s="12" t="n">
        <v>25.6882398885566</v>
      </c>
      <c r="E7" s="13" t="n">
        <v>0.2</v>
      </c>
    </row>
    <row r="8" customFormat="false" ht="15" hidden="false" customHeight="false" outlineLevel="0" collapsed="false">
      <c r="A8" s="5" t="s">
        <v>60</v>
      </c>
      <c r="B8" s="12" t="n">
        <v>15.6</v>
      </c>
      <c r="C8" s="6" t="n">
        <f aca="false">'Relative &amp; Normalized'!C13</f>
        <v>18.9</v>
      </c>
      <c r="D8" s="12" t="n">
        <v>22.72</v>
      </c>
      <c r="E8" s="13" t="n">
        <v>0.2</v>
      </c>
    </row>
    <row r="9" customFormat="false" ht="15" hidden="false" customHeight="false" outlineLevel="0" collapsed="false">
      <c r="A9" s="5" t="s">
        <v>61</v>
      </c>
      <c r="B9" s="12" t="n">
        <f aca="true">SUMPRODUCT(Assumptions!B75:B79,1/(1+Assumptions!B55)^ROW(INDIRECT("1:5")))</f>
        <v>3.96164047256961</v>
      </c>
      <c r="C9" s="12" t="n">
        <f aca="false">B9+Assumptions!B79*(1+Assumptions!B80)/(Assumptions!B55-Assumptions!B80)/(1+Assumptions!B55)^5</f>
        <v>17.0282742196569</v>
      </c>
      <c r="D9" s="14" t="s">
        <v>62</v>
      </c>
    </row>
    <row r="11" customFormat="false" ht="15" hidden="false" customHeight="false" outlineLevel="0" collapsed="false">
      <c r="A11" s="15" t="s">
        <v>63</v>
      </c>
      <c r="B11" s="16" t="n">
        <f aca="false">SUMPRODUCT(C5:C8,E5:E8)</f>
        <v>22.7165972367931</v>
      </c>
      <c r="C11" s="17" t="n">
        <f aca="false">B11/Assumptions!B5-1</f>
        <v>0.155472901159364</v>
      </c>
    </row>
    <row r="12" customFormat="false" ht="15" hidden="false" customHeight="false" outlineLevel="0" collapsed="false">
      <c r="A12" s="5" t="s">
        <v>64</v>
      </c>
      <c r="B12" s="12" t="n">
        <f aca="false">SUMPRODUCT(B5:B8,E5:E8)</f>
        <v>17.6116299319338</v>
      </c>
      <c r="C12" s="12" t="n">
        <f aca="false">SUMPRODUCT(D5:D8,E5:E8)</f>
        <v>28.7495846963259</v>
      </c>
    </row>
    <row r="14" customFormat="false" ht="15" hidden="false" customHeight="false" outlineLevel="0" collapsed="false">
      <c r="A14" s="1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66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67</v>
      </c>
    </row>
    <row r="4" customFormat="false" ht="15" hidden="false" customHeight="false" outlineLevel="0" collapsed="false">
      <c r="A4" s="10" t="s">
        <v>68</v>
      </c>
    </row>
    <row r="5" customFormat="false" ht="15" hidden="false" customHeight="false" outlineLevel="0" collapsed="false">
      <c r="A5" s="5" t="s">
        <v>69</v>
      </c>
      <c r="B5" s="18" t="n">
        <v>19.66</v>
      </c>
    </row>
    <row r="6" customFormat="false" ht="15" hidden="false" customHeight="false" outlineLevel="0" collapsed="false">
      <c r="A6" s="5" t="s">
        <v>70</v>
      </c>
      <c r="B6" s="19" t="n">
        <v>8696.8</v>
      </c>
    </row>
    <row r="8" customFormat="false" ht="15" hidden="false" customHeight="false" outlineLevel="0" collapsed="false">
      <c r="A8" s="10" t="s">
        <v>71</v>
      </c>
    </row>
    <row r="9" customFormat="false" ht="15" hidden="false" customHeight="false" outlineLevel="0" collapsed="false">
      <c r="A9" s="5" t="s">
        <v>72</v>
      </c>
      <c r="B9" s="13" t="n">
        <v>0.09</v>
      </c>
      <c r="C9" s="14" t="s">
        <v>73</v>
      </c>
    </row>
    <row r="10" customFormat="false" ht="15" hidden="false" customHeight="false" outlineLevel="0" collapsed="false">
      <c r="A10" s="5" t="s">
        <v>74</v>
      </c>
      <c r="B10" s="13" t="n">
        <v>0.035</v>
      </c>
      <c r="C10" s="14" t="s">
        <v>75</v>
      </c>
    </row>
    <row r="11" customFormat="false" ht="15" hidden="false" customHeight="false" outlineLevel="0" collapsed="false">
      <c r="A11" s="5" t="s">
        <v>76</v>
      </c>
      <c r="B11" s="13" t="n">
        <v>0.035</v>
      </c>
    </row>
    <row r="12" customFormat="false" ht="15" hidden="false" customHeight="false" outlineLevel="0" collapsed="false">
      <c r="A12" s="5" t="s">
        <v>77</v>
      </c>
      <c r="B12" s="13" t="n">
        <v>0.032</v>
      </c>
    </row>
    <row r="13" customFormat="false" ht="15" hidden="false" customHeight="false" outlineLevel="0" collapsed="false">
      <c r="A13" s="5" t="s">
        <v>78</v>
      </c>
      <c r="B13" s="13" t="n">
        <v>0.03</v>
      </c>
    </row>
    <row r="15" customFormat="false" ht="15" hidden="false" customHeight="false" outlineLevel="0" collapsed="false">
      <c r="A15" s="10" t="s">
        <v>79</v>
      </c>
    </row>
    <row r="16" customFormat="false" ht="15" hidden="false" customHeight="false" outlineLevel="0" collapsed="false">
      <c r="A16" s="5" t="s">
        <v>80</v>
      </c>
      <c r="B16" s="13" t="n">
        <v>0.43</v>
      </c>
    </row>
    <row r="17" customFormat="false" ht="15" hidden="false" customHeight="false" outlineLevel="0" collapsed="false">
      <c r="A17" s="5" t="s">
        <v>81</v>
      </c>
      <c r="B17" s="13" t="n">
        <v>0.432</v>
      </c>
    </row>
    <row r="18" customFormat="false" ht="15" hidden="false" customHeight="false" outlineLevel="0" collapsed="false">
      <c r="A18" s="5" t="s">
        <v>82</v>
      </c>
      <c r="B18" s="13" t="n">
        <v>0.434</v>
      </c>
    </row>
    <row r="19" customFormat="false" ht="15" hidden="false" customHeight="false" outlineLevel="0" collapsed="false">
      <c r="A19" s="5" t="s">
        <v>83</v>
      </c>
      <c r="B19" s="13" t="n">
        <v>0.436</v>
      </c>
    </row>
    <row r="20" customFormat="false" ht="15" hidden="false" customHeight="false" outlineLevel="0" collapsed="false">
      <c r="A20" s="5" t="s">
        <v>84</v>
      </c>
      <c r="B20" s="13" t="n">
        <v>0.438</v>
      </c>
    </row>
    <row r="21" customFormat="false" ht="15" hidden="false" customHeight="false" outlineLevel="0" collapsed="false">
      <c r="A21" s="5" t="s">
        <v>85</v>
      </c>
      <c r="B21" s="13" t="n">
        <v>0.146</v>
      </c>
    </row>
    <row r="22" customFormat="false" ht="15" hidden="false" customHeight="false" outlineLevel="0" collapsed="false">
      <c r="A22" s="5" t="s">
        <v>86</v>
      </c>
      <c r="B22" s="13" t="n">
        <v>0.143</v>
      </c>
    </row>
    <row r="23" customFormat="false" ht="15" hidden="false" customHeight="false" outlineLevel="0" collapsed="false">
      <c r="A23" s="5" t="s">
        <v>87</v>
      </c>
      <c r="B23" s="13" t="n">
        <v>0.14</v>
      </c>
    </row>
    <row r="24" customFormat="false" ht="15" hidden="false" customHeight="false" outlineLevel="0" collapsed="false">
      <c r="A24" s="5" t="s">
        <v>88</v>
      </c>
      <c r="B24" s="13" t="n">
        <v>0.137</v>
      </c>
    </row>
    <row r="25" customFormat="false" ht="15" hidden="false" customHeight="false" outlineLevel="0" collapsed="false">
      <c r="A25" s="5" t="s">
        <v>89</v>
      </c>
      <c r="B25" s="13" t="n">
        <v>0.135</v>
      </c>
    </row>
    <row r="26" customFormat="false" ht="15" hidden="false" customHeight="false" outlineLevel="0" collapsed="false">
      <c r="A26" s="5" t="s">
        <v>90</v>
      </c>
      <c r="B26" s="13" t="n">
        <v>0.173</v>
      </c>
    </row>
    <row r="27" customFormat="false" ht="15" hidden="false" customHeight="false" outlineLevel="0" collapsed="false">
      <c r="A27" s="5" t="s">
        <v>91</v>
      </c>
      <c r="B27" s="13" t="n">
        <v>0.169</v>
      </c>
    </row>
    <row r="28" customFormat="false" ht="15" hidden="false" customHeight="false" outlineLevel="0" collapsed="false">
      <c r="A28" s="5" t="s">
        <v>92</v>
      </c>
      <c r="B28" s="13" t="n">
        <v>0.165</v>
      </c>
    </row>
    <row r="29" customFormat="false" ht="15" hidden="false" customHeight="false" outlineLevel="0" collapsed="false">
      <c r="A29" s="5" t="s">
        <v>93</v>
      </c>
      <c r="B29" s="13" t="n">
        <v>0.162</v>
      </c>
    </row>
    <row r="30" customFormat="false" ht="15" hidden="false" customHeight="false" outlineLevel="0" collapsed="false">
      <c r="A30" s="5" t="s">
        <v>94</v>
      </c>
      <c r="B30" s="13" t="n">
        <v>0.16</v>
      </c>
    </row>
    <row r="31" customFormat="false" ht="15" hidden="false" customHeight="false" outlineLevel="0" collapsed="false">
      <c r="A31" s="5" t="s">
        <v>95</v>
      </c>
      <c r="B31" s="20" t="n">
        <v>0.0015</v>
      </c>
    </row>
    <row r="32" customFormat="false" ht="15" hidden="false" customHeight="false" outlineLevel="0" collapsed="false">
      <c r="A32" s="5" t="s">
        <v>96</v>
      </c>
      <c r="B32" s="20" t="n">
        <v>0.0015</v>
      </c>
    </row>
    <row r="33" customFormat="false" ht="15" hidden="false" customHeight="false" outlineLevel="0" collapsed="false">
      <c r="A33" s="5" t="s">
        <v>97</v>
      </c>
      <c r="B33" s="20" t="n">
        <v>0.0015</v>
      </c>
    </row>
    <row r="34" customFormat="false" ht="15" hidden="false" customHeight="false" outlineLevel="0" collapsed="false">
      <c r="A34" s="5" t="s">
        <v>98</v>
      </c>
      <c r="B34" s="20" t="n">
        <v>0.0015</v>
      </c>
    </row>
    <row r="35" customFormat="false" ht="15" hidden="false" customHeight="false" outlineLevel="0" collapsed="false">
      <c r="A35" s="5" t="s">
        <v>99</v>
      </c>
      <c r="B35" s="20" t="n">
        <v>0.0015</v>
      </c>
    </row>
    <row r="37" customFormat="false" ht="15" hidden="false" customHeight="false" outlineLevel="0" collapsed="false">
      <c r="A37" s="10" t="s">
        <v>100</v>
      </c>
    </row>
    <row r="38" customFormat="false" ht="15" hidden="false" customHeight="false" outlineLevel="0" collapsed="false">
      <c r="A38" s="5" t="s">
        <v>101</v>
      </c>
      <c r="B38" s="13" t="n">
        <v>0.38</v>
      </c>
      <c r="C38" s="14" t="s">
        <v>102</v>
      </c>
    </row>
    <row r="39" customFormat="false" ht="15" hidden="false" customHeight="false" outlineLevel="0" collapsed="false">
      <c r="A39" s="5" t="s">
        <v>103</v>
      </c>
      <c r="B39" s="13" t="n">
        <v>0.09</v>
      </c>
    </row>
    <row r="40" customFormat="false" ht="15" hidden="false" customHeight="false" outlineLevel="0" collapsed="false">
      <c r="A40" s="5" t="s">
        <v>104</v>
      </c>
      <c r="B40" s="13" t="n">
        <v>0.27</v>
      </c>
    </row>
    <row r="41" customFormat="false" ht="15" hidden="false" customHeight="false" outlineLevel="0" collapsed="false">
      <c r="A41" s="5" t="s">
        <v>105</v>
      </c>
      <c r="B41" s="13" t="n">
        <v>0.57</v>
      </c>
      <c r="C41" s="14" t="s">
        <v>106</v>
      </c>
    </row>
    <row r="42" customFormat="false" ht="15" hidden="false" customHeight="false" outlineLevel="0" collapsed="false">
      <c r="A42" s="5" t="s">
        <v>107</v>
      </c>
      <c r="B42" s="9" t="n">
        <f aca="false">B41*(B38+B39*(1-B38))+(1-B41)*B40</f>
        <v>0.364506</v>
      </c>
    </row>
    <row r="44" customFormat="false" ht="15" hidden="false" customHeight="false" outlineLevel="0" collapsed="false">
      <c r="A44" s="10" t="s">
        <v>108</v>
      </c>
    </row>
    <row r="45" customFormat="false" ht="15" hidden="false" customHeight="false" outlineLevel="0" collapsed="false">
      <c r="A45" s="5" t="s">
        <v>109</v>
      </c>
      <c r="B45" s="20" t="n">
        <v>0.043</v>
      </c>
    </row>
    <row r="46" customFormat="false" ht="15" hidden="false" customHeight="false" outlineLevel="0" collapsed="false">
      <c r="A46" s="5" t="s">
        <v>110</v>
      </c>
      <c r="B46" s="20" t="n">
        <v>0.0487</v>
      </c>
    </row>
    <row r="47" customFormat="false" ht="15" hidden="false" customHeight="false" outlineLevel="0" collapsed="false">
      <c r="A47" s="5" t="s">
        <v>111</v>
      </c>
      <c r="B47" s="20" t="n">
        <v>0.0493</v>
      </c>
    </row>
    <row r="48" customFormat="false" ht="15" hidden="false" customHeight="false" outlineLevel="0" collapsed="false">
      <c r="A48" s="5" t="s">
        <v>112</v>
      </c>
      <c r="B48" s="18" t="n">
        <v>1</v>
      </c>
    </row>
    <row r="49" customFormat="false" ht="15" hidden="false" customHeight="false" outlineLevel="0" collapsed="false">
      <c r="A49" s="5" t="s">
        <v>113</v>
      </c>
      <c r="B49" s="20" t="n">
        <v>0.046</v>
      </c>
    </row>
    <row r="50" customFormat="false" ht="15" hidden="false" customHeight="false" outlineLevel="0" collapsed="false">
      <c r="A50" s="5" t="s">
        <v>114</v>
      </c>
      <c r="B50" s="20" t="n">
        <v>0.051</v>
      </c>
    </row>
    <row r="51" customFormat="false" ht="15" hidden="false" customHeight="false" outlineLevel="0" collapsed="false">
      <c r="A51" s="5" t="s">
        <v>115</v>
      </c>
      <c r="B51" s="13" t="n">
        <v>0.48</v>
      </c>
    </row>
    <row r="52" customFormat="false" ht="15" hidden="false" customHeight="false" outlineLevel="0" collapsed="false">
      <c r="A52" s="5" t="s">
        <v>116</v>
      </c>
      <c r="B52" s="13" t="n">
        <v>0.25</v>
      </c>
    </row>
    <row r="53" customFormat="false" ht="15" hidden="false" customHeight="false" outlineLevel="0" collapsed="false">
      <c r="A53" s="5" t="s">
        <v>117</v>
      </c>
      <c r="B53" s="19" t="n">
        <v>66574</v>
      </c>
    </row>
    <row r="54" customFormat="false" ht="15" hidden="false" customHeight="false" outlineLevel="0" collapsed="false">
      <c r="A54" s="5" t="s">
        <v>118</v>
      </c>
      <c r="B54" s="20" t="n">
        <v>0.025</v>
      </c>
    </row>
    <row r="55" customFormat="false" ht="15" hidden="false" customHeight="false" outlineLevel="0" collapsed="false">
      <c r="A55" s="5" t="s">
        <v>119</v>
      </c>
      <c r="B55" s="21" t="n">
        <f aca="false">B45+B48*B46</f>
        <v>0.0917</v>
      </c>
    </row>
    <row r="56" customFormat="false" ht="15" hidden="false" customHeight="false" outlineLevel="0" collapsed="false">
      <c r="A56" s="5" t="s">
        <v>120</v>
      </c>
      <c r="B56" s="9" t="n">
        <f aca="false">(B5*B6)/(B5*B6+B53)</f>
        <v>0.719751064654651</v>
      </c>
    </row>
    <row r="57" customFormat="false" ht="15" hidden="false" customHeight="false" outlineLevel="0" collapsed="false">
      <c r="A57" s="5" t="s">
        <v>121</v>
      </c>
      <c r="B57" s="21" t="n">
        <f aca="false">B56*B55+(1-B56)*(B51*B49+(1-B51)*B50)*(1-B52)</f>
        <v>0.0762162463221695</v>
      </c>
    </row>
    <row r="58" customFormat="false" ht="15" hidden="false" customHeight="false" outlineLevel="0" collapsed="false">
      <c r="A58" s="5" t="s">
        <v>122</v>
      </c>
      <c r="B58" s="21" t="n">
        <f aca="false">B56*(B45+B48*B47)+(1-B56)*(B51*B49+(1-B51)*B50)*(1-B52)</f>
        <v>0.0766480969609623</v>
      </c>
    </row>
    <row r="60" customFormat="false" ht="15" hidden="false" customHeight="false" outlineLevel="0" collapsed="false">
      <c r="A60" s="10" t="s">
        <v>123</v>
      </c>
    </row>
    <row r="61" customFormat="false" ht="15" hidden="false" customHeight="false" outlineLevel="0" collapsed="false">
      <c r="A61" s="5" t="s">
        <v>124</v>
      </c>
      <c r="B61" s="19" t="n">
        <v>21800</v>
      </c>
      <c r="C61" s="14" t="s">
        <v>125</v>
      </c>
    </row>
    <row r="62" customFormat="false" ht="15" hidden="false" customHeight="false" outlineLevel="0" collapsed="false">
      <c r="A62" s="5" t="s">
        <v>126</v>
      </c>
      <c r="B62" s="19" t="n">
        <v>19062.8083437601</v>
      </c>
    </row>
    <row r="63" customFormat="false" ht="15" hidden="false" customHeight="false" outlineLevel="0" collapsed="false">
      <c r="A63" s="5" t="s">
        <v>127</v>
      </c>
      <c r="B63" s="19" t="n">
        <v>12572.236388363</v>
      </c>
    </row>
    <row r="64" customFormat="false" ht="15" hidden="false" customHeight="false" outlineLevel="0" collapsed="false">
      <c r="A64" s="5" t="s">
        <v>128</v>
      </c>
      <c r="B64" s="19" t="n">
        <v>10765</v>
      </c>
    </row>
    <row r="65" customFormat="false" ht="15" hidden="false" customHeight="false" outlineLevel="0" collapsed="false">
      <c r="A65" s="5" t="s">
        <v>129</v>
      </c>
      <c r="B65" s="19" t="n">
        <v>2541</v>
      </c>
    </row>
    <row r="66" customFormat="false" ht="15" hidden="false" customHeight="false" outlineLevel="0" collapsed="false">
      <c r="A66" s="5" t="s">
        <v>130</v>
      </c>
      <c r="B66" s="19" t="n">
        <v>29792</v>
      </c>
    </row>
    <row r="67" customFormat="false" ht="15" hidden="false" customHeight="false" outlineLevel="0" collapsed="false">
      <c r="A67" s="5" t="s">
        <v>131</v>
      </c>
      <c r="B67" s="19" t="n">
        <v>11658</v>
      </c>
    </row>
    <row r="68" customFormat="false" ht="15" hidden="false" customHeight="false" outlineLevel="0" collapsed="false">
      <c r="A68" s="5" t="s">
        <v>132</v>
      </c>
      <c r="B68" s="19" t="n">
        <v>15190.3682576566</v>
      </c>
    </row>
    <row r="69" customFormat="false" ht="15" hidden="false" customHeight="false" outlineLevel="0" collapsed="false">
      <c r="A69" s="5" t="s">
        <v>133</v>
      </c>
      <c r="B69" s="19" t="n">
        <v>3765.3113679078</v>
      </c>
    </row>
    <row r="70" customFormat="false" ht="15" hidden="false" customHeight="false" outlineLevel="0" collapsed="false">
      <c r="A70" s="5" t="s">
        <v>134</v>
      </c>
      <c r="B70" s="19" t="n">
        <v>1489.2</v>
      </c>
    </row>
    <row r="71" customFormat="false" ht="15" hidden="false" customHeight="false" outlineLevel="0" collapsed="false">
      <c r="A71" s="5" t="s">
        <v>135</v>
      </c>
      <c r="B71" s="19" t="n">
        <v>917.6843</v>
      </c>
    </row>
    <row r="72" customFormat="false" ht="15" hidden="false" customHeight="false" outlineLevel="0" collapsed="false">
      <c r="A72" s="5" t="s">
        <v>136</v>
      </c>
      <c r="B72" s="19" t="n">
        <v>500</v>
      </c>
    </row>
    <row r="74" customFormat="false" ht="15" hidden="false" customHeight="false" outlineLevel="0" collapsed="false">
      <c r="A74" s="10" t="s">
        <v>137</v>
      </c>
    </row>
    <row r="75" customFormat="false" ht="15" hidden="false" customHeight="false" outlineLevel="0" collapsed="false">
      <c r="A75" s="5" t="s">
        <v>138</v>
      </c>
      <c r="B75" s="18" t="n">
        <v>0.95</v>
      </c>
      <c r="C75" s="14" t="s">
        <v>139</v>
      </c>
    </row>
    <row r="76" customFormat="false" ht="15" hidden="false" customHeight="false" outlineLevel="0" collapsed="false">
      <c r="A76" s="5" t="s">
        <v>140</v>
      </c>
      <c r="B76" s="18" t="n">
        <v>0.99</v>
      </c>
    </row>
    <row r="77" customFormat="false" ht="15" hidden="false" customHeight="false" outlineLevel="0" collapsed="false">
      <c r="A77" s="5" t="s">
        <v>141</v>
      </c>
      <c r="B77" s="18" t="n">
        <v>1.03</v>
      </c>
    </row>
    <row r="78" customFormat="false" ht="15" hidden="false" customHeight="false" outlineLevel="0" collapsed="false">
      <c r="A78" s="5" t="s">
        <v>142</v>
      </c>
      <c r="B78" s="18" t="n">
        <v>1.07</v>
      </c>
    </row>
    <row r="79" customFormat="false" ht="15" hidden="false" customHeight="false" outlineLevel="0" collapsed="false">
      <c r="A79" s="5" t="s">
        <v>143</v>
      </c>
      <c r="B79" s="18" t="n">
        <v>1.11</v>
      </c>
    </row>
    <row r="80" customFormat="false" ht="15" hidden="false" customHeight="false" outlineLevel="0" collapsed="false">
      <c r="A80" s="5" t="s">
        <v>144</v>
      </c>
      <c r="B80" s="20" t="n">
        <v>0.035</v>
      </c>
    </row>
    <row r="82" customFormat="false" ht="15" hidden="false" customHeight="false" outlineLevel="0" collapsed="false">
      <c r="A82" s="10" t="s">
        <v>145</v>
      </c>
    </row>
    <row r="83" customFormat="false" ht="15" hidden="false" customHeight="false" outlineLevel="0" collapsed="false">
      <c r="A83" s="5" t="s">
        <v>146</v>
      </c>
      <c r="B83" s="19" t="n">
        <v>1200</v>
      </c>
    </row>
    <row r="84" customFormat="false" ht="15" hidden="false" customHeight="false" outlineLevel="0" collapsed="false">
      <c r="A84" s="5" t="s">
        <v>147</v>
      </c>
      <c r="B84" s="19" t="n">
        <v>-850</v>
      </c>
    </row>
    <row r="85" customFormat="false" ht="15" hidden="false" customHeight="false" outlineLevel="0" collapsed="false">
      <c r="A85" s="5" t="s">
        <v>148</v>
      </c>
      <c r="B85" s="13" t="n">
        <v>0.395</v>
      </c>
    </row>
    <row r="86" customFormat="false" ht="15" hidden="false" customHeight="false" outlineLevel="0" collapsed="false">
      <c r="A86" s="5" t="s">
        <v>149</v>
      </c>
      <c r="B86" s="13" t="n"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.5"/>
  </cols>
  <sheetData>
    <row r="1" customFormat="false" ht="16.15" hidden="false" customHeight="false" outlineLevel="0" collapsed="false">
      <c r="A1" s="1" t="s">
        <v>150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151</v>
      </c>
    </row>
    <row r="4" customFormat="false" ht="15" hidden="false" customHeight="false" outlineLevel="0" collapsed="false">
      <c r="B4" s="10" t="s">
        <v>152</v>
      </c>
      <c r="C4" s="10" t="s">
        <v>153</v>
      </c>
      <c r="D4" s="10" t="s">
        <v>154</v>
      </c>
    </row>
    <row r="5" customFormat="false" ht="15" hidden="false" customHeight="false" outlineLevel="0" collapsed="false">
      <c r="A5" s="5" t="s">
        <v>155</v>
      </c>
      <c r="B5" s="22" t="n">
        <f aca="false">DCF!B20</f>
        <v>262487.706302928</v>
      </c>
      <c r="C5" s="12" t="n">
        <f aca="false">B5/Assumptions!$B$6</f>
        <v>30.182102187348</v>
      </c>
    </row>
    <row r="6" customFormat="false" ht="15" hidden="false" customHeight="false" outlineLevel="0" collapsed="false">
      <c r="A6" s="5" t="s">
        <v>156</v>
      </c>
      <c r="B6" s="22" t="n">
        <f aca="false">Assumptions!B61</f>
        <v>21800</v>
      </c>
      <c r="C6" s="12" t="n">
        <f aca="false">B6/Assumptions!$B$6</f>
        <v>2.5066691196762</v>
      </c>
      <c r="D6" s="14" t="s">
        <v>157</v>
      </c>
    </row>
    <row r="7" customFormat="false" ht="15" hidden="false" customHeight="false" outlineLevel="0" collapsed="false">
      <c r="A7" s="5" t="s">
        <v>158</v>
      </c>
      <c r="B7" s="22" t="n">
        <f aca="false">Assumptions!B63</f>
        <v>12572.236388363</v>
      </c>
      <c r="C7" s="12" t="n">
        <f aca="false">B7/Assumptions!$B$6</f>
        <v>1.44561636330179</v>
      </c>
      <c r="D7" s="14" t="s">
        <v>159</v>
      </c>
    </row>
    <row r="8" customFormat="false" ht="15" hidden="false" customHeight="false" outlineLevel="0" collapsed="false">
      <c r="A8" s="5" t="s">
        <v>160</v>
      </c>
      <c r="B8" s="22" t="n">
        <f aca="false">Assumptions!B64</f>
        <v>10765</v>
      </c>
      <c r="C8" s="12" t="n">
        <f aca="false">B8/Assumptions!$B$6</f>
        <v>1.23781160886763</v>
      </c>
      <c r="D8" s="14" t="s">
        <v>161</v>
      </c>
    </row>
    <row r="9" customFormat="false" ht="15" hidden="false" customHeight="false" outlineLevel="0" collapsed="false">
      <c r="A9" s="5" t="s">
        <v>162</v>
      </c>
      <c r="B9" s="22" t="n">
        <f aca="false">Assumptions!B65</f>
        <v>2541</v>
      </c>
      <c r="C9" s="12" t="n">
        <f aca="false">B9/Assumptions!$B$6</f>
        <v>0.292176432710882</v>
      </c>
    </row>
    <row r="10" customFormat="false" ht="15" hidden="false" customHeight="false" outlineLevel="0" collapsed="false">
      <c r="A10" s="5" t="s">
        <v>163</v>
      </c>
      <c r="B10" s="22" t="n">
        <f aca="false">-Assumptions!B66</f>
        <v>-29792</v>
      </c>
      <c r="C10" s="12" t="n">
        <f aca="false">B10/Assumptions!$B$6</f>
        <v>-3.42562781712814</v>
      </c>
      <c r="D10" s="14" t="s">
        <v>164</v>
      </c>
    </row>
    <row r="11" customFormat="false" ht="15" hidden="false" customHeight="false" outlineLevel="0" collapsed="false">
      <c r="A11" s="5" t="s">
        <v>165</v>
      </c>
      <c r="B11" s="22" t="n">
        <f aca="false">-Assumptions!B67</f>
        <v>-11658</v>
      </c>
      <c r="C11" s="12" t="n">
        <f aca="false">B11/Assumptions!$B$6</f>
        <v>-1.34049305491675</v>
      </c>
      <c r="D11" s="14" t="s">
        <v>166</v>
      </c>
    </row>
    <row r="12" customFormat="false" ht="15" hidden="false" customHeight="false" outlineLevel="0" collapsed="false">
      <c r="A12" s="5" t="s">
        <v>167</v>
      </c>
      <c r="B12" s="22" t="n">
        <f aca="false">-Assumptions!B68</f>
        <v>-15190.3682576566</v>
      </c>
      <c r="C12" s="12" t="n">
        <f aca="false">B12/Assumptions!$B$6</f>
        <v>-1.74666179027419</v>
      </c>
      <c r="D12" s="14" t="s">
        <v>168</v>
      </c>
    </row>
    <row r="13" customFormat="false" ht="15" hidden="false" customHeight="false" outlineLevel="0" collapsed="false">
      <c r="A13" s="5" t="s">
        <v>169</v>
      </c>
      <c r="B13" s="22" t="n">
        <f aca="false">-Assumptions!B69</f>
        <v>-3765.3113679078</v>
      </c>
      <c r="C13" s="12" t="n">
        <f aca="false">B13/Assumptions!$B$6</f>
        <v>-0.432953657426617</v>
      </c>
      <c r="D13" s="14" t="s">
        <v>170</v>
      </c>
    </row>
    <row r="14" customFormat="false" ht="15" hidden="false" customHeight="false" outlineLevel="0" collapsed="false">
      <c r="A14" s="5" t="s">
        <v>171</v>
      </c>
      <c r="B14" s="22" t="n">
        <f aca="false">-Assumptions!B70</f>
        <v>-1489.2</v>
      </c>
      <c r="C14" s="12" t="n">
        <f aca="false">B14/Assumptions!$B$6</f>
        <v>-0.171235396927606</v>
      </c>
      <c r="D14" s="14" t="s">
        <v>172</v>
      </c>
    </row>
    <row r="15" customFormat="false" ht="15" hidden="false" customHeight="false" outlineLevel="0" collapsed="false">
      <c r="A15" s="5" t="s">
        <v>173</v>
      </c>
      <c r="B15" s="22" t="n">
        <f aca="false">-Assumptions!B71</f>
        <v>-917.6843</v>
      </c>
      <c r="C15" s="12" t="n">
        <f aca="false">B15/Assumptions!$B$6</f>
        <v>-0.105519765890902</v>
      </c>
      <c r="D15" s="14" t="s">
        <v>174</v>
      </c>
    </row>
    <row r="16" customFormat="false" ht="15" hidden="false" customHeight="false" outlineLevel="0" collapsed="false">
      <c r="A16" s="5" t="s">
        <v>175</v>
      </c>
      <c r="B16" s="22" t="n">
        <f aca="false">-Assumptions!B72</f>
        <v>-500</v>
      </c>
      <c r="C16" s="12" t="n">
        <f aca="false">B16/Assumptions!$B$6</f>
        <v>-0.0574924110017478</v>
      </c>
    </row>
    <row r="17" customFormat="false" ht="15" hidden="false" customHeight="false" outlineLevel="0" collapsed="false">
      <c r="A17" s="15" t="s">
        <v>176</v>
      </c>
      <c r="B17" s="23" t="n">
        <f aca="false">SUM(B5:B16)</f>
        <v>246853.378765727</v>
      </c>
      <c r="C17" s="16" t="n">
        <f aca="false">B17/Assumptions!$B$6</f>
        <v>28.3843918183386</v>
      </c>
    </row>
    <row r="18" customFormat="false" ht="15" hidden="false" customHeight="false" outlineLevel="0" collapsed="false">
      <c r="A18" s="24" t="s">
        <v>177</v>
      </c>
      <c r="B18" s="25" t="n">
        <f aca="false">C17</f>
        <v>28.3843918183386</v>
      </c>
      <c r="C18" s="9" t="n">
        <f aca="false">B18/Assumptions!$B$5-1</f>
        <v>0.443763571634719</v>
      </c>
      <c r="D18" s="14" t="s">
        <v>178</v>
      </c>
    </row>
    <row r="20" customFormat="false" ht="15" hidden="false" customHeight="false" outlineLevel="0" collapsed="false">
      <c r="A20" s="1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.5"/>
  </cols>
  <sheetData>
    <row r="1" customFormat="false" ht="16.15" hidden="false" customHeight="false" outlineLevel="0" collapsed="false">
      <c r="A1" s="1" t="s">
        <v>180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181</v>
      </c>
    </row>
    <row r="4" customFormat="false" ht="15" hidden="false" customHeight="false" outlineLevel="0" collapsed="false">
      <c r="B4" s="10" t="s">
        <v>182</v>
      </c>
      <c r="C4" s="10" t="s">
        <v>183</v>
      </c>
      <c r="D4" s="10" t="s">
        <v>184</v>
      </c>
      <c r="E4" s="10" t="s">
        <v>185</v>
      </c>
      <c r="F4" s="10" t="s">
        <v>186</v>
      </c>
      <c r="G4" s="10" t="s">
        <v>187</v>
      </c>
      <c r="H4" s="10" t="s">
        <v>188</v>
      </c>
    </row>
    <row r="5" customFormat="false" ht="15" hidden="false" customHeight="false" outlineLevel="0" collapsed="false">
      <c r="A5" s="24" t="s">
        <v>189</v>
      </c>
      <c r="B5" s="7" t="n">
        <v>33097</v>
      </c>
      <c r="C5" s="7" t="n">
        <v>34705</v>
      </c>
      <c r="D5" s="7" t="n">
        <v>17419</v>
      </c>
      <c r="E5" s="7" t="n">
        <v>17772</v>
      </c>
      <c r="F5" s="9" t="n">
        <f aca="false">IF(C5&lt;&gt;0,E5/C5,"n/m")</f>
        <v>0.512087595447342</v>
      </c>
      <c r="G5" s="7" t="n">
        <v>3118</v>
      </c>
      <c r="H5" s="7" t="n">
        <f aca="false">E5-G5</f>
        <v>14654</v>
      </c>
    </row>
    <row r="6" customFormat="false" ht="15" hidden="false" customHeight="false" outlineLevel="0" collapsed="false">
      <c r="A6" s="24" t="s">
        <v>190</v>
      </c>
      <c r="B6" s="7" t="n">
        <v>21764</v>
      </c>
      <c r="C6" s="7" t="n">
        <v>32411</v>
      </c>
      <c r="D6" s="7" t="n">
        <v>9421</v>
      </c>
      <c r="E6" s="7" t="n">
        <v>14435</v>
      </c>
      <c r="F6" s="9" t="n">
        <f aca="false">IF(C6&lt;&gt;0,E6/C6,"n/m")</f>
        <v>0.445373484310882</v>
      </c>
      <c r="G6" s="7"/>
    </row>
    <row r="7" customFormat="false" ht="15" hidden="false" customHeight="false" outlineLevel="0" collapsed="false">
      <c r="A7" s="5" t="s">
        <v>191</v>
      </c>
      <c r="B7" s="7" t="n">
        <v>13495</v>
      </c>
      <c r="C7" s="7" t="n">
        <v>13697</v>
      </c>
      <c r="D7" s="7" t="n">
        <v>7180</v>
      </c>
      <c r="E7" s="7" t="n">
        <v>7250</v>
      </c>
      <c r="F7" s="9" t="n">
        <f aca="false">IF(C7&lt;&gt;0,E7/C7,"n/m")</f>
        <v>0.529312988245601</v>
      </c>
      <c r="G7" s="7" t="n">
        <v>4324</v>
      </c>
      <c r="H7" s="7" t="n">
        <f aca="false">E7-G7</f>
        <v>2926</v>
      </c>
    </row>
    <row r="8" customFormat="false" ht="15" hidden="false" customHeight="false" outlineLevel="0" collapsed="false">
      <c r="A8" s="5" t="s">
        <v>192</v>
      </c>
      <c r="B8" s="7" t="n">
        <v>2725</v>
      </c>
      <c r="C8" s="7" t="n">
        <v>9961</v>
      </c>
      <c r="D8" s="7" t="n">
        <v>1183</v>
      </c>
      <c r="E8" s="7" t="n">
        <v>4433</v>
      </c>
      <c r="F8" s="9" t="n">
        <f aca="false">IF(C8&lt;&gt;0,E8/C8,"n/m")</f>
        <v>0.445035638992069</v>
      </c>
      <c r="G8" s="7" t="n">
        <v>2955</v>
      </c>
      <c r="H8" s="7" t="n">
        <f aca="false">E8-G8</f>
        <v>1478</v>
      </c>
    </row>
    <row r="9" customFormat="false" ht="15" hidden="false" customHeight="false" outlineLevel="0" collapsed="false">
      <c r="A9" s="5" t="s">
        <v>193</v>
      </c>
      <c r="B9" s="7" t="n">
        <v>3603</v>
      </c>
      <c r="C9" s="7" t="n">
        <v>4739</v>
      </c>
      <c r="D9" s="7" t="n">
        <v>1050</v>
      </c>
      <c r="E9" s="7" t="n">
        <v>1570</v>
      </c>
      <c r="F9" s="9" t="n">
        <f aca="false">IF(C9&lt;&gt;0,E9/C9,"n/m")</f>
        <v>0.331293521840051</v>
      </c>
      <c r="G9" s="7" t="n">
        <v>1594</v>
      </c>
      <c r="H9" s="7" t="n">
        <f aca="false">E9-G9</f>
        <v>-24</v>
      </c>
    </row>
    <row r="10" customFormat="false" ht="15" hidden="false" customHeight="false" outlineLevel="0" collapsed="false">
      <c r="A10" s="5" t="s">
        <v>194</v>
      </c>
      <c r="B10" s="7" t="n">
        <v>1445</v>
      </c>
      <c r="C10" s="7" t="n">
        <v>3274</v>
      </c>
      <c r="D10" s="7" t="n">
        <v>8</v>
      </c>
      <c r="E10" s="7" t="n">
        <v>938</v>
      </c>
      <c r="F10" s="9" t="n">
        <f aca="false">IF(C10&lt;&gt;0,E10/C10,"n/m")</f>
        <v>0.286499694563225</v>
      </c>
      <c r="G10" s="7" t="n">
        <v>705</v>
      </c>
      <c r="H10" s="7" t="n">
        <f aca="false">E10-G10</f>
        <v>233</v>
      </c>
    </row>
    <row r="11" customFormat="false" ht="15" hidden="false" customHeight="false" outlineLevel="0" collapsed="false">
      <c r="A11" s="5" t="s">
        <v>195</v>
      </c>
      <c r="B11" s="7" t="n">
        <v>496</v>
      </c>
      <c r="C11" s="7" t="n">
        <v>740</v>
      </c>
      <c r="D11" s="7" t="n">
        <v>0</v>
      </c>
      <c r="E11" s="7" t="n">
        <v>244</v>
      </c>
      <c r="F11" s="9" t="n">
        <f aca="false">IF(C11&lt;&gt;0,E11/C11,"n/m")</f>
        <v>0.32972972972973</v>
      </c>
      <c r="G11" s="7" t="n">
        <v>232</v>
      </c>
      <c r="H11" s="7" t="n">
        <f aca="false">E11-G11</f>
        <v>12</v>
      </c>
    </row>
    <row r="12" customFormat="false" ht="15" hidden="false" customHeight="false" outlineLevel="0" collapsed="false">
      <c r="A12" s="5" t="s">
        <v>196</v>
      </c>
      <c r="B12" s="7" t="n">
        <v>2922</v>
      </c>
      <c r="C12" s="7" t="n">
        <v>3556</v>
      </c>
      <c r="D12" s="7" t="n">
        <v>175</v>
      </c>
      <c r="E12" s="7" t="n">
        <v>211</v>
      </c>
      <c r="F12" s="9" t="n">
        <f aca="false">IF(C12&lt;&gt;0,E12/C12,"n/m")</f>
        <v>0.0593363329583802</v>
      </c>
      <c r="G12" s="7"/>
    </row>
    <row r="13" customFormat="false" ht="15" hidden="false" customHeight="false" outlineLevel="0" collapsed="false">
      <c r="A13" s="5" t="s">
        <v>197</v>
      </c>
      <c r="B13" s="7" t="n">
        <v>2009</v>
      </c>
      <c r="C13" s="7" t="n">
        <v>2622</v>
      </c>
      <c r="D13" s="7" t="n">
        <v>-654</v>
      </c>
      <c r="E13" s="7" t="n">
        <v>-715</v>
      </c>
      <c r="F13" s="9" t="n">
        <f aca="false">IF(C13&lt;&gt;0,E13/C13,"n/m")</f>
        <v>-0.272692601067887</v>
      </c>
      <c r="G13" s="7"/>
    </row>
    <row r="14" customFormat="false" ht="15" hidden="false" customHeight="false" outlineLevel="0" collapsed="false">
      <c r="A14" s="5" t="s">
        <v>198</v>
      </c>
      <c r="B14" s="7" t="n">
        <v>-590</v>
      </c>
      <c r="C14" s="7" t="n">
        <v>-435</v>
      </c>
      <c r="D14" s="7" t="n">
        <v>93</v>
      </c>
      <c r="E14" s="7" t="n">
        <v>319</v>
      </c>
      <c r="F14" s="9" t="n">
        <f aca="false">IF(C14&lt;&gt;0,E14/C14,"n/m")</f>
        <v>-0.733333333333333</v>
      </c>
      <c r="G14" s="7" t="n">
        <v>739</v>
      </c>
      <c r="H14" s="7" t="n">
        <f aca="false">E14-G14</f>
        <v>-420</v>
      </c>
    </row>
    <row r="15" customFormat="false" ht="15" hidden="false" customHeight="false" outlineLevel="0" collapsed="false">
      <c r="A15" s="15" t="s">
        <v>199</v>
      </c>
      <c r="B15" s="23" t="n">
        <v>59203</v>
      </c>
      <c r="C15" s="23" t="n">
        <v>72858</v>
      </c>
      <c r="D15" s="23" t="n">
        <v>26454</v>
      </c>
      <c r="E15" s="23" t="n">
        <v>32022</v>
      </c>
      <c r="F15" s="26" t="n">
        <f aca="false">E15/C15</f>
        <v>0.439512476323808</v>
      </c>
      <c r="G15" s="23" t="n">
        <v>13668</v>
      </c>
      <c r="H15" s="23" t="n">
        <f aca="false">E15-G15</f>
        <v>18354</v>
      </c>
    </row>
    <row r="17" customFormat="false" ht="15" hidden="false" customHeight="false" outlineLevel="0" collapsed="false">
      <c r="A17" s="14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201</v>
      </c>
      <c r="B1" s="2"/>
      <c r="C1" s="2"/>
      <c r="D1" s="2"/>
      <c r="E1" s="2"/>
      <c r="F1" s="2"/>
      <c r="G1" s="2"/>
      <c r="H1" s="2"/>
      <c r="I1" s="2"/>
    </row>
    <row r="4" customFormat="false" ht="15" hidden="false" customHeight="false" outlineLevel="0" collapsed="false">
      <c r="A4" s="5" t="s">
        <v>202</v>
      </c>
      <c r="B4" s="22" t="n">
        <f aca="false">DCF!C6</f>
        <v>34148.5446</v>
      </c>
    </row>
    <row r="5" customFormat="false" ht="15" hidden="false" customHeight="false" outlineLevel="0" collapsed="false">
      <c r="A5" s="10" t="s">
        <v>203</v>
      </c>
      <c r="B5" s="27" t="n">
        <v>6</v>
      </c>
      <c r="C5" s="27" t="n">
        <v>6.5</v>
      </c>
      <c r="D5" s="27" t="n">
        <v>7</v>
      </c>
    </row>
    <row r="6" customFormat="false" ht="15" hidden="false" customHeight="false" outlineLevel="0" collapsed="false">
      <c r="A6" s="5" t="s">
        <v>204</v>
      </c>
      <c r="B6" s="7" t="n">
        <f aca="false">B4*B5</f>
        <v>204891.2676</v>
      </c>
      <c r="C6" s="7" t="n">
        <f aca="false">B4*C5</f>
        <v>221965.5399</v>
      </c>
      <c r="D6" s="7" t="n">
        <f aca="false">B4*D5</f>
        <v>239039.8122</v>
      </c>
    </row>
    <row r="7" customFormat="false" ht="15" hidden="false" customHeight="false" outlineLevel="0" collapsed="false">
      <c r="A7" s="5" t="s">
        <v>205</v>
      </c>
      <c r="B7" s="22" t="n">
        <f aca="false">'SOTP Bridge'!B17-DCF!B20</f>
        <v>-15634.3275372014</v>
      </c>
    </row>
    <row r="8" customFormat="false" ht="15" hidden="false" customHeight="false" outlineLevel="0" collapsed="false">
      <c r="A8" s="24" t="s">
        <v>206</v>
      </c>
      <c r="B8" s="25" t="n">
        <f aca="false">(B6+$B$7)/Assumptions!$B$6</f>
        <v>21.7616755660471</v>
      </c>
      <c r="C8" s="25" t="n">
        <f aca="false">(C6+$B$7)/Assumptions!$B$6</f>
        <v>23.7249577273018</v>
      </c>
      <c r="D8" s="25" t="n">
        <f aca="false">(D6+$B$7)/Assumptions!$B$6</f>
        <v>25.6882398885566</v>
      </c>
    </row>
    <row r="9" customFormat="false" ht="15" hidden="false" customHeight="false" outlineLevel="0" collapsed="false">
      <c r="A9" s="14" t="s">
        <v>207</v>
      </c>
    </row>
    <row r="10" customFormat="false" ht="15" hidden="false" customHeight="false" outlineLevel="0" collapsed="false">
      <c r="A10" s="10" t="s">
        <v>208</v>
      </c>
    </row>
    <row r="11" customFormat="false" ht="15" hidden="false" customHeight="false" outlineLevel="0" collapsed="false">
      <c r="A11" s="5" t="s">
        <v>209</v>
      </c>
      <c r="B11" s="18" t="n">
        <v>1.3</v>
      </c>
      <c r="C11" s="18" t="n">
        <v>1.35</v>
      </c>
      <c r="D11" s="18" t="n">
        <v>1.42</v>
      </c>
    </row>
    <row r="12" customFormat="false" ht="15" hidden="false" customHeight="false" outlineLevel="0" collapsed="false">
      <c r="A12" s="5" t="s">
        <v>210</v>
      </c>
      <c r="B12" s="27" t="n">
        <v>12</v>
      </c>
      <c r="C12" s="27" t="n">
        <v>14</v>
      </c>
      <c r="D12" s="27" t="n">
        <v>16</v>
      </c>
    </row>
    <row r="13" customFormat="false" ht="15" hidden="false" customHeight="false" outlineLevel="0" collapsed="false">
      <c r="A13" s="24" t="s">
        <v>211</v>
      </c>
      <c r="B13" s="25" t="n">
        <f aca="false">B11*B12</f>
        <v>15.6</v>
      </c>
      <c r="C13" s="25" t="n">
        <f aca="false">C11*C12</f>
        <v>18.9</v>
      </c>
      <c r="D13" s="25" t="n">
        <f aca="false">D11*D12</f>
        <v>22.72</v>
      </c>
    </row>
    <row r="15" customFormat="false" ht="15" hidden="false" customHeight="false" outlineLevel="0" collapsed="false">
      <c r="A15" s="10" t="s">
        <v>212</v>
      </c>
    </row>
    <row r="16" customFormat="false" ht="15" hidden="false" customHeight="false" outlineLevel="0" collapsed="false">
      <c r="A16" s="5" t="s">
        <v>213</v>
      </c>
      <c r="B16" s="22" t="n">
        <f aca="false">DCF!C6-(-DCF!C11)</f>
        <v>20409.71154</v>
      </c>
    </row>
    <row r="17" customFormat="false" ht="15" hidden="false" customHeight="false" outlineLevel="0" collapsed="false">
      <c r="A17" s="5" t="s">
        <v>214</v>
      </c>
      <c r="B17" s="27" t="n">
        <v>10</v>
      </c>
      <c r="C17" s="27" t="n">
        <v>11</v>
      </c>
      <c r="D17" s="27" t="n">
        <v>12</v>
      </c>
    </row>
    <row r="18" customFormat="false" ht="15" hidden="false" customHeight="false" outlineLevel="0" collapsed="false">
      <c r="A18" s="24" t="s">
        <v>215</v>
      </c>
      <c r="B18" s="25" t="n">
        <f aca="false">(B17*$B$16+$B$7)/Assumptions!$B$6</f>
        <v>21.6703601166864</v>
      </c>
      <c r="C18" s="25" t="n">
        <f aca="false">(C17*$B$16+$B$7)/Assumptions!$B$6</f>
        <v>24.017167165256</v>
      </c>
      <c r="D18" s="25" t="n">
        <f aca="false">(D17*$B$16+$B$7)/Assumptions!$B$6</f>
        <v>26.3639742138256</v>
      </c>
    </row>
    <row r="19" customFormat="false" ht="15" hidden="false" customHeight="false" outlineLevel="0" collapsed="false">
      <c r="A19" s="14" t="s">
        <v>216</v>
      </c>
      <c r="B19" s="28" t="n">
        <f aca="false">(Assumptions!$B$5*Assumptions!$B$6-$B$7)/$B$16</f>
        <v>9.14336369583014</v>
      </c>
    </row>
    <row r="21" customFormat="false" ht="15" hidden="false" customHeight="false" outlineLevel="0" collapsed="false">
      <c r="A21" s="14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218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219</v>
      </c>
    </row>
    <row r="4" customFormat="false" ht="15" hidden="false" customHeight="false" outlineLevel="0" collapsed="false">
      <c r="B4" s="10" t="s">
        <v>220</v>
      </c>
      <c r="C4" s="10" t="s">
        <v>221</v>
      </c>
      <c r="D4" s="10" t="s">
        <v>222</v>
      </c>
      <c r="E4" s="10" t="s">
        <v>223</v>
      </c>
      <c r="F4" s="10" t="s">
        <v>224</v>
      </c>
      <c r="G4" s="10" t="s">
        <v>225</v>
      </c>
    </row>
    <row r="5" customFormat="false" ht="15" hidden="false" customHeight="false" outlineLevel="0" collapsed="false">
      <c r="A5" s="24" t="s">
        <v>226</v>
      </c>
      <c r="B5" s="7" t="n">
        <v>72858</v>
      </c>
      <c r="C5" s="7" t="n">
        <f aca="false">B5*(1+Assumptions!$B$9)</f>
        <v>79415.22</v>
      </c>
      <c r="D5" s="7" t="n">
        <f aca="false">C5*(1+Assumptions!$B$10)</f>
        <v>82194.7527</v>
      </c>
      <c r="E5" s="7" t="n">
        <f aca="false">D5*(1+Assumptions!$B$11)</f>
        <v>85071.5690445</v>
      </c>
      <c r="F5" s="7" t="n">
        <f aca="false">E5*(1+Assumptions!$B$12)</f>
        <v>87793.859253924</v>
      </c>
      <c r="G5" s="7" t="n">
        <f aca="false">F5*(1+Assumptions!$B$13)</f>
        <v>90427.6750315417</v>
      </c>
    </row>
    <row r="6" customFormat="false" ht="15" hidden="false" customHeight="false" outlineLevel="0" collapsed="false">
      <c r="A6" s="5" t="s">
        <v>227</v>
      </c>
      <c r="B6" s="7" t="n">
        <v>32022</v>
      </c>
      <c r="C6" s="7" t="n">
        <f aca="false">C5*Assumptions!$B$16</f>
        <v>34148.5446</v>
      </c>
      <c r="D6" s="7" t="n">
        <f aca="false">D5*Assumptions!$B$17</f>
        <v>35508.1331664</v>
      </c>
      <c r="E6" s="7" t="n">
        <f aca="false">E5*Assumptions!$B$18</f>
        <v>36921.060965313</v>
      </c>
      <c r="F6" s="7" t="n">
        <f aca="false">F5*Assumptions!$B$19</f>
        <v>38278.1226347109</v>
      </c>
      <c r="G6" s="7" t="n">
        <f aca="false">G5*Assumptions!$B$20</f>
        <v>39607.3216638153</v>
      </c>
    </row>
    <row r="7" customFormat="false" ht="15" hidden="false" customHeight="false" outlineLevel="0" collapsed="false">
      <c r="A7" s="5" t="s">
        <v>228</v>
      </c>
      <c r="B7" s="7" t="n">
        <v>-10672</v>
      </c>
      <c r="C7" s="7" t="n">
        <f aca="false">-C5*Assumptions!$B$21</f>
        <v>-11594.62212</v>
      </c>
      <c r="D7" s="7" t="n">
        <f aca="false">-D5*Assumptions!$B$22</f>
        <v>-11753.8496361</v>
      </c>
      <c r="E7" s="7" t="n">
        <f aca="false">-E5*Assumptions!$B$23</f>
        <v>-11910.01966623</v>
      </c>
      <c r="F7" s="7" t="n">
        <f aca="false">-F5*Assumptions!$B$24</f>
        <v>-12027.7587177876</v>
      </c>
      <c r="G7" s="7" t="n">
        <f aca="false">-G5*Assumptions!$B$25</f>
        <v>-12207.7361292581</v>
      </c>
    </row>
    <row r="8" customFormat="false" ht="15" hidden="false" customHeight="false" outlineLevel="0" collapsed="false">
      <c r="A8" s="5" t="s">
        <v>229</v>
      </c>
      <c r="B8" s="7" t="n">
        <f aca="false">B6+B7</f>
        <v>21350</v>
      </c>
      <c r="C8" s="7" t="n">
        <f aca="false">C6+C7</f>
        <v>22553.92248</v>
      </c>
      <c r="D8" s="7" t="n">
        <f aca="false">D6+D7</f>
        <v>23754.2835303</v>
      </c>
      <c r="E8" s="7" t="n">
        <f aca="false">E6+E7</f>
        <v>25011.041299083</v>
      </c>
      <c r="F8" s="7" t="n">
        <f aca="false">F6+F7</f>
        <v>26250.3639169233</v>
      </c>
      <c r="G8" s="7" t="n">
        <f aca="false">G6+G7</f>
        <v>27399.5855345571</v>
      </c>
    </row>
    <row r="9" customFormat="false" ht="15" hidden="false" customHeight="false" outlineLevel="0" collapsed="false">
      <c r="A9" s="5" t="s">
        <v>230</v>
      </c>
      <c r="C9" s="7" t="n">
        <f aca="false">C8*(1-Assumptions!$B$42)</f>
        <v>14332.8824125051</v>
      </c>
      <c r="D9" s="7" t="n">
        <f aca="false">D8*(1-Assumptions!$B$42)</f>
        <v>15095.7046578045</v>
      </c>
      <c r="E9" s="7" t="n">
        <f aca="false">E8*(1-Assumptions!$B$42)</f>
        <v>15894.3666793194</v>
      </c>
      <c r="F9" s="7" t="n">
        <f aca="false">F8*(1-Assumptions!$B$42)</f>
        <v>16681.9487670212</v>
      </c>
      <c r="G9" s="7" t="n">
        <f aca="false">G8*(1-Assumptions!$B$42)</f>
        <v>17412.2722096979</v>
      </c>
    </row>
    <row r="10" customFormat="false" ht="15" hidden="false" customHeight="false" outlineLevel="0" collapsed="false">
      <c r="A10" s="5" t="s">
        <v>231</v>
      </c>
      <c r="C10" s="7" t="n">
        <f aca="false">-C7</f>
        <v>11594.62212</v>
      </c>
      <c r="D10" s="7" t="n">
        <f aca="false">-D7</f>
        <v>11753.8496361</v>
      </c>
      <c r="E10" s="7" t="n">
        <f aca="false">-E7</f>
        <v>11910.01966623</v>
      </c>
      <c r="F10" s="7" t="n">
        <f aca="false">-F7</f>
        <v>12027.7587177876</v>
      </c>
      <c r="G10" s="7" t="n">
        <f aca="false">-G7</f>
        <v>12207.7361292581</v>
      </c>
    </row>
    <row r="11" customFormat="false" ht="15" hidden="false" customHeight="false" outlineLevel="0" collapsed="false">
      <c r="A11" s="5" t="s">
        <v>232</v>
      </c>
      <c r="C11" s="7" t="n">
        <f aca="false">-C5*Assumptions!$B$26</f>
        <v>-13738.83306</v>
      </c>
      <c r="D11" s="7" t="n">
        <f aca="false">-D5*Assumptions!$B$27</f>
        <v>-13890.9132063</v>
      </c>
      <c r="E11" s="7" t="n">
        <f aca="false">-E5*Assumptions!$B$28</f>
        <v>-14036.8088923425</v>
      </c>
      <c r="F11" s="7" t="n">
        <f aca="false">-F5*Assumptions!$B$29</f>
        <v>-14222.6051991357</v>
      </c>
      <c r="G11" s="7" t="n">
        <f aca="false">-G5*Assumptions!$B$30</f>
        <v>-14468.4280050467</v>
      </c>
    </row>
    <row r="12" customFormat="false" ht="15" hidden="false" customHeight="false" outlineLevel="0" collapsed="false">
      <c r="A12" s="5" t="s">
        <v>233</v>
      </c>
      <c r="C12" s="7" t="n">
        <f aca="false">-C5*Assumptions!$B$31</f>
        <v>-119.12283</v>
      </c>
      <c r="D12" s="7" t="n">
        <f aca="false">-D5*Assumptions!$B$32</f>
        <v>-123.29212905</v>
      </c>
      <c r="E12" s="7" t="n">
        <f aca="false">-E5*Assumptions!$B$33</f>
        <v>-127.60735356675</v>
      </c>
      <c r="F12" s="7" t="n">
        <f aca="false">-F5*Assumptions!$B$34</f>
        <v>-131.690788880886</v>
      </c>
      <c r="G12" s="7" t="n">
        <f aca="false">-G5*Assumptions!$B$35</f>
        <v>-135.641512547313</v>
      </c>
    </row>
    <row r="13" customFormat="false" ht="15" hidden="false" customHeight="false" outlineLevel="0" collapsed="false">
      <c r="A13" s="24" t="s">
        <v>234</v>
      </c>
      <c r="C13" s="29" t="n">
        <f aca="false">C9+C10+C11+C12</f>
        <v>12069.5486425051</v>
      </c>
      <c r="D13" s="29" t="n">
        <f aca="false">D9+D10+D11+D12</f>
        <v>12835.3489585545</v>
      </c>
      <c r="E13" s="29" t="n">
        <f aca="false">E9+E10+E11+E12</f>
        <v>13639.9700996402</v>
      </c>
      <c r="F13" s="29" t="n">
        <f aca="false">F9+F10+F11+F12</f>
        <v>14355.4114967923</v>
      </c>
      <c r="G13" s="29" t="n">
        <f aca="false">G9+G10+G11+G12</f>
        <v>15015.938821362</v>
      </c>
    </row>
    <row r="14" customFormat="false" ht="15" hidden="false" customHeight="false" outlineLevel="0" collapsed="false">
      <c r="A14" s="5" t="s">
        <v>235</v>
      </c>
      <c r="C14" s="30" t="n">
        <f aca="false">1/(1+Assumptions!$B$57)^1</f>
        <v>0.929181289928833</v>
      </c>
      <c r="D14" s="30" t="n">
        <f aca="false">1/(1+Assumptions!$B$57)^2</f>
        <v>0.86337786955381</v>
      </c>
      <c r="E14" s="30" t="n">
        <f aca="false">1/(1+Assumptions!$B$57)^3</f>
        <v>0.802234562528017</v>
      </c>
      <c r="F14" s="30" t="n">
        <f aca="false">1/(1+Assumptions!$B$57)^4</f>
        <v>0.745421345635276</v>
      </c>
      <c r="G14" s="30" t="n">
        <f aca="false">1/(1+Assumptions!$B$57)^5</f>
        <v>0.692631567477872</v>
      </c>
    </row>
    <row r="15" customFormat="false" ht="15" hidden="false" customHeight="false" outlineLevel="0" collapsed="false">
      <c r="A15" s="24" t="s">
        <v>236</v>
      </c>
      <c r="C15" s="29" t="n">
        <f aca="false">C13*C14</f>
        <v>11214.7987765017</v>
      </c>
      <c r="D15" s="29" t="n">
        <f aca="false">D13*D14</f>
        <v>11081.7562388165</v>
      </c>
      <c r="E15" s="29" t="n">
        <f aca="false">E13*E14</f>
        <v>10942.4554457801</v>
      </c>
      <c r="F15" s="29" t="n">
        <f aca="false">F13*F14</f>
        <v>10700.830155087</v>
      </c>
      <c r="G15" s="29" t="n">
        <f aca="false">G13*G14</f>
        <v>10400.5132429918</v>
      </c>
    </row>
    <row r="17" customFormat="false" ht="15" hidden="false" customHeight="false" outlineLevel="0" collapsed="false">
      <c r="A17" s="24" t="s">
        <v>237</v>
      </c>
      <c r="B17" s="29" t="n">
        <f aca="false">SUM(C15:G15)</f>
        <v>54340.353859177</v>
      </c>
    </row>
    <row r="18" customFormat="false" ht="15" hidden="false" customHeight="false" outlineLevel="0" collapsed="false">
      <c r="A18" s="5" t="s">
        <v>238</v>
      </c>
      <c r="B18" s="7" t="n">
        <f aca="false">G13*(1+Assumptions!$B$54)/(Assumptions!$B$57-Assumptions!$B$54)</f>
        <v>300516.699234043</v>
      </c>
    </row>
    <row r="19" customFormat="false" ht="15" hidden="false" customHeight="false" outlineLevel="0" collapsed="false">
      <c r="A19" s="5" t="s">
        <v>239</v>
      </c>
      <c r="B19" s="7" t="n">
        <f aca="false">B18*G14</f>
        <v>208147.352443751</v>
      </c>
    </row>
    <row r="20" customFormat="false" ht="15" hidden="false" customHeight="false" outlineLevel="0" collapsed="false">
      <c r="A20" s="24" t="s">
        <v>240</v>
      </c>
      <c r="B20" s="29" t="n">
        <f aca="false">B17+B19</f>
        <v>262487.706302928</v>
      </c>
    </row>
    <row r="21" customFormat="false" ht="15" hidden="false" customHeight="false" outlineLevel="0" collapsed="false">
      <c r="A21" s="5" t="s">
        <v>241</v>
      </c>
      <c r="B21" s="31" t="n">
        <f aca="false">B19/B20</f>
        <v>0.792979432734024</v>
      </c>
    </row>
    <row r="23" customFormat="false" ht="15" hidden="false" customHeight="false" outlineLevel="0" collapsed="false">
      <c r="A23" s="14" t="s">
        <v>242</v>
      </c>
      <c r="B23" s="32" t="n">
        <f aca="false">Assumptions!$B$55</f>
        <v>0.0917</v>
      </c>
    </row>
    <row r="24" customFormat="false" ht="15" hidden="false" customHeight="false" outlineLevel="0" collapsed="false">
      <c r="A24" s="14" t="s">
        <v>243</v>
      </c>
      <c r="B24" s="32" t="n">
        <f aca="false">Assumptions!$B$57</f>
        <v>0.0762162463221695</v>
      </c>
      <c r="C24" s="32" t="n">
        <f aca="false">Assumptions!$B$58</f>
        <v>0.0766480969609623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.5"/>
  </cols>
  <sheetData>
    <row r="1" customFormat="false" ht="16.15" hidden="false" customHeight="false" outlineLevel="0" collapsed="false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245</v>
      </c>
    </row>
    <row r="4" customFormat="false" ht="15" hidden="false" customHeight="false" outlineLevel="0" collapsed="false">
      <c r="B4" s="10" t="s">
        <v>246</v>
      </c>
      <c r="C4" s="10" t="s">
        <v>247</v>
      </c>
      <c r="D4" s="10" t="s">
        <v>248</v>
      </c>
      <c r="E4" s="10" t="s">
        <v>221</v>
      </c>
      <c r="F4" s="10" t="s">
        <v>222</v>
      </c>
      <c r="G4" s="10" t="s">
        <v>223</v>
      </c>
      <c r="H4" s="10" t="s">
        <v>224</v>
      </c>
      <c r="I4" s="10" t="s">
        <v>225</v>
      </c>
    </row>
    <row r="5" customFormat="false" ht="15" hidden="false" customHeight="false" outlineLevel="0" collapsed="false">
      <c r="A5" s="24" t="s">
        <v>226</v>
      </c>
      <c r="B5" s="29" t="n">
        <v>53752</v>
      </c>
      <c r="C5" s="29" t="n">
        <v>59203</v>
      </c>
      <c r="D5" s="29" t="n">
        <v>72858</v>
      </c>
      <c r="E5" s="29" t="n">
        <f aca="false">D5*(1+Assumptions!$B$9)</f>
        <v>79415.22</v>
      </c>
      <c r="F5" s="29" t="n">
        <f aca="false">E5*(1+Assumptions!$B$10)</f>
        <v>82194.7527</v>
      </c>
      <c r="G5" s="29" t="n">
        <f aca="false">F5*(1+Assumptions!$B$11)</f>
        <v>85071.5690445</v>
      </c>
      <c r="H5" s="29" t="n">
        <f aca="false">G5*(1+Assumptions!$B$12)</f>
        <v>87793.859253924</v>
      </c>
      <c r="I5" s="29" t="n">
        <f aca="false">H5*(1+Assumptions!$B$13)</f>
        <v>90427.6750315417</v>
      </c>
    </row>
    <row r="6" customFormat="false" ht="15" hidden="false" customHeight="false" outlineLevel="0" collapsed="false">
      <c r="A6" s="5" t="s">
        <v>249</v>
      </c>
      <c r="B6" s="7" t="n">
        <v>-14714</v>
      </c>
      <c r="C6" s="7" t="n">
        <v>-17784</v>
      </c>
      <c r="D6" s="7" t="n">
        <v>-22759</v>
      </c>
      <c r="E6" s="5"/>
      <c r="F6" s="5"/>
      <c r="G6" s="5"/>
      <c r="H6" s="5"/>
      <c r="I6" s="5"/>
    </row>
    <row r="7" customFormat="false" ht="15" hidden="false" customHeight="false" outlineLevel="0" collapsed="false">
      <c r="A7" s="5" t="s">
        <v>250</v>
      </c>
      <c r="B7" s="7" t="n">
        <v>-4354</v>
      </c>
      <c r="C7" s="7" t="n">
        <v>-5245</v>
      </c>
      <c r="D7" s="7" t="n">
        <v>-6044</v>
      </c>
      <c r="E7" s="5"/>
      <c r="F7" s="5"/>
      <c r="G7" s="5"/>
      <c r="H7" s="5"/>
      <c r="I7" s="5"/>
    </row>
    <row r="8" customFormat="false" ht="15" hidden="false" customHeight="false" outlineLevel="0" collapsed="false">
      <c r="A8" s="5" t="s">
        <v>251</v>
      </c>
      <c r="B8" s="7" t="n">
        <v>-2851</v>
      </c>
      <c r="C8" s="7" t="n">
        <v>-3162</v>
      </c>
      <c r="D8" s="7" t="n">
        <v>-3863</v>
      </c>
      <c r="E8" s="5"/>
      <c r="F8" s="5"/>
      <c r="G8" s="5"/>
      <c r="H8" s="5"/>
      <c r="I8" s="5"/>
    </row>
    <row r="9" customFormat="false" ht="15" hidden="false" customHeight="false" outlineLevel="0" collapsed="false">
      <c r="A9" s="5" t="s">
        <v>252</v>
      </c>
      <c r="B9" s="7" t="n">
        <v>-979</v>
      </c>
      <c r="C9" s="7" t="n">
        <v>-1204</v>
      </c>
      <c r="D9" s="7" t="n">
        <v>-1461</v>
      </c>
      <c r="E9" s="5"/>
      <c r="F9" s="5"/>
      <c r="G9" s="5"/>
      <c r="H9" s="5"/>
      <c r="I9" s="5"/>
    </row>
    <row r="10" customFormat="false" ht="15" hidden="false" customHeight="false" outlineLevel="0" collapsed="false">
      <c r="A10" s="5" t="s">
        <v>253</v>
      </c>
      <c r="B10" s="7" t="n">
        <v>-3905</v>
      </c>
      <c r="C10" s="7" t="n">
        <v>-4770</v>
      </c>
      <c r="D10" s="7" t="n">
        <v>-5610</v>
      </c>
      <c r="E10" s="5"/>
      <c r="F10" s="5"/>
      <c r="G10" s="5"/>
      <c r="H10" s="5"/>
      <c r="I10" s="5"/>
    </row>
    <row r="11" customFormat="false" ht="15" hidden="false" customHeight="false" outlineLevel="0" collapsed="false">
      <c r="A11" s="5" t="s">
        <v>254</v>
      </c>
      <c r="B11" s="7" t="n">
        <f aca="false">-SUM(B6:B10)</f>
        <v>26803</v>
      </c>
      <c r="C11" s="7" t="n">
        <f aca="false">-SUM(C6:C10)</f>
        <v>32165</v>
      </c>
      <c r="D11" s="7" t="n">
        <f aca="false">-SUM(D6:D10)</f>
        <v>39737</v>
      </c>
      <c r="E11" s="7" t="n">
        <f aca="false">-(E5-E12)</f>
        <v>-45266.6754</v>
      </c>
      <c r="F11" s="7" t="n">
        <f aca="false">-(F5-F12)</f>
        <v>-46686.6195336</v>
      </c>
      <c r="G11" s="7" t="n">
        <f aca="false">-(G5-G12)</f>
        <v>-48150.508079187</v>
      </c>
      <c r="H11" s="7" t="n">
        <f aca="false">-(H5-H12)</f>
        <v>-49515.7366192131</v>
      </c>
      <c r="I11" s="7" t="n">
        <f aca="false">-(I5-I12)</f>
        <v>-50820.3533677264</v>
      </c>
    </row>
    <row r="12" customFormat="false" ht="15" hidden="false" customHeight="false" outlineLevel="0" collapsed="false">
      <c r="A12" s="24" t="s">
        <v>227</v>
      </c>
      <c r="B12" s="29" t="n">
        <v>26117</v>
      </c>
      <c r="C12" s="29" t="n">
        <v>26454</v>
      </c>
      <c r="D12" s="29" t="n">
        <v>32022</v>
      </c>
      <c r="E12" s="29" t="n">
        <f aca="false">E5*Assumptions!$B$16</f>
        <v>34148.5446</v>
      </c>
      <c r="F12" s="29" t="n">
        <f aca="false">F5*Assumptions!$B$17</f>
        <v>35508.1331664</v>
      </c>
      <c r="G12" s="29" t="n">
        <f aca="false">G5*Assumptions!$B$18</f>
        <v>36921.060965313</v>
      </c>
      <c r="H12" s="29" t="n">
        <f aca="false">H5*Assumptions!$B$19</f>
        <v>38278.1226347109</v>
      </c>
      <c r="I12" s="29" t="n">
        <f aca="false">I5*Assumptions!$B$20</f>
        <v>39607.3216638153</v>
      </c>
    </row>
    <row r="13" customFormat="false" ht="15" hidden="false" customHeight="false" outlineLevel="0" collapsed="false">
      <c r="A13" s="5" t="s">
        <v>255</v>
      </c>
      <c r="B13" s="9" t="n">
        <f aca="false">B12/B5</f>
        <v>0.485879595177854</v>
      </c>
      <c r="C13" s="9" t="n">
        <f aca="false">C12/C5</f>
        <v>0.446835464419033</v>
      </c>
      <c r="D13" s="9" t="n">
        <f aca="false">D12/D5</f>
        <v>0.439512476323808</v>
      </c>
      <c r="E13" s="9" t="n">
        <f aca="false">E12/E5</f>
        <v>0.43</v>
      </c>
      <c r="F13" s="9" t="n">
        <f aca="false">F12/F5</f>
        <v>0.432</v>
      </c>
      <c r="G13" s="9" t="n">
        <f aca="false">G12/G5</f>
        <v>0.434</v>
      </c>
      <c r="H13" s="9" t="n">
        <f aca="false">H12/H5</f>
        <v>0.436</v>
      </c>
      <c r="I13" s="9" t="n">
        <f aca="false">I12/I5</f>
        <v>0.438</v>
      </c>
    </row>
    <row r="14" customFormat="false" ht="15" hidden="false" customHeight="false" outlineLevel="0" collapsed="false">
      <c r="A14" s="5" t="s">
        <v>256</v>
      </c>
      <c r="B14" s="7" t="n">
        <v>-7569</v>
      </c>
      <c r="C14" s="7" t="n">
        <v>-7313</v>
      </c>
      <c r="D14" s="7" t="n">
        <v>-10672</v>
      </c>
      <c r="E14" s="7" t="n">
        <f aca="false">-E5*Assumptions!$B$21</f>
        <v>-11594.62212</v>
      </c>
      <c r="F14" s="7" t="n">
        <f aca="false">-F5*Assumptions!$B$22</f>
        <v>-11753.8496361</v>
      </c>
      <c r="G14" s="7" t="n">
        <f aca="false">-G5*Assumptions!$B$23</f>
        <v>-11910.01966623</v>
      </c>
      <c r="H14" s="7" t="n">
        <f aca="false">-H5*Assumptions!$B$24</f>
        <v>-12027.7587177876</v>
      </c>
      <c r="I14" s="7" t="n">
        <f aca="false">-I5*Assumptions!$B$25</f>
        <v>-12207.7361292581</v>
      </c>
    </row>
    <row r="15" customFormat="false" ht="15" hidden="false" customHeight="false" outlineLevel="0" collapsed="false">
      <c r="A15" s="5" t="s">
        <v>257</v>
      </c>
      <c r="B15" s="7" t="s">
        <v>258</v>
      </c>
      <c r="C15" s="7" t="n">
        <v>2475.4</v>
      </c>
      <c r="D15" s="7" t="n">
        <v>1948.5</v>
      </c>
      <c r="E15" s="22" t="n">
        <f aca="false">Assumptions!$B$83</f>
        <v>1200</v>
      </c>
      <c r="F15" s="22" t="n">
        <f aca="false">Assumptions!$B$83</f>
        <v>1200</v>
      </c>
      <c r="G15" s="22" t="n">
        <f aca="false">Assumptions!$B$83</f>
        <v>1200</v>
      </c>
      <c r="H15" s="22" t="n">
        <f aca="false">Assumptions!$B$83</f>
        <v>1200</v>
      </c>
      <c r="I15" s="22" t="n">
        <f aca="false">Assumptions!$B$83</f>
        <v>1200</v>
      </c>
    </row>
    <row r="16" customFormat="false" ht="15" hidden="false" customHeight="false" outlineLevel="0" collapsed="false">
      <c r="A16" s="5" t="s">
        <v>259</v>
      </c>
      <c r="B16" s="7" t="s">
        <v>258</v>
      </c>
      <c r="C16" s="7" t="n">
        <v>-1294.6</v>
      </c>
      <c r="D16" s="7" t="n">
        <v>-26.8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</row>
    <row r="17" customFormat="false" ht="15" hidden="false" customHeight="false" outlineLevel="0" collapsed="false">
      <c r="A17" s="5" t="s">
        <v>260</v>
      </c>
      <c r="B17" s="7" t="s">
        <v>258</v>
      </c>
      <c r="C17" s="7" t="n">
        <v>-260</v>
      </c>
      <c r="D17" s="7" t="n">
        <v>-28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</row>
    <row r="18" customFormat="false" ht="15" hidden="false" customHeight="false" outlineLevel="0" collapsed="false">
      <c r="A18" s="24" t="s">
        <v>261</v>
      </c>
      <c r="B18" s="29" t="s">
        <v>258</v>
      </c>
      <c r="C18" s="29" t="n">
        <v>20061.4</v>
      </c>
      <c r="D18" s="29" t="n">
        <v>23240.7</v>
      </c>
      <c r="E18" s="29" t="n">
        <f aca="false">E12+E14+E15+E16+E17</f>
        <v>23753.92248</v>
      </c>
      <c r="F18" s="29" t="n">
        <f aca="false">F12+F14+F15+F16+F17</f>
        <v>24954.2835303</v>
      </c>
      <c r="G18" s="29" t="n">
        <f aca="false">G12+G14+G15+G16+G17</f>
        <v>26211.041299083</v>
      </c>
      <c r="H18" s="29" t="n">
        <f aca="false">H12+H14+H15+H16+H17</f>
        <v>27450.3639169233</v>
      </c>
      <c r="I18" s="29" t="n">
        <f aca="false">I12+I14+I15+I16+I17</f>
        <v>28599.5855345571</v>
      </c>
    </row>
    <row r="19" customFormat="false" ht="15" hidden="false" customHeight="false" outlineLevel="0" collapsed="false">
      <c r="A19" s="5" t="s">
        <v>262</v>
      </c>
      <c r="B19" s="7" t="s">
        <v>258</v>
      </c>
      <c r="C19" s="7" t="n">
        <v>-4196.1</v>
      </c>
      <c r="D19" s="7" t="n">
        <v>338.8</v>
      </c>
      <c r="E19" s="5"/>
      <c r="F19" s="5"/>
      <c r="G19" s="5"/>
      <c r="H19" s="5"/>
      <c r="I19" s="5"/>
    </row>
    <row r="20" customFormat="false" ht="15" hidden="false" customHeight="false" outlineLevel="0" collapsed="false">
      <c r="A20" s="5" t="s">
        <v>263</v>
      </c>
      <c r="E20" s="7" t="n">
        <f aca="false">Assumptions!$B$84*0.85^0</f>
        <v>-850</v>
      </c>
      <c r="F20" s="7" t="n">
        <f aca="false">Assumptions!$B$84*0.85^1</f>
        <v>-722.5</v>
      </c>
      <c r="G20" s="7" t="n">
        <f aca="false">Assumptions!$B$84*0.85^2</f>
        <v>-614.125</v>
      </c>
      <c r="H20" s="7" t="n">
        <f aca="false">Assumptions!$B$84*0.85^3</f>
        <v>-522.00625</v>
      </c>
      <c r="I20" s="7" t="n">
        <f aca="false">Assumptions!$B$84*0.85^4</f>
        <v>-443.7053125</v>
      </c>
    </row>
    <row r="21" customFormat="false" ht="15" hidden="false" customHeight="false" outlineLevel="0" collapsed="false">
      <c r="A21" s="5" t="s">
        <v>264</v>
      </c>
      <c r="E21" s="7" t="n">
        <f aca="false">-(E18+E20)*Assumptions!$B$85</f>
        <v>-9047.0493796</v>
      </c>
      <c r="F21" s="7" t="n">
        <f aca="false">-(F18+F20)*Assumptions!$B$85</f>
        <v>-9571.5544944685</v>
      </c>
      <c r="G21" s="7" t="n">
        <f aca="false">-(G18+G20)*Assumptions!$B$85</f>
        <v>-10110.7819381378</v>
      </c>
      <c r="H21" s="7" t="n">
        <f aca="false">-(H18+H20)*Assumptions!$B$85</f>
        <v>-10636.7012784347</v>
      </c>
      <c r="I21" s="7" t="n">
        <f aca="false">-(I18+I20)*Assumptions!$B$85</f>
        <v>-11121.5726877126</v>
      </c>
    </row>
    <row r="22" customFormat="false" ht="15" hidden="false" customHeight="false" outlineLevel="0" collapsed="false">
      <c r="A22" s="5" t="s">
        <v>265</v>
      </c>
      <c r="B22" s="7" t="s">
        <v>258</v>
      </c>
      <c r="C22" s="7" t="n">
        <v>-5282</v>
      </c>
      <c r="D22" s="7" t="n">
        <v>-7423</v>
      </c>
    </row>
    <row r="23" customFormat="false" ht="15" hidden="false" customHeight="false" outlineLevel="0" collapsed="false">
      <c r="A23" s="24" t="s">
        <v>266</v>
      </c>
      <c r="B23" s="29" t="s">
        <v>258</v>
      </c>
      <c r="C23" s="29" t="n">
        <v>10583.3</v>
      </c>
      <c r="D23" s="29" t="n">
        <v>16156.5</v>
      </c>
      <c r="E23" s="29" t="n">
        <f aca="false">E18+E20+E21</f>
        <v>13856.8731004</v>
      </c>
      <c r="F23" s="29" t="n">
        <f aca="false">F18+F20+F21</f>
        <v>14660.2290358315</v>
      </c>
      <c r="G23" s="29" t="n">
        <f aca="false">G18+G20+G21</f>
        <v>15486.1343609452</v>
      </c>
      <c r="H23" s="29" t="n">
        <f aca="false">H18+H20+H21</f>
        <v>16291.6563884886</v>
      </c>
      <c r="I23" s="29" t="n">
        <f aca="false">I18+I20+I21</f>
        <v>17034.3075343446</v>
      </c>
    </row>
    <row r="24" customFormat="false" ht="15" hidden="false" customHeight="false" outlineLevel="0" collapsed="false">
      <c r="A24" s="5" t="s">
        <v>267</v>
      </c>
      <c r="B24" s="7" t="s">
        <v>258</v>
      </c>
      <c r="C24" s="7" t="n">
        <v>-169.1</v>
      </c>
      <c r="D24" s="7" t="n">
        <v>1796.3</v>
      </c>
      <c r="E24" s="7" t="n">
        <f aca="false">E23*Assumptions!$B$86</f>
        <v>1593.540406546</v>
      </c>
      <c r="F24" s="7" t="n">
        <f aca="false">F23*Assumptions!$B$86</f>
        <v>1685.92633912062</v>
      </c>
      <c r="G24" s="7" t="n">
        <f aca="false">G23*Assumptions!$B$86</f>
        <v>1780.9054515087</v>
      </c>
      <c r="H24" s="7" t="n">
        <f aca="false">H23*Assumptions!$B$86</f>
        <v>1873.54048467619</v>
      </c>
      <c r="I24" s="7" t="n">
        <f aca="false">I23*Assumptions!$B$86</f>
        <v>1958.94536644963</v>
      </c>
    </row>
    <row r="25" customFormat="false" ht="15" hidden="false" customHeight="false" outlineLevel="0" collapsed="false">
      <c r="A25" s="15" t="s">
        <v>268</v>
      </c>
      <c r="B25" s="23" t="n">
        <v>10305</v>
      </c>
      <c r="C25" s="23" t="n">
        <v>10752.5</v>
      </c>
      <c r="D25" s="23" t="n">
        <v>14360.2</v>
      </c>
      <c r="E25" s="23" t="n">
        <f aca="false">E23-E24</f>
        <v>12263.332693854</v>
      </c>
      <c r="F25" s="23" t="n">
        <f aca="false">F23-F24</f>
        <v>12974.3026967109</v>
      </c>
      <c r="G25" s="23" t="n">
        <f aca="false">G23-G24</f>
        <v>13705.2289094365</v>
      </c>
      <c r="H25" s="23" t="n">
        <f aca="false">H23-H24</f>
        <v>14418.1159038124</v>
      </c>
      <c r="I25" s="23" t="n">
        <f aca="false">I23-I24</f>
        <v>15075.3621678949</v>
      </c>
    </row>
    <row r="26" customFormat="false" ht="15" hidden="false" customHeight="false" outlineLevel="0" collapsed="false">
      <c r="A26" s="5" t="s">
        <v>269</v>
      </c>
      <c r="B26" s="12" t="n">
        <v>1.18</v>
      </c>
      <c r="C26" s="12" t="n">
        <v>1.24</v>
      </c>
      <c r="D26" s="12" t="n">
        <v>1.65</v>
      </c>
      <c r="E26" s="12" t="n">
        <f aca="false">E25/Assumptions!$B$6*1000/1000</f>
        <v>1.41009712697245</v>
      </c>
      <c r="F26" s="12" t="n">
        <f aca="false">F25/Assumptions!$B$6*1000/1000</f>
        <v>1.49184788620077</v>
      </c>
      <c r="G26" s="12" t="n">
        <f aca="false">G25/Assumptions!$B$6*1000/1000</f>
        <v>1.57589330666872</v>
      </c>
      <c r="H26" s="12" t="n">
        <f aca="false">H25/Assumptions!$B$6*1000/1000</f>
        <v>1.65786449082564</v>
      </c>
      <c r="I26" s="12" t="n">
        <f aca="false">I25/Assumptions!$B$6*1000/1000</f>
        <v>1.73343783551363</v>
      </c>
    </row>
    <row r="27" customFormat="false" ht="15" hidden="false" customHeight="false" outlineLevel="0" collapsed="false">
      <c r="A27" s="5" t="s">
        <v>270</v>
      </c>
      <c r="D27" s="12" t="n">
        <v>1.31</v>
      </c>
    </row>
    <row r="29" customFormat="false" ht="15" hidden="false" customHeight="false" outlineLevel="0" collapsed="false">
      <c r="A29" s="1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.5"/>
  </cols>
  <sheetData>
    <row r="1" customFormat="false" ht="16.15" hidden="false" customHeight="false" outlineLevel="0" collapsed="false">
      <c r="A1" s="1" t="s">
        <v>272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273</v>
      </c>
    </row>
    <row r="4" customFormat="false" ht="15" hidden="false" customHeight="false" outlineLevel="0" collapsed="false">
      <c r="B4" s="10" t="s">
        <v>274</v>
      </c>
      <c r="C4" s="10" t="s">
        <v>275</v>
      </c>
      <c r="D4" s="10" t="s">
        <v>276</v>
      </c>
      <c r="E4" s="10" t="s">
        <v>277</v>
      </c>
    </row>
    <row r="5" customFormat="false" ht="15" hidden="false" customHeight="false" outlineLevel="0" collapsed="false">
      <c r="A5" s="5" t="s">
        <v>278</v>
      </c>
      <c r="B5" s="7" t="n">
        <v>28989</v>
      </c>
      <c r="C5" s="7" t="n">
        <v>33628</v>
      </c>
      <c r="D5" s="7" t="n">
        <v>34308</v>
      </c>
      <c r="E5" s="7" t="n">
        <v>36782</v>
      </c>
    </row>
    <row r="6" customFormat="false" ht="15" hidden="false" customHeight="false" outlineLevel="0" collapsed="false">
      <c r="A6" s="5" t="s">
        <v>279</v>
      </c>
      <c r="B6" s="7" t="s">
        <v>258</v>
      </c>
      <c r="C6" s="7" t="s">
        <v>258</v>
      </c>
      <c r="D6" s="7" t="n">
        <v>10425</v>
      </c>
      <c r="E6" s="7" t="n">
        <v>10765</v>
      </c>
    </row>
    <row r="7" customFormat="false" ht="15" hidden="false" customHeight="false" outlineLevel="0" collapsed="false">
      <c r="A7" s="5" t="s">
        <v>280</v>
      </c>
      <c r="B7" s="7" t="s">
        <v>258</v>
      </c>
      <c r="C7" s="7" t="n">
        <v>24955</v>
      </c>
      <c r="D7" s="7" t="n">
        <v>30068</v>
      </c>
      <c r="E7" s="7" t="n">
        <v>30068</v>
      </c>
    </row>
    <row r="8" customFormat="false" ht="15" hidden="false" customHeight="false" outlineLevel="0" collapsed="false">
      <c r="A8" s="5" t="s">
        <v>281</v>
      </c>
      <c r="B8" s="7" t="s">
        <v>258</v>
      </c>
      <c r="C8" s="7" t="s">
        <v>258</v>
      </c>
      <c r="D8" s="7" t="n">
        <v>21128</v>
      </c>
      <c r="E8" s="7" t="n">
        <v>20885</v>
      </c>
    </row>
    <row r="9" customFormat="false" ht="15" hidden="false" customHeight="false" outlineLevel="0" collapsed="false">
      <c r="A9" s="24" t="s">
        <v>282</v>
      </c>
      <c r="B9" s="29" t="n">
        <v>147613</v>
      </c>
      <c r="C9" s="29" t="n">
        <v>183327</v>
      </c>
      <c r="D9" s="29" t="n">
        <v>205059</v>
      </c>
      <c r="E9" s="29" t="n">
        <v>207682</v>
      </c>
    </row>
    <row r="10" customFormat="false" ht="15" hidden="false" customHeight="false" outlineLevel="0" collapsed="false">
      <c r="A10" s="5" t="s">
        <v>283</v>
      </c>
      <c r="B10" s="7" t="n">
        <v>49041</v>
      </c>
      <c r="C10" s="7" t="n">
        <v>69195</v>
      </c>
      <c r="D10" s="7" t="n">
        <v>67639</v>
      </c>
      <c r="E10" s="7" t="n">
        <v>66574</v>
      </c>
    </row>
    <row r="11" customFormat="false" ht="15" hidden="false" customHeight="false" outlineLevel="0" collapsed="false">
      <c r="A11" s="14" t="s">
        <v>284</v>
      </c>
      <c r="B11" s="5"/>
      <c r="C11" s="5"/>
      <c r="D11" s="5"/>
      <c r="E11" s="5"/>
    </row>
    <row r="12" customFormat="false" ht="15" hidden="false" customHeight="false" outlineLevel="0" collapsed="false">
      <c r="A12" s="24" t="s">
        <v>285</v>
      </c>
      <c r="B12" s="29" t="n">
        <v>20051</v>
      </c>
      <c r="C12" s="29" t="n">
        <v>35567</v>
      </c>
      <c r="D12" s="29" t="n">
        <v>33331</v>
      </c>
      <c r="E12" s="29" t="n">
        <v>29792</v>
      </c>
    </row>
    <row r="13" customFormat="false" ht="15" hidden="false" customHeight="false" outlineLevel="0" collapsed="false">
      <c r="A13" s="5" t="s">
        <v>286</v>
      </c>
      <c r="B13" s="7" t="s">
        <v>258</v>
      </c>
      <c r="C13" s="7" t="n">
        <v>8098</v>
      </c>
      <c r="D13" s="7" t="n">
        <v>11658</v>
      </c>
      <c r="E13" s="7" t="n">
        <v>11658</v>
      </c>
    </row>
    <row r="14" customFormat="false" ht="15" hidden="false" customHeight="false" outlineLevel="0" collapsed="false">
      <c r="A14" s="5" t="s">
        <v>287</v>
      </c>
      <c r="B14" s="7" t="s">
        <v>258</v>
      </c>
      <c r="C14" s="7" t="s">
        <v>258</v>
      </c>
      <c r="D14" s="7" t="n">
        <v>9053</v>
      </c>
      <c r="E14" s="7" t="n">
        <v>9287</v>
      </c>
    </row>
    <row r="15" customFormat="false" ht="15" hidden="false" customHeight="false" outlineLevel="0" collapsed="false">
      <c r="A15" s="24" t="s">
        <v>288</v>
      </c>
      <c r="B15" s="29" t="s">
        <v>258</v>
      </c>
      <c r="C15" s="29" t="n">
        <v>45601</v>
      </c>
      <c r="D15" s="29" t="n">
        <v>51708</v>
      </c>
      <c r="E15" s="29" t="n">
        <v>50488</v>
      </c>
    </row>
    <row r="16" customFormat="false" ht="15" hidden="false" customHeight="false" outlineLevel="0" collapsed="false">
      <c r="A16" s="5" t="s">
        <v>289</v>
      </c>
      <c r="B16" s="7" t="s">
        <v>258</v>
      </c>
      <c r="C16" s="7" t="n">
        <v>8320</v>
      </c>
      <c r="D16" s="7" t="n">
        <v>10055</v>
      </c>
      <c r="E16" s="7" t="n">
        <v>9369</v>
      </c>
    </row>
    <row r="17" customFormat="false" ht="15" hidden="false" customHeight="false" outlineLevel="0" collapsed="false">
      <c r="A17" s="24" t="s">
        <v>290</v>
      </c>
      <c r="B17" s="29" t="n">
        <v>51710</v>
      </c>
      <c r="C17" s="29" t="n">
        <v>53920</v>
      </c>
      <c r="D17" s="29" t="n">
        <v>61763</v>
      </c>
      <c r="E17" s="29" t="n">
        <v>59857</v>
      </c>
    </row>
    <row r="18" customFormat="false" ht="15" hidden="false" customHeight="false" outlineLevel="0" collapsed="false">
      <c r="A18" s="5" t="s">
        <v>291</v>
      </c>
      <c r="C18" s="28" t="n">
        <v>1.34448476600892</v>
      </c>
      <c r="D18" s="28" t="n">
        <v>1.04087814627444</v>
      </c>
      <c r="E18" s="28" t="n">
        <f aca="false">E12/32747</f>
        <v>0.909762726356613</v>
      </c>
    </row>
    <row r="20" customFormat="false" ht="15" hidden="false" customHeight="false" outlineLevel="0" collapsed="false">
      <c r="A20" s="14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.5"/>
  </cols>
  <sheetData>
    <row r="1" customFormat="false" ht="16.15" hidden="false" customHeight="false" outlineLevel="0" collapsed="false">
      <c r="A1" s="1" t="s">
        <v>293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294</v>
      </c>
    </row>
    <row r="4" customFormat="false" ht="15" hidden="false" customHeight="false" outlineLevel="0" collapsed="false">
      <c r="B4" s="10" t="s">
        <v>246</v>
      </c>
      <c r="C4" s="10" t="s">
        <v>247</v>
      </c>
      <c r="D4" s="10" t="s">
        <v>248</v>
      </c>
    </row>
    <row r="5" customFormat="false" ht="15" hidden="false" customHeight="false" outlineLevel="0" collapsed="false">
      <c r="A5" s="24" t="s">
        <v>295</v>
      </c>
      <c r="B5" s="29" t="n">
        <v>15206</v>
      </c>
      <c r="C5" s="29" t="n">
        <v>21733</v>
      </c>
      <c r="D5" s="29" t="n">
        <v>26051</v>
      </c>
    </row>
    <row r="6" customFormat="false" ht="15" hidden="false" customHeight="false" outlineLevel="0" collapsed="false">
      <c r="A6" s="5" t="s">
        <v>296</v>
      </c>
      <c r="B6" s="7" t="s">
        <v>258</v>
      </c>
      <c r="C6" s="7" t="n">
        <v>-6328</v>
      </c>
      <c r="D6" s="7" t="n">
        <v>-5274</v>
      </c>
    </row>
    <row r="7" customFormat="false" ht="15" hidden="false" customHeight="false" outlineLevel="0" collapsed="false">
      <c r="A7" s="24" t="s">
        <v>297</v>
      </c>
      <c r="B7" s="29" t="n">
        <v>-8738</v>
      </c>
      <c r="C7" s="29" t="n">
        <v>-15766</v>
      </c>
      <c r="D7" s="29" t="n">
        <v>-8386</v>
      </c>
    </row>
    <row r="8" customFormat="false" ht="15" hidden="false" customHeight="false" outlineLevel="0" collapsed="false">
      <c r="A8" s="5" t="s">
        <v>298</v>
      </c>
      <c r="B8" s="7" t="s">
        <v>258</v>
      </c>
      <c r="C8" s="7" t="n">
        <v>-9507</v>
      </c>
      <c r="D8" s="7" t="n">
        <v>-13668</v>
      </c>
    </row>
    <row r="9" customFormat="false" ht="15" hidden="false" customHeight="false" outlineLevel="0" collapsed="false">
      <c r="A9" s="5" t="s">
        <v>299</v>
      </c>
      <c r="B9" s="7" t="s">
        <v>258</v>
      </c>
      <c r="C9" s="7" t="n">
        <v>-8206</v>
      </c>
      <c r="D9" s="7" t="n">
        <v>-11200</v>
      </c>
    </row>
    <row r="10" customFormat="false" ht="15" hidden="false" customHeight="false" outlineLevel="0" collapsed="false">
      <c r="A10" s="5" t="s">
        <v>300</v>
      </c>
      <c r="B10" s="7"/>
      <c r="C10" s="7"/>
      <c r="D10" s="7" t="n">
        <v>8009</v>
      </c>
    </row>
    <row r="11" customFormat="false" ht="15" hidden="false" customHeight="false" outlineLevel="0" collapsed="false">
      <c r="A11" s="24" t="s">
        <v>301</v>
      </c>
      <c r="B11" s="29" t="n">
        <v>-10599</v>
      </c>
      <c r="C11" s="29" t="n">
        <v>392</v>
      </c>
      <c r="D11" s="29" t="n">
        <v>-17185</v>
      </c>
    </row>
    <row r="12" customFormat="false" ht="15" hidden="false" customHeight="false" outlineLevel="0" collapsed="false">
      <c r="A12" s="5" t="s">
        <v>302</v>
      </c>
      <c r="B12" s="7" t="s">
        <v>258</v>
      </c>
      <c r="C12" s="7" t="s">
        <v>258</v>
      </c>
      <c r="D12" s="7" t="n">
        <v>-8092</v>
      </c>
    </row>
    <row r="13" customFormat="false" ht="15" hidden="false" customHeight="false" outlineLevel="0" collapsed="false">
      <c r="A13" s="5" t="s">
        <v>303</v>
      </c>
      <c r="B13" s="29" t="n">
        <f aca="false">B5+B7+B11</f>
        <v>-4131</v>
      </c>
      <c r="C13" s="29" t="n">
        <f aca="false">C5+C7+C11</f>
        <v>6359</v>
      </c>
      <c r="D13" s="29" t="n">
        <f aca="false">D5+D7+D11</f>
        <v>480</v>
      </c>
    </row>
    <row r="15" customFormat="false" ht="15" hidden="false" customHeight="false" outlineLevel="0" collapsed="false">
      <c r="A15" s="15" t="s">
        <v>304</v>
      </c>
      <c r="C15" s="23" t="n">
        <f aca="false">C5+C8</f>
        <v>12226</v>
      </c>
      <c r="D15" s="23" t="n">
        <f aca="false">D5+D8</f>
        <v>12383</v>
      </c>
    </row>
    <row r="17" customFormat="false" ht="15" hidden="false" customHeight="false" outlineLevel="0" collapsed="false">
      <c r="A17" s="14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.5"/>
  </cols>
  <sheetData>
    <row r="1" customFormat="false" ht="16.15" hidden="false" customHeight="false" outlineLevel="0" collapsed="false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307</v>
      </c>
    </row>
    <row r="4" customFormat="false" ht="15" hidden="false" customHeight="false" outlineLevel="0" collapsed="false">
      <c r="B4" s="10" t="s">
        <v>246</v>
      </c>
      <c r="C4" s="10" t="s">
        <v>247</v>
      </c>
      <c r="D4" s="10" t="s">
        <v>248</v>
      </c>
      <c r="E4" s="10" t="s">
        <v>221</v>
      </c>
      <c r="F4" s="10" t="s">
        <v>222</v>
      </c>
      <c r="G4" s="10" t="s">
        <v>223</v>
      </c>
      <c r="H4" s="10" t="s">
        <v>224</v>
      </c>
      <c r="I4" s="10" t="s">
        <v>225</v>
      </c>
    </row>
    <row r="5" customFormat="false" ht="15" hidden="false" customHeight="false" outlineLevel="0" collapsed="false">
      <c r="A5" s="24" t="s">
        <v>226</v>
      </c>
      <c r="B5" s="22" t="n">
        <f aca="false">'Income Statement'!B5</f>
        <v>53752</v>
      </c>
      <c r="C5" s="22" t="n">
        <f aca="false">'Income Statement'!C5</f>
        <v>59203</v>
      </c>
      <c r="D5" s="22" t="n">
        <f aca="false">'Income Statement'!D5</f>
        <v>72858</v>
      </c>
      <c r="E5" s="22" t="n">
        <f aca="false">'Income Statement'!E5</f>
        <v>79415.22</v>
      </c>
      <c r="F5" s="22" t="n">
        <f aca="false">'Income Statement'!F5</f>
        <v>82194.7527</v>
      </c>
      <c r="G5" s="22" t="n">
        <f aca="false">'Income Statement'!G5</f>
        <v>85071.5690445</v>
      </c>
      <c r="H5" s="22" t="n">
        <f aca="false">'Income Statement'!H5</f>
        <v>87793.859253924</v>
      </c>
      <c r="I5" s="22" t="n">
        <f aca="false">'Income Statement'!I5</f>
        <v>90427.6750315417</v>
      </c>
    </row>
    <row r="6" customFormat="false" ht="15" hidden="false" customHeight="false" outlineLevel="0" collapsed="false">
      <c r="A6" s="24" t="s">
        <v>227</v>
      </c>
      <c r="B6" s="22" t="n">
        <f aca="false">'Income Statement'!B12</f>
        <v>26117</v>
      </c>
      <c r="C6" s="22" t="n">
        <f aca="false">'Income Statement'!C12</f>
        <v>26454</v>
      </c>
      <c r="D6" s="22" t="n">
        <f aca="false">'Income Statement'!D12</f>
        <v>32022</v>
      </c>
      <c r="E6" s="22" t="n">
        <f aca="false">'Income Statement'!E12</f>
        <v>34148.5446</v>
      </c>
      <c r="F6" s="22" t="n">
        <f aca="false">'Income Statement'!F12</f>
        <v>35508.1331664</v>
      </c>
      <c r="G6" s="22" t="n">
        <f aca="false">'Income Statement'!G12</f>
        <v>36921.060965313</v>
      </c>
      <c r="H6" s="22" t="n">
        <f aca="false">'Income Statement'!H12</f>
        <v>38278.1226347109</v>
      </c>
      <c r="I6" s="22" t="n">
        <f aca="false">'Income Statement'!I12</f>
        <v>39607.3216638153</v>
      </c>
    </row>
    <row r="7" customFormat="false" ht="15" hidden="false" customHeight="false" outlineLevel="0" collapsed="false">
      <c r="A7" s="5" t="s">
        <v>255</v>
      </c>
      <c r="B7" s="9" t="n">
        <f aca="false">B6/B5</f>
        <v>0.485879595177854</v>
      </c>
      <c r="C7" s="9" t="n">
        <f aca="false">C6/C5</f>
        <v>0.446835464419033</v>
      </c>
      <c r="D7" s="9" t="n">
        <f aca="false">D6/D5</f>
        <v>0.439512476323808</v>
      </c>
      <c r="E7" s="9" t="n">
        <f aca="false">E6/E5</f>
        <v>0.43</v>
      </c>
      <c r="F7" s="9" t="n">
        <f aca="false">F6/F5</f>
        <v>0.432</v>
      </c>
      <c r="G7" s="9" t="n">
        <f aca="false">G6/G5</f>
        <v>0.434</v>
      </c>
      <c r="H7" s="9" t="n">
        <f aca="false">H6/H5</f>
        <v>0.436</v>
      </c>
      <c r="I7" s="9" t="n">
        <f aca="false">I6/I5</f>
        <v>0.438</v>
      </c>
    </row>
    <row r="8" customFormat="false" ht="15" hidden="false" customHeight="false" outlineLevel="0" collapsed="false">
      <c r="A8" s="5" t="s">
        <v>261</v>
      </c>
      <c r="B8" s="22" t="str">
        <f aca="false">'Income Statement'!B18</f>
        <v>n/d</v>
      </c>
      <c r="C8" s="22" t="n">
        <f aca="false">'Income Statement'!C18</f>
        <v>20061.4</v>
      </c>
      <c r="D8" s="22" t="n">
        <f aca="false">'Income Statement'!D18</f>
        <v>23240.7</v>
      </c>
      <c r="E8" s="22" t="n">
        <f aca="false">'Income Statement'!E18</f>
        <v>23753.92248</v>
      </c>
      <c r="F8" s="22" t="n">
        <f aca="false">'Income Statement'!F18</f>
        <v>24954.2835303</v>
      </c>
      <c r="G8" s="22" t="n">
        <f aca="false">'Income Statement'!G18</f>
        <v>26211.041299083</v>
      </c>
      <c r="H8" s="22" t="n">
        <f aca="false">'Income Statement'!H18</f>
        <v>27450.3639169233</v>
      </c>
      <c r="I8" s="22" t="n">
        <f aca="false">'Income Statement'!I18</f>
        <v>28599.5855345571</v>
      </c>
    </row>
    <row r="9" customFormat="false" ht="15" hidden="false" customHeight="false" outlineLevel="0" collapsed="false">
      <c r="A9" s="5" t="s">
        <v>308</v>
      </c>
      <c r="B9" s="22" t="n">
        <f aca="false">'Income Statement'!B25</f>
        <v>10305</v>
      </c>
      <c r="C9" s="22" t="n">
        <f aca="false">'Income Statement'!C25</f>
        <v>10752.5</v>
      </c>
      <c r="D9" s="22" t="n">
        <f aca="false">'Income Statement'!D25</f>
        <v>14360.2</v>
      </c>
      <c r="E9" s="22" t="n">
        <f aca="false">'Income Statement'!E25</f>
        <v>12263.332693854</v>
      </c>
      <c r="F9" s="22" t="n">
        <f aca="false">'Income Statement'!F25</f>
        <v>12974.3026967109</v>
      </c>
      <c r="G9" s="22" t="n">
        <f aca="false">'Income Statement'!G25</f>
        <v>13705.2289094365</v>
      </c>
      <c r="H9" s="22" t="n">
        <f aca="false">'Income Statement'!H25</f>
        <v>14418.1159038124</v>
      </c>
      <c r="I9" s="22" t="n">
        <f aca="false">'Income Statement'!I25</f>
        <v>15075.3621678949</v>
      </c>
    </row>
    <row r="10" customFormat="false" ht="15" hidden="false" customHeight="false" outlineLevel="0" collapsed="false">
      <c r="A10" s="5" t="s">
        <v>269</v>
      </c>
      <c r="B10" s="6" t="n">
        <f aca="false">'Income Statement'!B26</f>
        <v>1.18</v>
      </c>
      <c r="C10" s="6" t="n">
        <f aca="false">'Income Statement'!C26</f>
        <v>1.24</v>
      </c>
      <c r="D10" s="6" t="n">
        <f aca="false">'Income Statement'!D26</f>
        <v>1.65</v>
      </c>
      <c r="E10" s="6" t="n">
        <f aca="false">'Income Statement'!E26</f>
        <v>1.41009712697245</v>
      </c>
      <c r="F10" s="6" t="n">
        <f aca="false">'Income Statement'!F26</f>
        <v>1.49184788620077</v>
      </c>
      <c r="G10" s="6" t="n">
        <f aca="false">'Income Statement'!G26</f>
        <v>1.57589330666872</v>
      </c>
      <c r="H10" s="6" t="n">
        <f aca="false">'Income Statement'!H26</f>
        <v>1.65786449082564</v>
      </c>
      <c r="I10" s="6" t="n">
        <f aca="false">'Income Statement'!I26</f>
        <v>1.73343783551363</v>
      </c>
    </row>
    <row r="11" customFormat="false" ht="15" hidden="false" customHeight="false" outlineLevel="0" collapsed="false">
      <c r="A11" s="24" t="s">
        <v>309</v>
      </c>
      <c r="B11" s="22" t="n">
        <f aca="false">'Balance Sheet'!B12</f>
        <v>20051</v>
      </c>
      <c r="C11" s="22" t="n">
        <f aca="false">'Balance Sheet'!C12</f>
        <v>35567</v>
      </c>
      <c r="D11" s="22" t="n">
        <f aca="false">'Balance Sheet'!D12</f>
        <v>33331</v>
      </c>
      <c r="E11" s="22" t="n">
        <f aca="false">'Balance Sheet'!E12</f>
        <v>29792</v>
      </c>
    </row>
    <row r="12" customFormat="false" ht="15" hidden="false" customHeight="false" outlineLevel="0" collapsed="false">
      <c r="A12" s="5" t="s">
        <v>310</v>
      </c>
      <c r="B12" s="22" t="n">
        <f aca="false">'Cash Flow'!B5</f>
        <v>15206</v>
      </c>
      <c r="C12" s="22" t="n">
        <f aca="false">'Cash Flow'!C5</f>
        <v>21733</v>
      </c>
      <c r="D12" s="22" t="n">
        <f aca="false">'Cash Flow'!D5</f>
        <v>26051</v>
      </c>
    </row>
    <row r="13" customFormat="false" ht="15" hidden="false" customHeight="false" outlineLevel="0" collapsed="false">
      <c r="A13" s="5" t="s">
        <v>311</v>
      </c>
      <c r="B13" s="12" t="n">
        <v>0.8</v>
      </c>
      <c r="C13" s="12" t="n">
        <v>0.83</v>
      </c>
      <c r="D13" s="12" t="n">
        <v>0.9</v>
      </c>
      <c r="E13" s="6" t="n">
        <f aca="false">Assumptions!B75</f>
        <v>0.95</v>
      </c>
      <c r="F13" s="6" t="n">
        <f aca="false">Assumptions!B76</f>
        <v>0.99</v>
      </c>
      <c r="G13" s="6" t="n">
        <f aca="false">Assumptions!B77</f>
        <v>1.03</v>
      </c>
      <c r="H13" s="6" t="n">
        <f aca="false">Assumptions!B78</f>
        <v>1.07</v>
      </c>
      <c r="I13" s="6" t="n">
        <f aca="false">Assumptions!B79</f>
        <v>1.11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312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313</v>
      </c>
    </row>
    <row r="4" customFormat="false" ht="15" hidden="false" customHeight="false" outlineLevel="0" collapsed="false">
      <c r="A4" s="10" t="s">
        <v>314</v>
      </c>
    </row>
    <row r="5" customFormat="false" ht="15" hidden="false" customHeight="false" outlineLevel="0" collapsed="false">
      <c r="A5" s="5" t="s">
        <v>315</v>
      </c>
      <c r="B5" s="9" t="n">
        <v>0.233403720324861</v>
      </c>
    </row>
    <row r="6" customFormat="false" ht="15" hidden="false" customHeight="false" outlineLevel="0" collapsed="false">
      <c r="A6" s="5" t="s">
        <v>316</v>
      </c>
      <c r="B6" s="7" t="n">
        <v>4</v>
      </c>
    </row>
    <row r="7" customFormat="false" ht="15" hidden="false" customHeight="false" outlineLevel="0" collapsed="false">
      <c r="A7" s="5" t="s">
        <v>317</v>
      </c>
      <c r="B7" s="12" t="n">
        <v>1.07</v>
      </c>
    </row>
    <row r="8" customFormat="false" ht="15" hidden="false" customHeight="false" outlineLevel="0" collapsed="false">
      <c r="A8" s="5" t="s">
        <v>318</v>
      </c>
      <c r="B8" s="21" t="n">
        <v>0.0365</v>
      </c>
    </row>
    <row r="9" customFormat="false" ht="15" hidden="false" customHeight="false" outlineLevel="0" collapsed="false">
      <c r="A9" s="5" t="s">
        <v>319</v>
      </c>
      <c r="B9" s="21" t="n">
        <v>0.0483214649033571</v>
      </c>
    </row>
    <row r="10" customFormat="false" ht="15" hidden="false" customHeight="false" outlineLevel="0" collapsed="false">
      <c r="A10" s="5" t="s">
        <v>320</v>
      </c>
      <c r="B10" s="21" t="n">
        <v>-0.00270014935467856</v>
      </c>
    </row>
    <row r="11" customFormat="false" ht="15" hidden="false" customHeight="false" outlineLevel="0" collapsed="false">
      <c r="A11" s="5" t="s">
        <v>321</v>
      </c>
      <c r="B11" s="21" t="n">
        <v>0.002</v>
      </c>
    </row>
    <row r="12" customFormat="false" ht="15" hidden="false" customHeight="false" outlineLevel="0" collapsed="false">
      <c r="A12" s="5" t="s">
        <v>322</v>
      </c>
      <c r="B12" s="21" t="n">
        <v>0.01</v>
      </c>
    </row>
    <row r="14" customFormat="false" ht="15" hidden="false" customHeight="false" outlineLevel="0" collapsed="false">
      <c r="A14" s="10" t="s">
        <v>323</v>
      </c>
      <c r="B14" s="10" t="s">
        <v>324</v>
      </c>
      <c r="C14" s="10" t="s">
        <v>325</v>
      </c>
    </row>
    <row r="15" customFormat="false" ht="15" hidden="false" customHeight="false" outlineLevel="0" collapsed="false">
      <c r="A15" s="5" t="s">
        <v>326</v>
      </c>
      <c r="B15" s="12" t="n">
        <v>17.8381721237362</v>
      </c>
      <c r="C15" s="12" t="n">
        <v>16.7037151714589</v>
      </c>
    </row>
    <row r="16" customFormat="false" ht="15" hidden="false" customHeight="false" outlineLevel="0" collapsed="false">
      <c r="A16" s="5" t="s">
        <v>327</v>
      </c>
      <c r="B16" s="12" t="n">
        <v>19.047959798214</v>
      </c>
      <c r="C16" s="12" t="n">
        <v>18.68316041895</v>
      </c>
    </row>
    <row r="17" customFormat="false" ht="15" hidden="false" customHeight="false" outlineLevel="0" collapsed="false">
      <c r="A17" s="5" t="s">
        <v>328</v>
      </c>
      <c r="B17" s="12" t="n">
        <v>19.7240767463818</v>
      </c>
      <c r="C17" s="12" t="n">
        <v>19.8566252816248</v>
      </c>
    </row>
    <row r="18" customFormat="false" ht="15" hidden="false" customHeight="false" outlineLevel="0" collapsed="false">
      <c r="A18" s="5" t="s">
        <v>329</v>
      </c>
      <c r="B18" s="12" t="n">
        <v>20.4330369433264</v>
      </c>
      <c r="C18" s="12" t="n">
        <v>21.0866820603007</v>
      </c>
    </row>
    <row r="19" customFormat="false" ht="15" hidden="false" customHeight="false" outlineLevel="0" collapsed="false">
      <c r="A19" s="5" t="s">
        <v>330</v>
      </c>
      <c r="B19" s="12" t="n">
        <v>21.8128423773178</v>
      </c>
      <c r="C19" s="12" t="n">
        <v>23.5894420984214</v>
      </c>
    </row>
    <row r="21" customFormat="false" ht="15" hidden="false" customHeight="false" outlineLevel="0" collapsed="false">
      <c r="A21" s="10" t="s">
        <v>331</v>
      </c>
    </row>
    <row r="22" customFormat="false" ht="15" hidden="false" customHeight="false" outlineLevel="0" collapsed="false">
      <c r="A22" s="5" t="s">
        <v>332</v>
      </c>
      <c r="B22" s="5" t="s">
        <v>333</v>
      </c>
    </row>
    <row r="23" customFormat="false" ht="15" hidden="false" customHeight="false" outlineLevel="0" collapsed="false">
      <c r="A23" s="5" t="s">
        <v>334</v>
      </c>
      <c r="B23" s="5" t="s">
        <v>335</v>
      </c>
    </row>
    <row r="24" customFormat="false" ht="15" hidden="false" customHeight="false" outlineLevel="0" collapsed="false">
      <c r="A24" s="5" t="s">
        <v>336</v>
      </c>
      <c r="B24" s="5" t="s">
        <v>35</v>
      </c>
    </row>
    <row r="25" customFormat="false" ht="15" hidden="false" customHeight="false" outlineLevel="0" collapsed="false">
      <c r="A25" s="5" t="s">
        <v>337</v>
      </c>
      <c r="B25" s="5" t="s">
        <v>338</v>
      </c>
    </row>
    <row r="26" customFormat="false" ht="15" hidden="false" customHeight="false" outlineLevel="0" collapsed="false">
      <c r="A26" s="5" t="s">
        <v>339</v>
      </c>
      <c r="B26" s="5" t="s">
        <v>39</v>
      </c>
    </row>
    <row r="28" customFormat="false" ht="15" hidden="false" customHeight="false" outlineLevel="0" collapsed="false">
      <c r="A28" s="10" t="s">
        <v>340</v>
      </c>
      <c r="B28" s="10" t="s">
        <v>324</v>
      </c>
      <c r="C28" s="10" t="s">
        <v>325</v>
      </c>
    </row>
    <row r="29" customFormat="false" ht="15" hidden="false" customHeight="false" outlineLevel="0" collapsed="false">
      <c r="A29" s="5" t="s">
        <v>341</v>
      </c>
      <c r="B29" s="9" t="n">
        <v>0.0241</v>
      </c>
      <c r="C29" s="9" t="n">
        <v>0.12656</v>
      </c>
    </row>
    <row r="30" customFormat="false" ht="15" hidden="false" customHeight="false" outlineLevel="0" collapsed="false">
      <c r="A30" s="5" t="s">
        <v>342</v>
      </c>
      <c r="B30" s="9" t="n">
        <v>0.06484</v>
      </c>
      <c r="C30" s="9" t="n">
        <v>0.24036</v>
      </c>
    </row>
    <row r="31" customFormat="false" ht="15" hidden="false" customHeight="false" outlineLevel="0" collapsed="false">
      <c r="A31" s="5" t="s">
        <v>343</v>
      </c>
      <c r="B31" s="9" t="n">
        <v>0.20804</v>
      </c>
      <c r="C31" s="9" t="n">
        <v>0.45892</v>
      </c>
    </row>
    <row r="32" customFormat="false" ht="15" hidden="false" customHeight="false" outlineLevel="0" collapsed="false">
      <c r="A32" s="5" t="s">
        <v>344</v>
      </c>
      <c r="B32" s="9" t="n">
        <v>0.6649</v>
      </c>
      <c r="C32" s="9" t="n">
        <v>0.81408</v>
      </c>
    </row>
    <row r="33" customFormat="false" ht="15" hidden="false" customHeight="false" outlineLevel="0" collapsed="false">
      <c r="A33" s="5" t="s">
        <v>345</v>
      </c>
      <c r="B33" s="9" t="n">
        <v>0.41734</v>
      </c>
      <c r="C33" s="9" t="n">
        <v>0.61516</v>
      </c>
    </row>
    <row r="34" customFormat="false" ht="15" hidden="false" customHeight="false" outlineLevel="0" collapsed="false">
      <c r="A34" s="5" t="s">
        <v>346</v>
      </c>
      <c r="B34" s="9" t="n">
        <v>0.1033</v>
      </c>
      <c r="C34" s="9" t="n">
        <v>0.28182</v>
      </c>
    </row>
    <row r="35" customFormat="false" ht="15" hidden="false" customHeight="false" outlineLevel="0" collapsed="false">
      <c r="A35" s="5" t="s">
        <v>347</v>
      </c>
      <c r="B35" s="9" t="n">
        <v>0.02816</v>
      </c>
      <c r="C35" s="9" t="n">
        <v>0.1199</v>
      </c>
    </row>
    <row r="36" customFormat="false" ht="15" hidden="false" customHeight="false" outlineLevel="0" collapsed="false">
      <c r="A36" s="5" t="s">
        <v>348</v>
      </c>
      <c r="B36" s="9" t="n">
        <v>0.00834</v>
      </c>
      <c r="C36" s="9" t="n">
        <v>0.05076</v>
      </c>
    </row>
    <row r="38" customFormat="false" ht="15" hidden="false" customHeight="false" outlineLevel="0" collapsed="false">
      <c r="A38" s="10" t="s">
        <v>349</v>
      </c>
    </row>
    <row r="39" customFormat="false" ht="15" hidden="false" customHeight="false" outlineLevel="0" collapsed="false">
      <c r="A39" s="5" t="s">
        <v>350</v>
      </c>
      <c r="B39" s="9" t="n">
        <v>0.06328</v>
      </c>
    </row>
    <row r="40" customFormat="false" ht="15" hidden="false" customHeight="false" outlineLevel="0" collapsed="false">
      <c r="A40" s="5" t="s">
        <v>351</v>
      </c>
      <c r="B40" s="9" t="n">
        <v>0.1556</v>
      </c>
    </row>
    <row r="41" customFormat="false" ht="15" hidden="false" customHeight="false" outlineLevel="0" collapsed="false">
      <c r="A41" s="5" t="s">
        <v>352</v>
      </c>
      <c r="B41" s="9" t="n">
        <v>0.42382</v>
      </c>
    </row>
    <row r="42" customFormat="false" ht="15" hidden="false" customHeight="false" outlineLevel="0" collapsed="false">
      <c r="A42" s="5" t="s">
        <v>353</v>
      </c>
      <c r="B42" s="9" t="n">
        <v>0.21762</v>
      </c>
    </row>
    <row r="43" customFormat="false" ht="15" hidden="false" customHeight="false" outlineLevel="0" collapsed="false">
      <c r="A43" s="5" t="s">
        <v>354</v>
      </c>
      <c r="B43" s="9" t="n">
        <v>0.13968</v>
      </c>
    </row>
    <row r="45" customFormat="false" ht="15" hidden="false" customHeight="false" outlineLevel="0" collapsed="false">
      <c r="A45" s="14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356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357</v>
      </c>
    </row>
    <row r="4" customFormat="false" ht="15" hidden="false" customHeight="false" outlineLevel="0" collapsed="false">
      <c r="A4" s="10" t="s">
        <v>358</v>
      </c>
    </row>
    <row r="5" customFormat="false" ht="15" hidden="false" customHeight="false" outlineLevel="0" collapsed="false">
      <c r="B5" s="33" t="n">
        <v>0.015</v>
      </c>
      <c r="C5" s="33" t="n">
        <v>0.02</v>
      </c>
      <c r="D5" s="33" t="n">
        <v>0.025</v>
      </c>
      <c r="E5" s="33" t="n">
        <v>0.03</v>
      </c>
      <c r="F5" s="33" t="n">
        <v>0.035</v>
      </c>
    </row>
    <row r="6" customFormat="false" ht="15" hidden="false" customHeight="false" outlineLevel="0" collapsed="false">
      <c r="A6" s="33" t="n">
        <v>0.0662162463221695</v>
      </c>
      <c r="B6" s="12" t="n">
        <v>29.4591576016867</v>
      </c>
      <c r="C6" s="12" t="n">
        <v>32.2813031885494</v>
      </c>
      <c r="D6" s="12" t="n">
        <v>35.7881655651952</v>
      </c>
      <c r="E6" s="12" t="n">
        <v>40.2633398826893</v>
      </c>
      <c r="F6" s="12" t="n">
        <v>46.1721184430855</v>
      </c>
    </row>
    <row r="7" customFormat="false" ht="15" hidden="false" customHeight="false" outlineLevel="0" collapsed="false">
      <c r="A7" s="33" t="n">
        <v>0.0712162463221695</v>
      </c>
      <c r="B7" s="12" t="n">
        <v>26.6385300326442</v>
      </c>
      <c r="C7" s="12" t="n">
        <v>28.9156442775936</v>
      </c>
      <c r="D7" s="12" t="n">
        <v>31.6854671317788</v>
      </c>
      <c r="E7" s="12" t="n">
        <v>35.1273120892227</v>
      </c>
      <c r="F7" s="12" t="n">
        <v>39.5195164314648</v>
      </c>
    </row>
    <row r="8" customFormat="false" ht="15" hidden="false" customHeight="false" outlineLevel="0" collapsed="false">
      <c r="A8" s="33" t="n">
        <v>0.0762162463221695</v>
      </c>
      <c r="B8" s="12" t="n">
        <v>24.2793234835404</v>
      </c>
      <c r="C8" s="12" t="n">
        <v>26.1493006232401</v>
      </c>
      <c r="D8" s="12" t="n">
        <v>28.3843918183386</v>
      </c>
      <c r="E8" s="12" t="n">
        <v>31.1030989219031</v>
      </c>
      <c r="F8" s="12" t="n">
        <v>34.4814262835361</v>
      </c>
    </row>
    <row r="9" customFormat="false" ht="15" hidden="false" customHeight="false" outlineLevel="0" collapsed="false">
      <c r="A9" s="33" t="n">
        <v>0.0812162463221695</v>
      </c>
      <c r="B9" s="12" t="n">
        <v>22.276997816159</v>
      </c>
      <c r="C9" s="12" t="n">
        <v>23.8354070294676</v>
      </c>
      <c r="D9" s="12" t="n">
        <v>25.6710331178371</v>
      </c>
      <c r="E9" s="12" t="n">
        <v>27.8650662001168</v>
      </c>
      <c r="F9" s="12" t="n">
        <v>30.5338312775017</v>
      </c>
    </row>
    <row r="10" customFormat="false" ht="15" hidden="false" customHeight="false" outlineLevel="0" collapsed="false">
      <c r="A10" s="33" t="n">
        <v>0.0862162463221695</v>
      </c>
      <c r="B10" s="12" t="n">
        <v>20.5563717789249</v>
      </c>
      <c r="C10" s="12" t="n">
        <v>21.8714579118322</v>
      </c>
      <c r="D10" s="12" t="n">
        <v>23.4013703713958</v>
      </c>
      <c r="E10" s="12" t="n">
        <v>25.2034305746553</v>
      </c>
      <c r="F10" s="12" t="n">
        <v>27.3573440144687</v>
      </c>
    </row>
    <row r="12" customFormat="false" ht="15" hidden="false" customHeight="false" outlineLevel="0" collapsed="false">
      <c r="A12" s="10" t="s">
        <v>359</v>
      </c>
    </row>
    <row r="13" customFormat="false" ht="15" hidden="false" customHeight="false" outlineLevel="0" collapsed="false">
      <c r="B13" s="10" t="s">
        <v>360</v>
      </c>
      <c r="C13" s="10" t="s">
        <v>361</v>
      </c>
      <c r="D13" s="10" t="s">
        <v>362</v>
      </c>
      <c r="E13" s="10" t="s">
        <v>363</v>
      </c>
      <c r="F13" s="10" t="s">
        <v>364</v>
      </c>
    </row>
    <row r="14" customFormat="false" ht="15" hidden="false" customHeight="false" outlineLevel="0" collapsed="false">
      <c r="A14" s="10" t="s">
        <v>360</v>
      </c>
      <c r="B14" s="12" t="n">
        <v>29.0527171830044</v>
      </c>
      <c r="C14" s="12" t="n">
        <v>28.1359622260684</v>
      </c>
      <c r="D14" s="12" t="n">
        <v>27.2192072691324</v>
      </c>
      <c r="E14" s="12" t="n">
        <v>26.3024523121965</v>
      </c>
      <c r="F14" s="12" t="n">
        <v>25.3856973552605</v>
      </c>
    </row>
    <row r="15" customFormat="false" ht="15" hidden="false" customHeight="false" outlineLevel="0" collapsed="false">
      <c r="A15" s="10" t="s">
        <v>361</v>
      </c>
      <c r="B15" s="12" t="n">
        <v>29.6353094576075</v>
      </c>
      <c r="C15" s="12" t="n">
        <v>28.7185545006715</v>
      </c>
      <c r="D15" s="12" t="n">
        <v>27.8017995437355</v>
      </c>
      <c r="E15" s="12" t="n">
        <v>26.8850445867995</v>
      </c>
      <c r="F15" s="12" t="n">
        <v>25.9682896298636</v>
      </c>
    </row>
    <row r="16" customFormat="false" ht="15" hidden="false" customHeight="false" outlineLevel="0" collapsed="false">
      <c r="A16" s="10" t="s">
        <v>362</v>
      </c>
      <c r="B16" s="12" t="n">
        <v>30.2179017322105</v>
      </c>
      <c r="C16" s="12" t="n">
        <v>29.3011467752745</v>
      </c>
      <c r="D16" s="12" t="n">
        <v>28.3843918183386</v>
      </c>
      <c r="E16" s="12" t="n">
        <v>27.4676368614026</v>
      </c>
      <c r="F16" s="12" t="n">
        <v>26.5508819044666</v>
      </c>
    </row>
    <row r="17" customFormat="false" ht="15" hidden="false" customHeight="false" outlineLevel="0" collapsed="false">
      <c r="A17" s="10" t="s">
        <v>363</v>
      </c>
      <c r="B17" s="12" t="n">
        <v>30.8004940068136</v>
      </c>
      <c r="C17" s="12" t="n">
        <v>29.8837390498776</v>
      </c>
      <c r="D17" s="12" t="n">
        <v>28.9669840929416</v>
      </c>
      <c r="E17" s="12" t="n">
        <v>28.0502291360057</v>
      </c>
      <c r="F17" s="12" t="n">
        <v>27.1334741790697</v>
      </c>
    </row>
    <row r="18" customFormat="false" ht="15" hidden="false" customHeight="false" outlineLevel="0" collapsed="false">
      <c r="A18" s="10" t="s">
        <v>364</v>
      </c>
      <c r="B18" s="12" t="n">
        <v>31.3830862814166</v>
      </c>
      <c r="C18" s="12" t="n">
        <v>30.4663313244807</v>
      </c>
      <c r="D18" s="12" t="n">
        <v>29.5495763675447</v>
      </c>
      <c r="E18" s="12" t="n">
        <v>28.6328214106087</v>
      </c>
      <c r="F18" s="12" t="n">
        <v>27.7160664536728</v>
      </c>
    </row>
    <row r="20" customFormat="false" ht="15" hidden="false" customHeight="false" outlineLevel="0" collapsed="false">
      <c r="A20" s="10" t="s">
        <v>365</v>
      </c>
    </row>
    <row r="21" customFormat="false" ht="15" hidden="false" customHeight="false" outlineLevel="0" collapsed="false">
      <c r="A21" s="24" t="s">
        <v>366</v>
      </c>
      <c r="B21" s="24" t="s">
        <v>367</v>
      </c>
      <c r="C21" s="24" t="s">
        <v>368</v>
      </c>
      <c r="D21" s="24" t="s">
        <v>369</v>
      </c>
    </row>
    <row r="22" customFormat="false" ht="15" hidden="false" customHeight="false" outlineLevel="0" collapsed="false">
      <c r="A22" s="9" t="n">
        <v>0.3</v>
      </c>
      <c r="B22" s="9" t="n">
        <v>0.32301</v>
      </c>
      <c r="C22" s="12" t="n">
        <v>30.6741067633171</v>
      </c>
      <c r="D22" s="12" t="n">
        <v>2.28971494497848</v>
      </c>
    </row>
    <row r="23" customFormat="false" ht="15" hidden="false" customHeight="false" outlineLevel="0" collapsed="false">
      <c r="A23" s="9" t="n">
        <v>0.34</v>
      </c>
      <c r="B23" s="9" t="n">
        <v>0.343758</v>
      </c>
      <c r="C23" s="12" t="n">
        <v>29.5292492908278</v>
      </c>
      <c r="D23" s="12" t="n">
        <v>1.14485747248924</v>
      </c>
    </row>
    <row r="24" customFormat="false" ht="15" hidden="false" customHeight="false" outlineLevel="0" collapsed="false">
      <c r="A24" s="9" t="n">
        <v>0.38</v>
      </c>
      <c r="B24" s="9" t="n">
        <v>0.364506</v>
      </c>
      <c r="C24" s="25" t="n">
        <v>28.3843918183386</v>
      </c>
      <c r="D24" s="12" t="n">
        <v>0</v>
      </c>
    </row>
    <row r="25" customFormat="false" ht="15" hidden="false" customHeight="false" outlineLevel="0" collapsed="false">
      <c r="A25" s="9" t="n">
        <v>0.42</v>
      </c>
      <c r="B25" s="9" t="n">
        <v>0.385254</v>
      </c>
      <c r="C25" s="12" t="n">
        <v>27.2395343458493</v>
      </c>
      <c r="D25" s="12" t="n">
        <v>-1.14485747248924</v>
      </c>
    </row>
    <row r="26" customFormat="false" ht="15" hidden="false" customHeight="false" outlineLevel="0" collapsed="false">
      <c r="A26" s="9" t="n">
        <v>0.46</v>
      </c>
      <c r="B26" s="9" t="n">
        <v>0.406002</v>
      </c>
      <c r="C26" s="12" t="n">
        <v>26.0946768733601</v>
      </c>
      <c r="D26" s="12" t="n">
        <v>-2.28971494497848</v>
      </c>
    </row>
    <row r="28" customFormat="false" ht="15" hidden="false" customHeight="false" outlineLevel="0" collapsed="false">
      <c r="A28" s="10" t="s">
        <v>370</v>
      </c>
    </row>
    <row r="29" customFormat="false" ht="15" hidden="false" customHeight="false" outlineLevel="0" collapsed="false">
      <c r="A29" s="24" t="s">
        <v>371</v>
      </c>
      <c r="B29" s="24" t="s">
        <v>372</v>
      </c>
      <c r="C29" s="24" t="s">
        <v>373</v>
      </c>
      <c r="D29" s="24" t="s">
        <v>368</v>
      </c>
    </row>
    <row r="30" customFormat="false" ht="15" hidden="false" customHeight="false" outlineLevel="0" collapsed="false">
      <c r="A30" s="12" t="n">
        <v>0.8</v>
      </c>
      <c r="B30" s="21" t="n">
        <v>0.08196</v>
      </c>
      <c r="C30" s="21" t="n">
        <v>0.0692058709524332</v>
      </c>
      <c r="D30" s="12" t="n">
        <v>33.2234185184638</v>
      </c>
    </row>
    <row r="31" customFormat="false" ht="15" hidden="false" customHeight="false" outlineLevel="0" collapsed="false">
      <c r="A31" s="12" t="n">
        <v>0.9</v>
      </c>
      <c r="B31" s="21" t="n">
        <v>0.08683</v>
      </c>
      <c r="C31" s="21" t="n">
        <v>0.0727110586373013</v>
      </c>
      <c r="D31" s="12" t="n">
        <v>30.62600177265</v>
      </c>
    </row>
    <row r="32" customFormat="false" ht="15" hidden="false" customHeight="false" outlineLevel="0" collapsed="false">
      <c r="A32" s="12" t="n">
        <v>1</v>
      </c>
      <c r="B32" s="21" t="n">
        <v>0.0917</v>
      </c>
      <c r="C32" s="21" t="n">
        <v>0.0762162463221695</v>
      </c>
      <c r="D32" s="25" t="n">
        <v>28.3843918183386</v>
      </c>
    </row>
    <row r="33" customFormat="false" ht="15" hidden="false" customHeight="false" outlineLevel="0" collapsed="false">
      <c r="A33" s="12" t="n">
        <v>1.1</v>
      </c>
      <c r="B33" s="21" t="n">
        <v>0.09657</v>
      </c>
      <c r="C33" s="21" t="n">
        <v>0.0797214340070376</v>
      </c>
      <c r="D33" s="12" t="n">
        <v>26.4302106963924</v>
      </c>
    </row>
    <row r="34" customFormat="false" ht="15" hidden="false" customHeight="false" outlineLevel="0" collapsed="false">
      <c r="A34" s="12" t="n">
        <v>1.2</v>
      </c>
      <c r="B34" s="21" t="n">
        <v>0.10144</v>
      </c>
      <c r="C34" s="21" t="n">
        <v>0.0832266216919058</v>
      </c>
      <c r="D34" s="12" t="n">
        <v>24.7115456816016</v>
      </c>
    </row>
    <row r="35" customFormat="false" ht="15" hidden="false" customHeight="false" outlineLevel="0" collapsed="false">
      <c r="A35" s="12" t="n">
        <v>1.3</v>
      </c>
      <c r="B35" s="21" t="n">
        <v>0.10631</v>
      </c>
      <c r="C35" s="21" t="n">
        <v>0.0867318093767739</v>
      </c>
      <c r="D35" s="12" t="n">
        <v>23.1882747269269</v>
      </c>
    </row>
    <row r="37" customFormat="false" ht="15" hidden="false" customHeight="false" outlineLevel="0" collapsed="false">
      <c r="A37" s="14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.5"/>
  </cols>
  <sheetData>
    <row r="1" customFormat="false" ht="16.15" hidden="false" customHeight="false" outlineLevel="0" collapsed="false">
      <c r="A1" s="1" t="s">
        <v>375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376</v>
      </c>
    </row>
    <row r="4" customFormat="false" ht="15" hidden="false" customHeight="false" outlineLevel="0" collapsed="false">
      <c r="B4" s="10" t="s">
        <v>246</v>
      </c>
      <c r="C4" s="10" t="s">
        <v>247</v>
      </c>
      <c r="D4" s="10" t="s">
        <v>248</v>
      </c>
      <c r="E4" s="10" t="s">
        <v>221</v>
      </c>
      <c r="F4" s="10" t="s">
        <v>222</v>
      </c>
      <c r="G4" s="10" t="s">
        <v>223</v>
      </c>
      <c r="H4" s="10" t="s">
        <v>224</v>
      </c>
      <c r="I4" s="10" t="s">
        <v>225</v>
      </c>
    </row>
    <row r="5" customFormat="false" ht="15" hidden="false" customHeight="false" outlineLevel="0" collapsed="false">
      <c r="A5" s="5" t="s">
        <v>269</v>
      </c>
      <c r="B5" s="6" t="n">
        <f aca="false">'Income Statement'!B26</f>
        <v>1.18</v>
      </c>
      <c r="C5" s="6" t="n">
        <f aca="false">'Income Statement'!C26</f>
        <v>1.24</v>
      </c>
      <c r="D5" s="6" t="n">
        <f aca="false">'Income Statement'!D26</f>
        <v>1.65</v>
      </c>
      <c r="E5" s="6" t="n">
        <f aca="false">'Income Statement'!E26</f>
        <v>1.41009712697245</v>
      </c>
      <c r="F5" s="6" t="n">
        <f aca="false">'Income Statement'!F26</f>
        <v>1.49184788620077</v>
      </c>
      <c r="G5" s="6" t="n">
        <f aca="false">'Income Statement'!G26</f>
        <v>1.57589330666872</v>
      </c>
      <c r="H5" s="6" t="n">
        <f aca="false">'Income Statement'!H26</f>
        <v>1.65786449082564</v>
      </c>
      <c r="I5" s="6" t="n">
        <f aca="false">'Income Statement'!I26</f>
        <v>1.73343783551363</v>
      </c>
    </row>
    <row r="6" customFormat="false" ht="15" hidden="false" customHeight="false" outlineLevel="0" collapsed="false">
      <c r="A6" s="5" t="s">
        <v>311</v>
      </c>
      <c r="B6" s="12" t="n">
        <v>0.8</v>
      </c>
      <c r="C6" s="12" t="n">
        <v>0.83</v>
      </c>
      <c r="D6" s="12" t="n">
        <v>0.9</v>
      </c>
      <c r="E6" s="6" t="n">
        <f aca="false">Assumptions!B75</f>
        <v>0.95</v>
      </c>
      <c r="F6" s="6" t="n">
        <f aca="false">Assumptions!B76</f>
        <v>0.99</v>
      </c>
      <c r="G6" s="6" t="n">
        <f aca="false">Assumptions!B77</f>
        <v>1.03</v>
      </c>
      <c r="H6" s="6" t="n">
        <f aca="false">Assumptions!B78</f>
        <v>1.07</v>
      </c>
      <c r="I6" s="6" t="n">
        <f aca="false">Assumptions!B79</f>
        <v>1.11</v>
      </c>
    </row>
    <row r="7" customFormat="false" ht="15" hidden="false" customHeight="false" outlineLevel="0" collapsed="false">
      <c r="A7" s="5" t="s">
        <v>377</v>
      </c>
      <c r="B7" s="9" t="n">
        <f aca="false">B6/B5</f>
        <v>0.677966101694915</v>
      </c>
      <c r="C7" s="9" t="n">
        <f aca="false">C6/C5</f>
        <v>0.669354838709677</v>
      </c>
      <c r="D7" s="9" t="n">
        <f aca="false">D6/D5</f>
        <v>0.545454545454546</v>
      </c>
      <c r="E7" s="9" t="n">
        <f aca="false">E6/E5</f>
        <v>0.67371245698493</v>
      </c>
      <c r="F7" s="9" t="n">
        <f aca="false">F6/F5</f>
        <v>0.66360653063711</v>
      </c>
      <c r="G7" s="9" t="n">
        <f aca="false">G6/G5</f>
        <v>0.653597547271342</v>
      </c>
      <c r="H7" s="9" t="n">
        <f aca="false">H6/H5</f>
        <v>0.645408599991865</v>
      </c>
      <c r="I7" s="9" t="n">
        <f aca="false">I6/I5</f>
        <v>0.640346009103406</v>
      </c>
    </row>
    <row r="8" customFormat="false" ht="15" hidden="false" customHeight="false" outlineLevel="0" collapsed="false">
      <c r="A8" s="5" t="s">
        <v>378</v>
      </c>
      <c r="B8" s="9" t="n">
        <f aca="false">B6/Assumptions!$B$5</f>
        <v>0.0406917599186165</v>
      </c>
      <c r="C8" s="9" t="n">
        <f aca="false">C6/Assumptions!$B$5</f>
        <v>0.0422177009155646</v>
      </c>
      <c r="D8" s="9" t="n">
        <f aca="false">D6/Assumptions!$B$5</f>
        <v>0.0457782299084435</v>
      </c>
      <c r="E8" s="9" t="n">
        <f aca="false">E6/Assumptions!$B$5</f>
        <v>0.0483214649033571</v>
      </c>
      <c r="F8" s="9" t="n">
        <f aca="false">F6/Assumptions!$B$5</f>
        <v>0.0503560528992879</v>
      </c>
      <c r="G8" s="9" t="n">
        <f aca="false">G6/Assumptions!$B$5</f>
        <v>0.0523906408952187</v>
      </c>
      <c r="H8" s="9" t="n">
        <f aca="false">H6/Assumptions!$B$5</f>
        <v>0.0544252288911495</v>
      </c>
      <c r="I8" s="9" t="n">
        <f aca="false">I6/Assumptions!$B$5</f>
        <v>0.0564598168870804</v>
      </c>
    </row>
    <row r="9" customFormat="false" ht="15" hidden="false" customHeight="false" outlineLevel="0" collapsed="false">
      <c r="A9" s="5" t="s">
        <v>379</v>
      </c>
      <c r="B9" s="28" t="n">
        <f aca="false">Assumptions!$B$5/B5</f>
        <v>16.6610169491525</v>
      </c>
      <c r="C9" s="28" t="n">
        <f aca="false">Assumptions!$B$5/C5</f>
        <v>15.8548387096774</v>
      </c>
      <c r="D9" s="28" t="n">
        <f aca="false">Assumptions!$B$5/D5</f>
        <v>11.9151515151515</v>
      </c>
      <c r="E9" s="28" t="n">
        <f aca="false">Assumptions!$B$5/E5</f>
        <v>13.9423020045513</v>
      </c>
      <c r="F9" s="28" t="n">
        <f aca="false">Assumptions!$B$5/F5</f>
        <v>13.1782872649753</v>
      </c>
      <c r="G9" s="28" t="n">
        <f aca="false">Assumptions!$B$5/G5</f>
        <v>12.4754638634511</v>
      </c>
      <c r="H9" s="28" t="n">
        <f aca="false">Assumptions!$B$5/H5</f>
        <v>11.8586290428412</v>
      </c>
      <c r="I9" s="28" t="n">
        <f aca="false">Assumptions!$B$5/I5</f>
        <v>11.3416239089847</v>
      </c>
    </row>
    <row r="10" customFormat="false" ht="15" hidden="false" customHeight="false" outlineLevel="0" collapsed="false">
      <c r="A10" s="5" t="s">
        <v>380</v>
      </c>
      <c r="C10" s="9" t="n">
        <f aca="false">'Income Statement'!C5/'Income Statement'!B5-1</f>
        <v>0.101410180086322</v>
      </c>
      <c r="D10" s="9" t="n">
        <f aca="false">'Income Statement'!D5/'Income Statement'!C5-1</f>
        <v>0.230647095586372</v>
      </c>
      <c r="E10" s="9" t="n">
        <f aca="false">'Income Statement'!E5/'Income Statement'!D5-1</f>
        <v>0.0900000000000001</v>
      </c>
      <c r="F10" s="9" t="n">
        <f aca="false">'Income Statement'!F5/'Income Statement'!E5-1</f>
        <v>0.0349999999999999</v>
      </c>
      <c r="G10" s="9" t="n">
        <f aca="false">'Income Statement'!G5/'Income Statement'!F5-1</f>
        <v>0.0349999999999999</v>
      </c>
      <c r="H10" s="9" t="n">
        <f aca="false">'Income Statement'!H5/'Income Statement'!G5-1</f>
        <v>0.032</v>
      </c>
      <c r="I10" s="9" t="n">
        <f aca="false">'Income Statement'!I5/'Income Statement'!H5-1</f>
        <v>0.03</v>
      </c>
    </row>
    <row r="11" customFormat="false" ht="15" hidden="false" customHeight="false" outlineLevel="0" collapsed="false">
      <c r="A11" s="5" t="s">
        <v>255</v>
      </c>
      <c r="B11" s="34" t="n">
        <f aca="false">'Income Statement'!B12/'Income Statement'!B5</f>
        <v>0.485879595177854</v>
      </c>
      <c r="C11" s="34" t="n">
        <f aca="false">'Income Statement'!C12/'Income Statement'!C5</f>
        <v>0.446835464419033</v>
      </c>
      <c r="D11" s="34" t="n">
        <f aca="false">'Income Statement'!D12/'Income Statement'!D5</f>
        <v>0.439512476323808</v>
      </c>
      <c r="E11" s="34" t="n">
        <f aca="false">'Income Statement'!E12/'Income Statement'!E5</f>
        <v>0.43</v>
      </c>
      <c r="F11" s="34" t="n">
        <f aca="false">'Income Statement'!F12/'Income Statement'!F5</f>
        <v>0.432</v>
      </c>
      <c r="G11" s="34" t="n">
        <f aca="false">'Income Statement'!G12/'Income Statement'!G5</f>
        <v>0.434</v>
      </c>
      <c r="H11" s="34" t="n">
        <f aca="false">'Income Statement'!H12/'Income Statement'!H5</f>
        <v>0.436</v>
      </c>
      <c r="I11" s="34" t="n">
        <f aca="false">'Income Statement'!I12/'Income Statement'!I5</f>
        <v>0.438</v>
      </c>
    </row>
    <row r="12" customFormat="false" ht="15" hidden="false" customHeight="false" outlineLevel="0" collapsed="false">
      <c r="A12" s="5" t="s">
        <v>381</v>
      </c>
      <c r="B12" s="9" t="n">
        <f aca="false">'Income Statement'!B25/'Income Statement'!B5</f>
        <v>0.191713796695937</v>
      </c>
      <c r="C12" s="9" t="n">
        <f aca="false">'Income Statement'!C25/'Income Statement'!C5</f>
        <v>0.181620863807577</v>
      </c>
      <c r="D12" s="9" t="n">
        <f aca="false">'Income Statement'!D25/'Income Statement'!D5</f>
        <v>0.197098465508249</v>
      </c>
      <c r="E12" s="9" t="n">
        <f aca="false">'Income Statement'!E25/'Income Statement'!E5</f>
        <v>0.154420433436487</v>
      </c>
      <c r="F12" s="9" t="n">
        <f aca="false">'Income Statement'!F25/'Income Statement'!F5</f>
        <v>0.157848308687847</v>
      </c>
      <c r="G12" s="9" t="n">
        <f aca="false">'Income Statement'!G25/'Income Statement'!G5</f>
        <v>0.161102340809859</v>
      </c>
      <c r="H12" s="9" t="n">
        <f aca="false">'Income Statement'!H25/'Income Statement'!H5</f>
        <v>0.164226929153567</v>
      </c>
      <c r="I12" s="9" t="n">
        <f aca="false">'Income Statement'!I25/'Income Statement'!I5</f>
        <v>0.166711818728465</v>
      </c>
    </row>
    <row r="13" customFormat="false" ht="15" hidden="false" customHeight="false" outlineLevel="0" collapsed="false">
      <c r="A13" s="5" t="s">
        <v>382</v>
      </c>
      <c r="D13" s="34" t="n">
        <f aca="false">'Income Statement'!D25/'Balance Sheet'!D15</f>
        <v>0.277717181093835</v>
      </c>
    </row>
    <row r="14" customFormat="false" ht="15" hidden="false" customHeight="false" outlineLevel="0" collapsed="false">
      <c r="A14" s="5" t="s">
        <v>383</v>
      </c>
      <c r="C14" s="35" t="n">
        <f aca="false">'Balance Sheet'!C12/'Income Statement'!C12</f>
        <v>1.34448476600892</v>
      </c>
      <c r="D14" s="35" t="n">
        <f aca="false">'Balance Sheet'!D12/'Income Statement'!D12</f>
        <v>1.04087814627444</v>
      </c>
    </row>
    <row r="15" customFormat="false" ht="15" hidden="false" customHeight="false" outlineLevel="0" collapsed="false">
      <c r="A15" s="24" t="s">
        <v>384</v>
      </c>
      <c r="C15" s="22" t="n">
        <f aca="false">'Income Statement'!C12+'Cash Flow'!C8</f>
        <v>16947</v>
      </c>
      <c r="D15" s="22" t="n">
        <f aca="false">'Income Statement'!D12+'Cash Flow'!D8</f>
        <v>18354</v>
      </c>
      <c r="E15" s="22" t="n">
        <f aca="false">'Income Statement'!E12-'Income Statement'!E5*Assumptions!$B$26</f>
        <v>20409.71154</v>
      </c>
      <c r="F15" s="22" t="n">
        <f aca="false">'Income Statement'!F12-'Income Statement'!F5*Assumptions!$B$27</f>
        <v>21617.2199601</v>
      </c>
      <c r="G15" s="22" t="n">
        <f aca="false">'Income Statement'!G12-'Income Statement'!G5*Assumptions!$B$28</f>
        <v>22884.2520729705</v>
      </c>
      <c r="H15" s="22" t="n">
        <f aca="false">'Income Statement'!H12-'Income Statement'!H5*Assumptions!$B$29</f>
        <v>24055.5174355752</v>
      </c>
      <c r="I15" s="22" t="n">
        <f aca="false">'Income Statement'!I12-'Income Statement'!I5*Assumptions!$B$30</f>
        <v>25138.8936587686</v>
      </c>
    </row>
    <row r="16" customFormat="false" ht="15" hidden="false" customHeight="false" outlineLevel="0" collapsed="false">
      <c r="A16" s="5" t="s">
        <v>385</v>
      </c>
      <c r="C16" s="9" t="n">
        <f aca="false">C15/'Income Statement'!C5</f>
        <v>0.286252385858825</v>
      </c>
      <c r="D16" s="9" t="n">
        <f aca="false">D15/'Income Statement'!D5</f>
        <v>0.251914683356666</v>
      </c>
      <c r="E16" s="9" t="n">
        <f aca="false">E15/'Income Statement'!E5</f>
        <v>0.257</v>
      </c>
      <c r="F16" s="9" t="n">
        <f aca="false">F15/'Income Statement'!F5</f>
        <v>0.263</v>
      </c>
      <c r="G16" s="9" t="n">
        <f aca="false">G15/'Income Statement'!G5</f>
        <v>0.269</v>
      </c>
      <c r="H16" s="9" t="n">
        <f aca="false">H15/'Income Statement'!H5</f>
        <v>0.274</v>
      </c>
      <c r="I16" s="9" t="n">
        <f aca="false">I15/'Income Statement'!I5</f>
        <v>0.278</v>
      </c>
    </row>
    <row r="17" customFormat="false" ht="15" hidden="false" customHeight="false" outlineLevel="0" collapsed="false">
      <c r="A17" s="5" t="s">
        <v>386</v>
      </c>
      <c r="D17" s="34" t="n">
        <f aca="false">('Income Statement'!D12+'Income Statement'!D14)*(1-Assumptions!$B$42)/('Balance Sheet'!D17+'Balance Sheet'!D12+'Balance Sheet'!D13)</f>
        <v>0.127096418802458</v>
      </c>
      <c r="E17" s="34" t="n">
        <f aca="false">Assumptions!$B$57</f>
        <v>0.0762162463221695</v>
      </c>
      <c r="F17" s="14" t="s">
        <v>387</v>
      </c>
    </row>
    <row r="18" customFormat="false" ht="15" hidden="false" customHeight="false" outlineLevel="0" collapsed="false">
      <c r="A18" s="5" t="s">
        <v>388</v>
      </c>
      <c r="D18" s="5" t="s">
        <v>389</v>
      </c>
    </row>
    <row r="20" customFormat="false" ht="15" hidden="false" customHeight="false" outlineLevel="0" collapsed="false">
      <c r="A20" s="14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.5"/>
    <col collapsed="false" customWidth="true" hidden="false" outlineLevel="0" max="6" min="6" style="0" width="34"/>
    <col collapsed="false" customWidth="true" hidden="false" outlineLevel="0" max="9" min="7" style="0" width="12.5"/>
  </cols>
  <sheetData>
    <row r="1" customFormat="false" ht="16.15" hidden="false" customHeight="false" outlineLevel="0" collapsed="false">
      <c r="A1" s="1" t="s">
        <v>391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392</v>
      </c>
    </row>
    <row r="4" customFormat="false" ht="15" hidden="false" customHeight="false" outlineLevel="0" collapsed="false">
      <c r="B4" s="10" t="s">
        <v>393</v>
      </c>
      <c r="C4" s="10" t="s">
        <v>394</v>
      </c>
      <c r="D4" s="10" t="s">
        <v>395</v>
      </c>
      <c r="E4" s="10" t="s">
        <v>396</v>
      </c>
      <c r="F4" s="10" t="s">
        <v>154</v>
      </c>
    </row>
    <row r="5" customFormat="false" ht="15" hidden="false" customHeight="false" outlineLevel="0" collapsed="false">
      <c r="A5" s="24" t="s">
        <v>397</v>
      </c>
      <c r="B5" s="36" t="n">
        <v>171</v>
      </c>
      <c r="C5" s="28" t="n">
        <v>7</v>
      </c>
      <c r="D5" s="28" t="n">
        <v>14.6</v>
      </c>
      <c r="E5" s="9" t="n">
        <v>0.048</v>
      </c>
      <c r="F5" s="14" t="s">
        <v>398</v>
      </c>
    </row>
    <row r="6" customFormat="false" ht="15" hidden="false" customHeight="false" outlineLevel="0" collapsed="false">
      <c r="A6" s="5" t="s">
        <v>399</v>
      </c>
      <c r="B6" s="36" t="n">
        <v>218</v>
      </c>
      <c r="C6" s="28" t="n">
        <v>7.5</v>
      </c>
      <c r="D6" s="28" t="n">
        <v>15.5</v>
      </c>
      <c r="E6" s="9" t="n">
        <v>0.04</v>
      </c>
      <c r="F6" s="14" t="s">
        <v>400</v>
      </c>
    </row>
    <row r="7" customFormat="false" ht="15" hidden="false" customHeight="false" outlineLevel="0" collapsed="false">
      <c r="A7" s="5" t="s">
        <v>401</v>
      </c>
      <c r="B7" s="36" t="n">
        <v>46.6</v>
      </c>
      <c r="C7" s="28" t="n">
        <v>6.3</v>
      </c>
      <c r="D7" s="28" t="n">
        <v>14</v>
      </c>
      <c r="E7" s="9" t="n">
        <v>0.052</v>
      </c>
      <c r="F7" s="14" t="s">
        <v>402</v>
      </c>
    </row>
    <row r="8" customFormat="false" ht="15" hidden="false" customHeight="false" outlineLevel="0" collapsed="false">
      <c r="A8" s="5" t="s">
        <v>403</v>
      </c>
      <c r="B8" s="36" t="n">
        <v>20.5</v>
      </c>
      <c r="C8" s="28" t="n">
        <v>5.5</v>
      </c>
      <c r="D8" s="28" t="n">
        <v>12</v>
      </c>
      <c r="E8" s="9" t="n">
        <v>0.065</v>
      </c>
      <c r="F8" s="14" t="s">
        <v>404</v>
      </c>
    </row>
    <row r="9" customFormat="false" ht="15" hidden="false" customHeight="false" outlineLevel="0" collapsed="false">
      <c r="A9" s="5" t="s">
        <v>405</v>
      </c>
      <c r="B9" s="36" t="n">
        <v>42</v>
      </c>
      <c r="C9" s="28" t="n">
        <v>5.8</v>
      </c>
      <c r="D9" s="28" t="n">
        <v>11.5</v>
      </c>
      <c r="E9" s="9" t="n">
        <v>0.055</v>
      </c>
      <c r="F9" s="14" t="s">
        <v>404</v>
      </c>
    </row>
    <row r="10" customFormat="false" ht="15" hidden="false" customHeight="false" outlineLevel="0" collapsed="false">
      <c r="A10" s="5" t="s">
        <v>406</v>
      </c>
      <c r="B10" s="36" t="n">
        <v>32.3</v>
      </c>
      <c r="C10" s="28" t="n">
        <v>5.5</v>
      </c>
      <c r="D10" s="28" t="n">
        <v>11.6</v>
      </c>
      <c r="E10" s="9" t="n">
        <v>0.044</v>
      </c>
      <c r="F10" s="14" t="s">
        <v>407</v>
      </c>
    </row>
    <row r="11" customFormat="false" ht="15" hidden="false" customHeight="false" outlineLevel="0" collapsed="false">
      <c r="A11" s="5" t="s">
        <v>408</v>
      </c>
      <c r="B11" s="36" t="n">
        <v>44.8</v>
      </c>
      <c r="C11" s="28" t="n">
        <v>7.8</v>
      </c>
      <c r="D11" s="28" t="n">
        <v>16</v>
      </c>
      <c r="E11" s="9" t="n">
        <v>0.03</v>
      </c>
      <c r="F11" s="14" t="s">
        <v>409</v>
      </c>
    </row>
    <row r="13" customFormat="false" ht="15" hidden="false" customHeight="false" outlineLevel="0" collapsed="false">
      <c r="A13" s="14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2026-07-11T10:30:25Z</dcterms:created>
  <dc:creator>openpyxl</dc:creator>
  <dc:description/>
  <dc:language>en-US</dc:language>
  <cp:lastModifiedBy/>
  <dcterms:modified xsi:type="dcterms:W3CDTF">2026-07-11T10:30:26Z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