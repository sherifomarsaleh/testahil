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EV Bridge" sheetId="5" state="visible" r:id="rId5"/>
    <sheet xmlns:r="http://schemas.openxmlformats.org/officeDocument/2006/relationships" name="Unit Build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 calcCompleted="0"/>
</workbook>
</file>

<file path=xl/styles.xml><?xml version="1.0" encoding="utf-8"?>
<styleSheet xmlns="http://schemas.openxmlformats.org/spreadsheetml/2006/main">
  <numFmts count="9">
    <numFmt numFmtId="164" formatCode="0.00;(0.00);&quot;-&quot;"/>
    <numFmt numFmtId="165" formatCode="#,##0.00;(#,##0.00);&quot;-&quot;"/>
    <numFmt numFmtId="166" formatCode="0.0%;(0.0%);&quot;-&quot;"/>
    <numFmt numFmtId="167" formatCode="#,##0.0;(#,##0.0);&quot;-&quot;"/>
    <numFmt numFmtId="168" formatCode="#,##0.000"/>
    <numFmt numFmtId="169" formatCode="#,##0;(#,##0);&quot;-&quot;"/>
    <numFmt numFmtId="170" formatCode="0.00x"/>
    <numFmt numFmtId="171" formatCode="0.0000"/>
    <numFmt numFmtId="172" formatCode="0.000%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sz val="9"/>
    </font>
    <font>
      <color rgb="006E7B77"/>
      <sz val="9"/>
    </font>
    <font>
      <b val="1"/>
    </font>
    <font>
      <color rgb="000000FF"/>
    </font>
    <font>
      <b val="1"/>
      <color rgb="00000000"/>
    </font>
    <font>
      <color rgb="00008000"/>
    </font>
    <font>
      <color rgb="00000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F6F1E6"/>
      </patternFill>
    </fill>
    <fill>
      <patternFill patternType="solid">
        <fgColor rgb="00EA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9" fontId="8" fillId="0" borderId="0" pivotButton="0" quotePrefix="0" xfId="0"/>
    <xf numFmtId="0" fontId="5" fillId="3" borderId="0" pivotButton="0" quotePrefix="0" xfId="0"/>
    <xf numFmtId="166" fontId="8" fillId="0" borderId="0" pivotButton="0" quotePrefix="0" xfId="0"/>
    <xf numFmtId="166" fontId="9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164" fontId="9" fillId="0" borderId="0" pivotButton="0" quotePrefix="0" xfId="0"/>
    <xf numFmtId="10" fontId="8" fillId="0" borderId="0" pivotButton="0" quotePrefix="0" xfId="0"/>
    <xf numFmtId="166" fontId="1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0" fontId="6" fillId="0" borderId="0" pivotButton="0" quotePrefix="0" xfId="0"/>
    <xf numFmtId="170" fontId="6" fillId="0" borderId="0" pivotButton="0" quotePrefix="0" xfId="0"/>
    <xf numFmtId="169" fontId="10" fillId="0" borderId="0" pivotButton="0" quotePrefix="0" xfId="0"/>
    <xf numFmtId="168" fontId="9" fillId="0" borderId="0" pivotButton="0" quotePrefix="0" xfId="0"/>
    <xf numFmtId="168" fontId="8" fillId="0" borderId="0" pivotButton="0" quotePrefix="0" xfId="0"/>
    <xf numFmtId="167" fontId="8" fillId="0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1" fontId="9" fillId="0" borderId="0" pivotButton="0" quotePrefix="0" xfId="0"/>
    <xf numFmtId="10" fontId="9" fillId="0" borderId="0" pivotButton="0" quotePrefix="0" xfId="0"/>
    <xf numFmtId="165" fontId="9" fillId="0" borderId="0" pivotButton="0" quotePrefix="0" xfId="0"/>
    <xf numFmtId="10" fontId="7" fillId="0" borderId="0" pivotButton="0" quotePrefix="0" xfId="0"/>
    <xf numFmtId="172" fontId="9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Sinai Cement Company S.A.E. (EGX: SCEM)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4">
      <c r="A4" s="3" t="inlineStr">
        <is>
          <t>Companion model · Independent Valuation Study · Educational analysis · Not investment advice</t>
        </is>
      </c>
    </row>
    <row r="5">
      <c r="A5" s="4" t="inlineStr"/>
    </row>
    <row r="6">
      <c r="A6" s="3" t="inlineStr">
        <is>
          <t>What this workbook is. A transparent companion to the SCEM valuation study. Every blue cell is an input;</t>
        </is>
      </c>
    </row>
    <row r="7">
      <c r="A7" s="3" t="inlineStr">
        <is>
          <t>every black cell is a formula; green cells link across sheets.</t>
        </is>
      </c>
    </row>
    <row r="8">
      <c r="A8" s="4" t="inlineStr"/>
    </row>
    <row r="9">
      <c r="A9" s="3" t="inlineStr">
        <is>
          <t>IT IS FORMULA-DRIVEN, AND THAT CLAIM IS TESTED. Every figure derivable from a driver is a live formula, so</t>
        </is>
      </c>
    </row>
    <row r="10">
      <c r="A10" s="3" t="inlineStr">
        <is>
          <t>you can change a blue cell on Assumptions and watch the model reprice. The cost of equity is built from the</t>
        </is>
      </c>
    </row>
    <row r="11">
      <c r="A11" s="3" t="inlineStr">
        <is>
          <t>risk-free rate NET of the sovereign spread, beta and the premium rather than pasted; the cost of debt is</t>
        </is>
      </c>
    </row>
    <row r="12">
      <c r="A12" s="3" t="inlineStr">
        <is>
          <t>taxed in the sheet; the weights come from net debt and market capitalisation; the terminal rate is built</t>
        </is>
      </c>
    </row>
    <row r="13">
      <c r="A13" s="3" t="inlineStr">
        <is>
          <t>from its own components; the glide fractions are visibly derived from the cost-of-debt path; the discount</t>
        </is>
      </c>
    </row>
    <row r="14">
      <c r="A14" s="3" t="inlineStr">
        <is>
          <t>factors compound; the DCF waterfall chains from margin through EBIT, NOPAT and FCFF to present value; the</t>
        </is>
      </c>
    </row>
    <row r="15">
      <c r="A15" s="3" t="inlineStr">
        <is>
          <t>terminal block chains from reinvestment = g / return on capital; and the statements, ratios and all four</t>
        </is>
      </c>
    </row>
    <row r="16">
      <c r="A16" s="3" t="inlineStr">
        <is>
          <t>lenses run off the same cells. A driver test perturbs every input in place and confirms the headline moves.</t>
        </is>
      </c>
    </row>
    <row r="17">
      <c r="A17" s="4" t="inlineStr"/>
    </row>
    <row r="18">
      <c r="A18" s="3" t="inlineStr">
        <is>
          <t>THREE CLASSES OF CELL ARE PASTED, and it is worth knowing exactly which.</t>
        </is>
      </c>
    </row>
    <row r="19">
      <c r="A19" s="3" t="inlineStr">
        <is>
          <t xml:space="preserve">  1. Audited and disclosed history — the primary record, not a calculation. Where a line is both disclosed</t>
        </is>
      </c>
    </row>
    <row r="20">
      <c r="A20" s="3" t="inlineStr">
        <is>
          <t xml:space="preserve">     and derivable, the DISCLOSED figure is carried.</t>
        </is>
      </c>
    </row>
    <row r="21">
      <c r="A21" s="3" t="inlineStr">
        <is>
          <t xml:space="preserve">  2. The unit build's historical calibration: the Egyptian market size and SCEM's share of it, per year.</t>
        </is>
      </c>
    </row>
    <row r="22">
      <c r="A22" s="3" t="inlineStr">
        <is>
          <t xml:space="preserve">     Those two are research judgements, not arithmetic. Volume, realised price and revenue are all formulas</t>
        </is>
      </c>
    </row>
    <row r="23">
      <c r="A23" s="3" t="inlineStr">
        <is>
          <t xml:space="preserve">     from them, and everything downstream is formula.</t>
        </is>
      </c>
    </row>
    <row r="24">
      <c r="A24" s="3" t="inlineStr">
        <is>
          <t xml:space="preserve">  3. The Monte Carlo price map and the sensitivity grids. Each individual cell there is a COMPLETE re-run of</t>
        </is>
      </c>
    </row>
    <row r="25">
      <c r="A25" s="3" t="inlineStr">
        <is>
          <t xml:space="preserve">     the whole valuation, so it cannot be a formula in a grid. THESE GRIDS DO NOT REDRAW WHEN A DRIVER</t>
        </is>
      </c>
    </row>
    <row r="26">
      <c r="A26" s="3" t="inlineStr">
        <is>
          <t xml:space="preserve">     CHANGES — if you edit an input on Assumptions, the waterfall, statements and lenses all reprice, but</t>
        </is>
      </c>
    </row>
    <row r="27">
      <c r="A27" s="3" t="inlineStr">
        <is>
          <t xml:space="preserve">     the sensitivity tables and the price map keep the values printed here.</t>
        </is>
      </c>
    </row>
    <row r="28">
      <c r="A28" s="3" t="inlineStr">
        <is>
          <t xml:space="preserve">  Anything else pasted would be a defect.</t>
        </is>
      </c>
    </row>
    <row r="29">
      <c r="A29" s="4" t="inlineStr"/>
    </row>
    <row r="30">
      <c r="A30" s="3" t="inlineStr">
        <is>
          <t>HOW THE COMPANY IS VALUED, and why. SCEM is a single-asset cement operating company: essentially all revenue</t>
        </is>
      </c>
    </row>
    <row r="31">
      <c r="A31" s="3" t="inlineStr">
        <is>
          <t>is grey cement and clinker from two lines at El Hassana, and total debt of EGP 36.8mn against ~EGP 5.2bn of</t>
        </is>
      </c>
    </row>
    <row r="32">
      <c r="A32" s="3" t="inlineStr">
        <is>
          <t>equity makes it NET CASH. It is valued with one operating-company lens, not a sum of parts. The 25.4% stake</t>
        </is>
      </c>
    </row>
    <row r="33">
      <c r="A33" s="3" t="inlineStr">
        <is>
          <t>in Sinai White Portland Cement — the only thing that could have been a second leg — was sold to Aalborg</t>
        </is>
      </c>
    </row>
    <row r="34">
      <c r="A34" s="3" t="inlineStr">
        <is>
          <t>Portland (Cementir) for EUR 30mn, completed 13 August 2024.</t>
        </is>
      </c>
    </row>
    <row r="35">
      <c r="A35" s="4" t="inlineStr"/>
    </row>
    <row r="36">
      <c r="A36" s="3" t="inlineStr">
        <is>
          <t>TWO THINGS THE READER SHOULD KNOW BEFORE READING ANY NUMBER.</t>
        </is>
      </c>
    </row>
    <row r="37">
      <c r="A37" s="3" t="inlineStr">
        <is>
          <t xml:space="preserve">  * FY2024 is not a base year. Profit after tax of EGP 3,070mn on revenue of EGP 6,420mn is a 48% net margin</t>
        </is>
      </c>
    </row>
    <row r="38">
      <c r="A38" s="3" t="inlineStr">
        <is>
          <t xml:space="preserve">    that no cement plant earns from making cement; it contains the Sinai White disposal gain. Stripping it,</t>
        </is>
      </c>
    </row>
    <row r="39">
      <c r="A39" s="3" t="inlineStr">
        <is>
          <t xml:space="preserve">    underlying FY2024 profit was EGP 1,568mn, so FY2025 profit ROSE 46% — it did not fall 25%.</t>
        </is>
      </c>
    </row>
    <row r="40">
      <c r="A40" s="3" t="inlineStr">
        <is>
          <t xml:space="preserve">  * Profit after tax EXCEEDS EBITDA because a large cash pile earns Egyptian policy rates. That is an</t>
        </is>
      </c>
    </row>
    <row r="41">
      <c r="A41" s="3" t="inlineStr">
        <is>
          <t xml:space="preserve">    excess-cash artefact, not a second business. Treasury income is excluded from free cash flow entirely</t>
        </is>
      </c>
    </row>
    <row r="42">
      <c r="A42" s="3" t="inlineStr">
        <is>
          <t xml:space="preserve">    and the cash is added back in the enterprise-to-equity bridge.</t>
        </is>
      </c>
    </row>
    <row r="43">
      <c r="A43" s="4" t="inlineStr"/>
    </row>
    <row r="44">
      <c r="A44" s="3" t="inlineStr">
        <is>
          <t>PROVENANCE LIMIT, STATED PLAINLY. The company's audited statements could not be retrieved when this was</t>
        </is>
      </c>
    </row>
    <row r="45">
      <c r="A45" s="3" t="inlineStr">
        <is>
          <t>built: the environment's egress policy refused every external host. Revenue and profit after tax are</t>
        </is>
      </c>
    </row>
    <row r="46">
      <c r="A46" s="3" t="inlineStr">
        <is>
          <t>carried as disclosed via reporting of the EGX filing; every line between them is DERIVED by closing the</t>
        </is>
      </c>
    </row>
    <row r="47">
      <c r="A47" s="3" t="inlineStr">
        <is>
          <t>disclosed profit, and is labelled as derived on the Income Statement sheet.</t>
        </is>
      </c>
    </row>
    <row r="48">
      <c r="A48" s="4" t="inlineStr"/>
    </row>
    <row r="49">
      <c r="A49" s="3" t="inlineStr">
        <is>
          <t>No rating and no price target. Fair-value ranges and distributions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Summary valuation table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Sinai Cement Company S.A.E. · EGX: SCEM · EGP · 06-Aug-2026</t>
        </is>
      </c>
    </row>
    <row r="4">
      <c r="A4" s="6" t="inlineStr"/>
      <c r="B4" s="6" t="inlineStr">
        <is>
          <t>Value</t>
        </is>
      </c>
    </row>
    <row r="5">
      <c r="A5" t="inlineStr">
        <is>
          <t>Spot price (EGP)</t>
        </is>
      </c>
      <c r="B5" s="7">
        <f>Assumptions!$B$5</f>
        <v/>
      </c>
    </row>
    <row r="6">
      <c r="A6" t="inlineStr">
        <is>
          <t>Shares outstanding (mn)</t>
        </is>
      </c>
      <c r="B6" s="8">
        <f>Assumptions!$B$6</f>
        <v/>
      </c>
    </row>
    <row r="7">
      <c r="A7" t="inlineStr">
        <is>
          <t>Market capitalisation (EGP mn)</t>
        </is>
      </c>
      <c r="B7" s="9">
        <f>Assumptions!$B$5*Assumptions!$B$6</f>
        <v/>
      </c>
    </row>
    <row r="8">
      <c r="A8" t="inlineStr">
        <is>
          <t>Net cash (EGP mn)</t>
        </is>
      </c>
      <c r="B8" s="9">
        <f>DCF!B36</f>
        <v/>
      </c>
    </row>
    <row r="9">
      <c r="A9" t="inlineStr">
        <is>
          <t>Enterprise value at spot (EGP mn)</t>
        </is>
      </c>
      <c r="B9" s="9">
        <f>B7-B8</f>
        <v/>
      </c>
    </row>
    <row r="11">
      <c r="A11" s="10" t="inlineStr">
        <is>
          <t>VALUATION BY LENS</t>
        </is>
      </c>
      <c r="B11" s="10" t="n"/>
      <c r="C11" s="10" t="n"/>
      <c r="D11" s="10" t="n"/>
      <c r="E11" s="10" t="n"/>
      <c r="F11" s="10" t="n"/>
      <c r="G11" s="10" t="n"/>
    </row>
    <row r="12">
      <c r="A12" s="6" t="inlineStr">
        <is>
          <t>Lens</t>
        </is>
      </c>
      <c r="B12" s="6" t="inlineStr">
        <is>
          <t>Value per share (EGP)</t>
        </is>
      </c>
      <c r="C12" s="6" t="inlineStr">
        <is>
          <t>Weight</t>
        </is>
      </c>
      <c r="D12" s="6" t="inlineStr">
        <is>
          <t>vs spot</t>
        </is>
      </c>
      <c r="E12" s="6" t="inlineStr">
        <is>
          <t>Terminal value % of EV</t>
        </is>
      </c>
    </row>
    <row r="13">
      <c r="A13" t="inlineStr">
        <is>
          <t>DCF (cash flow)</t>
        </is>
      </c>
      <c r="B13" s="7">
        <f>'Fundamental Valuation'!B5</f>
        <v/>
      </c>
      <c r="C13" s="11">
        <f>'Fundamental Valuation'!C5</f>
        <v/>
      </c>
      <c r="D13" s="12">
        <f>B13/$B$5-1</f>
        <v/>
      </c>
      <c r="E13" s="11">
        <f>DCF!B33</f>
        <v/>
      </c>
    </row>
    <row r="14">
      <c r="A14" t="inlineStr">
        <is>
          <t>Relative multiples</t>
        </is>
      </c>
      <c r="B14" s="7">
        <f>'Fundamental Valuation'!B6</f>
        <v/>
      </c>
      <c r="C14" s="11">
        <f>'Fundamental Valuation'!C6</f>
        <v/>
      </c>
      <c r="D14" s="12">
        <f>B14/$B$5-1</f>
        <v/>
      </c>
    </row>
    <row r="15">
      <c r="A15" t="inlineStr">
        <is>
          <t>Normalised earnings</t>
        </is>
      </c>
      <c r="B15" s="7">
        <f>'Fundamental Valuation'!B7</f>
        <v/>
      </c>
      <c r="C15" s="11">
        <f>'Fundamental Valuation'!C7</f>
        <v/>
      </c>
      <c r="D15" s="12">
        <f>B15/$B$5-1</f>
        <v/>
      </c>
    </row>
    <row r="16">
      <c r="A16" t="inlineStr">
        <is>
          <t>Asset / replacement cost</t>
        </is>
      </c>
      <c r="B16" s="7">
        <f>'Fundamental Valuation'!B8</f>
        <v/>
      </c>
      <c r="C16" s="11">
        <f>'Fundamental Valuation'!C8</f>
        <v/>
      </c>
      <c r="D16" s="12">
        <f>B16/$B$5-1</f>
        <v/>
      </c>
    </row>
    <row r="17">
      <c r="A17" t="inlineStr">
        <is>
          <t>Weighted central fair value (EGP)</t>
        </is>
      </c>
      <c r="B17" s="13">
        <f>'Fundamental Valuation'!D10</f>
        <v/>
      </c>
      <c r="D17" s="14">
        <f>B17/$B$5-1</f>
        <v/>
      </c>
    </row>
    <row r="18">
      <c r="A18" t="inlineStr">
        <is>
          <t>Range across the four lenses (EGP)</t>
        </is>
      </c>
      <c r="B18" s="15">
        <f>MIN(B13:B16)</f>
        <v/>
      </c>
      <c r="C18" s="15">
        <f>MAX(B13:B16)</f>
        <v/>
      </c>
    </row>
    <row r="19">
      <c r="A19" t="inlineStr">
        <is>
          <t>Vicat tender offer, July 2025 (EGP) — reference, not a value</t>
        </is>
      </c>
      <c r="B19" s="7">
        <f>Assumptions!$B$86</f>
        <v/>
      </c>
    </row>
    <row r="21">
      <c r="A21" s="10" t="inlineStr">
        <is>
          <t>COST OF CAPITAL AND TERMINAL</t>
        </is>
      </c>
      <c r="B21" s="10" t="n"/>
      <c r="C21" s="10" t="n"/>
      <c r="D21" s="10" t="n"/>
      <c r="E21" s="10" t="n"/>
      <c r="F21" s="10" t="n"/>
      <c r="G21" s="10" t="n"/>
    </row>
    <row r="22">
      <c r="A22" t="inlineStr">
        <is>
          <t>Cost of equity — explicit window</t>
        </is>
      </c>
      <c r="B22" s="16">
        <f>DCF!C45</f>
        <v/>
      </c>
    </row>
    <row r="23">
      <c r="A23" t="inlineStr">
        <is>
          <t>WACC — explicit window</t>
        </is>
      </c>
      <c r="B23" s="16">
        <f>DCF!C46</f>
        <v/>
      </c>
    </row>
    <row r="24">
      <c r="A24" t="inlineStr">
        <is>
          <t>WACC — terminal</t>
        </is>
      </c>
      <c r="B24" s="16">
        <f>DCF!C53</f>
        <v/>
      </c>
    </row>
    <row r="25">
      <c r="A25" t="inlineStr">
        <is>
          <t>Terminal growth</t>
        </is>
      </c>
      <c r="B25" s="11">
        <f>Assumptions!$B$55</f>
        <v/>
      </c>
    </row>
    <row r="26">
      <c r="A26" t="inlineStr">
        <is>
          <t>Terminal return on invested capital (replacement basis)</t>
        </is>
      </c>
      <c r="B26" s="11">
        <f>DCF!B24</f>
        <v/>
      </c>
    </row>
    <row r="27">
      <c r="A27" t="inlineStr">
        <is>
          <t>Terminal value as % of enterprise value</t>
        </is>
      </c>
      <c r="B27" s="17">
        <f>DCF!B33</f>
        <v/>
      </c>
    </row>
    <row r="29">
      <c r="A29" s="5" t="inlineStr">
        <is>
          <t>Terminal value share is linked live to the DCF sheet in both the lens table and the block above.</t>
        </is>
      </c>
    </row>
  </sheetData>
  <mergeCells count="1">
    <mergeCell ref="A29:J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valuation — four lenses</t>
        </is>
      </c>
      <c r="B1" s="2" t="n"/>
      <c r="C1" s="2" t="n"/>
      <c r="D1" s="2" t="n"/>
      <c r="E1" s="2" t="n"/>
      <c r="F1" s="2" t="n"/>
    </row>
    <row r="4">
      <c r="A4" s="6" t="inlineStr">
        <is>
          <t>Lens</t>
        </is>
      </c>
      <c r="B4" s="6" t="inlineStr">
        <is>
          <t>Value per share (EGP)</t>
        </is>
      </c>
      <c r="C4" s="6" t="inlineStr">
        <is>
          <t>Weight</t>
        </is>
      </c>
      <c r="D4" s="6" t="inlineStr">
        <is>
          <t>Weighted</t>
        </is>
      </c>
    </row>
    <row r="5">
      <c r="A5" t="inlineStr">
        <is>
          <t>DCF (cash flow)</t>
        </is>
      </c>
      <c r="B5" s="7">
        <f>DCF!B39</f>
        <v/>
      </c>
      <c r="C5" s="11">
        <f>Assumptions!$B$87</f>
        <v/>
      </c>
      <c r="D5" s="15">
        <f>B5*C5</f>
        <v/>
      </c>
    </row>
    <row r="6">
      <c r="A6" t="inlineStr">
        <is>
          <t>Relative multiples</t>
        </is>
      </c>
      <c r="B6" s="7">
        <f>'Relative &amp; Normalized'!B15</f>
        <v/>
      </c>
      <c r="C6" s="11">
        <f>Assumptions!$B$88</f>
        <v/>
      </c>
      <c r="D6" s="15">
        <f>B6*C6</f>
        <v/>
      </c>
    </row>
    <row r="7">
      <c r="A7" t="inlineStr">
        <is>
          <t>Normalised earnings</t>
        </is>
      </c>
      <c r="B7" s="7">
        <f>'Relative &amp; Normalized'!B26</f>
        <v/>
      </c>
      <c r="C7" s="11">
        <f>Assumptions!$B$89</f>
        <v/>
      </c>
      <c r="D7" s="15">
        <f>B7*C7</f>
        <v/>
      </c>
    </row>
    <row r="8">
      <c r="A8" t="inlineStr">
        <is>
          <t>Asset / replacement cost</t>
        </is>
      </c>
      <c r="B8" s="7">
        <f>'Relative &amp; Normalized'!B38</f>
        <v/>
      </c>
      <c r="C8" s="11">
        <f>Assumptions!$B$90</f>
        <v/>
      </c>
      <c r="D8" s="15">
        <f>B8*C8</f>
        <v/>
      </c>
    </row>
    <row r="10">
      <c r="A10" t="inlineStr">
        <is>
          <t>Weighted central fair value (EGP)</t>
        </is>
      </c>
      <c r="D10" s="13">
        <f>SUM(D5:D8)</f>
        <v/>
      </c>
    </row>
    <row r="11">
      <c r="A11" t="inlineStr">
        <is>
          <t>Lowest lens</t>
        </is>
      </c>
      <c r="B11" s="15">
        <f>MIN(B5:B8)</f>
        <v/>
      </c>
    </row>
    <row r="12">
      <c r="A12" t="inlineStr">
        <is>
          <t>Highest lens</t>
        </is>
      </c>
      <c r="B12" s="15">
        <f>MAX(B5:B8)</f>
        <v/>
      </c>
    </row>
    <row r="13">
      <c r="A13" t="inlineStr">
        <is>
          <t>Median lens</t>
        </is>
      </c>
      <c r="B13" s="15">
        <f>MEDIAN(B5:B8)</f>
        <v/>
      </c>
    </row>
    <row r="14">
      <c r="A14" t="inlineStr">
        <is>
          <t>Spot price (EGP)</t>
        </is>
      </c>
      <c r="B14" s="7">
        <f>Assumptions!$B$5</f>
        <v/>
      </c>
    </row>
    <row r="15">
      <c r="A15" t="inlineStr">
        <is>
          <t>Central versus spot</t>
        </is>
      </c>
      <c r="B15" s="14">
        <f>D10/B14-1</f>
        <v/>
      </c>
    </row>
    <row r="16">
      <c r="A16" t="inlineStr">
        <is>
          <t>Terminal value as % of enterprise value (DCF lens)</t>
        </is>
      </c>
      <c r="B16" s="11">
        <f>DCF!B33</f>
        <v/>
      </c>
    </row>
    <row r="18">
      <c r="A18" s="5" t="inlineStr">
        <is>
          <t>The four lenses disagree by design — the spread between the cash-flow lens and the replacement-cost</t>
        </is>
      </c>
    </row>
    <row r="19">
      <c r="A19" s="5" t="inlineStr">
        <is>
          <t>lens IS the question this company poses, and averaging it away would hide it.</t>
        </is>
      </c>
    </row>
  </sheetData>
  <mergeCells count="2">
    <mergeCell ref="A18:J18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Assumptions — every driver, including the whole cost stack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5" t="inlineStr">
        <is>
          <t>Blue cells are inputs. Nothing below a driver is typed.</t>
        </is>
      </c>
    </row>
    <row r="4">
      <c r="A4" s="10" t="inlineStr">
        <is>
          <t>MARKET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t="inlineStr">
        <is>
          <t>Spot price</t>
        </is>
      </c>
      <c r="B5" s="18" t="n">
        <v>79</v>
      </c>
      <c r="C5" s="5" t="inlineStr">
        <is>
          <t>EGP, close 06-Aug-2026</t>
        </is>
      </c>
    </row>
    <row r="6">
      <c r="A6" t="inlineStr">
        <is>
          <t>Shares outstanding</t>
        </is>
      </c>
      <c r="B6" s="19" t="n">
        <v>260.812477</v>
      </c>
      <c r="C6" s="5" t="inlineStr">
        <is>
          <t>mn</t>
        </is>
      </c>
    </row>
    <row r="7">
      <c r="A7" t="inlineStr">
        <is>
          <t>Statutory tax rate</t>
        </is>
      </c>
      <c r="B7" s="20" t="n">
        <v>0.225</v>
      </c>
    </row>
    <row r="8">
      <c r="A8" t="inlineStr">
        <is>
          <t>Effective tax rate (historical closure)</t>
        </is>
      </c>
      <c r="B8" s="20" t="n">
        <v>0.32</v>
      </c>
    </row>
    <row r="9">
      <c r="A9" t="inlineStr">
        <is>
          <t>USD/EGP (spot)</t>
        </is>
      </c>
      <c r="B9" s="21" t="n">
        <v>49.8</v>
      </c>
    </row>
    <row r="11">
      <c r="A11" s="10" t="inlineStr">
        <is>
          <t>PLANT — PHYSICAL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t="inlineStr">
        <is>
          <t>Cement grinding capacity</t>
        </is>
      </c>
      <c r="B12" s="19" t="n">
        <v>3.8</v>
      </c>
      <c r="C12" s="5" t="inlineStr">
        <is>
          <t>Mt/yr</t>
        </is>
      </c>
    </row>
    <row r="13">
      <c r="A13" t="inlineStr">
        <is>
          <t>Kiln clinker capacity</t>
        </is>
      </c>
      <c r="B13" s="19" t="n">
        <v>2.57</v>
      </c>
      <c r="C13" s="5" t="inlineStr">
        <is>
          <t>Mt/yr</t>
        </is>
      </c>
    </row>
    <row r="14">
      <c r="A14" t="inlineStr">
        <is>
          <t>Clinker factor</t>
        </is>
      </c>
      <c r="B14" s="22" t="n">
        <v>0.6763</v>
      </c>
      <c r="C14" s="5" t="inlineStr">
        <is>
          <t>t clinker / t cement</t>
        </is>
      </c>
    </row>
    <row r="15">
      <c r="A15" s="10" t="inlineStr">
        <is>
          <t>COST STACK — PHYSICAL AND MARKET DRIVERS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t="inlineStr">
        <is>
          <t>Specific thermal energy</t>
        </is>
      </c>
      <c r="B16" s="19" t="n">
        <v>3.4</v>
      </c>
      <c r="C16" s="5" t="inlineStr">
        <is>
          <t>GJ/t clinker</t>
        </is>
      </c>
    </row>
    <row r="17">
      <c r="A17" t="inlineStr">
        <is>
          <t>Delivered fuel cost</t>
        </is>
      </c>
      <c r="B17" s="19" t="n">
        <v>4</v>
      </c>
      <c r="C17" s="5" t="inlineStr">
        <is>
          <t>USD/GJ</t>
        </is>
      </c>
    </row>
    <row r="18">
      <c r="A18" t="inlineStr">
        <is>
          <t>Specific electrical energy</t>
        </is>
      </c>
      <c r="B18" s="23" t="n">
        <v>100</v>
      </c>
      <c r="C18" s="5" t="inlineStr">
        <is>
          <t>kWh/t cement</t>
        </is>
      </c>
    </row>
    <row r="19">
      <c r="A19" t="inlineStr">
        <is>
          <t>Industrial electricity tariff</t>
        </is>
      </c>
      <c r="B19" s="19" t="n">
        <v>2.6</v>
      </c>
      <c r="C19" s="5" t="inlineStr">
        <is>
          <t>EGP/kWh</t>
        </is>
      </c>
    </row>
    <row r="20">
      <c r="A20" t="inlineStr">
        <is>
          <t>Raw materials &amp; quarrying</t>
        </is>
      </c>
      <c r="B20" s="23" t="n">
        <v>190</v>
      </c>
      <c r="C20" s="5" t="inlineStr">
        <is>
          <t>EGP/t cement</t>
        </is>
      </c>
    </row>
    <row r="21">
      <c r="A21" t="inlineStr">
        <is>
          <t>Packaging</t>
        </is>
      </c>
      <c r="B21" s="23" t="n">
        <v>55</v>
      </c>
      <c r="C21" s="5" t="inlineStr">
        <is>
          <t>EGP/t bagged</t>
        </is>
      </c>
    </row>
    <row r="22">
      <c r="A22" t="inlineStr">
        <is>
          <t>Bagged share of despatches</t>
        </is>
      </c>
      <c r="B22" s="20" t="n">
        <v>0.7</v>
      </c>
    </row>
    <row r="23">
      <c r="A23" t="inlineStr">
        <is>
          <t>Distribution &amp; selling</t>
        </is>
      </c>
      <c r="B23" s="23" t="n">
        <v>250</v>
      </c>
      <c r="C23" s="5" t="inlineStr">
        <is>
          <t>EGP/t cement</t>
        </is>
      </c>
    </row>
    <row r="24">
      <c r="A24" t="inlineStr">
        <is>
          <t>Fixed cash cost</t>
        </is>
      </c>
      <c r="B24" s="19" t="n">
        <v>14.6</v>
      </c>
      <c r="C24" s="5" t="inlineStr">
        <is>
          <t>USD/t of capacity</t>
        </is>
      </c>
    </row>
    <row r="26">
      <c r="A26" s="10" t="inlineStr">
        <is>
          <t>FORECAST PATHS — FY2025A then FY2026E to FY2030E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6" t="inlineStr"/>
      <c r="B27" s="6" t="inlineStr">
        <is>
          <t>FY2025A</t>
        </is>
      </c>
      <c r="C27" s="6" t="inlineStr">
        <is>
          <t>FY2026E</t>
        </is>
      </c>
      <c r="D27" s="6" t="inlineStr">
        <is>
          <t>FY2027E</t>
        </is>
      </c>
      <c r="E27" s="6" t="inlineStr">
        <is>
          <t>FY2028E</t>
        </is>
      </c>
      <c r="F27" s="6" t="inlineStr">
        <is>
          <t>FY2029E</t>
        </is>
      </c>
      <c r="G27" s="6" t="inlineStr">
        <is>
          <t>FY2030E</t>
        </is>
      </c>
    </row>
    <row r="28">
      <c r="A28" t="inlineStr">
        <is>
          <t>Kiln utilisation</t>
        </is>
      </c>
      <c r="B28" s="20" t="n">
        <v>0.71</v>
      </c>
      <c r="C28" s="20" t="n">
        <v>0.717</v>
      </c>
      <c r="D28" s="20" t="n">
        <v>0.735</v>
      </c>
      <c r="E28" s="20" t="n">
        <v>0.753</v>
      </c>
      <c r="F28" s="20" t="n">
        <v>0.772</v>
      </c>
      <c r="G28" s="20" t="n">
        <v>0.791</v>
      </c>
    </row>
    <row r="29">
      <c r="A29" t="inlineStr">
        <is>
          <t>Domestic share of despatches</t>
        </is>
      </c>
      <c r="B29" s="20" t="n">
        <v>0.88</v>
      </c>
      <c r="C29" s="20" t="n">
        <v>0.87</v>
      </c>
      <c r="D29" s="20" t="n">
        <v>0.86</v>
      </c>
      <c r="E29" s="20" t="n">
        <v>0.85</v>
      </c>
      <c r="F29" s="20" t="n">
        <v>0.84</v>
      </c>
      <c r="G29" s="20" t="n">
        <v>0.83</v>
      </c>
    </row>
    <row r="30">
      <c r="A30" t="inlineStr">
        <is>
          <t>Domestic realised price</t>
        </is>
      </c>
      <c r="B30" s="23" t="n">
        <v>3503</v>
      </c>
      <c r="C30" s="23" t="n">
        <v>3713</v>
      </c>
      <c r="D30" s="23" t="n">
        <v>3880</v>
      </c>
      <c r="E30" s="23" t="n">
        <v>4074</v>
      </c>
      <c r="F30" s="23" t="n">
        <v>4297</v>
      </c>
      <c r="G30" s="23" t="n">
        <v>4512</v>
      </c>
      <c r="I30" s="5" t="inlineStr">
        <is>
          <t>EGP/t</t>
        </is>
      </c>
    </row>
    <row r="31">
      <c r="A31" t="inlineStr">
        <is>
          <t>Export price</t>
        </is>
      </c>
      <c r="B31" s="21" t="n">
        <v>48</v>
      </c>
      <c r="C31" s="21" t="n">
        <v>47</v>
      </c>
      <c r="D31" s="21" t="n">
        <v>46</v>
      </c>
      <c r="E31" s="21" t="n">
        <v>45.5</v>
      </c>
      <c r="F31" s="21" t="n">
        <v>45</v>
      </c>
      <c r="G31" s="21" t="n">
        <v>45</v>
      </c>
      <c r="I31" s="5" t="inlineStr">
        <is>
          <t>USD/t</t>
        </is>
      </c>
    </row>
    <row r="32">
      <c r="A32" t="inlineStr">
        <is>
          <t>USD/EGP path</t>
        </is>
      </c>
      <c r="B32" s="21" t="n">
        <v>49.8</v>
      </c>
      <c r="C32" s="21" t="n">
        <v>52.5</v>
      </c>
      <c r="D32" s="21" t="n">
        <v>55</v>
      </c>
      <c r="E32" s="21" t="n">
        <v>57.2</v>
      </c>
      <c r="F32" s="21" t="n">
        <v>59.3</v>
      </c>
      <c r="G32" s="21" t="n">
        <v>61.4</v>
      </c>
    </row>
    <row r="33">
      <c r="A33" t="inlineStr">
        <is>
          <t>Local cost inflation index</t>
        </is>
      </c>
      <c r="B33" s="22" t="n">
        <v>1</v>
      </c>
      <c r="C33" s="22" t="n">
        <v>1.14</v>
      </c>
      <c r="D33" s="22" t="n">
        <v>1.265</v>
      </c>
      <c r="E33" s="22" t="n">
        <v>1.365</v>
      </c>
      <c r="F33" s="22" t="n">
        <v>1.45</v>
      </c>
      <c r="G33" s="22" t="n">
        <v>1.53</v>
      </c>
    </row>
    <row r="35">
      <c r="A35" s="10" t="inlineStr">
        <is>
          <t>CAPITAL INTENSITY (FY2026E to FY2030E)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t="inlineStr">
        <is>
          <t>D&amp;A / revenue</t>
        </is>
      </c>
      <c r="B36" s="20" t="n">
        <v>0.046</v>
      </c>
      <c r="C36" s="20" t="n">
        <v>0.045</v>
      </c>
      <c r="D36" s="20" t="n">
        <v>0.044</v>
      </c>
      <c r="E36" s="20" t="n">
        <v>0.043</v>
      </c>
      <c r="F36" s="20" t="n">
        <v>0.042</v>
      </c>
    </row>
    <row r="37">
      <c r="A37" t="inlineStr">
        <is>
          <t>Capex / revenue</t>
        </is>
      </c>
      <c r="B37" s="20" t="n">
        <v>0.05</v>
      </c>
      <c r="C37" s="20" t="n">
        <v>0.048</v>
      </c>
      <c r="D37" s="20" t="n">
        <v>0.047</v>
      </c>
      <c r="E37" s="20" t="n">
        <v>0.046</v>
      </c>
      <c r="F37" s="20" t="n">
        <v>0.045</v>
      </c>
    </row>
    <row r="38">
      <c r="A38" t="inlineStr">
        <is>
          <t>Cost-of-debt path</t>
        </is>
      </c>
      <c r="B38" s="20" t="n">
        <v>0.215</v>
      </c>
      <c r="C38" s="20" t="n">
        <v>0.195</v>
      </c>
      <c r="D38" s="20" t="n">
        <v>0.18</v>
      </c>
      <c r="E38" s="20" t="n">
        <v>0.168</v>
      </c>
      <c r="F38" s="20" t="n">
        <v>0.16</v>
      </c>
    </row>
    <row r="39">
      <c r="A39" t="inlineStr">
        <is>
          <t>Yield earned on cash</t>
        </is>
      </c>
      <c r="B39" s="20" t="n">
        <v>0.19</v>
      </c>
      <c r="C39" s="20" t="n">
        <v>0.17</v>
      </c>
      <c r="D39" s="20" t="n">
        <v>0.15</v>
      </c>
      <c r="E39" s="20" t="n">
        <v>0.135</v>
      </c>
      <c r="F39" s="20" t="n">
        <v>0.125</v>
      </c>
    </row>
    <row r="40">
      <c r="A40" t="inlineStr">
        <is>
          <t>Delta working capital / delta revenue</t>
        </is>
      </c>
      <c r="B40" s="20" t="n">
        <v>0.08</v>
      </c>
    </row>
    <row r="41">
      <c r="A41" t="inlineStr">
        <is>
          <t>Dividend payout ratio</t>
        </is>
      </c>
      <c r="B41" s="20" t="n">
        <v>0.6</v>
      </c>
    </row>
    <row r="42">
      <c r="A42" t="inlineStr">
        <is>
          <t>Yield on cash, FY2025</t>
        </is>
      </c>
      <c r="B42" s="20" t="n">
        <v>0.21</v>
      </c>
    </row>
    <row r="44">
      <c r="A44" s="10" t="inlineStr">
        <is>
          <t>COST OF CAPITAL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t="inlineStr">
        <is>
          <t>Risk-free rate (EGP 10-year)</t>
        </is>
      </c>
      <c r="B45" s="24" t="n">
        <v>0.2231</v>
      </c>
    </row>
    <row r="46">
      <c r="A46" t="inlineStr">
        <is>
          <t>Sovereign default spread (netted out)</t>
        </is>
      </c>
      <c r="B46" s="24" t="n">
        <v>0.034</v>
      </c>
    </row>
    <row r="47">
      <c r="A47" t="inlineStr">
        <is>
          <t>Equity risk premium (CDS basis)</t>
        </is>
      </c>
      <c r="B47" s="24" t="n">
        <v>0.0941</v>
      </c>
    </row>
    <row r="48">
      <c r="A48" t="inlineStr">
        <is>
          <t>Beta</t>
        </is>
      </c>
      <c r="B48" s="19" t="n">
        <v>1</v>
      </c>
    </row>
    <row r="49">
      <c r="A49" t="inlineStr">
        <is>
          <t>Pre-tax cost of debt</t>
        </is>
      </c>
      <c r="B49" s="24" t="n">
        <v>0.215</v>
      </c>
    </row>
    <row r="50">
      <c r="A50" t="inlineStr">
        <is>
          <t>Gross debt</t>
        </is>
      </c>
      <c r="B50" s="21" t="n">
        <v>36.8</v>
      </c>
      <c r="C50" s="5" t="inlineStr">
        <is>
          <t>EGP mn</t>
        </is>
      </c>
    </row>
    <row r="51">
      <c r="A51" t="inlineStr">
        <is>
          <t>Terminal risk-free rate</t>
        </is>
      </c>
      <c r="B51" s="24" t="n">
        <v>0.125</v>
      </c>
    </row>
    <row r="52">
      <c r="A52" t="inlineStr">
        <is>
          <t>Terminal equity risk premium</t>
        </is>
      </c>
      <c r="B52" s="24" t="n">
        <v>0.07000000000000001</v>
      </c>
    </row>
    <row r="53">
      <c r="A53" t="inlineStr">
        <is>
          <t>Terminal cost of debt</t>
        </is>
      </c>
      <c r="B53" s="24" t="n">
        <v>0.15</v>
      </c>
    </row>
    <row r="54">
      <c r="A54" t="inlineStr">
        <is>
          <t>Terminal debt weight</t>
        </is>
      </c>
      <c r="B54" s="20" t="n">
        <v>0.2</v>
      </c>
    </row>
    <row r="55">
      <c r="A55" t="inlineStr">
        <is>
          <t>Terminal growth</t>
        </is>
      </c>
      <c r="B55" s="20" t="n">
        <v>0.05</v>
      </c>
    </row>
    <row r="56">
      <c r="A56" t="inlineStr">
        <is>
          <t>Elapsed fraction of FY2026 at valuation</t>
        </is>
      </c>
      <c r="B56" s="22" t="n">
        <v>0.583</v>
      </c>
    </row>
    <row r="58">
      <c r="A58" s="10" t="inlineStr">
        <is>
          <t>BALANCE SHEET AND DISCLOSED HISTORY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t="inlineStr">
        <is>
          <t>FY2025 cash (REPORTED)</t>
        </is>
      </c>
      <c r="B59" s="23" t="n">
        <v>3850</v>
      </c>
      <c r="C59" s="5" t="inlineStr">
        <is>
          <t>EGP mn</t>
        </is>
      </c>
    </row>
    <row r="60">
      <c r="A60" t="inlineStr">
        <is>
          <t>FY2025 equity (reported)</t>
        </is>
      </c>
      <c r="B60" s="23" t="n">
        <v>5240</v>
      </c>
      <c r="C60" s="5" t="inlineStr">
        <is>
          <t>EGP mn</t>
        </is>
      </c>
    </row>
    <row r="61">
      <c r="A61" t="inlineStr">
        <is>
          <t>Non-controlling interests</t>
        </is>
      </c>
      <c r="B61" s="23" t="n">
        <v>120</v>
      </c>
      <c r="C61" s="5" t="inlineStr">
        <is>
          <t>EGP mn</t>
        </is>
      </c>
    </row>
    <row r="62">
      <c r="A62" t="inlineStr">
        <is>
          <t>FY2023 revenue</t>
        </is>
      </c>
      <c r="B62" s="23" t="n">
        <v>4280</v>
      </c>
    </row>
    <row r="63">
      <c r="A63" t="inlineStr">
        <is>
          <t>FY2024 revenue</t>
        </is>
      </c>
      <c r="B63" s="23" t="n">
        <v>6420</v>
      </c>
    </row>
    <row r="64">
      <c r="A64" t="inlineStr">
        <is>
          <t>FY2025 revenue</t>
        </is>
      </c>
      <c r="B64" s="23" t="n">
        <v>9090</v>
      </c>
    </row>
    <row r="65">
      <c r="A65" t="inlineStr">
        <is>
          <t>FY2023 profit after tax</t>
        </is>
      </c>
      <c r="B65" s="23" t="n">
        <v>-121.42</v>
      </c>
    </row>
    <row r="66">
      <c r="A66" t="inlineStr">
        <is>
          <t>FY2024 profit after tax</t>
        </is>
      </c>
      <c r="B66" s="23" t="n">
        <v>3070</v>
      </c>
    </row>
    <row r="67">
      <c r="A67" t="inlineStr">
        <is>
          <t>FY2025 profit after tax</t>
        </is>
      </c>
      <c r="B67" s="23" t="n">
        <v>2290</v>
      </c>
    </row>
    <row r="68">
      <c r="A68" t="inlineStr">
        <is>
          <t>FY2024 EBITDA (disclosed anchor)</t>
        </is>
      </c>
      <c r="B68" s="23" t="n">
        <v>1590</v>
      </c>
    </row>
    <row r="69">
      <c r="A69" t="inlineStr">
        <is>
          <t>FY2024 total assets</t>
        </is>
      </c>
      <c r="B69" s="21" t="n">
        <v>6385.92</v>
      </c>
    </row>
    <row r="70">
      <c r="A70" t="inlineStr">
        <is>
          <t>FY2024 total liabilities</t>
        </is>
      </c>
      <c r="B70" s="21" t="n">
        <v>1610.86</v>
      </c>
    </row>
    <row r="71">
      <c r="A71" t="inlineStr">
        <is>
          <t>FY2023 treasury income</t>
        </is>
      </c>
      <c r="B71" s="23" t="n">
        <v>198</v>
      </c>
    </row>
    <row r="72">
      <c r="A72" t="inlineStr">
        <is>
          <t>FY2023 weighted-average shares</t>
        </is>
      </c>
      <c r="B72" s="19" t="n">
        <v>133.07</v>
      </c>
      <c r="C72" s="5" t="inlineStr">
        <is>
          <t>mn</t>
        </is>
      </c>
    </row>
    <row r="73">
      <c r="A73" t="inlineStr">
        <is>
          <t>FY2024 weighted-average shares</t>
        </is>
      </c>
      <c r="B73" s="19" t="n">
        <v>133.07</v>
      </c>
      <c r="C73" s="5" t="inlineStr">
        <is>
          <t>mn</t>
        </is>
      </c>
    </row>
    <row r="74">
      <c r="A74" t="inlineStr">
        <is>
          <t>FY2025 weighted-average shares</t>
        </is>
      </c>
      <c r="B74" s="19" t="n">
        <v>222</v>
      </c>
      <c r="C74" s="5" t="inlineStr">
        <is>
          <t>mn</t>
        </is>
      </c>
    </row>
    <row r="75">
      <c r="A75" t="inlineStr">
        <is>
          <t>D&amp;A / revenue, FY2023</t>
        </is>
      </c>
      <c r="B75" s="20" t="n">
        <v>0.094</v>
      </c>
    </row>
    <row r="76">
      <c r="A76" t="inlineStr">
        <is>
          <t>D&amp;A / revenue, FY2024</t>
        </is>
      </c>
      <c r="B76" s="20" t="n">
        <v>0.062</v>
      </c>
    </row>
    <row r="77">
      <c r="A77" t="inlineStr">
        <is>
          <t>D&amp;A / revenue, FY2025</t>
        </is>
      </c>
      <c r="B77" s="20" t="n">
        <v>0.046</v>
      </c>
    </row>
    <row r="79">
      <c r="A79" s="10" t="inlineStr">
        <is>
          <t>LENS INPUTS AND WEIGHTS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t="inlineStr">
        <is>
          <t>Replacement cost of capacity</t>
        </is>
      </c>
      <c r="B80" s="23" t="n">
        <v>130</v>
      </c>
      <c r="C80" s="5" t="inlineStr">
        <is>
          <t>USD/t</t>
        </is>
      </c>
    </row>
    <row r="81">
      <c r="A81" t="inlineStr">
        <is>
          <t>Justified EV per tonne</t>
        </is>
      </c>
      <c r="B81" s="23" t="n">
        <v>95</v>
      </c>
      <c r="C81" s="5" t="inlineStr">
        <is>
          <t>USD/t</t>
        </is>
      </c>
    </row>
    <row r="82">
      <c r="A82" t="inlineStr">
        <is>
          <t>Justified EV/EBITDA</t>
        </is>
      </c>
      <c r="B82" s="25" t="n">
        <v>4.2</v>
      </c>
    </row>
    <row r="83">
      <c r="A83" t="inlineStr">
        <is>
          <t>Justified price/earnings</t>
        </is>
      </c>
      <c r="B83" s="25" t="n">
        <v>7</v>
      </c>
    </row>
    <row r="84">
      <c r="A84" t="inlineStr">
        <is>
          <t>Mid-cycle EBITDA margin</t>
        </is>
      </c>
      <c r="B84" s="20" t="n">
        <v>0.278</v>
      </c>
    </row>
    <row r="85">
      <c r="A85" t="inlineStr">
        <is>
          <t>Normalised revenue haircut</t>
        </is>
      </c>
      <c r="B85" s="20" t="n">
        <v>0.92</v>
      </c>
    </row>
    <row r="86">
      <c r="A86" t="inlineStr">
        <is>
          <t>Vicat tender offer price</t>
        </is>
      </c>
      <c r="B86" s="18" t="n">
        <v>41</v>
      </c>
    </row>
    <row r="87">
      <c r="A87" t="inlineStr">
        <is>
          <t>Weight — cash flow</t>
        </is>
      </c>
      <c r="B87" s="20" t="n">
        <v>0.48</v>
      </c>
    </row>
    <row r="88">
      <c r="A88" t="inlineStr">
        <is>
          <t>Weight — relative</t>
        </is>
      </c>
      <c r="B88" s="20" t="n">
        <v>0.21</v>
      </c>
    </row>
    <row r="89">
      <c r="A89" t="inlineStr">
        <is>
          <t>Weight — normalised</t>
        </is>
      </c>
      <c r="B89" s="20" t="n">
        <v>0.23</v>
      </c>
    </row>
    <row r="90">
      <c r="A90" t="inlineStr">
        <is>
          <t>Weight — asset</t>
        </is>
      </c>
      <c r="B90" s="20" t="n">
        <v>0.08</v>
      </c>
    </row>
    <row r="91">
      <c r="A91" t="inlineStr">
        <is>
          <t>Total (must be 100%)</t>
        </is>
      </c>
      <c r="B91" s="14">
        <f>SUM(B87:B90)</f>
        <v/>
      </c>
    </row>
    <row r="92">
      <c r="A92" t="inlineStr">
        <is>
          <t>Sinai White disposal — EUR consideration</t>
        </is>
      </c>
      <c r="B92" s="21" t="n">
        <v>30</v>
      </c>
      <c r="C92" s="5" t="inlineStr">
        <is>
          <t>EUR mn</t>
        </is>
      </c>
    </row>
    <row r="93">
      <c r="A93" t="inlineStr">
        <is>
          <t>EGP per EUR at completion</t>
        </is>
      </c>
      <c r="B93" s="21" t="n">
        <v>53.4</v>
      </c>
      <c r="C93" s="5" t="inlineStr">
        <is>
          <t>Aug-2024</t>
        </is>
      </c>
    </row>
    <row r="94">
      <c r="A94" t="inlineStr">
        <is>
          <t>Sinai White stake — carrying value</t>
        </is>
      </c>
      <c r="B94" s="23" t="n">
        <v>100</v>
      </c>
      <c r="C94" s="5" t="inlineStr">
        <is>
          <t>EGP mn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Enterprise value to equity bridge</t>
        </is>
      </c>
      <c r="B1" s="2" t="n"/>
      <c r="C1" s="2" t="n"/>
      <c r="D1" s="2" t="n"/>
      <c r="E1" s="2" t="n"/>
      <c r="F1" s="2" t="n"/>
    </row>
    <row r="4">
      <c r="A4" s="6" t="inlineStr"/>
      <c r="B4" s="6" t="inlineStr">
        <is>
          <t>EGP mn</t>
        </is>
      </c>
      <c r="C4" s="6" t="inlineStr">
        <is>
          <t>Per share (EGP)</t>
        </is>
      </c>
    </row>
    <row r="5">
      <c r="A5" t="inlineStr">
        <is>
          <t>Present value of explicit free cash flow</t>
        </is>
      </c>
      <c r="B5" s="9">
        <f>DCF!B30</f>
        <v/>
      </c>
      <c r="C5" s="15">
        <f>B5/Assumptions!$B$6</f>
        <v/>
      </c>
    </row>
    <row r="6">
      <c r="A6" t="inlineStr">
        <is>
          <t>Present value of terminal value</t>
        </is>
      </c>
      <c r="B6" s="9">
        <f>DCF!B31</f>
        <v/>
      </c>
      <c r="C6" s="15">
        <f>B6/Assumptions!$B$6</f>
        <v/>
      </c>
    </row>
    <row r="7">
      <c r="A7" t="inlineStr">
        <is>
          <t>Enterprise value</t>
        </is>
      </c>
      <c r="B7" s="26">
        <f>DCF!B32</f>
        <v/>
      </c>
      <c r="C7" s="13">
        <f>B7/Assumptions!$B$6</f>
        <v/>
      </c>
    </row>
    <row r="8">
      <c r="A8" t="inlineStr">
        <is>
          <t>Plus net cash</t>
        </is>
      </c>
      <c r="B8" s="9">
        <f>DCF!B36</f>
        <v/>
      </c>
      <c r="C8" s="15">
        <f>B8/Assumptions!$B$6</f>
        <v/>
      </c>
    </row>
    <row r="9">
      <c r="A9" t="inlineStr">
        <is>
          <t>Equity value</t>
        </is>
      </c>
      <c r="B9" s="26">
        <f>DCF!B37</f>
        <v/>
      </c>
      <c r="C9" s="13">
        <f>B9/Assumptions!$B$6</f>
        <v/>
      </c>
    </row>
    <row r="11">
      <c r="A11" t="inlineStr">
        <is>
          <t>Terminal value as % of enterprise value</t>
        </is>
      </c>
      <c r="B11" s="17">
        <f>DCF!B33</f>
        <v/>
      </c>
    </row>
    <row r="12">
      <c r="A12" t="inlineStr">
        <is>
          <t>Memo: spot price</t>
        </is>
      </c>
      <c r="C12" s="7">
        <f>Assumptions!$B$5</f>
        <v/>
      </c>
    </row>
    <row r="13">
      <c r="A13" t="inlineStr">
        <is>
          <t>Memo: Vicat tender offer price (July 2025)</t>
        </is>
      </c>
      <c r="C13" s="7">
        <f>Assumptions!$B$86</f>
        <v/>
      </c>
    </row>
    <row r="14">
      <c r="A14" t="inlineStr">
        <is>
          <t>Fair value less spot</t>
        </is>
      </c>
      <c r="C14" s="15">
        <f>C9-C12</f>
        <v/>
      </c>
    </row>
    <row r="15">
      <c r="A15" t="inlineStr">
        <is>
          <t>Upside / (downside) to the cash-flow lens</t>
        </is>
      </c>
      <c r="C15" s="12">
        <f>C9/C12-1</f>
        <v/>
      </c>
    </row>
    <row r="17">
      <c r="A17" s="5" t="inlineStr">
        <is>
          <t>Terminal value share is linked live to the DCF sheet — never typed. The tender offer price is a</t>
        </is>
      </c>
    </row>
    <row r="18">
      <c r="A18" s="5" t="inlineStr">
        <is>
          <t>disclosed reference point and an overhang, not a valuation.</t>
        </is>
      </c>
    </row>
  </sheetData>
  <mergeCells count="2">
    <mergeCell ref="A17:J17"/>
    <mergeCell ref="A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Bottom-up build — physical units in, EBITDA out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EBITDA is a RESULT of this sheet, never an input.</t>
        </is>
      </c>
    </row>
    <row r="4">
      <c r="A4" s="6" t="inlineStr"/>
      <c r="B4" s="6" t="inlineStr">
        <is>
          <t>FY2025A</t>
        </is>
      </c>
      <c r="C4" s="6" t="inlineStr">
        <is>
          <t>FY2026E</t>
        </is>
      </c>
      <c r="D4" s="6" t="inlineStr">
        <is>
          <t>FY2027E</t>
        </is>
      </c>
      <c r="E4" s="6" t="inlineStr">
        <is>
          <t>FY2028E</t>
        </is>
      </c>
      <c r="F4" s="6" t="inlineStr">
        <is>
          <t>FY2029E</t>
        </is>
      </c>
      <c r="G4" s="6" t="inlineStr">
        <is>
          <t>FY2030E</t>
        </is>
      </c>
    </row>
    <row r="5">
      <c r="A5" t="inlineStr">
        <is>
          <t>Kiln clinker capacity (Mt/yr)</t>
        </is>
      </c>
      <c r="B5" s="8">
        <f>Assumptions!$B$13</f>
        <v/>
      </c>
      <c r="C5" s="8">
        <f>Assumptions!$B$13</f>
        <v/>
      </c>
      <c r="D5" s="8">
        <f>Assumptions!$B$13</f>
        <v/>
      </c>
      <c r="E5" s="8">
        <f>Assumptions!$B$13</f>
        <v/>
      </c>
      <c r="F5" s="8">
        <f>Assumptions!$B$13</f>
        <v/>
      </c>
      <c r="G5" s="8">
        <f>Assumptions!$B$13</f>
        <v/>
      </c>
    </row>
    <row r="6">
      <c r="A6" t="inlineStr">
        <is>
          <t>Kiln utilisation</t>
        </is>
      </c>
      <c r="B6" s="11">
        <f>Assumptions!$B$28</f>
        <v/>
      </c>
      <c r="C6" s="11">
        <f>Assumptions!$C$28</f>
        <v/>
      </c>
      <c r="D6" s="11">
        <f>Assumptions!$D$28</f>
        <v/>
      </c>
      <c r="E6" s="11">
        <f>Assumptions!$E$28</f>
        <v/>
      </c>
      <c r="F6" s="11">
        <f>Assumptions!$F$28</f>
        <v/>
      </c>
      <c r="G6" s="11">
        <f>Assumptions!$G$28</f>
        <v/>
      </c>
    </row>
    <row r="7">
      <c r="A7" t="inlineStr">
        <is>
          <t>Clinker produced (Mt)</t>
        </is>
      </c>
      <c r="B7" s="27">
        <f>B5*B6</f>
        <v/>
      </c>
      <c r="C7" s="27">
        <f>C5*C6</f>
        <v/>
      </c>
      <c r="D7" s="27">
        <f>D5*D6</f>
        <v/>
      </c>
      <c r="E7" s="27">
        <f>E5*E6</f>
        <v/>
      </c>
      <c r="F7" s="27">
        <f>F5*F6</f>
        <v/>
      </c>
      <c r="G7" s="27">
        <f>G5*G6</f>
        <v/>
      </c>
    </row>
    <row r="8">
      <c r="A8" t="inlineStr">
        <is>
          <t>Cement grinding capacity (Mt/yr)</t>
        </is>
      </c>
      <c r="B8" s="8">
        <f>Assumptions!$B$12</f>
        <v/>
      </c>
      <c r="C8" s="8">
        <f>Assumptions!$B$12</f>
        <v/>
      </c>
      <c r="D8" s="8">
        <f>Assumptions!$B$12</f>
        <v/>
      </c>
      <c r="E8" s="8">
        <f>Assumptions!$B$12</f>
        <v/>
      </c>
      <c r="F8" s="8">
        <f>Assumptions!$B$12</f>
        <v/>
      </c>
      <c r="G8" s="8">
        <f>Assumptions!$B$12</f>
        <v/>
      </c>
    </row>
    <row r="9">
      <c r="A9" t="inlineStr">
        <is>
          <t>Clinker factor (t clinker / t cement)</t>
        </is>
      </c>
      <c r="B9" s="28">
        <f>Assumptions!$B$14</f>
        <v/>
      </c>
      <c r="C9" s="28">
        <f>Assumptions!$B$14</f>
        <v/>
      </c>
      <c r="D9" s="28">
        <f>Assumptions!$B$14</f>
        <v/>
      </c>
      <c r="E9" s="28">
        <f>Assumptions!$B$14</f>
        <v/>
      </c>
      <c r="F9" s="28">
        <f>Assumptions!$B$14</f>
        <v/>
      </c>
      <c r="G9" s="28">
        <f>Assumptions!$B$14</f>
        <v/>
      </c>
    </row>
    <row r="10">
      <c r="A10" t="inlineStr">
        <is>
          <t>Cement produced (Mt)</t>
        </is>
      </c>
      <c r="B10" s="27">
        <f>B7/B9</f>
        <v/>
      </c>
      <c r="C10" s="27">
        <f>C7/C9</f>
        <v/>
      </c>
      <c r="D10" s="27">
        <f>D7/D9</f>
        <v/>
      </c>
      <c r="E10" s="27">
        <f>E7/E9</f>
        <v/>
      </c>
      <c r="F10" s="27">
        <f>F7/F9</f>
        <v/>
      </c>
      <c r="G10" s="27">
        <f>G7/G9</f>
        <v/>
      </c>
    </row>
    <row r="11">
      <c r="A11" t="inlineStr">
        <is>
          <t>Domestic share</t>
        </is>
      </c>
      <c r="B11" s="11">
        <f>Assumptions!$B$29</f>
        <v/>
      </c>
      <c r="C11" s="11">
        <f>Assumptions!$C$29</f>
        <v/>
      </c>
      <c r="D11" s="11">
        <f>Assumptions!$D$29</f>
        <v/>
      </c>
      <c r="E11" s="11">
        <f>Assumptions!$E$29</f>
        <v/>
      </c>
      <c r="F11" s="11">
        <f>Assumptions!$F$29</f>
        <v/>
      </c>
      <c r="G11" s="11">
        <f>Assumptions!$G$29</f>
        <v/>
      </c>
    </row>
    <row r="12">
      <c r="A12" t="inlineStr">
        <is>
          <t>Domestic volume (Mt)</t>
        </is>
      </c>
      <c r="B12" s="27">
        <f>B10*B11</f>
        <v/>
      </c>
      <c r="C12" s="27">
        <f>C10*C11</f>
        <v/>
      </c>
      <c r="D12" s="27">
        <f>D10*D11</f>
        <v/>
      </c>
      <c r="E12" s="27">
        <f>E10*E11</f>
        <v/>
      </c>
      <c r="F12" s="27">
        <f>F10*F11</f>
        <v/>
      </c>
      <c r="G12" s="27">
        <f>G10*G11</f>
        <v/>
      </c>
    </row>
    <row r="13">
      <c r="A13" t="inlineStr">
        <is>
          <t>Export volume (Mt)</t>
        </is>
      </c>
      <c r="B13" s="27">
        <f>B10-B12</f>
        <v/>
      </c>
      <c r="C13" s="27">
        <f>C10-C12</f>
        <v/>
      </c>
      <c r="D13" s="27">
        <f>D10-D12</f>
        <v/>
      </c>
      <c r="E13" s="27">
        <f>E10-E12</f>
        <v/>
      </c>
      <c r="F13" s="27">
        <f>F10-F12</f>
        <v/>
      </c>
      <c r="G13" s="27">
        <f>G10-G12</f>
        <v/>
      </c>
    </row>
    <row r="14">
      <c r="A14" t="inlineStr">
        <is>
          <t>Domestic price (EGP/t)</t>
        </is>
      </c>
      <c r="B14" s="9">
        <f>Assumptions!$B$30</f>
        <v/>
      </c>
      <c r="C14" s="9">
        <f>Assumptions!$C$30</f>
        <v/>
      </c>
      <c r="D14" s="9">
        <f>Assumptions!$D$30</f>
        <v/>
      </c>
      <c r="E14" s="9">
        <f>Assumptions!$E$30</f>
        <v/>
      </c>
      <c r="F14" s="9">
        <f>Assumptions!$F$30</f>
        <v/>
      </c>
      <c r="G14" s="9">
        <f>Assumptions!$G$30</f>
        <v/>
      </c>
    </row>
    <row r="15">
      <c r="A15" t="inlineStr">
        <is>
          <t>Export price (USD/t)</t>
        </is>
      </c>
      <c r="B15" s="29">
        <f>Assumptions!$B$31</f>
        <v/>
      </c>
      <c r="C15" s="29">
        <f>Assumptions!$C$31</f>
        <v/>
      </c>
      <c r="D15" s="29">
        <f>Assumptions!$D$31</f>
        <v/>
      </c>
      <c r="E15" s="29">
        <f>Assumptions!$E$31</f>
        <v/>
      </c>
      <c r="F15" s="29">
        <f>Assumptions!$F$31</f>
        <v/>
      </c>
      <c r="G15" s="29">
        <f>Assumptions!$G$31</f>
        <v/>
      </c>
    </row>
    <row r="16">
      <c r="A16" t="inlineStr">
        <is>
          <t>USD/EGP</t>
        </is>
      </c>
      <c r="B16" s="29">
        <f>Assumptions!$B$32</f>
        <v/>
      </c>
      <c r="C16" s="29">
        <f>Assumptions!$C$32</f>
        <v/>
      </c>
      <c r="D16" s="29">
        <f>Assumptions!$D$32</f>
        <v/>
      </c>
      <c r="E16" s="29">
        <f>Assumptions!$E$32</f>
        <v/>
      </c>
      <c r="F16" s="29">
        <f>Assumptions!$F$32</f>
        <v/>
      </c>
      <c r="G16" s="29">
        <f>Assumptions!$G$32</f>
        <v/>
      </c>
    </row>
    <row r="17">
      <c r="A17" t="inlineStr">
        <is>
          <t>Domestic revenue (EGP mn)</t>
        </is>
      </c>
      <c r="B17" s="30">
        <f>B12*B14</f>
        <v/>
      </c>
      <c r="C17" s="30">
        <f>C12*C14</f>
        <v/>
      </c>
      <c r="D17" s="30">
        <f>D12*D14</f>
        <v/>
      </c>
      <c r="E17" s="30">
        <f>E12*E14</f>
        <v/>
      </c>
      <c r="F17" s="30">
        <f>F12*F14</f>
        <v/>
      </c>
      <c r="G17" s="30">
        <f>G12*G14</f>
        <v/>
      </c>
    </row>
    <row r="18">
      <c r="A18" t="inlineStr">
        <is>
          <t>Export revenue (EGP mn)</t>
        </is>
      </c>
      <c r="B18" s="30">
        <f>B13*B15*B16</f>
        <v/>
      </c>
      <c r="C18" s="30">
        <f>C13*C15*C16</f>
        <v/>
      </c>
      <c r="D18" s="30">
        <f>D13*D15*D16</f>
        <v/>
      </c>
      <c r="E18" s="30">
        <f>E13*E15*E16</f>
        <v/>
      </c>
      <c r="F18" s="30">
        <f>F13*F15*F16</f>
        <v/>
      </c>
      <c r="G18" s="30">
        <f>G13*G15*G16</f>
        <v/>
      </c>
    </row>
    <row r="19">
      <c r="A19" t="inlineStr">
        <is>
          <t>REVENUE (EGP mn)</t>
        </is>
      </c>
      <c r="B19" s="31">
        <f>B17+B18</f>
        <v/>
      </c>
      <c r="C19" s="31">
        <f>C17+C18</f>
        <v/>
      </c>
      <c r="D19" s="31">
        <f>D17+D18</f>
        <v/>
      </c>
      <c r="E19" s="31">
        <f>E17+E18</f>
        <v/>
      </c>
      <c r="F19" s="31">
        <f>F17+F18</f>
        <v/>
      </c>
      <c r="G19" s="31">
        <f>G17+G18</f>
        <v/>
      </c>
    </row>
    <row r="20">
      <c r="A20" t="inlineStr">
        <is>
          <t>Blended realised price (EGP/t)</t>
        </is>
      </c>
      <c r="B20" s="30">
        <f>B19/B10</f>
        <v/>
      </c>
      <c r="C20" s="30">
        <f>C19/C10</f>
        <v/>
      </c>
      <c r="D20" s="30">
        <f>D19/D10</f>
        <v/>
      </c>
      <c r="E20" s="30">
        <f>E19/E10</f>
        <v/>
      </c>
      <c r="F20" s="30">
        <f>F19/F10</f>
        <v/>
      </c>
      <c r="G20" s="30">
        <f>G19/G10</f>
        <v/>
      </c>
    </row>
    <row r="22">
      <c r="A22" s="10" t="inlineStr">
        <is>
          <t>COST STACK — EGP PER TONNE OF CEMENT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t="inlineStr">
        <is>
          <t>Thermal fuel</t>
        </is>
      </c>
      <c r="B23" s="30">
        <f>Assumptions!$B$16*B9*Assumptions!$B$17*B16</f>
        <v/>
      </c>
      <c r="C23" s="30">
        <f>Assumptions!$B$16*C9*Assumptions!$B$17*C16</f>
        <v/>
      </c>
      <c r="D23" s="30">
        <f>Assumptions!$B$16*D9*Assumptions!$B$17*D16</f>
        <v/>
      </c>
      <c r="E23" s="30">
        <f>Assumptions!$B$16*E9*Assumptions!$B$17*E16</f>
        <v/>
      </c>
      <c r="F23" s="30">
        <f>Assumptions!$B$16*F9*Assumptions!$B$17*F16</f>
        <v/>
      </c>
      <c r="G23" s="30">
        <f>Assumptions!$B$16*G9*Assumptions!$B$17*G16</f>
        <v/>
      </c>
    </row>
    <row r="24">
      <c r="A24" t="inlineStr">
        <is>
          <t>Electrical power</t>
        </is>
      </c>
      <c r="B24" s="30">
        <f>Assumptions!$B$18*Assumptions!$B$19*Assumptions!$B$33</f>
        <v/>
      </c>
      <c r="C24" s="30">
        <f>Assumptions!$B$18*Assumptions!$B$19*Assumptions!$C$33</f>
        <v/>
      </c>
      <c r="D24" s="30">
        <f>Assumptions!$B$18*Assumptions!$B$19*Assumptions!$D$33</f>
        <v/>
      </c>
      <c r="E24" s="30">
        <f>Assumptions!$B$18*Assumptions!$B$19*Assumptions!$E$33</f>
        <v/>
      </c>
      <c r="F24" s="30">
        <f>Assumptions!$B$18*Assumptions!$B$19*Assumptions!$F$33</f>
        <v/>
      </c>
      <c r="G24" s="30">
        <f>Assumptions!$B$18*Assumptions!$B$19*Assumptions!$G$33</f>
        <v/>
      </c>
    </row>
    <row r="25">
      <c r="A25" t="inlineStr">
        <is>
          <t>Raw materials &amp; quarrying</t>
        </is>
      </c>
      <c r="B25" s="30">
        <f>Assumptions!$B$20*Assumptions!$B$33</f>
        <v/>
      </c>
      <c r="C25" s="30">
        <f>Assumptions!$B$20*Assumptions!$C$33</f>
        <v/>
      </c>
      <c r="D25" s="30">
        <f>Assumptions!$B$20*Assumptions!$D$33</f>
        <v/>
      </c>
      <c r="E25" s="30">
        <f>Assumptions!$B$20*Assumptions!$E$33</f>
        <v/>
      </c>
      <c r="F25" s="30">
        <f>Assumptions!$B$20*Assumptions!$F$33</f>
        <v/>
      </c>
      <c r="G25" s="30">
        <f>Assumptions!$B$20*Assumptions!$G$33</f>
        <v/>
      </c>
    </row>
    <row r="26">
      <c r="A26" t="inlineStr">
        <is>
          <t>Packaging</t>
        </is>
      </c>
      <c r="B26" s="30">
        <f>Assumptions!$B$21*Assumptions!$B$22*Assumptions!$B$33</f>
        <v/>
      </c>
      <c r="C26" s="30">
        <f>Assumptions!$B$21*Assumptions!$B$22*Assumptions!$C$33</f>
        <v/>
      </c>
      <c r="D26" s="30">
        <f>Assumptions!$B$21*Assumptions!$B$22*Assumptions!$D$33</f>
        <v/>
      </c>
      <c r="E26" s="30">
        <f>Assumptions!$B$21*Assumptions!$B$22*Assumptions!$E$33</f>
        <v/>
      </c>
      <c r="F26" s="30">
        <f>Assumptions!$B$21*Assumptions!$B$22*Assumptions!$F$33</f>
        <v/>
      </c>
      <c r="G26" s="30">
        <f>Assumptions!$B$21*Assumptions!$B$22*Assumptions!$G$33</f>
        <v/>
      </c>
    </row>
    <row r="27">
      <c r="A27" t="inlineStr">
        <is>
          <t>Distribution &amp; selling</t>
        </is>
      </c>
      <c r="B27" s="30">
        <f>Assumptions!$B$23*Assumptions!$B$33</f>
        <v/>
      </c>
      <c r="C27" s="30">
        <f>Assumptions!$B$23*Assumptions!$C$33</f>
        <v/>
      </c>
      <c r="D27" s="30">
        <f>Assumptions!$B$23*Assumptions!$D$33</f>
        <v/>
      </c>
      <c r="E27" s="30">
        <f>Assumptions!$B$23*Assumptions!$E$33</f>
        <v/>
      </c>
      <c r="F27" s="30">
        <f>Assumptions!$B$23*Assumptions!$F$33</f>
        <v/>
      </c>
      <c r="G27" s="30">
        <f>Assumptions!$B$23*Assumptions!$G$33</f>
        <v/>
      </c>
    </row>
    <row r="28">
      <c r="A28" t="inlineStr">
        <is>
          <t>TOTAL VARIABLE (EGP/t)</t>
        </is>
      </c>
      <c r="B28" s="31">
        <f>SUM(B23:B27)</f>
        <v/>
      </c>
      <c r="C28" s="31">
        <f>SUM(C23:C27)</f>
        <v/>
      </c>
      <c r="D28" s="31">
        <f>SUM(D23:D27)</f>
        <v/>
      </c>
      <c r="E28" s="31">
        <f>SUM(E23:E27)</f>
        <v/>
      </c>
      <c r="F28" s="31">
        <f>SUM(F23:F27)</f>
        <v/>
      </c>
      <c r="G28" s="31">
        <f>SUM(G23:G27)</f>
        <v/>
      </c>
    </row>
    <row r="30">
      <c r="A30" s="10" t="inlineStr">
        <is>
          <t>PROFIT AND LOSS — EGP MILLION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t="inlineStr">
        <is>
          <t>Revenue</t>
        </is>
      </c>
      <c r="B31" s="9">
        <f>B19</f>
        <v/>
      </c>
      <c r="C31" s="9">
        <f>C19</f>
        <v/>
      </c>
      <c r="D31" s="9">
        <f>D19</f>
        <v/>
      </c>
      <c r="E31" s="9">
        <f>E19</f>
        <v/>
      </c>
      <c r="F31" s="9">
        <f>F19</f>
        <v/>
      </c>
      <c r="G31" s="9">
        <f>G19</f>
        <v/>
      </c>
    </row>
    <row r="32">
      <c r="A32" t="inlineStr">
        <is>
          <t>Variable cost</t>
        </is>
      </c>
      <c r="B32" s="30">
        <f>B28*B10</f>
        <v/>
      </c>
      <c r="C32" s="30">
        <f>C28*C10</f>
        <v/>
      </c>
      <c r="D32" s="30">
        <f>D28*D10</f>
        <v/>
      </c>
      <c r="E32" s="30">
        <f>E28*E10</f>
        <v/>
      </c>
      <c r="F32" s="30">
        <f>F28*F10</f>
        <v/>
      </c>
      <c r="G32" s="30">
        <f>G28*G10</f>
        <v/>
      </c>
    </row>
    <row r="33">
      <c r="A33" t="inlineStr">
        <is>
          <t>Fixed cost</t>
        </is>
      </c>
      <c r="B33" s="30">
        <f>Assumptions!$B$24*B8*Assumptions!$B$9*Assumptions!$B$33</f>
        <v/>
      </c>
      <c r="C33" s="30">
        <f>Assumptions!$B$24*C8*Assumptions!$B$9*Assumptions!$C$33</f>
        <v/>
      </c>
      <c r="D33" s="30">
        <f>Assumptions!$B$24*D8*Assumptions!$B$9*Assumptions!$D$33</f>
        <v/>
      </c>
      <c r="E33" s="30">
        <f>Assumptions!$B$24*E8*Assumptions!$B$9*Assumptions!$E$33</f>
        <v/>
      </c>
      <c r="F33" s="30">
        <f>Assumptions!$B$24*F8*Assumptions!$B$9*Assumptions!$F$33</f>
        <v/>
      </c>
      <c r="G33" s="30">
        <f>Assumptions!$B$24*G8*Assumptions!$B$9*Assumptions!$G$33</f>
        <v/>
      </c>
    </row>
    <row r="34">
      <c r="A34" t="inlineStr">
        <is>
          <t>EBITDA  (AN OUTPUT)</t>
        </is>
      </c>
      <c r="B34" s="31">
        <f>B31-B32-B33</f>
        <v/>
      </c>
      <c r="C34" s="31">
        <f>C31-C32-C33</f>
        <v/>
      </c>
      <c r="D34" s="31">
        <f>D31-D32-D33</f>
        <v/>
      </c>
      <c r="E34" s="31">
        <f>E31-E32-E33</f>
        <v/>
      </c>
      <c r="F34" s="31">
        <f>F31-F32-F33</f>
        <v/>
      </c>
      <c r="G34" s="31">
        <f>G31-G32-G33</f>
        <v/>
      </c>
    </row>
    <row r="35">
      <c r="A35" t="inlineStr">
        <is>
          <t>EBITDA margin</t>
        </is>
      </c>
      <c r="B35" s="12">
        <f>B34/B31</f>
        <v/>
      </c>
      <c r="C35" s="12">
        <f>C34/C31</f>
        <v/>
      </c>
      <c r="D35" s="12">
        <f>D34/D31</f>
        <v/>
      </c>
      <c r="E35" s="12">
        <f>E34/E31</f>
        <v/>
      </c>
      <c r="F35" s="12">
        <f>F34/F31</f>
        <v/>
      </c>
      <c r="G35" s="12">
        <f>G34/G31</f>
        <v/>
      </c>
    </row>
    <row r="36">
      <c r="A36" t="inlineStr">
        <is>
          <t>EBITDA per tonne (EGP)</t>
        </is>
      </c>
      <c r="B36" s="30">
        <f>B34/B10</f>
        <v/>
      </c>
      <c r="C36" s="30">
        <f>C34/C10</f>
        <v/>
      </c>
      <c r="D36" s="30">
        <f>D34/D10</f>
        <v/>
      </c>
      <c r="E36" s="30">
        <f>E34/E10</f>
        <v/>
      </c>
      <c r="F36" s="30">
        <f>F34/F10</f>
        <v/>
      </c>
      <c r="G36" s="30">
        <f>G34/G10</f>
        <v/>
      </c>
    </row>
    <row r="38">
      <c r="A38" s="10" t="inlineStr">
        <is>
          <t>VALIDATION — A TEST THAT CAN FAIL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t="inlineStr">
        <is>
          <t>Bottom-up FY2025 revenue</t>
        </is>
      </c>
      <c r="B39" s="30">
        <f>B19</f>
        <v/>
      </c>
    </row>
    <row r="40">
      <c r="A40" t="inlineStr">
        <is>
          <t>Disclosed FY2025 revenue</t>
        </is>
      </c>
      <c r="B40" s="9">
        <f>Assumptions!$B$64</f>
        <v/>
      </c>
    </row>
    <row r="41">
      <c r="A41" t="inlineStr">
        <is>
          <t>Difference</t>
        </is>
      </c>
      <c r="B41" s="12">
        <f>B39/B40-1</f>
        <v/>
      </c>
    </row>
    <row r="42">
      <c r="A42" t="inlineStr">
        <is>
          <t>Bottom-up FY2025 EBITDA</t>
        </is>
      </c>
      <c r="B42" s="30">
        <f>B34</f>
        <v/>
      </c>
    </row>
    <row r="43">
      <c r="A43" t="inlineStr">
        <is>
          <t>EBITDA implied by closing disclosed profit</t>
        </is>
      </c>
      <c r="B43" s="9">
        <f>'Income Statement'!D6</f>
        <v/>
      </c>
    </row>
    <row r="44">
      <c r="A44" t="inlineStr">
        <is>
          <t>Difference</t>
        </is>
      </c>
      <c r="B44" s="12">
        <f>B42/B43-1</f>
        <v/>
      </c>
    </row>
    <row r="46">
      <c r="A46" s="5" t="inlineStr">
        <is>
          <t>Nothing on this sheet is solved to force agreement. Every cost driver is an</t>
        </is>
      </c>
    </row>
    <row r="47">
      <c r="A47" s="5" t="inlineStr">
        <is>
          <t>independent physical or market norm, so a wrong cost stack shows up in rows 41 and 44.</t>
        </is>
      </c>
    </row>
    <row r="48">
      <c r="A48" s="5" t="inlineStr">
        <is>
          <t>The model this replaces solved realised price as revenue divided by volume, which</t>
        </is>
      </c>
    </row>
    <row r="49">
      <c r="A49" s="5" t="inlineStr">
        <is>
          <t>made its residual zero for ANY assumption — an identity, not a validation.</t>
        </is>
      </c>
    </row>
  </sheetData>
  <mergeCells count="4">
    <mergeCell ref="A47:J47"/>
    <mergeCell ref="A46:J46"/>
    <mergeCell ref="A48:J48"/>
    <mergeCell ref="A49:J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Relative multiples, normalised earnings and the asset lens</t>
        </is>
      </c>
      <c r="B1" s="2" t="n"/>
      <c r="C1" s="2" t="n"/>
      <c r="D1" s="2" t="n"/>
      <c r="E1" s="2" t="n"/>
      <c r="F1" s="2" t="n"/>
    </row>
    <row r="4">
      <c r="A4" s="10" t="inlineStr">
        <is>
          <t>RELATIVE — EV/EBITDA ON MID-CYCLE EARNINGS</t>
        </is>
      </c>
      <c r="B4" s="10" t="n"/>
      <c r="C4" s="10" t="n"/>
      <c r="D4" s="10" t="n"/>
      <c r="E4" s="10" t="n"/>
      <c r="F4" s="10" t="n"/>
    </row>
    <row r="5">
      <c r="A5" t="inlineStr">
        <is>
          <t>FY2025 revenue (disclosed)</t>
        </is>
      </c>
      <c r="B5" s="30">
        <f>Assumptions!$B$64</f>
        <v/>
      </c>
    </row>
    <row r="6">
      <c r="A6" t="inlineStr">
        <is>
          <t>Normalised revenue haircut</t>
        </is>
      </c>
      <c r="B6" s="12">
        <f>Assumptions!$B$85</f>
        <v/>
      </c>
    </row>
    <row r="7">
      <c r="A7" t="inlineStr">
        <is>
          <t>Normalised revenue base</t>
        </is>
      </c>
      <c r="B7" s="30">
        <f>B5*B6</f>
        <v/>
      </c>
    </row>
    <row r="8">
      <c r="A8" t="inlineStr">
        <is>
          <t>Mid-cycle EBITDA margin</t>
        </is>
      </c>
      <c r="B8" s="12">
        <f>Assumptions!$B$84</f>
        <v/>
      </c>
    </row>
    <row r="9">
      <c r="A9" t="inlineStr">
        <is>
          <t>Normalised EBITDA</t>
        </is>
      </c>
      <c r="B9" s="30">
        <f>B7*B8</f>
        <v/>
      </c>
    </row>
    <row r="10">
      <c r="A10" t="inlineStr">
        <is>
          <t>Justified EV/EBITDA</t>
        </is>
      </c>
      <c r="B10" s="32">
        <f>Assumptions!$B$82</f>
        <v/>
      </c>
    </row>
    <row r="11">
      <c r="A11" t="inlineStr">
        <is>
          <t>Implied enterprise value</t>
        </is>
      </c>
      <c r="B11" s="30">
        <f>B9*B10</f>
        <v/>
      </c>
    </row>
    <row r="12">
      <c r="A12" t="inlineStr">
        <is>
          <t>Plus net cash</t>
        </is>
      </c>
      <c r="B12" s="30">
        <f>DCF!B36</f>
        <v/>
      </c>
    </row>
    <row r="13">
      <c r="A13" t="inlineStr">
        <is>
          <t>Less non-controlling interests</t>
        </is>
      </c>
      <c r="B13" s="30">
        <f>-Assumptions!$B$61</f>
        <v/>
      </c>
    </row>
    <row r="14">
      <c r="A14" t="inlineStr">
        <is>
          <t>Implied equity value</t>
        </is>
      </c>
      <c r="B14" s="30">
        <f>B11+B12+B13</f>
        <v/>
      </c>
    </row>
    <row r="15">
      <c r="A15" t="inlineStr">
        <is>
          <t>Implied value per share (EGP)</t>
        </is>
      </c>
      <c r="B15" s="13">
        <f>B14/Assumptions!$B$6</f>
        <v/>
      </c>
    </row>
    <row r="17">
      <c r="A17" s="10" t="inlineStr">
        <is>
          <t>NORMALISED EARNINGS POWER</t>
        </is>
      </c>
      <c r="B17" s="10" t="n"/>
      <c r="C17" s="10" t="n"/>
      <c r="D17" s="10" t="n"/>
      <c r="E17" s="10" t="n"/>
      <c r="F17" s="10" t="n"/>
    </row>
    <row r="18">
      <c r="A18" t="inlineStr">
        <is>
          <t>Normalised EBITDA</t>
        </is>
      </c>
      <c r="B18" s="30">
        <f>B9</f>
        <v/>
      </c>
    </row>
    <row r="19">
      <c r="A19" t="inlineStr">
        <is>
          <t>Less D&amp;A (FY2025)</t>
        </is>
      </c>
      <c r="B19" s="30">
        <f>-'Income Statement'!D8</f>
        <v/>
      </c>
    </row>
    <row r="20">
      <c r="A20" t="inlineStr">
        <is>
          <t>Normalised EBIT</t>
        </is>
      </c>
      <c r="B20" s="30">
        <f>B18+B19</f>
        <v/>
      </c>
    </row>
    <row r="21">
      <c r="A21" t="inlineStr">
        <is>
          <t>Normalised NOPAT</t>
        </is>
      </c>
      <c r="B21" s="30">
        <f>B20*(1-Assumptions!$B$7)</f>
        <v/>
      </c>
    </row>
    <row r="22">
      <c r="A22" t="inlineStr">
        <is>
          <t>Justified price/earnings</t>
        </is>
      </c>
      <c r="B22" s="32">
        <f>Assumptions!$B$83</f>
        <v/>
      </c>
    </row>
    <row r="23">
      <c r="A23" t="inlineStr">
        <is>
          <t>Operating equity value</t>
        </is>
      </c>
      <c r="B23" s="30">
        <f>B21*B22</f>
        <v/>
      </c>
    </row>
    <row r="24">
      <c r="A24" t="inlineStr">
        <is>
          <t>Plus net cash AT FACE (not capitalised)</t>
        </is>
      </c>
      <c r="B24" s="30">
        <f>DCF!B36</f>
        <v/>
      </c>
    </row>
    <row r="25">
      <c r="A25" t="inlineStr">
        <is>
          <t>Less non-controlling interests</t>
        </is>
      </c>
      <c r="B25" s="30">
        <f>-Assumptions!$B$61</f>
        <v/>
      </c>
    </row>
    <row r="26">
      <c r="A26" t="inlineStr">
        <is>
          <t>Implied value per share (EGP)</t>
        </is>
      </c>
      <c r="B26" s="13">
        <f>(B23+B24+B25)/Assumptions!$B$6</f>
        <v/>
      </c>
    </row>
    <row r="28">
      <c r="A28" s="10" t="inlineStr">
        <is>
          <t>ASSET LENS — EV PER TONNE OF CAPACITY (the cement sector yardstick)</t>
        </is>
      </c>
      <c r="B28" s="10" t="n"/>
      <c r="C28" s="10" t="n"/>
      <c r="D28" s="10" t="n"/>
      <c r="E28" s="10" t="n"/>
      <c r="F28" s="10" t="n"/>
    </row>
    <row r="29">
      <c r="A29" t="inlineStr">
        <is>
          <t>Enterprise value at spot (EGP mn)</t>
        </is>
      </c>
      <c r="B29" s="30">
        <f>Assumptions!$B$5*Assumptions!$B$6-DCF!B36</f>
        <v/>
      </c>
    </row>
    <row r="30">
      <c r="A30" t="inlineStr">
        <is>
          <t>Capacity (annual tonnes)</t>
        </is>
      </c>
      <c r="B30" s="30">
        <f>Assumptions!$B$12*1000000</f>
        <v/>
      </c>
    </row>
    <row r="31">
      <c r="A31" t="inlineStr">
        <is>
          <t>EV per tonne at spot (USD/t)</t>
        </is>
      </c>
      <c r="B31" s="33">
        <f>B29*1000000/B30/Assumptions!$B$9</f>
        <v/>
      </c>
    </row>
    <row r="32">
      <c r="A32" t="inlineStr">
        <is>
          <t>Replacement cost (USD/t)</t>
        </is>
      </c>
      <c r="B32" s="30">
        <f>Assumptions!$B$80</f>
        <v/>
      </c>
    </row>
    <row r="33">
      <c r="A33" t="inlineStr">
        <is>
          <t>Discount to replacement cost</t>
        </is>
      </c>
      <c r="B33" s="12">
        <f>B31/B32-1</f>
        <v/>
      </c>
    </row>
    <row r="34">
      <c r="A34" t="inlineStr">
        <is>
          <t>Justified EV per tonne (USD/t)</t>
        </is>
      </c>
      <c r="B34" s="30">
        <f>Assumptions!$B$81</f>
        <v/>
      </c>
    </row>
    <row r="35">
      <c r="A35" t="inlineStr">
        <is>
          <t>Implied enterprise value (EGP mn)</t>
        </is>
      </c>
      <c r="B35" s="30">
        <f>B34*B30*Assumptions!$B$9/1000000</f>
        <v/>
      </c>
    </row>
    <row r="36">
      <c r="A36" t="inlineStr">
        <is>
          <t>Plus net cash</t>
        </is>
      </c>
      <c r="B36" s="30">
        <f>DCF!B36</f>
        <v/>
      </c>
    </row>
    <row r="37">
      <c r="A37" t="inlineStr">
        <is>
          <t>Less non-controlling interests</t>
        </is>
      </c>
      <c r="B37" s="31">
        <f>-Assumptions!$B$61</f>
        <v/>
      </c>
    </row>
    <row r="38">
      <c r="A38" t="inlineStr">
        <is>
          <t>Implied value per share (EGP)</t>
        </is>
      </c>
      <c r="B38" s="15">
        <f>(B35+B36+B37)/Assumptions!$B$6</f>
        <v/>
      </c>
    </row>
    <row r="40">
      <c r="A40" s="10" t="inlineStr">
        <is>
          <t>MEMO — BOOK, SHOWN BUT NOT USED AS A LENS</t>
        </is>
      </c>
      <c r="B40" s="10" t="n"/>
      <c r="C40" s="10" t="n"/>
      <c r="D40" s="10" t="n"/>
      <c r="E40" s="10" t="n"/>
      <c r="F40" s="10" t="n"/>
    </row>
    <row r="41">
      <c r="A41" t="inlineStr">
        <is>
          <t>Book value per share (EGP)</t>
        </is>
      </c>
      <c r="B41" s="15">
        <f>'Balance Sheet'!D12/Assumptions!$B$74</f>
        <v/>
      </c>
    </row>
    <row r="42">
      <c r="A42" t="inlineStr">
        <is>
          <t>Sustainable return on equity</t>
        </is>
      </c>
      <c r="B42" s="12">
        <f>B21/'Balance Sheet'!D12</f>
        <v/>
      </c>
    </row>
    <row r="44">
      <c r="A44" s="5" t="inlineStr">
        <is>
          <t>A book/return lens is deliberately NOT one of the four. The El Hassana plant commissioned in 1997 and</t>
        </is>
      </c>
    </row>
    <row r="45">
      <c r="A45" s="5" t="inlineStr">
        <is>
          <t>is carried at historic cost through a five-fold devaluation, so book value measures the accounting</t>
        </is>
      </c>
    </row>
    <row r="46">
      <c r="A46" s="5" t="inlineStr">
        <is>
          <t>rather than the asset. The cement sector's own yardstick — enterprise value per annual tonne of</t>
        </is>
      </c>
    </row>
    <row r="47">
      <c r="A47" s="5" t="inlineStr">
        <is>
          <t>capacity against replacement cost — is used in its place.</t>
        </is>
      </c>
    </row>
  </sheetData>
  <mergeCells count="4">
    <mergeCell ref="A44:J44"/>
    <mergeCell ref="A47:J47"/>
    <mergeCell ref="A45:J45"/>
    <mergeCell ref="A46:J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Discounted cash flow — the primary lens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Cost of capital built here, never pasted.</t>
        </is>
      </c>
    </row>
    <row r="4">
      <c r="A4" s="6" t="inlineStr"/>
      <c r="B4" s="6" t="inlineStr">
        <is>
          <t>FY2026E</t>
        </is>
      </c>
      <c r="C4" s="6" t="inlineStr">
        <is>
          <t>FY2027E</t>
        </is>
      </c>
      <c r="D4" s="6" t="inlineStr">
        <is>
          <t>FY2028E</t>
        </is>
      </c>
      <c r="E4" s="6" t="inlineStr">
        <is>
          <t>FY2029E</t>
        </is>
      </c>
      <c r="F4" s="6" t="inlineStr">
        <is>
          <t>FY2030E</t>
        </is>
      </c>
    </row>
    <row r="5">
      <c r="A5" t="inlineStr">
        <is>
          <t>Revenue</t>
        </is>
      </c>
      <c r="B5" s="9">
        <f>'Unit Build'!C31</f>
        <v/>
      </c>
      <c r="C5" s="9">
        <f>'Unit Build'!D31</f>
        <v/>
      </c>
      <c r="D5" s="9">
        <f>'Unit Build'!E31</f>
        <v/>
      </c>
      <c r="E5" s="9">
        <f>'Unit Build'!F31</f>
        <v/>
      </c>
      <c r="F5" s="9">
        <f>'Unit Build'!G31</f>
        <v/>
      </c>
    </row>
    <row r="6">
      <c r="A6" t="inlineStr">
        <is>
          <t>EBITDA margin</t>
        </is>
      </c>
      <c r="B6" s="12">
        <f>B7/B5</f>
        <v/>
      </c>
      <c r="C6" s="12">
        <f>C7/C5</f>
        <v/>
      </c>
      <c r="D6" s="12">
        <f>D7/D5</f>
        <v/>
      </c>
      <c r="E6" s="12">
        <f>E7/E5</f>
        <v/>
      </c>
      <c r="F6" s="12">
        <f>F7/F5</f>
        <v/>
      </c>
    </row>
    <row r="7">
      <c r="A7" t="inlineStr">
        <is>
          <t>EBITDA</t>
        </is>
      </c>
      <c r="B7" s="9">
        <f>'Unit Build'!C34</f>
        <v/>
      </c>
      <c r="C7" s="9">
        <f>'Unit Build'!D34</f>
        <v/>
      </c>
      <c r="D7" s="9">
        <f>'Unit Build'!E34</f>
        <v/>
      </c>
      <c r="E7" s="9">
        <f>'Unit Build'!F34</f>
        <v/>
      </c>
      <c r="F7" s="9">
        <f>'Unit Build'!G34</f>
        <v/>
      </c>
    </row>
    <row r="8">
      <c r="A8" t="inlineStr">
        <is>
          <t>Depreciation &amp; amortisation</t>
        </is>
      </c>
      <c r="B8" s="30">
        <f>B5*Assumptions!$B$36</f>
        <v/>
      </c>
      <c r="C8" s="30">
        <f>C5*Assumptions!$C$36</f>
        <v/>
      </c>
      <c r="D8" s="30">
        <f>D5*Assumptions!$D$36</f>
        <v/>
      </c>
      <c r="E8" s="30">
        <f>E5*Assumptions!$E$36</f>
        <v/>
      </c>
      <c r="F8" s="30">
        <f>F5*Assumptions!$F$36</f>
        <v/>
      </c>
    </row>
    <row r="9">
      <c r="A9" t="inlineStr">
        <is>
          <t>EBIT</t>
        </is>
      </c>
      <c r="B9" s="30">
        <f>B7-B8</f>
        <v/>
      </c>
      <c r="C9" s="30">
        <f>C7-C8</f>
        <v/>
      </c>
      <c r="D9" s="30">
        <f>D7-D8</f>
        <v/>
      </c>
      <c r="E9" s="30">
        <f>E7-E8</f>
        <v/>
      </c>
      <c r="F9" s="30">
        <f>F7-F8</f>
        <v/>
      </c>
    </row>
    <row r="10">
      <c r="A10" t="inlineStr">
        <is>
          <t>Tax rate</t>
        </is>
      </c>
      <c r="B10" s="11">
        <f>Assumptions!$B$7</f>
        <v/>
      </c>
      <c r="C10" s="11">
        <f>Assumptions!$B$7</f>
        <v/>
      </c>
      <c r="D10" s="11">
        <f>Assumptions!$B$7</f>
        <v/>
      </c>
      <c r="E10" s="11">
        <f>Assumptions!$B$7</f>
        <v/>
      </c>
      <c r="F10" s="11">
        <f>Assumptions!$B$7</f>
        <v/>
      </c>
    </row>
    <row r="11">
      <c r="A11" t="inlineStr">
        <is>
          <t>NOPAT  (EBIT × (1 − t))</t>
        </is>
      </c>
      <c r="B11" s="30">
        <f>B9*(1-B10)</f>
        <v/>
      </c>
      <c r="C11" s="30">
        <f>C9*(1-C10)</f>
        <v/>
      </c>
      <c r="D11" s="30">
        <f>D9*(1-D10)</f>
        <v/>
      </c>
      <c r="E11" s="30">
        <f>E9*(1-E10)</f>
        <v/>
      </c>
      <c r="F11" s="30">
        <f>F9*(1-F10)</f>
        <v/>
      </c>
    </row>
    <row r="12">
      <c r="A12" t="inlineStr">
        <is>
          <t>Memo: capital expenditure</t>
        </is>
      </c>
      <c r="B12" s="30">
        <f>B5*Assumptions!$B$37</f>
        <v/>
      </c>
      <c r="C12" s="30">
        <f>C5*Assumptions!$C$37</f>
        <v/>
      </c>
      <c r="D12" s="30">
        <f>D5*Assumptions!$D$37</f>
        <v/>
      </c>
      <c r="E12" s="30">
        <f>E5*Assumptions!$E$37</f>
        <v/>
      </c>
      <c r="F12" s="30">
        <f>F5*Assumptions!$F$37</f>
        <v/>
      </c>
    </row>
    <row r="13">
      <c r="A13" t="inlineStr">
        <is>
          <t>Memo: change in working capital</t>
        </is>
      </c>
      <c r="B13" s="30">
        <f>(B5-Assumptions!$B$64)*Assumptions!$B$40</f>
        <v/>
      </c>
      <c r="C13" s="30">
        <f>(C5-B5)*Assumptions!$B$40</f>
        <v/>
      </c>
      <c r="D13" s="30">
        <f>(D5-C5)*Assumptions!$B$40</f>
        <v/>
      </c>
      <c r="E13" s="30">
        <f>(E5-D5)*Assumptions!$B$40</f>
        <v/>
      </c>
      <c r="F13" s="30">
        <f>(F5-E5)*Assumptions!$B$40</f>
        <v/>
      </c>
    </row>
    <row r="14">
      <c r="A14" t="inlineStr">
        <is>
          <t>Net reinvestment  (growth ÷ terminal ROIC)</t>
        </is>
      </c>
      <c r="B14" s="30">
        <f>MAX(B11-$B$23,0)/$B$24</f>
        <v/>
      </c>
      <c r="C14" s="30">
        <f>MAX(C11-B11,0)/$B$24</f>
        <v/>
      </c>
      <c r="D14" s="30">
        <f>MAX(D11-C11,0)/$B$24</f>
        <v/>
      </c>
      <c r="E14" s="30">
        <f>MAX(E11-D11,0)/$B$24</f>
        <v/>
      </c>
      <c r="F14" s="30">
        <f>MAX(F11-E11,0)/$B$24</f>
        <v/>
      </c>
    </row>
    <row r="15">
      <c r="A15" t="inlineStr">
        <is>
          <t>Free cash flow to the firm</t>
        </is>
      </c>
      <c r="B15" s="31">
        <f>(B11-B14)*(1-Assumptions!$B$56)</f>
        <v/>
      </c>
      <c r="C15" s="31">
        <f>C11-C14</f>
        <v/>
      </c>
      <c r="D15" s="31">
        <f>D11-D14</f>
        <v/>
      </c>
      <c r="E15" s="31">
        <f>E11-E14</f>
        <v/>
      </c>
      <c r="F15" s="31">
        <f>F11-F14</f>
        <v/>
      </c>
    </row>
    <row r="16">
      <c r="A16" t="inlineStr">
        <is>
          <t>Glide fraction</t>
        </is>
      </c>
      <c r="B16" s="34">
        <f>(Assumptions!$B$38-Assumptions!$B$38)/(Assumptions!$B$38-Assumptions!$F$38)</f>
        <v/>
      </c>
      <c r="C16" s="34">
        <f>(Assumptions!$B$38-Assumptions!$C$38)/(Assumptions!$B$38-Assumptions!$F$38)</f>
        <v/>
      </c>
      <c r="D16" s="34">
        <f>(Assumptions!$B$38-Assumptions!$D$38)/(Assumptions!$B$38-Assumptions!$F$38)</f>
        <v/>
      </c>
      <c r="E16" s="34">
        <f>(Assumptions!$B$38-Assumptions!$E$38)/(Assumptions!$B$38-Assumptions!$F$38)</f>
        <v/>
      </c>
      <c r="F16" s="34">
        <f>(Assumptions!$B$38-Assumptions!$F$38)/(Assumptions!$B$38-Assumptions!$F$38)</f>
        <v/>
      </c>
    </row>
    <row r="17">
      <c r="A17" t="inlineStr">
        <is>
          <t>Forward cost of capital</t>
        </is>
      </c>
      <c r="B17" s="35">
        <f>$C$46-($C$46-$C$53)*B16</f>
        <v/>
      </c>
      <c r="C17" s="35">
        <f>$C$46-($C$46-$C$53)*C16</f>
        <v/>
      </c>
      <c r="D17" s="35">
        <f>$C$46-($C$46-$C$53)*D16</f>
        <v/>
      </c>
      <c r="E17" s="35">
        <f>$C$46-($C$46-$C$53)*E16</f>
        <v/>
      </c>
      <c r="F17" s="35">
        <f>$C$46-($C$46-$C$53)*F16</f>
        <v/>
      </c>
    </row>
    <row r="18">
      <c r="A18" t="inlineStr">
        <is>
          <t>Discount factor</t>
        </is>
      </c>
      <c r="B18" s="34">
        <f>1/(1+B17)^((1-Assumptions!$B$56)/2)</f>
        <v/>
      </c>
      <c r="C18" s="34">
        <f>1/(1+B17)^(1-Assumptions!$B$56+0.5)</f>
        <v/>
      </c>
      <c r="D18" s="34">
        <f>1/((1+B17)*(1+C17)^(1-Assumptions!$B$56+0.5))</f>
        <v/>
      </c>
      <c r="E18" s="34">
        <f>1/((1+B17)*(1+C17)*(1+D17)^(1-Assumptions!$B$56+0.5))</f>
        <v/>
      </c>
      <c r="F18" s="34">
        <f>1/((1+B17)*(1+C17)*(1+D17)*(1+E17)^(1-Assumptions!$B$56+0.5))</f>
        <v/>
      </c>
    </row>
    <row r="19">
      <c r="A19" t="inlineStr">
        <is>
          <t>Present value of FCFF</t>
        </is>
      </c>
      <c r="B19" s="30">
        <f>B15*B18</f>
        <v/>
      </c>
      <c r="C19" s="30">
        <f>C15*C18</f>
        <v/>
      </c>
      <c r="D19" s="30">
        <f>D15*D18</f>
        <v/>
      </c>
      <c r="E19" s="30">
        <f>E15*E18</f>
        <v/>
      </c>
      <c r="F19" s="30">
        <f>F15*F18</f>
        <v/>
      </c>
    </row>
    <row r="21">
      <c r="A21" s="10" t="inlineStr">
        <is>
          <t>TERMINAL BLOCK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>
      <c r="A22" t="inlineStr">
        <is>
          <t>Replacement-cost invested capital (EGP mn)</t>
        </is>
      </c>
      <c r="B22" s="30">
        <f>Assumptions!$B$12*1000000*Assumptions!$B$80*Assumptions!$B$9/1000000</f>
        <v/>
      </c>
    </row>
    <row r="23">
      <c r="A23" t="inlineStr">
        <is>
          <t>FY2025 NOPAT (the reinvestment base)</t>
        </is>
      </c>
      <c r="B23" s="30">
        <f>('Income Statement'!D6-'Income Statement'!D8)*(1-Assumptions!$B$7)</f>
        <v/>
      </c>
    </row>
    <row r="24">
      <c r="A24" t="inlineStr">
        <is>
          <t>Terminal return on invested capital</t>
        </is>
      </c>
      <c r="B24" s="12">
        <f>F11*(1+Assumptions!$B$55)/B22</f>
        <v/>
      </c>
    </row>
    <row r="25">
      <c r="A25" t="inlineStr">
        <is>
          <t>Reinvestment rate  (g ÷ ROIC)</t>
        </is>
      </c>
      <c r="B25" s="12">
        <f>Assumptions!$B$55/B24</f>
        <v/>
      </c>
    </row>
    <row r="26">
      <c r="A26" t="inlineStr">
        <is>
          <t>Terminal value</t>
        </is>
      </c>
      <c r="B26" s="30">
        <f>B28*(1-B25)/($C$53-Assumptions!$B$55)</f>
        <v/>
      </c>
    </row>
    <row r="27">
      <c r="A27" t="inlineStr">
        <is>
          <t>Present value of terminal value</t>
        </is>
      </c>
      <c r="B27" s="30">
        <f>B26*F18</f>
        <v/>
      </c>
    </row>
    <row r="28">
      <c r="A28" t="inlineStr">
        <is>
          <t>Terminal NOPAT</t>
        </is>
      </c>
      <c r="B28" s="30">
        <f>F11*(1+Assumptions!$B$55)</f>
        <v/>
      </c>
    </row>
    <row r="29">
      <c r="A29" s="10" t="inlineStr">
        <is>
          <t>ENTERPRISE TO EQUITY BRIDGE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>
      <c r="A30" t="inlineStr">
        <is>
          <t>Present value of explicit years (FY2026E-FY2030E)</t>
        </is>
      </c>
      <c r="B30" s="30">
        <f>SUM(B19:F19)</f>
        <v/>
      </c>
    </row>
    <row r="31">
      <c r="A31" t="inlineStr">
        <is>
          <t>Present value of terminal value</t>
        </is>
      </c>
      <c r="B31" s="30">
        <f>B27</f>
        <v/>
      </c>
    </row>
    <row r="32">
      <c r="A32" t="inlineStr">
        <is>
          <t>Enterprise value</t>
        </is>
      </c>
      <c r="B32" s="31">
        <f>B30+B31</f>
        <v/>
      </c>
    </row>
    <row r="33">
      <c r="A33" t="inlineStr">
        <is>
          <t>Terminal value as % of enterprise value</t>
        </is>
      </c>
      <c r="B33" s="14">
        <f>B31/B32</f>
        <v/>
      </c>
    </row>
    <row r="34">
      <c r="A34" t="inlineStr">
        <is>
          <t>Cash at the valuation date</t>
        </is>
      </c>
      <c r="B34" s="30">
        <f>'Balance Sheet'!D7+B15/(1-Assumptions!$B$56)*Assumptions!$B$56</f>
        <v/>
      </c>
    </row>
    <row r="35">
      <c r="A35" t="inlineStr">
        <is>
          <t>Less gross debt</t>
        </is>
      </c>
      <c r="B35" s="30">
        <f>-Assumptions!$B$50</f>
        <v/>
      </c>
    </row>
    <row r="36">
      <c r="A36" t="inlineStr">
        <is>
          <t>Net cash (ADDED — the company is net cash)</t>
        </is>
      </c>
      <c r="B36" s="30">
        <f>B34+B35</f>
        <v/>
      </c>
    </row>
    <row r="37">
      <c r="A37" t="inlineStr">
        <is>
          <t>Equity value</t>
        </is>
      </c>
      <c r="B37" s="31">
        <f>B32+B36-B40</f>
        <v/>
      </c>
    </row>
    <row r="38">
      <c r="A38" t="inlineStr">
        <is>
          <t>Shares outstanding (mn)</t>
        </is>
      </c>
      <c r="B38" s="36">
        <f>Assumptions!$B$6</f>
        <v/>
      </c>
    </row>
    <row r="39">
      <c r="A39" t="inlineStr">
        <is>
          <t>Fair value per share (EGP)</t>
        </is>
      </c>
      <c r="B39" s="13">
        <f>B37/B38</f>
        <v/>
      </c>
    </row>
    <row r="40">
      <c r="A40" t="inlineStr">
        <is>
          <t>Less non-controlling interests</t>
        </is>
      </c>
      <c r="B40" s="30">
        <f>Assumptions!$B$61</f>
        <v/>
      </c>
    </row>
    <row r="41">
      <c r="A41" s="10" t="inlineStr">
        <is>
          <t>COST OF CAPITAL — BUILT HERE</t>
        </is>
      </c>
      <c r="B41" s="10" t="n"/>
      <c r="C41" s="10" t="n"/>
      <c r="D41" s="10" t="n"/>
      <c r="E41" s="10" t="n"/>
      <c r="F41" s="10" t="n"/>
      <c r="G41" s="10" t="n"/>
      <c r="H41" s="10" t="n"/>
    </row>
    <row r="42">
      <c r="A42" t="inlineStr">
        <is>
          <t>Risk-free rate (observed EGP 10-year)</t>
        </is>
      </c>
      <c r="C42" s="35">
        <f>Assumptions!$B$45</f>
        <v/>
      </c>
    </row>
    <row r="43">
      <c r="A43" t="inlineStr">
        <is>
          <t>Less sovereign default spread</t>
        </is>
      </c>
      <c r="C43" s="35">
        <f>-Assumptions!$B$46</f>
        <v/>
      </c>
    </row>
    <row r="44">
      <c r="A44" t="inlineStr">
        <is>
          <t>Normalised risk-free rate</t>
        </is>
      </c>
      <c r="C44" s="35">
        <f>C42+C43</f>
        <v/>
      </c>
    </row>
    <row r="45">
      <c r="A45" t="inlineStr">
        <is>
          <t>Cost of equity  (rf* + β × ERP)</t>
        </is>
      </c>
      <c r="C45" s="35">
        <f>C44+Assumptions!$B$48*Assumptions!$B$47</f>
        <v/>
      </c>
    </row>
    <row r="46">
      <c r="A46" t="inlineStr">
        <is>
          <t>WACC — explicit window</t>
        </is>
      </c>
      <c r="C46" s="37">
        <f>(1-C49)*C45+C49*C48</f>
        <v/>
      </c>
    </row>
    <row r="48">
      <c r="A48" t="inlineStr">
        <is>
          <t>Cost of debt after tax</t>
        </is>
      </c>
      <c r="C48" s="35">
        <f>Assumptions!$B$49*(1-Assumptions!$B$7)</f>
        <v/>
      </c>
    </row>
    <row r="49">
      <c r="A49" t="inlineStr">
        <is>
          <t>Debt weight  D/(D+E)</t>
        </is>
      </c>
      <c r="C49" s="38">
        <f>Assumptions!$B$50/(Assumptions!$B$50+C50)</f>
        <v/>
      </c>
    </row>
    <row r="50">
      <c r="A50" t="inlineStr">
        <is>
          <t>Market capitalisation</t>
        </is>
      </c>
      <c r="C50" s="30">
        <f>Assumptions!$B$5*Assumptions!$B$6</f>
        <v/>
      </c>
    </row>
    <row r="51">
      <c r="A51" t="inlineStr">
        <is>
          <t>Terminal cost of equity  (rf_term + β_L × ERP_term)</t>
        </is>
      </c>
      <c r="C51" s="35">
        <f>Assumptions!$B$51+C56*Assumptions!$B$52</f>
        <v/>
      </c>
    </row>
    <row r="52">
      <c r="A52" t="inlineStr">
        <is>
          <t>Terminal cost of debt after tax</t>
        </is>
      </c>
      <c r="C52" s="35">
        <f>Assumptions!$B$53*(1-Assumptions!$B$7)</f>
        <v/>
      </c>
    </row>
    <row r="53">
      <c r="A53" t="inlineStr">
        <is>
          <t>WACC — terminal</t>
        </is>
      </c>
      <c r="C53" s="37">
        <f>(1-Assumptions!$B$54)*C51+Assumptions!$B$54*C52</f>
        <v/>
      </c>
    </row>
    <row r="54">
      <c r="A54" t="inlineStr">
        <is>
          <t>Retired construction: rf NOT netted (disclosed only)</t>
        </is>
      </c>
      <c r="C54" s="35">
        <f>Assumptions!$B$45+Assumptions!$B$48*Assumptions!$B$47</f>
        <v/>
      </c>
    </row>
    <row r="55">
      <c r="A55" t="inlineStr">
        <is>
          <t>Sovereign double-count removed (bp)</t>
        </is>
      </c>
      <c r="C55" s="30">
        <f>(C54-C45)*10000</f>
        <v/>
      </c>
    </row>
    <row r="56">
      <c r="A56" t="inlineStr">
        <is>
          <t>Terminal beta, RE-LEVERED to the terminal structure (Hamada)</t>
        </is>
      </c>
      <c r="C56" s="27">
        <f>Assumptions!$B$48*(1+(1-Assumptions!$B$7)*Assumptions!$B$54/(1-Assumptions!$B$54))</f>
        <v/>
      </c>
    </row>
    <row r="57">
      <c r="A57" s="5" t="inlineStr">
        <is>
          <t>The glide fraction on row 16 is derived from the cost-of-debt path on Assumptions, so the shape of</t>
        </is>
      </c>
    </row>
    <row r="58">
      <c r="A58" s="5" t="inlineStr">
        <is>
          <t>the discount schedule is INHERITED rather than invented. The terminal value is capitalised at the</t>
        </is>
      </c>
    </row>
    <row r="59">
      <c r="A59" s="5" t="inlineStr">
        <is>
          <t>terminal WACC and discounted on year 5's OWN cumulative factor — one date, one price of time.</t>
        </is>
      </c>
    </row>
    <row r="60">
      <c r="A60" s="5" t="inlineStr">
        <is>
          <t>Terminal return on capital is struck on REPLACEMENT-COST capacity, not book: the plant dates to 1997</t>
        </is>
      </c>
    </row>
    <row r="61">
      <c r="A61" s="5" t="inlineStr">
        <is>
          <t>and its book invested capital implies a 172% return, which would let growth through unpaid for.</t>
        </is>
      </c>
    </row>
  </sheetData>
  <mergeCells count="5">
    <mergeCell ref="A61:J61"/>
    <mergeCell ref="A58:J58"/>
    <mergeCell ref="A59:J59"/>
    <mergeCell ref="A57:J57"/>
    <mergeCell ref="A60:J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Income statement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Assumptions!$B$62</f>
        <v/>
      </c>
      <c r="C5" s="9">
        <f>Assumptions!$B$63</f>
        <v/>
      </c>
      <c r="D5" s="9">
        <f>Assumptions!$B$64</f>
        <v/>
      </c>
      <c r="E5" s="9">
        <f>DCF!B5</f>
        <v/>
      </c>
      <c r="F5" s="9">
        <f>DCF!C5</f>
        <v/>
      </c>
      <c r="G5" s="9">
        <f>DCF!D5</f>
        <v/>
      </c>
      <c r="H5" s="9">
        <f>DCF!E5</f>
        <v/>
      </c>
      <c r="I5" s="9">
        <f>DCF!F5</f>
        <v/>
      </c>
    </row>
    <row r="6">
      <c r="A6" t="inlineStr">
        <is>
          <t>EBITDA</t>
        </is>
      </c>
      <c r="B6" s="30">
        <f>B9+B8</f>
        <v/>
      </c>
      <c r="C6" s="30">
        <f>C9+C8</f>
        <v/>
      </c>
      <c r="D6" s="30">
        <f>D9+D8</f>
        <v/>
      </c>
      <c r="E6" s="9">
        <f>DCF!B7</f>
        <v/>
      </c>
      <c r="F6" s="9">
        <f>DCF!C7</f>
        <v/>
      </c>
      <c r="G6" s="9">
        <f>DCF!D7</f>
        <v/>
      </c>
      <c r="H6" s="9">
        <f>DCF!E7</f>
        <v/>
      </c>
      <c r="I6" s="9">
        <f>DCF!F7</f>
        <v/>
      </c>
    </row>
    <row r="7">
      <c r="A7" t="inlineStr">
        <is>
          <t>EBITDA margin</t>
        </is>
      </c>
      <c r="B7" s="12">
        <f>B6/B5</f>
        <v/>
      </c>
      <c r="C7" s="12">
        <f>C6/C5</f>
        <v/>
      </c>
      <c r="D7" s="12">
        <f>D6/D5</f>
        <v/>
      </c>
      <c r="E7" s="12">
        <f>E6/E5</f>
        <v/>
      </c>
      <c r="F7" s="12">
        <f>F6/F5</f>
        <v/>
      </c>
      <c r="G7" s="12">
        <f>G6/G5</f>
        <v/>
      </c>
      <c r="H7" s="12">
        <f>H6/H5</f>
        <v/>
      </c>
      <c r="I7" s="12">
        <f>I6/I5</f>
        <v/>
      </c>
    </row>
    <row r="8">
      <c r="A8" t="inlineStr">
        <is>
          <t>Depreciation &amp; amortisation</t>
        </is>
      </c>
      <c r="B8" s="30">
        <f>B5*Assumptions!$B$75</f>
        <v/>
      </c>
      <c r="C8" s="30">
        <f>C5*Assumptions!$B$76</f>
        <v/>
      </c>
      <c r="D8" s="30">
        <f>D5*Assumptions!$B$77</f>
        <v/>
      </c>
      <c r="E8" s="9">
        <f>DCF!B8</f>
        <v/>
      </c>
      <c r="F8" s="9">
        <f>DCF!C8</f>
        <v/>
      </c>
      <c r="G8" s="9">
        <f>DCF!D8</f>
        <v/>
      </c>
      <c r="H8" s="9">
        <f>DCF!E8</f>
        <v/>
      </c>
      <c r="I8" s="9">
        <f>DCF!F8</f>
        <v/>
      </c>
    </row>
    <row r="9">
      <c r="A9" t="inlineStr">
        <is>
          <t>EBIT</t>
        </is>
      </c>
      <c r="B9" s="30">
        <f>B14-B10</f>
        <v/>
      </c>
      <c r="C9" s="30">
        <f>Assumptions!$B$68-C8</f>
        <v/>
      </c>
      <c r="D9" s="30">
        <f>D14/(1-Assumptions!$B$8)-D10</f>
        <v/>
      </c>
      <c r="E9" s="30">
        <f>E6-E8</f>
        <v/>
      </c>
      <c r="F9" s="30">
        <f>F6-F8</f>
        <v/>
      </c>
      <c r="G9" s="30">
        <f>G6-G8</f>
        <v/>
      </c>
      <c r="H9" s="30">
        <f>H6-H8</f>
        <v/>
      </c>
      <c r="I9" s="30">
        <f>I6-I8</f>
        <v/>
      </c>
    </row>
    <row r="10">
      <c r="A10" t="inlineStr">
        <is>
          <t>Treasury / investment income</t>
        </is>
      </c>
      <c r="B10" s="9">
        <f>Assumptions!$B$71</f>
        <v/>
      </c>
      <c r="C10" s="30">
        <f>Assumptions!$B$59/1.25*0.9*Assumptions!$B$42</f>
        <v/>
      </c>
      <c r="D10" s="30">
        <f>(Assumptions!$B$59+Assumptions!$B$59/1.25)/2*Assumptions!$B$42</f>
        <v/>
      </c>
      <c r="E10" s="30">
        <f>'Balance Sheet'!D7*Assumptions!$B$39</f>
        <v/>
      </c>
      <c r="F10" s="30">
        <f>'Balance Sheet'!E7*Assumptions!$C$39</f>
        <v/>
      </c>
      <c r="G10" s="30">
        <f>'Balance Sheet'!F7*Assumptions!$D$39</f>
        <v/>
      </c>
      <c r="H10" s="30">
        <f>'Balance Sheet'!G7*Assumptions!$E$39</f>
        <v/>
      </c>
      <c r="I10" s="30">
        <f>'Balance Sheet'!H7*Assumptions!$F$39</f>
        <v/>
      </c>
    </row>
    <row r="11">
      <c r="A11" t="inlineStr">
        <is>
          <t>Gain on disposal of Sinai White stake</t>
        </is>
      </c>
      <c r="B11" s="30">
        <f>0</f>
        <v/>
      </c>
      <c r="C11" s="30">
        <f>Assumptions!$B$92*Assumptions!$B$93-Assumptions!$B$94</f>
        <v/>
      </c>
      <c r="D11" s="30">
        <f>0</f>
        <v/>
      </c>
      <c r="E11" s="30">
        <f>0</f>
        <v/>
      </c>
      <c r="F11" s="30">
        <f>0</f>
        <v/>
      </c>
      <c r="G11" s="30">
        <f>0</f>
        <v/>
      </c>
      <c r="H11" s="30">
        <f>0</f>
        <v/>
      </c>
      <c r="I11" s="30">
        <f>0</f>
        <v/>
      </c>
    </row>
    <row r="12">
      <c r="A12" t="inlineStr">
        <is>
          <t>Profit before tax</t>
        </is>
      </c>
      <c r="B12" s="30">
        <f>B9+B10+B11</f>
        <v/>
      </c>
      <c r="C12" s="30">
        <f>C9+C10+C11</f>
        <v/>
      </c>
      <c r="D12" s="30">
        <f>D9+D10+D11</f>
        <v/>
      </c>
      <c r="E12" s="30">
        <f>E9+E10+E11</f>
        <v/>
      </c>
      <c r="F12" s="30">
        <f>F9+F10+F11</f>
        <v/>
      </c>
      <c r="G12" s="30">
        <f>G9+G10+G11</f>
        <v/>
      </c>
      <c r="H12" s="30">
        <f>H9+H10+H11</f>
        <v/>
      </c>
      <c r="I12" s="30">
        <f>I9+I10+I11</f>
        <v/>
      </c>
    </row>
    <row r="13">
      <c r="A13" t="inlineStr">
        <is>
          <t>Tax</t>
        </is>
      </c>
      <c r="B13" s="30">
        <f>B12-B14</f>
        <v/>
      </c>
      <c r="C13" s="30">
        <f>C12-C14</f>
        <v/>
      </c>
      <c r="D13" s="30">
        <f>D12-D14</f>
        <v/>
      </c>
      <c r="E13" s="30">
        <f>E12*Assumptions!$B$7</f>
        <v/>
      </c>
      <c r="F13" s="30">
        <f>F12*Assumptions!$B$7</f>
        <v/>
      </c>
      <c r="G13" s="30">
        <f>G12*Assumptions!$B$7</f>
        <v/>
      </c>
      <c r="H13" s="30">
        <f>H12*Assumptions!$B$7</f>
        <v/>
      </c>
      <c r="I13" s="30">
        <f>I12*Assumptions!$B$7</f>
        <v/>
      </c>
    </row>
    <row r="14">
      <c r="A14" t="inlineStr">
        <is>
          <t>Profit after tax</t>
        </is>
      </c>
      <c r="B14" s="26">
        <f>Assumptions!$B$65</f>
        <v/>
      </c>
      <c r="C14" s="26">
        <f>Assumptions!$B$66</f>
        <v/>
      </c>
      <c r="D14" s="26">
        <f>Assumptions!$B$67</f>
        <v/>
      </c>
      <c r="E14" s="31">
        <f>E12-E13</f>
        <v/>
      </c>
      <c r="F14" s="31">
        <f>F12-F13</f>
        <v/>
      </c>
      <c r="G14" s="31">
        <f>G12-G13</f>
        <v/>
      </c>
      <c r="H14" s="31">
        <f>H12-H13</f>
        <v/>
      </c>
      <c r="I14" s="31">
        <f>I12-I13</f>
        <v/>
      </c>
    </row>
    <row r="15">
      <c r="A15" t="inlineStr">
        <is>
          <t>Profit after tax — disclosed</t>
        </is>
      </c>
      <c r="B15" s="9">
        <f>Assumptions!$B$65</f>
        <v/>
      </c>
      <c r="C15" s="9">
        <f>Assumptions!$B$66</f>
        <v/>
      </c>
      <c r="D15" s="9">
        <f>Assumptions!$B$67</f>
        <v/>
      </c>
    </row>
    <row r="16">
      <c r="A16" t="inlineStr">
        <is>
          <t>Earnings per share (EGP)</t>
        </is>
      </c>
      <c r="B16" s="15">
        <f>B14/Assumptions!$B$72</f>
        <v/>
      </c>
      <c r="C16" s="15">
        <f>C14/Assumptions!$B$73</f>
        <v/>
      </c>
      <c r="D16" s="15">
        <f>D14/Assumptions!$B$74</f>
        <v/>
      </c>
      <c r="E16" s="15">
        <f>E14/Assumptions!$B$6</f>
        <v/>
      </c>
      <c r="F16" s="15">
        <f>F14/Assumptions!$B$6</f>
        <v/>
      </c>
      <c r="G16" s="15">
        <f>G14/Assumptions!$B$6</f>
        <v/>
      </c>
      <c r="H16" s="15">
        <f>H14/Assumptions!$B$6</f>
        <v/>
      </c>
      <c r="I16" s="15">
        <f>I14/Assumptions!$B$6</f>
        <v/>
      </c>
    </row>
    <row r="18">
      <c r="A18" s="5" t="inlineStr">
        <is>
          <t>DERIVED LINES, stated plainly. Revenue and profit after tax are DISCLOSED (rows 5 and 15, in green).</t>
        </is>
      </c>
    </row>
    <row r="19">
      <c r="A19" s="5" t="inlineStr">
        <is>
          <t>EBITDA, D&amp;A, EBIT and treasury income for the historical years are DERIVED by closing the disclosed</t>
        </is>
      </c>
    </row>
    <row r="20">
      <c r="A20" s="5" t="inlineStr">
        <is>
          <t>profit: FY2024 anchors on the one disclosed EBITDA figure and solves treasury income; FY2025 solves</t>
        </is>
      </c>
    </row>
    <row r="21">
      <c r="A21" s="5" t="inlineStr">
        <is>
          <t>EBIT from disclosed profit after tax; FY2023 uses its own smaller cash balance. Row 13 is the residual</t>
        </is>
      </c>
    </row>
    <row r="22">
      <c r="A22" s="5" t="inlineStr">
        <is>
          <t>tax charge, and row 15 sits beside row 14 so the reader can see the derivation closes to the print.</t>
        </is>
      </c>
    </row>
  </sheetData>
  <mergeCells count="5">
    <mergeCell ref="A22:J22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Balance sheet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Property, plant and equipment (net)</t>
        </is>
      </c>
      <c r="B5" s="23" t="n">
        <v>2285.624</v>
      </c>
      <c r="C5" s="30">
        <f>Assumptions!$B$69-C6-C7</f>
        <v/>
      </c>
      <c r="D5" s="30">
        <f>C5</f>
        <v/>
      </c>
      <c r="E5" s="30">
        <f>D5+DCF!B12-DCF!B8</f>
        <v/>
      </c>
      <c r="F5" s="30">
        <f>E5+DCF!C12-DCF!C8</f>
        <v/>
      </c>
      <c r="G5" s="30">
        <f>F5+DCF!D12-DCF!D8</f>
        <v/>
      </c>
      <c r="H5" s="30">
        <f>G5+DCF!E12-DCF!E8</f>
        <v/>
      </c>
      <c r="I5" s="30">
        <f>H5+DCF!F12-DCF!F8</f>
        <v/>
      </c>
    </row>
    <row r="6">
      <c r="A6" t="inlineStr">
        <is>
          <t>Working capital (net)</t>
        </is>
      </c>
      <c r="B6" s="23" t="n">
        <v>850</v>
      </c>
      <c r="C6" s="23" t="n">
        <v>900</v>
      </c>
      <c r="D6" s="30">
        <f>C6</f>
        <v/>
      </c>
      <c r="E6" s="30">
        <f>D6+DCF!B13</f>
        <v/>
      </c>
      <c r="F6" s="30">
        <f>E6+DCF!C13</f>
        <v/>
      </c>
      <c r="G6" s="30">
        <f>F6+DCF!D13</f>
        <v/>
      </c>
      <c r="H6" s="30">
        <f>G6+DCF!E13</f>
        <v/>
      </c>
      <c r="I6" s="30">
        <f>H6+DCF!F13</f>
        <v/>
      </c>
    </row>
    <row r="7">
      <c r="A7" t="inlineStr">
        <is>
          <t>Cash and equivalents</t>
        </is>
      </c>
      <c r="B7" s="23" t="n">
        <v>1078</v>
      </c>
      <c r="C7" s="30">
        <f>Assumptions!$B$59/1.25</f>
        <v/>
      </c>
      <c r="D7" s="9">
        <f>Assumptions!$B$59</f>
        <v/>
      </c>
      <c r="E7" s="30">
        <f>D7+'Cash Flow'!E14</f>
        <v/>
      </c>
      <c r="F7" s="30">
        <f>E7+'Cash Flow'!F14</f>
        <v/>
      </c>
      <c r="G7" s="30">
        <f>F7+'Cash Flow'!G14</f>
        <v/>
      </c>
      <c r="H7" s="30">
        <f>G7+'Cash Flow'!H14</f>
        <v/>
      </c>
      <c r="I7" s="30">
        <f>H7+'Cash Flow'!I14</f>
        <v/>
      </c>
    </row>
    <row r="8">
      <c r="A8" t="inlineStr">
        <is>
          <t>Total assets (condensed)</t>
        </is>
      </c>
      <c r="B8" s="31">
        <f>SUM(B5:B7)</f>
        <v/>
      </c>
      <c r="C8" s="26">
        <f>Assumptions!$B$69</f>
        <v/>
      </c>
      <c r="D8" s="31">
        <f>SUM(D5:D7)</f>
        <v/>
      </c>
      <c r="E8" s="31">
        <f>SUM(E5:E7)</f>
        <v/>
      </c>
      <c r="F8" s="31">
        <f>SUM(F5:F7)</f>
        <v/>
      </c>
      <c r="G8" s="31">
        <f>SUM(G5:G7)</f>
        <v/>
      </c>
      <c r="H8" s="31">
        <f>SUM(H5:H7)</f>
        <v/>
      </c>
      <c r="I8" s="31">
        <f>SUM(I5:I7)</f>
        <v/>
      </c>
    </row>
    <row r="9">
      <c r="A9" t="inlineStr">
        <is>
          <t>Gross debt</t>
        </is>
      </c>
      <c r="B9" s="33">
        <f>Assumptions!$B$50</f>
        <v/>
      </c>
      <c r="C9" s="33">
        <f>Assumptions!$B$50</f>
        <v/>
      </c>
      <c r="D9" s="33">
        <f>Assumptions!$B$50</f>
        <v/>
      </c>
      <c r="E9" s="33">
        <f>Assumptions!$B$50</f>
        <v/>
      </c>
      <c r="F9" s="33">
        <f>Assumptions!$B$50</f>
        <v/>
      </c>
      <c r="G9" s="33">
        <f>Assumptions!$B$50</f>
        <v/>
      </c>
      <c r="H9" s="33">
        <f>Assumptions!$B$50</f>
        <v/>
      </c>
      <c r="I9" s="33">
        <f>Assumptions!$B$50</f>
        <v/>
      </c>
    </row>
    <row r="10">
      <c r="A10" t="inlineStr">
        <is>
          <t>Other liabilities</t>
        </is>
      </c>
      <c r="B10" s="30">
        <f>B11-B9</f>
        <v/>
      </c>
      <c r="C10" s="30">
        <f>C11-C9</f>
        <v/>
      </c>
      <c r="D10" s="30">
        <f>D11-D9</f>
        <v/>
      </c>
      <c r="E10" s="30">
        <f>E11-E9</f>
        <v/>
      </c>
      <c r="F10" s="30">
        <f>F11-F9</f>
        <v/>
      </c>
      <c r="G10" s="30">
        <f>G11-G9</f>
        <v/>
      </c>
      <c r="H10" s="30">
        <f>H11-H9</f>
        <v/>
      </c>
      <c r="I10" s="30">
        <f>I11-I9</f>
        <v/>
      </c>
    </row>
    <row r="11">
      <c r="A11" t="inlineStr">
        <is>
          <t>Total liabilities</t>
        </is>
      </c>
      <c r="B11" s="30">
        <f>B8-B12</f>
        <v/>
      </c>
      <c r="C11" s="9">
        <f>Assumptions!$B$70</f>
        <v/>
      </c>
      <c r="D11" s="30">
        <f>D8-D12</f>
        <v/>
      </c>
      <c r="E11" s="30">
        <f>E8-E12</f>
        <v/>
      </c>
      <c r="F11" s="30">
        <f>F8-F12</f>
        <v/>
      </c>
      <c r="G11" s="30">
        <f>G8-G12</f>
        <v/>
      </c>
      <c r="H11" s="30">
        <f>H8-H12</f>
        <v/>
      </c>
      <c r="I11" s="30">
        <f>I8-I12</f>
        <v/>
      </c>
    </row>
    <row r="12">
      <c r="A12" t="inlineStr">
        <is>
          <t>Shareholders' equity</t>
        </is>
      </c>
      <c r="B12" s="31">
        <f>C12-Assumptions!$B$66</f>
        <v/>
      </c>
      <c r="C12" s="31">
        <f>C8-C11</f>
        <v/>
      </c>
      <c r="D12" s="26">
        <f>Assumptions!$B$60</f>
        <v/>
      </c>
      <c r="E12" s="31">
        <f>D12+'Income Statement'!E14-'Cash Flow'!E13</f>
        <v/>
      </c>
      <c r="F12" s="31">
        <f>E12+'Income Statement'!F14-'Cash Flow'!F13</f>
        <v/>
      </c>
      <c r="G12" s="31">
        <f>F12+'Income Statement'!G14-'Cash Flow'!G13</f>
        <v/>
      </c>
      <c r="H12" s="31">
        <f>G12+'Income Statement'!H14-'Cash Flow'!H13</f>
        <v/>
      </c>
      <c r="I12" s="31">
        <f>H12+'Income Statement'!I14-'Cash Flow'!I13</f>
        <v/>
      </c>
    </row>
    <row r="13">
      <c r="A13" t="inlineStr">
        <is>
          <t>Equity — reported cross-check</t>
        </is>
      </c>
      <c r="D13" s="30">
        <f>C12+Assumptions!$B$67</f>
        <v/>
      </c>
    </row>
    <row r="14">
      <c r="A14" t="inlineStr">
        <is>
          <t>Net cash</t>
        </is>
      </c>
      <c r="B14" s="30">
        <f>B7-B9</f>
        <v/>
      </c>
      <c r="C14" s="30">
        <f>C7-C9</f>
        <v/>
      </c>
      <c r="D14" s="30">
        <f>D7-D9</f>
        <v/>
      </c>
      <c r="E14" s="30">
        <f>E7-E9</f>
        <v/>
      </c>
      <c r="F14" s="30">
        <f>F7-F9</f>
        <v/>
      </c>
      <c r="G14" s="30">
        <f>G7-G9</f>
        <v/>
      </c>
      <c r="H14" s="30">
        <f>H7-H9</f>
        <v/>
      </c>
      <c r="I14" s="30">
        <f>I7-I9</f>
        <v/>
      </c>
    </row>
    <row r="15">
      <c r="A15" t="inlineStr">
        <is>
          <t>Return on equity</t>
        </is>
      </c>
      <c r="D15" s="12">
        <f>Assumptions!$B$67/D12</f>
        <v/>
      </c>
      <c r="E15" s="12">
        <f>'Income Statement'!E14/E12</f>
        <v/>
      </c>
      <c r="F15" s="12">
        <f>'Income Statement'!F14/F12</f>
        <v/>
      </c>
      <c r="G15" s="12">
        <f>'Income Statement'!G14/G12</f>
        <v/>
      </c>
      <c r="H15" s="12">
        <f>'Income Statement'!H14/H12</f>
        <v/>
      </c>
      <c r="I15" s="12">
        <f>'Income Statement'!I14/I12</f>
        <v/>
      </c>
    </row>
    <row r="17">
      <c r="A17" s="5" t="inlineStr">
        <is>
          <t>The FY2024 column is the DISCLOSED triple — total assets EGP 6,385.92mn less total liabilities EGP</t>
        </is>
      </c>
    </row>
    <row r="18">
      <c r="A18" s="5" t="inlineStr">
        <is>
          <t>1,610.86mn closes to equity of EGP 4,775.06mn exactly. Equity then ROLLS FORWARD: prior equity plus</t>
        </is>
      </c>
    </row>
    <row r="19">
      <c r="A19" s="5" t="inlineStr">
        <is>
          <t>profit less dividends. Row 13 carries the REPORTED FY2025 equity beside the rolled figure: the two do</t>
        </is>
      </c>
    </row>
    <row r="20">
      <c r="A20" s="5" t="inlineStr">
        <is>
          <t>not agree, and the gap implies a FY2025 distribution that no retrievable source reports. Disclosed, not</t>
        </is>
      </c>
    </row>
    <row r="21">
      <c r="A21" s="5" t="inlineStr">
        <is>
          <t>plugged. Row 11 is the residual liability block, not an independently sourced line.</t>
        </is>
      </c>
    </row>
  </sheetData>
  <mergeCells count="5">
    <mergeCell ref="A17:J17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Cash flow — linked to the DCF waterfall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D4" s="6" t="inlineStr"/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EBITDA</t>
        </is>
      </c>
      <c r="E5" s="9">
        <f>DCF!B7</f>
        <v/>
      </c>
      <c r="F5" s="9">
        <f>DCF!C7</f>
        <v/>
      </c>
      <c r="G5" s="9">
        <f>DCF!D7</f>
        <v/>
      </c>
      <c r="H5" s="9">
        <f>DCF!E7</f>
        <v/>
      </c>
      <c r="I5" s="9">
        <f>DCF!F7</f>
        <v/>
      </c>
    </row>
    <row r="6">
      <c r="A6" t="inlineStr">
        <is>
          <t>Less change in working capital</t>
        </is>
      </c>
      <c r="E6" s="30">
        <f>-DCF!B13</f>
        <v/>
      </c>
      <c r="F6" s="30">
        <f>-DCF!C13</f>
        <v/>
      </c>
      <c r="G6" s="30">
        <f>-DCF!D13</f>
        <v/>
      </c>
      <c r="H6" s="30">
        <f>-DCF!E13</f>
        <v/>
      </c>
      <c r="I6" s="30">
        <f>-DCF!F13</f>
        <v/>
      </c>
    </row>
    <row r="7">
      <c r="A7" t="inlineStr">
        <is>
          <t>Less capital expenditure</t>
        </is>
      </c>
      <c r="E7" s="30">
        <f>-DCF!B12</f>
        <v/>
      </c>
      <c r="F7" s="30">
        <f>-DCF!C12</f>
        <v/>
      </c>
      <c r="G7" s="30">
        <f>-DCF!D12</f>
        <v/>
      </c>
      <c r="H7" s="30">
        <f>-DCF!E12</f>
        <v/>
      </c>
      <c r="I7" s="30">
        <f>-DCF!F12</f>
        <v/>
      </c>
    </row>
    <row r="8">
      <c r="A8" t="inlineStr">
        <is>
          <t>Operating free cash flow</t>
        </is>
      </c>
      <c r="E8" s="31">
        <f>SUM(E5:E7)</f>
        <v/>
      </c>
      <c r="F8" s="31">
        <f>SUM(F5:F7)</f>
        <v/>
      </c>
      <c r="G8" s="31">
        <f>SUM(G5:G7)</f>
        <v/>
      </c>
      <c r="H8" s="31">
        <f>SUM(H5:H7)</f>
        <v/>
      </c>
      <c r="I8" s="31">
        <f>SUM(I5:I7)</f>
        <v/>
      </c>
    </row>
    <row r="9">
      <c r="A9" t="inlineStr">
        <is>
          <t>NOPAT</t>
        </is>
      </c>
      <c r="E9" s="9">
        <f>DCF!B11</f>
        <v/>
      </c>
      <c r="F9" s="9">
        <f>DCF!C11</f>
        <v/>
      </c>
      <c r="G9" s="9">
        <f>DCF!D11</f>
        <v/>
      </c>
      <c r="H9" s="9">
        <f>DCF!E11</f>
        <v/>
      </c>
      <c r="I9" s="9">
        <f>DCF!F11</f>
        <v/>
      </c>
    </row>
    <row r="10">
      <c r="A10" t="inlineStr">
        <is>
          <t>Less net reinvestment (growth at terminal ROIC)</t>
        </is>
      </c>
      <c r="E10" s="30">
        <f>-DCF!B14</f>
        <v/>
      </c>
      <c r="F10" s="30">
        <f>-DCF!C14</f>
        <v/>
      </c>
      <c r="G10" s="30">
        <f>-DCF!D14</f>
        <v/>
      </c>
      <c r="H10" s="30">
        <f>-DCF!E14</f>
        <v/>
      </c>
      <c r="I10" s="30">
        <f>-DCF!F14</f>
        <v/>
      </c>
    </row>
    <row r="11">
      <c r="A11" t="inlineStr">
        <is>
          <t>Free cash flow to the firm</t>
        </is>
      </c>
      <c r="E11" s="31">
        <f>DCF!B15</f>
        <v/>
      </c>
      <c r="F11" s="31">
        <f>DCF!C15</f>
        <v/>
      </c>
      <c r="G11" s="31">
        <f>DCF!D15</f>
        <v/>
      </c>
      <c r="H11" s="31">
        <f>DCF!E15</f>
        <v/>
      </c>
      <c r="I11" s="31">
        <f>DCF!F15</f>
        <v/>
      </c>
    </row>
    <row r="12">
      <c r="A12" t="inlineStr">
        <is>
          <t>Treasury income after tax</t>
        </is>
      </c>
      <c r="E12" s="30">
        <f>'Income Statement'!E10*(1-Assumptions!$B$7)</f>
        <v/>
      </c>
      <c r="F12" s="30">
        <f>'Income Statement'!F10*(1-Assumptions!$B$7)</f>
        <v/>
      </c>
      <c r="G12" s="30">
        <f>'Income Statement'!G10*(1-Assumptions!$B$7)</f>
        <v/>
      </c>
      <c r="H12" s="30">
        <f>'Income Statement'!H10*(1-Assumptions!$B$7)</f>
        <v/>
      </c>
      <c r="I12" s="30">
        <f>'Income Statement'!I10*(1-Assumptions!$B$7)</f>
        <v/>
      </c>
    </row>
    <row r="13">
      <c r="A13" t="inlineStr">
        <is>
          <t>Dividends paid</t>
        </is>
      </c>
      <c r="E13" s="30">
        <f>'Income Statement'!E14*Assumptions!$B$41</f>
        <v/>
      </c>
      <c r="F13" s="30">
        <f>'Income Statement'!F14*Assumptions!$B$41</f>
        <v/>
      </c>
      <c r="G13" s="30">
        <f>'Income Statement'!G14*Assumptions!$B$41</f>
        <v/>
      </c>
      <c r="H13" s="30">
        <f>'Income Statement'!H14*Assumptions!$B$41</f>
        <v/>
      </c>
      <c r="I13" s="30">
        <f>'Income Statement'!I14*Assumptions!$B$41</f>
        <v/>
      </c>
    </row>
    <row r="14">
      <c r="A14" t="inlineStr">
        <is>
          <t>Net change in cash</t>
        </is>
      </c>
      <c r="E14" s="31">
        <f>'Income Statement'!E14+DCF!B8-DCF!B12-DCF!B13-E13</f>
        <v/>
      </c>
      <c r="F14" s="31">
        <f>'Income Statement'!F14+DCF!C8-DCF!C12-DCF!C13-F13</f>
        <v/>
      </c>
      <c r="G14" s="31">
        <f>'Income Statement'!G14+DCF!D8-DCF!D12-DCF!D13-G13</f>
        <v/>
      </c>
      <c r="H14" s="31">
        <f>'Income Statement'!H14+DCF!E8-DCF!E12-DCF!E13-H13</f>
        <v/>
      </c>
      <c r="I14" s="31">
        <f>'Income Statement'!I14+DCF!F8-DCF!F12-DCF!F13-I13</f>
        <v/>
      </c>
    </row>
    <row r="18">
      <c r="A18" s="5" t="inlineStr">
        <is>
          <t>Two presentations of the same year. Rows 5-8 build operating free cash flow from EBITDA; rows 9-13</t>
        </is>
      </c>
    </row>
    <row r="19">
      <c r="A19" s="5" t="inlineStr">
        <is>
          <t>are the DCF waterfall's own free cash flow to the firm, linked cell-for-cell to the DCF sheet so the</t>
        </is>
      </c>
    </row>
    <row r="20">
      <c r="A20" s="5" t="inlineStr">
        <is>
          <t>two can never drift. Treasury income is shown separately and is NOT in free cash flow to the firm.</t>
        </is>
      </c>
    </row>
  </sheetData>
  <mergeCells count="3">
    <mergeCell ref="A18:J18"/>
    <mergeCell ref="A20:J20"/>
    <mergeCell ref="A19:J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Summary financials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 unless stated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'Income Statement'!B5</f>
        <v/>
      </c>
      <c r="C5" s="9">
        <f>'Income Statement'!C5</f>
        <v/>
      </c>
      <c r="D5" s="9">
        <f>'Income Statement'!D5</f>
        <v/>
      </c>
      <c r="E5" s="9">
        <f>'Income Statement'!E5</f>
        <v/>
      </c>
      <c r="F5" s="9">
        <f>'Income Statement'!F5</f>
        <v/>
      </c>
      <c r="G5" s="9">
        <f>'Income Statement'!G5</f>
        <v/>
      </c>
      <c r="H5" s="9">
        <f>'Income Statement'!H5</f>
        <v/>
      </c>
      <c r="I5" s="9">
        <f>'Income Statement'!I5</f>
        <v/>
      </c>
    </row>
    <row r="6">
      <c r="A6" t="inlineStr">
        <is>
          <t>EBITDA</t>
        </is>
      </c>
      <c r="B6" s="9">
        <f>'Income Statement'!B6</f>
        <v/>
      </c>
      <c r="C6" s="9">
        <f>'Income Statement'!C6</f>
        <v/>
      </c>
      <c r="D6" s="9">
        <f>'Income Statement'!D6</f>
        <v/>
      </c>
      <c r="E6" s="9">
        <f>'Income Statement'!E6</f>
        <v/>
      </c>
      <c r="F6" s="9">
        <f>'Income Statement'!F6</f>
        <v/>
      </c>
      <c r="G6" s="9">
        <f>'Income Statement'!G6</f>
        <v/>
      </c>
      <c r="H6" s="9">
        <f>'Income Statement'!H6</f>
        <v/>
      </c>
      <c r="I6" s="9">
        <f>'Income Statement'!I6</f>
        <v/>
      </c>
    </row>
    <row r="7">
      <c r="A7" t="inlineStr">
        <is>
          <t>EBIT</t>
        </is>
      </c>
      <c r="B7" s="9">
        <f>'Income Statement'!B9</f>
        <v/>
      </c>
      <c r="C7" s="9">
        <f>'Income Statement'!C9</f>
        <v/>
      </c>
      <c r="D7" s="9">
        <f>'Income Statement'!D9</f>
        <v/>
      </c>
      <c r="E7" s="9">
        <f>'Income Statement'!E9</f>
        <v/>
      </c>
      <c r="F7" s="9">
        <f>'Income Statement'!F9</f>
        <v/>
      </c>
      <c r="G7" s="9">
        <f>'Income Statement'!G9</f>
        <v/>
      </c>
      <c r="H7" s="9">
        <f>'Income Statement'!H9</f>
        <v/>
      </c>
      <c r="I7" s="9">
        <f>'Income Statement'!I9</f>
        <v/>
      </c>
    </row>
    <row r="8">
      <c r="A8" t="inlineStr">
        <is>
          <t>Profit after tax</t>
        </is>
      </c>
      <c r="B8" s="9">
        <f>'Income Statement'!B14</f>
        <v/>
      </c>
      <c r="C8" s="9">
        <f>'Income Statement'!C14</f>
        <v/>
      </c>
      <c r="D8" s="9">
        <f>'Income Statement'!D14</f>
        <v/>
      </c>
      <c r="E8" s="9">
        <f>'Income Statement'!E14</f>
        <v/>
      </c>
      <c r="F8" s="9">
        <f>'Income Statement'!F14</f>
        <v/>
      </c>
      <c r="G8" s="9">
        <f>'Income Statement'!G14</f>
        <v/>
      </c>
      <c r="H8" s="9">
        <f>'Income Statement'!H14</f>
        <v/>
      </c>
      <c r="I8" s="9">
        <f>'Income Statement'!I14</f>
        <v/>
      </c>
    </row>
    <row r="9">
      <c r="A9" t="inlineStr">
        <is>
          <t>Sales volume (Mt)</t>
        </is>
      </c>
      <c r="D9" s="28">
        <f>'Unit Build'!B10</f>
        <v/>
      </c>
      <c r="E9" s="28">
        <f>'Unit Build'!C10</f>
        <v/>
      </c>
      <c r="F9" s="28">
        <f>'Unit Build'!D10</f>
        <v/>
      </c>
      <c r="G9" s="28">
        <f>'Unit Build'!E10</f>
        <v/>
      </c>
      <c r="H9" s="28">
        <f>'Unit Build'!F10</f>
        <v/>
      </c>
      <c r="I9" s="28">
        <f>'Unit Build'!G10</f>
        <v/>
      </c>
    </row>
    <row r="10">
      <c r="A10" t="inlineStr">
        <is>
          <t>Realised price (EGP/t)</t>
        </is>
      </c>
      <c r="D10" s="9">
        <f>'Unit Build'!B20</f>
        <v/>
      </c>
      <c r="E10" s="9">
        <f>'Unit Build'!C20</f>
        <v/>
      </c>
      <c r="F10" s="9">
        <f>'Unit Build'!D20</f>
        <v/>
      </c>
      <c r="G10" s="9">
        <f>'Unit Build'!E20</f>
        <v/>
      </c>
      <c r="H10" s="9">
        <f>'Unit Build'!F20</f>
        <v/>
      </c>
      <c r="I10" s="9">
        <f>'Unit Build'!G20</f>
        <v/>
      </c>
    </row>
    <row r="11">
      <c r="A11" t="inlineStr">
        <is>
          <t>Kiln utilisation</t>
        </is>
      </c>
      <c r="D11" s="11">
        <f>'Unit Build'!B6</f>
        <v/>
      </c>
      <c r="E11" s="11">
        <f>'Unit Build'!C6</f>
        <v/>
      </c>
      <c r="F11" s="11">
        <f>'Unit Build'!D6</f>
        <v/>
      </c>
      <c r="G11" s="11">
        <f>'Unit Build'!E6</f>
        <v/>
      </c>
      <c r="H11" s="11">
        <f>'Unit Build'!F6</f>
        <v/>
      </c>
      <c r="I11" s="11">
        <f>'Unit Build'!G6</f>
        <v/>
      </c>
    </row>
    <row r="13">
      <c r="A13" t="inlineStr">
        <is>
          <t>EBITDA margin</t>
        </is>
      </c>
      <c r="B13" s="12">
        <f>B6/B5</f>
        <v/>
      </c>
      <c r="C13" s="12">
        <f>C6/C5</f>
        <v/>
      </c>
      <c r="D13" s="12">
        <f>D6/D5</f>
        <v/>
      </c>
      <c r="E13" s="12">
        <f>E6/E5</f>
        <v/>
      </c>
      <c r="F13" s="12">
        <f>F6/F5</f>
        <v/>
      </c>
      <c r="G13" s="12">
        <f>G6/G5</f>
        <v/>
      </c>
      <c r="H13" s="12">
        <f>H6/H5</f>
        <v/>
      </c>
      <c r="I13" s="12">
        <f>I6/I5</f>
        <v/>
      </c>
    </row>
    <row r="14">
      <c r="A14" t="inlineStr">
        <is>
          <t>Revenue growth</t>
        </is>
      </c>
      <c r="C14" s="12">
        <f>C5/B5-1</f>
        <v/>
      </c>
      <c r="D14" s="12">
        <f>D5/C5-1</f>
        <v/>
      </c>
      <c r="E14" s="12">
        <f>E5/D5-1</f>
        <v/>
      </c>
      <c r="F14" s="12">
        <f>F5/E5-1</f>
        <v/>
      </c>
      <c r="G14" s="12">
        <f>G5/F5-1</f>
        <v/>
      </c>
      <c r="H14" s="12">
        <f>H5/G5-1</f>
        <v/>
      </c>
      <c r="I14" s="12">
        <f>I5/H5-1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Probabilistic price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a whole-model re-run. Does NOT redraw when a driver changes.</t>
        </is>
      </c>
    </row>
    <row r="4">
      <c r="A4" s="6" t="inlineStr">
        <is>
          <t>Horizon</t>
        </is>
      </c>
      <c r="B4" s="6" t="inlineStr">
        <is>
          <t>Sessions</t>
        </is>
      </c>
      <c r="C4" s="6" t="inlineStr">
        <is>
          <t>Grade date</t>
        </is>
      </c>
      <c r="D4" s="6" t="inlineStr">
        <is>
          <t>5th %ile</t>
        </is>
      </c>
      <c r="E4" s="6" t="inlineStr">
        <is>
          <t>25th %ile</t>
        </is>
      </c>
      <c r="F4" s="6" t="inlineStr">
        <is>
          <t>Median</t>
        </is>
      </c>
      <c r="G4" s="6" t="inlineStr">
        <is>
          <t>75th %ile</t>
        </is>
      </c>
      <c r="H4" s="6" t="inlineStr">
        <is>
          <t>95th %ile</t>
        </is>
      </c>
    </row>
    <row r="5">
      <c r="A5" t="inlineStr">
        <is>
          <t>1M (1 month)</t>
        </is>
      </c>
      <c r="B5" s="23" t="n">
        <v>20</v>
      </c>
      <c r="C5" s="39" t="inlineStr">
        <is>
          <t>2026-09-06</t>
        </is>
      </c>
      <c r="D5" s="18" t="n">
        <v>62.1420635589089</v>
      </c>
      <c r="E5" s="18" t="n">
        <v>72.94331198622631</v>
      </c>
      <c r="F5" s="18" t="n">
        <v>80.17497538017265</v>
      </c>
      <c r="G5" s="18" t="n">
        <v>88.18397736359992</v>
      </c>
      <c r="H5" s="18" t="n">
        <v>103.4995013727537</v>
      </c>
    </row>
    <row r="6">
      <c r="A6" t="inlineStr">
        <is>
          <t>3M (3 months)</t>
        </is>
      </c>
      <c r="B6" s="23" t="n">
        <v>62</v>
      </c>
      <c r="C6" s="39" t="inlineStr">
        <is>
          <t>2026-11-08</t>
        </is>
      </c>
      <c r="D6" s="18" t="n">
        <v>52.12577688877463</v>
      </c>
      <c r="E6" s="18" t="n">
        <v>69.74973064913542</v>
      </c>
      <c r="F6" s="18" t="n">
        <v>82.77876151400348</v>
      </c>
      <c r="G6" s="18" t="n">
        <v>98.07395179014382</v>
      </c>
      <c r="H6" s="18" t="n">
        <v>131.3522656071748</v>
      </c>
    </row>
    <row r="8">
      <c r="A8" s="6" t="inlineStr"/>
      <c r="B8" s="6" t="inlineStr">
        <is>
          <t>P(above spot)</t>
        </is>
      </c>
      <c r="C8" s="6" t="inlineStr">
        <is>
          <t>P(+10% or more)</t>
        </is>
      </c>
      <c r="D8" s="6" t="inlineStr">
        <is>
          <t>P(-10% or more)</t>
        </is>
      </c>
      <c r="E8" s="6" t="inlineStr">
        <is>
          <t>P(touch +10%)</t>
        </is>
      </c>
      <c r="F8" s="6" t="inlineStr">
        <is>
          <t>P(touch -10%)</t>
        </is>
      </c>
    </row>
    <row r="9">
      <c r="A9" t="inlineStr">
        <is>
          <t>1M</t>
        </is>
      </c>
      <c r="B9" s="20" t="n">
        <v>0.54204</v>
      </c>
      <c r="C9" s="20" t="n">
        <v>0.2819</v>
      </c>
      <c r="D9" s="20" t="n">
        <v>0.19682</v>
      </c>
      <c r="E9" s="20" t="n">
        <v>0.4586</v>
      </c>
      <c r="F9" s="20" t="n">
        <v>0.35234</v>
      </c>
    </row>
    <row r="10">
      <c r="A10" t="inlineStr">
        <is>
          <t>3M</t>
        </is>
      </c>
      <c r="B10" s="20" t="n">
        <v>0.5746599999999999</v>
      </c>
      <c r="C10" s="20" t="n">
        <v>0.4217</v>
      </c>
      <c r="D10" s="20" t="n">
        <v>0.27342</v>
      </c>
      <c r="E10" s="20" t="n">
        <v>0.70524</v>
      </c>
      <c r="F10" s="20" t="n">
        <v>0.56498</v>
      </c>
    </row>
    <row r="12">
      <c r="A12" s="10" t="inlineStr">
        <is>
          <t>CALIBRATION — READ THIS BEFORE THE MAP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40" t="inlineStr">
        <is>
          <t>Market panel verdict (Egypt)</t>
        </is>
      </c>
      <c r="B13" s="41" t="inlineStr">
        <is>
          <t>PASS — skill +0.0158, 90% interval [0.009, 0.022]</t>
        </is>
      </c>
    </row>
    <row r="14">
      <c r="A14" s="40" t="inlineStr">
        <is>
          <t>This name's verdict</t>
        </is>
      </c>
      <c r="B14" s="41" t="inlineStr">
        <is>
          <t>PARITY at every bootstrap block size {2,3,4}</t>
        </is>
      </c>
    </row>
    <row r="15">
      <c r="A15" s="40" t="inlineStr">
        <is>
          <t>This name's CRPS skill vs a random walk</t>
        </is>
      </c>
      <c r="B15" s="41" t="inlineStr">
        <is>
          <t>-0.1276 — BELOW zero</t>
        </is>
      </c>
    </row>
    <row r="16">
      <c r="A16" s="40" t="inlineStr">
        <is>
          <t>Coverage 50 / 80 / 90</t>
        </is>
      </c>
      <c r="B16" s="41" t="inlineStr">
        <is>
          <t>0.76 / 0.82 / 0.94 against nominal 0.50 / 0.80 / 0.90 — OVER-COVERED</t>
        </is>
      </c>
    </row>
    <row r="17">
      <c r="A17" s="40" t="inlineStr">
        <is>
          <t>Cone width versus the benchmark</t>
        </is>
      </c>
      <c r="B17" s="41" t="inlineStr">
        <is>
          <t>4.71x</t>
        </is>
      </c>
    </row>
    <row r="18">
      <c r="A18" s="40" t="inlineStr">
        <is>
          <t>Why</t>
        </is>
      </c>
      <c r="B18" s="41" t="inlineStr">
        <is>
          <t>SCEM prints an unchanged close on 29.3% of sessions, 3.4x the Egyptian panel median and 2nd thinnest of 33 names. On such a series the benchmark's own volatility estimate collapses in quiet quarters.</t>
        </is>
      </c>
    </row>
    <row r="19">
      <c r="A19" s="40" t="inlineStr">
        <is>
          <t>Consequence</t>
        </is>
      </c>
      <c r="B19" s="41" t="inlineStr">
        <is>
          <t>The map is ILLUSTRATIVE ONLY. It is materially too wide and must not be read with the confidence of a calibrated name.</t>
        </is>
      </c>
    </row>
  </sheetData>
  <mergeCells count="7">
    <mergeCell ref="B14:H14"/>
    <mergeCell ref="B17:H17"/>
    <mergeCell ref="B18:H18"/>
    <mergeCell ref="B13:H13"/>
    <mergeCell ref="B16:H16"/>
    <mergeCell ref="B15:H15"/>
    <mergeCell ref="B19:H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Sensitivity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each cell is a complete revaluation. Does NOT redraw.</t>
        </is>
      </c>
    </row>
    <row r="4">
      <c r="A4" s="40" t="inlineStr">
        <is>
          <t>Explicit WACC (rows) × terminal growth (columns) — fair value per share (EGP)</t>
        </is>
      </c>
    </row>
    <row r="5">
      <c r="A5" s="6" t="inlineStr"/>
      <c r="B5" s="6" t="inlineStr">
        <is>
          <t>g = 3%</t>
        </is>
      </c>
      <c r="C5" s="6" t="inlineStr">
        <is>
          <t>g = 4%</t>
        </is>
      </c>
      <c r="D5" s="6" t="inlineStr">
        <is>
          <t>g = 5%</t>
        </is>
      </c>
      <c r="E5" s="6" t="inlineStr">
        <is>
          <t>g = 6%</t>
        </is>
      </c>
      <c r="F5" s="6" t="inlineStr">
        <is>
          <t>g = 7%</t>
        </is>
      </c>
    </row>
    <row r="6">
      <c r="A6" s="24" t="n">
        <v>0.2529921630262293</v>
      </c>
      <c r="B6" s="18" t="n">
        <v>47.85239987575165</v>
      </c>
      <c r="C6" s="18" t="n">
        <v>46.42807849453837</v>
      </c>
      <c r="D6" s="18" t="n">
        <v>44.78777410811193</v>
      </c>
      <c r="E6" s="18" t="n">
        <v>42.88206844733539</v>
      </c>
      <c r="F6" s="18" t="n">
        <v>40.64506858524987</v>
      </c>
    </row>
    <row r="7">
      <c r="A7" s="24" t="n">
        <v>0.2679921630262292</v>
      </c>
      <c r="B7" s="18" t="n">
        <v>47.27776652657919</v>
      </c>
      <c r="C7" s="18" t="n">
        <v>45.88984005753007</v>
      </c>
      <c r="D7" s="18" t="n">
        <v>44.29142556215732</v>
      </c>
      <c r="E7" s="18" t="n">
        <v>42.4343627432738</v>
      </c>
      <c r="F7" s="18" t="n">
        <v>40.25443599024933</v>
      </c>
    </row>
    <row r="8">
      <c r="A8" s="24" t="n">
        <v>0.2829921630262293</v>
      </c>
      <c r="B8" s="18" t="n">
        <v>46.72134103353847</v>
      </c>
      <c r="C8" s="18" t="n">
        <v>45.36857897793945</v>
      </c>
      <c r="D8" s="18" t="n">
        <v>43.81063846201682</v>
      </c>
      <c r="E8" s="18" t="n">
        <v>42.0005747030714</v>
      </c>
      <c r="F8" s="18" t="n">
        <v>39.87579279659943</v>
      </c>
    </row>
    <row r="9">
      <c r="A9" s="24" t="n">
        <v>0.2979921630262293</v>
      </c>
      <c r="B9" s="18" t="n">
        <v>46.18237106147301</v>
      </c>
      <c r="C9" s="18" t="n">
        <v>44.8635952566741</v>
      </c>
      <c r="D9" s="18" t="n">
        <v>43.34477302237466</v>
      </c>
      <c r="E9" s="18" t="n">
        <v>41.58013443704983</v>
      </c>
      <c r="F9" s="18" t="n">
        <v>39.50865109765196</v>
      </c>
    </row>
    <row r="10">
      <c r="A10" s="24" t="n">
        <v>0.3129921630262292</v>
      </c>
      <c r="B10" s="18" t="n">
        <v>45.66014248947234</v>
      </c>
      <c r="C10" s="18" t="n">
        <v>44.37422440920808</v>
      </c>
      <c r="D10" s="18" t="n">
        <v>42.89322186668822</v>
      </c>
      <c r="E10" s="18" t="n">
        <v>41.17250085938183</v>
      </c>
      <c r="F10" s="18" t="n">
        <v>39.1525475625393</v>
      </c>
    </row>
    <row r="12">
      <c r="A12" s="40" t="inlineStr">
        <is>
          <t>NET CASH — the largest single uncertainty, now sensitised</t>
        </is>
      </c>
    </row>
    <row r="13">
      <c r="A13" s="6" t="inlineStr"/>
      <c r="B13" s="6" t="inlineStr">
        <is>
          <t>3,430</t>
        </is>
      </c>
      <c r="C13" s="6" t="inlineStr">
        <is>
          <t>4,180</t>
        </is>
      </c>
      <c r="D13" s="6" t="inlineStr">
        <is>
          <t>4,930</t>
        </is>
      </c>
      <c r="E13" s="6" t="inlineStr">
        <is>
          <t>5,680</t>
        </is>
      </c>
      <c r="F13" s="6" t="inlineStr">
        <is>
          <t>6,430</t>
        </is>
      </c>
    </row>
    <row r="14">
      <c r="A14" s="42" t="inlineStr">
        <is>
          <t>Fair value per share (EGP)</t>
        </is>
      </c>
      <c r="B14" s="18" t="n">
        <v>38.05937986712988</v>
      </c>
      <c r="C14" s="18" t="n">
        <v>40.93500916457335</v>
      </c>
      <c r="D14" s="18" t="n">
        <v>43.81063846201682</v>
      </c>
      <c r="E14" s="18" t="n">
        <v>46.68626775946028</v>
      </c>
      <c r="F14" s="18" t="n">
        <v>49.56189705690375</v>
      </c>
    </row>
    <row r="16">
      <c r="A16" s="5" t="inlineStr">
        <is>
          <t>Revision 1 called net cash the assumption where "an error matters more than</t>
        </is>
      </c>
    </row>
    <row r="17">
      <c r="A17" s="5" t="inlineStr">
        <is>
          <t>almost any operating assumption", and then published no grid on it. This is that grid.</t>
        </is>
      </c>
    </row>
    <row r="20">
      <c r="A20" s="40" t="inlineStr">
        <is>
          <t>Beta — fair value per share (EGP)</t>
        </is>
      </c>
    </row>
    <row r="21">
      <c r="A21" s="6" t="inlineStr"/>
      <c r="B21" s="6" t="inlineStr">
        <is>
          <t>β = 0.60</t>
        </is>
      </c>
      <c r="C21" s="6" t="inlineStr">
        <is>
          <t>β = 0.80</t>
        </is>
      </c>
      <c r="D21" s="6" t="inlineStr">
        <is>
          <t>β = 0.84</t>
        </is>
      </c>
      <c r="E21" s="6" t="inlineStr">
        <is>
          <t>β = 1.00</t>
        </is>
      </c>
      <c r="F21" s="6" t="inlineStr">
        <is>
          <t>β = 1.30</t>
        </is>
      </c>
    </row>
    <row r="22">
      <c r="A22" s="42" t="inlineStr">
        <is>
          <t>Fair value</t>
        </is>
      </c>
      <c r="B22" s="18" t="n">
        <v>48.91357507019821</v>
      </c>
      <c r="C22" s="18" t="n">
        <v>46.08776877600348</v>
      </c>
      <c r="D22" s="18" t="n">
        <v>45.63025299419375</v>
      </c>
      <c r="E22" s="18" t="n">
        <v>43.81063846201682</v>
      </c>
      <c r="F22" s="18" t="n">
        <v>41.12064739648515</v>
      </c>
    </row>
    <row r="24">
      <c r="A24" s="40" t="inlineStr">
        <is>
          <t>EBITDA margin shift — fair value per share (EGP)</t>
        </is>
      </c>
    </row>
    <row r="25">
      <c r="A25" s="6" t="inlineStr"/>
      <c r="B25" s="6" t="inlineStr">
        <is>
          <t>-4%</t>
        </is>
      </c>
      <c r="C25" s="6" t="inlineStr">
        <is>
          <t>-2%</t>
        </is>
      </c>
      <c r="D25" s="6" t="inlineStr">
        <is>
          <t>+0%</t>
        </is>
      </c>
      <c r="E25" s="6" t="inlineStr">
        <is>
          <t>+2%</t>
        </is>
      </c>
      <c r="F25" s="6" t="inlineStr">
        <is>
          <t>+4%</t>
        </is>
      </c>
    </row>
    <row r="26">
      <c r="A26" s="42" t="inlineStr">
        <is>
          <t>Fair value</t>
        </is>
      </c>
      <c r="B26" s="18" t="n">
        <v>35.56710249338433</v>
      </c>
      <c r="C26" s="18" t="n">
        <v>39.67644904785723</v>
      </c>
      <c r="D26" s="18" t="n">
        <v>43.81063846201682</v>
      </c>
      <c r="E26" s="18" t="n">
        <v>47.67735945226617</v>
      </c>
      <c r="F26" s="18" t="n">
        <v>49.7950196365083</v>
      </c>
    </row>
    <row r="28">
      <c r="A28" s="5" t="inlineStr">
        <is>
          <t>Note the terminal-growth row: HIGHER growth gives a LOWER value. That is not an error. Terminal</t>
        </is>
      </c>
    </row>
    <row r="29">
      <c r="A29" s="5" t="inlineStr">
        <is>
          <t>return on capital (9.4%) is below the terminal cost of capital (16.3%), so growth must be bought with</t>
        </is>
      </c>
    </row>
    <row r="30">
      <c r="A30" s="5" t="inlineStr">
        <is>
          <t>reinvestment that earns less than it costs. This company creates value by harvesting, not by growing.</t>
        </is>
      </c>
    </row>
  </sheetData>
  <mergeCells count="5">
    <mergeCell ref="A17:J17"/>
    <mergeCell ref="A30:J30"/>
    <mergeCell ref="A29:J29"/>
    <mergeCell ref="A16:J16"/>
    <mergeCell ref="A28:J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Per-share and ratios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Every figure is a formula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Earnings per share (EGP)</t>
        </is>
      </c>
      <c r="B5" s="15">
        <f>'Income Statement'!B14/Assumptions!$B$6</f>
        <v/>
      </c>
      <c r="C5" s="15">
        <f>'Income Statement'!C14/Assumptions!$B$6</f>
        <v/>
      </c>
      <c r="D5" s="15">
        <f>'Income Statement'!D14/Assumptions!$B$6</f>
        <v/>
      </c>
      <c r="E5" s="15">
        <f>'Income Statement'!E14/Assumptions!$B$6</f>
        <v/>
      </c>
      <c r="F5" s="15">
        <f>'Income Statement'!F14/Assumptions!$B$6</f>
        <v/>
      </c>
      <c r="G5" s="15">
        <f>'Income Statement'!G14/Assumptions!$B$6</f>
        <v/>
      </c>
      <c r="H5" s="15">
        <f>'Income Statement'!H14/Assumptions!$B$6</f>
        <v/>
      </c>
      <c r="I5" s="15">
        <f>'Income Statement'!I14/Assumptions!$B$6</f>
        <v/>
      </c>
    </row>
    <row r="6">
      <c r="A6" t="inlineStr">
        <is>
          <t>Dividend per share (EGP)</t>
        </is>
      </c>
      <c r="E6" s="15">
        <f>'Cash Flow'!E13/Assumptions!$B$6</f>
        <v/>
      </c>
      <c r="F6" s="15">
        <f>'Cash Flow'!F13/Assumptions!$B$6</f>
        <v/>
      </c>
      <c r="G6" s="15">
        <f>'Cash Flow'!G13/Assumptions!$B$6</f>
        <v/>
      </c>
      <c r="H6" s="15">
        <f>'Cash Flow'!H13/Assumptions!$B$6</f>
        <v/>
      </c>
      <c r="I6" s="15">
        <f>'Cash Flow'!I13/Assumptions!$B$6</f>
        <v/>
      </c>
    </row>
    <row r="7">
      <c r="A7" t="inlineStr">
        <is>
          <t>Book value per share (EGP)</t>
        </is>
      </c>
      <c r="B7" s="15">
        <f>'Balance Sheet'!B12/Assumptions!$B$6</f>
        <v/>
      </c>
      <c r="C7" s="15">
        <f>'Balance Sheet'!C12/Assumptions!$B$6</f>
        <v/>
      </c>
      <c r="D7" s="15">
        <f>'Balance Sheet'!D12/Assumptions!$B$6</f>
        <v/>
      </c>
      <c r="E7" s="15">
        <f>'Balance Sheet'!E12/Assumptions!$B$6</f>
        <v/>
      </c>
      <c r="F7" s="15">
        <f>'Balance Sheet'!F12/Assumptions!$B$6</f>
        <v/>
      </c>
      <c r="G7" s="15">
        <f>'Balance Sheet'!G12/Assumptions!$B$6</f>
        <v/>
      </c>
      <c r="H7" s="15">
        <f>'Balance Sheet'!H12/Assumptions!$B$6</f>
        <v/>
      </c>
      <c r="I7" s="15">
        <f>'Balance Sheet'!I12/Assumptions!$B$6</f>
        <v/>
      </c>
    </row>
    <row r="8">
      <c r="A8" t="inlineStr">
        <is>
          <t>Free cash flow per share (EGP)</t>
        </is>
      </c>
      <c r="E8" s="15">
        <f>DCF!B15/Assumptions!$B$6</f>
        <v/>
      </c>
      <c r="F8" s="15">
        <f>DCF!C15/Assumptions!$B$6</f>
        <v/>
      </c>
      <c r="G8" s="15">
        <f>DCF!D15/Assumptions!$B$6</f>
        <v/>
      </c>
      <c r="H8" s="15">
        <f>DCF!E15/Assumptions!$B$6</f>
        <v/>
      </c>
      <c r="I8" s="15">
        <f>DCF!F15/Assumptions!$B$6</f>
        <v/>
      </c>
    </row>
    <row r="9">
      <c r="A9" t="inlineStr">
        <is>
          <t>Net cash per share (EGP)</t>
        </is>
      </c>
      <c r="B9" s="15">
        <f>('Balance Sheet'!B7-'Balance Sheet'!B9)/Assumptions!$B$6</f>
        <v/>
      </c>
      <c r="C9" s="15">
        <f>('Balance Sheet'!C7-'Balance Sheet'!C9)/Assumptions!$B$6</f>
        <v/>
      </c>
      <c r="D9" s="15">
        <f>('Balance Sheet'!D7-'Balance Sheet'!D9)/Assumptions!$B$6</f>
        <v/>
      </c>
      <c r="E9" s="15">
        <f>('Balance Sheet'!E7-'Balance Sheet'!E9)/Assumptions!$B$6</f>
        <v/>
      </c>
      <c r="F9" s="15">
        <f>('Balance Sheet'!F7-'Balance Sheet'!F9)/Assumptions!$B$6</f>
        <v/>
      </c>
      <c r="G9" s="15">
        <f>('Balance Sheet'!G7-'Balance Sheet'!G9)/Assumptions!$B$6</f>
        <v/>
      </c>
      <c r="H9" s="15">
        <f>('Balance Sheet'!H7-'Balance Sheet'!H9)/Assumptions!$B$6</f>
        <v/>
      </c>
      <c r="I9" s="15">
        <f>('Balance Sheet'!I7-'Balance Sheet'!I9)/Assumptions!$B$6</f>
        <v/>
      </c>
    </row>
    <row r="10">
      <c r="A10" t="inlineStr">
        <is>
          <t>Return on equity</t>
        </is>
      </c>
      <c r="B10" s="12">
        <f>'Income Statement'!B14/'Balance Sheet'!B12</f>
        <v/>
      </c>
      <c r="C10" s="12">
        <f>'Income Statement'!C14/'Balance Sheet'!C12</f>
        <v/>
      </c>
      <c r="D10" s="12">
        <f>'Income Statement'!D14/'Balance Sheet'!D12</f>
        <v/>
      </c>
      <c r="E10" s="12">
        <f>'Income Statement'!E14/'Balance Sheet'!E12</f>
        <v/>
      </c>
      <c r="F10" s="12">
        <f>'Income Statement'!F14/'Balance Sheet'!F12</f>
        <v/>
      </c>
      <c r="G10" s="12">
        <f>'Income Statement'!G14/'Balance Sheet'!G12</f>
        <v/>
      </c>
      <c r="H10" s="12">
        <f>'Income Statement'!H14/'Balance Sheet'!H12</f>
        <v/>
      </c>
      <c r="I10" s="12">
        <f>'Income Statement'!I14/'Balance Sheet'!I12</f>
        <v/>
      </c>
    </row>
    <row r="11">
      <c r="A11" t="inlineStr">
        <is>
          <t>EBITDA per tonne sold (EGP)</t>
        </is>
      </c>
      <c r="D11" s="30">
        <f>'Income Statement'!D6/'Summary Financials'!D9</f>
        <v/>
      </c>
      <c r="E11" s="30">
        <f>'Income Statement'!E6/'Summary Financials'!E9</f>
        <v/>
      </c>
      <c r="F11" s="30">
        <f>'Income Statement'!F6/'Summary Financials'!F9</f>
        <v/>
      </c>
      <c r="G11" s="30">
        <f>'Income Statement'!G6/'Summary Financials'!G9</f>
        <v/>
      </c>
      <c r="H11" s="30">
        <f>'Income Statement'!H6/'Summary Financials'!H9</f>
        <v/>
      </c>
      <c r="I11" s="30">
        <f>'Income Statement'!I6/'Summary Financials'!I9</f>
        <v/>
      </c>
    </row>
    <row r="12">
      <c r="A12" t="inlineStr">
        <is>
          <t>Price / earnings (at spot)</t>
        </is>
      </c>
      <c r="B12" s="32">
        <f>Assumptions!$B$5/B5</f>
        <v/>
      </c>
      <c r="C12" s="32">
        <f>Assumptions!$B$5/C5</f>
        <v/>
      </c>
      <c r="D12" s="32">
        <f>Assumptions!$B$5/D5</f>
        <v/>
      </c>
      <c r="E12" s="32">
        <f>Assumptions!$B$5/E5</f>
        <v/>
      </c>
      <c r="F12" s="32">
        <f>Assumptions!$B$5/F5</f>
        <v/>
      </c>
      <c r="G12" s="32">
        <f>Assumptions!$B$5/G5</f>
        <v/>
      </c>
      <c r="H12" s="32">
        <f>Assumptions!$B$5/H5</f>
        <v/>
      </c>
      <c r="I12" s="32">
        <f>Assumptions!$B$5/I5</f>
        <v/>
      </c>
    </row>
    <row r="13">
      <c r="A13" t="inlineStr">
        <is>
          <t>EV / EBITDA (at spot)</t>
        </is>
      </c>
      <c r="B13" s="32">
        <f>(Assumptions!$B$5*Assumptions!$B$6-('Balance Sheet'!B7-'Balance Sheet'!B9))/'Income Statement'!B6</f>
        <v/>
      </c>
      <c r="C13" s="32">
        <f>(Assumptions!$B$5*Assumptions!$B$6-('Balance Sheet'!C7-'Balance Sheet'!C9))/'Income Statement'!C6</f>
        <v/>
      </c>
      <c r="D13" s="32">
        <f>(Assumptions!$B$5*Assumptions!$B$6-('Balance Sheet'!D7-'Balance Sheet'!D9))/'Income Statement'!D6</f>
        <v/>
      </c>
      <c r="E13" s="32">
        <f>(Assumptions!$B$5*Assumptions!$B$6-('Balance Sheet'!E7-'Balance Sheet'!E9))/'Income Statement'!E6</f>
        <v/>
      </c>
      <c r="F13" s="32">
        <f>(Assumptions!$B$5*Assumptions!$B$6-('Balance Sheet'!F7-'Balance Sheet'!F9))/'Income Statement'!F6</f>
        <v/>
      </c>
      <c r="G13" s="32">
        <f>(Assumptions!$B$5*Assumptions!$B$6-('Balance Sheet'!G7-'Balance Sheet'!G9))/'Income Statement'!G6</f>
        <v/>
      </c>
      <c r="H13" s="32">
        <f>(Assumptions!$B$5*Assumptions!$B$6-('Balance Sheet'!H7-'Balance Sheet'!H9))/'Income Statement'!H6</f>
        <v/>
      </c>
      <c r="I13" s="32">
        <f>(Assumptions!$B$5*Assumptions!$B$6-('Balance Sheet'!I7-'Balance Sheet'!I9))/'Income Statement'!I6</f>
        <v/>
      </c>
    </row>
    <row r="15">
      <c r="A15" s="5" t="inlineStr">
        <is>
          <t>Price/earnings and EV/EBITDA are struck at the current spot against each year's earnings, so the</t>
        </is>
      </c>
    </row>
    <row r="16">
      <c r="A16" s="5" t="inlineStr">
        <is>
          <t>forecast columns show what the reader is paying today for a future year — not a forecast of the multiple.</t>
        </is>
      </c>
    </row>
  </sheetData>
  <mergeCells count="2">
    <mergeCell ref="A15:J15"/>
    <mergeCell ref="A16:J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Peer set and sector structure</t>
        </is>
      </c>
      <c r="B1" s="2" t="n"/>
      <c r="C1" s="2" t="n"/>
      <c r="D1" s="2" t="n"/>
      <c r="E1" s="2" t="n"/>
      <c r="F1" s="2" t="n"/>
    </row>
    <row r="4">
      <c r="A4" s="10" t="inlineStr">
        <is>
          <t>NAMED EGYPTIAN LISTED PEER</t>
        </is>
      </c>
      <c r="B4" s="10" t="n"/>
      <c r="C4" s="10" t="n"/>
      <c r="D4" s="10" t="n"/>
      <c r="E4" s="10" t="n"/>
      <c r="F4" s="10" t="n"/>
    </row>
    <row r="5">
      <c r="A5" t="inlineStr">
        <is>
          <t>Misr Beni Suef — FY2025 net sales (EGP mn)</t>
        </is>
      </c>
      <c r="B5" s="23" t="n">
        <v>5700</v>
      </c>
    </row>
    <row r="6">
      <c r="A6" t="inlineStr">
        <is>
          <t>Misr Beni Suef — FY2025 attributable profit (EGP mn)</t>
        </is>
      </c>
      <c r="B6" s="23" t="n">
        <v>3946</v>
      </c>
    </row>
    <row r="7">
      <c r="A7" t="inlineStr">
        <is>
          <t>Misr Beni Suef — earnings per share (EGP)</t>
        </is>
      </c>
      <c r="B7" s="18" t="n">
        <v>61.25</v>
      </c>
    </row>
    <row r="8">
      <c r="A8" t="inlineStr">
        <is>
          <t>Misr Beni Suef — market capitalisation (EGP mn)</t>
        </is>
      </c>
      <c r="B8" s="23" t="n">
        <v>13730</v>
      </c>
    </row>
    <row r="9">
      <c r="A9" t="inlineStr">
        <is>
          <t>Misr Beni Suef — trailing price/earnings</t>
        </is>
      </c>
      <c r="B9" s="25" t="n">
        <v>3.48</v>
      </c>
    </row>
    <row r="10">
      <c r="A10" t="inlineStr">
        <is>
          <t>Misr Beni Suef — EV/EBITDA</t>
        </is>
      </c>
      <c r="B10" s="25" t="n">
        <v>5.03</v>
      </c>
    </row>
    <row r="11">
      <c r="A11" t="inlineStr">
        <is>
          <t>Arabian Cement — FY2025 consolidated profit (EGP mn)</t>
        </is>
      </c>
      <c r="B11" s="23" t="n">
        <v>3600</v>
      </c>
    </row>
    <row r="13">
      <c r="A13" s="10" t="inlineStr">
        <is>
          <t>EGYPTIAN SECTOR STRUCTURE</t>
        </is>
      </c>
      <c r="B13" s="10" t="n"/>
      <c r="C13" s="10" t="n"/>
      <c r="D13" s="10" t="n"/>
      <c r="E13" s="10" t="n"/>
      <c r="F13" s="10" t="n"/>
    </row>
    <row r="14">
      <c r="A14" t="inlineStr">
        <is>
          <t>Nameplate capacity (Mt/yr)</t>
        </is>
      </c>
      <c r="B14" s="21" t="n">
        <v>76</v>
      </c>
    </row>
    <row r="15">
      <c r="A15" t="inlineStr">
        <is>
          <t>Domestic consumption 2025 (Mt)</t>
        </is>
      </c>
      <c r="B15" s="21" t="n">
        <v>54</v>
      </c>
    </row>
    <row r="16">
      <c r="A16" t="inlineStr">
        <is>
          <t>Production 2025 (Mt)</t>
        </is>
      </c>
      <c r="B16" s="21" t="n">
        <v>65</v>
      </c>
    </row>
    <row r="17">
      <c r="A17" t="inlineStr">
        <is>
          <t>Exports 2025 (Mt)</t>
        </is>
      </c>
      <c r="B17" s="21" t="n">
        <v>18.5</v>
      </c>
    </row>
    <row r="18">
      <c r="A18" t="inlineStr">
        <is>
          <t>Dormant capacity under revival from 2H-2026 (Mt)</t>
        </is>
      </c>
      <c r="B18" s="21" t="n">
        <v>12.6</v>
      </c>
    </row>
    <row r="19">
      <c r="A19" t="inlineStr">
        <is>
          <t>SCEM capacity as % of Egyptian capacity</t>
        </is>
      </c>
      <c r="B19" s="12">
        <f>Assumptions!$B$12/B14</f>
        <v/>
      </c>
    </row>
    <row r="20">
      <c r="A20" t="inlineStr">
        <is>
          <t>Revival capacity as % of domestic consumption</t>
        </is>
      </c>
      <c r="B20" s="12">
        <f>B18/B15</f>
        <v/>
      </c>
    </row>
    <row r="21">
      <c r="A21" t="inlineStr">
        <is>
          <t>Structural surplus (capacity less consumption, Mt)</t>
        </is>
      </c>
      <c r="B21" s="33">
        <f>B14-B15</f>
        <v/>
      </c>
    </row>
    <row r="22">
      <c r="A22" t="inlineStr">
        <is>
          <t>SCEM EV/EBITDA at spot on FY2026E</t>
        </is>
      </c>
      <c r="B22" s="32">
        <f>'Per-Share &amp; Ratios'!E13</f>
        <v/>
      </c>
    </row>
    <row r="24">
      <c r="A24" s="5" t="inlineStr">
        <is>
          <t>The structural surplus is the whole sector case in one number: Egypt can make far more cement than</t>
        </is>
      </c>
    </row>
    <row r="25">
      <c r="A25" s="5" t="inlineStr">
        <is>
          <t>it consumes, and 12.6Mt of dormant capacity is under study for revival inside the forecast window.</t>
        </is>
      </c>
    </row>
  </sheetData>
  <mergeCells count="2">
    <mergeCell ref="A25:J25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2026-08-06T17:27:57Z</dcterms:created>
  <dcterms:modified xmlns:dcterms="http://purl.org/dc/terms/" xmlns:xsi="http://www.w3.org/2001/XMLSchema-instance" xsi:type="dcterms:W3CDTF">2026-08-06T17:27:57Z</dcterms:modified>
</cp:coreProperties>
</file>