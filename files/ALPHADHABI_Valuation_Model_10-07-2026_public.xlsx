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" sheetId="1" state="visible" r:id="rId3"/>
    <sheet name="2_Assumptions" sheetId="2" state="visible" r:id="rId4"/>
    <sheet name="3_AtAGlance" sheetId="3" state="visible" r:id="rId5"/>
    <sheet name="4_IS" sheetId="4" state="visible" r:id="rId6"/>
    <sheet name="5_BS" sheetId="5" state="visible" r:id="rId7"/>
    <sheet name="6_CF_FCFF" sheetId="6" state="visible" r:id="rId8"/>
    <sheet name="7_DCF" sheetId="7" state="visible" r:id="rId9"/>
    <sheet name="8_SOTP" sheetId="8" state="visible" r:id="rId10"/>
    <sheet name="9_Sensitivity" sheetId="9" state="visible" r:id="rId11"/>
    <sheet name="10_MC_Inputs" sheetId="10" state="visible" r:id="rId12"/>
    <sheet name="11_MC_Output" sheetId="11" state="visible" r:id="rId13"/>
    <sheet name="12_Segments" sheetId="12" state="visible" r:id="rId14"/>
    <sheet name="13_ListedMarks" sheetId="13" state="visible" r:id="rId15"/>
    <sheet name="14_Sweep_Gate" sheetId="14" state="visible" r:id="rId16"/>
    <sheet name="15_Ledger" sheetId="15" state="visible" r:id="rId17"/>
    <sheet name="16_Experts" sheetId="16" state="visible" r:id="rId18"/>
    <sheet name="17_Ratio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<sst xmlns="http://schemas.openxmlformats.org/spreadsheetml/2006/main" count="649" uniqueCount="490">
  <si>
    <t xml:space="preserve">Alpha Dhabi Holding PJSC (ADX: ALPHADHABI) — Independent Valuation Study</t>
  </si>
  <si>
    <t xml:space="preserve">Publisher</t>
  </si>
  <si>
    <t xml:space="preserve">Testahil — independent equity research (educational; not investment advice; FRA-unlicensed; no ratings or price targets)</t>
  </si>
  <si>
    <t xml:space="preserve">Anchor date</t>
  </si>
  <si>
    <t xml:space="preserve">3-Jul-2026 close (last day in the attached OHLC history)</t>
  </si>
  <si>
    <t xml:space="preserve">Spot / shares / mkt cap</t>
  </si>
  <si>
    <t xml:space="preserve">AED 8.22 · 10,000mn shares · AED 82.2bn</t>
  </si>
  <si>
    <t xml:space="preserve">Instrument class</t>
  </si>
  <si>
    <t xml:space="preserve">Investment holding company (disciplined holdco SOTP is the primary lens)</t>
  </si>
  <si>
    <t xml:space="preserve">Weighted central (12-mo, risk-adjusted)</t>
  </si>
  <si>
    <t xml:space="preserve">AED 7.30  (range 6.08–8.82)</t>
  </si>
  <si>
    <t xml:space="preserve">60-day MC band (5–95%)</t>
  </si>
  <si>
    <t xml:space="preserve">AED 6.30 – 10.93 · median 8.29</t>
  </si>
  <si>
    <t xml:space="preserve">Calibration</t>
  </si>
  <si>
    <t xml:space="preserve">Step-0 v3 walk-forward: PARITY (skill +0.006, 90% CI straddles 0, robust across block sizes 2/3/4). AE market fit is a 1-name PROVISIONAL fit.</t>
  </si>
  <si>
    <t xml:space="preserve">READ FIRST</t>
  </si>
  <si>
    <t xml:space="preserve">Distributions, not tips. All values are model outputs shown as ranges. Reported financials are the company's own audited disclosure; forward inputs are the preparer's flagged judgments. War-regime tail risk (2026 Iran conflict; ceasefire declared over 8-Jul-2026) sits beyond the calibrated Gaussian shape — see Risks.</t>
  </si>
  <si>
    <t xml:space="preserve">Assumptions — the single blue-cell input layer</t>
  </si>
  <si>
    <t xml:space="preserve">Blue = hardcoded input. Every other sheet references these cells.</t>
  </si>
  <si>
    <t xml:space="preserve">Input</t>
  </si>
  <si>
    <t xml:space="preserve">Value</t>
  </si>
  <si>
    <t xml:space="preserve">Unit</t>
  </si>
  <si>
    <t xml:space="preserve">Source / justification</t>
  </si>
  <si>
    <t xml:space="preserve">Spot (3-Jul-2026)</t>
  </si>
  <si>
    <t xml:space="preserve">AED</t>
  </si>
  <si>
    <t xml:space="preserve">Uploaded ADX OHLC, last close</t>
  </si>
  <si>
    <t xml:space="preserve">Shares outstanding</t>
  </si>
  <si>
    <t xml:space="preserve">bn</t>
  </si>
  <si>
    <t xml:space="preserve">FY25 FS: share capital AED 10,000,000k; div AED 2bn = 20 fils/sh</t>
  </si>
  <si>
    <t xml:space="preserve">FY25 revenue</t>
  </si>
  <si>
    <t xml:space="preserve">AED bn</t>
  </si>
  <si>
    <t xml:space="preserve">Audited FY2025 consolidated FS (Deloitte)</t>
  </si>
  <si>
    <t xml:space="preserve">FY25 adj. EBITDA</t>
  </si>
  <si>
    <t xml:space="preserve">FY25 results release (co-defined; excl. FV gains/one-offs)</t>
  </si>
  <si>
    <t xml:space="preserve">EBITDA margin (fcst, flat)</t>
  </si>
  <si>
    <t xml:space="preserve">%</t>
  </si>
  <si>
    <t xml:space="preserve">FY25 actual; held flat — judgment, sensitised</t>
  </si>
  <si>
    <t xml:space="preserve">Revenue growth FY26–30</t>
  </si>
  <si>
    <t xml:space="preserve">y1</t>
  </si>
  <si>
    <t xml:space="preserve">+9/8/7/6/5% — Q1-26 +8% actual; fade — judgment</t>
  </si>
  <si>
    <t xml:space="preserve">D&amp;A % revenue</t>
  </si>
  <si>
    <t xml:space="preserve">FY25 actual 3.23/78.8</t>
  </si>
  <si>
    <t xml:space="preserve">Capex % revenue (y1→y5)</t>
  </si>
  <si>
    <t xml:space="preserve">→0.055</t>
  </si>
  <si>
    <t xml:space="preserve">FY25 actual 7.1% (PP&amp;E+IP+intangibles); fading — judgment</t>
  </si>
  <si>
    <t xml:space="preserve">ΔWC % Δrevenue (y1→y5)</t>
  </si>
  <si>
    <t xml:space="preserve">→0.20</t>
  </si>
  <si>
    <t xml:space="preserve">FY25 actual ~48%; fade as Aldar collections catch backlog — THE CRUX, sensitised</t>
  </si>
  <si>
    <t xml:space="preserve">Effective tax (y1→y5)</t>
  </si>
  <si>
    <t xml:space="preserve">→0.15</t>
  </si>
  <si>
    <t xml:space="preserve">UAE CT 9% + DMTT 15% from 1-Jan-2025 (statutory); FY25 ETR 10.2%</t>
  </si>
  <si>
    <t xml:space="preserve">Risk-free (AED, long)</t>
  </si>
  <si>
    <t xml:space="preserve">UAE MoF AED T-bond priced ≤16bp over UST (Mar-26 auction, AGBI); UST10Y 4.58% cached 8-Jul-26</t>
  </si>
  <si>
    <t xml:space="preserve">ERP — rating basis</t>
  </si>
  <si>
    <t xml:space="preserve">Damodaran ORIGINAL ctryprem (Jan-2026): UAE Aa2, ERP 4.87%</t>
  </si>
  <si>
    <t xml:space="preserve">ERP — CDS basis (Abu Dhabi)</t>
  </si>
  <si>
    <t xml:space="preserve">Damodaran ORIGINAL: Abu Dhabi CDS-based 4.93% (house dual-ERP rule)</t>
  </si>
  <si>
    <t xml:space="preserve">Beta</t>
  </si>
  <si>
    <t xml:space="preserve">x</t>
  </si>
  <si>
    <t xml:space="preserve">RegressionBetaAttempt FAILED usability gate (no ADX index series this session) → default 1.0; band 0.8–1.3</t>
  </si>
  <si>
    <t xml:space="preserve">Kd (pre-tax)</t>
  </si>
  <si>
    <t xml:space="preserve">FY25 finance costs 2.14bn / avg IB debt ~35.7bn</t>
  </si>
  <si>
    <t xml:space="preserve">Gross debt FY25 (incl leases)</t>
  </si>
  <si>
    <t xml:space="preserve">DERIVED: FY24 MD&amp;A 30.1bn + audited FY25 CF flows (+10.9bn net) — Driver Ledger row</t>
  </si>
  <si>
    <t xml:space="preserve">Cash &amp; bank FY25</t>
  </si>
  <si>
    <t xml:space="preserve">Audited FY25 BS</t>
  </si>
  <si>
    <t xml:space="preserve">Terminal growth</t>
  </si>
  <si>
    <t xml:space="preserve">UAE long-run nominal proxy; sensitised 2.0–4.0%</t>
  </si>
  <si>
    <t xml:space="preserve">Parent book — owners FY25</t>
  </si>
  <si>
    <t xml:space="preserve">Audited FY25 FS: equity attributable to owners</t>
  </si>
  <si>
    <t xml:space="preserve">Carried book of the 5 marked stakes</t>
  </si>
  <si>
    <t xml:space="preserve">Preparer allocation (Driver Ledger); NAV total independent of split</t>
  </si>
  <si>
    <t xml:space="preserve">Trojan 100% — buyer-outlay basis</t>
  </si>
  <si>
    <t xml:space="preserve">ADQ 49% deal: ADH FY24 CF 4,997mn (ADQ-side ~5,043) → /0.49</t>
  </si>
  <si>
    <t xml:space="preserve">Trojan 100% — seller-note basis</t>
  </si>
  <si>
    <t xml:space="preserve">ADH FY24 disposal note: consideration 3,562mn (+1,456 NCI) → /0.49</t>
  </si>
  <si>
    <t xml:space="preserve">Holdco discount (central)</t>
  </si>
  <si>
    <t xml:space="preserve">GCC/EM controlled-holdco precedent 10–25%; judgment, sensitised 0–25%</t>
  </si>
  <si>
    <t xml:space="preserve">MC carry (60d anchor)</t>
  </si>
  <si>
    <t xml:space="preserve">3M EIBOR 3.93% (CBUAE fixings, 6-Jul-2026 via TradingEconomics)</t>
  </si>
  <si>
    <t xml:space="preserve">MC dividend q (in-window)</t>
  </si>
  <si>
    <t xml:space="preserve">No ex-date inside Jul–Sep-26 window (FY25 20f paid Q1-26; policy +5%/yr)</t>
  </si>
  <si>
    <t xml:space="preserve">MC shape ν / width_cal</t>
  </si>
  <si>
    <t xml:space="preserve">Gaussian / 1.042</t>
  </si>
  <si>
    <t xml:space="preserve">Step-0 MLE on 14 windows — AE 1-name PROVISIONAL fit</t>
  </si>
  <si>
    <t xml:space="preserve">Fwd EPS (attributable) FY26e</t>
  </si>
  <si>
    <t xml:space="preserve">0.79 FY25 +~7% — judgment</t>
  </si>
  <si>
    <t xml:space="preserve">Fair P/E band</t>
  </si>
  <si>
    <t xml:space="preserve">GCC conglomerate/holdco 8–11x</t>
  </si>
  <si>
    <t xml:space="preserve">DPS policy</t>
  </si>
  <si>
    <t xml:space="preserve">Stated: AED 2bn (20f) +5%/yr from FY2025 — FY26 ≈ 21f</t>
  </si>
  <si>
    <t xml:space="preserve">At a glance</t>
  </si>
  <si>
    <t xml:space="preserve">Metric</t>
  </si>
  <si>
    <t xml:space="preserve">FY2023</t>
  </si>
  <si>
    <t xml:space="preserve">FY2024</t>
  </si>
  <si>
    <t xml:space="preserve">FY2025</t>
  </si>
  <si>
    <t xml:space="preserve">Q1-2026</t>
  </si>
  <si>
    <t xml:space="preserve">Revenue (AED bn)</t>
  </si>
  <si>
    <t xml:space="preserve">Adj. EBITDA</t>
  </si>
  <si>
    <t xml:space="preserve">Net profit — total</t>
  </si>
  <si>
    <t xml:space="preserve">Net profit — attributable</t>
  </si>
  <si>
    <t xml:space="preserve">n/d</t>
  </si>
  <si>
    <t xml:space="preserve">EPS (AED)</t>
  </si>
  <si>
    <t xml:space="preserve">Total assets</t>
  </si>
  <si>
    <t xml:space="preserve">Owners' equity</t>
  </si>
  <si>
    <t xml:space="preserve">—</t>
  </si>
  <si>
    <t xml:space="preserve">Non-controlling interests</t>
  </si>
  <si>
    <t xml:space="preserve">Borrowings (incl leases)</t>
  </si>
  <si>
    <t xml:space="preserve">Cash &amp; bank</t>
  </si>
  <si>
    <t xml:space="preserve">Net debt</t>
  </si>
  <si>
    <t xml:space="preserve">DPS (fils)</t>
  </si>
  <si>
    <t xml:space="preserve">Income statement — 3yr historical + 5yr forecast (consolidated, AED bn)</t>
  </si>
  <si>
    <t xml:space="preserve">Line</t>
  </si>
  <si>
    <t xml:space="preserve">FY23</t>
  </si>
  <si>
    <t xml:space="preserve">FY24</t>
  </si>
  <si>
    <t xml:space="preserve">FY25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</si>
  <si>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</si>
  <si>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</si>
  <si>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</si>
  <si>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</si>
  <si>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</si>
  <si>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</t>
  </si>
  <si>
    <t xml:space="preserve">Gross profit</t>
  </si>
  <si>
    <t xml:space="preserve">EBITDA (IFRS, incl FV/one-offs)</t>
  </si>
  <si>
    <t xml:space="preserve">EBIT (adj.)</t>
  </si>
  <si>
    <t xml:space="preserve">NOPAT</t>
  </si>
  <si>
    <t xml:space="preserve">Balance sheet — condensed house layout (AED bn)</t>
  </si>
  <si>
    <t xml:space="preserve">Non-current assets</t>
  </si>
  <si>
    <t xml:space="preserve">  o/w Investment properties</t>
  </si>
  <si>
    <t xml:space="preserve">  o/w Associates &amp; JVs (PureHealth 35.06%)</t>
  </si>
  <si>
    <t xml:space="preserve">Current assets</t>
  </si>
  <si>
    <t xml:space="preserve">  o/w Cash &amp; bank</t>
  </si>
  <si>
    <t xml:space="preserve">  o/w Contract assets</t>
  </si>
  <si>
    <t xml:space="preserve">  o/w Trade &amp; other receivables</t>
  </si>
  <si>
    <t xml:space="preserve">TOTAL ASSETS</t>
  </si>
  <si>
    <t xml:space="preserve">Hybrid equity</t>
  </si>
  <si>
    <t xml:space="preserve">NCI</t>
  </si>
  <si>
    <t xml:space="preserve">Total equity</t>
  </si>
  <si>
    <t xml:space="preserve">Total liabilities</t>
  </si>
  <si>
    <t xml:space="preserve">  o/w Borrowings + sukuk + leases</t>
  </si>
  <si>
    <t xml:space="preserve">BVPS — owners (AED)</t>
  </si>
  <si>
    <t xml:space="preserve">Cash flow — FY2025 actual and the two FCF framings</t>
  </si>
  <si>
    <t xml:space="preserve">Operating cash flow (pre-interest)</t>
  </si>
  <si>
    <t xml:space="preserve">Capex (PP&amp;E + inv. property + intangibles)</t>
  </si>
  <si>
    <t xml:space="preserve">FCF (CFO − capex) — framing 1</t>
  </si>
  <si>
    <t xml:space="preserve">… of which working-capital absorption</t>
  </si>
  <si>
    <t xml:space="preserve">FCFF normalized (adds back WC absorption above fade path) — framing 2</t>
  </si>
  <si>
    <t xml:space="preserve">Dividends — parent</t>
  </si>
  <si>
    <t xml:space="preserve">Dividends — to NCI</t>
  </si>
  <si>
    <t xml:space="preserve">Net borrowings + sukuk raised</t>
  </si>
  <si>
    <t xml:space="preserve">FX / other</t>
  </si>
  <si>
    <t xml:space="preserve">Dual framing stated per house rule: cash FCF (framing 1) vs normalized FCFF (framing 2). The gap is the developer working-capital cycle.</t>
  </si>
  <si>
    <t xml:space="preserve">Consolidated FCFF DCF — full waterfall (AED bn)</t>
  </si>
  <si>
    <t xml:space="preserve">WACC &amp; drivers reference 2_Assumptions. TV dependency disclosed.</t>
  </si>
  <si>
    <t xml:space="preserve">EBITDA</t>
  </si>
  <si>
    <t xml:space="preserve">less D&amp;A</t>
  </si>
  <si>
    <t xml:space="preserve">EBIT</t>
  </si>
  <si>
    <t xml:space="preserve">add D&amp;A</t>
  </si>
  <si>
    <t xml:space="preserve">less Capex</t>
  </si>
  <si>
    <t xml:space="preserve">less ΔWC</t>
  </si>
  <si>
    <t xml:space="preserve">FCFF</t>
  </si>
  <si>
    <t xml:space="preserve">Discount factor</t>
  </si>
  <si>
    <t xml:space="preserve">PV of FCFF</t>
  </si>
  <si>
    <t xml:space="preserve">Terminal value (g=3.0%)</t>
  </si>
  <si>
    <t xml:space="preserve">PV of TV</t>
  </si>
  <si>
    <t xml:space="preserve">Enterprise value</t>
  </si>
  <si>
    <t xml:space="preserve">TV as % of EV</t>
  </si>
  <si>
    <t xml:space="preserve">less Net debt</t>
  </si>
  <si>
    <t xml:space="preserve">less Hybrid notes</t>
  </si>
  <si>
    <t xml:space="preserve">Equity (owners+NCI)</t>
  </si>
  <si>
    <t xml:space="preserve">Owners' share (attributable ratio 53.3%)</t>
  </si>
  <si>
    <t xml:space="preserve">Owners' equity value</t>
  </si>
  <si>
    <t xml:space="preserve">per share (AED)</t>
  </si>
  <si>
    <t xml:space="preserve">WACC</t>
  </si>
  <si>
    <t xml:space="preserve">Ke (rf+β·ERP, rating basis)</t>
  </si>
  <si>
    <t xml:space="preserve">Ke (CDS basis)</t>
  </si>
  <si>
    <t xml:space="preserve">Kd pre-tax</t>
  </si>
  <si>
    <t xml:space="preserve">SOTP / NAV — attributable, market marks (AED bn)</t>
  </si>
  <si>
    <t xml:space="preserve">Every value cell is a formula off 13_ListedMarks and 2_Assumptions — change an input there and this sheet reprices.</t>
  </si>
  <si>
    <t xml:space="preserve">Holding</t>
  </si>
  <si>
    <t xml:space="preserve">Stake</t>
  </si>
  <si>
    <t xml:space="preserve">Mcap / mark</t>
  </si>
  <si>
    <t xml:space="preserve">Attributable</t>
  </si>
  <si>
    <t xml:space="preserve">Source</t>
  </si>
  <si>
    <t xml:space="preserve">ALDAR</t>
  </si>
  <si>
    <t xml:space="preserve">7,862.6mn sh; ADX ~AED 8.21–8.26, 8–9 Jul-26</t>
  </si>
  <si>
    <t xml:space="preserve">NMDC</t>
  </si>
  <si>
    <t xml:space="preserve">844.4mn sh (FY25 DPS AED 1.00 = AED 844.4mn); ADX ~22.20–22.30</t>
  </si>
  <si>
    <t xml:space="preserve">PUREHEALTH</t>
  </si>
  <si>
    <t xml:space="preserve">11,111.1mn sh; ADX ~2.19–2.23, Jun–Jul-26</t>
  </si>
  <si>
    <t xml:space="preserve">NCTH</t>
  </si>
  <si>
    <t xml:space="preserve">ADX mcap ~AED 3.27bn at 1.59 (thin float; post asset-injection share count)</t>
  </si>
  <si>
    <t xml:space="preserve">Trojan Construction (51%)</t>
  </si>
  <si>
    <t xml:space="preserve">Buyer-outlay basis (ADH FY24 CF 4,997mn; ADQ-side ~5,043) → 100% ≈ 10.2bn; seller-note basis 7.27bn carried as the 9_Sensitivity stress</t>
  </si>
  <si>
    <t xml:space="preserve">Other / residual (attributable book)</t>
  </si>
  <si>
    <t xml:space="preserve">Parent book − est. carried book of the five marked stakes (est., Driver Ledger)</t>
  </si>
  <si>
    <t xml:space="preserve">GAV (attributable)</t>
  </si>
  <si>
    <t xml:space="preserve">Holdco discount</t>
  </si>
  <si>
    <t xml:space="preserve">GAV ×</t>
  </si>
  <si>
    <t xml:space="preserve">NAV/share (AED)</t>
  </si>
  <si>
    <t xml:space="preserve">low (25%)</t>
  </si>
  <si>
    <t xml:space="preserve">central (15%)</t>
  </si>
  <si>
    <t xml:space="preserve">high (0%)</t>
  </si>
  <si>
    <t xml:space="preserve">Sensitivities</t>
  </si>
  <si>
    <t xml:space="preserve">DCF /share: WACC ↓ × terminal g →</t>
  </si>
  <si>
    <t xml:space="preserve">2.0%</t>
  </si>
  <si>
    <t xml:space="preserve">2.5%</t>
  </si>
  <si>
    <t xml:space="preserve">3.0%</t>
  </si>
  <si>
    <t xml:space="preserve">3.5%</t>
  </si>
  <si>
    <t xml:space="preserve">4.0%</t>
  </si>
  <si>
    <t xml:space="preserve">7.8%</t>
  </si>
  <si>
    <t xml:space="preserve">8.2%</t>
  </si>
  <si>
    <t xml:space="preserve">8.6%</t>
  </si>
  <si>
    <t xml:space="preserve">9.0%</t>
  </si>
  <si>
    <t xml:space="preserve">9.5%</t>
  </si>
  <si>
    <t xml:space="preserve">NAV/share: discount ↓ × residual-book shift →</t>
  </si>
  <si>
    <t xml:space="preserve">−5bn</t>
  </si>
  <si>
    <t xml:space="preserve">base</t>
  </si>
  <si>
    <t xml:space="preserve">+5bn</t>
  </si>
  <si>
    <t xml:space="preserve">0%</t>
  </si>
  <si>
    <t xml:space="preserve">10%</t>
  </si>
  <si>
    <t xml:space="preserve">15%</t>
  </si>
  <si>
    <t xml:space="preserve">20%</t>
  </si>
  <si>
    <t xml:space="preserve">25%</t>
  </si>
  <si>
    <t xml:space="preserve">NAV/share: Trojan mark basis →</t>
  </si>
  <si>
    <t xml:space="preserve">buyer-outlay 10.20bn (base)</t>
  </si>
  <si>
    <t xml:space="preserve">seller-note 7.27bn</t>
  </si>
  <si>
    <t xml:space="preserve">Par (0% discount)</t>
  </si>
  <si>
    <t xml:space="preserve">15% discount (central)</t>
  </si>
  <si>
    <t xml:space="preserve">Central FV: lens-weight stress</t>
  </si>
  <si>
    <t xml:space="preserve">low</t>
  </si>
  <si>
    <t xml:space="preserve">high</t>
  </si>
  <si>
    <t xml:space="preserve">Published weights 45/15/25/15</t>
  </si>
  <si>
    <t xml:space="preserve">Monte Carlo engine — v3 carry-anchored YZ-HAR-t, AE provisional fit</t>
  </si>
  <si>
    <t xml:space="preserve">Engine</t>
  </si>
  <si>
    <t xml:space="preserve">mc_v3 (carry-anchored YZ-HAR-t) · 50,000 paths · seed 42</t>
  </si>
  <si>
    <t xml:space="preserve">Carry anchor (60d)</t>
  </si>
  <si>
    <t xml:space="preserve">3M EIBOR 3.93% (CBUAE fixings 6-Jul-26) → drift = ln(1.0393)×h/252</t>
  </si>
  <si>
    <t xml:space="preserve">Dividend q in window</t>
  </si>
  <si>
    <t xml:space="preserve">0 (no ex-date Jul–Sep-26)</t>
  </si>
  <si>
    <t xml:space="preserve">Width</t>
  </si>
  <si>
    <t xml:space="preserve">gap-aware Yang-Zhang + pooled log-HAR(1/5/22), bias-corrected, 0.8/0.2 shrink; × width_cal 1.042</t>
  </si>
  <si>
    <t xml:space="preserve">Shape</t>
  </si>
  <si>
    <t xml:space="preserve">Student-t ν → Gaussian (MLE on 14 standardized 60d residuals) — 1-name PROVISIONAL AE fit</t>
  </si>
  <si>
    <t xml:space="preserve">σ (20d / 60d, log)</t>
  </si>
  <si>
    <t xml:space="preserve">0.0962 / 0.1665</t>
  </si>
  <si>
    <t xml:space="preserve">Annualized anchor vol</t>
  </si>
  <si>
    <t xml:space="preserve">34.1%</t>
  </si>
  <si>
    <t xml:space="preserve">Lens independence</t>
  </si>
  <si>
    <t xml:space="preserve">MC drift carries ONLY the local carry; the §1 value gap is never embedded in drift.</t>
  </si>
  <si>
    <t xml:space="preserve">Break handling</t>
  </si>
  <si>
    <t xml:space="preserve">Panel restricted to ≥ Jan-2022 (UAE Mon–Fri workweek switch).</t>
  </si>
  <si>
    <t xml:space="preserve">Shape caveat</t>
  </si>
  <si>
    <t xml:space="preserve">War-regime jump risk (Feb-2026 onset; ceasefire declared over 8-Jul-26) is a tail beyond the fitted Gaussian — treat p5 as optimistic in a re-escalation.</t>
  </si>
  <si>
    <t xml:space="preserve">Monte Carlo output — percentile map, probability read, ladder</t>
  </si>
  <si>
    <t xml:space="preserve">Percentile</t>
  </si>
  <si>
    <t xml:space="preserve">T+20 (AED)</t>
  </si>
  <si>
    <t xml:space="preserve">T+60 (AED)</t>
  </si>
  <si>
    <t xml:space="preserve">vs spot (T+60)</t>
  </si>
  <si>
    <t xml:space="preserve">p5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</si>
  <si>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</si>
  <si>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</si>
  <si>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</si>
  <si>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</si>
  <si>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</si>
  <si>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p95</t>
  </si>
  <si>
    <t xml:space="preserve">Probability read (T+60)</t>
  </si>
  <si>
    <t xml:space="preserve">P</t>
  </si>
  <si>
    <t xml:space="preserve">P(finish above spot)</t>
  </si>
  <si>
    <t xml:space="preserve">P(gain &gt; +10%)</t>
  </si>
  <si>
    <t xml:space="preserve">P(within ±10% of spot)</t>
  </si>
  <si>
    <t xml:space="preserve">P(loss &gt; −10%)</t>
  </si>
  <si>
    <t xml:space="preserve">P(loss &gt; −20%)</t>
  </si>
  <si>
    <t xml:space="preserve">Level (AED)</t>
  </si>
  <si>
    <t xml:space="preserve">P(above at T+60)</t>
  </si>
  <si>
    <t xml:space="preserve">Segments (AED bn) — official disclosure</t>
  </si>
  <si>
    <t xml:space="preserve">Segment</t>
  </si>
  <si>
    <t xml:space="preserve">Rev FY24</t>
  </si>
  <si>
    <t xml:space="preserve">Rev FY25</t>
  </si>
  <si>
    <t xml:space="preserve">NP FY24</t>
  </si>
  <si>
    <t xml:space="preserve">Assets FY24</t>
  </si>
  <si>
    <t xml:space="preserve">Real Estate</t>
  </si>
  <si>
    <t xml:space="preserve">Industrial</t>
  </si>
  <si>
    <t xml:space="preserve">Construction</t>
  </si>
  <si>
    <t xml:space="preserve">Services &amp; Others</t>
  </si>
  <si>
    <t xml:space="preserve">Total</t>
  </si>
  <si>
    <t xml:space="preserve">FY25 segment NP/assets split not re-sourced (FY25 MD&amp;A segment page unavailable this session) — Sweep Register negative entry.</t>
  </si>
  <si>
    <t xml:space="preserve">The parts — listed marks and look-through multiples</t>
  </si>
  <si>
    <t xml:space="preserve">Company</t>
  </si>
  <si>
    <t xml:space="preserve">Mcap (AED bn)</t>
  </si>
  <si>
    <t xml:space="preserve">FY25 NP attrib</t>
  </si>
  <si>
    <t xml:space="preserve">P/E</t>
  </si>
  <si>
    <t xml:space="preserve">P/B (est)</t>
  </si>
  <si>
    <t xml:space="preserve">ADH stake</t>
  </si>
  <si>
    <t xml:space="preserve">ADH share of NP</t>
  </si>
  <si>
    <t xml:space="preserve">Aldar</t>
  </si>
  <si>
    <t xml:space="preserve">NMDC Group</t>
  </si>
  <si>
    <t xml:space="preserve">PureHealth</t>
  </si>
  <si>
    <t xml:space="preserve">ADH (wrapper)</t>
  </si>
  <si>
    <t xml:space="preserve">Blue mcap &amp; stake cells are the SOTP input layer — 8_SOTP references them by formula.</t>
  </si>
  <si>
    <t xml:space="preserve">Step-2A: per-driver gate and the Sweep Register</t>
  </si>
  <si>
    <t xml:space="preserve">Driver</t>
  </si>
  <si>
    <t xml:space="preserve">Build</t>
  </si>
  <si>
    <t xml:space="preserve">Justification</t>
  </si>
  <si>
    <t xml:space="preserve">Sweep ref</t>
  </si>
  <si>
    <t xml:space="preserve">Revenue growth path</t>
  </si>
  <si>
    <t xml:space="preserve">Top-down</t>
  </si>
  <si>
    <t xml:space="preserve">No numeric guidance; Q1-26 +8% actual anchors y1; Aldar 71.7bn backlog supports RE leg</t>
  </si>
  <si>
    <t xml:space="preserve">R4-01</t>
  </si>
  <si>
    <t xml:space="preserve">Adj. EBITDA margin</t>
  </si>
  <si>
    <t xml:space="preserve">FY25 22.5% held flat; mix-shift unmodelled</t>
  </si>
  <si>
    <t xml:space="preserve">R4-02</t>
  </si>
  <si>
    <t xml:space="preserve">Capex % revenue</t>
  </si>
  <si>
    <t xml:space="preserve">FY25 7.1% fading to 5.5%; no disclosed capex plan</t>
  </si>
  <si>
    <t xml:space="preserve">ΔWC % Δrevenue (crux)</t>
  </si>
  <si>
    <t xml:space="preserve">FY25 absorbed 48% of Δrev; fade to 20% as collections catch backlog — judgment, sensitised</t>
  </si>
  <si>
    <t xml:space="preserve">R4-03</t>
  </si>
  <si>
    <t xml:space="preserve">Tax</t>
  </si>
  <si>
    <t xml:space="preserve">Bottom-up</t>
  </si>
  <si>
    <t xml:space="preserve">Statutory: CT 9% + DMTT 15% from 1-Jan-2025; FY25 ETR 10.2% observed</t>
  </si>
  <si>
    <t xml:space="preserve">R2-02</t>
  </si>
  <si>
    <t xml:space="preserve">Ownership stakes</t>
  </si>
  <si>
    <t xml:space="preserve">Audited FY25 FS %s; named transactions: NMDC 66.91→76.68% (2025), NCTH consolidation (Jan-25), ADCH 49%→ADQ (2024)</t>
  </si>
  <si>
    <t xml:space="preserve">R4-04/05/06</t>
  </si>
  <si>
    <t xml:space="preserve">Listed marks</t>
  </si>
  <si>
    <t xml:space="preserve">Exchange quotes ×  audited stakes</t>
  </si>
  <si>
    <t xml:space="preserve">R4-07</t>
  </si>
  <si>
    <t xml:space="preserve">Trojan mark</t>
  </si>
  <si>
    <t xml:space="preserve">ADQ 49% deal, buyer-outlay ≈5.0bn; seller-note 3,562 — dual-framed, 9_Sensitivity stress</t>
  </si>
  <si>
    <t xml:space="preserve">R4-06</t>
  </si>
  <si>
    <t xml:space="preserve">rf / carry</t>
  </si>
  <si>
    <t xml:space="preserve">3M EIBOR 3.93% (CBUAE); AED T-bond ≤16bp over UST</t>
  </si>
  <si>
    <t xml:space="preserve">R2-03</t>
  </si>
  <si>
    <t xml:space="preserve">ERP</t>
  </si>
  <si>
    <t xml:space="preserve">Damodaran ORIGINAL Jan-26: UAE 4.87% / AbuDhabi-CDS 4.93%</t>
  </si>
  <si>
    <t xml:space="preserve">R1-02</t>
  </si>
  <si>
    <t xml:space="preserve">Regression FAILED usability gate (no ADX index series) → 1.0 default, band 0.8–1.3</t>
  </si>
  <si>
    <t xml:space="preserve">GCC/EM precedent 10–25%; spot implies a PREMIUM — the crux of §1.7</t>
  </si>
  <si>
    <t xml:space="preserve">R4-08</t>
  </si>
  <si>
    <t xml:space="preserve">Dividend path</t>
  </si>
  <si>
    <t xml:space="preserve">Stated policy: AED 2bn (20f) +5%/yr from FY2025, GA-approved 12-Jan-26</t>
  </si>
  <si>
    <t xml:space="preserve">R4-09</t>
  </si>
  <si>
    <t xml:space="preserve">Ring</t>
  </si>
  <si>
    <t xml:space="preserve">Category</t>
  </si>
  <si>
    <t xml:space="preserve">Class</t>
  </si>
  <si>
    <t xml:space="preserve">Finding (incl. negatives)</t>
  </si>
  <si>
    <t xml:space="preserve">Date</t>
  </si>
  <si>
    <t xml:space="preserve">1</t>
  </si>
  <si>
    <t xml:space="preserve">Rates/USD</t>
  </si>
  <si>
    <t xml:space="preserve">S</t>
  </si>
  <si>
    <t xml:space="preserve">Fed 3.50–3.75% post Jun-26; CBUAE mirrors (peg); 3M EIBOR 3.93%</t>
  </si>
  <si>
    <t xml:space="preserve">CBUAE via TradingEconomics</t>
  </si>
  <si>
    <t xml:space="preserve">06-Jul-26</t>
  </si>
  <si>
    <t xml:space="preserve">UAE Aa2 ERP 4.87% / Abu Dhabi CDS 4.93% (Jan-26 update)</t>
  </si>
  <si>
    <t xml:space="preserve">Damodaran original (stern.nyu.edu)</t>
  </si>
  <si>
    <t xml:space="preserve">05-Jan-26</t>
  </si>
  <si>
    <t xml:space="preserve">Commodities/oil</t>
  </si>
  <si>
    <t xml:space="preserve">Brent ~$77.5 (8-Jul) after $126 Apr peak; Hormuz war premium re-igniting</t>
  </si>
  <si>
    <t xml:space="preserve">WaPo/Axios</t>
  </si>
  <si>
    <t xml:space="preserve">08-Jul-26</t>
  </si>
  <si>
    <t xml:space="preserve">2</t>
  </si>
  <si>
    <t xml:space="preserve">War/geopolitics</t>
  </si>
  <si>
    <t xml:space="preserve">2026 Iran war from 28-Feb; Hormuz closed; ceasefire 8-Apr; MoU 17-Jun; ceasefire DECLARED OVER 8-Jul-26, new US strikes</t>
  </si>
  <si>
    <t xml:space="preserve">Britannica live/AP; Wikipedia</t>
  </si>
  <si>
    <t xml:space="preserve">09-Jul-26</t>
  </si>
  <si>
    <t xml:space="preserve">Regulatory/tax</t>
  </si>
  <si>
    <t xml:space="preserve">DMTT 15% from 1-Jan-2025 for large groups (Aldar statutory 15%); ADH tax 0.67→1.70bn</t>
  </si>
  <si>
    <t xml:space="preserve">Aldar Q4-25 release; ADH FS</t>
  </si>
  <si>
    <t xml:space="preserve">10-Feb-26</t>
  </si>
  <si>
    <t xml:space="preserve">Sovereign funding</t>
  </si>
  <si>
    <t xml:space="preserve">C</t>
  </si>
  <si>
    <t xml:space="preserve">UAE fed AED T-bond ≤16bp over UST; balanced 2026 budget</t>
  </si>
  <si>
    <t xml:space="preserve">MoF/AGBI</t>
  </si>
  <si>
    <t xml:space="preserve">Mar-26</t>
  </si>
  <si>
    <t xml:space="preserve">3</t>
  </si>
  <si>
    <t xml:space="preserve">Competition (constr.)</t>
  </si>
  <si>
    <t xml:space="preserve">Trojan = #1 UAE contractor (co.); ALEC (DFM) &amp; Orascom active; no named share-shift found</t>
  </si>
  <si>
    <t xml:space="preserve">ADH MD&amp;A; sweep</t>
  </si>
  <si>
    <t xml:space="preserve">FY24/25</t>
  </si>
  <si>
    <t xml:space="preserve">RE market</t>
  </si>
  <si>
    <t xml:space="preserve">Abu Dhabi 9M-25 deals +43% to AED 94bn; Aldar record 40.6bn sales, 71.7bn backlog; foreign buyers 77% of UAE sales — war-sensitive</t>
  </si>
  <si>
    <t xml:space="preserve">Aldar Q4-25 / The National</t>
  </si>
  <si>
    <t xml:space="preserve">09-Feb-26</t>
  </si>
  <si>
    <t xml:space="preserve">Marine/EPC</t>
  </si>
  <si>
    <t xml:space="preserve">NMDC Q1-26 EPS 0.43 vs 0.87 (normalisation + Gulf ops risk); Manila Bay AED 2.2bn win; Aramco LTA extended</t>
  </si>
  <si>
    <t xml:space="preserve">NMDC/ADH releases</t>
  </si>
  <si>
    <t xml:space="preserve">May-26</t>
  </si>
  <si>
    <t xml:space="preserve">4</t>
  </si>
  <si>
    <t xml:space="preserve">FY25 audited FS</t>
  </si>
  <si>
    <t xml:space="preserve">B</t>
  </si>
  <si>
    <t xml:space="preserve">Rev 78.78, NP 15.03 (attrib 8.01, EPS 0.79), assets 214.4, owners 60.10, NCI 42.13, cash 40.26</t>
  </si>
  <si>
    <t xml:space="preserve">Audited consolidated FS (Deloitte)</t>
  </si>
  <si>
    <t xml:space="preserve">Rev 18.79 (+8%), NP 3.80 (+81%, FV-gain driven), adjEBITDA 4.3 (+2%), assets 225.8</t>
  </si>
  <si>
    <t xml:space="preserve">Co. release 4-May-26</t>
  </si>
  <si>
    <t xml:space="preserve">04-May-26</t>
  </si>
  <si>
    <t xml:space="preserve">Stake change — NMDC</t>
  </si>
  <si>
    <t xml:space="preserve">66.91%→76.68%: AD Ports 9.77% block (82.5mn sh) for AED 1.6bn, 27-Nov-25</t>
  </si>
  <si>
    <t xml:space="preserve">ADH + AD Ports releases 27-Nov-25</t>
  </si>
  <si>
    <t xml:space="preserve">Nov-25</t>
  </si>
  <si>
    <t xml:space="preserve">Stake change — NCTH</t>
  </si>
  <si>
    <t xml:space="preserve">36.39% assoc → 73.73% subsidiary (asset-injection, Jan-25); consolidation base-reset in Hospitality</t>
  </si>
  <si>
    <t xml:space="preserve">FY25 FS; FY24 MD&amp;A subsequent events</t>
  </si>
  <si>
    <t xml:space="preserve">Jan-26/25</t>
  </si>
  <si>
    <t xml:space="preserve">Stake change — ADCH/ADQ</t>
  </si>
  <si>
    <t xml:space="preserve">49% to ADQ FY24: buyer-outlay ≈5.0bn (CF 4,997; ADQ-side ~5,043); seller-note 3,562+1,456 NCI — dual-framed</t>
  </si>
  <si>
    <t xml:space="preserve">FY24 FS (both sides); releases</t>
  </si>
  <si>
    <t xml:space="preserve">Dividend/buyback</t>
  </si>
  <si>
    <t xml:space="preserve">3-yr policy: AED 2bn (20f) +5%/yr from FY25; GA approved 12-Jan-26; buyback programme running</t>
  </si>
  <si>
    <t xml:space="preserve">FY25 release; co. site</t>
  </si>
  <si>
    <t xml:space="preserve">12-Jan-26</t>
  </si>
  <si>
    <t xml:space="preserve">35.06% associate; HHG 60% (€800m) closed; PH FY25 NP 2.0bn; PH price −30% y/y</t>
  </si>
  <si>
    <t xml:space="preserve">ADH FS; PH releases</t>
  </si>
  <si>
    <t xml:space="preserve">Borrowings note</t>
  </si>
  <si>
    <t xml:space="preserve">NEG</t>
  </si>
  <si>
    <t xml:space="preserve">FY25 borrowings note page not extractable; DERIVED 41.4bn from FY24 MD&amp;A 30.1 + audited CF flows — Driver Ledger + SF-watch</t>
  </si>
  <si>
    <t xml:space="preserve">10-Jul-26</t>
  </si>
  <si>
    <t xml:space="preserve">Q1-26 attributable split</t>
  </si>
  <si>
    <t xml:space="preserve">Interim FS not retrieved; only total NP known — flagged, re-source at next update</t>
  </si>
  <si>
    <t xml:space="preserve">Equity actions</t>
  </si>
  <si>
    <t xml:space="preserve">No split/rights/capital change in ADH shares found 2021–26; price series continuous (max daily |move| 14%)</t>
  </si>
  <si>
    <t xml:space="preserve">Price-series scan + sweep</t>
  </si>
  <si>
    <t xml:space="preserve">IHC parent</t>
  </si>
  <si>
    <t xml:space="preserve">Parent = IHC (audited FS); free float thin — % not re-sourced this session (flagged)</t>
  </si>
  <si>
    <t xml:space="preserve">FY25 FS Note 1</t>
  </si>
  <si>
    <t xml:space="preserve">Calibration Ledger rows (for publish) + Step-0 record</t>
  </si>
  <si>
    <t xml:space="preserve">ticker</t>
  </si>
  <si>
    <t xml:space="preserve">origin</t>
  </si>
  <si>
    <t xml:space="preserve">horizon_days</t>
  </si>
  <si>
    <t xml:space="preserve">spot</t>
  </si>
  <si>
    <t xml:space="preserve">anchor_vol</t>
  </si>
  <si>
    <t xml:space="preserve">engine</t>
  </si>
  <si>
    <t xml:space="preserve">tier</t>
  </si>
  <si>
    <t xml:space="preserve">ALPHADHABI</t>
  </si>
  <si>
    <t xml:space="preserve">2026-07-03</t>
  </si>
  <si>
    <t xml:space="preserve">v3 carry-anchored YZ-HAR (AE prov.)</t>
  </si>
  <si>
    <t xml:space="preserve">PARITY</t>
  </si>
  <si>
    <t xml:space="preserve">Step-0 (ledger-only; never printed in the Word study):</t>
  </si>
  <si>
    <t xml:space="preserve">14 non-overlapping 60d windows, 2023-01→2026-02 (post-workweek-break panel)</t>
  </si>
  <si>
    <t xml:space="preserve">CRPS skill +0.0062 vs carry-anchored RW; 90% CI [−0.008, +0.016] (2Q calendar blocks, 10k) → PARITY</t>
  </si>
  <si>
    <t xml:space="preserve">Robust across circular blocks L=2/3/4: all PARITY; cov90 78.6%; PIT mean 0.31 (drawdown era)</t>
  </si>
  <si>
    <t xml:space="preserve">MLE shape: ν→Gaussian, scale 1.060 → width_cal 1.042 (shrink w=0.7). ONE-NAME PROVISIONAL AE FIT —</t>
  </si>
  <si>
    <t xml:space="preserve">per house rule no AE name-level FAIL is treatable as real until a ≥3-name AE panel is fitted.</t>
  </si>
  <si>
    <t xml:space="preserve">Expert panel — three independent methods (labels only, per house rule)</t>
  </si>
  <si>
    <t xml:space="preserve">Expert</t>
  </si>
  <si>
    <t xml:space="preserve">Method</t>
  </si>
  <si>
    <t xml:space="preserve">Low</t>
  </si>
  <si>
    <t xml:space="preserve">Base</t>
  </si>
  <si>
    <t xml:space="preserve">High</t>
  </si>
  <si>
    <t xml:space="preserve">Falsification condition</t>
  </si>
  <si>
    <t xml:space="preserve">Expert 1</t>
  </si>
  <si>
    <t xml:space="preserve">Deep-value SOTP: marks-based GAV with hard 0–30% discount grid; residual book haircut</t>
  </si>
  <si>
    <t xml:space="preserve">ADH sustains &gt;12 months above undiscounted NAV on rising free float</t>
  </si>
  <si>
    <t xml:space="preserve">Expert 2</t>
  </si>
  <si>
    <t xml:space="preserve">Accountant: justified P/B ((ROAE−g)/(Ke−g)) on the cleaned book — FVTPL stripped, ROAE 10.3%, BVPS 6.01</t>
  </si>
  <si>
    <t xml:space="preserve">FV gains convert to cash 2 consecutive quarters (→ reported-ROAE basis) or a borrowings note &gt;&gt;41.4bn (→ haircut row)</t>
  </si>
  <si>
    <t xml:space="preserve">Expert 3</t>
  </si>
  <si>
    <t xml:space="preserve">Macro-Policy state tree: 35% easing+fiscal (8.20), 40% hold+DMTT glide (6.90), 25% war-fiscal stress (5.60)</t>
  </si>
  <si>
    <t xml:space="preserve">Durable ceasefire + Fed cutting → ~7.4; month-plus Hormuz closure or accelerated Pillar-Two top-ups → ~6.4</t>
  </si>
  <si>
    <t xml:space="preserve">Panel span AED 6.3–7.0 vs weighted central 7.30 — all three land below spot 8.22.</t>
  </si>
  <si>
    <t xml:space="preserve">Per-Share &amp; Ratios — the standardized dashboard</t>
  </si>
  <si>
    <t xml:space="preserve">Formulas reference 4_IS / 5_BS / 2_Assumptions; FY25 valuation rows price the 3-Jul-26 spot.</t>
  </si>
  <si>
    <t xml:space="preserve">Note</t>
  </si>
  <si>
    <t xml:space="preserve">EPS — attributable (AED)</t>
  </si>
  <si>
    <t xml:space="preserve">n/d FY23 (attributable split not in MD&amp;A summary)</t>
  </si>
  <si>
    <t xml:space="preserve">DPS (AED)</t>
  </si>
  <si>
    <t xml:space="preserve">First distribution under the FY25 policy (20 fils, paid Q1-26)</t>
  </si>
  <si>
    <t xml:space="preserve">Owners equity / 10.0bn sh</t>
  </si>
  <si>
    <t xml:space="preserve">P/E (spot / EPS)</t>
  </si>
  <si>
    <t xml:space="preserve">10.3x on FY25 — the wrapper multiple of 13_ListedMarks</t>
  </si>
  <si>
    <t xml:space="preserve">P/B (spot / BVPS)</t>
  </si>
  <si>
    <t xml:space="preserve">1.37x FY25</t>
  </si>
  <si>
    <t xml:space="preserve">Dividend yield</t>
  </si>
  <si>
    <t xml:space="preserve">2.4% at spot; policy grows 5%/yr</t>
  </si>
  <si>
    <t xml:space="preserve">FCF yield (CFO−capex / mcap)</t>
  </si>
  <si>
    <t xml:space="preserve">FY25 CFO 9.63 − capex 5.57 over mcap</t>
  </si>
  <si>
    <t xml:space="preserve">EV/EBITDA (adj.)</t>
  </si>
  <si>
    <t xml:space="preserve">EV = mcap + net debt + hybrids; adj. EBITDA 17.7</t>
  </si>
  <si>
    <t xml:space="preserve">ROAE — reported</t>
  </si>
  <si>
    <t xml:space="preserve">Attributable NP / avg owners equity — 14.3% FY25</t>
  </si>
  <si>
    <t xml:space="preserve">ROAE — cleaned (ex-FVTPL, flagged)</t>
  </si>
  <si>
    <t xml:space="preserve">Strips ~70% of the +3.15bn FVTPL as parent-level (Appendix C.2)</t>
  </si>
  <si>
    <t xml:space="preserve">ROAIC (NOPAT / avg invested capital)</t>
  </si>
  <si>
    <t xml:space="preserve">NOPAT 12.9 / avg (total equity + net debt)</t>
  </si>
  <si>
    <t xml:space="preserve">Gross margin</t>
  </si>
  <si>
    <t xml:space="preserve">22.5% FY25 held flat in the forecast</t>
  </si>
  <si>
    <t xml:space="preserve">Net margin — attributable</t>
  </si>
  <si>
    <t xml:space="preserve">Effective tax rate</t>
  </si>
  <si>
    <t xml:space="preserve">CT 9% + DMTT from 1-Jan-25; glide to 15% statutory in the DCF</t>
  </si>
  <si>
    <t xml:space="preserve">Net debt / adj. EBITDA</t>
  </si>
  <si>
    <t xml:space="preserve">0.06x FY25 — the borrowings line is derived and flagged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</si>
</sst>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#,##0.0;\(#,##0.0\);\-"/>
    <numFmt numFmtId="167" formatCode="0.000"/>
    <numFmt numFmtId="168" formatCode="0.0%"/>
    <numFmt numFmtId="169" formatCode="\+0.0%;\-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C3A36"/>
      <name val="Arial"/>
      <family val="0"/>
      <charset val="1"/>
    </font>
    <font>
      <b val="true"/>
      <sz val="10"/>
      <color rgb="FF1C3A36"/>
      <name val="Arial"/>
      <family val="0"/>
      <charset val="1"/>
    </font>
    <font>
      <sz val="10"/>
      <color rgb="FF1C3A36"/>
      <name val="Arial"/>
      <family val="0"/>
      <charset val="1"/>
    </font>
    <font>
      <i val="true"/>
      <sz val="8.5"/>
      <color rgb="FF6E7B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Cambria"/>
      <family val="0"/>
      <charset val="1"/>
    </font>
    <font>
      <i val="true"/>
      <sz val="9.5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0EE"/>
        <bgColor rgb="FFF6F1E6"/>
      </patternFill>
    </fill>
    <fill>
      <patternFill patternType="solid">
        <fgColor rgb="FF1C3A36"/>
        <bgColor rgb="FF333300"/>
      </patternFill>
    </fill>
    <fill>
      <patternFill patternType="solid">
        <fgColor rgb="FFF6F1E6"/>
        <bgColor rgb="FFEAF0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D1"/>
      </left>
      <right style="thin">
        <color rgb="FFC9D4D1"/>
      </right>
      <top style="thin">
        <color rgb="FFC9D4D1"/>
      </top>
      <bottom style="thin">
        <color rgb="FFC9D4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B77"/>
      <rgbColor rgb="FF9999FF"/>
      <rgbColor rgb="FF993366"/>
      <rgbColor rgb="FFF6F1E6"/>
      <rgbColor rgb="FFEAF0EE"/>
      <rgbColor rgb="FF660066"/>
      <rgbColor rgb="FFFF8080"/>
      <rgbColor rgb="FF0066CC"/>
      <rgbColor rgb="FFC9D4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0</v>
      </c>
    </row>
    <row r="4" customFormat="false" ht="15" hidden="false" customHeight="false" outlineLevel="0" collapsed="false">
      <c r="A4" s="2" t="s">
        <v>1</v>
      </c>
      <c r="B4" s="3" t="s">
        <v>2</v>
      </c>
    </row>
    <row r="5" customFormat="false" ht="15" hidden="false" customHeight="false" outlineLevel="0" collapsed="false">
      <c r="A5" s="2" t="s">
        <v>3</v>
      </c>
      <c r="B5" s="3" t="s">
        <v>4</v>
      </c>
    </row>
    <row r="6" customFormat="false" ht="15" hidden="false" customHeight="false" outlineLevel="0" collapsed="false">
      <c r="A6" s="2" t="s">
        <v>5</v>
      </c>
      <c r="B6" s="3" t="s">
        <v>6</v>
      </c>
    </row>
    <row r="7" customFormat="false" ht="15" hidden="false" customHeight="false" outlineLevel="0" collapsed="false">
      <c r="A7" s="2" t="s">
        <v>7</v>
      </c>
      <c r="B7" s="3" t="s">
        <v>8</v>
      </c>
    </row>
    <row r="8" customFormat="false" ht="15" hidden="false" customHeight="false" outlineLevel="0" collapsed="false">
      <c r="A8" s="2" t="s">
        <v>9</v>
      </c>
      <c r="B8" s="3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A11" s="2" t="s">
        <v>15</v>
      </c>
      <c r="B11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0"/>
  </cols>
  <sheetData>
    <row r="1" customFormat="false" ht="16.15" hidden="false" customHeight="false" outlineLevel="0" collapsed="false">
      <c r="A1" s="1" t="s">
        <v>17</v>
      </c>
    </row>
    <row r="2" customFormat="false" ht="15" hidden="false" customHeight="false" outlineLevel="0" collapsed="false">
      <c r="A2" s="4" t="s">
        <v>18</v>
      </c>
    </row>
    <row r="3" customFormat="false" ht="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</row>
    <row r="4" customFormat="false" ht="15" hidden="false" customHeight="false" outlineLevel="0" collapsed="false">
      <c r="A4" s="6" t="s">
        <v>23</v>
      </c>
      <c r="B4" s="7" t="n">
        <v>8.22</v>
      </c>
      <c r="C4" s="3" t="s">
        <v>24</v>
      </c>
      <c r="D4" s="3" t="s">
        <v>25</v>
      </c>
    </row>
    <row r="5" customFormat="false" ht="15" hidden="false" customHeight="false" outlineLevel="0" collapsed="false">
      <c r="A5" s="6" t="s">
        <v>26</v>
      </c>
      <c r="B5" s="7" t="n">
        <v>10</v>
      </c>
      <c r="C5" s="3" t="s">
        <v>27</v>
      </c>
      <c r="D5" s="3" t="s">
        <v>28</v>
      </c>
    </row>
    <row r="6" customFormat="false" ht="15" hidden="false" customHeight="false" outlineLevel="0" collapsed="false">
      <c r="A6" s="6" t="s">
        <v>29</v>
      </c>
      <c r="B6" s="7" t="n">
        <v>78.775</v>
      </c>
      <c r="C6" s="3" t="s">
        <v>30</v>
      </c>
      <c r="D6" s="3" t="s">
        <v>31</v>
      </c>
    </row>
    <row r="7" customFormat="false" ht="15" hidden="false" customHeight="false" outlineLevel="0" collapsed="false">
      <c r="A7" s="6" t="s">
        <v>32</v>
      </c>
      <c r="B7" s="7" t="n">
        <v>17.7</v>
      </c>
      <c r="C7" s="3" t="s">
        <v>30</v>
      </c>
      <c r="D7" s="3" t="s">
        <v>33</v>
      </c>
    </row>
    <row r="8" customFormat="false" ht="15" hidden="false" customHeight="false" outlineLevel="0" collapsed="false">
      <c r="A8" s="6" t="s">
        <v>34</v>
      </c>
      <c r="B8" s="7" t="n">
        <v>0.2247</v>
      </c>
      <c r="C8" s="3" t="s">
        <v>35</v>
      </c>
      <c r="D8" s="3" t="s">
        <v>36</v>
      </c>
    </row>
    <row r="9" customFormat="false" ht="15" hidden="false" customHeight="false" outlineLevel="0" collapsed="false">
      <c r="A9" s="6" t="s">
        <v>37</v>
      </c>
      <c r="B9" s="7" t="n">
        <v>0.09</v>
      </c>
      <c r="C9" s="3" t="s">
        <v>38</v>
      </c>
      <c r="D9" s="3" t="s">
        <v>39</v>
      </c>
    </row>
    <row r="10" customFormat="false" ht="15" hidden="false" customHeight="false" outlineLevel="0" collapsed="false">
      <c r="A10" s="6" t="s">
        <v>40</v>
      </c>
      <c r="B10" s="7" t="n">
        <v>0.041</v>
      </c>
      <c r="C10" s="3" t="s">
        <v>35</v>
      </c>
      <c r="D10" s="3" t="s">
        <v>41</v>
      </c>
    </row>
    <row r="11" customFormat="false" ht="15" hidden="false" customHeight="false" outlineLevel="0" collapsed="false">
      <c r="A11" s="6" t="s">
        <v>42</v>
      </c>
      <c r="B11" s="7" t="n">
        <v>0.065</v>
      </c>
      <c r="C11" s="3" t="s">
        <v>43</v>
      </c>
      <c r="D11" s="3" t="s">
        <v>44</v>
      </c>
    </row>
    <row r="12" customFormat="false" ht="15" hidden="false" customHeight="false" outlineLevel="0" collapsed="false">
      <c r="A12" s="6" t="s">
        <v>45</v>
      </c>
      <c r="B12" s="7" t="n">
        <v>0.45</v>
      </c>
      <c r="C12" s="3" t="s">
        <v>46</v>
      </c>
      <c r="D12" s="3" t="s">
        <v>47</v>
      </c>
    </row>
    <row r="13" customFormat="false" ht="15" hidden="false" customHeight="false" outlineLevel="0" collapsed="false">
      <c r="A13" s="6" t="s">
        <v>48</v>
      </c>
      <c r="B13" s="7" t="n">
        <v>0.12</v>
      </c>
      <c r="C13" s="3" t="s">
        <v>49</v>
      </c>
      <c r="D13" s="3" t="s">
        <v>50</v>
      </c>
    </row>
    <row r="14" customFormat="false" ht="15" hidden="false" customHeight="false" outlineLevel="0" collapsed="false">
      <c r="A14" s="6" t="s">
        <v>51</v>
      </c>
      <c r="B14" s="7" t="n">
        <v>0.0475</v>
      </c>
      <c r="C14" s="3" t="s">
        <v>35</v>
      </c>
      <c r="D14" s="3" t="s">
        <v>52</v>
      </c>
    </row>
    <row r="15" customFormat="false" ht="15" hidden="false" customHeight="false" outlineLevel="0" collapsed="false">
      <c r="A15" s="6" t="s">
        <v>53</v>
      </c>
      <c r="B15" s="7" t="n">
        <v>0.0487</v>
      </c>
      <c r="C15" s="3" t="s">
        <v>35</v>
      </c>
      <c r="D15" s="3" t="s">
        <v>54</v>
      </c>
    </row>
    <row r="16" customFormat="false" ht="15" hidden="false" customHeight="false" outlineLevel="0" collapsed="false">
      <c r="A16" s="6" t="s">
        <v>55</v>
      </c>
      <c r="B16" s="7" t="n">
        <v>0.0493</v>
      </c>
      <c r="C16" s="3" t="s">
        <v>35</v>
      </c>
      <c r="D16" s="3" t="s">
        <v>56</v>
      </c>
    </row>
    <row r="17" customFormat="false" ht="15" hidden="false" customHeight="false" outlineLevel="0" collapsed="false">
      <c r="A17" s="6" t="s">
        <v>57</v>
      </c>
      <c r="B17" s="7" t="n">
        <v>1</v>
      </c>
      <c r="C17" s="3" t="s">
        <v>58</v>
      </c>
      <c r="D17" s="3" t="s">
        <v>59</v>
      </c>
    </row>
    <row r="18" customFormat="false" ht="15" hidden="false" customHeight="false" outlineLevel="0" collapsed="false">
      <c r="A18" s="6" t="s">
        <v>60</v>
      </c>
      <c r="B18" s="7" t="n">
        <v>0.06</v>
      </c>
      <c r="C18" s="3" t="s">
        <v>35</v>
      </c>
      <c r="D18" s="3" t="s">
        <v>61</v>
      </c>
    </row>
    <row r="19" customFormat="false" ht="15" hidden="false" customHeight="false" outlineLevel="0" collapsed="false">
      <c r="A19" s="6" t="s">
        <v>62</v>
      </c>
      <c r="B19" s="7" t="n">
        <v>41.4</v>
      </c>
      <c r="C19" s="3" t="s">
        <v>30</v>
      </c>
      <c r="D19" s="3" t="s">
        <v>63</v>
      </c>
    </row>
    <row r="20" customFormat="false" ht="15" hidden="false" customHeight="false" outlineLevel="0" collapsed="false">
      <c r="A20" s="6" t="s">
        <v>64</v>
      </c>
      <c r="B20" s="7" t="n">
        <v>40.259</v>
      </c>
      <c r="C20" s="3" t="s">
        <v>30</v>
      </c>
      <c r="D20" s="3" t="s">
        <v>65</v>
      </c>
    </row>
    <row r="21" customFormat="false" ht="15" hidden="false" customHeight="false" outlineLevel="0" collapsed="false">
      <c r="A21" s="6" t="s">
        <v>66</v>
      </c>
      <c r="B21" s="7" t="n">
        <v>0.03</v>
      </c>
      <c r="C21" s="3" t="s">
        <v>35</v>
      </c>
      <c r="D21" s="3" t="s">
        <v>67</v>
      </c>
    </row>
    <row r="22" customFormat="false" ht="15" hidden="false" customHeight="false" outlineLevel="0" collapsed="false">
      <c r="A22" s="6" t="s">
        <v>68</v>
      </c>
      <c r="B22" s="7" t="n">
        <v>60.096</v>
      </c>
      <c r="C22" s="3" t="s">
        <v>30</v>
      </c>
      <c r="D22" s="3" t="s">
        <v>69</v>
      </c>
    </row>
    <row r="23" customFormat="false" ht="15" hidden="false" customHeight="false" outlineLevel="0" collapsed="false">
      <c r="A23" s="6" t="s">
        <v>70</v>
      </c>
      <c r="B23" s="7" t="n">
        <v>36.84</v>
      </c>
      <c r="C23" s="3" t="s">
        <v>30</v>
      </c>
      <c r="D23" s="3" t="s">
        <v>71</v>
      </c>
    </row>
    <row r="24" customFormat="false" ht="15" hidden="false" customHeight="false" outlineLevel="0" collapsed="false">
      <c r="A24" s="6" t="s">
        <v>72</v>
      </c>
      <c r="B24" s="7" t="n">
        <v>10.2</v>
      </c>
      <c r="C24" s="3" t="s">
        <v>30</v>
      </c>
      <c r="D24" s="3" t="s">
        <v>73</v>
      </c>
    </row>
    <row r="25" customFormat="false" ht="15" hidden="false" customHeight="false" outlineLevel="0" collapsed="false">
      <c r="A25" s="6" t="s">
        <v>74</v>
      </c>
      <c r="B25" s="7" t="n">
        <v>7.27</v>
      </c>
      <c r="C25" s="3" t="s">
        <v>30</v>
      </c>
      <c r="D25" s="3" t="s">
        <v>75</v>
      </c>
    </row>
    <row r="26" customFormat="false" ht="15" hidden="false" customHeight="false" outlineLevel="0" collapsed="false">
      <c r="A26" s="6" t="s">
        <v>76</v>
      </c>
      <c r="B26" s="7" t="n">
        <v>0.15</v>
      </c>
      <c r="C26" s="3" t="s">
        <v>35</v>
      </c>
      <c r="D26" s="3" t="s">
        <v>77</v>
      </c>
    </row>
    <row r="27" customFormat="false" ht="15" hidden="false" customHeight="false" outlineLevel="0" collapsed="false">
      <c r="A27" s="6" t="s">
        <v>78</v>
      </c>
      <c r="B27" s="7" t="n">
        <v>0.0393</v>
      </c>
      <c r="C27" s="3" t="s">
        <v>35</v>
      </c>
      <c r="D27" s="3" t="s">
        <v>79</v>
      </c>
    </row>
    <row r="28" customFormat="false" ht="15" hidden="false" customHeight="false" outlineLevel="0" collapsed="false">
      <c r="A28" s="6" t="s">
        <v>80</v>
      </c>
      <c r="B28" s="7" t="n">
        <v>0</v>
      </c>
      <c r="C28" s="3" t="s">
        <v>35</v>
      </c>
      <c r="D28" s="3" t="s">
        <v>81</v>
      </c>
    </row>
    <row r="29" customFormat="false" ht="15" hidden="false" customHeight="false" outlineLevel="0" collapsed="false">
      <c r="A29" s="6" t="s">
        <v>82</v>
      </c>
      <c r="B29" s="8" t="s">
        <v>83</v>
      </c>
      <c r="C29" s="3"/>
      <c r="D29" s="3" t="s">
        <v>84</v>
      </c>
    </row>
    <row r="30" customFormat="false" ht="15" hidden="false" customHeight="false" outlineLevel="0" collapsed="false">
      <c r="A30" s="6" t="s">
        <v>85</v>
      </c>
      <c r="B30" s="7" t="n">
        <v>0.85</v>
      </c>
      <c r="C30" s="3" t="s">
        <v>24</v>
      </c>
      <c r="D30" s="3" t="s">
        <v>86</v>
      </c>
    </row>
    <row r="31" customFormat="false" ht="15" hidden="false" customHeight="false" outlineLevel="0" collapsed="false">
      <c r="A31" s="6" t="s">
        <v>87</v>
      </c>
      <c r="B31" s="7" t="n">
        <v>9.5</v>
      </c>
      <c r="C31" s="3" t="s">
        <v>58</v>
      </c>
      <c r="D31" s="3" t="s">
        <v>88</v>
      </c>
    </row>
    <row r="32" customFormat="false" ht="15" hidden="false" customHeight="false" outlineLevel="0" collapsed="false">
      <c r="A32" s="6" t="s">
        <v>89</v>
      </c>
      <c r="B32" s="7" t="n">
        <v>0.21</v>
      </c>
      <c r="C32" s="3" t="s">
        <v>24</v>
      </c>
      <c r="D32" s="3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1" t="s">
        <v>91</v>
      </c>
    </row>
    <row r="3" customFormat="false" ht="15" hidden="false" customHeight="false" outlineLevel="0" collapsed="false">
      <c r="A3" s="5" t="s">
        <v>92</v>
      </c>
      <c r="B3" s="5" t="s">
        <v>93</v>
      </c>
      <c r="C3" s="5" t="s">
        <v>94</v>
      </c>
      <c r="D3" s="5" t="s">
        <v>95</v>
      </c>
      <c r="E3" s="5" t="s">
        <v>96</v>
      </c>
    </row>
    <row r="4" customFormat="false" ht="15" hidden="false" customHeight="false" outlineLevel="0" collapsed="false">
      <c r="A4" s="6" t="s">
        <v>97</v>
      </c>
      <c r="B4" s="9" t="n">
        <v>45.4</v>
      </c>
      <c r="C4" s="9" t="n">
        <v>63.396</v>
      </c>
      <c r="D4" s="9" t="n">
        <v>78.775</v>
      </c>
      <c r="E4" s="9" t="n">
        <v>18.79</v>
      </c>
    </row>
    <row r="5" customFormat="false" ht="15" hidden="false" customHeight="false" outlineLevel="0" collapsed="false">
      <c r="A5" s="6" t="s">
        <v>98</v>
      </c>
      <c r="B5" s="9" t="n">
        <v>16.5</v>
      </c>
      <c r="C5" s="9" t="n">
        <v>13.6</v>
      </c>
      <c r="D5" s="9" t="n">
        <v>17.7</v>
      </c>
      <c r="E5" s="9" t="n">
        <v>4.3</v>
      </c>
    </row>
    <row r="6" customFormat="false" ht="15" hidden="false" customHeight="false" outlineLevel="0" collapsed="false">
      <c r="A6" s="6" t="s">
        <v>99</v>
      </c>
      <c r="B6" s="9" t="n">
        <v>13.3</v>
      </c>
      <c r="C6" s="9" t="n">
        <v>13.514</v>
      </c>
      <c r="D6" s="9" t="n">
        <v>15.032</v>
      </c>
      <c r="E6" s="9" t="n">
        <v>3.8</v>
      </c>
    </row>
    <row r="7" customFormat="false" ht="15" hidden="false" customHeight="false" outlineLevel="0" collapsed="false">
      <c r="A7" s="6" t="s">
        <v>100</v>
      </c>
      <c r="B7" s="3" t="s">
        <v>101</v>
      </c>
      <c r="C7" s="9" t="n">
        <v>8.888</v>
      </c>
      <c r="D7" s="9" t="n">
        <v>8.014</v>
      </c>
      <c r="E7" s="3" t="s">
        <v>101</v>
      </c>
    </row>
    <row r="8" customFormat="false" ht="15" hidden="false" customHeight="false" outlineLevel="0" collapsed="false">
      <c r="A8" s="6" t="s">
        <v>102</v>
      </c>
      <c r="B8" s="3" t="s">
        <v>101</v>
      </c>
      <c r="C8" s="9" t="n">
        <v>0.88</v>
      </c>
      <c r="D8" s="9" t="n">
        <v>0.79</v>
      </c>
      <c r="E8" s="3" t="s">
        <v>101</v>
      </c>
    </row>
    <row r="9" customFormat="false" ht="15" hidden="false" customHeight="false" outlineLevel="0" collapsed="false">
      <c r="A9" s="6" t="s">
        <v>103</v>
      </c>
      <c r="B9" s="9" t="n">
        <v>140.4</v>
      </c>
      <c r="C9" s="9" t="n">
        <v>177.519</v>
      </c>
      <c r="D9" s="9" t="n">
        <v>214.422</v>
      </c>
      <c r="E9" s="9" t="n">
        <v>225.8</v>
      </c>
    </row>
    <row r="10" customFormat="false" ht="15" hidden="false" customHeight="false" outlineLevel="0" collapsed="false">
      <c r="A10" s="6" t="s">
        <v>104</v>
      </c>
      <c r="B10" s="9" t="n">
        <v>42</v>
      </c>
      <c r="C10" s="9" t="n">
        <v>52.286</v>
      </c>
      <c r="D10" s="9" t="n">
        <v>60.096</v>
      </c>
      <c r="E10" s="3" t="s">
        <v>105</v>
      </c>
    </row>
    <row r="11" customFormat="false" ht="15" hidden="false" customHeight="false" outlineLevel="0" collapsed="false">
      <c r="A11" s="6" t="s">
        <v>106</v>
      </c>
      <c r="B11" s="9" t="n">
        <v>32.1</v>
      </c>
      <c r="C11" s="9" t="n">
        <v>38.227</v>
      </c>
      <c r="D11" s="9" t="n">
        <v>42.13</v>
      </c>
      <c r="E11" s="3" t="s">
        <v>105</v>
      </c>
    </row>
    <row r="12" customFormat="false" ht="15" hidden="false" customHeight="false" outlineLevel="0" collapsed="false">
      <c r="A12" s="6" t="s">
        <v>107</v>
      </c>
      <c r="B12" s="9" t="n">
        <v>24.2</v>
      </c>
      <c r="C12" s="9" t="n">
        <v>30.1</v>
      </c>
      <c r="D12" s="9" t="n">
        <v>41.4</v>
      </c>
      <c r="E12" s="3" t="s">
        <v>105</v>
      </c>
    </row>
    <row r="13" customFormat="false" ht="15" hidden="false" customHeight="false" outlineLevel="0" collapsed="false">
      <c r="A13" s="6" t="s">
        <v>108</v>
      </c>
      <c r="B13" s="9" t="n">
        <v>20.2</v>
      </c>
      <c r="C13" s="9" t="n">
        <v>28.78</v>
      </c>
      <c r="D13" s="9" t="n">
        <v>40.259</v>
      </c>
      <c r="E13" s="3" t="s">
        <v>105</v>
      </c>
    </row>
    <row r="14" customFormat="false" ht="15" hidden="false" customHeight="false" outlineLevel="0" collapsed="false">
      <c r="A14" s="6" t="s">
        <v>109</v>
      </c>
      <c r="B14" s="9" t="n">
        <v>3.98</v>
      </c>
      <c r="C14" s="9" t="n">
        <v>1.3</v>
      </c>
      <c r="D14" s="9" t="n">
        <v>1.14</v>
      </c>
      <c r="E14" s="3" t="s">
        <v>105</v>
      </c>
    </row>
    <row r="15" customFormat="false" ht="15" hidden="false" customHeight="false" outlineLevel="0" collapsed="false">
      <c r="A15" s="6" t="s">
        <v>110</v>
      </c>
      <c r="B15" s="3" t="n">
        <v>0</v>
      </c>
      <c r="C15" s="3" t="n">
        <v>20</v>
      </c>
      <c r="D15" s="3" t="n">
        <v>20</v>
      </c>
      <c r="E15" s="3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2" style="0" width="11"/>
  </cols>
  <sheetData>
    <row r="1" customFormat="false" ht="16.15" hidden="false" customHeight="false" outlineLevel="0" collapsed="false">
      <c r="A1" s="1" t="s">
        <v>111</v>
      </c>
    </row>
    <row r="3" customFormat="false" ht="15" hidden="false" customHeight="false" outlineLevel="0" collapsed="false">
      <c r="A3" s="5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</row>
    <row r="4" customFormat="false" ht="15" hidden="false" customHeight="false" outlineLevel="0" collapsed="false">
      <c r="A4" s="6" t="s">
        <v>121</v>
      </c>
      <c r="B4" s="10" t="n">
        <v>45.4</v>
      </c>
      <c r="C4" s="10" t="n">
        <v>63.396</v>
      </c>
      <c r="D4" s="10" t="n">
        <v>78.775</v>
      </c>
      <c r="E4" s="10" t="n">
        <v>85.9</v>
      </c>
      <c r="F4" s="10" t="n">
        <v>92.7</v>
      </c>
      <c r="G4" s="10" t="n">
        <v>99.2</v>
      </c>
      <c r="H4" s="10" t="n">
        <v>105.2</v>
      </c>
      <c r="I4" s="10" t="n">
        <v>110.4</v>
      </c>
    </row>
    <row r="5" customFormat="false" ht="15" hidden="false" customHeight="false" outlineLevel="0" collapsed="false">
      <c r="A5" s="3" t="s">
        <v>122</v>
      </c>
      <c r="B5" s="11" t="n">
        <v>9.3</v>
      </c>
      <c r="C5" s="11" t="n">
        <v>13.436</v>
      </c>
      <c r="D5" s="11" t="n">
        <v>18.779</v>
      </c>
      <c r="E5" s="11" t="n">
        <v>21</v>
      </c>
      <c r="F5" s="11" t="n">
        <v>22.7</v>
      </c>
      <c r="G5" s="11" t="n">
        <v>24.3</v>
      </c>
      <c r="H5" s="11" t="n">
        <v>25.8</v>
      </c>
      <c r="I5" s="11" t="n">
        <v>27</v>
      </c>
    </row>
    <row r="6" customFormat="false" ht="15" hidden="false" customHeight="false" outlineLevel="0" collapsed="false">
      <c r="A6" s="6" t="s">
        <v>98</v>
      </c>
      <c r="B6" s="10" t="n">
        <v>16.5</v>
      </c>
      <c r="C6" s="10" t="n">
        <v>13.6</v>
      </c>
      <c r="D6" s="10" t="n">
        <v>17.7</v>
      </c>
      <c r="E6" s="10" t="n">
        <v>19.3</v>
      </c>
      <c r="F6" s="10" t="n">
        <v>20.8</v>
      </c>
      <c r="G6" s="10" t="n">
        <v>22.3</v>
      </c>
      <c r="H6" s="10" t="n">
        <v>23.6</v>
      </c>
      <c r="I6" s="10" t="n">
        <v>24.8</v>
      </c>
    </row>
    <row r="7" customFormat="false" ht="15" hidden="false" customHeight="false" outlineLevel="0" collapsed="false">
      <c r="A7" s="3" t="s">
        <v>123</v>
      </c>
      <c r="B7" s="11" t="n">
        <v>16.5</v>
      </c>
      <c r="C7" s="11" t="n">
        <v>17.4</v>
      </c>
      <c r="D7" s="11" t="n">
        <v>20.9</v>
      </c>
      <c r="E7" s="3" t="s">
        <v>105</v>
      </c>
      <c r="F7" s="3" t="s">
        <v>105</v>
      </c>
      <c r="G7" s="3" t="s">
        <v>105</v>
      </c>
      <c r="H7" s="3" t="s">
        <v>105</v>
      </c>
      <c r="I7" s="3" t="s">
        <v>105</v>
      </c>
    </row>
    <row r="8" customFormat="false" ht="15" hidden="false" customHeight="false" outlineLevel="0" collapsed="false">
      <c r="A8" s="3" t="s">
        <v>124</v>
      </c>
      <c r="B8" s="11" t="n">
        <v>13.4</v>
      </c>
      <c r="C8" s="11" t="n">
        <v>10.6</v>
      </c>
      <c r="D8" s="11" t="n">
        <v>14.5</v>
      </c>
      <c r="E8" s="11" t="n">
        <v>15.8</v>
      </c>
      <c r="F8" s="11" t="n">
        <v>17</v>
      </c>
      <c r="G8" s="11" t="n">
        <v>18.2</v>
      </c>
      <c r="H8" s="11" t="n">
        <v>19.3</v>
      </c>
      <c r="I8" s="11" t="n">
        <v>20.3</v>
      </c>
    </row>
    <row r="9" customFormat="false" ht="15" hidden="false" customHeight="false" outlineLevel="0" collapsed="false">
      <c r="A9" s="3" t="s">
        <v>125</v>
      </c>
      <c r="B9" s="3" t="s">
        <v>105</v>
      </c>
      <c r="C9" s="3" t="s">
        <v>105</v>
      </c>
      <c r="D9" s="11" t="n">
        <v>12.9</v>
      </c>
      <c r="E9" s="11" t="n">
        <v>13.9</v>
      </c>
      <c r="F9" s="11" t="n">
        <v>14.8</v>
      </c>
      <c r="G9" s="11" t="n">
        <v>15.7</v>
      </c>
      <c r="H9" s="11" t="n">
        <v>16.4</v>
      </c>
      <c r="I9" s="11" t="n">
        <v>17.2</v>
      </c>
    </row>
    <row r="10" customFormat="false" ht="15" hidden="false" customHeight="false" outlineLevel="0" collapsed="false">
      <c r="A10" s="6" t="s">
        <v>99</v>
      </c>
      <c r="B10" s="10" t="n">
        <v>13.3</v>
      </c>
      <c r="C10" s="10" t="n">
        <v>13.514</v>
      </c>
      <c r="D10" s="10" t="n">
        <v>15.032</v>
      </c>
      <c r="E10" s="6" t="s">
        <v>105</v>
      </c>
      <c r="F10" s="6" t="s">
        <v>105</v>
      </c>
      <c r="G10" s="6" t="s">
        <v>105</v>
      </c>
      <c r="H10" s="6" t="s">
        <v>105</v>
      </c>
      <c r="I10" s="6" t="s">
        <v>105</v>
      </c>
    </row>
    <row r="11" customFormat="false" ht="15" hidden="false" customHeight="false" outlineLevel="0" collapsed="false">
      <c r="A11" s="6" t="s">
        <v>100</v>
      </c>
      <c r="B11" s="6" t="s">
        <v>101</v>
      </c>
      <c r="C11" s="10" t="n">
        <v>8.888</v>
      </c>
      <c r="D11" s="10" t="n">
        <v>8.014</v>
      </c>
      <c r="E11" s="10" t="n">
        <v>7</v>
      </c>
      <c r="F11" s="10" t="n">
        <v>7.5</v>
      </c>
      <c r="G11" s="10" t="n">
        <v>7.9</v>
      </c>
      <c r="H11" s="10" t="n">
        <v>8.3</v>
      </c>
      <c r="I11" s="10" t="n">
        <v>8.7</v>
      </c>
    </row>
    <row r="12" customFormat="false" ht="15" hidden="false" customHeight="false" outlineLevel="0" collapsed="false">
      <c r="A12" s="3" t="s">
        <v>102</v>
      </c>
      <c r="B12" s="3" t="s">
        <v>101</v>
      </c>
      <c r="C12" s="11" t="n">
        <v>0.88</v>
      </c>
      <c r="D12" s="11" t="n">
        <v>0.79</v>
      </c>
      <c r="E12" s="11" t="n">
        <v>0.7</v>
      </c>
      <c r="F12" s="11" t="n">
        <v>0.75</v>
      </c>
      <c r="G12" s="11" t="n">
        <v>0.79</v>
      </c>
      <c r="H12" s="11" t="n">
        <v>0.83</v>
      </c>
      <c r="I12" s="11" t="n">
        <v>0.87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3"/>
  </cols>
  <sheetData>
    <row r="1" customFormat="false" ht="16.15" hidden="false" customHeight="false" outlineLevel="0" collapsed="false">
      <c r="A1" s="1" t="s">
        <v>126</v>
      </c>
    </row>
    <row r="3" customFormat="false" ht="15" hidden="false" customHeight="false" outlineLevel="0" collapsed="false">
      <c r="A3" s="5" t="s">
        <v>112</v>
      </c>
      <c r="B3" s="5" t="s">
        <v>93</v>
      </c>
      <c r="C3" s="5" t="s">
        <v>94</v>
      </c>
      <c r="D3" s="5" t="s">
        <v>95</v>
      </c>
    </row>
    <row r="4" customFormat="false" ht="15" hidden="false" customHeight="false" outlineLevel="0" collapsed="false">
      <c r="A4" s="6" t="s">
        <v>127</v>
      </c>
      <c r="B4" s="9" t="n">
        <v>66.9</v>
      </c>
      <c r="C4" s="9" t="n">
        <v>71.723</v>
      </c>
      <c r="D4" s="9" t="n">
        <v>81.342</v>
      </c>
    </row>
    <row r="5" customFormat="false" ht="15" hidden="false" customHeight="false" outlineLevel="0" collapsed="false">
      <c r="A5" s="3" t="s">
        <v>128</v>
      </c>
      <c r="B5" s="3" t="s">
        <v>101</v>
      </c>
      <c r="C5" s="9" t="n">
        <v>24.779</v>
      </c>
      <c r="D5" s="9" t="n">
        <v>29.309</v>
      </c>
    </row>
    <row r="6" customFormat="false" ht="15" hidden="false" customHeight="false" outlineLevel="0" collapsed="false">
      <c r="A6" s="3" t="s">
        <v>129</v>
      </c>
      <c r="B6" s="3" t="s">
        <v>101</v>
      </c>
      <c r="C6" s="9" t="n">
        <v>18.336</v>
      </c>
      <c r="D6" s="9" t="n">
        <v>17.415</v>
      </c>
    </row>
    <row r="7" customFormat="false" ht="15" hidden="false" customHeight="false" outlineLevel="0" collapsed="false">
      <c r="A7" s="6" t="s">
        <v>130</v>
      </c>
      <c r="B7" s="9" t="n">
        <v>73.5</v>
      </c>
      <c r="C7" s="9" t="n">
        <v>105.796</v>
      </c>
      <c r="D7" s="9" t="n">
        <v>133.079</v>
      </c>
    </row>
    <row r="8" customFormat="false" ht="15" hidden="false" customHeight="false" outlineLevel="0" collapsed="false">
      <c r="A8" s="3" t="s">
        <v>131</v>
      </c>
      <c r="B8" s="9" t="n">
        <v>20.2</v>
      </c>
      <c r="C8" s="9" t="n">
        <v>28.78</v>
      </c>
      <c r="D8" s="9" t="n">
        <v>40.259</v>
      </c>
    </row>
    <row r="9" customFormat="false" ht="15" hidden="false" customHeight="false" outlineLevel="0" collapsed="false">
      <c r="A9" s="3" t="s">
        <v>132</v>
      </c>
      <c r="B9" s="3" t="s">
        <v>101</v>
      </c>
      <c r="C9" s="9" t="n">
        <v>12.541</v>
      </c>
      <c r="D9" s="9" t="n">
        <v>19.671</v>
      </c>
    </row>
    <row r="10" customFormat="false" ht="15" hidden="false" customHeight="false" outlineLevel="0" collapsed="false">
      <c r="A10" s="3" t="s">
        <v>133</v>
      </c>
      <c r="B10" s="3" t="s">
        <v>101</v>
      </c>
      <c r="C10" s="9" t="n">
        <v>26.307</v>
      </c>
      <c r="D10" s="9" t="n">
        <v>34.796</v>
      </c>
    </row>
    <row r="11" customFormat="false" ht="15" hidden="false" customHeight="false" outlineLevel="0" collapsed="false">
      <c r="A11" s="6" t="s">
        <v>134</v>
      </c>
      <c r="B11" s="9" t="n">
        <v>140.4</v>
      </c>
      <c r="C11" s="9" t="n">
        <v>177.519</v>
      </c>
      <c r="D11" s="9" t="n">
        <v>214.422</v>
      </c>
    </row>
    <row r="12" customFormat="false" ht="15" hidden="false" customHeight="false" outlineLevel="0" collapsed="false">
      <c r="A12" s="6" t="s">
        <v>104</v>
      </c>
      <c r="B12" s="9" t="n">
        <v>42</v>
      </c>
      <c r="C12" s="9" t="n">
        <v>52.286</v>
      </c>
      <c r="D12" s="9" t="n">
        <v>60.096</v>
      </c>
    </row>
    <row r="13" customFormat="false" ht="15" hidden="false" customHeight="false" outlineLevel="0" collapsed="false">
      <c r="A13" s="6" t="s">
        <v>135</v>
      </c>
      <c r="B13" s="9" t="n">
        <v>1.8</v>
      </c>
      <c r="C13" s="9" t="n">
        <v>1.816</v>
      </c>
      <c r="D13" s="9" t="n">
        <v>1.816</v>
      </c>
    </row>
    <row r="14" customFormat="false" ht="15" hidden="false" customHeight="false" outlineLevel="0" collapsed="false">
      <c r="A14" s="6" t="s">
        <v>136</v>
      </c>
      <c r="B14" s="9" t="n">
        <v>32.1</v>
      </c>
      <c r="C14" s="9" t="n">
        <v>38.227</v>
      </c>
      <c r="D14" s="9" t="n">
        <v>42.13</v>
      </c>
    </row>
    <row r="15" customFormat="false" ht="15" hidden="false" customHeight="false" outlineLevel="0" collapsed="false">
      <c r="A15" s="6" t="s">
        <v>137</v>
      </c>
      <c r="B15" s="9" t="n">
        <v>75.9</v>
      </c>
      <c r="C15" s="9" t="n">
        <v>92.328</v>
      </c>
      <c r="D15" s="9" t="n">
        <v>104.042</v>
      </c>
    </row>
    <row r="16" customFormat="false" ht="15" hidden="false" customHeight="false" outlineLevel="0" collapsed="false">
      <c r="A16" s="6" t="s">
        <v>138</v>
      </c>
      <c r="B16" s="9" t="n">
        <v>64.3</v>
      </c>
      <c r="C16" s="9" t="n">
        <v>85.192</v>
      </c>
      <c r="D16" s="9" t="n">
        <v>110.379</v>
      </c>
    </row>
    <row r="17" customFormat="false" ht="15" hidden="false" customHeight="false" outlineLevel="0" collapsed="false">
      <c r="A17" s="3" t="s">
        <v>139</v>
      </c>
      <c r="B17" s="9" t="n">
        <v>24.2</v>
      </c>
      <c r="C17" s="9" t="n">
        <v>30.1</v>
      </c>
      <c r="D17" s="9" t="n">
        <v>41.4</v>
      </c>
    </row>
    <row r="18" customFormat="false" ht="15" hidden="false" customHeight="false" outlineLevel="0" collapsed="false">
      <c r="A18" s="6" t="s">
        <v>109</v>
      </c>
      <c r="B18" s="9" t="n">
        <v>3.98</v>
      </c>
      <c r="C18" s="9" t="n">
        <v>1.3</v>
      </c>
      <c r="D18" s="9" t="n">
        <v>1.14</v>
      </c>
    </row>
    <row r="19" customFormat="false" ht="15" hidden="false" customHeight="false" outlineLevel="0" collapsed="false">
      <c r="A19" s="6" t="s">
        <v>140</v>
      </c>
      <c r="B19" s="9" t="n">
        <v>4.2</v>
      </c>
      <c r="C19" s="9" t="n">
        <v>5.23</v>
      </c>
      <c r="D19" s="9" t="n">
        <v>6.01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</cols>
  <sheetData>
    <row r="1" customFormat="false" ht="16.15" hidden="false" customHeight="false" outlineLevel="0" collapsed="false">
      <c r="A1" s="1" t="s">
        <v>141</v>
      </c>
    </row>
    <row r="3" customFormat="false" ht="15" hidden="false" customHeight="false" outlineLevel="0" collapsed="false">
      <c r="A3" s="5" t="s">
        <v>112</v>
      </c>
      <c r="B3" s="5" t="s">
        <v>94</v>
      </c>
      <c r="C3" s="5" t="s">
        <v>95</v>
      </c>
    </row>
    <row r="4" customFormat="false" ht="15" hidden="false" customHeight="false" outlineLevel="0" collapsed="false">
      <c r="A4" s="6" t="s">
        <v>142</v>
      </c>
      <c r="B4" s="9" t="n">
        <v>10.301</v>
      </c>
      <c r="C4" s="9" t="n">
        <v>9.63</v>
      </c>
    </row>
    <row r="5" customFormat="false" ht="15" hidden="false" customHeight="false" outlineLevel="0" collapsed="false">
      <c r="A5" s="6" t="s">
        <v>143</v>
      </c>
      <c r="B5" s="9" t="n">
        <v>4.879</v>
      </c>
      <c r="C5" s="9" t="n">
        <v>5.567</v>
      </c>
    </row>
    <row r="6" customFormat="false" ht="15" hidden="false" customHeight="false" outlineLevel="0" collapsed="false">
      <c r="A6" s="6" t="s">
        <v>144</v>
      </c>
      <c r="B6" s="9" t="n">
        <v>5.423</v>
      </c>
      <c r="C6" s="9" t="n">
        <v>4.063</v>
      </c>
    </row>
    <row r="7" customFormat="false" ht="15" hidden="false" customHeight="false" outlineLevel="0" collapsed="false">
      <c r="A7" s="6" t="s">
        <v>145</v>
      </c>
      <c r="B7" s="9" t="n">
        <v>-2.326</v>
      </c>
      <c r="C7" s="9" t="n">
        <v>-7.47</v>
      </c>
    </row>
    <row r="8" customFormat="false" ht="15" hidden="false" customHeight="false" outlineLevel="0" collapsed="false">
      <c r="A8" s="6" t="s">
        <v>146</v>
      </c>
      <c r="B8" s="3" t="s">
        <v>105</v>
      </c>
      <c r="C8" s="9" t="n">
        <v>8.6</v>
      </c>
    </row>
    <row r="9" customFormat="false" ht="15" hidden="false" customHeight="false" outlineLevel="0" collapsed="false">
      <c r="A9" s="6" t="s">
        <v>147</v>
      </c>
      <c r="B9" s="9" t="n">
        <v>2</v>
      </c>
      <c r="C9" s="9" t="n">
        <v>0</v>
      </c>
    </row>
    <row r="10" customFormat="false" ht="15" hidden="false" customHeight="false" outlineLevel="0" collapsed="false">
      <c r="A10" s="6" t="s">
        <v>148</v>
      </c>
      <c r="B10" s="9" t="n">
        <v>2.056</v>
      </c>
      <c r="C10" s="9" t="n">
        <v>1.593</v>
      </c>
    </row>
    <row r="11" customFormat="false" ht="15" hidden="false" customHeight="false" outlineLevel="0" collapsed="false">
      <c r="A11" s="6" t="s">
        <v>149</v>
      </c>
      <c r="B11" s="9" t="n">
        <v>4.989</v>
      </c>
      <c r="C11" s="9" t="n">
        <v>8.332</v>
      </c>
    </row>
    <row r="12" customFormat="false" ht="15" hidden="false" customHeight="false" outlineLevel="0" collapsed="false">
      <c r="A12" s="6" t="s">
        <v>150</v>
      </c>
      <c r="B12" s="3" t="s">
        <v>105</v>
      </c>
      <c r="C12" s="9" t="n">
        <v>-0.143</v>
      </c>
    </row>
    <row r="14" customFormat="false" ht="15" hidden="false" customHeight="false" outlineLevel="0" collapsed="false">
      <c r="A14" s="1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1" t="s">
        <v>152</v>
      </c>
    </row>
    <row r="2" customFormat="false" ht="15" hidden="false" customHeight="false" outlineLevel="0" collapsed="false">
      <c r="A2" s="4" t="s">
        <v>153</v>
      </c>
    </row>
    <row r="3" customFormat="false" ht="15" hidden="false" customHeight="false" outlineLevel="0" collapsed="false">
      <c r="A3" s="5" t="s">
        <v>112</v>
      </c>
      <c r="B3" s="5" t="s">
        <v>116</v>
      </c>
      <c r="C3" s="5" t="s">
        <v>117</v>
      </c>
      <c r="D3" s="5" t="s">
        <v>118</v>
      </c>
      <c r="E3" s="5" t="s">
        <v>119</v>
      </c>
      <c r="F3" s="5" t="s">
        <v>120</v>
      </c>
    </row>
    <row r="4" customFormat="false" ht="15" hidden="false" customHeight="false" outlineLevel="0" collapsed="false">
      <c r="A4" s="6" t="s">
        <v>121</v>
      </c>
      <c r="B4" s="11" t="n">
        <v>85.865</v>
      </c>
      <c r="C4" s="11" t="n">
        <v>92.734</v>
      </c>
      <c r="D4" s="11" t="n">
        <v>99.225</v>
      </c>
      <c r="E4" s="11" t="n">
        <v>105.179</v>
      </c>
      <c r="F4" s="11" t="n">
        <v>110.438</v>
      </c>
    </row>
    <row r="5" customFormat="false" ht="15" hidden="false" customHeight="false" outlineLevel="0" collapsed="false">
      <c r="A5" s="3" t="s">
        <v>154</v>
      </c>
      <c r="B5" s="11" t="n">
        <v>19.293</v>
      </c>
      <c r="C5" s="11" t="n">
        <v>20.836</v>
      </c>
      <c r="D5" s="11" t="n">
        <v>22.295</v>
      </c>
      <c r="E5" s="11" t="n">
        <v>23.633</v>
      </c>
      <c r="F5" s="11" t="n">
        <v>24.814</v>
      </c>
    </row>
    <row r="6" customFormat="false" ht="15" hidden="false" customHeight="false" outlineLevel="0" collapsed="false">
      <c r="A6" s="3" t="s">
        <v>155</v>
      </c>
      <c r="B6" s="11" t="n">
        <v>3.52</v>
      </c>
      <c r="C6" s="11" t="n">
        <v>3.802</v>
      </c>
      <c r="D6" s="11" t="n">
        <v>4.068</v>
      </c>
      <c r="E6" s="11" t="n">
        <v>4.312</v>
      </c>
      <c r="F6" s="11" t="n">
        <v>4.528</v>
      </c>
    </row>
    <row r="7" customFormat="false" ht="15" hidden="false" customHeight="false" outlineLevel="0" collapsed="false">
      <c r="A7" s="6" t="s">
        <v>156</v>
      </c>
      <c r="B7" s="11" t="n">
        <v>15.773</v>
      </c>
      <c r="C7" s="11" t="n">
        <v>17.034</v>
      </c>
      <c r="D7" s="11" t="n">
        <v>18.227</v>
      </c>
      <c r="E7" s="11" t="n">
        <v>19.32</v>
      </c>
      <c r="F7" s="11" t="n">
        <v>20.286</v>
      </c>
    </row>
    <row r="8" customFormat="false" ht="15" hidden="false" customHeight="false" outlineLevel="0" collapsed="false">
      <c r="A8" s="3" t="s">
        <v>125</v>
      </c>
      <c r="B8" s="11" t="n">
        <v>13.88</v>
      </c>
      <c r="C8" s="11" t="n">
        <v>14.82</v>
      </c>
      <c r="D8" s="11" t="n">
        <v>15.675</v>
      </c>
      <c r="E8" s="11" t="n">
        <v>16.422</v>
      </c>
      <c r="F8" s="11" t="n">
        <v>17.243</v>
      </c>
    </row>
    <row r="9" customFormat="false" ht="15" hidden="false" customHeight="false" outlineLevel="0" collapsed="false">
      <c r="A9" s="3" t="s">
        <v>157</v>
      </c>
      <c r="B9" s="11" t="n">
        <v>3.52</v>
      </c>
      <c r="C9" s="11" t="n">
        <v>3.802</v>
      </c>
      <c r="D9" s="11" t="n">
        <v>4.068</v>
      </c>
      <c r="E9" s="11" t="n">
        <v>4.312</v>
      </c>
      <c r="F9" s="11" t="n">
        <v>4.528</v>
      </c>
    </row>
    <row r="10" customFormat="false" ht="15" hidden="false" customHeight="false" outlineLevel="0" collapsed="false">
      <c r="A10" s="3" t="s">
        <v>158</v>
      </c>
      <c r="B10" s="11" t="n">
        <v>5.581</v>
      </c>
      <c r="C10" s="11" t="n">
        <v>5.842</v>
      </c>
      <c r="D10" s="11" t="n">
        <v>5.954</v>
      </c>
      <c r="E10" s="11" t="n">
        <v>6.1</v>
      </c>
      <c r="F10" s="11" t="n">
        <v>6.074</v>
      </c>
    </row>
    <row r="11" customFormat="false" ht="15" hidden="false" customHeight="false" outlineLevel="0" collapsed="false">
      <c r="A11" s="3" t="s">
        <v>159</v>
      </c>
      <c r="B11" s="11" t="n">
        <v>3.19</v>
      </c>
      <c r="C11" s="11" t="n">
        <v>2.61</v>
      </c>
      <c r="D11" s="11" t="n">
        <v>1.947</v>
      </c>
      <c r="E11" s="11" t="n">
        <v>1.488</v>
      </c>
      <c r="F11" s="11" t="n">
        <v>1.052</v>
      </c>
    </row>
    <row r="12" customFormat="false" ht="15" hidden="false" customHeight="false" outlineLevel="0" collapsed="false">
      <c r="A12" s="6" t="s">
        <v>160</v>
      </c>
      <c r="B12" s="11" t="n">
        <v>8.629</v>
      </c>
      <c r="C12" s="11" t="n">
        <v>10.169</v>
      </c>
      <c r="D12" s="11" t="n">
        <v>11.842</v>
      </c>
      <c r="E12" s="11" t="n">
        <v>13.146</v>
      </c>
      <c r="F12" s="11" t="n">
        <v>14.646</v>
      </c>
    </row>
    <row r="13" customFormat="false" ht="15" hidden="false" customHeight="false" outlineLevel="0" collapsed="false">
      <c r="A13" s="3" t="s">
        <v>161</v>
      </c>
      <c r="B13" s="13" t="n">
        <v>0.921</v>
      </c>
      <c r="C13" s="13" t="n">
        <v>0.848</v>
      </c>
      <c r="D13" s="13" t="n">
        <v>0.78</v>
      </c>
      <c r="E13" s="13" t="n">
        <v>0.719</v>
      </c>
      <c r="F13" s="13" t="n">
        <v>0.662</v>
      </c>
    </row>
    <row r="14" customFormat="false" ht="15" hidden="false" customHeight="false" outlineLevel="0" collapsed="false">
      <c r="A14" s="6" t="s">
        <v>162</v>
      </c>
      <c r="B14" s="11" t="n">
        <v>7.944</v>
      </c>
      <c r="C14" s="11" t="n">
        <v>8.62</v>
      </c>
      <c r="D14" s="11" t="n">
        <v>9.242</v>
      </c>
      <c r="E14" s="11" t="n">
        <v>9.446</v>
      </c>
      <c r="F14" s="11" t="n">
        <v>9.689</v>
      </c>
    </row>
    <row r="16" customFormat="false" ht="15" hidden="false" customHeight="false" outlineLevel="0" collapsed="false">
      <c r="A16" s="6" t="s">
        <v>163</v>
      </c>
      <c r="B16" s="11" t="n">
        <v>268.7</v>
      </c>
    </row>
    <row r="17" customFormat="false" ht="15" hidden="false" customHeight="false" outlineLevel="0" collapsed="false">
      <c r="A17" s="6" t="s">
        <v>164</v>
      </c>
      <c r="B17" s="11" t="n">
        <v>177.7</v>
      </c>
    </row>
    <row r="18" customFormat="false" ht="15" hidden="false" customHeight="false" outlineLevel="0" collapsed="false">
      <c r="A18" s="6" t="s">
        <v>165</v>
      </c>
      <c r="B18" s="11" t="n">
        <v>222.7</v>
      </c>
    </row>
    <row r="19" customFormat="false" ht="15" hidden="false" customHeight="false" outlineLevel="0" collapsed="false">
      <c r="A19" s="6" t="s">
        <v>166</v>
      </c>
      <c r="B19" s="14" t="n">
        <v>0.798</v>
      </c>
    </row>
    <row r="20" customFormat="false" ht="15" hidden="false" customHeight="false" outlineLevel="0" collapsed="false">
      <c r="A20" s="6" t="s">
        <v>167</v>
      </c>
      <c r="B20" s="9" t="n">
        <v>1.1</v>
      </c>
    </row>
    <row r="21" customFormat="false" ht="15" hidden="false" customHeight="false" outlineLevel="0" collapsed="false">
      <c r="A21" s="6" t="s">
        <v>168</v>
      </c>
      <c r="B21" s="9" t="n">
        <v>1.816</v>
      </c>
    </row>
    <row r="22" customFormat="false" ht="15" hidden="false" customHeight="false" outlineLevel="0" collapsed="false">
      <c r="A22" s="6" t="s">
        <v>169</v>
      </c>
      <c r="B22" s="11" t="n">
        <v>219.8</v>
      </c>
    </row>
    <row r="23" customFormat="false" ht="15" hidden="false" customHeight="false" outlineLevel="0" collapsed="false">
      <c r="A23" s="6" t="s">
        <v>170</v>
      </c>
      <c r="B23" s="14" t="n">
        <v>0.5331</v>
      </c>
    </row>
    <row r="24" customFormat="false" ht="15" hidden="false" customHeight="false" outlineLevel="0" collapsed="false">
      <c r="A24" s="6" t="s">
        <v>171</v>
      </c>
      <c r="B24" s="11" t="n">
        <v>117.2</v>
      </c>
    </row>
    <row r="25" customFormat="false" ht="15" hidden="false" customHeight="false" outlineLevel="0" collapsed="false">
      <c r="A25" s="15" t="s">
        <v>172</v>
      </c>
      <c r="B25" s="9" t="n">
        <v>11.72</v>
      </c>
    </row>
    <row r="26" customFormat="false" ht="15" hidden="false" customHeight="false" outlineLevel="0" collapsed="false">
      <c r="A26" s="6" t="s">
        <v>173</v>
      </c>
      <c r="B26" s="14" t="n">
        <v>0.0861</v>
      </c>
    </row>
    <row r="27" customFormat="false" ht="15" hidden="false" customHeight="false" outlineLevel="0" collapsed="false">
      <c r="A27" s="6" t="s">
        <v>174</v>
      </c>
      <c r="B27" s="14" t="n">
        <v>0.0962</v>
      </c>
    </row>
    <row r="28" customFormat="false" ht="15" hidden="false" customHeight="false" outlineLevel="0" collapsed="false">
      <c r="A28" s="6" t="s">
        <v>175</v>
      </c>
      <c r="B28" s="14" t="n">
        <v>0.0968</v>
      </c>
    </row>
    <row r="29" customFormat="false" ht="15" hidden="false" customHeight="false" outlineLevel="0" collapsed="false">
      <c r="A29" s="6" t="s">
        <v>176</v>
      </c>
      <c r="B29" s="14" t="n">
        <v>0.06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80"/>
  </cols>
  <sheetData>
    <row r="1" customFormat="false" ht="16.1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4" t="s">
        <v>178</v>
      </c>
    </row>
    <row r="3" customFormat="false" ht="15" hidden="false" customHeight="false" outlineLevel="0" collapsed="false">
      <c r="A3" s="5" t="s">
        <v>179</v>
      </c>
      <c r="B3" s="5" t="s">
        <v>180</v>
      </c>
      <c r="C3" s="5" t="s">
        <v>181</v>
      </c>
      <c r="D3" s="5" t="s">
        <v>182</v>
      </c>
      <c r="E3" s="5" t="s">
        <v>183</v>
      </c>
    </row>
    <row r="4" customFormat="false" ht="15" hidden="false" customHeight="false" outlineLevel="0" collapsed="false">
      <c r="A4" s="6" t="s">
        <v>184</v>
      </c>
      <c r="B4" s="14" t="n">
        <f aca="false">13_ListedMarks!F4</f>
        <v>0.3163</v>
      </c>
      <c r="C4" s="11" t="n">
        <f aca="false">13_ListedMarks!B4</f>
        <v>64.87</v>
      </c>
      <c r="D4" s="11" t="n">
        <f aca="false">C4*B4</f>
        <v>20.518381</v>
      </c>
      <c r="E4" s="3" t="s">
        <v>185</v>
      </c>
    </row>
    <row r="5" customFormat="false" ht="15" hidden="false" customHeight="false" outlineLevel="0" collapsed="false">
      <c r="A5" s="6" t="s">
        <v>186</v>
      </c>
      <c r="B5" s="14" t="n">
        <f aca="false">13_ListedMarks!F5</f>
        <v>0.7668</v>
      </c>
      <c r="C5" s="11" t="n">
        <f aca="false">13_ListedMarks!B5</f>
        <v>18.79</v>
      </c>
      <c r="D5" s="11" t="n">
        <f aca="false">C5*B5</f>
        <v>14.408172</v>
      </c>
      <c r="E5" s="3" t="s">
        <v>187</v>
      </c>
    </row>
    <row r="6" customFormat="false" ht="15" hidden="false" customHeight="false" outlineLevel="0" collapsed="false">
      <c r="A6" s="6" t="s">
        <v>188</v>
      </c>
      <c r="B6" s="14" t="n">
        <f aca="false">13_ListedMarks!F6</f>
        <v>0.3506</v>
      </c>
      <c r="C6" s="11" t="n">
        <f aca="false">13_ListedMarks!B6</f>
        <v>24.56</v>
      </c>
      <c r="D6" s="11" t="n">
        <f aca="false">C6*B6</f>
        <v>8.610736</v>
      </c>
      <c r="E6" s="3" t="s">
        <v>189</v>
      </c>
    </row>
    <row r="7" customFormat="false" ht="15" hidden="false" customHeight="false" outlineLevel="0" collapsed="false">
      <c r="A7" s="6" t="s">
        <v>190</v>
      </c>
      <c r="B7" s="14" t="n">
        <f aca="false">13_ListedMarks!F7</f>
        <v>0.7373</v>
      </c>
      <c r="C7" s="11" t="n">
        <f aca="false">13_ListedMarks!B7</f>
        <v>3.27</v>
      </c>
      <c r="D7" s="11" t="n">
        <f aca="false">C7*B7</f>
        <v>2.410971</v>
      </c>
      <c r="E7" s="3" t="s">
        <v>191</v>
      </c>
    </row>
    <row r="8" customFormat="false" ht="15" hidden="false" customHeight="false" outlineLevel="0" collapsed="false">
      <c r="A8" s="6" t="s">
        <v>192</v>
      </c>
      <c r="B8" s="14" t="n">
        <v>0.51</v>
      </c>
      <c r="C8" s="11" t="n">
        <f aca="false">2_Assumptions!B24</f>
        <v>10.2</v>
      </c>
      <c r="D8" s="11" t="n">
        <f aca="false">C8*B8</f>
        <v>5.202</v>
      </c>
      <c r="E8" s="3" t="s">
        <v>193</v>
      </c>
    </row>
    <row r="9" customFormat="false" ht="15" hidden="false" customHeight="false" outlineLevel="0" collapsed="false">
      <c r="A9" s="6" t="s">
        <v>194</v>
      </c>
      <c r="D9" s="11" t="n">
        <f aca="false">2_Assumptions!B22-2_Assumptions!B23</f>
        <v>23.256</v>
      </c>
      <c r="E9" s="3" t="s">
        <v>195</v>
      </c>
    </row>
    <row r="10" customFormat="false" ht="15" hidden="false" customHeight="false" outlineLevel="0" collapsed="false">
      <c r="A10" s="15" t="s">
        <v>196</v>
      </c>
      <c r="D10" s="10" t="n">
        <f aca="false">SUM(D4:D9)</f>
        <v>74.40626</v>
      </c>
    </row>
    <row r="12" customFormat="false" ht="15" hidden="false" customHeight="false" outlineLevel="0" collapsed="false">
      <c r="A12" s="5" t="s">
        <v>197</v>
      </c>
      <c r="B12" s="5" t="s">
        <v>198</v>
      </c>
      <c r="C12" s="5" t="s">
        <v>199</v>
      </c>
    </row>
    <row r="13" customFormat="false" ht="15" hidden="false" customHeight="false" outlineLevel="0" collapsed="false">
      <c r="A13" s="3" t="s">
        <v>200</v>
      </c>
      <c r="B13" s="11" t="n">
        <f aca="false">D10*(1-0.25)</f>
        <v>55.804695</v>
      </c>
      <c r="C13" s="9" t="n">
        <f aca="false">B13/2_Assumptions!B5</f>
        <v>5.5804695</v>
      </c>
    </row>
    <row r="14" customFormat="false" ht="15" hidden="false" customHeight="false" outlineLevel="0" collapsed="false">
      <c r="A14" s="3" t="s">
        <v>201</v>
      </c>
      <c r="B14" s="11" t="n">
        <f aca="false">D10*(1-0.15)</f>
        <v>63.245321</v>
      </c>
      <c r="C14" s="16" t="n">
        <f aca="false">B14/2_Assumptions!B5</f>
        <v>6.3245321</v>
      </c>
    </row>
    <row r="15" customFormat="false" ht="15" hidden="false" customHeight="false" outlineLevel="0" collapsed="false">
      <c r="A15" s="3" t="s">
        <v>202</v>
      </c>
      <c r="B15" s="11" t="n">
        <f aca="false">D10*(1-0)</f>
        <v>74.40626</v>
      </c>
      <c r="C15" s="9" t="n">
        <f aca="false">B15/2_Assumptions!B5</f>
        <v>7.440626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0"/>
  </cols>
  <sheetData>
    <row r="1" customFormat="false" ht="16.15" hidden="false" customHeight="false" outlineLevel="0" collapsed="false">
      <c r="A1" s="1" t="s">
        <v>203</v>
      </c>
    </row>
    <row r="3" customFormat="false" ht="15" hidden="false" customHeight="false" outlineLevel="0" collapsed="false">
      <c r="A3" s="5" t="s">
        <v>204</v>
      </c>
      <c r="B3" s="5" t="s">
        <v>205</v>
      </c>
      <c r="C3" s="5" t="s">
        <v>206</v>
      </c>
      <c r="D3" s="5" t="s">
        <v>207</v>
      </c>
      <c r="E3" s="5" t="s">
        <v>208</v>
      </c>
      <c r="F3" s="5" t="s">
        <v>209</v>
      </c>
    </row>
    <row r="4" customFormat="false" ht="15" hidden="false" customHeight="false" outlineLevel="0" collapsed="false">
      <c r="A4" s="6" t="s">
        <v>210</v>
      </c>
      <c r="B4" s="9" t="n">
        <v>11.73</v>
      </c>
      <c r="C4" s="9" t="n">
        <v>12.67</v>
      </c>
      <c r="D4" s="9" t="n">
        <v>13.81</v>
      </c>
      <c r="E4" s="9" t="n">
        <v>15.21</v>
      </c>
      <c r="F4" s="9" t="n">
        <v>16.98</v>
      </c>
    </row>
    <row r="5" customFormat="false" ht="15" hidden="false" customHeight="false" outlineLevel="0" collapsed="false">
      <c r="A5" s="6" t="s">
        <v>211</v>
      </c>
      <c r="B5" s="9" t="n">
        <v>10.93</v>
      </c>
      <c r="C5" s="9" t="n">
        <v>11.74</v>
      </c>
      <c r="D5" s="9" t="n">
        <v>12.7</v>
      </c>
      <c r="E5" s="9" t="n">
        <v>13.86</v>
      </c>
      <c r="F5" s="9" t="n">
        <v>15.31</v>
      </c>
    </row>
    <row r="6" customFormat="false" ht="15" hidden="false" customHeight="false" outlineLevel="0" collapsed="false">
      <c r="A6" s="6" t="s">
        <v>212</v>
      </c>
      <c r="B6" s="9" t="n">
        <v>10.23</v>
      </c>
      <c r="C6" s="9" t="n">
        <v>10.93</v>
      </c>
      <c r="D6" s="9" t="n">
        <v>11.75</v>
      </c>
      <c r="E6" s="9" t="n">
        <v>12.73</v>
      </c>
      <c r="F6" s="9" t="n">
        <v>13.93</v>
      </c>
    </row>
    <row r="7" customFormat="false" ht="15" hidden="false" customHeight="false" outlineLevel="0" collapsed="false">
      <c r="A7" s="6" t="s">
        <v>213</v>
      </c>
      <c r="B7" s="9" t="n">
        <v>9.61</v>
      </c>
      <c r="C7" s="9" t="n">
        <v>10.22</v>
      </c>
      <c r="D7" s="9" t="n">
        <v>10.93</v>
      </c>
      <c r="E7" s="9" t="n">
        <v>11.76</v>
      </c>
      <c r="F7" s="9" t="n">
        <v>12.77</v>
      </c>
    </row>
    <row r="8" customFormat="false" ht="15" hidden="false" customHeight="false" outlineLevel="0" collapsed="false">
      <c r="A8" s="6" t="s">
        <v>214</v>
      </c>
      <c r="B8" s="9" t="n">
        <v>8.93</v>
      </c>
      <c r="C8" s="9" t="n">
        <v>9.44</v>
      </c>
      <c r="D8" s="9" t="n">
        <v>10.04</v>
      </c>
      <c r="E8" s="9" t="n">
        <v>10.74</v>
      </c>
      <c r="F8" s="9" t="n">
        <v>11.56</v>
      </c>
    </row>
    <row r="11" customFormat="false" ht="15" hidden="false" customHeight="false" outlineLevel="0" collapsed="false">
      <c r="A11" s="5" t="s">
        <v>215</v>
      </c>
      <c r="B11" s="5" t="s">
        <v>216</v>
      </c>
      <c r="C11" s="5" t="s">
        <v>217</v>
      </c>
      <c r="D11" s="5" t="s">
        <v>218</v>
      </c>
    </row>
    <row r="12" customFormat="false" ht="15" hidden="false" customHeight="false" outlineLevel="0" collapsed="false">
      <c r="A12" s="6" t="s">
        <v>219</v>
      </c>
      <c r="B12" s="9" t="n">
        <v>6.94</v>
      </c>
      <c r="C12" s="9" t="n">
        <v>7.44</v>
      </c>
      <c r="D12" s="9" t="n">
        <v>7.94</v>
      </c>
    </row>
    <row r="13" customFormat="false" ht="15" hidden="false" customHeight="false" outlineLevel="0" collapsed="false">
      <c r="A13" s="6" t="s">
        <v>220</v>
      </c>
      <c r="B13" s="9" t="n">
        <v>6.246</v>
      </c>
      <c r="C13" s="9" t="n">
        <v>6.696</v>
      </c>
      <c r="D13" s="9" t="n">
        <v>7.146</v>
      </c>
    </row>
    <row r="14" customFormat="false" ht="15" hidden="false" customHeight="false" outlineLevel="0" collapsed="false">
      <c r="A14" s="6" t="s">
        <v>221</v>
      </c>
      <c r="B14" s="9" t="n">
        <v>5.899</v>
      </c>
      <c r="C14" s="9" t="n">
        <v>6.324</v>
      </c>
      <c r="D14" s="9" t="n">
        <v>6.749</v>
      </c>
    </row>
    <row r="15" customFormat="false" ht="15" hidden="false" customHeight="false" outlineLevel="0" collapsed="false">
      <c r="A15" s="6" t="s">
        <v>222</v>
      </c>
      <c r="B15" s="9" t="n">
        <v>5.552</v>
      </c>
      <c r="C15" s="9" t="n">
        <v>5.952</v>
      </c>
      <c r="D15" s="9" t="n">
        <v>6.352</v>
      </c>
    </row>
    <row r="16" customFormat="false" ht="15" hidden="false" customHeight="false" outlineLevel="0" collapsed="false">
      <c r="A16" s="6" t="s">
        <v>223</v>
      </c>
      <c r="B16" s="9" t="n">
        <v>5.205</v>
      </c>
      <c r="C16" s="9" t="n">
        <v>5.58</v>
      </c>
      <c r="D16" s="9" t="n">
        <v>5.955</v>
      </c>
    </row>
    <row r="18" customFormat="false" ht="15" hidden="false" customHeight="false" outlineLevel="0" collapsed="false">
      <c r="A18" s="5" t="s">
        <v>224</v>
      </c>
      <c r="B18" s="5" t="s">
        <v>225</v>
      </c>
      <c r="C18" s="5" t="s">
        <v>226</v>
      </c>
    </row>
    <row r="19" customFormat="false" ht="15" hidden="false" customHeight="false" outlineLevel="0" collapsed="false">
      <c r="A19" s="6" t="s">
        <v>227</v>
      </c>
      <c r="B19" s="9" t="n">
        <v>7.44</v>
      </c>
      <c r="C19" s="9" t="n">
        <v>7.29</v>
      </c>
    </row>
    <row r="20" customFormat="false" ht="15" hidden="false" customHeight="false" outlineLevel="0" collapsed="false">
      <c r="A20" s="6" t="s">
        <v>228</v>
      </c>
      <c r="B20" s="9" t="n">
        <v>6.32</v>
      </c>
      <c r="C20" s="9" t="n">
        <v>6.2</v>
      </c>
    </row>
    <row r="22" customFormat="false" ht="15" hidden="false" customHeight="false" outlineLevel="0" collapsed="false">
      <c r="A22" s="5" t="s">
        <v>229</v>
      </c>
      <c r="B22" s="5" t="s">
        <v>230</v>
      </c>
      <c r="C22" s="5" t="s">
        <v>217</v>
      </c>
      <c r="D22" s="5" t="s">
        <v>231</v>
      </c>
    </row>
    <row r="23" customFormat="false" ht="15" hidden="false" customHeight="false" outlineLevel="0" collapsed="false">
      <c r="A23" s="6" t="s">
        <v>232</v>
      </c>
      <c r="B23" s="9" t="n">
        <v>6.08</v>
      </c>
      <c r="C23" s="9" t="n">
        <v>7.3</v>
      </c>
      <c r="D23" s="9" t="n">
        <v>8.82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233</v>
      </c>
    </row>
    <row r="3" customFormat="false" ht="15" hidden="false" customHeight="false" outlineLevel="0" collapsed="false">
      <c r="A3" s="2" t="s">
        <v>234</v>
      </c>
      <c r="B3" s="3" t="s">
        <v>235</v>
      </c>
    </row>
    <row r="4" customFormat="false" ht="15" hidden="false" customHeight="false" outlineLevel="0" collapsed="false">
      <c r="A4" s="2" t="s">
        <v>236</v>
      </c>
      <c r="B4" s="3" t="s">
        <v>237</v>
      </c>
    </row>
    <row r="5" customFormat="false" ht="15" hidden="false" customHeight="false" outlineLevel="0" collapsed="false">
      <c r="A5" s="2" t="s">
        <v>238</v>
      </c>
      <c r="B5" s="3" t="s">
        <v>239</v>
      </c>
    </row>
    <row r="6" customFormat="false" ht="15" hidden="false" customHeight="false" outlineLevel="0" collapsed="false">
      <c r="A6" s="2" t="s">
        <v>240</v>
      </c>
      <c r="B6" s="3" t="s">
        <v>241</v>
      </c>
    </row>
    <row r="7" customFormat="false" ht="15" hidden="false" customHeight="false" outlineLevel="0" collapsed="false">
      <c r="A7" s="2" t="s">
        <v>242</v>
      </c>
      <c r="B7" s="3" t="s">
        <v>243</v>
      </c>
    </row>
    <row r="8" customFormat="false" ht="15" hidden="false" customHeight="false" outlineLevel="0" collapsed="false">
      <c r="A8" s="2" t="s">
        <v>244</v>
      </c>
      <c r="B8" s="3" t="s">
        <v>245</v>
      </c>
    </row>
    <row r="9" customFormat="false" ht="15" hidden="false" customHeight="false" outlineLevel="0" collapsed="false">
      <c r="A9" s="2" t="s">
        <v>246</v>
      </c>
      <c r="B9" s="3" t="s">
        <v>247</v>
      </c>
    </row>
    <row r="10" customFormat="false" ht="15" hidden="false" customHeight="false" outlineLevel="0" collapsed="false">
      <c r="A10" s="2" t="s">
        <v>248</v>
      </c>
      <c r="B10" s="3" t="s">
        <v>249</v>
      </c>
    </row>
    <row r="11" customFormat="false" ht="15" hidden="false" customHeight="false" outlineLevel="0" collapsed="false">
      <c r="A11" s="2" t="s">
        <v>250</v>
      </c>
      <c r="B11" s="3" t="s">
        <v>251</v>
      </c>
    </row>
    <row r="12" customFormat="false" ht="15" hidden="false" customHeight="false" outlineLevel="0" collapsed="false">
      <c r="A12" s="2" t="s">
        <v>252</v>
      </c>
      <c r="B12" s="3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6.15" hidden="false" customHeight="false" outlineLevel="0" collapsed="false">
      <c r="A1" s="1" t="s">
        <v>254</v>
      </c>
    </row>
    <row r="3" customFormat="false" ht="15" hidden="false" customHeight="false" outlineLevel="0" collapsed="false">
      <c r="A3" s="5" t="s">
        <v>255</v>
      </c>
      <c r="B3" s="5" t="s">
        <v>256</v>
      </c>
      <c r="C3" s="5" t="s">
        <v>257</v>
      </c>
      <c r="D3" s="5" t="s">
        <v>258</v>
      </c>
    </row>
    <row r="4" customFormat="false" ht="15" hidden="false" customHeight="false" outlineLevel="0" collapsed="false">
      <c r="A4" s="6" t="s">
        <v>259</v>
      </c>
      <c r="B4" s="9" t="n">
        <v>7.03606581913957</v>
      </c>
      <c r="C4" s="9" t="n">
        <v>6.3033355634558</v>
      </c>
      <c r="D4" s="17" t="n">
        <v>-0.233170856027275</v>
      </c>
    </row>
    <row r="5" customFormat="false" ht="15" hidden="false" customHeight="false" outlineLevel="0" collapsed="false">
      <c r="A5" s="6" t="s">
        <v>260</v>
      </c>
      <c r="B5" s="9" t="n">
        <v>7.28533889855946</v>
      </c>
      <c r="C5" s="9" t="n">
        <v>6.69512674711483</v>
      </c>
      <c r="D5" s="17" t="n">
        <v>-0.185507694998196</v>
      </c>
    </row>
    <row r="6" customFormat="false" ht="15" hidden="false" customHeight="false" outlineLevel="0" collapsed="false">
      <c r="A6" s="6" t="s">
        <v>261</v>
      </c>
      <c r="B6" s="9" t="n">
        <v>7.72799675780632</v>
      </c>
      <c r="C6" s="9" t="n">
        <v>7.41530548055432</v>
      </c>
      <c r="D6" s="17" t="n">
        <v>-0.0978947103948515</v>
      </c>
    </row>
    <row r="7" customFormat="false" ht="15" hidden="false" customHeight="false" outlineLevel="0" collapsed="false">
      <c r="A7" s="6" t="s">
        <v>262</v>
      </c>
      <c r="B7" s="9" t="n">
        <v>8.2410031367216</v>
      </c>
      <c r="C7" s="9" t="n">
        <v>8.28850183295124</v>
      </c>
      <c r="D7" s="17" t="n">
        <v>0.00833355632010213</v>
      </c>
    </row>
    <row r="8" customFormat="false" ht="15" hidden="false" customHeight="false" outlineLevel="0" collapsed="false">
      <c r="A8" s="6" t="s">
        <v>263</v>
      </c>
      <c r="B8" s="9" t="n">
        <v>8.79303429161134</v>
      </c>
      <c r="C8" s="9" t="n">
        <v>9.27359905323224</v>
      </c>
      <c r="D8" s="17" t="n">
        <v>0.128175067303192</v>
      </c>
    </row>
    <row r="9" customFormat="false" ht="15" hidden="false" customHeight="false" outlineLevel="0" collapsed="false">
      <c r="A9" s="6" t="s">
        <v>264</v>
      </c>
      <c r="B9" s="9" t="n">
        <v>9.33236407229773</v>
      </c>
      <c r="C9" s="9" t="n">
        <v>10.280798854637</v>
      </c>
      <c r="D9" s="17" t="n">
        <v>0.250705456768495</v>
      </c>
    </row>
    <row r="10" customFormat="false" ht="15" hidden="false" customHeight="false" outlineLevel="0" collapsed="false">
      <c r="A10" s="6" t="s">
        <v>265</v>
      </c>
      <c r="B10" s="9" t="n">
        <v>9.66667791768897</v>
      </c>
      <c r="C10" s="9" t="n">
        <v>10.9270330272989</v>
      </c>
      <c r="D10" s="17" t="n">
        <v>0.329322752712757</v>
      </c>
    </row>
    <row r="12" customFormat="false" ht="15" hidden="false" customHeight="false" outlineLevel="0" collapsed="false">
      <c r="A12" s="5" t="s">
        <v>266</v>
      </c>
      <c r="B12" s="5" t="s">
        <v>267</v>
      </c>
    </row>
    <row r="13" customFormat="false" ht="15" hidden="false" customHeight="false" outlineLevel="0" collapsed="false">
      <c r="A13" s="3" t="s">
        <v>268</v>
      </c>
      <c r="B13" s="14" t="n">
        <v>0.52122</v>
      </c>
    </row>
    <row r="14" customFormat="false" ht="15" hidden="false" customHeight="false" outlineLevel="0" collapsed="false">
      <c r="A14" s="3" t="s">
        <v>269</v>
      </c>
      <c r="B14" s="14" t="n">
        <v>0.30094</v>
      </c>
    </row>
    <row r="15" customFormat="false" ht="15" hidden="false" customHeight="false" outlineLevel="0" collapsed="false">
      <c r="A15" s="3" t="s">
        <v>270</v>
      </c>
      <c r="B15" s="14" t="n">
        <v>0.45346</v>
      </c>
    </row>
    <row r="16" customFormat="false" ht="15" hidden="false" customHeight="false" outlineLevel="0" collapsed="false">
      <c r="A16" s="3" t="s">
        <v>271</v>
      </c>
      <c r="B16" s="14" t="n">
        <v>0.2456</v>
      </c>
    </row>
    <row r="17" customFormat="false" ht="15" hidden="false" customHeight="false" outlineLevel="0" collapsed="false">
      <c r="A17" s="3" t="s">
        <v>272</v>
      </c>
      <c r="B17" s="14" t="n">
        <v>0.082</v>
      </c>
    </row>
    <row r="19" customFormat="false" ht="15" hidden="false" customHeight="false" outlineLevel="0" collapsed="false">
      <c r="A19" s="5" t="s">
        <v>273</v>
      </c>
      <c r="B19" s="5" t="s">
        <v>274</v>
      </c>
    </row>
    <row r="20" customFormat="false" ht="15" hidden="false" customHeight="false" outlineLevel="0" collapsed="false">
      <c r="A20" s="9" t="n">
        <v>7</v>
      </c>
      <c r="B20" s="14" t="n">
        <v>0.84526</v>
      </c>
    </row>
    <row r="21" customFormat="false" ht="15" hidden="false" customHeight="false" outlineLevel="0" collapsed="false">
      <c r="A21" s="9" t="n">
        <v>7.5</v>
      </c>
      <c r="B21" s="14" t="n">
        <v>0.72762</v>
      </c>
    </row>
    <row r="22" customFormat="false" ht="15" hidden="false" customHeight="false" outlineLevel="0" collapsed="false">
      <c r="A22" s="9" t="n">
        <v>8</v>
      </c>
      <c r="B22" s="14" t="n">
        <v>0.58598</v>
      </c>
    </row>
    <row r="23" customFormat="false" ht="15" hidden="false" customHeight="false" outlineLevel="0" collapsed="false">
      <c r="A23" s="9" t="n">
        <v>8.5</v>
      </c>
      <c r="B23" s="14" t="n">
        <v>0.43936</v>
      </c>
    </row>
    <row r="24" customFormat="false" ht="15" hidden="false" customHeight="false" outlineLevel="0" collapsed="false">
      <c r="A24" s="9" t="n">
        <v>9</v>
      </c>
      <c r="B24" s="14" t="n">
        <v>0.31024</v>
      </c>
    </row>
    <row r="25" customFormat="false" ht="15" hidden="false" customHeight="false" outlineLevel="0" collapsed="false">
      <c r="A25" s="9" t="n">
        <v>9.5</v>
      </c>
      <c r="B25" s="14" t="n">
        <v>0.2087</v>
      </c>
    </row>
    <row r="26" customFormat="false" ht="15" hidden="false" customHeight="false" outlineLevel="0" collapsed="false">
      <c r="A26" s="9" t="n">
        <v>10</v>
      </c>
      <c r="B26" s="14" t="n">
        <v>0.132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2"/>
  </cols>
  <sheetData>
    <row r="1" customFormat="false" ht="16.15" hidden="false" customHeight="false" outlineLevel="0" collapsed="false">
      <c r="A1" s="1" t="s">
        <v>275</v>
      </c>
    </row>
    <row r="3" customFormat="false" ht="15" hidden="false" customHeight="false" outlineLevel="0" collapsed="false">
      <c r="A3" s="5" t="s">
        <v>276</v>
      </c>
      <c r="B3" s="5" t="s">
        <v>277</v>
      </c>
      <c r="C3" s="5" t="s">
        <v>278</v>
      </c>
      <c r="D3" s="5" t="s">
        <v>279</v>
      </c>
      <c r="E3" s="5" t="s">
        <v>280</v>
      </c>
    </row>
    <row r="4" customFormat="false" ht="15" hidden="false" customHeight="false" outlineLevel="0" collapsed="false">
      <c r="A4" s="6" t="s">
        <v>281</v>
      </c>
      <c r="B4" s="11" t="n">
        <v>18.1</v>
      </c>
      <c r="C4" s="11" t="n">
        <v>27.8</v>
      </c>
      <c r="D4" s="11" t="n">
        <v>5.2</v>
      </c>
      <c r="E4" s="11" t="n">
        <v>81.4</v>
      </c>
    </row>
    <row r="5" customFormat="false" ht="15" hidden="false" customHeight="false" outlineLevel="0" collapsed="false">
      <c r="A5" s="6" t="s">
        <v>282</v>
      </c>
      <c r="B5" s="11" t="n">
        <v>26.3</v>
      </c>
      <c r="C5" s="11" t="n">
        <v>28.8</v>
      </c>
      <c r="D5" s="11" t="n">
        <v>3</v>
      </c>
      <c r="E5" s="11" t="n">
        <v>38.8</v>
      </c>
    </row>
    <row r="6" customFormat="false" ht="15" hidden="false" customHeight="false" outlineLevel="0" collapsed="false">
      <c r="A6" s="6" t="s">
        <v>283</v>
      </c>
      <c r="B6" s="11" t="n">
        <v>11.8</v>
      </c>
      <c r="C6" s="11" t="n">
        <v>13.1</v>
      </c>
      <c r="D6" s="11" t="n">
        <v>0.9</v>
      </c>
      <c r="E6" s="11" t="n">
        <v>12.6</v>
      </c>
    </row>
    <row r="7" customFormat="false" ht="15" hidden="false" customHeight="false" outlineLevel="0" collapsed="false">
      <c r="A7" s="6" t="s">
        <v>284</v>
      </c>
      <c r="B7" s="11" t="n">
        <v>7.2</v>
      </c>
      <c r="C7" s="11" t="n">
        <v>9.1</v>
      </c>
      <c r="D7" s="11" t="n">
        <v>4.4</v>
      </c>
      <c r="E7" s="11" t="n">
        <v>44.7</v>
      </c>
    </row>
    <row r="8" customFormat="false" ht="15" hidden="false" customHeight="false" outlineLevel="0" collapsed="false">
      <c r="A8" s="6" t="s">
        <v>285</v>
      </c>
      <c r="B8" s="11" t="n">
        <v>63.4</v>
      </c>
      <c r="C8" s="11" t="n">
        <v>78.8</v>
      </c>
      <c r="D8" s="11" t="n">
        <v>13.5</v>
      </c>
      <c r="E8" s="11" t="n">
        <v>177.5</v>
      </c>
    </row>
    <row r="10" customFormat="false" ht="15" hidden="false" customHeight="false" outlineLevel="0" collapsed="false">
      <c r="A10" s="12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8"/>
    <col collapsed="false" customWidth="true" hidden="false" outlineLevel="0" max="6" min="5" style="0" width="10"/>
    <col collapsed="false" customWidth="true" hidden="false" outlineLevel="0" max="7" min="7" style="0" width="14"/>
  </cols>
  <sheetData>
    <row r="1" customFormat="false" ht="16.15" hidden="false" customHeight="false" outlineLevel="0" collapsed="false">
      <c r="A1" s="1" t="s">
        <v>287</v>
      </c>
    </row>
    <row r="3" customFormat="false" ht="15" hidden="false" customHeight="false" outlineLevel="0" collapsed="false">
      <c r="A3" s="5" t="s">
        <v>288</v>
      </c>
      <c r="B3" s="5" t="s">
        <v>289</v>
      </c>
      <c r="C3" s="5" t="s">
        <v>290</v>
      </c>
      <c r="D3" s="5" t="s">
        <v>291</v>
      </c>
      <c r="E3" s="5" t="s">
        <v>292</v>
      </c>
      <c r="F3" s="5" t="s">
        <v>293</v>
      </c>
      <c r="G3" s="5" t="s">
        <v>294</v>
      </c>
    </row>
    <row r="4" customFormat="false" ht="15" hidden="false" customHeight="false" outlineLevel="0" collapsed="false">
      <c r="A4" s="6" t="s">
        <v>295</v>
      </c>
      <c r="B4" s="7" t="n">
        <v>64.87</v>
      </c>
      <c r="C4" s="9" t="n">
        <v>7.51</v>
      </c>
      <c r="D4" s="9" t="n">
        <v>8.6</v>
      </c>
      <c r="E4" s="9" t="n">
        <v>1.85</v>
      </c>
      <c r="F4" s="18" t="n">
        <v>0.3163</v>
      </c>
      <c r="G4" s="9" t="n">
        <v>2.38</v>
      </c>
    </row>
    <row r="5" customFormat="false" ht="15" hidden="false" customHeight="false" outlineLevel="0" collapsed="false">
      <c r="A5" s="6" t="s">
        <v>296</v>
      </c>
      <c r="B5" s="7" t="n">
        <v>18.79</v>
      </c>
      <c r="C5" s="9" t="n">
        <v>3.62</v>
      </c>
      <c r="D5" s="9" t="n">
        <v>5.2</v>
      </c>
      <c r="E5" s="9" t="n">
        <v>1.63</v>
      </c>
      <c r="F5" s="18" t="n">
        <v>0.7668</v>
      </c>
      <c r="G5" s="9" t="n">
        <v>2.78</v>
      </c>
    </row>
    <row r="6" customFormat="false" ht="15" hidden="false" customHeight="false" outlineLevel="0" collapsed="false">
      <c r="A6" s="6" t="s">
        <v>297</v>
      </c>
      <c r="B6" s="7" t="n">
        <v>24.56</v>
      </c>
      <c r="C6" s="9" t="n">
        <v>2</v>
      </c>
      <c r="D6" s="9" t="n">
        <v>12.3</v>
      </c>
      <c r="E6" s="9" t="n">
        <v>0.94</v>
      </c>
      <c r="F6" s="18" t="n">
        <v>0.3506</v>
      </c>
      <c r="G6" s="9" t="n">
        <v>0.7</v>
      </c>
    </row>
    <row r="7" customFormat="false" ht="15" hidden="false" customHeight="false" outlineLevel="0" collapsed="false">
      <c r="A7" s="6" t="s">
        <v>190</v>
      </c>
      <c r="B7" s="7" t="n">
        <v>3.27</v>
      </c>
      <c r="C7" s="9" t="n">
        <v>0.3</v>
      </c>
      <c r="D7" s="9" t="n">
        <v>10.9</v>
      </c>
      <c r="E7" s="9" t="n">
        <v>1.09</v>
      </c>
      <c r="F7" s="18" t="n">
        <v>0.7373</v>
      </c>
      <c r="G7" s="9" t="n">
        <v>0.22</v>
      </c>
    </row>
    <row r="8" customFormat="false" ht="15" hidden="false" customHeight="false" outlineLevel="0" collapsed="false">
      <c r="A8" s="6" t="s">
        <v>298</v>
      </c>
      <c r="B8" s="9" t="n">
        <v>82.2</v>
      </c>
      <c r="C8" s="9" t="n">
        <v>8.01</v>
      </c>
      <c r="D8" s="9" t="n">
        <v>10.3</v>
      </c>
      <c r="E8" s="9" t="n">
        <v>1.37</v>
      </c>
      <c r="F8" s="14" t="n">
        <v>1</v>
      </c>
      <c r="G8" s="9" t="n">
        <v>8.01</v>
      </c>
    </row>
    <row r="10" customFormat="false" ht="15" hidden="false" customHeight="false" outlineLevel="0" collapsed="false">
      <c r="A10" s="19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4" min="4" style="0" width="72"/>
    <col collapsed="false" customWidth="true" hidden="false" outlineLevel="0" max="5" min="5" style="0" width="26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1" t="s">
        <v>300</v>
      </c>
    </row>
    <row r="3" customFormat="false" ht="15" hidden="false" customHeight="false" outlineLevel="0" collapsed="false">
      <c r="A3" s="5" t="s">
        <v>301</v>
      </c>
      <c r="B3" s="5" t="s">
        <v>302</v>
      </c>
      <c r="C3" s="5" t="s">
        <v>303</v>
      </c>
      <c r="D3" s="5" t="s">
        <v>304</v>
      </c>
    </row>
    <row r="4" customFormat="false" ht="15" hidden="false" customHeight="false" outlineLevel="0" collapsed="false">
      <c r="A4" s="6" t="s">
        <v>305</v>
      </c>
      <c r="B4" s="3" t="s">
        <v>306</v>
      </c>
      <c r="C4" s="3" t="s">
        <v>307</v>
      </c>
      <c r="D4" s="3" t="s">
        <v>308</v>
      </c>
    </row>
    <row r="5" customFormat="false" ht="15" hidden="false" customHeight="false" outlineLevel="0" collapsed="false">
      <c r="A5" s="6" t="s">
        <v>309</v>
      </c>
      <c r="B5" s="3" t="s">
        <v>306</v>
      </c>
      <c r="C5" s="3" t="s">
        <v>310</v>
      </c>
      <c r="D5" s="3" t="s">
        <v>311</v>
      </c>
    </row>
    <row r="6" customFormat="false" ht="15" hidden="false" customHeight="false" outlineLevel="0" collapsed="false">
      <c r="A6" s="6" t="s">
        <v>312</v>
      </c>
      <c r="B6" s="3" t="s">
        <v>306</v>
      </c>
      <c r="C6" s="3" t="s">
        <v>313</v>
      </c>
      <c r="D6" s="3" t="s">
        <v>311</v>
      </c>
    </row>
    <row r="7" customFormat="false" ht="15" hidden="false" customHeight="false" outlineLevel="0" collapsed="false">
      <c r="A7" s="6" t="s">
        <v>314</v>
      </c>
      <c r="B7" s="3" t="s">
        <v>306</v>
      </c>
      <c r="C7" s="3" t="s">
        <v>315</v>
      </c>
      <c r="D7" s="3" t="s">
        <v>316</v>
      </c>
    </row>
    <row r="8" customFormat="false" ht="15" hidden="false" customHeight="false" outlineLevel="0" collapsed="false">
      <c r="A8" s="6" t="s">
        <v>317</v>
      </c>
      <c r="B8" s="3" t="s">
        <v>318</v>
      </c>
      <c r="C8" s="3" t="s">
        <v>319</v>
      </c>
      <c r="D8" s="3" t="s">
        <v>320</v>
      </c>
    </row>
    <row r="9" customFormat="false" ht="15" hidden="false" customHeight="false" outlineLevel="0" collapsed="false">
      <c r="A9" s="6" t="s">
        <v>321</v>
      </c>
      <c r="B9" s="3" t="s">
        <v>318</v>
      </c>
      <c r="C9" s="3" t="s">
        <v>322</v>
      </c>
      <c r="D9" s="3" t="s">
        <v>323</v>
      </c>
    </row>
    <row r="10" customFormat="false" ht="15" hidden="false" customHeight="false" outlineLevel="0" collapsed="false">
      <c r="A10" s="6" t="s">
        <v>324</v>
      </c>
      <c r="B10" s="3" t="s">
        <v>318</v>
      </c>
      <c r="C10" s="3" t="s">
        <v>325</v>
      </c>
      <c r="D10" s="3" t="s">
        <v>326</v>
      </c>
    </row>
    <row r="11" customFormat="false" ht="15" hidden="false" customHeight="false" outlineLevel="0" collapsed="false">
      <c r="A11" s="6" t="s">
        <v>327</v>
      </c>
      <c r="B11" s="3" t="s">
        <v>318</v>
      </c>
      <c r="C11" s="3" t="s">
        <v>328</v>
      </c>
      <c r="D11" s="3" t="s">
        <v>329</v>
      </c>
    </row>
    <row r="12" customFormat="false" ht="15" hidden="false" customHeight="false" outlineLevel="0" collapsed="false">
      <c r="A12" s="6" t="s">
        <v>330</v>
      </c>
      <c r="B12" s="3" t="s">
        <v>318</v>
      </c>
      <c r="C12" s="3" t="s">
        <v>331</v>
      </c>
      <c r="D12" s="3" t="s">
        <v>332</v>
      </c>
    </row>
    <row r="13" customFormat="false" ht="15" hidden="false" customHeight="false" outlineLevel="0" collapsed="false">
      <c r="A13" s="6" t="s">
        <v>333</v>
      </c>
      <c r="B13" s="3" t="s">
        <v>318</v>
      </c>
      <c r="C13" s="3" t="s">
        <v>334</v>
      </c>
      <c r="D13" s="3" t="s">
        <v>335</v>
      </c>
    </row>
    <row r="14" customFormat="false" ht="15" hidden="false" customHeight="false" outlineLevel="0" collapsed="false">
      <c r="A14" s="6" t="s">
        <v>57</v>
      </c>
      <c r="B14" s="3" t="s">
        <v>306</v>
      </c>
      <c r="C14" s="3" t="s">
        <v>336</v>
      </c>
      <c r="D14" s="3" t="s">
        <v>105</v>
      </c>
    </row>
    <row r="15" customFormat="false" ht="15" hidden="false" customHeight="false" outlineLevel="0" collapsed="false">
      <c r="A15" s="6" t="s">
        <v>197</v>
      </c>
      <c r="B15" s="3" t="s">
        <v>306</v>
      </c>
      <c r="C15" s="3" t="s">
        <v>337</v>
      </c>
      <c r="D15" s="3" t="s">
        <v>338</v>
      </c>
    </row>
    <row r="16" customFormat="false" ht="15" hidden="false" customHeight="false" outlineLevel="0" collapsed="false">
      <c r="A16" s="6" t="s">
        <v>339</v>
      </c>
      <c r="B16" s="3" t="s">
        <v>318</v>
      </c>
      <c r="C16" s="3" t="s">
        <v>340</v>
      </c>
      <c r="D16" s="3" t="s">
        <v>341</v>
      </c>
    </row>
    <row r="18" customFormat="false" ht="15" hidden="false" customHeight="false" outlineLevel="0" collapsed="false">
      <c r="A18" s="5" t="s">
        <v>342</v>
      </c>
      <c r="B18" s="5" t="s">
        <v>343</v>
      </c>
      <c r="C18" s="5" t="s">
        <v>344</v>
      </c>
      <c r="D18" s="5" t="s">
        <v>345</v>
      </c>
      <c r="E18" s="5" t="s">
        <v>183</v>
      </c>
      <c r="F18" s="5" t="s">
        <v>346</v>
      </c>
    </row>
    <row r="19" customFormat="false" ht="15" hidden="false" customHeight="false" outlineLevel="0" collapsed="false">
      <c r="A19" s="3" t="s">
        <v>347</v>
      </c>
      <c r="B19" s="3" t="s">
        <v>348</v>
      </c>
      <c r="C19" s="3" t="s">
        <v>349</v>
      </c>
      <c r="D19" s="3" t="s">
        <v>350</v>
      </c>
      <c r="E19" s="3" t="s">
        <v>351</v>
      </c>
      <c r="F19" s="3" t="s">
        <v>352</v>
      </c>
    </row>
    <row r="20" customFormat="false" ht="15" hidden="false" customHeight="false" outlineLevel="0" collapsed="false">
      <c r="A20" s="3" t="s">
        <v>347</v>
      </c>
      <c r="B20" s="3" t="s">
        <v>333</v>
      </c>
      <c r="C20" s="3" t="s">
        <v>349</v>
      </c>
      <c r="D20" s="3" t="s">
        <v>353</v>
      </c>
      <c r="E20" s="3" t="s">
        <v>354</v>
      </c>
      <c r="F20" s="3" t="s">
        <v>355</v>
      </c>
    </row>
    <row r="21" customFormat="false" ht="15" hidden="false" customHeight="false" outlineLevel="0" collapsed="false">
      <c r="A21" s="3" t="s">
        <v>347</v>
      </c>
      <c r="B21" s="3" t="s">
        <v>356</v>
      </c>
      <c r="C21" s="3" t="s">
        <v>349</v>
      </c>
      <c r="D21" s="3" t="s">
        <v>357</v>
      </c>
      <c r="E21" s="3" t="s">
        <v>358</v>
      </c>
      <c r="F21" s="3" t="s">
        <v>359</v>
      </c>
    </row>
    <row r="22" customFormat="false" ht="15" hidden="false" customHeight="false" outlineLevel="0" collapsed="false">
      <c r="A22" s="3" t="s">
        <v>360</v>
      </c>
      <c r="B22" s="3" t="s">
        <v>361</v>
      </c>
      <c r="C22" s="3" t="s">
        <v>349</v>
      </c>
      <c r="D22" s="3" t="s">
        <v>362</v>
      </c>
      <c r="E22" s="3" t="s">
        <v>363</v>
      </c>
      <c r="F22" s="3" t="s">
        <v>364</v>
      </c>
    </row>
    <row r="23" customFormat="false" ht="15" hidden="false" customHeight="false" outlineLevel="0" collapsed="false">
      <c r="A23" s="3" t="s">
        <v>360</v>
      </c>
      <c r="B23" s="3" t="s">
        <v>365</v>
      </c>
      <c r="C23" s="3" t="s">
        <v>349</v>
      </c>
      <c r="D23" s="3" t="s">
        <v>366</v>
      </c>
      <c r="E23" s="3" t="s">
        <v>367</v>
      </c>
      <c r="F23" s="3" t="s">
        <v>368</v>
      </c>
    </row>
    <row r="24" customFormat="false" ht="15" hidden="false" customHeight="false" outlineLevel="0" collapsed="false">
      <c r="A24" s="3" t="s">
        <v>360</v>
      </c>
      <c r="B24" s="3" t="s">
        <v>369</v>
      </c>
      <c r="C24" s="3" t="s">
        <v>370</v>
      </c>
      <c r="D24" s="3" t="s">
        <v>371</v>
      </c>
      <c r="E24" s="3" t="s">
        <v>372</v>
      </c>
      <c r="F24" s="3" t="s">
        <v>373</v>
      </c>
    </row>
    <row r="25" customFormat="false" ht="15" hidden="false" customHeight="false" outlineLevel="0" collapsed="false">
      <c r="A25" s="3" t="s">
        <v>374</v>
      </c>
      <c r="B25" s="3" t="s">
        <v>375</v>
      </c>
      <c r="C25" s="3" t="s">
        <v>370</v>
      </c>
      <c r="D25" s="3" t="s">
        <v>376</v>
      </c>
      <c r="E25" s="3" t="s">
        <v>377</v>
      </c>
      <c r="F25" s="3" t="s">
        <v>378</v>
      </c>
    </row>
    <row r="26" customFormat="false" ht="15" hidden="false" customHeight="false" outlineLevel="0" collapsed="false">
      <c r="A26" s="3" t="s">
        <v>374</v>
      </c>
      <c r="B26" s="3" t="s">
        <v>379</v>
      </c>
      <c r="C26" s="3" t="s">
        <v>349</v>
      </c>
      <c r="D26" s="3" t="s">
        <v>380</v>
      </c>
      <c r="E26" s="3" t="s">
        <v>381</v>
      </c>
      <c r="F26" s="3" t="s">
        <v>382</v>
      </c>
    </row>
    <row r="27" customFormat="false" ht="15" hidden="false" customHeight="false" outlineLevel="0" collapsed="false">
      <c r="A27" s="3" t="s">
        <v>374</v>
      </c>
      <c r="B27" s="3" t="s">
        <v>383</v>
      </c>
      <c r="C27" s="3" t="s">
        <v>349</v>
      </c>
      <c r="D27" s="3" t="s">
        <v>384</v>
      </c>
      <c r="E27" s="3" t="s">
        <v>385</v>
      </c>
      <c r="F27" s="3" t="s">
        <v>386</v>
      </c>
    </row>
    <row r="28" customFormat="false" ht="15" hidden="false" customHeight="false" outlineLevel="0" collapsed="false">
      <c r="A28" s="3" t="s">
        <v>387</v>
      </c>
      <c r="B28" s="3" t="s">
        <v>388</v>
      </c>
      <c r="C28" s="3" t="s">
        <v>389</v>
      </c>
      <c r="D28" s="3" t="s">
        <v>390</v>
      </c>
      <c r="E28" s="3" t="s">
        <v>391</v>
      </c>
      <c r="F28" s="3" t="s">
        <v>368</v>
      </c>
    </row>
    <row r="29" customFormat="false" ht="15" hidden="false" customHeight="false" outlineLevel="0" collapsed="false">
      <c r="A29" s="3" t="s">
        <v>387</v>
      </c>
      <c r="B29" s="3" t="s">
        <v>96</v>
      </c>
      <c r="C29" s="3" t="s">
        <v>389</v>
      </c>
      <c r="D29" s="3" t="s">
        <v>392</v>
      </c>
      <c r="E29" s="3" t="s">
        <v>393</v>
      </c>
      <c r="F29" s="3" t="s">
        <v>394</v>
      </c>
    </row>
    <row r="30" customFormat="false" ht="15" hidden="false" customHeight="false" outlineLevel="0" collapsed="false">
      <c r="A30" s="3" t="s">
        <v>387</v>
      </c>
      <c r="B30" s="3" t="s">
        <v>395</v>
      </c>
      <c r="C30" s="3" t="s">
        <v>389</v>
      </c>
      <c r="D30" s="3" t="s">
        <v>396</v>
      </c>
      <c r="E30" s="3" t="s">
        <v>397</v>
      </c>
      <c r="F30" s="3" t="s">
        <v>398</v>
      </c>
    </row>
    <row r="31" customFormat="false" ht="15" hidden="false" customHeight="false" outlineLevel="0" collapsed="false">
      <c r="A31" s="3" t="s">
        <v>387</v>
      </c>
      <c r="B31" s="3" t="s">
        <v>399</v>
      </c>
      <c r="C31" s="3" t="s">
        <v>389</v>
      </c>
      <c r="D31" s="3" t="s">
        <v>400</v>
      </c>
      <c r="E31" s="3" t="s">
        <v>401</v>
      </c>
      <c r="F31" s="3" t="s">
        <v>402</v>
      </c>
    </row>
    <row r="32" customFormat="false" ht="15" hidden="false" customHeight="false" outlineLevel="0" collapsed="false">
      <c r="A32" s="3" t="s">
        <v>387</v>
      </c>
      <c r="B32" s="3" t="s">
        <v>403</v>
      </c>
      <c r="C32" s="3" t="s">
        <v>389</v>
      </c>
      <c r="D32" s="3" t="s">
        <v>404</v>
      </c>
      <c r="E32" s="3" t="s">
        <v>405</v>
      </c>
      <c r="F32" s="3" t="s">
        <v>114</v>
      </c>
    </row>
    <row r="33" customFormat="false" ht="15" hidden="false" customHeight="false" outlineLevel="0" collapsed="false">
      <c r="A33" s="3" t="s">
        <v>387</v>
      </c>
      <c r="B33" s="3" t="s">
        <v>406</v>
      </c>
      <c r="C33" s="3" t="s">
        <v>389</v>
      </c>
      <c r="D33" s="3" t="s">
        <v>407</v>
      </c>
      <c r="E33" s="3" t="s">
        <v>408</v>
      </c>
      <c r="F33" s="3" t="s">
        <v>409</v>
      </c>
    </row>
    <row r="34" customFormat="false" ht="15" hidden="false" customHeight="false" outlineLevel="0" collapsed="false">
      <c r="A34" s="3" t="s">
        <v>387</v>
      </c>
      <c r="B34" s="3" t="s">
        <v>297</v>
      </c>
      <c r="C34" s="3" t="s">
        <v>349</v>
      </c>
      <c r="D34" s="3" t="s">
        <v>410</v>
      </c>
      <c r="E34" s="3" t="s">
        <v>411</v>
      </c>
      <c r="F34" s="3" t="s">
        <v>115</v>
      </c>
    </row>
    <row r="35" customFormat="false" ht="15" hidden="false" customHeight="false" outlineLevel="0" collapsed="false">
      <c r="A35" s="3" t="s">
        <v>387</v>
      </c>
      <c r="B35" s="3" t="s">
        <v>412</v>
      </c>
      <c r="C35" s="3" t="s">
        <v>413</v>
      </c>
      <c r="D35" s="3" t="s">
        <v>414</v>
      </c>
      <c r="E35" s="3" t="s">
        <v>105</v>
      </c>
      <c r="F35" s="3" t="s">
        <v>415</v>
      </c>
    </row>
    <row r="36" customFormat="false" ht="15" hidden="false" customHeight="false" outlineLevel="0" collapsed="false">
      <c r="A36" s="3" t="s">
        <v>387</v>
      </c>
      <c r="B36" s="3" t="s">
        <v>416</v>
      </c>
      <c r="C36" s="3" t="s">
        <v>413</v>
      </c>
      <c r="D36" s="3" t="s">
        <v>417</v>
      </c>
      <c r="E36" s="3" t="s">
        <v>105</v>
      </c>
      <c r="F36" s="3" t="s">
        <v>415</v>
      </c>
    </row>
    <row r="37" customFormat="false" ht="15" hidden="false" customHeight="false" outlineLevel="0" collapsed="false">
      <c r="A37" s="3" t="s">
        <v>387</v>
      </c>
      <c r="B37" s="3" t="s">
        <v>418</v>
      </c>
      <c r="C37" s="3" t="s">
        <v>413</v>
      </c>
      <c r="D37" s="3" t="s">
        <v>419</v>
      </c>
      <c r="E37" s="3" t="s">
        <v>420</v>
      </c>
      <c r="F37" s="3" t="s">
        <v>415</v>
      </c>
    </row>
    <row r="38" customFormat="false" ht="15" hidden="false" customHeight="false" outlineLevel="0" collapsed="false">
      <c r="A38" s="3" t="s">
        <v>387</v>
      </c>
      <c r="B38" s="3" t="s">
        <v>421</v>
      </c>
      <c r="C38" s="3" t="s">
        <v>370</v>
      </c>
      <c r="D38" s="3" t="s">
        <v>422</v>
      </c>
      <c r="E38" s="3" t="s">
        <v>423</v>
      </c>
      <c r="F38" s="3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9" min="4" style="0" width="8"/>
    <col collapsed="false" customWidth="true" hidden="false" outlineLevel="0" max="10" min="10" style="0" width="11"/>
    <col collapsed="false" customWidth="true" hidden="false" outlineLevel="0" max="11" min="11" style="0" width="20"/>
    <col collapsed="false" customWidth="true" hidden="false" outlineLevel="0" max="12" min="12" style="0" width="10"/>
  </cols>
  <sheetData>
    <row r="1" customFormat="false" ht="16.15" hidden="false" customHeight="false" outlineLevel="0" collapsed="false">
      <c r="A1" s="1" t="s">
        <v>424</v>
      </c>
    </row>
    <row r="3" customFormat="false" ht="15" hidden="false" customHeight="false" outlineLevel="0" collapsed="false">
      <c r="A3" s="5" t="s">
        <v>425</v>
      </c>
      <c r="B3" s="5" t="s">
        <v>426</v>
      </c>
      <c r="C3" s="5" t="s">
        <v>427</v>
      </c>
      <c r="D3" s="5" t="s">
        <v>428</v>
      </c>
      <c r="E3" s="5" t="s">
        <v>259</v>
      </c>
      <c r="F3" s="5" t="s">
        <v>261</v>
      </c>
      <c r="G3" s="5" t="s">
        <v>262</v>
      </c>
      <c r="H3" s="5" t="s">
        <v>263</v>
      </c>
      <c r="I3" s="5" t="s">
        <v>265</v>
      </c>
      <c r="J3" s="5" t="s">
        <v>429</v>
      </c>
      <c r="K3" s="5" t="s">
        <v>430</v>
      </c>
      <c r="L3" s="5" t="s">
        <v>431</v>
      </c>
    </row>
    <row r="4" customFormat="false" ht="15" hidden="false" customHeight="false" outlineLevel="0" collapsed="false">
      <c r="A4" s="3" t="s">
        <v>432</v>
      </c>
      <c r="B4" s="3" t="s">
        <v>433</v>
      </c>
      <c r="C4" s="3" t="n">
        <v>20</v>
      </c>
      <c r="D4" s="9" t="n">
        <v>8.22</v>
      </c>
      <c r="E4" s="9" t="n">
        <v>7.03606581913957</v>
      </c>
      <c r="F4" s="9" t="n">
        <v>7.72799675780632</v>
      </c>
      <c r="G4" s="9" t="n">
        <v>8.2410031367216</v>
      </c>
      <c r="H4" s="9" t="n">
        <v>8.79303429161134</v>
      </c>
      <c r="I4" s="9" t="n">
        <v>9.66667791768897</v>
      </c>
      <c r="J4" s="9" t="n">
        <v>0.3413</v>
      </c>
      <c r="K4" s="3" t="s">
        <v>434</v>
      </c>
      <c r="L4" s="3" t="s">
        <v>435</v>
      </c>
    </row>
    <row r="5" customFormat="false" ht="15" hidden="false" customHeight="false" outlineLevel="0" collapsed="false">
      <c r="A5" s="3" t="s">
        <v>432</v>
      </c>
      <c r="B5" s="3" t="s">
        <v>433</v>
      </c>
      <c r="C5" s="3" t="n">
        <v>60</v>
      </c>
      <c r="D5" s="9" t="n">
        <v>8.22</v>
      </c>
      <c r="E5" s="9" t="n">
        <v>6.3033355634558</v>
      </c>
      <c r="F5" s="9" t="n">
        <v>7.41530548055432</v>
      </c>
      <c r="G5" s="9" t="n">
        <v>8.28850183295124</v>
      </c>
      <c r="H5" s="9" t="n">
        <v>9.27359905323224</v>
      </c>
      <c r="I5" s="9" t="n">
        <v>10.9270330272989</v>
      </c>
      <c r="J5" s="9" t="n">
        <v>0.3413</v>
      </c>
      <c r="K5" s="3" t="s">
        <v>434</v>
      </c>
      <c r="L5" s="3" t="s">
        <v>435</v>
      </c>
    </row>
    <row r="7" customFormat="false" ht="15" hidden="false" customHeight="false" outlineLevel="0" collapsed="false">
      <c r="A7" s="6" t="s">
        <v>436</v>
      </c>
    </row>
    <row r="8" customFormat="false" ht="15" hidden="false" customHeight="false" outlineLevel="0" collapsed="false">
      <c r="A8" s="3" t="s">
        <v>437</v>
      </c>
    </row>
    <row r="9" customFormat="false" ht="15" hidden="false" customHeight="false" outlineLevel="0" collapsed="false">
      <c r="A9" s="3" t="s">
        <v>438</v>
      </c>
    </row>
    <row r="10" customFormat="false" ht="15" hidden="false" customHeight="false" outlineLevel="0" collapsed="false">
      <c r="A10" s="3" t="s">
        <v>439</v>
      </c>
    </row>
    <row r="11" customFormat="false" ht="15" hidden="false" customHeight="false" outlineLevel="0" collapsed="false">
      <c r="A11" s="3" t="s">
        <v>440</v>
      </c>
    </row>
    <row r="12" customFormat="false" ht="15" hidden="false" customHeight="false" outlineLevel="0" collapsed="false">
      <c r="A12" s="3" t="s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5" min="3" style="0" width="8"/>
    <col collapsed="false" customWidth="true" hidden="false" outlineLevel="0" max="6" min="6" style="0" width="60"/>
  </cols>
  <sheetData>
    <row r="1" customFormat="false" ht="16.15" hidden="false" customHeight="false" outlineLevel="0" collapsed="false">
      <c r="A1" s="1" t="s">
        <v>442</v>
      </c>
    </row>
    <row r="3" customFormat="false" ht="15" hidden="false" customHeight="false" outlineLevel="0" collapsed="false">
      <c r="A3" s="5" t="s">
        <v>443</v>
      </c>
      <c r="B3" s="5" t="s">
        <v>444</v>
      </c>
      <c r="C3" s="5" t="s">
        <v>445</v>
      </c>
      <c r="D3" s="5" t="s">
        <v>446</v>
      </c>
      <c r="E3" s="5" t="s">
        <v>447</v>
      </c>
      <c r="F3" s="5" t="s">
        <v>448</v>
      </c>
    </row>
    <row r="4" customFormat="false" ht="15" hidden="false" customHeight="false" outlineLevel="0" collapsed="false">
      <c r="A4" s="6" t="s">
        <v>449</v>
      </c>
      <c r="B4" s="3" t="s">
        <v>450</v>
      </c>
      <c r="C4" s="9" t="n">
        <v>5.2</v>
      </c>
      <c r="D4" s="9" t="n">
        <v>6.3</v>
      </c>
      <c r="E4" s="9" t="n">
        <v>7.4</v>
      </c>
      <c r="F4" s="3" t="s">
        <v>451</v>
      </c>
    </row>
    <row r="5" customFormat="false" ht="15" hidden="false" customHeight="false" outlineLevel="0" collapsed="false">
      <c r="A5" s="6" t="s">
        <v>452</v>
      </c>
      <c r="B5" s="3" t="s">
        <v>453</v>
      </c>
      <c r="C5" s="9" t="n">
        <v>5.91</v>
      </c>
      <c r="D5" s="9" t="n">
        <v>6.78</v>
      </c>
      <c r="E5" s="9" t="n">
        <v>7.44</v>
      </c>
      <c r="F5" s="3" t="s">
        <v>454</v>
      </c>
    </row>
    <row r="6" customFormat="false" ht="15" hidden="false" customHeight="false" outlineLevel="0" collapsed="false">
      <c r="A6" s="6" t="s">
        <v>455</v>
      </c>
      <c r="B6" s="3" t="s">
        <v>456</v>
      </c>
      <c r="C6" s="9" t="n">
        <v>5.6</v>
      </c>
      <c r="D6" s="9" t="n">
        <v>7.03</v>
      </c>
      <c r="E6" s="9" t="n">
        <v>8.2</v>
      </c>
      <c r="F6" s="3" t="s">
        <v>457</v>
      </c>
    </row>
    <row r="8" customFormat="false" ht="15" hidden="false" customHeight="false" outlineLevel="0" collapsed="false">
      <c r="A8" s="20" t="s"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66"/>
  </cols>
  <sheetData>
    <row r="1" customFormat="false" ht="16.15" hidden="false" customHeight="false" outlineLevel="0" collapsed="false">
      <c r="A1" s="1" t="s">
        <v>459</v>
      </c>
    </row>
    <row r="2" customFormat="false" ht="15" hidden="false" customHeight="false" outlineLevel="0" collapsed="false">
      <c r="A2" s="4" t="s">
        <v>460</v>
      </c>
    </row>
    <row r="3" customFormat="false" ht="15" hidden="false" customHeight="false" outlineLevel="0" collapsed="false">
      <c r="A3" s="5" t="s">
        <v>92</v>
      </c>
      <c r="B3" s="5" t="s">
        <v>93</v>
      </c>
      <c r="C3" s="5" t="s">
        <v>94</v>
      </c>
      <c r="D3" s="5" t="s">
        <v>95</v>
      </c>
      <c r="E3" s="5" t="s">
        <v>461</v>
      </c>
    </row>
    <row r="4" customFormat="false" ht="15" hidden="false" customHeight="false" outlineLevel="0" collapsed="false">
      <c r="A4" s="6" t="s">
        <v>462</v>
      </c>
      <c r="B4" s="9" t="str">
        <f aca="false">4_IS!B12</f>
        <v>n/d</v>
      </c>
      <c r="C4" s="9" t="n">
        <f aca="false">4_IS!C12</f>
        <v>0.88</v>
      </c>
      <c r="D4" s="9" t="n">
        <f aca="false">4_IS!D12</f>
        <v>0.79</v>
      </c>
      <c r="E4" s="3" t="s">
        <v>463</v>
      </c>
    </row>
    <row r="5" customFormat="false" ht="15" hidden="false" customHeight="false" outlineLevel="0" collapsed="false">
      <c r="A5" s="3" t="s">
        <v>464</v>
      </c>
      <c r="B5" s="9" t="n">
        <v>0</v>
      </c>
      <c r="C5" s="9" t="n">
        <v>0</v>
      </c>
      <c r="D5" s="9" t="n">
        <v>0.2</v>
      </c>
      <c r="E5" s="3" t="s">
        <v>465</v>
      </c>
    </row>
    <row r="6" customFormat="false" ht="15" hidden="false" customHeight="false" outlineLevel="0" collapsed="false">
      <c r="A6" s="6" t="s">
        <v>140</v>
      </c>
      <c r="B6" s="9" t="n">
        <f aca="false">5_BS!B19</f>
        <v>4.2</v>
      </c>
      <c r="C6" s="9" t="n">
        <f aca="false">5_BS!C19</f>
        <v>5.23</v>
      </c>
      <c r="D6" s="9" t="n">
        <f aca="false">5_BS!D19</f>
        <v>6.01</v>
      </c>
      <c r="E6" s="3" t="s">
        <v>466</v>
      </c>
    </row>
    <row r="7" customFormat="false" ht="15" hidden="false" customHeight="false" outlineLevel="0" collapsed="false">
      <c r="A7" s="3" t="s">
        <v>467</v>
      </c>
      <c r="B7" s="3" t="s">
        <v>101</v>
      </c>
      <c r="C7" s="9" t="n">
        <f aca="false">2_Assumptions!B4/4_IS!C12</f>
        <v>9.34090909090909</v>
      </c>
      <c r="D7" s="9" t="n">
        <f aca="false">2_Assumptions!B4/4_IS!D12</f>
        <v>10.4050632911392</v>
      </c>
      <c r="E7" s="3" t="s">
        <v>468</v>
      </c>
    </row>
    <row r="8" customFormat="false" ht="15" hidden="false" customHeight="false" outlineLevel="0" collapsed="false">
      <c r="A8" s="3" t="s">
        <v>469</v>
      </c>
      <c r="B8" s="9" t="n">
        <f aca="false">2_Assumptions!B4/5_BS!B19</f>
        <v>1.95714285714286</v>
      </c>
      <c r="C8" s="9" t="n">
        <f aca="false">2_Assumptions!B4/5_BS!C19</f>
        <v>1.5717017208413</v>
      </c>
      <c r="D8" s="9" t="n">
        <f aca="false">2_Assumptions!B4/5_BS!D19</f>
        <v>1.36772046589018</v>
      </c>
      <c r="E8" s="3" t="s">
        <v>470</v>
      </c>
    </row>
    <row r="9" customFormat="false" ht="15" hidden="false" customHeight="false" outlineLevel="0" collapsed="false">
      <c r="A9" s="3" t="s">
        <v>471</v>
      </c>
      <c r="B9" s="3" t="s">
        <v>105</v>
      </c>
      <c r="C9" s="3" t="s">
        <v>105</v>
      </c>
      <c r="D9" s="14" t="n">
        <f aca="false">0.2/2_Assumptions!B4</f>
        <v>0.024330900243309</v>
      </c>
      <c r="E9" s="3" t="s">
        <v>472</v>
      </c>
    </row>
    <row r="10" customFormat="false" ht="15" hidden="false" customHeight="false" outlineLevel="0" collapsed="false">
      <c r="A10" s="3" t="s">
        <v>473</v>
      </c>
      <c r="B10" s="3" t="s">
        <v>101</v>
      </c>
      <c r="C10" s="3" t="s">
        <v>101</v>
      </c>
      <c r="D10" s="14" t="n">
        <f aca="false">(9.63-5.567)/(2_Assumptions!B4*2_Assumptions!B5)</f>
        <v>0.0494282238442822</v>
      </c>
      <c r="E10" s="3" t="s">
        <v>474</v>
      </c>
    </row>
    <row r="11" customFormat="false" ht="15" hidden="false" customHeight="false" outlineLevel="0" collapsed="false">
      <c r="A11" s="3" t="s">
        <v>475</v>
      </c>
      <c r="B11" s="3" t="s">
        <v>101</v>
      </c>
      <c r="C11" s="3" t="s">
        <v>101</v>
      </c>
      <c r="D11" s="9" t="n">
        <f aca="false">(2_Assumptions!B4*2_Assumptions!B5+5_BS!D18+1.816)/4_IS!D6</f>
        <v>4.81107344632768</v>
      </c>
      <c r="E11" s="3" t="s">
        <v>476</v>
      </c>
    </row>
    <row r="12" customFormat="false" ht="15" hidden="false" customHeight="false" outlineLevel="0" collapsed="false">
      <c r="A12" s="3" t="s">
        <v>477</v>
      </c>
      <c r="B12" s="3" t="s">
        <v>101</v>
      </c>
      <c r="C12" s="14" t="n">
        <f aca="false">(4_IS!C11)/((5_BS!B12+5_BS!C12)/2)</f>
        <v>0.188532762021933</v>
      </c>
      <c r="D12" s="14" t="n">
        <f aca="false">(4_IS!D11)/((5_BS!C12+5_BS!D12)/2)</f>
        <v>0.142620704383264</v>
      </c>
      <c r="E12" s="3" t="s">
        <v>478</v>
      </c>
    </row>
    <row r="13" customFormat="false" ht="15" hidden="false" customHeight="false" outlineLevel="0" collapsed="false">
      <c r="A13" s="3" t="s">
        <v>479</v>
      </c>
      <c r="B13" s="3" t="s">
        <v>105</v>
      </c>
      <c r="C13" s="3" t="s">
        <v>105</v>
      </c>
      <c r="D13" s="14" t="n">
        <v>0.1034</v>
      </c>
      <c r="E13" s="3" t="s">
        <v>480</v>
      </c>
    </row>
    <row r="14" customFormat="false" ht="15" hidden="false" customHeight="false" outlineLevel="0" collapsed="false">
      <c r="A14" s="3" t="s">
        <v>481</v>
      </c>
      <c r="B14" s="3" t="s">
        <v>101</v>
      </c>
      <c r="C14" s="3" t="s">
        <v>101</v>
      </c>
      <c r="D14" s="14" t="n">
        <f aca="false">4_IS!D9/((5_BS!C15+5_BS!C18+5_BS!D15+5_BS!D18)/2)</f>
        <v>0.129772144258337</v>
      </c>
      <c r="E14" s="3" t="s">
        <v>482</v>
      </c>
    </row>
    <row r="15" customFormat="false" ht="15" hidden="false" customHeight="false" outlineLevel="0" collapsed="false">
      <c r="A15" s="3" t="s">
        <v>483</v>
      </c>
      <c r="B15" s="14" t="n">
        <f aca="false">4_IS!B5/4_IS!B4</f>
        <v>0.204845814977974</v>
      </c>
      <c r="C15" s="14" t="n">
        <f aca="false">4_IS!C5/4_IS!C4</f>
        <v>0.211937661682125</v>
      </c>
      <c r="D15" s="14" t="n">
        <f aca="false">4_IS!D5/4_IS!D4</f>
        <v>0.238387813392574</v>
      </c>
      <c r="E15" s="3"/>
    </row>
    <row r="16" customFormat="false" ht="15" hidden="false" customHeight="false" outlineLevel="0" collapsed="false">
      <c r="A16" s="3" t="s">
        <v>309</v>
      </c>
      <c r="B16" s="14" t="n">
        <f aca="false">4_IS!B6/4_IS!B4</f>
        <v>0.363436123348018</v>
      </c>
      <c r="C16" s="14" t="n">
        <f aca="false">4_IS!C6/4_IS!C4</f>
        <v>0.214524575683008</v>
      </c>
      <c r="D16" s="14" t="n">
        <f aca="false">4_IS!D6/4_IS!D4</f>
        <v>0.224690574420819</v>
      </c>
      <c r="E16" s="3" t="s">
        <v>484</v>
      </c>
    </row>
    <row r="17" customFormat="false" ht="15" hidden="false" customHeight="false" outlineLevel="0" collapsed="false">
      <c r="A17" s="3" t="s">
        <v>485</v>
      </c>
      <c r="B17" s="3" t="s">
        <v>101</v>
      </c>
      <c r="C17" s="14" t="n">
        <f aca="false">4_IS!C11/4_IS!C4</f>
        <v>0.14019811975519</v>
      </c>
      <c r="D17" s="14" t="n">
        <f aca="false">4_IS!D11/4_IS!D4</f>
        <v>0.101732783243415</v>
      </c>
      <c r="E17" s="3"/>
    </row>
    <row r="18" customFormat="false" ht="15" hidden="false" customHeight="false" outlineLevel="0" collapsed="false">
      <c r="A18" s="3" t="s">
        <v>486</v>
      </c>
      <c r="B18" s="3" t="s">
        <v>105</v>
      </c>
      <c r="C18" s="14" t="n">
        <v>0.02</v>
      </c>
      <c r="D18" s="14" t="n">
        <v>0.102</v>
      </c>
      <c r="E18" s="3" t="s">
        <v>487</v>
      </c>
    </row>
    <row r="19" customFormat="false" ht="15" hidden="false" customHeight="false" outlineLevel="0" collapsed="false">
      <c r="A19" s="3" t="s">
        <v>488</v>
      </c>
      <c r="B19" s="3" t="s">
        <v>101</v>
      </c>
      <c r="C19" s="9" t="n">
        <f aca="false">5_BS!C18/4_IS!C6</f>
        <v>0.0955882352941177</v>
      </c>
      <c r="D19" s="9" t="n">
        <f aca="false">5_BS!D18/4_IS!D6</f>
        <v>0.064406779661017</v>
      </c>
      <c r="E19" s="3" t="s">
        <v>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2026-07-11T10:13:34Z</dcterms:created>
  <dc:creator>openpyxl</dc:creator>
  <dc:description/>
  <dc:language>en-US</dc:language>
  <cp:lastModifiedBy/>
  <dcterms:modified xsi:type="dcterms:W3CDTF">2026-07-11T10:13:34Z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