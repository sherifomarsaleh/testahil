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;(0.00);&quot;-&quot;"/>
    <numFmt numFmtId="165" formatCode="#,##0;(#,##0);&quot;-&quot;"/>
    <numFmt numFmtId="166" formatCode="0.0%;(0.0%);&quot;-&quot;"/>
    <numFmt numFmtId="167" formatCode="0.00x"/>
    <numFmt numFmtId="168" formatCode="0.0000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</font>
    <font>
      <color rgb="00000000"/>
    </font>
    <font>
      <color rgb="000000FF"/>
    </font>
    <font>
      <b val="1"/>
      <color rgb="00000000"/>
    </font>
    <font>
      <color rgb="00008000"/>
    </font>
    <font>
      <b val="1"/>
      <color rgb="00008000"/>
    </font>
    <font>
      <b val="1"/>
      <color rgb="000000FF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8" fillId="0" borderId="0" pivotButton="0" quotePrefix="0" xfId="0"/>
    <xf numFmtId="166" fontId="8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0" fontId="7" fillId="4" borderId="0" pivotButton="0" quotePrefix="0" xfId="0"/>
    <xf numFmtId="164" fontId="7" fillId="4" borderId="0" pivotButton="0" quotePrefix="0" xfId="0"/>
    <xf numFmtId="166" fontId="7" fillId="4" borderId="0" pivotButton="0" quotePrefix="0" xfId="0"/>
    <xf numFmtId="0" fontId="4" fillId="4" borderId="0" pivotButton="0" quotePrefix="0" xfId="0"/>
    <xf numFmtId="164" fontId="9" fillId="4" borderId="0" pivotButton="0" quotePrefix="0" xfId="0"/>
    <xf numFmtId="165" fontId="5" fillId="0" borderId="0" pivotButton="0" quotePrefix="0" xfId="0"/>
    <xf numFmtId="165" fontId="8" fillId="0" borderId="0" pivotButton="0" quotePrefix="0" xfId="0"/>
    <xf numFmtId="165" fontId="6" fillId="0" borderId="0" pivotButton="0" quotePrefix="0" xfId="0"/>
    <xf numFmtId="10" fontId="8" fillId="0" borderId="0" pivotButton="0" quotePrefix="0" xfId="0"/>
    <xf numFmtId="1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5" fontId="7" fillId="4" borderId="0" pivotButton="0" quotePrefix="0" xfId="0"/>
    <xf numFmtId="165" fontId="7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0" fontId="5" fillId="0" borderId="0" pivotButton="0" quotePrefix="0" xfId="0"/>
    <xf numFmtId="10" fontId="7" fillId="0" borderId="0" pivotButton="0" quotePrefix="0" xfId="0"/>
    <xf numFmtId="166" fontId="7" fillId="0" borderId="0" pivotButton="0" quotePrefix="0" xfId="0"/>
    <xf numFmtId="165" fontId="10" fillId="0" borderId="0" pivotButton="0" quotePrefix="0" xfId="0"/>
    <xf numFmtId="165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168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Modon Holding PSC (ADX: MODON) · Revision 2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REVISION 2 (9 Aug 2026). This edition restrikes the valuation on the 30-Jun-2026 reviewed balance</t>
        </is>
      </c>
    </row>
    <row r="6">
      <c r="A6" s="3" t="inlineStr">
        <is>
          <t>sheet and the H1-2026 results release (revenue backlog AED 65.4bn, 95% development; H1 real-estate</t>
        </is>
      </c>
    </row>
    <row r="7">
      <c r="A7" s="3" t="inlineStr">
        <is>
          <t>sales AED 26bn) — disclosures the first edition failed to carry into its drivers, a defect surfaced</t>
        </is>
      </c>
    </row>
    <row r="8">
      <c r="A8" s="3" t="inlineStr">
        <is>
          <t>by external audits and accepted. The audits' other accepted findings are implemented throughout:</t>
        </is>
      </c>
    </row>
    <row r="9">
      <c r="A9" s="3" t="inlineStr">
        <is>
          <t>the bridge uses AVAILABLE cash (AED 8.6bn) rather than gross cash including project escrow; the</t>
        </is>
      </c>
    </row>
    <row r="10">
      <c r="A10" s="3" t="inlineStr">
        <is>
          <t>terminal debt weight is DERIVED from the model's own terminal-year balance sheet; working capital</t>
        </is>
      </c>
    </row>
    <row r="11">
      <c r="A11" s="3" t="inlineStr">
        <is>
          <t>is built from components (receivable days, land-bank conversion, payables/advances cover); D&amp;A is</t>
        </is>
      </c>
    </row>
    <row r="12">
      <c r="A12" s="3" t="inlineStr">
        <is>
          <t>charged on the asset base; beta is a regression (1.03 vs an equal-weight panel proxy), no longer an</t>
        </is>
      </c>
    </row>
    <row r="13">
      <c r="A13" s="3" t="inlineStr">
        <is>
          <t>assumption; and the mid-chain hardcoded numerals the audits found are eliminated.</t>
        </is>
      </c>
    </row>
    <row r="14">
      <c r="A14" s="3" t="inlineStr"/>
    </row>
    <row r="15">
      <c r="A15" s="3" t="inlineStr">
        <is>
          <t>What this workbook is. Every blue cell is an input; every black cell is a formula; green cells link</t>
        </is>
      </c>
    </row>
    <row r="16">
      <c r="A16" s="3" t="inlineStr">
        <is>
          <t>across sheets. The cost of capital is built from the AED government yield net of the sovereign</t>
        </is>
      </c>
    </row>
    <row r="17">
      <c r="A17" s="3" t="inlineStr">
        <is>
          <t>spread, beta and the premium; the development backlog rolls forward in front of you; the DCF</t>
        </is>
      </c>
    </row>
    <row r="18">
      <c r="A18" s="3" t="inlineStr">
        <is>
          <t>waterfall chains EBITDA → EBIT → NOPAT → free cash flow → present value; the terminal block derives</t>
        </is>
      </c>
    </row>
    <row r="19">
      <c r="A19" s="3" t="inlineStr">
        <is>
          <t>its reinvestment rate from growth over return on capital; the statements, ratios and all four</t>
        </is>
      </c>
    </row>
    <row r="20">
      <c r="A20" s="3" t="inlineStr">
        <is>
          <t>lenses chain off the same cells.</t>
        </is>
      </c>
    </row>
    <row r="21">
      <c r="A21" s="3" t="inlineStr"/>
    </row>
    <row r="22">
      <c r="A22" s="3" t="inlineStr">
        <is>
          <t>THREE THINGS ARE PASTED VALUES. First, audited and disclosed history (the primary record; where a</t>
        </is>
      </c>
    </row>
    <row r="23">
      <c r="A23" s="3" t="inlineStr">
        <is>
          <t>line is both disclosed and derivable, the DISCLOSED figure is carried). Second, the FY2025</t>
        </is>
      </c>
    </row>
    <row r="24">
      <c r="A24" s="3" t="inlineStr">
        <is>
          <t>four-segment base and the 30-Jun-2026 balance-sheet anchors — pasted once, with the entire forecast</t>
        </is>
      </c>
    </row>
    <row r="25">
      <c r="A25" s="3" t="inlineStr">
        <is>
          <t>chaining off them as formulas. Third, whole-model engine outputs, where each figure is a complete</t>
        </is>
      </c>
    </row>
    <row r="26">
      <c r="A26" s="3" t="inlineStr">
        <is>
          <t>re-run: the Monte Carlo price map, the sensitivity grids and the scenario outputs (run-off,</t>
        </is>
      </c>
    </row>
    <row r="27">
      <c r="A27" s="3" t="inlineStr">
        <is>
          <t>growth-hold, Egypt stress). Their DRIVER VECTORS are published on the Assumptions sheet so each</t>
        </is>
      </c>
    </row>
    <row r="28">
      <c r="A28" s="3" t="inlineStr">
        <is>
          <t>re-run is reproducible, but the grids do NOT redraw when a driver changes; everything else reprices</t>
        </is>
      </c>
    </row>
    <row r="29">
      <c r="A29" s="3" t="inlineStr">
        <is>
          <t>live, and the workbook forces a full recalculation when opened.</t>
        </is>
      </c>
    </row>
    <row r="30">
      <c r="A30" s="3" t="inlineStr"/>
    </row>
    <row r="31">
      <c r="A31" s="3" t="inlineStr">
        <is>
          <t>The contested judgement, shown both ways. Base: the realised H1-2026 surge normalises but sustains.</t>
        </is>
      </c>
    </row>
    <row r="32">
      <c r="A32" s="3" t="inlineStr">
        <is>
          <t>Run-off (now labelled a stress — the H1 disclosure falsified it as a central path): launches halve</t>
        </is>
      </c>
    </row>
    <row r="33">
      <c r="A33" s="3" t="inlineStr">
        <is>
          <t>and fade. Both DCFs are shown side by side; never averaged.</t>
        </is>
      </c>
    </row>
    <row r="34">
      <c r="A34" s="3" t="inlineStr"/>
    </row>
    <row r="35">
      <c r="A35" s="3" t="inlineStr">
        <is>
          <t>What it is not. Not investment advice, a recommendation, or a price target. Values are model</t>
        </is>
      </c>
    </row>
    <row r="36">
      <c r="A36" s="3" t="inlineStr">
        <is>
          <t>outputs shown as ranges.</t>
        </is>
      </c>
    </row>
    <row r="37">
      <c r="A37" s="3" t="inlineStr"/>
    </row>
    <row r="38">
      <c r="A38" s="3" t="inlineStr">
        <is>
          <t>Currency. AED million unless stated. Spot AED 2.83 (7-Aug-2026 close); valuation date</t>
        </is>
      </c>
    </row>
    <row r="39">
      <c r="A39" s="3" t="inlineStr">
        <is>
          <t>30-Jun-2026, rolled 38 days to the price anchor. Sheets: READ FIRST · Summary · Fundamental</t>
        </is>
      </c>
    </row>
    <row r="40">
      <c r="A40" s="3" t="inlineStr">
        <is>
          <t>Valuation · Assumptions · SOTP Bridge · Segments · Relative &amp; Normalized · DCF · Income Statement ·</t>
        </is>
      </c>
    </row>
    <row r="41">
      <c r="A41" s="3" t="inlineStr">
        <is>
          <t>Balance Sheet · Cash Flow · Summary Financials · Monte Carlo · Sensitivity · Per-Share &amp; Ratios ·</t>
        </is>
      </c>
    </row>
    <row r="42">
      <c r="A42" s="3" t="inlineStr">
        <is>
          <t>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Summary — valuation at a glance (revision 3)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All values link live to their source sheets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Weight</t>
        </is>
      </c>
      <c r="F4" s="5" t="inlineStr">
        <is>
          <t>Contribution</t>
        </is>
      </c>
      <c r="G4" s="5" t="inlineStr">
        <is>
          <t>vs spot</t>
        </is>
      </c>
    </row>
    <row r="5">
      <c r="A5" s="6" t="inlineStr">
        <is>
          <t>Discounted cash flow (primary)</t>
        </is>
      </c>
      <c r="B5" s="7" t="n">
        <v>2.643232316556594</v>
      </c>
      <c r="C5" s="8">
        <f>DCF!C62</f>
        <v/>
      </c>
      <c r="D5" s="7" t="n">
        <v>4.13375247645742</v>
      </c>
      <c r="E5" s="9">
        <f>Assumptions!$C$82</f>
        <v/>
      </c>
      <c r="F5" s="10">
        <f>C5*E5</f>
        <v/>
      </c>
      <c r="G5" s="11">
        <f>C5/$C$14-1</f>
        <v/>
      </c>
    </row>
    <row r="6">
      <c r="A6" s="6" t="inlineStr">
        <is>
          <t>Relative multiples</t>
        </is>
      </c>
      <c r="B6" s="8">
        <f>'Relative &amp; Normalized'!C12</f>
        <v/>
      </c>
      <c r="C6" s="8">
        <f>'Relative &amp; Normalized'!C11</f>
        <v/>
      </c>
      <c r="D6" s="8">
        <f>'Relative &amp; Normalized'!D12</f>
        <v/>
      </c>
      <c r="E6" s="9">
        <f>Assumptions!$C$83</f>
        <v/>
      </c>
      <c r="F6" s="10">
        <f>C6*E6</f>
        <v/>
      </c>
      <c r="G6" s="11">
        <f>C6/$C$14-1</f>
        <v/>
      </c>
    </row>
    <row r="7">
      <c r="A7" s="6" t="inlineStr">
        <is>
          <t>Normalised earnings power</t>
        </is>
      </c>
      <c r="B7" s="8">
        <f>'Relative &amp; Normalized'!E28</f>
        <v/>
      </c>
      <c r="C7" s="8">
        <f>'Relative &amp; Normalized'!C28</f>
        <v/>
      </c>
      <c r="D7" s="8">
        <f>'Relative &amp; Normalized'!F28</f>
        <v/>
      </c>
      <c r="E7" s="9">
        <f>Assumptions!$C$84</f>
        <v/>
      </c>
      <c r="F7" s="10">
        <f>C7*E7</f>
        <v/>
      </c>
      <c r="G7" s="11">
        <f>C7/$C$14-1</f>
        <v/>
      </c>
    </row>
    <row r="8">
      <c r="A8" s="6" t="inlineStr">
        <is>
          <t>Book value and sustainable return</t>
        </is>
      </c>
      <c r="B8" s="8">
        <f>'Relative &amp; Normalized'!E36</f>
        <v/>
      </c>
      <c r="C8" s="8">
        <f>'Relative &amp; Normalized'!C36</f>
        <v/>
      </c>
      <c r="D8" s="8">
        <f>'Relative &amp; Normalized'!F36</f>
        <v/>
      </c>
      <c r="E8" s="9">
        <f>Assumptions!$C$85</f>
        <v/>
      </c>
      <c r="F8" s="10">
        <f>C8*E8</f>
        <v/>
      </c>
      <c r="G8" s="11">
        <f>C8/$C$14-1</f>
        <v/>
      </c>
    </row>
    <row r="9">
      <c r="A9" s="12" t="inlineStr">
        <is>
          <t>Weighted central</t>
        </is>
      </c>
      <c r="B9" s="13">
        <f>MIN(B5:B8)</f>
        <v/>
      </c>
      <c r="C9" s="13">
        <f>SUM(F5:F8)</f>
        <v/>
      </c>
      <c r="D9" s="13">
        <f>MAX(D5:D8)</f>
        <v/>
      </c>
      <c r="E9" s="14">
        <f>SUM(E5:E8)</f>
        <v/>
      </c>
      <c r="F9" s="15" t="n"/>
      <c r="G9" s="14">
        <f>C9/$C$14-1</f>
        <v/>
      </c>
    </row>
    <row r="11">
      <c r="A11" s="6" t="inlineStr">
        <is>
          <t>The contested judgement: DCF base vs run-off stress</t>
        </is>
      </c>
      <c r="C11" s="8">
        <f>DCF!C62</f>
        <v/>
      </c>
      <c r="D11" s="7" t="n">
        <v>2.643232316556594</v>
      </c>
    </row>
    <row r="12">
      <c r="A12" s="6" t="inlineStr">
        <is>
          <t>Terminal value share of DCF enterprise value</t>
        </is>
      </c>
      <c r="C12" s="9">
        <f>DCF!C49</f>
        <v/>
      </c>
    </row>
    <row r="13">
      <c r="A13" s="6" t="inlineStr">
        <is>
          <t>Expert panel median</t>
        </is>
      </c>
      <c r="C13" s="7" t="n">
        <v>2.478745616179524</v>
      </c>
    </row>
    <row r="14">
      <c r="A14" s="12" t="inlineStr">
        <is>
          <t>Market price (anchor, 7-Aug-2026)</t>
        </is>
      </c>
      <c r="B14" s="15" t="n"/>
      <c r="C14" s="16">
        <f>Assumptions!$C$4</f>
        <v/>
      </c>
      <c r="D14" s="15" t="n"/>
      <c r="E14" s="15" t="n"/>
      <c r="F14" s="15" t="n"/>
      <c r="G14" s="15" t="n"/>
    </row>
    <row r="16">
      <c r="A16" s="5" t="inlineStr">
        <is>
          <t>Key figure</t>
        </is>
      </c>
      <c r="B16" s="5" t="inlineStr">
        <is>
          <t>Value</t>
        </is>
      </c>
    </row>
    <row r="17">
      <c r="A17" s="6" t="inlineStr">
        <is>
          <t>Market capitalisation (AED mn)</t>
        </is>
      </c>
      <c r="C17" s="17">
        <f>Assumptions!$C$4*Assumptions!$C$5</f>
        <v/>
      </c>
    </row>
    <row r="18">
      <c r="A18" s="6" t="inlineStr">
        <is>
          <t>Net cash, strict basis (all cash − all debt, 30-Jun-2026)</t>
        </is>
      </c>
      <c r="C18" s="18">
        <f>Assumptions!$C$9-Assumptions!$C$10</f>
        <v/>
      </c>
    </row>
    <row r="19">
      <c r="A19" s="6" t="inlineStr">
        <is>
          <t>Net debt, company definition (available cash − debt, disclosed)</t>
        </is>
      </c>
      <c r="C19" s="19" t="n">
        <v>-912</v>
      </c>
    </row>
    <row r="20">
      <c r="A20" s="6" t="inlineStr">
        <is>
          <t>FY2026E revenue (H1 actual + H2 model)</t>
        </is>
      </c>
      <c r="C20" s="18">
        <f>Assumptions!$C$19+DCF!B5</f>
        <v/>
      </c>
    </row>
    <row r="21">
      <c r="A21" s="6" t="inlineStr">
        <is>
          <t>FY2026E attributable profit</t>
        </is>
      </c>
      <c r="C21" s="18">
        <f>'Relative &amp; Normalized'!C5</f>
        <v/>
      </c>
    </row>
    <row r="22">
      <c r="A22" s="6" t="inlineStr">
        <is>
          <t>Cost of capital (explicit window)</t>
        </is>
      </c>
      <c r="C22" s="20">
        <f>DCF!C36</f>
        <v/>
      </c>
    </row>
    <row r="23">
      <c r="A23" s="6" t="inlineStr">
        <is>
          <t>Cost of capital (terminal, derived weights)</t>
        </is>
      </c>
      <c r="C23" s="20">
        <f>DCF!C38</f>
        <v/>
      </c>
    </row>
    <row r="24">
      <c r="A24" s="6" t="inlineStr">
        <is>
          <t>Terminal growth</t>
        </is>
      </c>
      <c r="C24" s="20">
        <f>Assumptions!$C$66</f>
        <v/>
      </c>
    </row>
    <row r="26">
      <c r="A26" s="5" t="inlineStr">
        <is>
          <t>Monte Carlo price map (engine re-run, pasted)</t>
        </is>
      </c>
      <c r="B26" s="5" t="inlineStr">
        <is>
          <t>1 month</t>
        </is>
      </c>
      <c r="C26" s="5" t="inlineStr">
        <is>
          <t>3 months</t>
        </is>
      </c>
    </row>
    <row r="27">
      <c r="A27" s="6" t="inlineStr">
        <is>
          <t>5th percentile</t>
        </is>
      </c>
      <c r="B27" s="7" t="n">
        <v>2.537067974301798</v>
      </c>
      <c r="C27" s="7" t="n">
        <v>2.319965747344324</v>
      </c>
    </row>
    <row r="28">
      <c r="A28" s="6" t="inlineStr">
        <is>
          <t>25th percentile</t>
        </is>
      </c>
      <c r="B28" s="7" t="n">
        <v>2.718595960543321</v>
      </c>
      <c r="C28" s="7" t="n">
        <v>2.637975726186433</v>
      </c>
    </row>
    <row r="29">
      <c r="A29" s="6" t="inlineStr">
        <is>
          <t>Median</t>
        </is>
      </c>
      <c r="B29" s="7" t="n">
        <v>2.838308856303401</v>
      </c>
      <c r="C29" s="7" t="n">
        <v>2.857647930306376</v>
      </c>
    </row>
    <row r="30">
      <c r="A30" s="6" t="inlineStr">
        <is>
          <t>75th percentile</t>
        </is>
      </c>
      <c r="B30" s="7" t="n">
        <v>2.963942198127806</v>
      </c>
      <c r="C30" s="7" t="n">
        <v>3.094773382373537</v>
      </c>
    </row>
    <row r="31">
      <c r="A31" s="6" t="inlineStr">
        <is>
          <t>95th percentile</t>
        </is>
      </c>
      <c r="B31" s="7" t="n">
        <v>3.169632883184554</v>
      </c>
      <c r="C31" s="7" t="n">
        <v>3.523723381103312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Fundamental valuation — four lenses, the contested judgement and the stresses</t>
        </is>
      </c>
      <c r="B1" s="2" t="n"/>
      <c r="C1" s="2" t="n"/>
      <c r="D1" s="2" t="n"/>
      <c r="E1" s="2" t="n"/>
      <c r="F1" s="2" t="n"/>
    </row>
    <row r="4">
      <c r="A4" s="5" t="inlineStr">
        <is>
          <t>Lens / step</t>
        </is>
      </c>
      <c r="B4" s="5" t="inlineStr">
        <is>
          <t>Basis</t>
        </is>
      </c>
      <c r="C4" s="5" t="inlineStr">
        <is>
          <t>AED per share</t>
        </is>
      </c>
    </row>
    <row r="5">
      <c r="A5" s="6" t="inlineStr">
        <is>
          <t>Discounted cash flow (primary)</t>
        </is>
      </c>
      <c r="B5" s="6" t="inlineStr">
        <is>
          <t>links to the DCF sheet</t>
        </is>
      </c>
      <c r="C5" s="8">
        <f>DCF!C62</f>
        <v/>
      </c>
    </row>
    <row r="6">
      <c r="A6" s="6" t="inlineStr">
        <is>
          <t xml:space="preserve">  run-off stress</t>
        </is>
      </c>
      <c r="B6" s="6" t="inlineStr">
        <is>
          <t>launches halve and fade (engine re-run; vectors on Assumptions)</t>
        </is>
      </c>
      <c r="C6" s="7" t="n">
        <v>2.643232316556594</v>
      </c>
    </row>
    <row r="7">
      <c r="A7" s="6" t="inlineStr">
        <is>
          <t xml:space="preserve">  growth-hold alternative</t>
        </is>
      </c>
      <c r="B7" s="6" t="inlineStr">
        <is>
          <t>sales hold near the realised pace (engine re-run)</t>
        </is>
      </c>
      <c r="C7" s="7" t="n">
        <v>4.13375247645742</v>
      </c>
    </row>
    <row r="8">
      <c r="A8" s="6" t="inlineStr">
        <is>
          <t xml:space="preserve">  Egypt-risk stress</t>
        </is>
      </c>
      <c r="B8" s="6" t="inlineStr">
        <is>
          <t>non-UAE revenue share carries the Egypt premium (engine re-run)</t>
        </is>
      </c>
      <c r="C8" s="7" t="n">
        <v>2.827564759210456</v>
      </c>
    </row>
    <row r="9">
      <c r="A9" s="6" t="inlineStr">
        <is>
          <t xml:space="preserve">  gross-cash bridge alternative</t>
        </is>
      </c>
      <c r="B9" s="6" t="inlineStr">
        <is>
          <t>escrow/restricted cash included (engine re-run)</t>
        </is>
      </c>
      <c r="C9" s="7" t="n">
        <v>3.771628430049033</v>
      </c>
    </row>
    <row r="10">
      <c r="A10" s="6" t="inlineStr">
        <is>
          <t>Relative multiples</t>
        </is>
      </c>
      <c r="B10" s="6" t="inlineStr">
        <is>
          <t>justified P/E vs the rebuilt attributable peer set</t>
        </is>
      </c>
      <c r="C10" s="8">
        <f>'Relative &amp; Normalized'!C11</f>
        <v/>
      </c>
    </row>
    <row r="11">
      <c r="A11" s="6" t="inlineStr">
        <is>
          <t>Normalised earnings power</t>
        </is>
      </c>
      <c r="B11" s="6" t="inlineStr">
        <is>
          <t>through-cycle sales, margin, multiple</t>
        </is>
      </c>
      <c r="C11" s="8">
        <f>'Relative &amp; Normalized'!C28</f>
        <v/>
      </c>
    </row>
    <row r="12">
      <c r="A12" s="6" t="inlineStr">
        <is>
          <t>Book value and sustainable return</t>
        </is>
      </c>
      <c r="B12" s="6" t="inlineStr">
        <is>
          <t>justified P/B on sustainable ROE, rolled</t>
        </is>
      </c>
      <c r="C12" s="8">
        <f>'Relative &amp; Normalized'!C36</f>
        <v/>
      </c>
    </row>
    <row r="14">
      <c r="A14" s="12" t="inlineStr">
        <is>
          <t>Weighted central (links to Summary)</t>
        </is>
      </c>
      <c r="B14" s="15" t="n"/>
      <c r="C14" s="13">
        <f>Summary!C9</f>
        <v/>
      </c>
    </row>
    <row r="16">
      <c r="A16" s="6" t="inlineStr">
        <is>
          <t>What the market price implies</t>
        </is>
      </c>
      <c r="B16" s="6" t="inlineStr">
        <is>
          <t>cost-of-equity adder reconciling the base DCF to spot (engine solve)</t>
        </is>
      </c>
      <c r="C16" s="21" t="n">
        <v>0.02693414991240069</v>
      </c>
    </row>
    <row r="18">
      <c r="A18" s="5" t="inlineStr">
        <is>
          <t>Expert panel (engine re-runs, worked in Appendix C)</t>
        </is>
      </c>
      <c r="B18" s="5" t="inlineStr">
        <is>
          <t>Method</t>
        </is>
      </c>
      <c r="C18" s="5" t="inlineStr">
        <is>
          <t>AED per share</t>
        </is>
      </c>
    </row>
    <row r="19">
      <c r="A19" s="6" t="inlineStr">
        <is>
          <t>Expert 1</t>
        </is>
      </c>
      <c r="B19" s="6" t="inlineStr">
        <is>
          <t>asset value (RNAV)</t>
        </is>
      </c>
      <c r="C19" s="7" t="n">
        <v>4.058071128115847</v>
      </c>
    </row>
    <row r="20">
      <c r="A20" s="6" t="inlineStr">
        <is>
          <t>Expert 2</t>
        </is>
      </c>
      <c r="B20" s="6" t="inlineStr">
        <is>
          <t>owner cash flow, run-off stress basis</t>
        </is>
      </c>
      <c r="C20" s="7" t="n">
        <v>2.478745616179524</v>
      </c>
    </row>
    <row r="21">
      <c r="A21" s="6" t="inlineStr">
        <is>
          <t>Expert 3</t>
        </is>
      </c>
      <c r="B21" s="6" t="inlineStr">
        <is>
          <t>peer-multiple convergence</t>
        </is>
      </c>
      <c r="C21" s="7" t="n">
        <v>1.814855425613052</v>
      </c>
    </row>
    <row r="22">
      <c r="A22" s="22" t="inlineStr">
        <is>
          <t>Panel median</t>
        </is>
      </c>
      <c r="C22" s="23">
        <f>MEDIAN(C19:C21)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Assumptions — every blue cell reprices the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Vectors run H2-2026E..FY2030E across columns C..G; scenario vectors at the foot are published for reproducibility of the pasted engine outputs</t>
        </is>
      </c>
    </row>
    <row r="3">
      <c r="A3" s="5" t="inlineStr">
        <is>
          <t>Driver</t>
        </is>
      </c>
      <c r="B3" s="5" t="inlineStr"/>
      <c r="C3" s="5" t="inlineStr">
        <is>
          <t>H2-26E / value</t>
        </is>
      </c>
      <c r="D3" s="5" t="inlineStr">
        <is>
          <t>FY27E</t>
        </is>
      </c>
      <c r="E3" s="5" t="inlineStr">
        <is>
          <t>FY28E</t>
        </is>
      </c>
      <c r="F3" s="5" t="inlineStr">
        <is>
          <t>FY29E</t>
        </is>
      </c>
      <c r="G3" s="5" t="inlineStr">
        <is>
          <t>FY30E</t>
        </is>
      </c>
    </row>
    <row r="4">
      <c r="A4" s="6" t="inlineStr">
        <is>
          <t>Spot price (AED, 7-Aug-2026 close)</t>
        </is>
      </c>
      <c r="C4" s="7" t="n">
        <v>2.83</v>
      </c>
    </row>
    <row r="5">
      <c r="A5" s="6" t="inlineStr">
        <is>
          <t>Shares outstanding (mn)</t>
        </is>
      </c>
      <c r="C5" s="19" t="n">
        <v>16347.08</v>
      </c>
    </row>
    <row r="6">
      <c r="A6" s="12" t="inlineStr">
        <is>
          <t>30-Jun-2026 anchors (reviewed interim + results release, pasted)</t>
        </is>
      </c>
      <c r="B6" s="15" t="n"/>
      <c r="C6" s="15" t="n"/>
      <c r="D6" s="15" t="n"/>
      <c r="E6" s="15" t="n"/>
      <c r="F6" s="15" t="n"/>
      <c r="G6" s="15" t="n"/>
      <c r="H6" s="15" t="n"/>
    </row>
    <row r="7">
      <c r="A7" s="6" t="inlineStr">
        <is>
          <t>Development backlog at 30-Jun-2026 (65.4bn × 95%, disclosed)</t>
        </is>
      </c>
      <c r="C7" s="19" t="n">
        <v>62130</v>
      </c>
    </row>
    <row r="8">
      <c r="A8" s="6" t="inlineStr">
        <is>
          <t>Unrestricted (available) cash at 30-Jun-2026 (disclosed)</t>
        </is>
      </c>
      <c r="C8" s="19" t="n">
        <v>8600</v>
      </c>
    </row>
    <row r="9">
      <c r="A9" s="6" t="inlineStr">
        <is>
          <t>Total cash and bank balances at 30-Jun-2026 (disclosed)</t>
        </is>
      </c>
      <c r="C9" s="19" t="n">
        <v>12303.24</v>
      </c>
    </row>
    <row r="10">
      <c r="A10" s="6" t="inlineStr">
        <is>
          <t>Gross debt incl. related-party loan at 30-Jun-2026 (disclosed)</t>
        </is>
      </c>
      <c r="C10" s="19" t="n">
        <v>9541.684999999999</v>
      </c>
    </row>
    <row r="11">
      <c r="A11" s="6" t="inlineStr">
        <is>
          <t>Lease liabilities at 30-Jun-2026 (disclosed)</t>
        </is>
      </c>
      <c r="C11" s="19" t="n">
        <v>644.799</v>
      </c>
    </row>
    <row r="12">
      <c r="A12" s="6" t="inlineStr">
        <is>
          <t>Associates &amp; JVs at carrying value, 30-Jun-2026 (disclosed)</t>
        </is>
      </c>
      <c r="C12" s="19" t="n">
        <v>2826.454</v>
      </c>
    </row>
    <row r="13">
      <c r="A13" s="6" t="inlineStr">
        <is>
          <t>Investments in financial assets, 30-Jun-2026 (disclosed)</t>
        </is>
      </c>
      <c r="C13" s="19" t="n">
        <v>392.972</v>
      </c>
    </row>
    <row r="14">
      <c r="A14" s="6" t="inlineStr">
        <is>
          <t>Non-controlling interests, 30-Jun-2026 (disclosed)</t>
        </is>
      </c>
      <c r="C14" s="19" t="n">
        <v>922.342</v>
      </c>
    </row>
    <row r="15">
      <c r="A15" s="6" t="inlineStr">
        <is>
          <t>Equity attributable to owners, 30-Jun-2026 (disclosed)</t>
        </is>
      </c>
      <c r="C15" s="19" t="n">
        <v>56396.629</v>
      </c>
    </row>
    <row r="16">
      <c r="A16" s="6" t="inlineStr">
        <is>
          <t>Receivables incl. related-party, 30-Jun-2026 (disclosed)</t>
        </is>
      </c>
      <c r="C16" s="19" t="n">
        <v>22155.68</v>
      </c>
    </row>
    <row r="17">
      <c r="A17" s="6" t="inlineStr">
        <is>
          <t>Inventories + development WIP, 30-Jun-2026 (disclosed)</t>
        </is>
      </c>
      <c r="C17" s="19" t="n">
        <v>34087.289</v>
      </c>
    </row>
    <row r="18">
      <c r="A18" s="6" t="inlineStr">
        <is>
          <t>Payables incl. advances + related-party, 30-Jun-2026 (disclosed)</t>
        </is>
      </c>
      <c r="C18" s="19" t="n">
        <v>22289.32</v>
      </c>
    </row>
    <row r="19">
      <c r="A19" s="6" t="inlineStr">
        <is>
          <t>H1-2026 revenue (actual)</t>
        </is>
      </c>
      <c r="C19" s="19" t="n">
        <v>9188.304</v>
      </c>
    </row>
    <row r="20">
      <c r="A20" s="6" t="inlineStr">
        <is>
          <t>H1-2026 gross profit (actual)</t>
        </is>
      </c>
      <c r="C20" s="19" t="n">
        <v>3201.275</v>
      </c>
    </row>
    <row r="21">
      <c r="A21" s="6" t="inlineStr">
        <is>
          <t>H1-2026 attributable profit (actual)</t>
        </is>
      </c>
      <c r="C21" s="19" t="n">
        <v>2162.966</v>
      </c>
    </row>
    <row r="22">
      <c r="A22" s="6" t="inlineStr">
        <is>
          <t>H1-2026 adjusted EBITDA (disclosed)</t>
        </is>
      </c>
      <c r="C22" s="19" t="n">
        <v>2995</v>
      </c>
    </row>
    <row r="23">
      <c r="A23" s="6" t="inlineStr">
        <is>
          <t>Depreciable asset base at 30-Jun-2026 (PP&amp;E+IP+ROU+intangibles)</t>
        </is>
      </c>
      <c r="C23" s="19" t="n">
        <v>19736.134</v>
      </c>
    </row>
    <row r="24">
      <c r="A24" s="12" t="inlineStr">
        <is>
          <t>Forecast drivers (H2-2026 stub, then annual)</t>
        </is>
      </c>
      <c r="B24" s="15" t="n"/>
      <c r="C24" s="15" t="n"/>
      <c r="D24" s="15" t="n"/>
      <c r="E24" s="15" t="n"/>
      <c r="F24" s="15" t="n"/>
      <c r="G24" s="15" t="n"/>
      <c r="H24" s="15" t="n"/>
    </row>
    <row r="25">
      <c r="A25" s="6" t="inlineStr">
        <is>
          <t>Backlog conversion rate on opening development backlog</t>
        </is>
      </c>
      <c r="C25" s="24" t="n">
        <v>0.105</v>
      </c>
      <c r="D25" s="24" t="n">
        <v>0.25</v>
      </c>
      <c r="E25" s="24" t="n">
        <v>0.28</v>
      </c>
      <c r="F25" s="24" t="n">
        <v>0.3</v>
      </c>
      <c r="G25" s="24" t="n">
        <v>0.32</v>
      </c>
    </row>
    <row r="26">
      <c r="A26" s="6" t="inlineStr">
        <is>
          <t>New development sales (AED mn)</t>
        </is>
      </c>
      <c r="C26" s="19" t="n">
        <v>12000</v>
      </c>
      <c r="D26" s="19" t="n">
        <v>30000</v>
      </c>
      <c r="E26" s="19" t="n">
        <v>26000</v>
      </c>
      <c r="F26" s="19" t="n">
        <v>23000</v>
      </c>
      <c r="G26" s="19" t="n">
        <v>21000</v>
      </c>
    </row>
    <row r="27">
      <c r="A27" s="6" t="inlineStr">
        <is>
          <t>Land and plot sales revenue (AED mn)</t>
        </is>
      </c>
      <c r="C27" s="19" t="n">
        <v>700</v>
      </c>
      <c r="D27" s="19" t="n">
        <v>1400</v>
      </c>
      <c r="E27" s="19" t="n">
        <v>1300</v>
      </c>
      <c r="F27" s="19" t="n">
        <v>1200</v>
      </c>
      <c r="G27" s="19" t="n">
        <v>1100</v>
      </c>
    </row>
    <row r="28">
      <c r="A28" s="6" t="inlineStr">
        <is>
          <t>Development gross margin</t>
        </is>
      </c>
      <c r="C28" s="24" t="n">
        <v>0.41</v>
      </c>
      <c r="D28" s="24" t="n">
        <v>0.4</v>
      </c>
      <c r="E28" s="24" t="n">
        <v>0.39</v>
      </c>
      <c r="F28" s="24" t="n">
        <v>0.385</v>
      </c>
      <c r="G28" s="24" t="n">
        <v>0.38</v>
      </c>
    </row>
    <row r="29">
      <c r="A29" s="6" t="inlineStr">
        <is>
          <t>Asset &amp; investment management growth (from FY27)</t>
        </is>
      </c>
      <c r="C29" s="24" t="n">
        <v>0</v>
      </c>
      <c r="D29" s="24" t="n">
        <v>0.09</v>
      </c>
      <c r="E29" s="24" t="n">
        <v>0.08500000000000001</v>
      </c>
      <c r="F29" s="24" t="n">
        <v>0.08</v>
      </c>
      <c r="G29" s="24" t="n">
        <v>0.08</v>
      </c>
    </row>
    <row r="30">
      <c r="A30" s="6" t="inlineStr">
        <is>
          <t>Asset &amp; investment management H2-2026E revenue</t>
        </is>
      </c>
      <c r="C30" s="19" t="n">
        <v>385</v>
      </c>
    </row>
    <row r="31">
      <c r="A31" s="6" t="inlineStr">
        <is>
          <t>Asset &amp; investment management gross margin</t>
        </is>
      </c>
      <c r="C31" s="24" t="n">
        <v>0.68</v>
      </c>
      <c r="D31" s="24" t="n">
        <v>0.66</v>
      </c>
      <c r="E31" s="24" t="n">
        <v>0.65</v>
      </c>
      <c r="F31" s="24" t="n">
        <v>0.64</v>
      </c>
      <c r="G31" s="24" t="n">
        <v>0.64</v>
      </c>
    </row>
    <row r="32">
      <c r="A32" s="6" t="inlineStr">
        <is>
          <t>Hospitality growth (from FY27)</t>
        </is>
      </c>
      <c r="C32" s="24" t="n">
        <v>0</v>
      </c>
      <c r="D32" s="24" t="n">
        <v>0.07000000000000001</v>
      </c>
      <c r="E32" s="24" t="n">
        <v>0.07000000000000001</v>
      </c>
      <c r="F32" s="24" t="n">
        <v>0.06</v>
      </c>
      <c r="G32" s="24" t="n">
        <v>0.06</v>
      </c>
    </row>
    <row r="33">
      <c r="A33" s="6" t="inlineStr">
        <is>
          <t>Hospitality H2-2026E revenue</t>
        </is>
      </c>
      <c r="C33" s="19" t="n">
        <v>452</v>
      </c>
    </row>
    <row r="34">
      <c r="A34" s="6" t="inlineStr">
        <is>
          <t>Hospitality gross margin</t>
        </is>
      </c>
      <c r="C34" s="24" t="n">
        <v>0.29</v>
      </c>
      <c r="D34" s="24" t="n">
        <v>0.28</v>
      </c>
      <c r="E34" s="24" t="n">
        <v>0.29</v>
      </c>
      <c r="F34" s="24" t="n">
        <v>0.3</v>
      </c>
      <c r="G34" s="24" t="n">
        <v>0.3</v>
      </c>
    </row>
    <row r="35">
      <c r="A35" s="6" t="inlineStr">
        <is>
          <t>Events, catering &amp; tourism growth (from FY27)</t>
        </is>
      </c>
      <c r="C35" s="24" t="n">
        <v>0</v>
      </c>
      <c r="D35" s="24" t="n">
        <v>0.045</v>
      </c>
      <c r="E35" s="24" t="n">
        <v>0.043</v>
      </c>
      <c r="F35" s="24" t="n">
        <v>0.041</v>
      </c>
      <c r="G35" s="24" t="n">
        <v>0.039</v>
      </c>
    </row>
    <row r="36">
      <c r="A36" s="6" t="inlineStr">
        <is>
          <t>Events, catering &amp; tourism H2-2026E revenue</t>
        </is>
      </c>
      <c r="C36" s="19" t="n">
        <v>3000</v>
      </c>
    </row>
    <row r="37">
      <c r="A37" s="6" t="inlineStr">
        <is>
          <t>Events, catering &amp; tourism gross margin</t>
        </is>
      </c>
      <c r="C37" s="24" t="n">
        <v>0.29</v>
      </c>
      <c r="D37" s="24" t="n">
        <v>0.27</v>
      </c>
      <c r="E37" s="24" t="n">
        <v>0.275</v>
      </c>
      <c r="F37" s="24" t="n">
        <v>0.28</v>
      </c>
      <c r="G37" s="24" t="n">
        <v>0.28</v>
      </c>
    </row>
    <row r="38">
      <c r="A38" s="6" t="inlineStr">
        <is>
          <t>H1-2026 AIM revenue (actual)</t>
        </is>
      </c>
      <c r="C38" s="19" t="n">
        <v>360.966</v>
      </c>
    </row>
    <row r="39">
      <c r="A39" s="6" t="inlineStr">
        <is>
          <t>H1-2026 Hospitality revenue (actual)</t>
        </is>
      </c>
      <c r="C39" s="19" t="n">
        <v>388.398</v>
      </c>
    </row>
    <row r="40">
      <c r="A40" s="6" t="inlineStr">
        <is>
          <t>H1-2026 ECT revenue (actual)</t>
        </is>
      </c>
      <c r="C40" s="19" t="n">
        <v>2775.402</v>
      </c>
    </row>
    <row r="41">
      <c r="A41" s="6" t="inlineStr">
        <is>
          <t>Others / eliminations revenue (full-year rate)</t>
        </is>
      </c>
      <c r="C41" s="19" t="n">
        <v>-30</v>
      </c>
    </row>
    <row r="42">
      <c r="A42" s="6" t="inlineStr">
        <is>
          <t>Others gross loss (full-year rate)</t>
        </is>
      </c>
      <c r="C42" s="19" t="n">
        <v>-120</v>
      </c>
    </row>
    <row r="43">
      <c r="A43" s="6" t="inlineStr">
        <is>
          <t>General &amp; administrative / revenue</t>
        </is>
      </c>
      <c r="C43" s="24" t="n">
        <v>0.083</v>
      </c>
      <c r="D43" s="24" t="n">
        <v>0.08799999999999999</v>
      </c>
      <c r="E43" s="24" t="n">
        <v>0.08699999999999999</v>
      </c>
      <c r="F43" s="24" t="n">
        <v>0.08599999999999999</v>
      </c>
      <c r="G43" s="24" t="n">
        <v>0.08500000000000001</v>
      </c>
    </row>
    <row r="44">
      <c r="A44" s="6" t="inlineStr">
        <is>
          <t>Selling &amp; marketing / revenue</t>
        </is>
      </c>
      <c r="C44" s="24" t="n">
        <v>0.017</v>
      </c>
      <c r="D44" s="24" t="n">
        <v>0.018</v>
      </c>
      <c r="E44" s="24" t="n">
        <v>0.017</v>
      </c>
      <c r="F44" s="24" t="n">
        <v>0.017</v>
      </c>
      <c r="G44" s="24" t="n">
        <v>0.016</v>
      </c>
    </row>
    <row r="45">
      <c r="A45" s="6" t="inlineStr">
        <is>
          <t>Investment and other income, recurring (AED mn)</t>
        </is>
      </c>
      <c r="C45" s="19" t="n">
        <v>80</v>
      </c>
      <c r="D45" s="19" t="n">
        <v>165</v>
      </c>
      <c r="E45" s="19" t="n">
        <v>170</v>
      </c>
      <c r="F45" s="19" t="n">
        <v>175</v>
      </c>
      <c r="G45" s="19" t="n">
        <v>180</v>
      </c>
    </row>
    <row r="46">
      <c r="A46" s="6" t="inlineStr">
        <is>
          <t>D&amp;A rate on the average depreciable asset base</t>
        </is>
      </c>
      <c r="C46" s="21" t="n">
        <v>0.034</v>
      </c>
    </row>
    <row r="47">
      <c r="A47" s="6" t="inlineStr">
        <is>
          <t>Capital expenditure (AED mn)</t>
        </is>
      </c>
      <c r="C47" s="19" t="n">
        <v>700</v>
      </c>
      <c r="D47" s="19" t="n">
        <v>1500</v>
      </c>
      <c r="E47" s="19" t="n">
        <v>1550</v>
      </c>
      <c r="F47" s="19" t="n">
        <v>1600</v>
      </c>
      <c r="G47" s="19" t="n">
        <v>1650</v>
      </c>
    </row>
    <row r="48">
      <c r="A48" s="6" t="inlineStr">
        <is>
          <t>Effective tax rate (DMTT floor + foreign uplift)</t>
        </is>
      </c>
      <c r="C48" s="24" t="n">
        <v>0.155</v>
      </c>
    </row>
    <row r="49">
      <c r="A49" s="6" t="inlineStr">
        <is>
          <t>NCI share of profit</t>
        </is>
      </c>
      <c r="C49" s="24" t="n">
        <v>0.02</v>
      </c>
    </row>
    <row r="50">
      <c r="A50" s="6" t="inlineStr">
        <is>
          <t>Associate income path (AED mn)</t>
        </is>
      </c>
      <c r="C50" s="19" t="n">
        <v>95</v>
      </c>
      <c r="D50" s="19" t="n">
        <v>210</v>
      </c>
      <c r="E50" s="19" t="n">
        <v>227</v>
      </c>
      <c r="F50" s="19" t="n">
        <v>245</v>
      </c>
      <c r="G50" s="19" t="n">
        <v>264</v>
      </c>
    </row>
    <row r="51">
      <c r="A51" s="6" t="inlineStr">
        <is>
          <t>Gross debt path incl. related-party loan (AED mn)</t>
        </is>
      </c>
      <c r="C51" s="19" t="n">
        <v>10300</v>
      </c>
      <c r="D51" s="19" t="n">
        <v>10500</v>
      </c>
      <c r="E51" s="19" t="n">
        <v>9700</v>
      </c>
      <c r="F51" s="19" t="n">
        <v>8800</v>
      </c>
      <c r="G51" s="19" t="n">
        <v>7900</v>
      </c>
    </row>
    <row r="52">
      <c r="A52" s="6" t="inlineStr">
        <is>
          <t>Yield on cash balances</t>
        </is>
      </c>
      <c r="C52" s="24" t="n">
        <v>0.035</v>
      </c>
    </row>
    <row r="53">
      <c r="A53" s="6" t="inlineStr">
        <is>
          <t>Interest on lease liabilities (AED mn/yr)</t>
        </is>
      </c>
      <c r="C53" s="19" t="n">
        <v>36</v>
      </c>
    </row>
    <row r="54">
      <c r="A54" s="12" t="inlineStr">
        <is>
          <t>Working capital components (calibrated 31-Dec-25 and 30-Jun-26)</t>
        </is>
      </c>
      <c r="B54" s="15" t="n"/>
      <c r="C54" s="15" t="n"/>
      <c r="D54" s="15" t="n"/>
      <c r="E54" s="15" t="n"/>
      <c r="F54" s="15" t="n"/>
      <c r="G54" s="15" t="n"/>
      <c r="H54" s="15" t="n"/>
    </row>
    <row r="55">
      <c r="A55" s="6" t="inlineStr">
        <is>
          <t>Receivable days (incl. related-party) on revenue</t>
        </is>
      </c>
      <c r="C55" s="19" t="n">
        <v>440</v>
      </c>
      <c r="D55" s="19" t="n">
        <v>430</v>
      </c>
      <c r="E55" s="19" t="n">
        <v>410</v>
      </c>
      <c r="F55" s="19" t="n">
        <v>390</v>
      </c>
      <c r="G55" s="19" t="n">
        <v>370</v>
      </c>
    </row>
    <row r="56">
      <c r="A56" s="6" t="inlineStr">
        <is>
          <t>New WIP added per AED of new development sales</t>
        </is>
      </c>
      <c r="C56" s="24" t="n">
        <v>0.1</v>
      </c>
    </row>
    <row r="57">
      <c r="A57" s="6" t="inlineStr">
        <is>
          <t>Land-bank/WIP share of development cost of sales</t>
        </is>
      </c>
      <c r="C57" s="24" t="n">
        <v>0.2</v>
      </c>
    </row>
    <row r="58">
      <c r="A58" s="6" t="inlineStr">
        <is>
          <t>Payables + advances cover of annual direct costs (×)</t>
        </is>
      </c>
      <c r="C58" s="25" t="n">
        <v>1.86</v>
      </c>
      <c r="D58" s="25" t="n">
        <v>1.7</v>
      </c>
      <c r="E58" s="25" t="n">
        <v>1.55</v>
      </c>
      <c r="F58" s="25" t="n">
        <v>1.45</v>
      </c>
      <c r="G58" s="25" t="n">
        <v>1.4</v>
      </c>
    </row>
    <row r="59">
      <c r="A59" s="12" t="inlineStr">
        <is>
          <t>Cost of capital build</t>
        </is>
      </c>
      <c r="B59" s="15" t="n"/>
      <c r="C59" s="15" t="n"/>
      <c r="D59" s="15" t="n"/>
      <c r="E59" s="15" t="n"/>
      <c r="F59" s="15" t="n"/>
      <c r="G59" s="15" t="n"/>
      <c r="H59" s="15" t="n"/>
    </row>
    <row r="60">
      <c r="A60" s="6" t="inlineStr">
        <is>
          <t>AED government bond yield (Jan-2031 T-Bond auction)</t>
        </is>
      </c>
      <c r="C60" s="21" t="n">
        <v>0.0448</v>
      </c>
    </row>
    <row r="61">
      <c r="A61" s="6" t="inlineStr">
        <is>
          <t>UAE sovereign default spread (rating basis, netted out)</t>
        </is>
      </c>
      <c r="C61" s="21" t="n">
        <v>0.0042</v>
      </c>
    </row>
    <row r="62">
      <c r="A62" s="6" t="inlineStr">
        <is>
          <t>Equity risk premium (UAE row, rating basis)</t>
        </is>
      </c>
      <c r="C62" s="21" t="n">
        <v>0.0487</v>
      </c>
    </row>
    <row r="63">
      <c r="A63" s="6" t="inlineStr">
        <is>
          <t>Beta (own-stock regression vs the published FTSE ADX General index)</t>
        </is>
      </c>
      <c r="C63" s="7" t="n">
        <v>1.746</v>
      </c>
    </row>
    <row r="64">
      <c r="A64" s="6" t="inlineStr">
        <is>
          <t>6-month EIBOR (31-Mar-2026 fixing, dated)</t>
        </is>
      </c>
      <c r="C64" s="21" t="n">
        <v>0.0371</v>
      </c>
    </row>
    <row r="65">
      <c r="A65" s="6" t="inlineStr">
        <is>
          <t>Marginal debt margin over 6M EIBOR</t>
        </is>
      </c>
      <c r="C65" s="21" t="n">
        <v>0.0165</v>
      </c>
    </row>
    <row r="66">
      <c r="A66" s="6" t="inlineStr">
        <is>
          <t>Terminal growth</t>
        </is>
      </c>
      <c r="C66" s="21" t="n">
        <v>0.025</v>
      </c>
    </row>
    <row r="67">
      <c r="A67" s="6" t="inlineStr">
        <is>
          <t>Terminal return on invested capital</t>
        </is>
      </c>
      <c r="C67" s="21" t="n">
        <v>0.08500000000000001</v>
      </c>
    </row>
    <row r="68">
      <c r="A68" s="6" t="inlineStr">
        <is>
          <t>Days from the 30-Jun-2026 valuation date to the 7-Aug anchor</t>
        </is>
      </c>
      <c r="C68" s="19" t="n">
        <v>38</v>
      </c>
    </row>
    <row r="69">
      <c r="A69" s="12" t="inlineStr">
        <is>
          <t>FY2025 disclosed anchors (audited, pasted)</t>
        </is>
      </c>
      <c r="B69" s="15" t="n"/>
      <c r="C69" s="15" t="n"/>
      <c r="D69" s="15" t="n"/>
      <c r="E69" s="15" t="n"/>
      <c r="F69" s="15" t="n"/>
      <c r="G69" s="15" t="n"/>
      <c r="H69" s="15" t="n"/>
    </row>
    <row r="70">
      <c r="A70" s="6" t="inlineStr">
        <is>
          <t>FY2025 profit for the year (AED mn, disclosed)</t>
        </is>
      </c>
      <c r="C70" s="19" t="n">
        <v>3925.705</v>
      </c>
    </row>
    <row r="71">
      <c r="A71" s="6" t="inlineStr">
        <is>
          <t>FY2025 attributable profit (AED mn, disclosed)</t>
        </is>
      </c>
      <c r="C71" s="19" t="n">
        <v>4020.102</v>
      </c>
    </row>
    <row r="72">
      <c r="A72" s="6" t="inlineStr">
        <is>
          <t>FY2025 EBITDA, house basis = EBIT + D&amp;A (AED mn)</t>
        </is>
      </c>
      <c r="C72" s="19" t="n">
        <v>4895.552000000001</v>
      </c>
    </row>
    <row r="73">
      <c r="A73" s="6" t="inlineStr">
        <is>
          <t>FY2025 net debt, strict basis (AED mn)</t>
        </is>
      </c>
      <c r="C73" s="19" t="n">
        <v>-5852.901</v>
      </c>
    </row>
    <row r="74">
      <c r="A74" s="12" t="inlineStr">
        <is>
          <t>Lens settings</t>
        </is>
      </c>
      <c r="B74" s="15" t="n"/>
      <c r="C74" s="15" t="n"/>
      <c r="D74" s="15" t="n"/>
      <c r="E74" s="15" t="n"/>
      <c r="F74" s="15" t="n"/>
      <c r="G74" s="15" t="n"/>
      <c r="H74" s="15" t="n"/>
    </row>
    <row r="75">
      <c r="A75" s="6" t="inlineStr">
        <is>
          <t>Justified price/earnings (FY2026E attributable)</t>
        </is>
      </c>
      <c r="C75" s="25" t="n">
        <v>7.5</v>
      </c>
    </row>
    <row r="76">
      <c r="A76" s="6" t="inlineStr">
        <is>
          <t>EV/EBITDA cross-check multiple (house judgement, unanchored)</t>
        </is>
      </c>
      <c r="C76" s="25" t="n">
        <v>7</v>
      </c>
    </row>
    <row r="77">
      <c r="A77" s="6" t="inlineStr">
        <is>
          <t>Through-cycle development sales (AED mn)</t>
        </is>
      </c>
      <c r="C77" s="19" t="n">
        <v>20000</v>
      </c>
    </row>
    <row r="78">
      <c r="A78" s="6" t="inlineStr">
        <is>
          <t>Through-cycle net margin on revenue</t>
        </is>
      </c>
      <c r="C78" s="24" t="n">
        <v>0.115</v>
      </c>
    </row>
    <row r="79">
      <c r="A79" s="6" t="inlineStr">
        <is>
          <t>Recurring-legs revenue base, FY2025 (AED mn, disclosed)</t>
        </is>
      </c>
      <c r="C79" s="19" t="n">
        <v>6455.178</v>
      </c>
    </row>
    <row r="80">
      <c r="A80" s="6" t="inlineStr">
        <is>
          <t>Through-cycle price/earnings</t>
        </is>
      </c>
      <c r="C80" s="25" t="n">
        <v>8.5</v>
      </c>
    </row>
    <row r="81">
      <c r="A81" s="6" t="inlineStr">
        <is>
          <t>Sustainable return on equity</t>
        </is>
      </c>
      <c r="C81" s="24" t="n">
        <v>0.075</v>
      </c>
    </row>
    <row r="82">
      <c r="A82" s="6" t="inlineStr">
        <is>
          <t>Weight — discounted cash flow</t>
        </is>
      </c>
      <c r="C82" s="24" t="n">
        <v>0.4</v>
      </c>
    </row>
    <row r="83">
      <c r="A83" s="6" t="inlineStr">
        <is>
          <t>Weight — relative</t>
        </is>
      </c>
      <c r="C83" s="24" t="n">
        <v>0.2</v>
      </c>
    </row>
    <row r="84">
      <c r="A84" s="6" t="inlineStr">
        <is>
          <t>Weight — normalised</t>
        </is>
      </c>
      <c r="C84" s="24" t="n">
        <v>0.2</v>
      </c>
    </row>
    <row r="85">
      <c r="A85" s="6" t="inlineStr">
        <is>
          <t>Weight — book</t>
        </is>
      </c>
      <c r="C85" s="24" t="n">
        <v>0.2</v>
      </c>
    </row>
    <row r="86">
      <c r="A86" s="12" t="inlineStr">
        <is>
          <t>Scenario driver vectors (engine re-run inputs, published for reproducibility — the pasted scenario outputs use exactly these)</t>
        </is>
      </c>
      <c r="B86" s="15" t="n"/>
      <c r="C86" s="15" t="n"/>
      <c r="D86" s="15" t="n"/>
      <c r="E86" s="15" t="n"/>
      <c r="F86" s="15" t="n"/>
      <c r="G86" s="15" t="n"/>
      <c r="H86" s="15" t="n"/>
    </row>
    <row r="87">
      <c r="A87" s="6" t="inlineStr">
        <is>
          <t>scenario: run-off new development sales</t>
        </is>
      </c>
      <c r="C87" s="19" t="n">
        <v>8000</v>
      </c>
      <c r="D87" s="19" t="n">
        <v>15000</v>
      </c>
      <c r="E87" s="19" t="n">
        <v>11000</v>
      </c>
      <c r="F87" s="19" t="n">
        <v>9000</v>
      </c>
      <c r="G87" s="19" t="n">
        <v>8000</v>
      </c>
    </row>
    <row r="88">
      <c r="A88" s="6" t="inlineStr">
        <is>
          <t>scenario: run-off development margin</t>
        </is>
      </c>
      <c r="C88" s="24" t="n">
        <v>0.4</v>
      </c>
      <c r="D88" s="24" t="n">
        <v>0.385</v>
      </c>
      <c r="E88" s="24" t="n">
        <v>0.37</v>
      </c>
      <c r="F88" s="24" t="n">
        <v>0.36</v>
      </c>
      <c r="G88" s="24" t="n">
        <v>0.35</v>
      </c>
    </row>
    <row r="89">
      <c r="A89" s="6" t="inlineStr">
        <is>
          <t>scenario: growth-hold new development sales</t>
        </is>
      </c>
      <c r="C89" s="19" t="n">
        <v>15000</v>
      </c>
      <c r="D89" s="19" t="n">
        <v>34000</v>
      </c>
      <c r="E89" s="19" t="n">
        <v>34000</v>
      </c>
      <c r="F89" s="19" t="n">
        <v>34000</v>
      </c>
      <c r="G89" s="19" t="n">
        <v>34000</v>
      </c>
    </row>
    <row r="90">
      <c r="A90" s="6" t="inlineStr">
        <is>
          <t>scenario: growth-hold development margin</t>
        </is>
      </c>
      <c r="C90" s="24" t="n">
        <v>0.42</v>
      </c>
      <c r="D90" s="24" t="n">
        <v>0.42</v>
      </c>
      <c r="E90" s="24" t="n">
        <v>0.41</v>
      </c>
      <c r="F90" s="24" t="n">
        <v>0.41</v>
      </c>
      <c r="G90" s="24" t="n">
        <v>0.4</v>
      </c>
    </row>
    <row r="91">
      <c r="A91" s="6" t="inlineStr">
        <is>
          <t>scenario: Egypt stress — non-UAE revenue share (note 5)</t>
        </is>
      </c>
      <c r="C91" s="24" t="n">
        <v>0.170797409390457</v>
      </c>
    </row>
    <row r="92">
      <c r="A92" s="6" t="inlineStr">
        <is>
          <t>scenario: Egypt country risk premium (Damodaran)</t>
        </is>
      </c>
      <c r="C92" s="21" t="n">
        <v>0.09710000000000001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SOTP bridge — segment EV split (weights DERIVED) and the EV → equity walk</t>
        </is>
      </c>
      <c r="B1" s="2" t="n"/>
      <c r="C1" s="2" t="n"/>
      <c r="D1" s="2" t="n"/>
      <c r="E1" s="2" t="n"/>
      <c r="F1" s="2" t="n"/>
    </row>
    <row r="2">
      <c r="A2" s="4" t="inlineStr">
        <is>
          <t>Weight = FY2025 segment gross profit less a revenue-proportional corporate load — all live formulas off Segments and the FY2025 disclosed opex</t>
        </is>
      </c>
    </row>
    <row r="4">
      <c r="A4" s="6" t="inlineStr">
        <is>
          <t>FY2025 G&amp;A + S&amp;M (audited, for the load allocation)</t>
        </is>
      </c>
      <c r="B4" s="19" t="n">
        <v>1813.687</v>
      </c>
    </row>
    <row r="5">
      <c r="A5" s="5" t="inlineStr">
        <is>
          <t>Enterprise value by segment</t>
        </is>
      </c>
      <c r="B5" s="5" t="inlineStr">
        <is>
          <t>Weight (GP − load share)</t>
        </is>
      </c>
      <c r="C5" s="5" t="inlineStr">
        <is>
          <t>AED mn</t>
        </is>
      </c>
    </row>
    <row r="6">
      <c r="A6" s="6" t="inlineStr">
        <is>
          <t>Real Estate Development</t>
        </is>
      </c>
      <c r="B6" s="17">
        <f>Segments!C5-$B$4*Segments!B5/Segments!B10</f>
        <v/>
      </c>
      <c r="C6" s="17">
        <f>MAX(B6,0)/(MAX(B$6,0)+MAX(B$7,0)+MAX(B$8,0)+MAX(B$9,0))*DCF!C48</f>
        <v/>
      </c>
    </row>
    <row r="7">
      <c r="A7" s="6" t="inlineStr">
        <is>
          <t>Asset &amp; Investment Management</t>
        </is>
      </c>
      <c r="B7" s="17">
        <f>Segments!C6-$B$4*Segments!B6/Segments!B10</f>
        <v/>
      </c>
      <c r="C7" s="17">
        <f>MAX(B7,0)/(MAX(B$6,0)+MAX(B$7,0)+MAX(B$8,0)+MAX(B$9,0))*DCF!C48</f>
        <v/>
      </c>
    </row>
    <row r="8">
      <c r="A8" s="6" t="inlineStr">
        <is>
          <t>Hospitality</t>
        </is>
      </c>
      <c r="B8" s="17">
        <f>Segments!C7-$B$4*Segments!B7/Segments!B10</f>
        <v/>
      </c>
      <c r="C8" s="17">
        <f>MAX(B8,0)/(MAX(B$6,0)+MAX(B$7,0)+MAX(B$8,0)+MAX(B$9,0))*DCF!C48</f>
        <v/>
      </c>
    </row>
    <row r="9">
      <c r="A9" s="6" t="inlineStr">
        <is>
          <t>Events, Catering &amp; Tourism</t>
        </is>
      </c>
      <c r="B9" s="17">
        <f>Segments!C8-$B$4*Segments!B8/Segments!B10</f>
        <v/>
      </c>
      <c r="C9" s="17">
        <f>MAX(B9,0)/(MAX(B$6,0)+MAX(B$7,0)+MAX(B$8,0)+MAX(B$9,0))*DCF!C48</f>
        <v/>
      </c>
    </row>
    <row r="10">
      <c r="A10" s="12" t="inlineStr">
        <is>
          <t>Enterprise value (links to DCF)</t>
        </is>
      </c>
      <c r="B10" s="15" t="n"/>
      <c r="C10" s="26">
        <f>DCF!C48</f>
        <v/>
      </c>
      <c r="D10" s="15" t="n"/>
      <c r="E10" s="15" t="n"/>
      <c r="F10" s="15" t="n"/>
    </row>
    <row r="11">
      <c r="A11" s="6" t="inlineStr">
        <is>
          <t>Terminal value share of enterprise value</t>
        </is>
      </c>
      <c r="C11" s="11">
        <f>DCF!C49</f>
        <v/>
      </c>
    </row>
    <row r="12">
      <c r="A12" s="6" t="inlineStr">
        <is>
          <t>+ Unrestricted cash (disclosed)</t>
        </is>
      </c>
      <c r="C12" s="18">
        <f>Assumptions!$C$8</f>
        <v/>
      </c>
    </row>
    <row r="13">
      <c r="A13" s="6" t="inlineStr">
        <is>
          <t>− Gross debt incl. related-party loan</t>
        </is>
      </c>
      <c r="C13" s="18">
        <f>-Assumptions!$C$10</f>
        <v/>
      </c>
    </row>
    <row r="14">
      <c r="A14" s="6" t="inlineStr">
        <is>
          <t>− Lease liabilities</t>
        </is>
      </c>
      <c r="C14" s="18">
        <f>-Assumptions!$C$11</f>
        <v/>
      </c>
    </row>
    <row r="15">
      <c r="A15" s="6" t="inlineStr">
        <is>
          <t>+ Associates &amp; JVs</t>
        </is>
      </c>
      <c r="C15" s="18">
        <f>Assumptions!$C$12</f>
        <v/>
      </c>
    </row>
    <row r="16">
      <c r="A16" s="6" t="inlineStr">
        <is>
          <t>+ Financial assets</t>
        </is>
      </c>
      <c r="C16" s="18">
        <f>Assumptions!$C$13</f>
        <v/>
      </c>
    </row>
    <row r="17">
      <c r="A17" s="6" t="inlineStr">
        <is>
          <t>− NCI (capitalised, links to DCF)</t>
        </is>
      </c>
      <c r="C17" s="18">
        <f>DCF!C58</f>
        <v/>
      </c>
    </row>
    <row r="18">
      <c r="A18" s="12" t="inlineStr">
        <is>
          <t>Equity attributable → per share → at anchor</t>
        </is>
      </c>
      <c r="B18" s="15" t="n"/>
      <c r="C18" s="26">
        <f>C10+SUM(C12:C17)</f>
        <v/>
      </c>
      <c r="D18" s="15" t="n"/>
      <c r="E18" s="15" t="n"/>
      <c r="F18" s="15" t="n"/>
    </row>
    <row r="19">
      <c r="A19" s="6" t="inlineStr">
        <is>
          <t>per share, 30-Jun-2026</t>
        </is>
      </c>
      <c r="C19" s="10">
        <f>C18/Assumptions!$C$5</f>
        <v/>
      </c>
    </row>
    <row r="20">
      <c r="A20" s="6" t="inlineStr">
        <is>
          <t>per share at the 7-Aug-2026 anchor</t>
        </is>
      </c>
      <c r="C20" s="23">
        <f>C19*DCF!C61</f>
        <v/>
      </c>
    </row>
    <row r="22">
      <c r="A22" s="6" t="inlineStr">
        <is>
          <t>Book-NCI alternative framing (engine)</t>
        </is>
      </c>
      <c r="C22" s="7" t="n">
        <v>3.556285567996332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Segments — FY2025 base, H1-2026 actuals, and the forecast build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FY2025 base and H1-2026 actuals pasted (disclosed); every forecast cell is a formula off Assumptions</t>
        </is>
      </c>
    </row>
    <row r="4">
      <c r="A4" s="5" t="inlineStr">
        <is>
          <t>FY2025 base (audited)</t>
        </is>
      </c>
      <c r="B4" s="5" t="inlineStr">
        <is>
          <t>Revenue</t>
        </is>
      </c>
      <c r="C4" s="5" t="inlineStr">
        <is>
          <t>Gross profit</t>
        </is>
      </c>
      <c r="D4" s="5" t="inlineStr">
        <is>
          <t>GP margin</t>
        </is>
      </c>
      <c r="E4" s="5" t="inlineStr">
        <is>
          <t>PBT</t>
        </is>
      </c>
      <c r="F4" s="5" t="inlineStr">
        <is>
          <t>Assets</t>
        </is>
      </c>
    </row>
    <row r="5">
      <c r="A5" s="6" t="inlineStr">
        <is>
          <t>Real Estate Development</t>
        </is>
      </c>
      <c r="B5" s="19" t="n">
        <v>7403.313</v>
      </c>
      <c r="C5" s="19" t="n">
        <v>3232.891</v>
      </c>
      <c r="D5" s="11">
        <f>C5/B5</f>
        <v/>
      </c>
      <c r="E5" s="19" t="n">
        <v>2547.573</v>
      </c>
      <c r="F5" s="19" t="n">
        <v>55738.581</v>
      </c>
    </row>
    <row r="6">
      <c r="A6" s="6" t="inlineStr">
        <is>
          <t>Asset &amp; Investment Management</t>
        </is>
      </c>
      <c r="B6" s="19" t="n">
        <v>654.658</v>
      </c>
      <c r="C6" s="19" t="n">
        <v>421.083</v>
      </c>
      <c r="D6" s="11">
        <f>C6/B6</f>
        <v/>
      </c>
      <c r="E6" s="19" t="n">
        <v>685.082</v>
      </c>
      <c r="F6" s="19" t="n">
        <v>11095.849</v>
      </c>
    </row>
    <row r="7">
      <c r="A7" s="6" t="inlineStr">
        <is>
          <t>Hospitality</t>
        </is>
      </c>
      <c r="B7" s="19" t="n">
        <v>791.771</v>
      </c>
      <c r="C7" s="19" t="n">
        <v>210.893</v>
      </c>
      <c r="D7" s="11">
        <f>C7/B7</f>
        <v/>
      </c>
      <c r="E7" s="19" t="n">
        <v>-69.15000000000001</v>
      </c>
      <c r="F7" s="19" t="n">
        <v>4601.757</v>
      </c>
    </row>
    <row r="8">
      <c r="A8" s="6" t="inlineStr">
        <is>
          <t>Events, Catering &amp; Tourism</t>
        </is>
      </c>
      <c r="B8" s="19" t="n">
        <v>5008.749</v>
      </c>
      <c r="C8" s="19" t="n">
        <v>1325.029</v>
      </c>
      <c r="D8" s="11">
        <f>C8/B8</f>
        <v/>
      </c>
      <c r="E8" s="19" t="n">
        <v>1061.602</v>
      </c>
      <c r="F8" s="19" t="n">
        <v>14118.268</v>
      </c>
    </row>
    <row r="9">
      <c r="A9" s="6" t="inlineStr">
        <is>
          <t>Others / eliminations</t>
        </is>
      </c>
      <c r="B9" s="19" t="n">
        <v>-29.622</v>
      </c>
      <c r="C9" s="19" t="n">
        <v>-164.637</v>
      </c>
    </row>
    <row r="10">
      <c r="A10" s="12" t="inlineStr">
        <is>
          <t>Group FY2025</t>
        </is>
      </c>
      <c r="B10" s="26">
        <f>SUM(B5:B9)</f>
        <v/>
      </c>
      <c r="C10" s="26">
        <f>SUM(C5:C9)</f>
        <v/>
      </c>
      <c r="D10" s="15" t="n"/>
      <c r="E10" s="15" t="n"/>
      <c r="F10" s="15" t="n"/>
      <c r="G10" s="15" t="n"/>
      <c r="H10" s="15" t="n"/>
    </row>
    <row r="12">
      <c r="A12" s="5" t="inlineStr">
        <is>
          <t>Development build (from the 30-Jun-2026 disclosed backlog)</t>
        </is>
      </c>
      <c r="B12" s="5" t="inlineStr">
        <is>
          <t>H2-26E</t>
        </is>
      </c>
      <c r="C12" s="5" t="inlineStr">
        <is>
          <t>FY27E</t>
        </is>
      </c>
      <c r="D12" s="5" t="inlineStr">
        <is>
          <t>FY28E</t>
        </is>
      </c>
      <c r="E12" s="5" t="inlineStr">
        <is>
          <t>FY29E</t>
        </is>
      </c>
      <c r="F12" s="5" t="inlineStr">
        <is>
          <t>FY30E</t>
        </is>
      </c>
    </row>
    <row r="13">
      <c r="A13" s="6" t="inlineStr">
        <is>
          <t>Opening development backlog</t>
        </is>
      </c>
      <c r="B13" s="18">
        <f>Assumptions!$C$7</f>
        <v/>
      </c>
      <c r="C13" s="17">
        <f>B16</f>
        <v/>
      </c>
      <c r="D13" s="17">
        <f>C16</f>
        <v/>
      </c>
      <c r="E13" s="17">
        <f>D16</f>
        <v/>
      </c>
      <c r="F13" s="17">
        <f>E16</f>
        <v/>
      </c>
    </row>
    <row r="14">
      <c r="A14" s="6" t="inlineStr">
        <is>
          <t>New development sales</t>
        </is>
      </c>
      <c r="B14" s="18">
        <f>Assumptions!$C$26</f>
        <v/>
      </c>
      <c r="C14" s="18">
        <f>Assumptions!$D$26</f>
        <v/>
      </c>
      <c r="D14" s="18">
        <f>Assumptions!$E$26</f>
        <v/>
      </c>
      <c r="E14" s="18">
        <f>Assumptions!$F$26</f>
        <v/>
      </c>
      <c r="F14" s="18">
        <f>Assumptions!$G$26</f>
        <v/>
      </c>
    </row>
    <row r="15">
      <c r="A15" s="6" t="inlineStr">
        <is>
          <t>Development revenue recognised (conv × opening)</t>
        </is>
      </c>
      <c r="B15" s="17">
        <f>Assumptions!$C$25*B13</f>
        <v/>
      </c>
      <c r="C15" s="17">
        <f>Assumptions!$D$25*C13</f>
        <v/>
      </c>
      <c r="D15" s="17">
        <f>Assumptions!$E$25*D13</f>
        <v/>
      </c>
      <c r="E15" s="17">
        <f>Assumptions!$F$25*E13</f>
        <v/>
      </c>
      <c r="F15" s="17">
        <f>Assumptions!$G$25*F13</f>
        <v/>
      </c>
    </row>
    <row r="16">
      <c r="A16" s="6" t="inlineStr">
        <is>
          <t>Closing backlog</t>
        </is>
      </c>
      <c r="B16" s="17">
        <f>B13+B14-B15</f>
        <v/>
      </c>
      <c r="C16" s="17">
        <f>C13+C14-C15</f>
        <v/>
      </c>
      <c r="D16" s="17">
        <f>D13+D14-D15</f>
        <v/>
      </c>
      <c r="E16" s="17">
        <f>E13+E14-E15</f>
        <v/>
      </c>
      <c r="F16" s="17">
        <f>F13+F14-F15</f>
        <v/>
      </c>
    </row>
    <row r="17">
      <c r="A17" s="6" t="inlineStr">
        <is>
          <t>Land and plot sales</t>
        </is>
      </c>
      <c r="B17" s="18">
        <f>Assumptions!$C$27</f>
        <v/>
      </c>
      <c r="C17" s="18">
        <f>Assumptions!$D$27</f>
        <v/>
      </c>
      <c r="D17" s="18">
        <f>Assumptions!$E$27</f>
        <v/>
      </c>
      <c r="E17" s="18">
        <f>Assumptions!$F$27</f>
        <v/>
      </c>
      <c r="F17" s="18">
        <f>Assumptions!$G$27</f>
        <v/>
      </c>
    </row>
    <row r="18">
      <c r="A18" s="6" t="inlineStr">
        <is>
          <t>Real Estate Development revenue</t>
        </is>
      </c>
      <c r="B18" s="27">
        <f>B15+B17</f>
        <v/>
      </c>
      <c r="C18" s="27">
        <f>C15+C17</f>
        <v/>
      </c>
      <c r="D18" s="27">
        <f>D15+D17</f>
        <v/>
      </c>
      <c r="E18" s="27">
        <f>E15+E17</f>
        <v/>
      </c>
      <c r="F18" s="27">
        <f>F15+F17</f>
        <v/>
      </c>
    </row>
    <row r="20">
      <c r="A20" s="5" t="inlineStr">
        <is>
          <t>Segment revenue forecast</t>
        </is>
      </c>
      <c r="B20" s="5" t="inlineStr">
        <is>
          <t>H2-26E</t>
        </is>
      </c>
      <c r="C20" s="5" t="inlineStr">
        <is>
          <t>FY27E</t>
        </is>
      </c>
      <c r="D20" s="5" t="inlineStr">
        <is>
          <t>FY28E</t>
        </is>
      </c>
      <c r="E20" s="5" t="inlineStr">
        <is>
          <t>FY29E</t>
        </is>
      </c>
      <c r="F20" s="5" t="inlineStr">
        <is>
          <t>FY30E</t>
        </is>
      </c>
    </row>
    <row r="21">
      <c r="A21" s="6" t="inlineStr">
        <is>
          <t>Real Estate Development</t>
        </is>
      </c>
      <c r="B21" s="17">
        <f>B18</f>
        <v/>
      </c>
      <c r="C21" s="17">
        <f>C18</f>
        <v/>
      </c>
      <c r="D21" s="17">
        <f>D18</f>
        <v/>
      </c>
      <c r="E21" s="17">
        <f>E18</f>
        <v/>
      </c>
      <c r="F21" s="17">
        <f>F18</f>
        <v/>
      </c>
    </row>
    <row r="22">
      <c r="A22" s="6" t="inlineStr">
        <is>
          <t>Asset &amp; Investment Management</t>
        </is>
      </c>
      <c r="B22" s="18">
        <f>Assumptions!$C$30</f>
        <v/>
      </c>
      <c r="C22" s="17">
        <f>(Assumptions!$C$38+Assumptions!$C$30)*(1+Assumptions!$D$29)</f>
        <v/>
      </c>
      <c r="D22" s="17">
        <f>C22*(1+Assumptions!$E$29)</f>
        <v/>
      </c>
      <c r="E22" s="17">
        <f>D22*(1+Assumptions!$F$29)</f>
        <v/>
      </c>
      <c r="F22" s="17">
        <f>E22*(1+Assumptions!$G$29)</f>
        <v/>
      </c>
    </row>
    <row r="23">
      <c r="A23" s="6" t="inlineStr">
        <is>
          <t>Hospitality</t>
        </is>
      </c>
      <c r="B23" s="18">
        <f>Assumptions!$C$33</f>
        <v/>
      </c>
      <c r="C23" s="17">
        <f>(Assumptions!$C$39+Assumptions!$C$33)*(1+Assumptions!$D$32)</f>
        <v/>
      </c>
      <c r="D23" s="17">
        <f>C23*(1+Assumptions!$E$32)</f>
        <v/>
      </c>
      <c r="E23" s="17">
        <f>D23*(1+Assumptions!$F$32)</f>
        <v/>
      </c>
      <c r="F23" s="17">
        <f>E23*(1+Assumptions!$G$32)</f>
        <v/>
      </c>
    </row>
    <row r="24">
      <c r="A24" s="6" t="inlineStr">
        <is>
          <t>Events, Catering &amp; Tourism</t>
        </is>
      </c>
      <c r="B24" s="18">
        <f>Assumptions!$C$36</f>
        <v/>
      </c>
      <c r="C24" s="17">
        <f>(Assumptions!$C$40+Assumptions!$C$36)*(1+Assumptions!$D$35)</f>
        <v/>
      </c>
      <c r="D24" s="17">
        <f>C24*(1+Assumptions!$E$35)</f>
        <v/>
      </c>
      <c r="E24" s="17">
        <f>D24*(1+Assumptions!$F$35)</f>
        <v/>
      </c>
      <c r="F24" s="17">
        <f>E24*(1+Assumptions!$G$35)</f>
        <v/>
      </c>
    </row>
    <row r="25">
      <c r="A25" s="6" t="inlineStr">
        <is>
          <t>Others / eliminations (half-year in the stub)</t>
        </is>
      </c>
      <c r="B25" s="18">
        <f>Assumptions!$C$41*0.5</f>
        <v/>
      </c>
      <c r="C25" s="18">
        <f>Assumptions!$C$41*1.0</f>
        <v/>
      </c>
      <c r="D25" s="18">
        <f>Assumptions!$C$41*1.0</f>
        <v/>
      </c>
      <c r="E25" s="18">
        <f>Assumptions!$C$41*1.0</f>
        <v/>
      </c>
      <c r="F25" s="18">
        <f>Assumptions!$C$41*1.0</f>
        <v/>
      </c>
    </row>
    <row r="26">
      <c r="A26" s="6" t="inlineStr">
        <is>
          <t>Group revenue</t>
        </is>
      </c>
      <c r="B26" s="27">
        <f>SUM(B21:B25)</f>
        <v/>
      </c>
      <c r="C26" s="27">
        <f>SUM(C21:C25)</f>
        <v/>
      </c>
      <c r="D26" s="27">
        <f>SUM(D21:D25)</f>
        <v/>
      </c>
      <c r="E26" s="27">
        <f>SUM(E21:E25)</f>
        <v/>
      </c>
      <c r="F26" s="27">
        <f>SUM(F21:F25)</f>
        <v/>
      </c>
    </row>
    <row r="28">
      <c r="A28" s="5" t="inlineStr">
        <is>
          <t>Gross profit build (margin × revenue)</t>
        </is>
      </c>
      <c r="B28" s="5" t="inlineStr">
        <is>
          <t>H2-26E</t>
        </is>
      </c>
      <c r="C28" s="5" t="inlineStr">
        <is>
          <t>FY27E</t>
        </is>
      </c>
      <c r="D28" s="5" t="inlineStr">
        <is>
          <t>FY28E</t>
        </is>
      </c>
      <c r="E28" s="5" t="inlineStr">
        <is>
          <t>FY29E</t>
        </is>
      </c>
      <c r="F28" s="5" t="inlineStr">
        <is>
          <t>FY30E</t>
        </is>
      </c>
    </row>
    <row r="29">
      <c r="A29" s="6" t="inlineStr">
        <is>
          <t>Real Estate Development</t>
        </is>
      </c>
      <c r="B29" s="17">
        <f>B21*Assumptions!$C$28</f>
        <v/>
      </c>
      <c r="C29" s="17">
        <f>C21*Assumptions!$D$28</f>
        <v/>
      </c>
      <c r="D29" s="17">
        <f>D21*Assumptions!$E$28</f>
        <v/>
      </c>
      <c r="E29" s="17">
        <f>E21*Assumptions!$F$28</f>
        <v/>
      </c>
      <c r="F29" s="17">
        <f>F21*Assumptions!$G$28</f>
        <v/>
      </c>
    </row>
    <row r="30">
      <c r="A30" s="6" t="inlineStr">
        <is>
          <t>Asset &amp; Investment Management</t>
        </is>
      </c>
      <c r="B30" s="17">
        <f>B22*Assumptions!$C$31</f>
        <v/>
      </c>
      <c r="C30" s="17">
        <f>C22*Assumptions!$D$31</f>
        <v/>
      </c>
      <c r="D30" s="17">
        <f>D22*Assumptions!$E$31</f>
        <v/>
      </c>
      <c r="E30" s="17">
        <f>E22*Assumptions!$F$31</f>
        <v/>
      </c>
      <c r="F30" s="17">
        <f>F22*Assumptions!$G$31</f>
        <v/>
      </c>
    </row>
    <row r="31">
      <c r="A31" s="6" t="inlineStr">
        <is>
          <t>Hospitality</t>
        </is>
      </c>
      <c r="B31" s="17">
        <f>B23*Assumptions!$C$34</f>
        <v/>
      </c>
      <c r="C31" s="17">
        <f>C23*Assumptions!$D$34</f>
        <v/>
      </c>
      <c r="D31" s="17">
        <f>D23*Assumptions!$E$34</f>
        <v/>
      </c>
      <c r="E31" s="17">
        <f>E23*Assumptions!$F$34</f>
        <v/>
      </c>
      <c r="F31" s="17">
        <f>F23*Assumptions!$G$34</f>
        <v/>
      </c>
    </row>
    <row r="32">
      <c r="A32" s="6" t="inlineStr">
        <is>
          <t>Events, Catering &amp; Tourism</t>
        </is>
      </c>
      <c r="B32" s="17">
        <f>B24*Assumptions!$C$37</f>
        <v/>
      </c>
      <c r="C32" s="17">
        <f>C24*Assumptions!$D$37</f>
        <v/>
      </c>
      <c r="D32" s="17">
        <f>D24*Assumptions!$E$37</f>
        <v/>
      </c>
      <c r="E32" s="17">
        <f>E24*Assumptions!$F$37</f>
        <v/>
      </c>
      <c r="F32" s="17">
        <f>F24*Assumptions!$G$37</f>
        <v/>
      </c>
    </row>
    <row r="33">
      <c r="A33" s="6" t="inlineStr">
        <is>
          <t>Others (half-year in the stub)</t>
        </is>
      </c>
      <c r="B33" s="18">
        <f>Assumptions!$C$42*0.5</f>
        <v/>
      </c>
      <c r="C33" s="18">
        <f>Assumptions!$C$42*1.0</f>
        <v/>
      </c>
      <c r="D33" s="18">
        <f>Assumptions!$C$42*1.0</f>
        <v/>
      </c>
      <c r="E33" s="18">
        <f>Assumptions!$C$42*1.0</f>
        <v/>
      </c>
      <c r="F33" s="18">
        <f>Assumptions!$C$42*1.0</f>
        <v/>
      </c>
    </row>
    <row r="34">
      <c r="A34" s="6" t="inlineStr">
        <is>
          <t>Group gross profit</t>
        </is>
      </c>
      <c r="B34" s="27">
        <f>SUM(B29:B33)</f>
        <v/>
      </c>
      <c r="C34" s="27">
        <f>SUM(C29:C33)</f>
        <v/>
      </c>
      <c r="D34" s="27">
        <f>SUM(D29:D33)</f>
        <v/>
      </c>
      <c r="E34" s="27">
        <f>SUM(E29:E33)</f>
        <v/>
      </c>
      <c r="F34" s="27">
        <f>SUM(F29:F33)</f>
        <v/>
      </c>
    </row>
    <row r="35">
      <c r="A35" s="6" t="inlineStr">
        <is>
          <t>Group gross margin (output)</t>
        </is>
      </c>
      <c r="B35" s="11">
        <f>B34/B26</f>
        <v/>
      </c>
      <c r="C35" s="11">
        <f>C34/C26</f>
        <v/>
      </c>
      <c r="D35" s="11">
        <f>D34/D26</f>
        <v/>
      </c>
      <c r="E35" s="11">
        <f>E34/E26</f>
        <v/>
      </c>
      <c r="F35" s="11">
        <f>F34/F26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Relative multiples · normalised earnings power · book value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One attributable-earnings basis throughout; the EV/EBITDA leg is a labelled, unanchored cross-check and is NOT averaged into the lens</t>
        </is>
      </c>
    </row>
    <row r="4">
      <c r="A4" s="5" t="inlineStr">
        <is>
          <t>Relative multiples (P/E leg = the lens)</t>
        </is>
      </c>
      <c r="B4" s="5" t="inlineStr">
        <is>
          <t>Value</t>
        </is>
      </c>
    </row>
    <row r="5">
      <c r="A5" s="6" t="inlineStr">
        <is>
          <t>FY2026E attributable profit = H1 actual + H2 model</t>
        </is>
      </c>
      <c r="C5" s="18">
        <f>Assumptions!$C$21+'Income Statement'!F17</f>
        <v/>
      </c>
    </row>
    <row r="6">
      <c r="A6" s="6" t="inlineStr">
        <is>
          <t>Justified P/E × FY2026E EPS</t>
        </is>
      </c>
      <c r="C6" s="10">
        <f>Assumptions!$C$75*C5/Assumptions!$C$5</f>
        <v/>
      </c>
    </row>
    <row r="7">
      <c r="A7" s="6" t="inlineStr">
        <is>
          <t>FY2026E EBITDA (H1 adjusted-EBITDA + H2 model)</t>
        </is>
      </c>
      <c r="C7" s="18">
        <f>Assumptions!$C$22+DCF!B13</f>
        <v/>
      </c>
    </row>
    <row r="8">
      <c r="A8" s="6" t="inlineStr">
        <is>
          <t>EV/EBITDA cross-check (house multiple, unanchored — labelled)</t>
        </is>
      </c>
      <c r="C8" s="10">
        <f>(Assumptions!$C$76*C7+Assumptions!$C$8-Assumptions!$C$10-Assumptions!$C$11+Assumptions!$C$12+Assumptions!$C$13-MAX(Assumptions!$C$14,0.02*(Assumptions!$C$76*C7+Assumptions!$C$8-Assumptions!$C$10-Assumptions!$C$11+Assumptions!$C$12+Assumptions!$C$13-Assumptions!$C$14)))/Assumptions!$C$5</f>
        <v/>
      </c>
    </row>
    <row r="11">
      <c r="A11" s="12" t="inlineStr">
        <is>
          <t>Relative lens (P/E leg)</t>
        </is>
      </c>
      <c r="B11" s="15" t="n"/>
      <c r="C11" s="13">
        <f>C6</f>
        <v/>
      </c>
      <c r="D11" s="15" t="n"/>
      <c r="E11" s="15" t="n"/>
      <c r="F11" s="15" t="n"/>
      <c r="G11" s="15" t="n"/>
    </row>
    <row r="12">
      <c r="A12" s="6" t="inlineStr">
        <is>
          <t>bear / bull (lens scaled to the peer-set floor 4.73x and ceiling 8.10x)</t>
        </is>
      </c>
      <c r="C12" s="10">
        <f>C11*4.73/Assumptions!$C$75</f>
        <v/>
      </c>
      <c r="D12" s="10">
        <f>C11*8.1/Assumptions!$C$75</f>
        <v/>
      </c>
    </row>
    <row r="14">
      <c r="A14" s="5" t="inlineStr">
        <is>
          <t>Trailing cross-checks</t>
        </is>
      </c>
      <c r="B14" s="5" t="inlineStr">
        <is>
          <t>Value</t>
        </is>
      </c>
    </row>
    <row r="15">
      <c r="A15" s="6" t="inlineStr">
        <is>
          <t>Trailing P/E on FY2025 attributable profit</t>
        </is>
      </c>
      <c r="C15" s="28">
        <f>DCF!C33/Assumptions!$C$71</f>
        <v/>
      </c>
    </row>
    <row r="16">
      <c r="A16" s="6" t="inlineStr">
        <is>
          <t>Trailing P/E on FY2025 group profit (dual-framed)</t>
        </is>
      </c>
      <c r="C16" s="28">
        <f>DCF!C33/Assumptions!$C$70</f>
        <v/>
      </c>
    </row>
    <row r="17">
      <c r="A17" s="6" t="inlineStr">
        <is>
          <t>Trailing EV/EBITDA (mktcap + FY2025 strict net debt over house EBITDA)</t>
        </is>
      </c>
      <c r="C17" s="28">
        <f>(DCF!C33+Assumptions!$C$73)/Assumptions!$C$72</f>
        <v/>
      </c>
    </row>
    <row r="19">
      <c r="A19" s="5" t="inlineStr">
        <is>
          <t>Normalised earnings power</t>
        </is>
      </c>
      <c r="B19" s="5" t="inlineStr">
        <is>
          <t>Value</t>
        </is>
      </c>
    </row>
    <row r="20">
      <c r="A20" s="6" t="inlineStr">
        <is>
          <t>Through-cycle revenue = 85% × cycle sales + recurring legs × 1.15</t>
        </is>
      </c>
      <c r="C20" s="17">
        <f>Assumptions!$C$77*0.85+Assumptions!$C$79*1.15</f>
        <v/>
      </c>
    </row>
    <row r="21">
      <c r="A21" s="6" t="inlineStr">
        <is>
          <t>Through-cycle net margin</t>
        </is>
      </c>
      <c r="C21" s="9">
        <f>Assumptions!$C$78</f>
        <v/>
      </c>
    </row>
    <row r="22">
      <c r="A22" s="6" t="inlineStr">
        <is>
          <t>Normalised net profit</t>
        </is>
      </c>
      <c r="C22" s="17">
        <f>C20*C21</f>
        <v/>
      </c>
    </row>
    <row r="23">
      <c r="A23" s="6" t="inlineStr">
        <is>
          <t>Normalised EPS</t>
        </is>
      </c>
      <c r="C23" s="10">
        <f>C22/Assumptions!$C$5</f>
        <v/>
      </c>
    </row>
    <row r="28">
      <c r="A28" s="22" t="inlineStr">
        <is>
          <t>Normalised lens = EPS × through-cycle P/E</t>
        </is>
      </c>
      <c r="C28" s="23">
        <f>C23*Assumptions!$C$80</f>
        <v/>
      </c>
      <c r="E28" s="10">
        <f>C23*6</f>
        <v/>
      </c>
      <c r="F28" s="10">
        <f>C23*10.5</f>
        <v/>
      </c>
    </row>
    <row r="30">
      <c r="A30" s="5" t="inlineStr">
        <is>
          <t>Book value &amp; sustainable return (rolled to the anchor like the DCF)</t>
        </is>
      </c>
      <c r="B30" s="5" t="inlineStr">
        <is>
          <t>Value</t>
        </is>
      </c>
    </row>
    <row r="31">
      <c r="A31" s="6" t="inlineStr">
        <is>
          <t>Book value per share (30-Jun-2026 attributable equity)</t>
        </is>
      </c>
      <c r="C31" s="10">
        <f>Assumptions!$C$15/Assumptions!$C$5</f>
        <v/>
      </c>
    </row>
    <row r="32">
      <c r="A32" s="6" t="inlineStr">
        <is>
          <t>Justified P/B = (ROE − g)/(Ke − g)</t>
        </is>
      </c>
      <c r="C32" s="28">
        <f>(Assumptions!$C$81-Assumptions!$C$66)/(DCF!C30-Assumptions!$C$66)</f>
        <v/>
      </c>
    </row>
    <row r="36">
      <c r="A36" s="22" t="inlineStr">
        <is>
          <t>Book lens = BVPS × justified P/B × anchor roll</t>
        </is>
      </c>
      <c r="C36" s="23">
        <f>C31*C32*DCF!C61</f>
        <v/>
      </c>
      <c r="E36" s="10">
        <f>C31*((0.055-Assumptions!$C$66)/(DCF!C30-Assumptions!$C$66))*DCF!C61</f>
        <v/>
      </c>
      <c r="F36" s="10">
        <f>C31*((0.095-Assumptions!$C$66)/(DCF!C30-Assumptions!$C$66))*DCF!C61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DCF — waterfall, working-capital components, cost of capital, terminal block, bridge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Valuation date 30-Jun-2026; H2-2026 stub then annual; every chain live</t>
        </is>
      </c>
    </row>
    <row r="4">
      <c r="A4" s="5" t="inlineStr">
        <is>
          <t>Waterfall (AED mn)</t>
        </is>
      </c>
      <c r="B4" s="5" t="inlineStr">
        <is>
          <t>H2-26E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Revenue</t>
        </is>
      </c>
      <c r="B5" s="18">
        <f>Segments!B26</f>
        <v/>
      </c>
      <c r="C5" s="18">
        <f>Segments!C26</f>
        <v/>
      </c>
      <c r="D5" s="18">
        <f>Segments!D26</f>
        <v/>
      </c>
      <c r="E5" s="18">
        <f>Segments!E26</f>
        <v/>
      </c>
      <c r="F5" s="18">
        <f>Segments!F26</f>
        <v/>
      </c>
    </row>
    <row r="6">
      <c r="A6" s="6" t="inlineStr">
        <is>
          <t>Gross profit</t>
        </is>
      </c>
      <c r="B6" s="18">
        <f>Segments!B34</f>
        <v/>
      </c>
      <c r="C6" s="18">
        <f>Segments!C34</f>
        <v/>
      </c>
      <c r="D6" s="18">
        <f>Segments!D34</f>
        <v/>
      </c>
      <c r="E6" s="18">
        <f>Segments!E34</f>
        <v/>
      </c>
      <c r="F6" s="18">
        <f>Segments!F34</f>
        <v/>
      </c>
    </row>
    <row r="7">
      <c r="A7" s="6" t="inlineStr">
        <is>
          <t>General &amp; administrative</t>
        </is>
      </c>
      <c r="B7" s="17">
        <f>-Assumptions!$C$43*B5</f>
        <v/>
      </c>
      <c r="C7" s="17">
        <f>-Assumptions!$D$43*C5</f>
        <v/>
      </c>
      <c r="D7" s="17">
        <f>-Assumptions!$E$43*D5</f>
        <v/>
      </c>
      <c r="E7" s="17">
        <f>-Assumptions!$F$43*E5</f>
        <v/>
      </c>
      <c r="F7" s="17">
        <f>-Assumptions!$G$43*F5</f>
        <v/>
      </c>
    </row>
    <row r="8">
      <c r="A8" s="6" t="inlineStr">
        <is>
          <t>Selling &amp; marketing</t>
        </is>
      </c>
      <c r="B8" s="17">
        <f>-Assumptions!$C$44*B5</f>
        <v/>
      </c>
      <c r="C8" s="17">
        <f>-Assumptions!$D$44*C5</f>
        <v/>
      </c>
      <c r="D8" s="17">
        <f>-Assumptions!$E$44*D5</f>
        <v/>
      </c>
      <c r="E8" s="17">
        <f>-Assumptions!$F$44*E5</f>
        <v/>
      </c>
      <c r="F8" s="17">
        <f>-Assumptions!$G$44*F5</f>
        <v/>
      </c>
    </row>
    <row r="9">
      <c r="A9" s="6" t="inlineStr">
        <is>
          <t>Investment and other income</t>
        </is>
      </c>
      <c r="B9" s="18">
        <f>Assumptions!$C$45</f>
        <v/>
      </c>
      <c r="C9" s="18">
        <f>Assumptions!$D$45</f>
        <v/>
      </c>
      <c r="D9" s="18">
        <f>Assumptions!$E$45</f>
        <v/>
      </c>
      <c r="E9" s="18">
        <f>Assumptions!$F$45</f>
        <v/>
      </c>
      <c r="F9" s="18">
        <f>Assumptions!$G$45</f>
        <v/>
      </c>
    </row>
    <row r="10">
      <c r="A10" s="6" t="inlineStr">
        <is>
          <t>EBIT (post-D&amp;A, ex-fair-value items)</t>
        </is>
      </c>
      <c r="B10" s="27">
        <f>SUM(B6:B9)</f>
        <v/>
      </c>
      <c r="C10" s="27">
        <f>SUM(C6:C9)</f>
        <v/>
      </c>
      <c r="D10" s="27">
        <f>SUM(D6:D9)</f>
        <v/>
      </c>
      <c r="E10" s="27">
        <f>SUM(E6:E9)</f>
        <v/>
      </c>
      <c r="F10" s="27">
        <f>SUM(F6:F9)</f>
        <v/>
      </c>
    </row>
    <row r="11">
      <c r="A11" s="6" t="inlineStr">
        <is>
          <t>EBITDA margin (output)</t>
        </is>
      </c>
      <c r="B11" s="11">
        <f>(B10+B12)/B5</f>
        <v/>
      </c>
      <c r="C11" s="11">
        <f>(C10+C12)/C5</f>
        <v/>
      </c>
      <c r="D11" s="11">
        <f>(D10+D12)/D5</f>
        <v/>
      </c>
      <c r="E11" s="11">
        <f>(E10+E12)/E5</f>
        <v/>
      </c>
      <c r="F11" s="11">
        <f>(F10+F12)/F5</f>
        <v/>
      </c>
    </row>
    <row r="12">
      <c r="A12" s="6" t="inlineStr">
        <is>
          <t>Depreciation &amp; amortisation (asset-base)</t>
        </is>
      </c>
      <c r="B12" s="17">
        <f>Assumptions!$C$46*(B21+Assumptions!$C$47/2)*0.5</f>
        <v/>
      </c>
      <c r="C12" s="17">
        <f>Assumptions!$C$46*(C21+Assumptions!$D$47/2)*1.0</f>
        <v/>
      </c>
      <c r="D12" s="17">
        <f>Assumptions!$C$46*(D21+Assumptions!$E$47/2)*1.0</f>
        <v/>
      </c>
      <c r="E12" s="17">
        <f>Assumptions!$C$46*(E21+Assumptions!$F$47/2)*1.0</f>
        <v/>
      </c>
      <c r="F12" s="17">
        <f>Assumptions!$C$46*(F21+Assumptions!$G$47/2)*1.0</f>
        <v/>
      </c>
    </row>
    <row r="13">
      <c r="A13" s="6" t="inlineStr">
        <is>
          <t>EBITDA</t>
        </is>
      </c>
      <c r="B13" s="17">
        <f>B10+B12</f>
        <v/>
      </c>
      <c r="C13" s="17">
        <f>C10+C12</f>
        <v/>
      </c>
      <c r="D13" s="17">
        <f>D10+D12</f>
        <v/>
      </c>
      <c r="E13" s="17">
        <f>E10+E12</f>
        <v/>
      </c>
      <c r="F13" s="17">
        <f>F10+F12</f>
        <v/>
      </c>
    </row>
    <row r="14">
      <c r="A14" s="6" t="inlineStr">
        <is>
          <t>NOPAT = EBIT × (1 − t)</t>
        </is>
      </c>
      <c r="B14" s="17">
        <f>B10*(1-Assumptions!$C$48)</f>
        <v/>
      </c>
      <c r="C14" s="17">
        <f>C10*(1-Assumptions!$C$48)</f>
        <v/>
      </c>
      <c r="D14" s="17">
        <f>D10*(1-Assumptions!$C$48)</f>
        <v/>
      </c>
      <c r="E14" s="17">
        <f>E10*(1-Assumptions!$C$48)</f>
        <v/>
      </c>
      <c r="F14" s="17">
        <f>F10*(1-Assumptions!$C$48)</f>
        <v/>
      </c>
    </row>
    <row r="15">
      <c r="A15" s="6" t="inlineStr">
        <is>
          <t>+ D&amp;A</t>
        </is>
      </c>
      <c r="B15" s="17">
        <f>B12</f>
        <v/>
      </c>
      <c r="C15" s="17">
        <f>C12</f>
        <v/>
      </c>
      <c r="D15" s="17">
        <f>D12</f>
        <v/>
      </c>
      <c r="E15" s="17">
        <f>E12</f>
        <v/>
      </c>
      <c r="F15" s="17">
        <f>F12</f>
        <v/>
      </c>
    </row>
    <row r="16">
      <c r="A16" s="6" t="inlineStr">
        <is>
          <t>− Capital expenditure</t>
        </is>
      </c>
      <c r="B16" s="17">
        <f>-Assumptions!$C$47</f>
        <v/>
      </c>
      <c r="C16" s="17">
        <f>-Assumptions!$D$47</f>
        <v/>
      </c>
      <c r="D16" s="17">
        <f>-Assumptions!$E$47</f>
        <v/>
      </c>
      <c r="E16" s="17">
        <f>-Assumptions!$F$47</f>
        <v/>
      </c>
      <c r="F16" s="17">
        <f>-Assumptions!$G$47</f>
        <v/>
      </c>
    </row>
    <row r="17">
      <c r="A17" s="6" t="inlineStr">
        <is>
          <t>− Δ working capital (from components below)</t>
        </is>
      </c>
      <c r="B17" s="17">
        <f>-B26</f>
        <v/>
      </c>
      <c r="C17" s="17">
        <f>-C26</f>
        <v/>
      </c>
      <c r="D17" s="17">
        <f>-D26</f>
        <v/>
      </c>
      <c r="E17" s="17">
        <f>-E26</f>
        <v/>
      </c>
      <c r="F17" s="17">
        <f>-F26</f>
        <v/>
      </c>
    </row>
    <row r="18">
      <c r="A18" s="6" t="inlineStr">
        <is>
          <t>Free cash flow to firm</t>
        </is>
      </c>
      <c r="B18" s="27">
        <f>SUM(B14:B17)</f>
        <v/>
      </c>
      <c r="C18" s="27">
        <f>SUM(C14:C17)</f>
        <v/>
      </c>
      <c r="D18" s="27">
        <f>SUM(D14:D17)</f>
        <v/>
      </c>
      <c r="E18" s="27">
        <f>SUM(E14:E17)</f>
        <v/>
      </c>
      <c r="F18" s="27">
        <f>SUM(F14:F17)</f>
        <v/>
      </c>
    </row>
    <row r="19">
      <c r="A19" s="6" t="inlineStr">
        <is>
          <t>Discount factor (period-end from 30-Jun-2026)</t>
        </is>
      </c>
      <c r="B19" s="29">
        <f>1/(1+$C$36)^0.5</f>
        <v/>
      </c>
      <c r="C19" s="29">
        <f>1/(1+$C$36)^1.5</f>
        <v/>
      </c>
      <c r="D19" s="29">
        <f>1/(1+$C$36)^2.5</f>
        <v/>
      </c>
      <c r="E19" s="29">
        <f>1/(1+$C$36)^3.5</f>
        <v/>
      </c>
      <c r="F19" s="29">
        <f>1/(1+$C$36)^4.5</f>
        <v/>
      </c>
    </row>
    <row r="20">
      <c r="A20" s="6" t="inlineStr">
        <is>
          <t>PV of FCFF</t>
        </is>
      </c>
      <c r="B20" s="17">
        <f>B18*B19</f>
        <v/>
      </c>
      <c r="C20" s="17">
        <f>C18*C19</f>
        <v/>
      </c>
      <c r="D20" s="17">
        <f>D18*D19</f>
        <v/>
      </c>
      <c r="E20" s="17">
        <f>E18*E19</f>
        <v/>
      </c>
      <c r="F20" s="17">
        <f>F18*F19</f>
        <v/>
      </c>
    </row>
    <row r="21">
      <c r="A21" s="6" t="inlineStr">
        <is>
          <t>Depreciable asset base (opening)</t>
        </is>
      </c>
      <c r="B21" s="18">
        <f>Assumptions!$C$23</f>
        <v/>
      </c>
      <c r="C21" s="17">
        <f>B21+Assumptions!$C$47-B12</f>
        <v/>
      </c>
      <c r="D21" s="17">
        <f>C21+Assumptions!$D$47-C12</f>
        <v/>
      </c>
      <c r="E21" s="17">
        <f>D21+Assumptions!$E$47-D12</f>
        <v/>
      </c>
      <c r="F21" s="17">
        <f>E21+Assumptions!$F$47-E12</f>
        <v/>
      </c>
    </row>
    <row r="22">
      <c r="A22" s="6" t="inlineStr">
        <is>
          <t>Receivables (days × revenue)</t>
        </is>
      </c>
      <c r="B22" s="17">
        <f>Assumptions!$C$55/365*(Assumptions!$C$19+B5)</f>
        <v/>
      </c>
      <c r="C22" s="17">
        <f>Assumptions!$D$55/365*C5</f>
        <v/>
      </c>
      <c r="D22" s="17">
        <f>Assumptions!$E$55/365*D5</f>
        <v/>
      </c>
      <c r="E22" s="17">
        <f>Assumptions!$F$55/365*E5</f>
        <v/>
      </c>
      <c r="F22" s="17">
        <f>Assumptions!$G$55/365*F5</f>
        <v/>
      </c>
    </row>
    <row r="23">
      <c r="A23" s="6" t="inlineStr">
        <is>
          <t>Inventories + WIP (roll)</t>
        </is>
      </c>
      <c r="B23" s="17">
        <f>Assumptions!$C$17+Assumptions!$C$56*Assumptions!$C$26-Assumptions!$C$57*Segments!B18*(1-Assumptions!$C$28)</f>
        <v/>
      </c>
      <c r="C23" s="17">
        <f>B23+Assumptions!$C$56*Assumptions!$D$26-Assumptions!$C$57*Segments!C18*(1-Assumptions!$D$28)</f>
        <v/>
      </c>
      <c r="D23" s="17">
        <f>C23+Assumptions!$C$56*Assumptions!$E$26-Assumptions!$C$57*Segments!D18*(1-Assumptions!$E$28)</f>
        <v/>
      </c>
      <c r="E23" s="17">
        <f>D23+Assumptions!$C$56*Assumptions!$F$26-Assumptions!$C$57*Segments!E18*(1-Assumptions!$F$28)</f>
        <v/>
      </c>
      <c r="F23" s="17">
        <f>E23+Assumptions!$C$56*Assumptions!$G$26-Assumptions!$C$57*Segments!F18*(1-Assumptions!$G$28)</f>
        <v/>
      </c>
    </row>
    <row r="24">
      <c r="A24" s="6" t="inlineStr">
        <is>
          <t>Payables + advances (cover × costs)</t>
        </is>
      </c>
      <c r="B24" s="17">
        <f>Assumptions!$C$58*(Assumptions!$C$19+B5-Assumptions!$C$20-B6)</f>
        <v/>
      </c>
      <c r="C24" s="17">
        <f>Assumptions!$D$58*(C5-C6)</f>
        <v/>
      </c>
      <c r="D24" s="17">
        <f>Assumptions!$E$58*(D5-D6)</f>
        <v/>
      </c>
      <c r="E24" s="17">
        <f>Assumptions!$F$58*(E5-E6)</f>
        <v/>
      </c>
      <c r="F24" s="17">
        <f>Assumptions!$G$58*(F5-F6)</f>
        <v/>
      </c>
    </row>
    <row r="25">
      <c r="A25" s="6" t="inlineStr">
        <is>
          <t>Net working capital</t>
        </is>
      </c>
      <c r="B25" s="17">
        <f>B22+B23-B24</f>
        <v/>
      </c>
      <c r="C25" s="17">
        <f>C22+C23-C24</f>
        <v/>
      </c>
      <c r="D25" s="17">
        <f>D22+D23-D24</f>
        <v/>
      </c>
      <c r="E25" s="17">
        <f>E22+E23-E24</f>
        <v/>
      </c>
      <c r="F25" s="17">
        <f>F22+F23-F24</f>
        <v/>
      </c>
    </row>
    <row r="26">
      <c r="A26" s="6" t="inlineStr">
        <is>
          <t>Δ working capital</t>
        </is>
      </c>
      <c r="B26" s="17">
        <f>B25-(Assumptions!$C$16+Assumptions!$C$17-Assumptions!$C$18)</f>
        <v/>
      </c>
      <c r="C26" s="17">
        <f>C25-B25</f>
        <v/>
      </c>
      <c r="D26" s="17">
        <f>D25-C25</f>
        <v/>
      </c>
      <c r="E26" s="17">
        <f>E25-D25</f>
        <v/>
      </c>
      <c r="F26" s="17">
        <f>F25-E25</f>
        <v/>
      </c>
    </row>
    <row r="28">
      <c r="A28" s="12" t="inlineStr">
        <is>
          <t>Cost of capital — built on the sheet</t>
        </is>
      </c>
      <c r="B28" s="15" t="n"/>
      <c r="C28" s="15" t="n"/>
      <c r="D28" s="15" t="n"/>
      <c r="E28" s="15" t="n"/>
      <c r="F28" s="15" t="n"/>
      <c r="G28" s="15" t="n"/>
      <c r="H28" s="15" t="n"/>
    </row>
    <row r="29">
      <c r="A29" s="6" t="inlineStr">
        <is>
          <t>Normalised risk-free rate rf* = AED yield − sovereign spread</t>
        </is>
      </c>
      <c r="C29" s="20">
        <f>Assumptions!$C$60-Assumptions!$C$61</f>
        <v/>
      </c>
    </row>
    <row r="30">
      <c r="A30" s="6" t="inlineStr">
        <is>
          <t>Cost of equity Ke = rf* + β × ERP (β from the panel-proxy regression)</t>
        </is>
      </c>
      <c r="C30" s="30">
        <f>C29+Assumptions!$C$63*Assumptions!$C$62</f>
        <v/>
      </c>
    </row>
    <row r="31">
      <c r="A31" s="6" t="inlineStr">
        <is>
          <t>Marginal cost of debt Kd = 6M EIBOR + margin</t>
        </is>
      </c>
      <c r="C31" s="30">
        <f>Assumptions!$C$64+Assumptions!$C$65</f>
        <v/>
      </c>
    </row>
    <row r="32">
      <c r="A32" s="6" t="inlineStr">
        <is>
          <t>Kd after tax</t>
        </is>
      </c>
      <c r="C32" s="30">
        <f>C31*(1-Assumptions!$C$48)</f>
        <v/>
      </c>
    </row>
    <row r="33">
      <c r="A33" s="6" t="inlineStr">
        <is>
          <t>Market capitalisation (spot × shares)</t>
        </is>
      </c>
      <c r="C33" s="17">
        <f>Assumptions!$C$4*Assumptions!$C$5</f>
        <v/>
      </c>
    </row>
    <row r="34">
      <c r="A34" s="6" t="inlineStr">
        <is>
          <t>Equity weight E/(E+D), debt at the 30-Jun-2026 book</t>
        </is>
      </c>
      <c r="C34" s="30">
        <f>C33/(C33+Assumptions!$C$10)</f>
        <v/>
      </c>
    </row>
    <row r="35">
      <c r="A35" s="6" t="inlineStr">
        <is>
          <t>Debt weight D/(E+D)</t>
        </is>
      </c>
      <c r="C35" s="30">
        <f>1-C34</f>
        <v/>
      </c>
    </row>
    <row r="36">
      <c r="A36" s="6" t="inlineStr">
        <is>
          <t>Cost of capital (explicit window)</t>
        </is>
      </c>
      <c r="C36" s="31">
        <f>C34*C30+C35*C32</f>
        <v/>
      </c>
    </row>
    <row r="37">
      <c r="A37" s="6" t="inlineStr">
        <is>
          <t>Terminal debt weight — DERIVED from the FY2030E balance sheet</t>
        </is>
      </c>
      <c r="C37" s="30">
        <f>'Balance Sheet'!J12/('Balance Sheet'!J12+'Balance Sheet'!J14+'Balance Sheet'!J15)</f>
        <v/>
      </c>
    </row>
    <row r="38">
      <c r="A38" s="6" t="inlineStr">
        <is>
          <t>Terminal cost of capital (derived weights)</t>
        </is>
      </c>
      <c r="C38" s="31">
        <f>(1-C37)*C30+C37*C31*(1-Assumptions!$C$48)</f>
        <v/>
      </c>
    </row>
    <row r="40">
      <c r="A40" s="12" t="inlineStr">
        <is>
          <t>Terminal block — reinvestment derived</t>
        </is>
      </c>
      <c r="B40" s="15" t="n"/>
      <c r="C40" s="15" t="n"/>
      <c r="D40" s="15" t="n"/>
      <c r="E40" s="15" t="n"/>
      <c r="F40" s="15" t="n"/>
      <c r="G40" s="15" t="n"/>
      <c r="H40" s="15" t="n"/>
    </row>
    <row r="41">
      <c r="A41" s="6" t="inlineStr">
        <is>
          <t>Terminal growth g</t>
        </is>
      </c>
      <c r="C41" s="20">
        <f>Assumptions!$C$66</f>
        <v/>
      </c>
    </row>
    <row r="42">
      <c r="A42" s="6" t="inlineStr">
        <is>
          <t>Terminal return on invested capital</t>
        </is>
      </c>
      <c r="C42" s="20">
        <f>Assumptions!$C$67</f>
        <v/>
      </c>
    </row>
    <row r="43">
      <c r="A43" s="6" t="inlineStr">
        <is>
          <t>Reinvestment rate = g / ROIC</t>
        </is>
      </c>
      <c r="C43" s="30">
        <f>C41/C42</f>
        <v/>
      </c>
    </row>
    <row r="44">
      <c r="A44" s="6" t="inlineStr">
        <is>
          <t>Terminal NOPAT = FY2030E NOPAT × (1+g)</t>
        </is>
      </c>
      <c r="C44" s="17">
        <f>F14*(1+C41)</f>
        <v/>
      </c>
    </row>
    <row r="45">
      <c r="A45" s="6" t="inlineStr">
        <is>
          <t>Terminal value = NOPAT × (1−RR) / (WACCterm − g)</t>
        </is>
      </c>
      <c r="C45" s="17">
        <f>C44*(1-C43)/(C38-C41)</f>
        <v/>
      </c>
    </row>
    <row r="46">
      <c r="A46" s="6" t="inlineStr">
        <is>
          <t>PV of terminal value (year-4.5 factor)</t>
        </is>
      </c>
      <c r="C46" s="17">
        <f>C45*F19</f>
        <v/>
      </c>
    </row>
    <row r="47">
      <c r="A47" s="6" t="inlineStr">
        <is>
          <t>PV of explicit periods</t>
        </is>
      </c>
      <c r="C47" s="17">
        <f>SUM(B20:F20)</f>
        <v/>
      </c>
    </row>
    <row r="48">
      <c r="A48" s="6" t="inlineStr">
        <is>
          <t>Enterprise value</t>
        </is>
      </c>
      <c r="C48" s="27">
        <f>C46+C47</f>
        <v/>
      </c>
    </row>
    <row r="49">
      <c r="A49" s="6" t="inlineStr">
        <is>
          <t>Terminal value share of enterprise value</t>
        </is>
      </c>
      <c r="C49" s="32">
        <f>C46/C48</f>
        <v/>
      </c>
    </row>
    <row r="51">
      <c r="A51" s="12" t="inlineStr">
        <is>
          <t>EV → equity bridge (30-Jun-2026, available-cash basis)</t>
        </is>
      </c>
      <c r="B51" s="15" t="n"/>
      <c r="C51" s="15" t="n"/>
      <c r="D51" s="15" t="n"/>
      <c r="E51" s="15" t="n"/>
      <c r="F51" s="15" t="n"/>
      <c r="G51" s="15" t="n"/>
      <c r="H51" s="15" t="n"/>
    </row>
    <row r="52">
      <c r="A52" s="6" t="inlineStr">
        <is>
          <t>+ Unrestricted (available) cash — disclosed</t>
        </is>
      </c>
      <c r="C52" s="18">
        <f>Assumptions!$C$8</f>
        <v/>
      </c>
    </row>
    <row r="53">
      <c r="A53" s="6" t="inlineStr">
        <is>
          <t xml:space="preserve">   (project escrow/restricted cash of 3,703 is excluded: it funds completion of the backlog the DCF values)</t>
        </is>
      </c>
    </row>
    <row r="54">
      <c r="A54" s="6" t="inlineStr">
        <is>
          <t>− Gross debt incl. related-party loan</t>
        </is>
      </c>
      <c r="C54" s="18">
        <f>-Assumptions!$C$10</f>
        <v/>
      </c>
    </row>
    <row r="55">
      <c r="A55" s="6" t="inlineStr">
        <is>
          <t>− Lease liabilities</t>
        </is>
      </c>
      <c r="C55" s="18">
        <f>-Assumptions!$C$11</f>
        <v/>
      </c>
    </row>
    <row r="56">
      <c r="A56" s="6" t="inlineStr">
        <is>
          <t>+ Associates &amp; JVs at carrying value</t>
        </is>
      </c>
      <c r="C56" s="18">
        <f>Assumptions!$C$12</f>
        <v/>
      </c>
    </row>
    <row r="57">
      <c r="A57" s="6" t="inlineStr">
        <is>
          <t>+ Investments in financial assets</t>
        </is>
      </c>
      <c r="C57" s="18">
        <f>Assumptions!$C$13</f>
        <v/>
      </c>
    </row>
    <row r="58">
      <c r="A58" s="6" t="inlineStr">
        <is>
          <t>− Non-controlling interests, capitalised at share of equity value (MAX of book and 2%)</t>
        </is>
      </c>
      <c r="C58" s="17">
        <f>-MAX(Assumptions!$C$14,0.02*(C48+C52-Assumptions!$C$10-Assumptions!$C$11+Assumptions!$C$12+Assumptions!$C$13-Assumptions!$C$14))</f>
        <v/>
      </c>
    </row>
    <row r="59">
      <c r="A59" s="6" t="inlineStr">
        <is>
          <t>Equity value attributable (30-Jun-2026)</t>
        </is>
      </c>
      <c r="C59" s="27">
        <f>C48+SUM(C52:C58)</f>
        <v/>
      </c>
    </row>
    <row r="60">
      <c r="A60" s="6" t="inlineStr">
        <is>
          <t>Fair value per share at 30-Jun-2026</t>
        </is>
      </c>
      <c r="C60" s="23">
        <f>C59/Assumptions!$C$5</f>
        <v/>
      </c>
    </row>
    <row r="61">
      <c r="A61" s="6" t="inlineStr">
        <is>
          <t>Anchor accretion (1+Ke)^(38/365)</t>
        </is>
      </c>
      <c r="C61" s="29">
        <f>(1+C30)^(Assumptions!$C$68/365)</f>
        <v/>
      </c>
    </row>
    <row r="62">
      <c r="A62" s="6" t="inlineStr">
        <is>
          <t>Fair value per share at the 7-Aug-2026 anchor</t>
        </is>
      </c>
      <c r="C62" s="23">
        <f>C60*C61</f>
        <v/>
      </c>
    </row>
    <row r="64">
      <c r="A64" s="6" t="inlineStr">
        <is>
          <t>Alternatives (engine re-runs, pasted; driver vectors on Assumptions): run-off stress / growth-hold / Egypt stress / gross-cash basis</t>
        </is>
      </c>
      <c r="C64" s="7" t="n">
        <v>2.643232316556594</v>
      </c>
      <c r="D64" s="7" t="n">
        <v>4.13375247645742</v>
      </c>
      <c r="E64" s="7" t="n">
        <v>2.827564759210456</v>
      </c>
      <c r="F64" s="7" t="n">
        <v>3.771628430049033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Income statement — 3 years audited + H1-2026 actual +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FY2023 is the Q Holding perimeter; FY2024 contains the AED 9,192mn bargain gain (dual-framed); column E is the H1-2026 actual; forecast runs H2-2026E..FY2030E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H1-26A</t>
        </is>
      </c>
      <c r="F4" s="5" t="inlineStr">
        <is>
          <t>H2-26E</t>
        </is>
      </c>
      <c r="G4" s="5" t="inlineStr">
        <is>
          <t>FY27E</t>
        </is>
      </c>
      <c r="H4" s="5" t="inlineStr">
        <is>
          <t>FY28E</t>
        </is>
      </c>
      <c r="I4" s="5" t="inlineStr">
        <is>
          <t>FY29E</t>
        </is>
      </c>
      <c r="J4" s="5" t="inlineStr">
        <is>
          <t>FY30E</t>
        </is>
      </c>
    </row>
    <row r="5">
      <c r="A5" s="6" t="inlineStr">
        <is>
          <t>Revenue</t>
        </is>
      </c>
      <c r="B5" s="19" t="n">
        <v>994.293</v>
      </c>
      <c r="C5" s="19" t="n">
        <v>6511.182</v>
      </c>
      <c r="D5" s="19" t="n">
        <v>13828.869</v>
      </c>
      <c r="E5" s="19" t="n">
        <v>9188.304</v>
      </c>
      <c r="F5" s="18">
        <f>DCF!B5</f>
        <v/>
      </c>
      <c r="G5" s="18">
        <f>DCF!C5</f>
        <v/>
      </c>
      <c r="H5" s="18">
        <f>DCF!D5</f>
        <v/>
      </c>
      <c r="I5" s="18">
        <f>DCF!E5</f>
        <v/>
      </c>
      <c r="J5" s="18">
        <f>DCF!F5</f>
        <v/>
      </c>
    </row>
    <row r="6">
      <c r="A6" s="6" t="inlineStr">
        <is>
          <t>Gross profit</t>
        </is>
      </c>
      <c r="B6" s="19" t="n">
        <v>599.559</v>
      </c>
      <c r="C6" s="19" t="n">
        <v>2316.507</v>
      </c>
      <c r="D6" s="19" t="n">
        <v>5025.259</v>
      </c>
      <c r="E6" s="19" t="n">
        <v>3201.275</v>
      </c>
      <c r="F6" s="18">
        <f>DCF!B6</f>
        <v/>
      </c>
      <c r="G6" s="18">
        <f>DCF!C6</f>
        <v/>
      </c>
      <c r="H6" s="18">
        <f>DCF!D6</f>
        <v/>
      </c>
      <c r="I6" s="18">
        <f>DCF!E6</f>
        <v/>
      </c>
      <c r="J6" s="18">
        <f>DCF!F6</f>
        <v/>
      </c>
    </row>
    <row r="7">
      <c r="A7" s="6" t="inlineStr">
        <is>
          <t>EBITDA (house)</t>
        </is>
      </c>
      <c r="B7" s="19" t="n">
        <v>673.3530000000001</v>
      </c>
      <c r="C7" s="19" t="n">
        <v>9794.941999999999</v>
      </c>
      <c r="D7" s="19" t="n">
        <v>4895.552000000001</v>
      </c>
      <c r="F7" s="18">
        <f>DCF!B13</f>
        <v/>
      </c>
      <c r="G7" s="18">
        <f>DCF!C13</f>
        <v/>
      </c>
      <c r="H7" s="18">
        <f>DCF!D13</f>
        <v/>
      </c>
      <c r="I7" s="18">
        <f>DCF!E13</f>
        <v/>
      </c>
      <c r="J7" s="18">
        <f>DCF!F13</f>
        <v/>
      </c>
    </row>
    <row r="8">
      <c r="A8" s="6" t="inlineStr">
        <is>
          <t>EBITDA margin</t>
        </is>
      </c>
      <c r="B8" s="11">
        <f>B7/B5</f>
        <v/>
      </c>
      <c r="C8" s="11">
        <f>C7/C5</f>
        <v/>
      </c>
      <c r="D8" s="11">
        <f>D7/D5</f>
        <v/>
      </c>
      <c r="F8" s="11">
        <f>F7/F5</f>
        <v/>
      </c>
      <c r="G8" s="11">
        <f>G7/G5</f>
        <v/>
      </c>
      <c r="H8" s="11">
        <f>H7/H5</f>
        <v/>
      </c>
      <c r="I8" s="11">
        <f>I7/I5</f>
        <v/>
      </c>
      <c r="J8" s="11">
        <f>J7/J5</f>
        <v/>
      </c>
    </row>
    <row r="9">
      <c r="A9" s="6" t="inlineStr">
        <is>
          <t>Depreciation &amp; amortisation</t>
        </is>
      </c>
      <c r="B9" s="19" t="n">
        <v>27.719</v>
      </c>
      <c r="C9" s="19" t="n">
        <v>265.122</v>
      </c>
      <c r="D9" s="19" t="n">
        <v>610.4829999999999</v>
      </c>
      <c r="F9" s="18">
        <f>DCF!B12</f>
        <v/>
      </c>
      <c r="G9" s="18">
        <f>DCF!C12</f>
        <v/>
      </c>
      <c r="H9" s="18">
        <f>DCF!D12</f>
        <v/>
      </c>
      <c r="I9" s="18">
        <f>DCF!E12</f>
        <v/>
      </c>
      <c r="J9" s="18">
        <f>DCF!F12</f>
        <v/>
      </c>
    </row>
    <row r="10">
      <c r="A10" s="6" t="inlineStr">
        <is>
          <t>EBIT</t>
        </is>
      </c>
      <c r="B10" s="17">
        <f>B7-B9</f>
        <v/>
      </c>
      <c r="C10" s="17">
        <f>C7-C9</f>
        <v/>
      </c>
      <c r="D10" s="17">
        <f>D7-D9</f>
        <v/>
      </c>
      <c r="F10" s="17">
        <f>F7-F9</f>
        <v/>
      </c>
      <c r="G10" s="17">
        <f>G7-G9</f>
        <v/>
      </c>
      <c r="H10" s="17">
        <f>H7-H9</f>
        <v/>
      </c>
      <c r="I10" s="17">
        <f>I7-I9</f>
        <v/>
      </c>
      <c r="J10" s="17">
        <f>J7-J9</f>
        <v/>
      </c>
    </row>
    <row r="11">
      <c r="A11" s="6" t="inlineStr">
        <is>
          <t>Net finance result</t>
        </is>
      </c>
      <c r="B11" s="19" t="n">
        <v>8.518000000000001</v>
      </c>
      <c r="C11" s="19" t="n">
        <v>-156.667</v>
      </c>
      <c r="D11" s="19" t="n">
        <v>-127.466</v>
      </c>
      <c r="F11" s="17">
        <f>(Assumptions!$C$52*'Balance Sheet'!E9-(DCF!$C$31*(Assumptions!$C$10+Assumptions!$C$51)/2+Assumptions!$C$53))*0.5</f>
        <v/>
      </c>
      <c r="G11" s="17">
        <f>(Assumptions!$C$52*'Balance Sheet'!F9-(DCF!$C$31*(Assumptions!$C$51+Assumptions!$D$51)/2+Assumptions!$C$53))*1.0</f>
        <v/>
      </c>
      <c r="H11" s="17">
        <f>(Assumptions!$C$52*'Balance Sheet'!G9-(DCF!$C$31*(Assumptions!$D$51+Assumptions!$E$51)/2+Assumptions!$C$53))*1.0</f>
        <v/>
      </c>
      <c r="I11" s="17">
        <f>(Assumptions!$C$52*'Balance Sheet'!H9-(DCF!$C$31*(Assumptions!$E$51+Assumptions!$F$51)/2+Assumptions!$C$53))*1.0</f>
        <v/>
      </c>
      <c r="J11" s="17">
        <f>(Assumptions!$C$52*'Balance Sheet'!I9-(DCF!$C$31*(Assumptions!$F$51+Assumptions!$G$51)/2+Assumptions!$C$53))*1.0</f>
        <v/>
      </c>
    </row>
    <row r="12">
      <c r="A12" s="6" t="inlineStr">
        <is>
          <t>Associates &amp; JVs</t>
        </is>
      </c>
      <c r="B12" s="19" t="n">
        <v>-0.697</v>
      </c>
      <c r="C12" s="19" t="n">
        <v>115.114</v>
      </c>
      <c r="D12" s="19" t="n">
        <v>263.592</v>
      </c>
      <c r="F12" s="18">
        <f>Assumptions!$C$50</f>
        <v/>
      </c>
      <c r="G12" s="18">
        <f>Assumptions!$D$50</f>
        <v/>
      </c>
      <c r="H12" s="18">
        <f>Assumptions!$E$50</f>
        <v/>
      </c>
      <c r="I12" s="18">
        <f>Assumptions!$F$50</f>
        <v/>
      </c>
      <c r="J12" s="18">
        <f>Assumptions!$G$50</f>
        <v/>
      </c>
    </row>
    <row r="13">
      <c r="A13" s="6" t="inlineStr">
        <is>
          <t>Profit before tax</t>
        </is>
      </c>
      <c r="B13" s="17">
        <f>B10+B11+B12</f>
        <v/>
      </c>
      <c r="C13" s="17">
        <f>C10+C11+C12</f>
        <v/>
      </c>
      <c r="D13" s="17">
        <f>D10+D11+D12</f>
        <v/>
      </c>
      <c r="E13" s="19" t="n">
        <v>2601.227</v>
      </c>
      <c r="F13" s="17">
        <f>F10+F11+F12</f>
        <v/>
      </c>
      <c r="G13" s="17">
        <f>G10+G11+G12</f>
        <v/>
      </c>
      <c r="H13" s="17">
        <f>H10+H11+H12</f>
        <v/>
      </c>
      <c r="I13" s="17">
        <f>I10+I11+I12</f>
        <v/>
      </c>
      <c r="J13" s="17">
        <f>J10+J11+J12</f>
        <v/>
      </c>
    </row>
    <row r="14">
      <c r="A14" s="6" t="inlineStr">
        <is>
          <t>Income tax</t>
        </is>
      </c>
      <c r="B14" s="19" t="n">
        <v>-79.504</v>
      </c>
      <c r="C14" s="19" t="n">
        <v>-98.815</v>
      </c>
      <c r="D14" s="19" t="n">
        <v>-495.49</v>
      </c>
      <c r="E14" s="19" t="n">
        <v>-401.202</v>
      </c>
      <c r="F14" s="17">
        <f>-F13*Assumptions!$C$48</f>
        <v/>
      </c>
      <c r="G14" s="17">
        <f>-G13*Assumptions!$C$48</f>
        <v/>
      </c>
      <c r="H14" s="17">
        <f>-H13*Assumptions!$C$48</f>
        <v/>
      </c>
      <c r="I14" s="17">
        <f>-I13*Assumptions!$C$48</f>
        <v/>
      </c>
      <c r="J14" s="17">
        <f>-J13*Assumptions!$C$48</f>
        <v/>
      </c>
    </row>
    <row r="15">
      <c r="A15" s="6" t="inlineStr">
        <is>
          <t>Profit for the year</t>
        </is>
      </c>
      <c r="B15" s="17">
        <f>B13+B14</f>
        <v/>
      </c>
      <c r="C15" s="17">
        <f>C13+C14</f>
        <v/>
      </c>
      <c r="D15" s="17">
        <f>D13+D14</f>
        <v/>
      </c>
      <c r="E15" s="19" t="n">
        <v>2202.138</v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</row>
    <row r="16">
      <c r="A16" s="6" t="inlineStr">
        <is>
          <t>Non-controlling interests</t>
        </is>
      </c>
      <c r="B16" s="19" t="n">
        <v>112.682</v>
      </c>
      <c r="C16" s="19" t="n">
        <v>-33.7390000000014</v>
      </c>
      <c r="D16" s="19" t="n">
        <v>-94.39699999999993</v>
      </c>
      <c r="E16" s="19" t="n">
        <v>39.17200000000003</v>
      </c>
      <c r="F16" s="17">
        <f>F15*Assumptions!$C$49</f>
        <v/>
      </c>
      <c r="G16" s="17">
        <f>G15*Assumptions!$C$49</f>
        <v/>
      </c>
      <c r="H16" s="17">
        <f>H15*Assumptions!$C$49</f>
        <v/>
      </c>
      <c r="I16" s="17">
        <f>I15*Assumptions!$C$49</f>
        <v/>
      </c>
      <c r="J16" s="17">
        <f>J15*Assumptions!$C$49</f>
        <v/>
      </c>
    </row>
    <row r="17">
      <c r="A17" s="6" t="inlineStr">
        <is>
          <t>Attributable profit</t>
        </is>
      </c>
      <c r="B17" s="27">
        <f>B15-B16</f>
        <v/>
      </c>
      <c r="C17" s="27">
        <f>C15-C16</f>
        <v/>
      </c>
      <c r="D17" s="27">
        <f>D15-D16</f>
        <v/>
      </c>
      <c r="E17" s="33" t="n">
        <v>2162.966</v>
      </c>
      <c r="F17" s="27">
        <f>F15-F16</f>
        <v/>
      </c>
      <c r="G17" s="27">
        <f>G15-G16</f>
        <v/>
      </c>
      <c r="H17" s="27">
        <f>H15-H16</f>
        <v/>
      </c>
      <c r="I17" s="27">
        <f>I15-I16</f>
        <v/>
      </c>
      <c r="J17" s="27">
        <f>J15-J16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Balance sheet — audited history, 30-Jun-2026 actual, and the roll-forward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Column E = 30-Jun-2026 reviewed actuals; forecast rolls equity on retained profit, debt on the drawn path, cash from free cash flow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30-Jun-26A</t>
        </is>
      </c>
      <c r="F4" s="5" t="inlineStr">
        <is>
          <t>H2-26E</t>
        </is>
      </c>
      <c r="G4" s="5" t="inlineStr">
        <is>
          <t>FY27E</t>
        </is>
      </c>
      <c r="H4" s="5" t="inlineStr">
        <is>
          <t>FY28E</t>
        </is>
      </c>
      <c r="I4" s="5" t="inlineStr">
        <is>
          <t>FY29E</t>
        </is>
      </c>
      <c r="J4" s="5" t="inlineStr">
        <is>
          <t>FY30E</t>
        </is>
      </c>
    </row>
    <row r="5">
      <c r="A5" s="6" t="inlineStr">
        <is>
          <t>Receivables incl. related-party</t>
        </is>
      </c>
      <c r="B5" s="19" t="n">
        <v>1685.533</v>
      </c>
      <c r="C5" s="19" t="n">
        <v>12843.804</v>
      </c>
      <c r="D5" s="19" t="n">
        <v>16635.123</v>
      </c>
      <c r="E5" s="18">
        <f>Assumptions!$C$16</f>
        <v/>
      </c>
      <c r="F5" s="18">
        <f>DCF!B22</f>
        <v/>
      </c>
      <c r="G5" s="18">
        <f>DCF!C22</f>
        <v/>
      </c>
      <c r="H5" s="18">
        <f>DCF!D22</f>
        <v/>
      </c>
      <c r="I5" s="18">
        <f>DCF!E22</f>
        <v/>
      </c>
      <c r="J5" s="18">
        <f>DCF!F22</f>
        <v/>
      </c>
    </row>
    <row r="6">
      <c r="A6" s="6" t="inlineStr">
        <is>
          <t>Inventories + development WIP</t>
        </is>
      </c>
      <c r="B6" s="19" t="n">
        <v>2246.917</v>
      </c>
      <c r="C6" s="19" t="n">
        <v>32047.946</v>
      </c>
      <c r="D6" s="19" t="n">
        <v>33409.382</v>
      </c>
      <c r="E6" s="18">
        <f>Assumptions!$C$17</f>
        <v/>
      </c>
      <c r="F6" s="18">
        <f>DCF!B23</f>
        <v/>
      </c>
      <c r="G6" s="18">
        <f>DCF!C23</f>
        <v/>
      </c>
      <c r="H6" s="18">
        <f>DCF!D23</f>
        <v/>
      </c>
      <c r="I6" s="18">
        <f>DCF!E23</f>
        <v/>
      </c>
      <c r="J6" s="18">
        <f>DCF!F23</f>
        <v/>
      </c>
    </row>
    <row r="7">
      <c r="A7" s="6" t="inlineStr">
        <is>
          <t>Payables incl. advances + related-party</t>
        </is>
      </c>
      <c r="B7" s="6" t="inlineStr">
        <is>
          <t>-</t>
        </is>
      </c>
      <c r="C7" s="19" t="n">
        <v>18029.912</v>
      </c>
      <c r="D7" s="19" t="n">
        <v>23101.595</v>
      </c>
      <c r="E7" s="18">
        <f>Assumptions!$C$18</f>
        <v/>
      </c>
      <c r="F7" s="18">
        <f>DCF!B24</f>
        <v/>
      </c>
      <c r="G7" s="18">
        <f>DCF!C24</f>
        <v/>
      </c>
      <c r="H7" s="18">
        <f>DCF!D24</f>
        <v/>
      </c>
      <c r="I7" s="18">
        <f>DCF!E24</f>
        <v/>
      </c>
      <c r="J7" s="18">
        <f>DCF!F24</f>
        <v/>
      </c>
    </row>
    <row r="8">
      <c r="A8" s="6" t="inlineStr">
        <is>
          <t>Net working capital (components)</t>
        </is>
      </c>
      <c r="B8" s="6" t="inlineStr">
        <is>
          <t>-</t>
        </is>
      </c>
      <c r="C8" s="17">
        <f>C5+C6-C7</f>
        <v/>
      </c>
      <c r="D8" s="17">
        <f>D5+D6-D7</f>
        <v/>
      </c>
      <c r="E8" s="17">
        <f>E5+E6-E7</f>
        <v/>
      </c>
      <c r="F8" s="18">
        <f>DCF!B25</f>
        <v/>
      </c>
      <c r="G8" s="18">
        <f>DCF!C25</f>
        <v/>
      </c>
      <c r="H8" s="18">
        <f>DCF!D25</f>
        <v/>
      </c>
      <c r="I8" s="18">
        <f>DCF!E25</f>
        <v/>
      </c>
      <c r="J8" s="18">
        <f>DCF!F25</f>
        <v/>
      </c>
    </row>
    <row r="9">
      <c r="A9" s="6" t="inlineStr">
        <is>
          <t>Cash and bank balances</t>
        </is>
      </c>
      <c r="B9" s="19" t="n">
        <v>2259.902</v>
      </c>
      <c r="C9" s="19" t="n">
        <v>7009.67</v>
      </c>
      <c r="D9" s="19" t="n">
        <v>12641.987</v>
      </c>
      <c r="E9" s="18">
        <f>Assumptions!$C$9</f>
        <v/>
      </c>
      <c r="F9" s="17">
        <f>E9+DCF!B18+'Income Statement'!F11-('Income Statement'!F13-DCF!B10)*Assumptions!$C$48+(Assumptions!$C$51-Assumptions!$C$10)</f>
        <v/>
      </c>
      <c r="G9" s="17">
        <f>F9+DCF!C18+'Income Statement'!G11-('Income Statement'!G13-DCF!C10)*Assumptions!$C$48+(Assumptions!$D$51-Assumptions!$C$51)</f>
        <v/>
      </c>
      <c r="H9" s="17">
        <f>G9+DCF!D18+'Income Statement'!H11-('Income Statement'!H13-DCF!D10)*Assumptions!$C$48+(Assumptions!$E$51-Assumptions!$D$51)</f>
        <v/>
      </c>
      <c r="I9" s="17">
        <f>H9+DCF!E18+'Income Statement'!I11-('Income Statement'!I13-DCF!E10)*Assumptions!$C$48+(Assumptions!$F$51-Assumptions!$E$51)</f>
        <v/>
      </c>
      <c r="J9" s="17">
        <f>I9+DCF!F18+'Income Statement'!J11-('Income Statement'!J13-DCF!F10)*Assumptions!$C$48+(Assumptions!$G$51-Assumptions!$F$51)</f>
        <v/>
      </c>
    </row>
    <row r="10">
      <c r="A10" s="6" t="inlineStr">
        <is>
          <t>Total assets (audited)</t>
        </is>
      </c>
      <c r="B10" s="19" t="n">
        <v>21311.081</v>
      </c>
      <c r="C10" s="19" t="n">
        <v>75925.281</v>
      </c>
      <c r="D10" s="19" t="n">
        <v>87030.985</v>
      </c>
      <c r="E10" s="19" t="n">
        <v>91985.92999999999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</row>
    <row r="11">
      <c r="A11" s="6" t="inlineStr"/>
    </row>
    <row r="12">
      <c r="A12" s="6" t="inlineStr">
        <is>
          <t>Gross debt incl. related-party loan</t>
        </is>
      </c>
      <c r="B12" s="19" t="n">
        <v>1976.135</v>
      </c>
      <c r="C12" s="19" t="n">
        <v>5364.11</v>
      </c>
      <c r="D12" s="19" t="n">
        <v>6789.085999999999</v>
      </c>
      <c r="E12" s="18">
        <f>Assumptions!$C$10</f>
        <v/>
      </c>
      <c r="F12" s="18">
        <f>Assumptions!$C$51</f>
        <v/>
      </c>
      <c r="G12" s="18">
        <f>Assumptions!$D$51</f>
        <v/>
      </c>
      <c r="H12" s="18">
        <f>Assumptions!$E$51</f>
        <v/>
      </c>
      <c r="I12" s="18">
        <f>Assumptions!$F$51</f>
        <v/>
      </c>
      <c r="J12" s="18">
        <f>Assumptions!$G$51</f>
        <v/>
      </c>
    </row>
    <row r="13">
      <c r="A13" s="6" t="inlineStr">
        <is>
          <t>Net debt (− = net cash)</t>
        </is>
      </c>
      <c r="B13" s="17">
        <f>B12-B9</f>
        <v/>
      </c>
      <c r="C13" s="17">
        <f>C12-C9</f>
        <v/>
      </c>
      <c r="D13" s="17">
        <f>D12-D9</f>
        <v/>
      </c>
      <c r="E13" s="17">
        <f>E12-E9</f>
        <v/>
      </c>
      <c r="F13" s="17">
        <f>F12-F9</f>
        <v/>
      </c>
      <c r="G13" s="17">
        <f>G12-G9</f>
        <v/>
      </c>
      <c r="H13" s="17">
        <f>H12-H9</f>
        <v/>
      </c>
      <c r="I13" s="17">
        <f>I12-I9</f>
        <v/>
      </c>
      <c r="J13" s="17">
        <f>J12-J9</f>
        <v/>
      </c>
    </row>
    <row r="14">
      <c r="A14" s="6" t="inlineStr">
        <is>
          <t>Equity attributable to owners</t>
        </is>
      </c>
      <c r="B14" s="19" t="n">
        <v>13769.094</v>
      </c>
      <c r="C14" s="19" t="n">
        <v>49676.408</v>
      </c>
      <c r="D14" s="19" t="n">
        <v>53902.504</v>
      </c>
      <c r="E14" s="18">
        <f>Assumptions!$C$15</f>
        <v/>
      </c>
      <c r="F14" s="17">
        <f>E14+'Income Statement'!F17</f>
        <v/>
      </c>
      <c r="G14" s="17">
        <f>F14+'Income Statement'!G17</f>
        <v/>
      </c>
      <c r="H14" s="17">
        <f>G14+'Income Statement'!H17</f>
        <v/>
      </c>
      <c r="I14" s="17">
        <f>H14+'Income Statement'!I17</f>
        <v/>
      </c>
      <c r="J14" s="17">
        <f>I14+'Income Statement'!J17</f>
        <v/>
      </c>
    </row>
    <row r="15">
      <c r="A15" s="6" t="inlineStr">
        <is>
          <t>Non-controlling interests</t>
        </is>
      </c>
      <c r="B15" s="19" t="n">
        <v>1149.566</v>
      </c>
      <c r="C15" s="19" t="n">
        <v>1186.183</v>
      </c>
      <c r="D15" s="19" t="n">
        <v>847.48</v>
      </c>
      <c r="E15" s="18">
        <f>Assumptions!$C$14</f>
        <v/>
      </c>
      <c r="F15" s="17">
        <f>E15+'Income Statement'!F16</f>
        <v/>
      </c>
      <c r="G15" s="17">
        <f>F15+'Income Statement'!G16</f>
        <v/>
      </c>
      <c r="H15" s="17">
        <f>G15+'Income Statement'!H16</f>
        <v/>
      </c>
      <c r="I15" s="17">
        <f>H15+'Income Statement'!I16</f>
        <v/>
      </c>
      <c r="J15" s="17">
        <f>I15+'Income Statement'!J16</f>
        <v/>
      </c>
    </row>
    <row r="16">
      <c r="A16" s="6" t="inlineStr">
        <is>
          <t>Net debt / EBITDA</t>
        </is>
      </c>
      <c r="B16" s="28">
        <f>(B12-B9)/673.3530000000001</f>
        <v/>
      </c>
      <c r="C16" s="28">
        <f>(C12-C9)/9794.942</f>
        <v/>
      </c>
      <c r="D16" s="28">
        <f>(D12-D9)/4895.552000000001</f>
        <v/>
      </c>
      <c r="F16" s="28">
        <f>(F12-F9)/DCF!B13</f>
        <v/>
      </c>
      <c r="G16" s="28">
        <f>(G12-G9)/DCF!C13</f>
        <v/>
      </c>
      <c r="H16" s="28">
        <f>(H12-H9)/DCF!D13</f>
        <v/>
      </c>
      <c r="I16" s="28">
        <f>(I12-I9)/DCF!E13</f>
        <v/>
      </c>
      <c r="J16" s="28">
        <f>(J12-J9)/DCF!F13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 — audited history, H1-2026 actual, and the forecast chain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Forecast rows link to the DCF waterfall; the IFRS operating-cash-flow actuals are shown separately from the model construct (different measures, not one series)</t>
        </is>
      </c>
    </row>
    <row r="4">
      <c r="A4" s="5" t="inlineStr"/>
      <c r="B4" s="5" t="inlineStr">
        <is>
          <t>FY2024A</t>
        </is>
      </c>
      <c r="C4" s="5" t="inlineStr">
        <is>
          <t>FY2025A</t>
        </is>
      </c>
      <c r="D4" s="5" t="inlineStr">
        <is>
          <t>H1-26A</t>
        </is>
      </c>
      <c r="E4" s="5" t="inlineStr">
        <is>
          <t>H2-26E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IFRS net cash from operating activities (audited/reviewed)</t>
        </is>
      </c>
      <c r="B5" s="19" t="n">
        <v>3231.447</v>
      </c>
      <c r="C5" s="19" t="n">
        <v>3860.373</v>
      </c>
      <c r="D5" s="19" t="n">
        <v>-3921.027</v>
      </c>
    </row>
    <row r="6">
      <c r="A6" s="6" t="inlineStr">
        <is>
          <t>Capital expenditure (PP&amp;E + intangibles + IP)</t>
        </is>
      </c>
      <c r="B6" s="19" t="n">
        <v>1247</v>
      </c>
      <c r="C6" s="19" t="n">
        <v>1260.566</v>
      </c>
      <c r="D6" s="19" t="n">
        <v>312.49</v>
      </c>
    </row>
    <row r="8">
      <c r="A8" s="22" t="inlineStr">
        <is>
          <t>Model construct (NOT the IFRS measure): links to the DCF waterfall</t>
        </is>
      </c>
    </row>
    <row r="9">
      <c r="A9" s="6" t="inlineStr">
        <is>
          <t>NOPAT</t>
        </is>
      </c>
      <c r="E9" s="18">
        <f>DCF!B14</f>
        <v/>
      </c>
      <c r="F9" s="18">
        <f>DCF!C14</f>
        <v/>
      </c>
      <c r="G9" s="18">
        <f>DCF!D14</f>
        <v/>
      </c>
      <c r="H9" s="18">
        <f>DCF!E14</f>
        <v/>
      </c>
      <c r="I9" s="18">
        <f>DCF!F14</f>
        <v/>
      </c>
    </row>
    <row r="10">
      <c r="A10" s="6" t="inlineStr">
        <is>
          <t>+ D&amp;A</t>
        </is>
      </c>
      <c r="E10" s="18">
        <f>DCF!B15</f>
        <v/>
      </c>
      <c r="F10" s="18">
        <f>DCF!C15</f>
        <v/>
      </c>
      <c r="G10" s="18">
        <f>DCF!D15</f>
        <v/>
      </c>
      <c r="H10" s="18">
        <f>DCF!E15</f>
        <v/>
      </c>
      <c r="I10" s="18">
        <f>DCF!F15</f>
        <v/>
      </c>
    </row>
    <row r="11">
      <c r="A11" s="6" t="inlineStr">
        <is>
          <t>− Capex</t>
        </is>
      </c>
      <c r="E11" s="18">
        <f>DCF!B16</f>
        <v/>
      </c>
      <c r="F11" s="18">
        <f>DCF!C16</f>
        <v/>
      </c>
      <c r="G11" s="18">
        <f>DCF!D16</f>
        <v/>
      </c>
      <c r="H11" s="18">
        <f>DCF!E16</f>
        <v/>
      </c>
      <c r="I11" s="18">
        <f>DCF!F16</f>
        <v/>
      </c>
    </row>
    <row r="12">
      <c r="A12" s="6" t="inlineStr">
        <is>
          <t>− Δ working capital</t>
        </is>
      </c>
      <c r="E12" s="18">
        <f>DCF!B17</f>
        <v/>
      </c>
      <c r="F12" s="18">
        <f>DCF!C17</f>
        <v/>
      </c>
      <c r="G12" s="18">
        <f>DCF!D17</f>
        <v/>
      </c>
      <c r="H12" s="18">
        <f>DCF!E17</f>
        <v/>
      </c>
      <c r="I12" s="18">
        <f>DCF!F17</f>
        <v/>
      </c>
    </row>
    <row r="13">
      <c r="A13" s="6" t="inlineStr">
        <is>
          <t>Free cash flow to firm</t>
        </is>
      </c>
      <c r="E13" s="34">
        <f>DCF!B18</f>
        <v/>
      </c>
      <c r="F13" s="34">
        <f>DCF!C18</f>
        <v/>
      </c>
      <c r="G13" s="34">
        <f>DCF!D18</f>
        <v/>
      </c>
      <c r="H13" s="34">
        <f>DCF!E18</f>
        <v/>
      </c>
      <c r="I13" s="34">
        <f>DCF!F18</f>
        <v/>
      </c>
    </row>
    <row r="15">
      <c r="A15" s="35" t="inlineStr">
        <is>
          <t>Implied H2-2026 IFRS-basis operating recovery required by the model: the H1 actual was −3,921; the model's FY2026 working-capital absorption of 938 implies roughly +5,978 of H2 operating cash flow — stated, not hidden</t>
        </is>
      </c>
    </row>
    <row r="16"/>
  </sheetData>
  <mergeCells count="1">
    <mergeCell ref="A15:I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Summary financials — the model in one table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Every row links live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H1-26A</t>
        </is>
      </c>
      <c r="F4" s="5" t="inlineStr">
        <is>
          <t>H2-26E</t>
        </is>
      </c>
      <c r="G4" s="5" t="inlineStr">
        <is>
          <t>FY27E</t>
        </is>
      </c>
      <c r="H4" s="5" t="inlineStr">
        <is>
          <t>FY28E</t>
        </is>
      </c>
      <c r="I4" s="5" t="inlineStr">
        <is>
          <t>FY29E</t>
        </is>
      </c>
      <c r="J4" s="5" t="inlineStr">
        <is>
          <t>FY30E</t>
        </is>
      </c>
    </row>
    <row r="5">
      <c r="A5" s="6" t="inlineStr">
        <is>
          <t>Revenue</t>
        </is>
      </c>
      <c r="B5" s="18">
        <f>'Income Statement'!B5</f>
        <v/>
      </c>
      <c r="C5" s="18">
        <f>'Income Statement'!C5</f>
        <v/>
      </c>
      <c r="D5" s="18">
        <f>'Income Statement'!D5</f>
        <v/>
      </c>
      <c r="E5" s="18">
        <f>'Income Statement'!E5</f>
        <v/>
      </c>
      <c r="F5" s="18">
        <f>'Income Statement'!F5</f>
        <v/>
      </c>
      <c r="G5" s="18">
        <f>'Income Statement'!G5</f>
        <v/>
      </c>
      <c r="H5" s="18">
        <f>'Income Statement'!H5</f>
        <v/>
      </c>
      <c r="I5" s="18">
        <f>'Income Statement'!I5</f>
        <v/>
      </c>
      <c r="J5" s="18">
        <f>'Income Statement'!J5</f>
        <v/>
      </c>
    </row>
    <row r="6">
      <c r="A6" s="6" t="inlineStr">
        <is>
          <t>EBITDA</t>
        </is>
      </c>
      <c r="B6" s="18">
        <f>'Income Statement'!B7</f>
        <v/>
      </c>
      <c r="C6" s="18">
        <f>'Income Statement'!C7</f>
        <v/>
      </c>
      <c r="D6" s="18">
        <f>'Income Statement'!D7</f>
        <v/>
      </c>
      <c r="E6" s="6" t="inlineStr">
        <is>
          <t>-</t>
        </is>
      </c>
      <c r="F6" s="18">
        <f>'Income Statement'!F7</f>
        <v/>
      </c>
      <c r="G6" s="18">
        <f>'Income Statement'!G7</f>
        <v/>
      </c>
      <c r="H6" s="18">
        <f>'Income Statement'!H7</f>
        <v/>
      </c>
      <c r="I6" s="18">
        <f>'Income Statement'!I7</f>
        <v/>
      </c>
      <c r="J6" s="18">
        <f>'Income Statement'!J7</f>
        <v/>
      </c>
    </row>
    <row r="7">
      <c r="A7" s="6" t="inlineStr">
        <is>
          <t>EBITDA margin</t>
        </is>
      </c>
      <c r="B7" s="9">
        <f>'Income Statement'!B8</f>
        <v/>
      </c>
      <c r="C7" s="9">
        <f>'Income Statement'!C8</f>
        <v/>
      </c>
      <c r="D7" s="9">
        <f>'Income Statement'!D8</f>
        <v/>
      </c>
      <c r="E7" s="6" t="inlineStr">
        <is>
          <t>-</t>
        </is>
      </c>
      <c r="F7" s="9">
        <f>'Income Statement'!F8</f>
        <v/>
      </c>
      <c r="G7" s="9">
        <f>'Income Statement'!G8</f>
        <v/>
      </c>
      <c r="H7" s="9">
        <f>'Income Statement'!H8</f>
        <v/>
      </c>
      <c r="I7" s="9">
        <f>'Income Statement'!I8</f>
        <v/>
      </c>
      <c r="J7" s="9">
        <f>'Income Statement'!J8</f>
        <v/>
      </c>
    </row>
    <row r="8">
      <c r="A8" s="6" t="inlineStr">
        <is>
          <t>Attributable profit</t>
        </is>
      </c>
      <c r="B8" s="18">
        <f>'Income Statement'!B17</f>
        <v/>
      </c>
      <c r="C8" s="18">
        <f>'Income Statement'!C17</f>
        <v/>
      </c>
      <c r="D8" s="18">
        <f>'Income Statement'!D17</f>
        <v/>
      </c>
      <c r="E8" s="18">
        <f>'Income Statement'!E17</f>
        <v/>
      </c>
      <c r="F8" s="18">
        <f>'Income Statement'!F17</f>
        <v/>
      </c>
      <c r="G8" s="18">
        <f>'Income Statement'!G17</f>
        <v/>
      </c>
      <c r="H8" s="18">
        <f>'Income Statement'!H17</f>
        <v/>
      </c>
      <c r="I8" s="18">
        <f>'Income Statement'!I17</f>
        <v/>
      </c>
      <c r="J8" s="18">
        <f>'Income Statement'!J17</f>
        <v/>
      </c>
    </row>
    <row r="9">
      <c r="A9" s="6" t="inlineStr">
        <is>
          <t>Free cash flow to firm</t>
        </is>
      </c>
      <c r="B9" s="6" t="inlineStr">
        <is>
          <t>-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18">
        <f>'Cash Flow'!E13</f>
        <v/>
      </c>
      <c r="G9" s="18">
        <f>'Cash Flow'!F13</f>
        <v/>
      </c>
      <c r="H9" s="18">
        <f>'Cash Flow'!G13</f>
        <v/>
      </c>
      <c r="I9" s="18">
        <f>'Cash Flow'!H13</f>
        <v/>
      </c>
      <c r="J9" s="18">
        <f>'Cash Flow'!I13</f>
        <v/>
      </c>
    </row>
    <row r="10">
      <c r="A10" s="6" t="inlineStr">
        <is>
          <t>Net debt (− = net cash)</t>
        </is>
      </c>
      <c r="B10" s="18">
        <f>'Balance Sheet'!B13</f>
        <v/>
      </c>
      <c r="C10" s="18">
        <f>'Balance Sheet'!C13</f>
        <v/>
      </c>
      <c r="D10" s="18">
        <f>'Balance Sheet'!D13</f>
        <v/>
      </c>
      <c r="E10" s="18">
        <f>'Balance Sheet'!E13</f>
        <v/>
      </c>
      <c r="F10" s="18">
        <f>'Balance Sheet'!F13</f>
        <v/>
      </c>
      <c r="G10" s="18">
        <f>'Balance Sheet'!G13</f>
        <v/>
      </c>
      <c r="H10" s="18">
        <f>'Balance Sheet'!H13</f>
        <v/>
      </c>
      <c r="I10" s="18">
        <f>'Balance Sheet'!I13</f>
        <v/>
      </c>
      <c r="J10" s="18">
        <f>'Balance Sheet'!J13</f>
        <v/>
      </c>
    </row>
    <row r="11">
      <c r="A11" s="6" t="inlineStr">
        <is>
          <t>Equity attributable</t>
        </is>
      </c>
      <c r="B11" s="18">
        <f>'Balance Sheet'!B14</f>
        <v/>
      </c>
      <c r="C11" s="18">
        <f>'Balance Sheet'!C14</f>
        <v/>
      </c>
      <c r="D11" s="18">
        <f>'Balance Sheet'!D14</f>
        <v/>
      </c>
      <c r="E11" s="18">
        <f>'Balance Sheet'!E14</f>
        <v/>
      </c>
      <c r="F11" s="18">
        <f>'Balance Sheet'!F14</f>
        <v/>
      </c>
      <c r="G11" s="18">
        <f>'Balance Sheet'!G14</f>
        <v/>
      </c>
      <c r="H11" s="18">
        <f>'Balance Sheet'!H14</f>
        <v/>
      </c>
      <c r="I11" s="18">
        <f>'Balance Sheet'!I14</f>
        <v/>
      </c>
      <c r="J11" s="18">
        <f>'Balance Sheet'!J14</f>
        <v/>
      </c>
    </row>
    <row r="12">
      <c r="A12" s="6" t="inlineStr"/>
    </row>
    <row r="13">
      <c r="A13" s="6" t="inlineStr">
        <is>
          <t>Invested capital: 30-Jun-2026 base + cumulative (capex − D&amp;A + ΔWC)</t>
        </is>
      </c>
      <c r="E13" s="17">
        <f>Assumptions!$C$15+Assumptions!$C$14+Assumptions!$C$10-Assumptions!$C$9</f>
        <v/>
      </c>
      <c r="F13" s="17">
        <f>E13+DCF!B16*-1-DCF!B12+DCF!B26</f>
        <v/>
      </c>
      <c r="G13" s="17">
        <f>F13+DCF!C16*-1-DCF!C12+DCF!C26</f>
        <v/>
      </c>
      <c r="H13" s="17">
        <f>G13+DCF!D16*-1-DCF!D12+DCF!D26</f>
        <v/>
      </c>
      <c r="I13" s="17">
        <f>H13+DCF!E16*-1-DCF!E12+DCF!E26</f>
        <v/>
      </c>
      <c r="J13" s="17">
        <f>I13+DCF!F16*-1-DCF!F12+DCF!F26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Monte Carlo price map — engine re-run (pasted, does not reprice)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Struck 2026-08-07 at spot 2.83; 50,000 paths, seed 42; unchanged from the first edition (the price series and anchor are unchanged)</t>
        </is>
      </c>
    </row>
    <row r="4">
      <c r="A4" s="5" t="inlineStr"/>
      <c r="B4" s="5" t="inlineStr">
        <is>
          <t>1 month</t>
        </is>
      </c>
      <c r="C4" s="5" t="inlineStr">
        <is>
          <t>3 months</t>
        </is>
      </c>
    </row>
    <row r="5">
      <c r="A5" s="6" t="inlineStr">
        <is>
          <t>Sessions in window</t>
        </is>
      </c>
      <c r="B5" s="19" t="n">
        <v>20</v>
      </c>
      <c r="C5" s="19" t="n">
        <v>63</v>
      </c>
    </row>
    <row r="6">
      <c r="A6" s="6" t="inlineStr">
        <is>
          <t>Grade date</t>
        </is>
      </c>
      <c r="B6" s="36" t="inlineStr">
        <is>
          <t>2026-09-07</t>
        </is>
      </c>
      <c r="C6" s="36" t="inlineStr">
        <is>
          <t>2026-11-09</t>
        </is>
      </c>
    </row>
    <row r="7">
      <c r="A7" s="6" t="inlineStr">
        <is>
          <t>Annualised anchor volatility</t>
        </is>
      </c>
      <c r="B7" s="24" t="n">
        <v>0.2516632167115939</v>
      </c>
      <c r="C7" s="24" t="n">
        <v>0.2637248510898824</v>
      </c>
    </row>
    <row r="8">
      <c r="A8" s="6" t="inlineStr">
        <is>
          <t>5th percentile</t>
        </is>
      </c>
      <c r="B8" s="7" t="n">
        <v>2.537067974301798</v>
      </c>
      <c r="C8" s="7" t="n">
        <v>2.319965747344324</v>
      </c>
    </row>
    <row r="9">
      <c r="A9" s="6" t="inlineStr">
        <is>
          <t>25th percentile</t>
        </is>
      </c>
      <c r="B9" s="7" t="n">
        <v>2.718595960543321</v>
      </c>
      <c r="C9" s="7" t="n">
        <v>2.637975726186433</v>
      </c>
    </row>
    <row r="10">
      <c r="A10" s="6" t="inlineStr">
        <is>
          <t>Median</t>
        </is>
      </c>
      <c r="B10" s="7" t="n">
        <v>2.838308856303401</v>
      </c>
      <c r="C10" s="7" t="n">
        <v>2.857647930306376</v>
      </c>
    </row>
    <row r="11">
      <c r="A11" s="6" t="inlineStr">
        <is>
          <t>75th percentile</t>
        </is>
      </c>
      <c r="B11" s="7" t="n">
        <v>2.963942198127806</v>
      </c>
      <c r="C11" s="7" t="n">
        <v>3.094773382373537</v>
      </c>
    </row>
    <row r="12">
      <c r="A12" s="6" t="inlineStr">
        <is>
          <t>95th percentile</t>
        </is>
      </c>
      <c r="B12" s="7" t="n">
        <v>3.169632883184554</v>
      </c>
      <c r="C12" s="7" t="n">
        <v>3.523723381103312</v>
      </c>
    </row>
    <row r="13">
      <c r="A13" s="6" t="inlineStr">
        <is>
          <t>P(close above spot)</t>
        </is>
      </c>
      <c r="B13" s="24" t="n">
        <v>0.51874</v>
      </c>
      <c r="C13" s="24" t="n">
        <v>0.53302</v>
      </c>
    </row>
    <row r="14">
      <c r="A14" s="6" t="inlineStr">
        <is>
          <t>P(≥ +10%)</t>
        </is>
      </c>
      <c r="B14" s="24" t="n">
        <v>0.08014</v>
      </c>
      <c r="C14" s="24" t="n">
        <v>0.23496</v>
      </c>
    </row>
    <row r="15">
      <c r="A15" s="6" t="inlineStr">
        <is>
          <t>P(≤ −10%)</t>
        </is>
      </c>
      <c r="B15" s="24" t="n">
        <v>0.05528</v>
      </c>
      <c r="C15" s="24" t="n">
        <v>0.16866</v>
      </c>
    </row>
    <row r="16">
      <c r="A16" s="6" t="inlineStr">
        <is>
          <t>P(touch +5% at any point)</t>
        </is>
      </c>
      <c r="B16" s="24" t="n">
        <v>0.3935</v>
      </c>
      <c r="C16" s="24" t="n">
        <v>0.6544</v>
      </c>
    </row>
    <row r="17">
      <c r="A17" s="6" t="inlineStr">
        <is>
          <t>P(touch −5% at any point)</t>
        </is>
      </c>
      <c r="B17" s="24" t="n">
        <v>0.34584</v>
      </c>
      <c r="C17" s="24" t="n">
        <v>0.589</v>
      </c>
    </row>
    <row r="19">
      <c r="A19" s="22" t="inlineStr">
        <is>
          <t>Calibration evidence (walk-forward, this name)</t>
        </is>
      </c>
    </row>
    <row r="20">
      <c r="A20" s="6" t="inlineStr">
        <is>
          <t>Windows scored (post-break)</t>
        </is>
      </c>
      <c r="B20" s="19" t="n">
        <v>17</v>
      </c>
    </row>
    <row r="21">
      <c r="A21" s="6" t="inlineStr">
        <is>
          <t>CRPS skill vs carry-anchored random walk</t>
        </is>
      </c>
      <c r="B21" s="21" t="n">
        <v>0.04239890936861235</v>
      </c>
    </row>
    <row r="22">
      <c r="A22" s="6" t="inlineStr">
        <is>
          <t>Verdict</t>
        </is>
      </c>
      <c r="B22" s="36" t="inlineStr">
        <is>
          <t>PASS</t>
        </is>
      </c>
    </row>
    <row r="23">
      <c r="A23" s="6" t="inlineStr">
        <is>
          <t>Coverage of the 80% band (over-covered: bands run wide)</t>
        </is>
      </c>
      <c r="B23" s="24" t="n">
        <v>0.9411764705882353</v>
      </c>
    </row>
    <row r="24">
      <c r="A24" s="6" t="inlineStr">
        <is>
          <t>Coverage of the 90% band</t>
        </is>
      </c>
      <c r="B24" s="24" t="n">
        <v>0.9411764705882353</v>
      </c>
    </row>
    <row r="25">
      <c r="A25" s="6" t="inlineStr">
        <is>
          <t>PIT mean (0.5 = centred)</t>
        </is>
      </c>
      <c r="B25" s="37" t="n">
        <v>0.439185294117647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 — each cell is a complete engine revaluation (pasted)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Rebuilt at revision 2 on the base convention: explicit and terminal rates shift TOGETHER, so the centre cell equals the base case. Driver vectors on Assumptions</t>
        </is>
      </c>
    </row>
    <row r="4">
      <c r="A4" s="5" t="inlineStr">
        <is>
          <t>Ke shift \ g</t>
        </is>
      </c>
      <c r="B4" s="5" t="inlineStr">
        <is>
          <t>1.5%</t>
        </is>
      </c>
      <c r="C4" s="5" t="inlineStr">
        <is>
          <t>2.0%</t>
        </is>
      </c>
      <c r="D4" s="5" t="inlineStr">
        <is>
          <t>2.5%</t>
        </is>
      </c>
      <c r="E4" s="5" t="inlineStr">
        <is>
          <t>3.0%</t>
        </is>
      </c>
      <c r="F4" s="5" t="inlineStr">
        <is>
          <t>3.5%</t>
        </is>
      </c>
    </row>
    <row r="5">
      <c r="A5" s="6" t="inlineStr">
        <is>
          <t>10.19%</t>
        </is>
      </c>
      <c r="B5" s="7" t="n">
        <v>4.001441345629771</v>
      </c>
      <c r="C5" s="7" t="n">
        <v>3.95946283254583</v>
      </c>
      <c r="D5" s="7" t="n">
        <v>3.910344772050745</v>
      </c>
      <c r="E5" s="7" t="n">
        <v>3.852748308118624</v>
      </c>
      <c r="F5" s="7" t="n">
        <v>3.784977502145205</v>
      </c>
    </row>
    <row r="6">
      <c r="A6" s="6" t="inlineStr">
        <is>
          <t>10.69%</t>
        </is>
      </c>
      <c r="B6" s="7" t="n">
        <v>3.816186596964378</v>
      </c>
      <c r="C6" s="7" t="n">
        <v>3.770181264157251</v>
      </c>
      <c r="D6" s="7" t="n">
        <v>3.716987369055611</v>
      </c>
      <c r="E6" s="7" t="n">
        <v>3.655330156427179</v>
      </c>
      <c r="F6" s="7" t="n">
        <v>3.583614530716187</v>
      </c>
    </row>
    <row r="7">
      <c r="A7" s="6" t="inlineStr">
        <is>
          <t>11.19%</t>
        </is>
      </c>
      <c r="B7" s="7" t="n">
        <v>3.647209655008153</v>
      </c>
      <c r="C7" s="7" t="n">
        <v>3.598302686890794</v>
      </c>
      <c r="D7" s="7" t="n">
        <v>3.542281748960128</v>
      </c>
      <c r="E7" s="7" t="n">
        <v>3.47795036510495</v>
      </c>
      <c r="F7" s="7" t="n">
        <v>3.403827815125312</v>
      </c>
    </row>
    <row r="8">
      <c r="A8" s="6" t="inlineStr">
        <is>
          <t>11.69%</t>
        </is>
      </c>
      <c r="B8" s="7" t="n">
        <v>3.492450167113339</v>
      </c>
      <c r="C8" s="7" t="n">
        <v>3.441519430814956</v>
      </c>
      <c r="D8" s="7" t="n">
        <v>3.383630639503766</v>
      </c>
      <c r="E8" s="7" t="n">
        <v>3.317670925679249</v>
      </c>
      <c r="F8" s="7" t="n">
        <v>3.242276735048415</v>
      </c>
    </row>
    <row r="9">
      <c r="A9" s="6" t="inlineStr">
        <is>
          <t>12.19%</t>
        </is>
      </c>
      <c r="B9" s="7" t="n">
        <v>3.350181916662894</v>
      </c>
      <c r="C9" s="7" t="n">
        <v>3.297915314030119</v>
      </c>
      <c r="D9" s="7" t="n">
        <v>3.238898679586645</v>
      </c>
      <c r="E9" s="7" t="n">
        <v>3.172102882509173</v>
      </c>
      <c r="F9" s="7" t="n">
        <v>3.096278384669553</v>
      </c>
    </row>
    <row r="11">
      <c r="A11" s="5" t="inlineStr">
        <is>
          <t>Beta 0.8 → 1.2 (base 1.03)</t>
        </is>
      </c>
      <c r="B11" s="5" t="inlineStr">
        <is>
          <t>0.95</t>
        </is>
      </c>
      <c r="C11" s="5" t="inlineStr">
        <is>
          <t>1.35</t>
        </is>
      </c>
      <c r="D11" s="5" t="inlineStr">
        <is>
          <t>1.75</t>
        </is>
      </c>
      <c r="E11" s="5" t="inlineStr">
        <is>
          <t>2.14</t>
        </is>
      </c>
      <c r="F11" s="5" t="inlineStr">
        <is>
          <t>2.54</t>
        </is>
      </c>
    </row>
    <row r="12">
      <c r="A12" s="6" t="inlineStr">
        <is>
          <t>DCF per share</t>
        </is>
      </c>
      <c r="B12" s="7" t="n">
        <v>5.59677097746544</v>
      </c>
      <c r="C12" s="7" t="n">
        <v>4.332789993007912</v>
      </c>
      <c r="D12" s="7" t="n">
        <v>3.542281748960128</v>
      </c>
      <c r="E12" s="7" t="n">
        <v>3.000067693883474</v>
      </c>
      <c r="F12" s="7" t="n">
        <v>2.599030949816489</v>
      </c>
    </row>
    <row r="14">
      <c r="A14" s="5" t="inlineStr">
        <is>
          <t>Development margin shift (pts)</t>
        </is>
      </c>
      <c r="B14" s="5" t="inlineStr">
        <is>
          <t>-0.04</t>
        </is>
      </c>
      <c r="C14" s="5" t="inlineStr">
        <is>
          <t>-0.02</t>
        </is>
      </c>
      <c r="D14" s="5" t="inlineStr">
        <is>
          <t>+0.00</t>
        </is>
      </c>
      <c r="E14" s="5" t="inlineStr">
        <is>
          <t>+0.02</t>
        </is>
      </c>
      <c r="F14" s="5" t="inlineStr">
        <is>
          <t>+0.04</t>
        </is>
      </c>
    </row>
    <row r="15">
      <c r="A15" s="6" t="inlineStr">
        <is>
          <t>DCF per share</t>
        </is>
      </c>
      <c r="B15" s="7" t="n">
        <v>3.236966465098836</v>
      </c>
      <c r="C15" s="7" t="n">
        <v>3.389624107029481</v>
      </c>
      <c r="D15" s="7" t="n">
        <v>3.542281748960128</v>
      </c>
      <c r="E15" s="7" t="n">
        <v>3.694939390890774</v>
      </c>
      <c r="F15" s="7" t="n">
        <v>3.847597032821422</v>
      </c>
    </row>
    <row r="17">
      <c r="A17" s="5" t="inlineStr">
        <is>
          <t>Conversion-rate shift (pts)</t>
        </is>
      </c>
      <c r="B17" s="5" t="inlineStr">
        <is>
          <t>-0.06</t>
        </is>
      </c>
      <c r="C17" s="5" t="inlineStr">
        <is>
          <t>-0.03</t>
        </is>
      </c>
      <c r="D17" s="5" t="inlineStr">
        <is>
          <t>+0.00</t>
        </is>
      </c>
      <c r="E17" s="5" t="inlineStr">
        <is>
          <t>+0.03</t>
        </is>
      </c>
      <c r="F17" s="5" t="inlineStr">
        <is>
          <t>+0.06</t>
        </is>
      </c>
    </row>
    <row r="18">
      <c r="A18" s="6" t="inlineStr">
        <is>
          <t>DCF per share</t>
        </is>
      </c>
      <c r="B18" s="7" t="n">
        <v>3.199828427616535</v>
      </c>
      <c r="C18" s="7" t="n">
        <v>3.383396312468598</v>
      </c>
      <c r="D18" s="7" t="n">
        <v>3.542281748960128</v>
      </c>
      <c r="E18" s="7" t="n">
        <v>3.679158184336495</v>
      </c>
      <c r="F18" s="7" t="n">
        <v>3.796504953962525</v>
      </c>
    </row>
    <row r="20">
      <c r="A20" s="5" t="inlineStr">
        <is>
          <t>New-sales multiple of base</t>
        </is>
      </c>
      <c r="B20" s="5" t="inlineStr">
        <is>
          <t>0.50</t>
        </is>
      </c>
      <c r="C20" s="5" t="inlineStr">
        <is>
          <t>0.75</t>
        </is>
      </c>
      <c r="D20" s="5" t="inlineStr">
        <is>
          <t>1.00</t>
        </is>
      </c>
      <c r="E20" s="5" t="inlineStr">
        <is>
          <t>1.25</t>
        </is>
      </c>
      <c r="F20" s="5" t="inlineStr">
        <is>
          <t>1.50</t>
        </is>
      </c>
    </row>
    <row r="21">
      <c r="A21" s="6" t="inlineStr">
        <is>
          <t>DCF per share</t>
        </is>
      </c>
      <c r="B21" s="7" t="n">
        <v>2.827625020137998</v>
      </c>
      <c r="C21" s="7" t="n">
        <v>3.185238080509545</v>
      </c>
      <c r="D21" s="7" t="n">
        <v>3.542281748960128</v>
      </c>
      <c r="E21" s="7" t="n">
        <v>3.899325417410711</v>
      </c>
      <c r="F21" s="7" t="n">
        <v>4.256369085861295</v>
      </c>
    </row>
    <row r="23">
      <c r="A23" s="5" t="inlineStr">
        <is>
          <t>Working-capital shift (AED mn/yr)</t>
        </is>
      </c>
      <c r="B23" s="5" t="inlineStr">
        <is>
          <t>-1000</t>
        </is>
      </c>
      <c r="C23" s="5" t="inlineStr">
        <is>
          <t>-500</t>
        </is>
      </c>
      <c r="D23" s="5" t="inlineStr">
        <is>
          <t>+0</t>
        </is>
      </c>
      <c r="E23" s="5" t="inlineStr">
        <is>
          <t>+500</t>
        </is>
      </c>
      <c r="F23" s="5" t="inlineStr">
        <is>
          <t>+1000</t>
        </is>
      </c>
    </row>
    <row r="24">
      <c r="A24" s="6" t="inlineStr">
        <is>
          <t>DCF per share</t>
        </is>
      </c>
      <c r="B24" s="7" t="n">
        <v>3.306873046398663</v>
      </c>
      <c r="C24" s="7" t="n">
        <v>3.424577397679395</v>
      </c>
      <c r="D24" s="7" t="n">
        <v>3.542281748960128</v>
      </c>
      <c r="E24" s="7" t="n">
        <v>3.65998610024086</v>
      </c>
      <c r="F24" s="7" t="n">
        <v>3.777690451521593</v>
      </c>
    </row>
    <row r="26">
      <c r="A26" s="5" t="inlineStr">
        <is>
          <t>Receivable-days shift</t>
        </is>
      </c>
      <c r="B26" s="5" t="inlineStr">
        <is>
          <t>-60</t>
        </is>
      </c>
      <c r="C26" s="5" t="inlineStr">
        <is>
          <t>-30</t>
        </is>
      </c>
      <c r="D26" s="5" t="inlineStr">
        <is>
          <t>+0</t>
        </is>
      </c>
      <c r="E26" s="5" t="inlineStr">
        <is>
          <t>+30</t>
        </is>
      </c>
      <c r="F26" s="5" t="inlineStr">
        <is>
          <t>+60</t>
        </is>
      </c>
    </row>
    <row r="27">
      <c r="A27" s="6" t="inlineStr">
        <is>
          <t>DCF per share</t>
        </is>
      </c>
      <c r="B27" s="7" t="n">
        <v>3.856689481389984</v>
      </c>
      <c r="C27" s="7" t="n">
        <v>3.699485615175056</v>
      </c>
      <c r="D27" s="7" t="n">
        <v>3.542281748960128</v>
      </c>
      <c r="E27" s="7" t="n">
        <v>3.3850778827452</v>
      </c>
      <c r="F27" s="7" t="n">
        <v>3.227874016530273</v>
      </c>
    </row>
    <row r="29">
      <c r="A29" s="5" t="inlineStr">
        <is>
          <t>Cost-of-equity adder (0 = base)</t>
        </is>
      </c>
      <c r="B29" s="5" t="inlineStr">
        <is>
          <t>+0.000</t>
        </is>
      </c>
      <c r="C29" s="5" t="inlineStr">
        <is>
          <t>+0.005</t>
        </is>
      </c>
      <c r="D29" s="5" t="inlineStr">
        <is>
          <t>+0.010</t>
        </is>
      </c>
      <c r="E29" s="5" t="inlineStr">
        <is>
          <t>+0.015</t>
        </is>
      </c>
      <c r="F29" s="5" t="inlineStr">
        <is>
          <t>+0.020</t>
        </is>
      </c>
    </row>
    <row r="30">
      <c r="A30" s="6" t="inlineStr">
        <is>
          <t>DCF per share</t>
        </is>
      </c>
      <c r="B30" s="7" t="n">
        <v>3.542281748960128</v>
      </c>
      <c r="C30" s="7" t="n">
        <v>3.383630639503766</v>
      </c>
      <c r="D30" s="7" t="n">
        <v>3.238898679586645</v>
      </c>
      <c r="E30" s="7" t="n">
        <v>3.106314064026041</v>
      </c>
      <c r="F30" s="7" t="n">
        <v>2.984394294784054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Per-share figures and ratios — all live formulas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H1-26A</t>
        </is>
      </c>
      <c r="F4" s="5" t="inlineStr">
        <is>
          <t>H2-26E</t>
        </is>
      </c>
      <c r="G4" s="5" t="inlineStr">
        <is>
          <t>FY27E</t>
        </is>
      </c>
      <c r="H4" s="5" t="inlineStr">
        <is>
          <t>FY28E</t>
        </is>
      </c>
      <c r="I4" s="5" t="inlineStr">
        <is>
          <t>FY29E</t>
        </is>
      </c>
      <c r="J4" s="5" t="inlineStr">
        <is>
          <t>FY30E</t>
        </is>
      </c>
    </row>
    <row r="5">
      <c r="A5" s="6" t="inlineStr">
        <is>
          <t>EPS (attributable; H1 and the stub are part-year)</t>
        </is>
      </c>
      <c r="B5" s="8">
        <f>'Income Statement'!B17/Assumptions!$C$5</f>
        <v/>
      </c>
      <c r="C5" s="8">
        <f>'Income Statement'!C17/Assumptions!$C$5</f>
        <v/>
      </c>
      <c r="D5" s="8">
        <f>'Income Statement'!D17/Assumptions!$C$5</f>
        <v/>
      </c>
      <c r="E5" s="8">
        <f>'Income Statement'!E17/Assumptions!$C$5</f>
        <v/>
      </c>
      <c r="F5" s="8">
        <f>'Income Statement'!F17/Assumptions!$C$5</f>
        <v/>
      </c>
      <c r="G5" s="8">
        <f>'Income Statement'!G17/Assumptions!$C$5</f>
        <v/>
      </c>
      <c r="H5" s="8">
        <f>'Income Statement'!H17/Assumptions!$C$5</f>
        <v/>
      </c>
      <c r="I5" s="8">
        <f>'Income Statement'!I17/Assumptions!$C$5</f>
        <v/>
      </c>
      <c r="J5" s="8">
        <f>'Income Statement'!J17/Assumptions!$C$5</f>
        <v/>
      </c>
    </row>
    <row r="6">
      <c r="A6" s="6" t="inlineStr">
        <is>
          <t>Book value per share</t>
        </is>
      </c>
      <c r="B6" s="8">
        <f>'Balance Sheet'!B14/Assumptions!$C$5</f>
        <v/>
      </c>
      <c r="C6" s="8">
        <f>'Balance Sheet'!C14/Assumptions!$C$5</f>
        <v/>
      </c>
      <c r="D6" s="8">
        <f>'Balance Sheet'!D14/Assumptions!$C$5</f>
        <v/>
      </c>
      <c r="E6" s="8">
        <f>'Balance Sheet'!E14/Assumptions!$C$5</f>
        <v/>
      </c>
      <c r="F6" s="8">
        <f>'Balance Sheet'!F14/Assumptions!$C$5</f>
        <v/>
      </c>
      <c r="G6" s="8">
        <f>'Balance Sheet'!G14/Assumptions!$C$5</f>
        <v/>
      </c>
      <c r="H6" s="8">
        <f>'Balance Sheet'!H14/Assumptions!$C$5</f>
        <v/>
      </c>
      <c r="I6" s="8">
        <f>'Balance Sheet'!I14/Assumptions!$C$5</f>
        <v/>
      </c>
      <c r="J6" s="8">
        <f>'Balance Sheet'!J14/Assumptions!$C$5</f>
        <v/>
      </c>
    </row>
    <row r="7">
      <c r="A7" s="6" t="inlineStr">
        <is>
          <t>Return on attributable equity (avg; part-year annualised)</t>
        </is>
      </c>
      <c r="B7" s="6" t="inlineStr">
        <is>
          <t>-</t>
        </is>
      </c>
      <c r="C7" s="9">
        <f>'Income Statement'!C17/1.0/(('Balance Sheet'!C14+'Balance Sheet'!B14)/2)</f>
        <v/>
      </c>
      <c r="D7" s="9">
        <f>'Income Statement'!D17/1.0/(('Balance Sheet'!D14+'Balance Sheet'!C14)/2)</f>
        <v/>
      </c>
      <c r="E7" s="9">
        <f>'Income Statement'!E17/0.5/(('Balance Sheet'!E14+'Balance Sheet'!D14)/2)</f>
        <v/>
      </c>
      <c r="F7" s="9">
        <f>'Income Statement'!F17/0.5/(('Balance Sheet'!F14+'Balance Sheet'!E14)/2)</f>
        <v/>
      </c>
      <c r="G7" s="9">
        <f>'Income Statement'!G17/1.0/(('Balance Sheet'!G14+'Balance Sheet'!F14)/2)</f>
        <v/>
      </c>
      <c r="H7" s="9">
        <f>'Income Statement'!H17/1.0/(('Balance Sheet'!H14+'Balance Sheet'!G14)/2)</f>
        <v/>
      </c>
      <c r="I7" s="9">
        <f>'Income Statement'!I17/1.0/(('Balance Sheet'!I14+'Balance Sheet'!H14)/2)</f>
        <v/>
      </c>
      <c r="J7" s="9">
        <f>'Income Statement'!J17/1.0/(('Balance Sheet'!J14+'Balance Sheet'!I14)/2)</f>
        <v/>
      </c>
    </row>
    <row r="8">
      <c r="A8" s="6" t="inlineStr">
        <is>
          <t>Return on invested capital (avg base, annualised)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9">
        <f>DCF!B14/0.5/(('Summary Financials'!F13+'Summary Financials'!E13)/2)</f>
        <v/>
      </c>
      <c r="G8" s="9">
        <f>DCF!C14/1.0/(('Summary Financials'!G13+'Summary Financials'!F13)/2)</f>
        <v/>
      </c>
      <c r="H8" s="9">
        <f>DCF!D14/1.0/(('Summary Financials'!H13+'Summary Financials'!G13)/2)</f>
        <v/>
      </c>
      <c r="I8" s="9">
        <f>DCF!E14/1.0/(('Summary Financials'!I13+'Summary Financials'!H13)/2)</f>
        <v/>
      </c>
      <c r="J8" s="9">
        <f>DCF!F14/1.0/(('Summary Financials'!J13+'Summary Financials'!I13)/2)</f>
        <v/>
      </c>
    </row>
    <row r="9">
      <c r="A9" s="6" t="inlineStr">
        <is>
          <t>P/E at spot (full years)</t>
        </is>
      </c>
      <c r="B9" s="28">
        <f>Assumptions!$C$4/B5</f>
        <v/>
      </c>
      <c r="C9" s="28">
        <f>Assumptions!$C$4/C5</f>
        <v/>
      </c>
      <c r="D9" s="28">
        <f>Assumptions!$C$4/D5</f>
        <v/>
      </c>
      <c r="E9" s="6" t="inlineStr">
        <is>
          <t>-</t>
        </is>
      </c>
      <c r="F9" s="6" t="inlineStr">
        <is>
          <t>-</t>
        </is>
      </c>
      <c r="G9" s="28">
        <f>Assumptions!$C$4/G5</f>
        <v/>
      </c>
      <c r="H9" s="28">
        <f>Assumptions!$C$4/H5</f>
        <v/>
      </c>
      <c r="I9" s="28">
        <f>Assumptions!$C$4/I5</f>
        <v/>
      </c>
      <c r="J9" s="28">
        <f>Assumptions!$C$4/J5</f>
        <v/>
      </c>
    </row>
    <row r="10">
      <c r="A10" s="6" t="inlineStr">
        <is>
          <t>P/B at spot</t>
        </is>
      </c>
      <c r="B10" s="28">
        <f>Assumptions!$C$4/B6</f>
        <v/>
      </c>
      <c r="C10" s="28">
        <f>Assumptions!$C$4/C6</f>
        <v/>
      </c>
      <c r="D10" s="28">
        <f>Assumptions!$C$4/D6</f>
        <v/>
      </c>
      <c r="E10" s="28">
        <f>Assumptions!$C$4/E6</f>
        <v/>
      </c>
      <c r="F10" s="28">
        <f>Assumptions!$C$4/F6</f>
        <v/>
      </c>
      <c r="G10" s="28">
        <f>Assumptions!$C$4/G6</f>
        <v/>
      </c>
      <c r="H10" s="28">
        <f>Assumptions!$C$4/H6</f>
        <v/>
      </c>
      <c r="I10" s="28">
        <f>Assumptions!$C$4/I6</f>
        <v/>
      </c>
      <c r="J10" s="28">
        <f>Assumptions!$C$4/J6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Peer &amp; sector — one attributable basis, cross-checks only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Peer attributable profits from each company's own audited filings/releases; prices 7-Aug-2026; every multiple is a live formula from its own row</t>
        </is>
      </c>
    </row>
    <row r="4">
      <c r="A4" s="5" t="inlineStr">
        <is>
          <t>Peer</t>
        </is>
      </c>
      <c r="B4" s="5" t="inlineStr">
        <is>
          <t>Spot</t>
        </is>
      </c>
      <c r="C4" s="5" t="inlineStr">
        <is>
          <t>Shares (mn)</t>
        </is>
      </c>
      <c r="D4" s="5" t="inlineStr">
        <is>
          <t>Mkt cap</t>
        </is>
      </c>
      <c r="E4" s="5" t="inlineStr">
        <is>
          <t>FY2025 attributable NP</t>
        </is>
      </c>
      <c r="F4" s="5" t="inlineStr">
        <is>
          <t>Trailing P/E (attr)</t>
        </is>
      </c>
      <c r="G4" s="5" t="inlineStr">
        <is>
          <t>Backlog (own disclosure)</t>
        </is>
      </c>
    </row>
    <row r="5">
      <c r="A5" s="6" t="inlineStr">
        <is>
          <t>Aldar Properties (ADX)</t>
        </is>
      </c>
      <c r="B5" s="7" t="n">
        <v>7.78</v>
      </c>
      <c r="C5" s="19" t="n">
        <v>7862.6</v>
      </c>
      <c r="D5" s="17">
        <f>B5*C5</f>
        <v/>
      </c>
      <c r="E5" s="19" t="n">
        <v>7548</v>
      </c>
      <c r="F5" s="28">
        <f>D5/E5</f>
        <v/>
      </c>
      <c r="G5" s="19" t="n">
        <v>71700</v>
      </c>
    </row>
    <row r="6">
      <c r="A6" s="6" t="inlineStr">
        <is>
          <t>Emaar Properties (DFM)</t>
        </is>
      </c>
      <c r="B6" s="7" t="n">
        <v>11.5</v>
      </c>
      <c r="C6" s="19" t="n">
        <v>8838</v>
      </c>
      <c r="D6" s="17">
        <f>B6*C6</f>
        <v/>
      </c>
      <c r="E6" s="19" t="n">
        <v>17599</v>
      </c>
      <c r="F6" s="28">
        <f>D6/E6</f>
        <v/>
      </c>
      <c r="G6" s="19" t="n">
        <v>155000</v>
      </c>
    </row>
    <row r="7">
      <c r="A7" s="6" t="inlineStr">
        <is>
          <t>Emaar Development (DFM)</t>
        </is>
      </c>
      <c r="B7" s="7" t="n">
        <v>13.38</v>
      </c>
      <c r="C7" s="19" t="n">
        <v>4000</v>
      </c>
      <c r="D7" s="17">
        <f>B7*C7</f>
        <v/>
      </c>
      <c r="E7" s="19" t="n">
        <v>11316</v>
      </c>
      <c r="F7" s="28">
        <f>D7/E7</f>
        <v/>
      </c>
      <c r="G7" s="19" t="n">
        <v>125200</v>
      </c>
    </row>
    <row r="8">
      <c r="A8" s="22" t="inlineStr">
        <is>
          <t>Modon Holding (this study)</t>
        </is>
      </c>
      <c r="B8" s="8">
        <f>Assumptions!$C$4</f>
        <v/>
      </c>
      <c r="C8" s="18">
        <f>Assumptions!$C$5</f>
        <v/>
      </c>
      <c r="D8" s="17">
        <f>B8*C8</f>
        <v/>
      </c>
      <c r="E8" s="18">
        <f>Assumptions!$C$71</f>
        <v/>
      </c>
      <c r="F8" s="28">
        <f>D8/E8</f>
        <v/>
      </c>
      <c r="G8" s="19" t="n">
        <v>65400</v>
      </c>
    </row>
    <row r="9">
      <c r="A9" s="6" t="inlineStr">
        <is>
          <t xml:space="preserve">  (Modon backlog = 30-Jun-2026 group figure; peers = FY2025 development backlogs from their own releases — one definition per row, dated)</t>
        </is>
      </c>
    </row>
    <row r="11">
      <c r="A11" s="35" t="inlineStr">
        <is>
          <t>Sector context (ADREC 2025, regulator): AED 142bn transactions (+44%); residential AED 76bn (+67%); off-plan 71% of residential deals; expatriate and foreign buyers 62% of residential sales value.</t>
        </is>
      </c>
    </row>
    <row r="12"/>
    <row r="13"/>
  </sheetData>
  <mergeCells count="1">
    <mergeCell ref="A11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2026-08-17T09:40:29Z</dcterms:created>
  <dcterms:modified xmlns:dcterms="http://purl.org/dc/terms/" xmlns:xsi="http://www.w3.org/2001/XMLSchema-instance" xsi:type="dcterms:W3CDTF">2026-08-17T09:40:29Z</dcterms:modified>
</cp:coreProperties>
</file>