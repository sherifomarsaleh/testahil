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river Build" sheetId="4" state="visible" r:id="rId4"/>
    <sheet xmlns:r="http://schemas.openxmlformats.org/officeDocument/2006/relationships" name="DDM" sheetId="5" state="visible" r:id="rId5"/>
    <sheet xmlns:r="http://schemas.openxmlformats.org/officeDocument/2006/relationships" name="FCFE" sheetId="6" state="visible" r:id="rId6"/>
    <sheet xmlns:r="http://schemas.openxmlformats.org/officeDocument/2006/relationships" name="Residual Income" sheetId="7" state="visible" r:id="rId7"/>
    <sheet xmlns:r="http://schemas.openxmlformats.org/officeDocument/2006/relationships" name="Relative &amp; Normalized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Monte Carlo" sheetId="12" state="visible" r:id="rId12"/>
    <sheet xmlns:r="http://schemas.openxmlformats.org/officeDocument/2006/relationships" name="Sensitivity" sheetId="13" state="visible" r:id="rId13"/>
    <sheet xmlns:r="http://schemas.openxmlformats.org/officeDocument/2006/relationships" name="Per-Share &amp; Ratios" sheetId="14" state="visible" r:id="rId14"/>
    <sheet xmlns:r="http://schemas.openxmlformats.org/officeDocument/2006/relationships" name="Peer &amp; Sector" sheetId="15" state="visible" r:id="rId15"/>
    <sheet xmlns:r="http://schemas.openxmlformats.org/officeDocument/2006/relationships" name="Earnings Drivers" sheetId="16" state="visible" r:id="rId16"/>
    <sheet xmlns:r="http://schemas.openxmlformats.org/officeDocument/2006/relationships" name="Summary Financia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00"/>
    <numFmt numFmtId="167" formatCode="+0.0%;-0.0%"/>
    <numFmt numFmtId="168" formatCode="0.000%"/>
  </numFmts>
  <fonts count="8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0"/>
    </font>
    <font>
      <b val="1"/>
      <color rgb="00FFFFFF"/>
    </font>
    <font>
      <color rgb="000000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F6F1E6"/>
      </patternFill>
    </fill>
    <fill>
      <patternFill patternType="solid">
        <fgColor rgb="001C3A36"/>
      </patternFill>
    </fill>
    <fill>
      <patternFill patternType="solid">
        <fgColor rgb="00EF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4" fontId="0" fillId="0" borderId="0" pivotButton="0" quotePrefix="0" xfId="0"/>
    <xf numFmtId="167" fontId="0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4" fontId="6" fillId="2" borderId="0" pivotButton="0" quotePrefix="0" xfId="0"/>
    <xf numFmtId="0" fontId="0" fillId="4" borderId="0" pivotButton="0" quotePrefix="0" xfId="0"/>
    <xf numFmtId="4" fontId="5" fillId="4" borderId="0" pivotButton="0" quotePrefix="0" xfId="0"/>
    <xf numFmtId="164" fontId="5" fillId="0" borderId="0" pivotButton="0" quotePrefix="0" xfId="0"/>
    <xf numFmtId="10" fontId="5" fillId="4" borderId="0" pivotButton="0" quotePrefix="0" xfId="0"/>
    <xf numFmtId="10" fontId="5" fillId="0" borderId="0" pivotButton="0" quotePrefix="0" xfId="0"/>
    <xf numFmtId="4" fontId="5" fillId="0" borderId="0" pivotButton="0" quotePrefix="0" xfId="0"/>
    <xf numFmtId="165" fontId="5" fillId="4" borderId="0" pivotButton="0" quotePrefix="0" xfId="0"/>
    <xf numFmtId="3" fontId="5" fillId="4" borderId="0" pivotButton="0" quotePrefix="0" xfId="0"/>
    <xf numFmtId="3" fontId="5" fillId="0" borderId="0" pivotButton="0" quotePrefix="0" xfId="0"/>
    <xf numFmtId="10" fontId="0" fillId="0" borderId="0" pivotButton="0" quotePrefix="0" xfId="0"/>
    <xf numFmtId="0" fontId="7" fillId="4" borderId="0" pivotButton="0" quotePrefix="0" xfId="0"/>
    <xf numFmtId="164" fontId="0" fillId="4" borderId="0" pivotButton="0" quotePrefix="0" xfId="0"/>
    <xf numFmtId="0" fontId="7" fillId="0" borderId="0" pivotButton="0" quotePrefix="0" xfId="0"/>
    <xf numFmtId="164" fontId="0" fillId="0" borderId="0" pivotButton="0" quotePrefix="0" xfId="0"/>
    <xf numFmtId="3" fontId="0" fillId="4" borderId="0" pivotButton="0" quotePrefix="0" xfId="0"/>
    <xf numFmtId="166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6" fillId="4" borderId="0" pivotButton="0" quotePrefix="0" xfId="0"/>
    <xf numFmtId="168" fontId="0" fillId="0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Alinma Bank (Tadawul: 1150) — Valuation model — Testahil · Educational analysis · Not investment advice</t>
        </is>
      </c>
    </row>
    <row r="2">
      <c r="A2" s="2" t="inlineStr"/>
    </row>
    <row r="3">
      <c r="A3" s="3" t="inlineStr">
        <is>
          <t>READ FIRST — what this model is and is not</t>
        </is>
      </c>
    </row>
    <row r="4">
      <c r="A4" s="2" t="inlineStr">
        <is>
          <t>This is an educational valuation model, not investment advice and not a recommendation. It presents fair-value</t>
        </is>
      </c>
    </row>
    <row r="5">
      <c r="A5" s="2" t="inlineStr">
        <is>
          <t>ranges and probability distributions only — never a rating or target price. Every downstream cell links to the</t>
        </is>
      </c>
    </row>
    <row r="6">
      <c r="A6" s="2" t="inlineStr">
        <is>
          <t>single blue-cell Assumptions sheet: change one input and the whole model reprices.</t>
        </is>
      </c>
    </row>
    <row r="7">
      <c r="A7" s="2" t="inlineStr"/>
    </row>
    <row r="8">
      <c r="A8" s="2" t="inlineStr">
        <is>
          <t>Two clocks. The fundamental fair value (~12-month anchor) and the Monte Carlo T+20/T+60 distributions are</t>
        </is>
      </c>
    </row>
    <row r="9">
      <c r="A9" s="2" t="inlineStr">
        <is>
          <t>separate horizons and are never blended. Only the MC percentiles are genuine 3-month figures.</t>
        </is>
      </c>
    </row>
    <row r="10">
      <c r="A10" s="2" t="inlineStr">
        <is>
          <t>Lens independence. The MC drift never embeds the fundamental value gap; the value gap lives in the</t>
        </is>
      </c>
    </row>
    <row r="11">
      <c r="A11" s="2" t="inlineStr">
        <is>
          <t>fundamental sheets only. The MC drift is the carry anchor ln(1+rf)-ln(1+q) — Alinma's dividend yield ~= the</t>
        </is>
      </c>
    </row>
    <row r="12">
      <c r="A12" s="2" t="inlineStr">
        <is>
          <t>Saudi risk-free, so the price carry is ~zero and the expected total return arrives as dividends.</t>
        </is>
      </c>
    </row>
    <row r="13">
      <c r="A13" s="2" t="inlineStr">
        <is>
          <t>Flagged inputs (Fundamental Driver Ledger rows): SAR 10Y rf is CONSTRUCTED (UST 4.46% + Saudi Aa3/CDS spread,</t>
        </is>
      </c>
    </row>
    <row r="14">
      <c r="A14" s="2" t="inlineStr">
        <is>
          <t>Damodaran Jan-2026) pending a real SAGBI/iBoxx quote; Tier-1 sukuk ~SAR 13.75bn from the three known issuances,</t>
        </is>
      </c>
    </row>
    <row r="15">
      <c r="A15" s="2" t="inlineStr">
        <is>
          <t>to be tied to FS note 11; beta 0.736 is a genuine regression (n=40, R2=0.29) over a SHORT 2-month window.</t>
        </is>
      </c>
    </row>
    <row r="16">
      <c r="A16" s="2" t="inlineStr"/>
    </row>
    <row r="17">
      <c r="A17" s="2" t="inlineStr">
        <is>
          <t>Sheets: Summary · Assumptions · Driver Build · DDM · FCFE · Residual Income · Relative &amp; Normalized ·</t>
        </is>
      </c>
    </row>
    <row r="18">
      <c r="A18" s="2" t="inlineStr">
        <is>
          <t>Income Statement · Balance Sheet · Cash Flow · Monte Carlo · Sensitivity · Per-Share &amp; Ratios ·</t>
        </is>
      </c>
    </row>
    <row r="19">
      <c r="A19" s="2" t="inlineStr">
        <is>
          <t>Peer &amp; Sector · Earnings Drivers · Summary Financials.</t>
        </is>
      </c>
    </row>
    <row r="20">
      <c r="A20" s="2" t="inlineStr"/>
    </row>
    <row r="21">
      <c r="A21" s="2" t="inlineStr">
        <is>
          <t>Disclosure: The preparer may hold, and may in the future take or dispose of, a position in the security</t>
        </is>
      </c>
    </row>
    <row r="22">
      <c r="A22" s="2" t="inlineStr">
        <is>
          <t>discussed in this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2" customWidth="1" min="3" max="3"/>
    <col width="10" customWidth="1" min="4" max="4"/>
  </cols>
  <sheetData>
    <row r="1">
      <c r="A1" s="4" t="inlineStr">
        <is>
          <t>Valuation summary — every read at a glance</t>
        </is>
      </c>
      <c r="B1" s="4" t="inlineStr">
        <is>
          <t>Fair value (SAR/sh)</t>
        </is>
      </c>
      <c r="C1" s="4" t="inlineStr">
        <is>
          <t>vs spot</t>
        </is>
      </c>
      <c r="D1" s="4" t="inlineStr">
        <is>
          <t>Weight</t>
        </is>
      </c>
    </row>
    <row r="2">
      <c r="A2" t="inlineStr">
        <is>
          <t>FUNDAMENTAL — DDM (primary)</t>
        </is>
      </c>
      <c r="B2" s="5">
        <f>DDM!G9</f>
        <v/>
      </c>
      <c r="C2" s="6">
        <f>B2/Assumptions!$B$2-1</f>
        <v/>
      </c>
      <c r="D2" s="7" t="n">
        <v>0.35</v>
      </c>
    </row>
    <row r="3">
      <c r="A3" t="inlineStr">
        <is>
          <t>FUNDAMENTAL — Residual income</t>
        </is>
      </c>
      <c r="B3" s="5">
        <f>'Residual Income'!G9</f>
        <v/>
      </c>
      <c r="C3" s="6">
        <f>B3/Assumptions!$B$2-1</f>
        <v/>
      </c>
      <c r="D3" s="7" t="n">
        <v>0.2</v>
      </c>
    </row>
    <row r="4">
      <c r="A4" t="inlineStr">
        <is>
          <t>FUNDAMENTAL — Equity DCF (FCFE)</t>
        </is>
      </c>
      <c r="B4" s="5">
        <f>FCFE!G9</f>
        <v/>
      </c>
      <c r="C4" s="6">
        <f>B4/Assumptions!$B$2-1</f>
        <v/>
      </c>
      <c r="D4" s="7" t="n">
        <v>0.15</v>
      </c>
    </row>
    <row r="5">
      <c r="A5" t="inlineStr">
        <is>
          <t>FUNDAMENTAL — Relative multiples</t>
        </is>
      </c>
      <c r="B5" s="5">
        <f>('Relative &amp; Normalized'!D2+'Relative &amp; Normalized'!D3)/2</f>
        <v/>
      </c>
      <c r="C5" s="6">
        <f>B5/Assumptions!$B$2-1</f>
        <v/>
      </c>
      <c r="D5" s="7" t="n">
        <v>0.2</v>
      </c>
    </row>
    <row r="6">
      <c r="A6" t="inlineStr">
        <is>
          <t>FUNDAMENTAL — Normalized floor</t>
        </is>
      </c>
      <c r="B6" s="5">
        <f>'Relative &amp; Normalized'!D5</f>
        <v/>
      </c>
      <c r="C6" s="6">
        <f>B6/Assumptions!$B$2-1</f>
        <v/>
      </c>
      <c r="D6" s="7" t="n">
        <v>0.1</v>
      </c>
    </row>
    <row r="7">
      <c r="A7" s="8" t="inlineStr">
        <is>
          <t>WEIGHTED CENTRAL (fundamental clock, ~12m)</t>
        </is>
      </c>
      <c r="B7" s="9">
        <f>SUMPRODUCT(B2:B6,D2:D6)</f>
        <v/>
      </c>
      <c r="C7" s="6">
        <f>B7/Assumptions!$B$2-1</f>
        <v/>
      </c>
    </row>
    <row r="9">
      <c r="A9" s="8" t="inlineStr">
        <is>
          <t>TECHNICAL — MA-stack / RSI read</t>
        </is>
      </c>
      <c r="B9" t="inlineStr">
        <is>
          <t>Below MA20/50/100; RSI 11; support 23.3</t>
        </is>
      </c>
    </row>
    <row r="10">
      <c r="A10" s="8" t="inlineStr">
        <is>
          <t>MONTE CARLO — T+60 median (3-month clock)</t>
        </is>
      </c>
      <c r="B10" s="5" t="n">
        <v>23.9971391545375</v>
      </c>
    </row>
    <row r="11">
      <c r="A11" t="inlineStr">
        <is>
          <t>MC 50% band / 90% band</t>
        </is>
      </c>
      <c r="B11" t="inlineStr">
        <is>
          <t>22.82–25.24 / 20.76–27.70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58" customWidth="1" min="3" max="3"/>
  </cols>
  <sheetData>
    <row r="1">
      <c r="A1" s="4" t="inlineStr">
        <is>
          <t>Input</t>
        </is>
      </c>
      <c r="B1" s="4" t="inlineStr">
        <is>
          <t>Value</t>
        </is>
      </c>
      <c r="C1" s="4" t="inlineStr">
        <is>
          <t>Unit / note</t>
        </is>
      </c>
    </row>
    <row r="2">
      <c r="A2" s="10" t="inlineStr">
        <is>
          <t>Spot (SAR)</t>
        </is>
      </c>
      <c r="B2" s="11" t="n">
        <v>24</v>
      </c>
      <c r="C2" s="10" t="inlineStr">
        <is>
          <t>07 Jul 2026 close (investing.com OHLC)</t>
        </is>
      </c>
    </row>
    <row r="3">
      <c r="A3" t="inlineStr">
        <is>
          <t>Shares out (mn)</t>
        </is>
      </c>
      <c r="B3" s="12" t="n">
        <v>2987.2</v>
      </c>
      <c r="C3" t="inlineStr">
        <is>
          <t>3,000mn issued less 12.8mn treasury (Tadawul FY25 announcement)</t>
        </is>
      </c>
    </row>
    <row r="4">
      <c r="A4" s="10" t="inlineStr">
        <is>
          <t>rf — SAR 10Y</t>
        </is>
      </c>
      <c r="B4" s="13" t="n">
        <v>0.048</v>
      </c>
      <c r="C4" s="10" t="inlineStr">
        <is>
          <t>CONSTRUCTED: UST 4.46% + Aa3/CDS spread — FLAGGED, replace with SAGBI/iBoxx at publish</t>
        </is>
      </c>
    </row>
    <row r="5">
      <c r="A5" t="inlineStr">
        <is>
          <t>ERP rating-based</t>
        </is>
      </c>
      <c r="B5" s="14" t="n">
        <v>0.0501</v>
      </c>
      <c r="C5" t="inlineStr">
        <is>
          <t>Damodaran ORIGINAL ctryprem.html, Saudi Aa3 row, 'Last updated Jan 5 2026'</t>
        </is>
      </c>
    </row>
    <row r="6">
      <c r="A6" s="10" t="inlineStr">
        <is>
          <t>ERP CDS-based</t>
        </is>
      </c>
      <c r="B6" s="13" t="n">
        <v>0.0572</v>
      </c>
      <c r="C6" s="10" t="inlineStr">
        <is>
          <t>Same file, Saudi CDS column (0.98% CDS)</t>
        </is>
      </c>
    </row>
    <row r="7">
      <c r="A7" t="inlineStr">
        <is>
          <t>Beta (regressed)</t>
        </is>
      </c>
      <c r="B7" s="15" t="n">
        <v>0.736</v>
      </c>
      <c r="C7" t="inlineStr">
        <is>
          <t>vs TASI daily n=40 R2=0.29 SE=0.185 — passes gate; SHORT window, grid mandatory</t>
        </is>
      </c>
    </row>
    <row r="8">
      <c r="A8" s="10" t="inlineStr">
        <is>
          <t>Terminal growth g</t>
        </is>
      </c>
      <c r="B8" s="16" t="n">
        <v>0.03</v>
      </c>
      <c r="C8" s="10" t="inlineStr">
        <is>
          <t>Nominal LT; sensitized 2.0-4.0%</t>
        </is>
      </c>
    </row>
    <row r="9">
      <c r="A9" t="inlineStr">
        <is>
          <t>Through-cycle ROE</t>
        </is>
      </c>
      <c r="B9" s="7" t="n">
        <v>0.16</v>
      </c>
      <c r="C9" t="inlineStr">
        <is>
          <t>Terminal fade target (18.7% FY25 actual)</t>
        </is>
      </c>
    </row>
    <row r="10">
      <c r="A10" s="10" t="inlineStr">
        <is>
          <t>Dividend yield q</t>
        </is>
      </c>
      <c r="B10" s="13" t="n">
        <v>0.0417</v>
      </c>
      <c r="C10" s="10" t="inlineStr">
        <is>
          <t>SAR 1.00/yr run-rate on 24.00 (0.25/qtr post-bonus)</t>
        </is>
      </c>
    </row>
    <row r="11">
      <c r="A11" t="inlineStr">
        <is>
          <t>Zakat effective</t>
        </is>
      </c>
      <c r="B11" s="7" t="n">
        <v>0.102</v>
      </c>
      <c r="C11" t="inlineStr">
        <is>
          <t>FY25 actual 10.2% of pre-zakat profit</t>
        </is>
      </c>
    </row>
    <row r="12">
      <c r="A12" s="10" t="inlineStr">
        <is>
          <t>Tier-1 sukuk (SAR mn)</t>
        </is>
      </c>
      <c r="B12" s="17" t="n">
        <v>13750</v>
      </c>
      <c r="C12" s="10" t="inlineStr">
        <is>
          <t>SAR 5bn + SAR 5bn + USD 1bn known issuances — FLAGGED, tie to FS note 11</t>
        </is>
      </c>
    </row>
    <row r="13">
      <c r="A13" t="inlineStr">
        <is>
          <t>T1 cost FY26e (SAR mn)</t>
        </is>
      </c>
      <c r="B13" s="18" t="n">
        <v>520</v>
      </c>
      <c r="C13" t="inlineStr">
        <is>
          <t>Implied FY25 503mn (NI - EPSxWtd shares), grown</t>
        </is>
      </c>
    </row>
    <row r="14">
      <c r="A14" s="10" t="inlineStr">
        <is>
          <t>CET1 target (FCFE)</t>
        </is>
      </c>
      <c r="B14" s="16" t="n">
        <v>0.16</v>
      </c>
      <c r="C14" s="10" t="inlineStr">
        <is>
          <t>Capital retained per unit RWA growth in the FCFE build</t>
        </is>
      </c>
    </row>
    <row r="15">
      <c r="A15" t="inlineStr">
        <is>
          <t>RWA density</t>
        </is>
      </c>
      <c r="B15" s="7" t="n">
        <v>0.75</v>
      </c>
      <c r="C15" t="inlineStr">
        <is>
          <t>RWA / total assets (CAR 18.0% context)</t>
        </is>
      </c>
    </row>
    <row r="16">
      <c r="A16" s="8" t="inlineStr">
        <is>
          <t>Forecast drivers FY26-30</t>
        </is>
      </c>
    </row>
    <row r="17">
      <c r="A17" t="inlineStr">
        <is>
          <t>Financing growth</t>
        </is>
      </c>
      <c r="B17" s="7" t="n">
        <v>0.13</v>
      </c>
      <c r="C17" s="7" t="n">
        <v>0.12</v>
      </c>
      <c r="D17" s="7" t="n">
        <v>0.1</v>
      </c>
      <c r="E17" s="7" t="n">
        <v>0.09</v>
      </c>
      <c r="F17" s="7" t="n">
        <v>0.08</v>
      </c>
      <c r="H17" t="inlineStr">
        <is>
          <t>FY26e … FY30e</t>
        </is>
      </c>
    </row>
    <row r="18">
      <c r="A18" t="inlineStr">
        <is>
          <t>NIM</t>
        </is>
      </c>
      <c r="B18" s="14" t="n">
        <v>0.0345</v>
      </c>
      <c r="C18" s="14" t="n">
        <v>0.034</v>
      </c>
      <c r="D18" s="14" t="n">
        <v>0.034</v>
      </c>
      <c r="E18" s="14" t="n">
        <v>0.034</v>
      </c>
      <c r="F18" s="14" t="n">
        <v>0.034</v>
      </c>
      <c r="H18" t="inlineStr">
        <is>
          <t>FY26e … FY30e</t>
        </is>
      </c>
    </row>
    <row r="19">
      <c r="A19" t="inlineStr">
        <is>
          <t>Non-funded income growth</t>
        </is>
      </c>
      <c r="B19" s="7" t="n">
        <v>0.09</v>
      </c>
      <c r="C19" s="7" t="n">
        <v>0.09</v>
      </c>
      <c r="D19" s="7" t="n">
        <v>0.08</v>
      </c>
      <c r="E19" s="7" t="n">
        <v>0.08</v>
      </c>
      <c r="F19" s="7" t="n">
        <v>0.07000000000000001</v>
      </c>
      <c r="H19" t="inlineStr">
        <is>
          <t>FY26e … FY30e</t>
        </is>
      </c>
    </row>
    <row r="20">
      <c r="A20" t="inlineStr">
        <is>
          <t>Cost-to-income</t>
        </is>
      </c>
      <c r="B20" s="7" t="n">
        <v>0.315</v>
      </c>
      <c r="C20" s="7" t="n">
        <v>0.312</v>
      </c>
      <c r="D20" s="7" t="n">
        <v>0.31</v>
      </c>
      <c r="E20" s="7" t="n">
        <v>0.308</v>
      </c>
      <c r="F20" s="7" t="n">
        <v>0.305</v>
      </c>
      <c r="H20" t="inlineStr">
        <is>
          <t>FY26e … FY30e</t>
        </is>
      </c>
    </row>
    <row r="21">
      <c r="A21" t="inlineStr">
        <is>
          <t>Cost of risk</t>
        </is>
      </c>
      <c r="B21" s="14" t="n">
        <v>0.005</v>
      </c>
      <c r="C21" s="14" t="n">
        <v>0.005</v>
      </c>
      <c r="D21" s="14" t="n">
        <v>0.005</v>
      </c>
      <c r="E21" s="14" t="n">
        <v>0.005</v>
      </c>
      <c r="F21" s="14" t="n">
        <v>0.005</v>
      </c>
      <c r="H21" t="inlineStr">
        <is>
          <t>FY26e … FY30e</t>
        </is>
      </c>
    </row>
    <row r="22">
      <c r="A22" t="inlineStr">
        <is>
          <t>Payout ratio</t>
        </is>
      </c>
      <c r="B22" s="7" t="n">
        <v>0.47</v>
      </c>
      <c r="C22" s="7" t="n">
        <v>0.48</v>
      </c>
      <c r="D22" s="7" t="n">
        <v>0.49</v>
      </c>
      <c r="E22" s="7" t="n">
        <v>0.5</v>
      </c>
      <c r="F22" s="7" t="n">
        <v>0.5</v>
      </c>
      <c r="H22" t="inlineStr">
        <is>
          <t>FY26e … FY30e</t>
        </is>
      </c>
    </row>
    <row r="23">
      <c r="A23" t="inlineStr">
        <is>
          <t>Investments growth</t>
        </is>
      </c>
      <c r="B23" s="7" t="n">
        <v>0.1</v>
      </c>
      <c r="C23" s="7" t="n">
        <v>0.09</v>
      </c>
      <c r="D23" s="7" t="n">
        <v>0.08</v>
      </c>
      <c r="E23" s="7" t="n">
        <v>0.08</v>
      </c>
      <c r="F23" s="7" t="n">
        <v>0.07000000000000001</v>
      </c>
      <c r="H23" t="inlineStr">
        <is>
          <t>FY26e … FY30e</t>
        </is>
      </c>
    </row>
    <row r="24">
      <c r="A24" t="inlineStr">
        <is>
          <t>Ke — four-corner mean</t>
        </is>
      </c>
      <c r="B24" s="19">
        <f>($B$4+$B$7*$B$5+$B$4+$B$7*$B$6+$B$4+$B$5+$B$4+$B$6)/4</f>
        <v/>
      </c>
      <c r="C24" t="inlineStr">
        <is>
          <t>mean of {rating,CDS} x {beta regressed, beta=1.0} — the published grid center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Driver</t>
        </is>
      </c>
      <c r="B1" s="4" t="inlineStr">
        <is>
          <t>FY23</t>
        </is>
      </c>
      <c r="C1" s="4" t="inlineStr">
        <is>
          <t>FY24</t>
        </is>
      </c>
      <c r="D1" s="4" t="inlineStr">
        <is>
          <t>FY25</t>
        </is>
      </c>
      <c r="E1" s="4" t="inlineStr">
        <is>
          <t>FY26e</t>
        </is>
      </c>
      <c r="F1" s="4" t="inlineStr">
        <is>
          <t>FY27e</t>
        </is>
      </c>
      <c r="G1" s="4" t="inlineStr">
        <is>
          <t>FY28e</t>
        </is>
      </c>
      <c r="H1" s="4" t="inlineStr">
        <is>
          <t>FY29e</t>
        </is>
      </c>
      <c r="I1" s="4" t="inlineStr">
        <is>
          <t>FY30e</t>
        </is>
      </c>
    </row>
    <row r="2">
      <c r="A2" s="20" t="inlineStr">
        <is>
          <t>Financing growth (%)</t>
        </is>
      </c>
      <c r="B2" s="21" t="n"/>
      <c r="C2" s="21" t="n">
        <v>15.6</v>
      </c>
      <c r="D2" s="21" t="n">
        <v>13.6</v>
      </c>
      <c r="E2" s="21">
        <f>Assumptions!B$17*100</f>
        <v/>
      </c>
      <c r="F2" s="21">
        <f>Assumptions!C$17*100</f>
        <v/>
      </c>
      <c r="G2" s="21">
        <f>Assumptions!D$17*100</f>
        <v/>
      </c>
      <c r="H2" s="21">
        <f>Assumptions!E$17*100</f>
        <v/>
      </c>
      <c r="I2" s="21">
        <f>Assumptions!F$17*100</f>
        <v/>
      </c>
    </row>
    <row r="3">
      <c r="A3" s="22" t="inlineStr">
        <is>
          <t>NIM (%)</t>
        </is>
      </c>
      <c r="B3" s="5" t="n">
        <v>3.81</v>
      </c>
      <c r="C3" s="5" t="n">
        <v>3.7</v>
      </c>
      <c r="D3" s="5" t="n">
        <v>3.55</v>
      </c>
      <c r="E3" s="5">
        <f>Assumptions!B$18*100</f>
        <v/>
      </c>
      <c r="F3" s="5">
        <f>Assumptions!C$18*100</f>
        <v/>
      </c>
      <c r="G3" s="5">
        <f>Assumptions!D$18*100</f>
        <v/>
      </c>
      <c r="H3" s="5">
        <f>Assumptions!E$18*100</f>
        <v/>
      </c>
      <c r="I3" s="5">
        <f>Assumptions!F$18*100</f>
        <v/>
      </c>
    </row>
    <row r="4">
      <c r="A4" s="20" t="inlineStr">
        <is>
          <t>DuPont: NI/opinc (%)</t>
        </is>
      </c>
      <c r="B4" s="21" t="n">
        <v>49.8</v>
      </c>
      <c r="C4" s="21" t="n">
        <v>53.3</v>
      </c>
      <c r="D4" s="21" t="n">
        <v>53.7</v>
      </c>
      <c r="E4" s="21">
        <f>'Income Statement'!E12/'Income Statement'!E7*100</f>
        <v/>
      </c>
      <c r="F4" s="21">
        <f>'Income Statement'!F12/'Income Statement'!F7*100</f>
        <v/>
      </c>
      <c r="G4" s="21">
        <f>'Income Statement'!G12/'Income Statement'!G7*100</f>
        <v/>
      </c>
      <c r="H4" s="21">
        <f>'Income Statement'!H12/'Income Statement'!H7*100</f>
        <v/>
      </c>
      <c r="I4" s="21">
        <f>'Income Statement'!I12/'Income Statement'!I7*100</f>
        <v/>
      </c>
    </row>
    <row r="5">
      <c r="A5" s="22" t="inlineStr">
        <is>
          <t>DuPont: opinc/assets (%)</t>
        </is>
      </c>
      <c r="B5" s="5" t="n">
        <v>4.42</v>
      </c>
      <c r="C5" s="5" t="n">
        <v>4.26</v>
      </c>
      <c r="D5" s="5" t="n">
        <v>4.05</v>
      </c>
      <c r="E5" s="5">
        <f>'Income Statement'!E7/'Balance Sheet'!E4*100</f>
        <v/>
      </c>
      <c r="F5" s="5">
        <f>'Income Statement'!F7/'Balance Sheet'!F4*100</f>
        <v/>
      </c>
      <c r="G5" s="5">
        <f>'Income Statement'!G7/'Balance Sheet'!G4*100</f>
        <v/>
      </c>
      <c r="H5" s="5">
        <f>'Income Statement'!H7/'Balance Sheet'!H4*100</f>
        <v/>
      </c>
      <c r="I5" s="5">
        <f>'Income Statement'!I7/'Balance Sheet'!I4*100</f>
        <v/>
      </c>
    </row>
    <row r="6">
      <c r="A6" s="20" t="inlineStr">
        <is>
          <t>DuPont: assets/common equity (x)</t>
        </is>
      </c>
      <c r="B6" s="21" t="n">
        <v>8.6</v>
      </c>
      <c r="C6" s="21" t="n">
        <v>9</v>
      </c>
      <c r="D6" s="21" t="n">
        <v>9.4</v>
      </c>
      <c r="E6" s="21">
        <f>'Balance Sheet'!E4/'Balance Sheet'!E7</f>
        <v/>
      </c>
      <c r="F6" s="21">
        <f>'Balance Sheet'!F4/'Balance Sheet'!F7</f>
        <v/>
      </c>
      <c r="G6" s="21">
        <f>'Balance Sheet'!G4/'Balance Sheet'!G7</f>
        <v/>
      </c>
      <c r="H6" s="21">
        <f>'Balance Sheet'!H4/'Balance Sheet'!H7</f>
        <v/>
      </c>
      <c r="I6" s="21">
        <f>'Balance Sheet'!I4/'Balance Sheet'!I7</f>
        <v/>
      </c>
    </row>
    <row r="7">
      <c r="A7" s="22" t="inlineStr">
        <is>
          <t>CET1 ratio (%)</t>
        </is>
      </c>
      <c r="B7" s="23" t="n">
        <v>15.8</v>
      </c>
      <c r="C7" s="23" t="n">
        <v>15.7</v>
      </c>
      <c r="D7" s="23" t="n">
        <v>14.8</v>
      </c>
      <c r="E7" s="23">
        <f>'Balance Sheet'!E9</f>
        <v/>
      </c>
      <c r="F7" s="23">
        <f>'Balance Sheet'!F9</f>
        <v/>
      </c>
      <c r="G7" s="23">
        <f>'Balance Sheet'!G9</f>
        <v/>
      </c>
      <c r="H7" s="23">
        <f>'Balance Sheet'!H9</f>
        <v/>
      </c>
      <c r="I7" s="23">
        <f>'Balance Sheet'!I9</f>
        <v/>
      </c>
    </row>
    <row r="8">
      <c r="A8" s="20" t="inlineStr">
        <is>
          <t>CAR total (%)</t>
        </is>
      </c>
      <c r="B8" s="21" t="n">
        <v>17.5</v>
      </c>
      <c r="C8" s="21" t="n">
        <v>17.7</v>
      </c>
      <c r="D8" s="21" t="n">
        <v>18</v>
      </c>
      <c r="E8" s="21" t="n">
        <v>18</v>
      </c>
      <c r="F8" s="21" t="n">
        <v>18</v>
      </c>
      <c r="G8" s="21" t="n">
        <v>18</v>
      </c>
      <c r="H8" s="21" t="n">
        <v>18.1</v>
      </c>
      <c r="I8" s="21" t="n">
        <v>18.2</v>
      </c>
    </row>
    <row r="9">
      <c r="A9" s="22" t="inlineStr">
        <is>
          <t>NPL (%)</t>
        </is>
      </c>
      <c r="B9" s="5" t="n">
        <v>1.61</v>
      </c>
      <c r="C9" s="5" t="n">
        <v>1.4</v>
      </c>
      <c r="D9" s="5" t="n">
        <v>1.45</v>
      </c>
      <c r="E9" s="5" t="n">
        <v>1.45</v>
      </c>
      <c r="F9" s="5" t="n">
        <v>1.45</v>
      </c>
      <c r="G9" s="5" t="n">
        <v>1.45</v>
      </c>
      <c r="H9" s="5" t="n">
        <v>1.45</v>
      </c>
      <c r="I9" s="5" t="n">
        <v>1.45</v>
      </c>
    </row>
    <row r="10">
      <c r="A10" s="20" t="inlineStr">
        <is>
          <t>NPL coverage (%)</t>
        </is>
      </c>
      <c r="B10" s="24" t="n">
        <v>154.9</v>
      </c>
      <c r="C10" s="24" t="n">
        <v>172.3</v>
      </c>
      <c r="D10" s="24" t="n">
        <v>150.3</v>
      </c>
      <c r="E10" s="24" t="n">
        <v>150</v>
      </c>
      <c r="F10" s="24" t="n">
        <v>150</v>
      </c>
      <c r="G10" s="24" t="n">
        <v>150</v>
      </c>
      <c r="H10" s="24" t="n">
        <v>150</v>
      </c>
      <c r="I10" s="24" t="n">
        <v>150</v>
      </c>
    </row>
    <row r="11">
      <c r="A11" s="22" t="inlineStr">
        <is>
          <t>Reg. LDR (%)</t>
        </is>
      </c>
      <c r="B11" s="23" t="n">
        <v>80.5</v>
      </c>
      <c r="C11" s="23" t="n">
        <v>83.3</v>
      </c>
      <c r="D11" s="23" t="n">
        <v>84</v>
      </c>
      <c r="E11" s="23" t="n">
        <v>85</v>
      </c>
      <c r="F11" s="23" t="n">
        <v>85</v>
      </c>
      <c r="G11" s="23" t="n">
        <v>85</v>
      </c>
      <c r="H11" s="23" t="n">
        <v>85</v>
      </c>
      <c r="I11" s="23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Dividend discount model</t>
        </is>
      </c>
      <c r="B1" s="4" t="inlineStr">
        <is>
          <t>FY26e</t>
        </is>
      </c>
      <c r="C1" s="4" t="inlineStr">
        <is>
          <t>FY27e</t>
        </is>
      </c>
      <c r="D1" s="4" t="inlineStr">
        <is>
          <t>FY28e</t>
        </is>
      </c>
      <c r="E1" s="4" t="inlineStr">
        <is>
          <t>FY29e</t>
        </is>
      </c>
      <c r="F1" s="4" t="inlineStr">
        <is>
          <t>FY30e</t>
        </is>
      </c>
      <c r="G1" s="4" t="inlineStr">
        <is>
          <t>Terminal</t>
        </is>
      </c>
    </row>
    <row r="2">
      <c r="A2" t="inlineStr">
        <is>
          <t>DPS (SAR)</t>
        </is>
      </c>
      <c r="B2" s="5">
        <f>'Per-Share &amp; Ratios'!E5</f>
        <v/>
      </c>
      <c r="C2" s="5">
        <f>'Per-Share &amp; Ratios'!F5</f>
        <v/>
      </c>
      <c r="D2" s="5">
        <f>'Per-Share &amp; Ratios'!G5</f>
        <v/>
      </c>
      <c r="E2" s="5">
        <f>'Per-Share &amp; Ratios'!H5</f>
        <v/>
      </c>
      <c r="F2" s="5">
        <f>'Per-Share &amp; Ratios'!I5</f>
        <v/>
      </c>
    </row>
    <row r="3">
      <c r="A3" t="inlineStr">
        <is>
          <t>Discount factor @ Ke</t>
        </is>
      </c>
      <c r="B3" s="25">
        <f>1/(1+Assumptions!$B$24)^1</f>
        <v/>
      </c>
      <c r="C3" s="25">
        <f>1/(1+Assumptions!$B$24)^2</f>
        <v/>
      </c>
      <c r="D3" s="25">
        <f>1/(1+Assumptions!$B$24)^3</f>
        <v/>
      </c>
      <c r="E3" s="25">
        <f>1/(1+Assumptions!$B$24)^4</f>
        <v/>
      </c>
      <c r="F3" s="25">
        <f>1/(1+Assumptions!$B$24)^5</f>
        <v/>
      </c>
    </row>
    <row r="4">
      <c r="A4" t="inlineStr">
        <is>
          <t>PV of DPS</t>
        </is>
      </c>
      <c r="B4" s="5">
        <f>B2*B3</f>
        <v/>
      </c>
      <c r="C4" s="5">
        <f>C2*C3</f>
        <v/>
      </c>
      <c r="D4" s="5">
        <f>D2*D3</f>
        <v/>
      </c>
      <c r="E4" s="5">
        <f>E2*E3</f>
        <v/>
      </c>
      <c r="F4" s="5">
        <f>F2*F3</f>
        <v/>
      </c>
    </row>
    <row r="5">
      <c r="A5" t="inlineStr">
        <is>
          <t>Terminal payout = 1 − g/ROE_t</t>
        </is>
      </c>
      <c r="G5" s="26">
        <f>1-Assumptions!$B$8/Assumptions!$B$9</f>
        <v/>
      </c>
    </row>
    <row r="6">
      <c r="A6" t="inlineStr">
        <is>
          <t>Terminal DPS = EPS30×(1+g)×payout_t</t>
        </is>
      </c>
      <c r="G6" s="5">
        <f>'Per-Share &amp; Ratios'!I3*(1+Assumptions!$B$8)*G5</f>
        <v/>
      </c>
    </row>
    <row r="7">
      <c r="A7" t="inlineStr">
        <is>
          <t>TV = DPS_t/(Ke−g)</t>
        </is>
      </c>
      <c r="G7" s="5">
        <f>G6/(Assumptions!$B$24-Assumptions!$B$8)</f>
        <v/>
      </c>
    </row>
    <row r="8">
      <c r="A8" t="inlineStr">
        <is>
          <t>PV of TV</t>
        </is>
      </c>
      <c r="G8" s="5">
        <f>G7*F3</f>
        <v/>
      </c>
    </row>
    <row r="9">
      <c r="A9" s="8" t="inlineStr">
        <is>
          <t>DDM fair value (SAR/sh)</t>
        </is>
      </c>
      <c r="G9" s="9">
        <f>SUM(B4:F4)+G8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Equity DCF (FCFE, bank form)</t>
        </is>
      </c>
      <c r="B1" s="4" t="inlineStr">
        <is>
          <t>FY26e</t>
        </is>
      </c>
      <c r="C1" s="4" t="inlineStr">
        <is>
          <t>FY27e</t>
        </is>
      </c>
      <c r="D1" s="4" t="inlineStr">
        <is>
          <t>FY28e</t>
        </is>
      </c>
      <c r="E1" s="4" t="inlineStr">
        <is>
          <t>FY29e</t>
        </is>
      </c>
      <c r="F1" s="4" t="inlineStr">
        <is>
          <t>FY30e</t>
        </is>
      </c>
      <c r="G1" s="4" t="inlineStr">
        <is>
          <t>Terminal</t>
        </is>
      </c>
    </row>
    <row r="2">
      <c r="A2" t="inlineStr">
        <is>
          <t>NI to common (SAR mn)</t>
        </is>
      </c>
      <c r="B2" s="27">
        <f>'Income Statement'!E14</f>
        <v/>
      </c>
      <c r="C2" s="27">
        <f>'Income Statement'!F14</f>
        <v/>
      </c>
      <c r="D2" s="27">
        <f>'Income Statement'!G14</f>
        <v/>
      </c>
      <c r="E2" s="27">
        <f>'Income Statement'!H14</f>
        <v/>
      </c>
      <c r="F2" s="27">
        <f>'Income Statement'!I14</f>
        <v/>
      </c>
    </row>
    <row r="3">
      <c r="A3" t="inlineStr">
        <is>
          <t>Δ RWA (SAR mn)</t>
        </is>
      </c>
      <c r="B3" s="27">
        <f>'Balance Sheet'!E8-'Balance Sheet'!D8</f>
        <v/>
      </c>
      <c r="C3" s="27">
        <f>'Balance Sheet'!F8-'Balance Sheet'!E8</f>
        <v/>
      </c>
      <c r="D3" s="27">
        <f>'Balance Sheet'!G8-'Balance Sheet'!F8</f>
        <v/>
      </c>
      <c r="E3" s="27">
        <f>'Balance Sheet'!H8-'Balance Sheet'!G8</f>
        <v/>
      </c>
      <c r="F3" s="27">
        <f>'Balance Sheet'!I8-'Balance Sheet'!H8</f>
        <v/>
      </c>
    </row>
    <row r="4">
      <c r="A4" t="inlineStr">
        <is>
          <t>Capital charge = CET1 tgt × ΔRWA</t>
        </is>
      </c>
      <c r="B4" s="27">
        <f>Assumptions!$B$14*B3</f>
        <v/>
      </c>
      <c r="C4" s="27">
        <f>Assumptions!$B$14*C3</f>
        <v/>
      </c>
      <c r="D4" s="27">
        <f>Assumptions!$B$14*D3</f>
        <v/>
      </c>
      <c r="E4" s="27">
        <f>Assumptions!$B$14*E3</f>
        <v/>
      </c>
      <c r="F4" s="27">
        <f>Assumptions!$B$14*F3</f>
        <v/>
      </c>
    </row>
    <row r="5">
      <c r="A5" t="inlineStr">
        <is>
          <t>FCFE (SAR mn)</t>
        </is>
      </c>
      <c r="B5" s="27">
        <f>B2-B4</f>
        <v/>
      </c>
      <c r="C5" s="27">
        <f>C2-C4</f>
        <v/>
      </c>
      <c r="D5" s="27">
        <f>D2-D4</f>
        <v/>
      </c>
      <c r="E5" s="27">
        <f>E2-E4</f>
        <v/>
      </c>
      <c r="F5" s="27">
        <f>F2-F4</f>
        <v/>
      </c>
    </row>
    <row r="6">
      <c r="A6" t="inlineStr">
        <is>
          <t>PV of FCFE</t>
        </is>
      </c>
      <c r="B6" s="27">
        <f>B5/(1+Assumptions!$B$24)^1</f>
        <v/>
      </c>
      <c r="C6" s="27">
        <f>C5/(1+Assumptions!$B$24)^2</f>
        <v/>
      </c>
      <c r="D6" s="27">
        <f>D5/(1+Assumptions!$B$24)^3</f>
        <v/>
      </c>
      <c r="E6" s="27">
        <f>E5/(1+Assumptions!$B$24)^4</f>
        <v/>
      </c>
      <c r="F6" s="27">
        <f>F5/(1+Assumptions!$B$24)^5</f>
        <v/>
      </c>
    </row>
    <row r="7">
      <c r="A7" t="inlineStr">
        <is>
          <t>TV = FCFE30×(1+g)/(Ke−g)</t>
        </is>
      </c>
      <c r="G7" s="27">
        <f>F5*(1+Assumptions!$B$8)/(Assumptions!$B$24-Assumptions!$B$8)</f>
        <v/>
      </c>
    </row>
    <row r="8">
      <c r="A8" t="inlineStr">
        <is>
          <t>PV of TV</t>
        </is>
      </c>
      <c r="G8" s="27">
        <f>G7/(1+Assumptions!$B$24)^5</f>
        <v/>
      </c>
    </row>
    <row r="9">
      <c r="A9" s="8" t="inlineStr">
        <is>
          <t>Equity value (SAR mn) / per share</t>
        </is>
      </c>
      <c r="F9" s="27">
        <f>SUM(B6:F6)+G8</f>
        <v/>
      </c>
      <c r="G9" s="9">
        <f>F9/'Per-Share &amp; Ratios'!B2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Residual income build</t>
        </is>
      </c>
      <c r="B1" s="4" t="inlineStr">
        <is>
          <t>FY26e</t>
        </is>
      </c>
      <c r="C1" s="4" t="inlineStr">
        <is>
          <t>FY27e</t>
        </is>
      </c>
      <c r="D1" s="4" t="inlineStr">
        <is>
          <t>FY28e</t>
        </is>
      </c>
      <c r="E1" s="4" t="inlineStr">
        <is>
          <t>FY29e</t>
        </is>
      </c>
      <c r="F1" s="4" t="inlineStr">
        <is>
          <t>FY30e</t>
        </is>
      </c>
      <c r="G1" s="4" t="inlineStr">
        <is>
          <t>Terminal</t>
        </is>
      </c>
    </row>
    <row r="2">
      <c r="A2" t="inlineStr">
        <is>
          <t>Opening BVPS</t>
        </is>
      </c>
      <c r="B2" s="5">
        <f>11.4970</f>
        <v/>
      </c>
      <c r="C2" s="5">
        <f>'Per-Share &amp; Ratios'!E6</f>
        <v/>
      </c>
      <c r="D2" s="5">
        <f>'Per-Share &amp; Ratios'!F6</f>
        <v/>
      </c>
      <c r="E2" s="5">
        <f>'Per-Share &amp; Ratios'!G6</f>
        <v/>
      </c>
      <c r="F2" s="5">
        <f>'Per-Share &amp; Ratios'!H6</f>
        <v/>
      </c>
    </row>
    <row r="3">
      <c r="A3" t="inlineStr">
        <is>
          <t>EPS</t>
        </is>
      </c>
      <c r="B3" s="5">
        <f>'Per-Share &amp; Ratios'!E3</f>
        <v/>
      </c>
      <c r="C3" s="5">
        <f>'Per-Share &amp; Ratios'!F3</f>
        <v/>
      </c>
      <c r="D3" s="5">
        <f>'Per-Share &amp; Ratios'!G3</f>
        <v/>
      </c>
      <c r="E3" s="5">
        <f>'Per-Share &amp; Ratios'!H3</f>
        <v/>
      </c>
      <c r="F3" s="5">
        <f>'Per-Share &amp; Ratios'!I3</f>
        <v/>
      </c>
    </row>
    <row r="4">
      <c r="A4" t="inlineStr">
        <is>
          <t>Equity charge = Ke × opening BV</t>
        </is>
      </c>
      <c r="B4" s="5">
        <f>Assumptions!$B$24*B2</f>
        <v/>
      </c>
      <c r="C4" s="5">
        <f>Assumptions!$B$24*C2</f>
        <v/>
      </c>
      <c r="D4" s="5">
        <f>Assumptions!$B$24*D2</f>
        <v/>
      </c>
      <c r="E4" s="5">
        <f>Assumptions!$B$24*E2</f>
        <v/>
      </c>
      <c r="F4" s="5">
        <f>Assumptions!$B$24*F2</f>
        <v/>
      </c>
    </row>
    <row r="5">
      <c r="A5" t="inlineStr">
        <is>
          <t>Residual income</t>
        </is>
      </c>
      <c r="B5" s="5">
        <f>B3-B4</f>
        <v/>
      </c>
      <c r="C5" s="5">
        <f>C3-C4</f>
        <v/>
      </c>
      <c r="D5" s="5">
        <f>D3-D4</f>
        <v/>
      </c>
      <c r="E5" s="5">
        <f>E3-E4</f>
        <v/>
      </c>
      <c r="F5" s="5">
        <f>F3-F4</f>
        <v/>
      </c>
    </row>
    <row r="6">
      <c r="A6" t="inlineStr">
        <is>
          <t>PV of RI</t>
        </is>
      </c>
      <c r="B6" s="5">
        <f>B5/(1+Assumptions!$B$24)^1</f>
        <v/>
      </c>
      <c r="C6" s="5">
        <f>C5/(1+Assumptions!$B$24)^2</f>
        <v/>
      </c>
      <c r="D6" s="5">
        <f>D5/(1+Assumptions!$B$24)^3</f>
        <v/>
      </c>
      <c r="E6" s="5">
        <f>E5/(1+Assumptions!$B$24)^4</f>
        <v/>
      </c>
      <c r="F6" s="5">
        <f>F5/(1+Assumptions!$B$24)^5</f>
        <v/>
      </c>
    </row>
    <row r="7">
      <c r="A7" t="inlineStr">
        <is>
          <t>Terminal: [justified P/B − 1] × BV30</t>
        </is>
      </c>
      <c r="G7" s="5">
        <f>((Assumptions!$B$9-Assumptions!$B$8)/(Assumptions!$B$24-Assumptions!$B$8)-1)*'Per-Share &amp; Ratios'!I6</f>
        <v/>
      </c>
    </row>
    <row r="8">
      <c r="A8" t="inlineStr">
        <is>
          <t>PV of terminal</t>
        </is>
      </c>
      <c r="G8" s="5">
        <f>G7/(1+Assumptions!$B$24)^5</f>
        <v/>
      </c>
    </row>
    <row r="9">
      <c r="A9" s="8" t="inlineStr">
        <is>
          <t>RI fair value = BV0 + ΣPV(RI) + PV(terminal)</t>
        </is>
      </c>
      <c r="G9" s="9">
        <f>B2+SUM(B6:F6)+G8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18" customWidth="1" min="4" max="4"/>
  </cols>
  <sheetData>
    <row r="1">
      <c r="A1" s="4" t="inlineStr">
        <is>
          <t>Lens</t>
        </is>
      </c>
      <c r="B1" s="4" t="inlineStr">
        <is>
          <t>Multiple</t>
        </is>
      </c>
      <c r="C1" s="4" t="inlineStr">
        <is>
          <t>Applied to</t>
        </is>
      </c>
      <c r="D1" s="4" t="inlineStr">
        <is>
          <t>Fair value (SAR/sh)</t>
        </is>
      </c>
    </row>
    <row r="2">
      <c r="A2" t="inlineStr">
        <is>
          <t>Peer P/B–ROE read</t>
        </is>
      </c>
      <c r="B2" s="5" t="inlineStr">
        <is>
          <t>2.30x</t>
        </is>
      </c>
      <c r="C2" t="inlineStr">
        <is>
          <t>BVPS25 (common)</t>
        </is>
      </c>
      <c r="D2" s="5">
        <f>2.30*11.4970</f>
        <v/>
      </c>
    </row>
    <row r="3">
      <c r="A3" t="inlineStr">
        <is>
          <t>Peer P/E (fwd)</t>
        </is>
      </c>
      <c r="B3" s="5" t="inlineStr">
        <is>
          <t>11.5x</t>
        </is>
      </c>
      <c r="C3" t="inlineStr">
        <is>
          <t>EPS FY26e</t>
        </is>
      </c>
      <c r="D3" s="5">
        <f>11.5*'Per-Share &amp; Ratios'!E3</f>
        <v/>
      </c>
    </row>
    <row r="4">
      <c r="A4" t="inlineStr">
        <is>
          <t>Justified P/B (Ke base, ROE_t, g)</t>
        </is>
      </c>
      <c r="B4" s="5">
        <f>(Assumptions!$B$9-Assumptions!$B$8)/(Assumptions!$B$24-Assumptions!$B$8)</f>
        <v/>
      </c>
      <c r="C4" t="inlineStr">
        <is>
          <t>BVPS25</t>
        </is>
      </c>
      <c r="D4" s="5">
        <f>B4*11.4970</f>
        <v/>
      </c>
    </row>
    <row r="5">
      <c r="A5" t="inlineStr">
        <is>
          <t>Normalized floor (beta=1, CDS ERP)</t>
        </is>
      </c>
      <c r="B5" s="5">
        <f>(Assumptions!$B$9-Assumptions!$B$8)/((Assumptions!$B$4+Assumptions!$B$6)-Assumptions!$B$8)</f>
        <v/>
      </c>
      <c r="C5" t="inlineStr">
        <is>
          <t>BVPS25</t>
        </is>
      </c>
      <c r="D5" s="5">
        <f>B5*11.4970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SAR mn</t>
        </is>
      </c>
      <c r="B1" s="4" t="inlineStr">
        <is>
          <t>FY23</t>
        </is>
      </c>
      <c r="C1" s="4" t="inlineStr">
        <is>
          <t>FY24</t>
        </is>
      </c>
      <c r="D1" s="4" t="inlineStr">
        <is>
          <t>FY25</t>
        </is>
      </c>
      <c r="E1" s="4" t="inlineStr">
        <is>
          <t>FY26e</t>
        </is>
      </c>
      <c r="F1" s="4" t="inlineStr">
        <is>
          <t>FY27e</t>
        </is>
      </c>
      <c r="G1" s="4" t="inlineStr">
        <is>
          <t>FY28e</t>
        </is>
      </c>
      <c r="H1" s="4" t="inlineStr">
        <is>
          <t>FY29e</t>
        </is>
      </c>
      <c r="I1" s="4" t="inlineStr">
        <is>
          <t>FY30e</t>
        </is>
      </c>
    </row>
    <row r="2">
      <c r="A2" s="20" t="inlineStr">
        <is>
          <t>Financing, net</t>
        </is>
      </c>
      <c r="B2" s="24" t="n">
        <v>175032</v>
      </c>
      <c r="C2" s="24" t="n">
        <v>202308.1</v>
      </c>
      <c r="D2" s="24" t="n">
        <v>229746.8</v>
      </c>
      <c r="E2" s="24">
        <f>D2*(1+Assumptions!B$17)</f>
        <v/>
      </c>
      <c r="F2" s="24">
        <f>E2*(1+Assumptions!C$17)</f>
        <v/>
      </c>
      <c r="G2" s="24">
        <f>F2*(1+Assumptions!D$17)</f>
        <v/>
      </c>
      <c r="H2" s="24">
        <f>G2*(1+Assumptions!E$17)</f>
        <v/>
      </c>
      <c r="I2" s="24">
        <f>H2*(1+Assumptions!F$17)</f>
        <v/>
      </c>
    </row>
    <row r="3">
      <c r="A3" s="22" t="inlineStr">
        <is>
          <t>Investments</t>
        </is>
      </c>
      <c r="B3" s="27" t="n">
        <v>43236</v>
      </c>
      <c r="C3" s="27" t="n">
        <v>48625.2</v>
      </c>
      <c r="D3" s="27" t="n">
        <v>56622.6</v>
      </c>
      <c r="E3" s="27">
        <f>D3*(1+Assumptions!B$23)</f>
        <v/>
      </c>
      <c r="F3" s="27">
        <f>E3*(1+Assumptions!C$23)</f>
        <v/>
      </c>
      <c r="G3" s="27">
        <f>F3*(1+Assumptions!D$23)</f>
        <v/>
      </c>
      <c r="H3" s="27">
        <f>G3*(1+Assumptions!E$23)</f>
        <v/>
      </c>
      <c r="I3" s="27">
        <f>H3*(1+Assumptions!F$23)</f>
        <v/>
      </c>
    </row>
    <row r="4">
      <c r="A4" s="20" t="inlineStr">
        <is>
          <t>Avg earning assets</t>
        </is>
      </c>
      <c r="B4" s="24" t="n"/>
      <c r="C4" s="24" t="n"/>
      <c r="D4" s="24" t="n"/>
      <c r="E4" s="24">
        <f>(D2+D3+E2+E3)/2</f>
        <v/>
      </c>
      <c r="F4" s="24">
        <f>(E2+E3+F2+F3)/2</f>
        <v/>
      </c>
      <c r="G4" s="24">
        <f>(F2+F3+G2+G3)/2</f>
        <v/>
      </c>
      <c r="H4" s="24">
        <f>(G2+G3+H2+H3)/2</f>
        <v/>
      </c>
      <c r="I4" s="24">
        <f>(H2+H3+I2+I3)/2</f>
        <v/>
      </c>
    </row>
    <row r="5">
      <c r="A5" s="8" t="inlineStr">
        <is>
          <t>Net financing &amp; investment income</t>
        </is>
      </c>
      <c r="B5" s="27" t="n">
        <v>7655</v>
      </c>
      <c r="C5" s="27" t="n">
        <v>8648.6</v>
      </c>
      <c r="D5" s="27" t="n">
        <v>9376.700000000001</v>
      </c>
      <c r="E5" s="27">
        <f>Assumptions!B$18*E4</f>
        <v/>
      </c>
      <c r="F5" s="27">
        <f>Assumptions!C$18*F4</f>
        <v/>
      </c>
      <c r="G5" s="27">
        <f>Assumptions!D$18*G4</f>
        <v/>
      </c>
      <c r="H5" s="27">
        <f>Assumptions!E$18*H4</f>
        <v/>
      </c>
      <c r="I5" s="27">
        <f>Assumptions!F$18*I4</f>
        <v/>
      </c>
    </row>
    <row r="6">
      <c r="A6" s="20" t="inlineStr">
        <is>
          <t>Non-funded income</t>
        </is>
      </c>
      <c r="B6" s="24" t="n">
        <v>2071</v>
      </c>
      <c r="C6" s="24" t="n">
        <v>2291.5</v>
      </c>
      <c r="D6" s="24" t="n">
        <v>2528.6</v>
      </c>
      <c r="E6" s="24">
        <f>D6*(1+Assumptions!B$19)</f>
        <v/>
      </c>
      <c r="F6" s="24">
        <f>E6*(1+Assumptions!C$19)</f>
        <v/>
      </c>
      <c r="G6" s="24">
        <f>F6*(1+Assumptions!D$19)</f>
        <v/>
      </c>
      <c r="H6" s="24">
        <f>G6*(1+Assumptions!E$19)</f>
        <v/>
      </c>
      <c r="I6" s="24">
        <f>H6*(1+Assumptions!F$19)</f>
        <v/>
      </c>
    </row>
    <row r="7">
      <c r="A7" s="8" t="inlineStr">
        <is>
          <t>Total operating income</t>
        </is>
      </c>
      <c r="B7" s="27" t="n">
        <v>9726</v>
      </c>
      <c r="C7" s="27" t="n">
        <v>10940.1</v>
      </c>
      <c r="D7" s="27" t="n">
        <v>11905.3</v>
      </c>
      <c r="E7" s="27">
        <f>E5+E6</f>
        <v/>
      </c>
      <c r="F7" s="27">
        <f>F5+F6</f>
        <v/>
      </c>
      <c r="G7" s="27">
        <f>G5+G6</f>
        <v/>
      </c>
      <c r="H7" s="27">
        <f>H5+H6</f>
        <v/>
      </c>
      <c r="I7" s="27">
        <f>I5+I6</f>
        <v/>
      </c>
    </row>
    <row r="8">
      <c r="A8" s="20" t="inlineStr">
        <is>
          <t>Operating expenses</t>
        </is>
      </c>
      <c r="B8" s="24" t="n">
        <v>3044</v>
      </c>
      <c r="C8" s="24" t="n">
        <v>3383.6</v>
      </c>
      <c r="D8" s="24" t="n">
        <v>3714.6</v>
      </c>
      <c r="E8" s="24">
        <f>Assumptions!B$20*E7</f>
        <v/>
      </c>
      <c r="F8" s="24">
        <f>Assumptions!C$20*F7</f>
        <v/>
      </c>
      <c r="G8" s="24">
        <f>Assumptions!D$20*G7</f>
        <v/>
      </c>
      <c r="H8" s="24">
        <f>Assumptions!E$20*H7</f>
        <v/>
      </c>
      <c r="I8" s="24">
        <f>Assumptions!F$20*I7</f>
        <v/>
      </c>
    </row>
    <row r="9">
      <c r="A9" s="22" t="inlineStr">
        <is>
          <t>Impairment (ECL), net</t>
        </is>
      </c>
      <c r="B9" s="27" t="n">
        <v>1300</v>
      </c>
      <c r="C9" s="27" t="n">
        <v>1049.3</v>
      </c>
      <c r="D9" s="27" t="n">
        <v>1060.1</v>
      </c>
      <c r="E9" s="27">
        <f>Assumptions!B$21*(D2+E2)/2</f>
        <v/>
      </c>
      <c r="F9" s="27">
        <f>Assumptions!C$21*(E2+F2)/2</f>
        <v/>
      </c>
      <c r="G9" s="27">
        <f>Assumptions!D$21*(F2+G2)/2</f>
        <v/>
      </c>
      <c r="H9" s="27">
        <f>Assumptions!E$21*(G2+H2)/2</f>
        <v/>
      </c>
      <c r="I9" s="27">
        <f>Assumptions!F$21*(H2+I2)/2</f>
        <v/>
      </c>
    </row>
    <row r="10">
      <c r="A10" s="28" t="inlineStr">
        <is>
          <t>Pre-zakat profit</t>
        </is>
      </c>
      <c r="B10" s="24" t="n">
        <v>5382</v>
      </c>
      <c r="C10" s="24" t="n">
        <v>6502.1</v>
      </c>
      <c r="D10" s="24" t="n">
        <v>7126</v>
      </c>
      <c r="E10" s="24">
        <f>E7-E8-E9</f>
        <v/>
      </c>
      <c r="F10" s="24">
        <f>F7-F8-F9</f>
        <v/>
      </c>
      <c r="G10" s="24">
        <f>G7-G8-G9</f>
        <v/>
      </c>
      <c r="H10" s="24">
        <f>H7-H8-H9</f>
        <v/>
      </c>
      <c r="I10" s="24">
        <f>I7-I8-I9</f>
        <v/>
      </c>
    </row>
    <row r="11">
      <c r="A11" s="22" t="inlineStr">
        <is>
          <t>Zakat</t>
        </is>
      </c>
      <c r="B11" s="27" t="n">
        <v>543</v>
      </c>
      <c r="C11" s="27" t="n">
        <v>670.4</v>
      </c>
      <c r="D11" s="27" t="n">
        <v>728.9</v>
      </c>
      <c r="E11" s="27">
        <f>Assumptions!$B$11*E10</f>
        <v/>
      </c>
      <c r="F11" s="27">
        <f>Assumptions!$B$11*F10</f>
        <v/>
      </c>
      <c r="G11" s="27">
        <f>Assumptions!$B$11*G10</f>
        <v/>
      </c>
      <c r="H11" s="27">
        <f>Assumptions!$B$11*H10</f>
        <v/>
      </c>
      <c r="I11" s="27">
        <f>Assumptions!$B$11*I10</f>
        <v/>
      </c>
    </row>
    <row r="12">
      <c r="A12" s="28" t="inlineStr">
        <is>
          <t>Net income (after zakat)</t>
        </is>
      </c>
      <c r="B12" s="24" t="n">
        <v>4839</v>
      </c>
      <c r="C12" s="24" t="n">
        <v>5831.7</v>
      </c>
      <c r="D12" s="24" t="n">
        <v>6397.1</v>
      </c>
      <c r="E12" s="24">
        <f>E10-E11</f>
        <v/>
      </c>
      <c r="F12" s="24">
        <f>F10-F11</f>
        <v/>
      </c>
      <c r="G12" s="24">
        <f>G10-G11</f>
        <v/>
      </c>
      <c r="H12" s="24">
        <f>H10-H11</f>
        <v/>
      </c>
      <c r="I12" s="24">
        <f>I10-I11</f>
        <v/>
      </c>
    </row>
    <row r="13">
      <c r="A13" s="22" t="inlineStr">
        <is>
          <t>Tier-1 sukuk costs</t>
        </is>
      </c>
      <c r="B13" s="27" t="n">
        <v>350</v>
      </c>
      <c r="C13" s="27" t="n">
        <v>430</v>
      </c>
      <c r="D13" s="27" t="n">
        <v>503</v>
      </c>
      <c r="E13" s="27" t="n">
        <v>520</v>
      </c>
      <c r="F13" s="27" t="n">
        <v>540</v>
      </c>
      <c r="G13" s="27" t="n">
        <v>560</v>
      </c>
      <c r="H13" s="27" t="n">
        <v>570</v>
      </c>
      <c r="I13" s="27" t="n">
        <v>580</v>
      </c>
    </row>
    <row r="14">
      <c r="A14" s="28" t="inlineStr">
        <is>
          <t>NI attributable to common</t>
        </is>
      </c>
      <c r="B14" s="24" t="n">
        <v>4489</v>
      </c>
      <c r="C14" s="24" t="n">
        <v>5401.7</v>
      </c>
      <c r="D14" s="24" t="n">
        <v>5894.1</v>
      </c>
      <c r="E14" s="24">
        <f>E12-E13</f>
        <v/>
      </c>
      <c r="F14" s="24">
        <f>F12-F13</f>
        <v/>
      </c>
      <c r="G14" s="24">
        <f>G12-G13</f>
        <v/>
      </c>
      <c r="H14" s="24">
        <f>H12-H13</f>
        <v/>
      </c>
      <c r="I14" s="24">
        <f>I12-I13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SAR mn</t>
        </is>
      </c>
      <c r="B1" s="4" t="inlineStr">
        <is>
          <t>FY23</t>
        </is>
      </c>
      <c r="C1" s="4" t="inlineStr">
        <is>
          <t>FY24</t>
        </is>
      </c>
      <c r="D1" s="4" t="inlineStr">
        <is>
          <t>FY25</t>
        </is>
      </c>
      <c r="E1" s="4" t="inlineStr">
        <is>
          <t>FY26e</t>
        </is>
      </c>
      <c r="F1" s="4" t="inlineStr">
        <is>
          <t>FY27e</t>
        </is>
      </c>
      <c r="G1" s="4" t="inlineStr">
        <is>
          <t>FY28e</t>
        </is>
      </c>
      <c r="H1" s="4" t="inlineStr">
        <is>
          <t>FY29e</t>
        </is>
      </c>
      <c r="I1" s="4" t="inlineStr">
        <is>
          <t>FY30e</t>
        </is>
      </c>
    </row>
    <row r="2">
      <c r="A2" s="28" t="inlineStr">
        <is>
          <t>Financing, net</t>
        </is>
      </c>
      <c r="B2" s="24" t="n">
        <v>175032</v>
      </c>
      <c r="C2" s="24" t="n">
        <v>202308.1</v>
      </c>
      <c r="D2" s="24" t="n">
        <v>229746.8</v>
      </c>
      <c r="E2" s="24">
        <f>'Income Statement'!E2</f>
        <v/>
      </c>
      <c r="F2" s="24">
        <f>'Income Statement'!F2</f>
        <v/>
      </c>
      <c r="G2" s="24">
        <f>'Income Statement'!G2</f>
        <v/>
      </c>
      <c r="H2" s="24">
        <f>'Income Statement'!H2</f>
        <v/>
      </c>
      <c r="I2" s="24">
        <f>'Income Statement'!I2</f>
        <v/>
      </c>
    </row>
    <row r="3">
      <c r="A3" s="22" t="inlineStr">
        <is>
          <t>Investments</t>
        </is>
      </c>
      <c r="B3" s="27" t="n">
        <v>43236</v>
      </c>
      <c r="C3" s="27" t="n">
        <v>48625.2</v>
      </c>
      <c r="D3" s="27" t="n">
        <v>56622.6</v>
      </c>
      <c r="E3" s="27">
        <f>'Income Statement'!E3</f>
        <v/>
      </c>
      <c r="F3" s="27">
        <f>'Income Statement'!F3</f>
        <v/>
      </c>
      <c r="G3" s="27">
        <f>'Income Statement'!G3</f>
        <v/>
      </c>
      <c r="H3" s="27">
        <f>'Income Statement'!H3</f>
        <v/>
      </c>
      <c r="I3" s="27">
        <f>'Income Statement'!I3</f>
        <v/>
      </c>
    </row>
    <row r="4">
      <c r="A4" s="28" t="inlineStr">
        <is>
          <t>Total assets</t>
        </is>
      </c>
      <c r="B4" s="24" t="n">
        <v>236600</v>
      </c>
      <c r="C4" s="24" t="n">
        <v>276827.5</v>
      </c>
      <c r="D4" s="24" t="n">
        <v>311067.1</v>
      </c>
      <c r="E4" s="24">
        <f>D4*(1+0.9*Assumptions!B$17)</f>
        <v/>
      </c>
      <c r="F4" s="24">
        <f>E4*(1+0.9*Assumptions!C$17)</f>
        <v/>
      </c>
      <c r="G4" s="24">
        <f>F4*(1+0.9*Assumptions!D$17)</f>
        <v/>
      </c>
      <c r="H4" s="24">
        <f>G4*(1+0.9*Assumptions!E$17)</f>
        <v/>
      </c>
      <c r="I4" s="24">
        <f>H4*(1+0.9*Assumptions!F$17)</f>
        <v/>
      </c>
    </row>
    <row r="5">
      <c r="A5" s="22" t="inlineStr">
        <is>
          <t>Customer deposits</t>
        </is>
      </c>
      <c r="B5" s="27" t="n">
        <v>187901</v>
      </c>
      <c r="C5" s="27" t="n">
        <v>210544.7</v>
      </c>
      <c r="D5" s="27" t="n">
        <v>227373.9</v>
      </c>
      <c r="E5" s="27">
        <f>D5*(1+0.85*Assumptions!B$17)</f>
        <v/>
      </c>
      <c r="F5" s="27">
        <f>E5*(1+0.85*Assumptions!C$17)</f>
        <v/>
      </c>
      <c r="G5" s="27">
        <f>F5*(1+0.85*Assumptions!D$17)</f>
        <v/>
      </c>
      <c r="H5" s="27">
        <f>G5*(1+0.85*Assumptions!E$17)</f>
        <v/>
      </c>
      <c r="I5" s="27">
        <f>H5*(1+0.85*Assumptions!F$17)</f>
        <v/>
      </c>
    </row>
    <row r="6">
      <c r="A6" s="28" t="inlineStr">
        <is>
          <t>Total equity (incl. Tier-1 sukuk)</t>
        </is>
      </c>
      <c r="B6" s="24" t="n">
        <v>36700</v>
      </c>
      <c r="C6" s="24" t="n">
        <v>41441.8</v>
      </c>
      <c r="D6" s="24" t="n">
        <v>48241.1</v>
      </c>
      <c r="E6" s="24">
        <f>E7+Assumptions!$B$12</f>
        <v/>
      </c>
      <c r="F6" s="24">
        <f>F7+Assumptions!$B$12</f>
        <v/>
      </c>
      <c r="G6" s="24">
        <f>G7+Assumptions!$B$12</f>
        <v/>
      </c>
      <c r="H6" s="24">
        <f>H7+Assumptions!$B$12</f>
        <v/>
      </c>
      <c r="I6" s="24">
        <f>I7+Assumptions!$B$12</f>
        <v/>
      </c>
    </row>
    <row r="7">
      <c r="A7" s="22" t="inlineStr">
        <is>
          <t>Common equity (ex T1)</t>
        </is>
      </c>
      <c r="B7" s="27" t="n">
        <v>27950</v>
      </c>
      <c r="C7" s="27" t="n">
        <v>32690</v>
      </c>
      <c r="D7" s="27" t="n">
        <v>34491.1</v>
      </c>
      <c r="E7" s="27">
        <f>D7+'Income Statement'!E14-'Per-Share &amp; Ratios'!E5*'Per-Share &amp; Ratios'!E2</f>
        <v/>
      </c>
      <c r="F7" s="27">
        <f>E7+'Income Statement'!F14-'Per-Share &amp; Ratios'!F5*'Per-Share &amp; Ratios'!F2</f>
        <v/>
      </c>
      <c r="G7" s="27">
        <f>F7+'Income Statement'!G14-'Per-Share &amp; Ratios'!G5*'Per-Share &amp; Ratios'!G2</f>
        <v/>
      </c>
      <c r="H7" s="27">
        <f>G7+'Income Statement'!H14-'Per-Share &amp; Ratios'!H5*'Per-Share &amp; Ratios'!H2</f>
        <v/>
      </c>
      <c r="I7" s="27">
        <f>H7+'Income Statement'!I14-'Per-Share &amp; Ratios'!I5*'Per-Share &amp; Ratios'!I2</f>
        <v/>
      </c>
    </row>
    <row r="8">
      <c r="A8" s="20" t="inlineStr">
        <is>
          <t>RWA (75% of assets)</t>
        </is>
      </c>
      <c r="B8" s="24" t="n">
        <v>177450</v>
      </c>
      <c r="C8" s="24" t="n">
        <v>207620.6</v>
      </c>
      <c r="D8" s="24" t="n">
        <v>233300.3</v>
      </c>
      <c r="E8" s="24">
        <f>Assumptions!$B$15*E4</f>
        <v/>
      </c>
      <c r="F8" s="24">
        <f>Assumptions!$B$15*F4</f>
        <v/>
      </c>
      <c r="G8" s="24">
        <f>Assumptions!$B$15*G4</f>
        <v/>
      </c>
      <c r="H8" s="24">
        <f>Assumptions!$B$15*H4</f>
        <v/>
      </c>
      <c r="I8" s="24">
        <f>Assumptions!$B$15*I4</f>
        <v/>
      </c>
    </row>
    <row r="9">
      <c r="A9" s="22" t="inlineStr">
        <is>
          <t>CET1 ratio (common/RWA)</t>
        </is>
      </c>
      <c r="B9" s="23" t="n">
        <v>15.8</v>
      </c>
      <c r="C9" s="23" t="n">
        <v>15.7</v>
      </c>
      <c r="D9" s="23" t="n">
        <v>14.8</v>
      </c>
      <c r="E9" s="23">
        <f>E7/E8*100</f>
        <v/>
      </c>
      <c r="F9" s="23">
        <f>F7/F8*100</f>
        <v/>
      </c>
      <c r="G9" s="23">
        <f>G7/G8*100</f>
        <v/>
      </c>
      <c r="H9" s="23">
        <f>H7/H8*100</f>
        <v/>
      </c>
      <c r="I9" s="23">
        <f>I7/I8*100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SAR mn — equity capital walk</t>
        </is>
      </c>
      <c r="B1" s="4" t="inlineStr">
        <is>
          <t>FY23</t>
        </is>
      </c>
      <c r="C1" s="4" t="inlineStr">
        <is>
          <t>FY24</t>
        </is>
      </c>
      <c r="D1" s="4" t="inlineStr">
        <is>
          <t>FY25</t>
        </is>
      </c>
      <c r="E1" s="4" t="inlineStr">
        <is>
          <t>FY26e</t>
        </is>
      </c>
      <c r="F1" s="4" t="inlineStr">
        <is>
          <t>FY27e</t>
        </is>
      </c>
      <c r="G1" s="4" t="inlineStr">
        <is>
          <t>FY28e</t>
        </is>
      </c>
      <c r="H1" s="4" t="inlineStr">
        <is>
          <t>FY29e</t>
        </is>
      </c>
      <c r="I1" s="4" t="inlineStr">
        <is>
          <t>FY30e</t>
        </is>
      </c>
    </row>
    <row r="2">
      <c r="A2" s="20" t="inlineStr">
        <is>
          <t>Opening common equity</t>
        </is>
      </c>
      <c r="B2" s="24" t="n">
        <v>26210</v>
      </c>
      <c r="C2" s="24" t="n">
        <v>27950</v>
      </c>
      <c r="D2" s="24" t="n">
        <v>32690</v>
      </c>
      <c r="E2" s="24">
        <f>'Balance Sheet'!D7</f>
        <v/>
      </c>
      <c r="F2" s="24">
        <f>'Balance Sheet'!E7</f>
        <v/>
      </c>
      <c r="G2" s="24">
        <f>'Balance Sheet'!F7</f>
        <v/>
      </c>
      <c r="H2" s="24">
        <f>'Balance Sheet'!G7</f>
        <v/>
      </c>
      <c r="I2" s="24">
        <f>'Balance Sheet'!H7</f>
        <v/>
      </c>
    </row>
    <row r="3">
      <c r="A3" s="22" t="inlineStr">
        <is>
          <t>+ NI attributable to common</t>
        </is>
      </c>
      <c r="B3" s="27" t="n">
        <v>4489</v>
      </c>
      <c r="C3" s="27" t="n">
        <v>5401.7</v>
      </c>
      <c r="D3" s="27" t="n">
        <v>5894.1</v>
      </c>
      <c r="E3" s="27">
        <f>'Income Statement'!E14</f>
        <v/>
      </c>
      <c r="F3" s="27">
        <f>'Income Statement'!F14</f>
        <v/>
      </c>
      <c r="G3" s="27">
        <f>'Income Statement'!G14</f>
        <v/>
      </c>
      <c r="H3" s="27">
        <f>'Income Statement'!H14</f>
        <v/>
      </c>
      <c r="I3" s="27">
        <f>'Income Statement'!I14</f>
        <v/>
      </c>
    </row>
    <row r="4">
      <c r="A4" s="20" t="inlineStr">
        <is>
          <t>− Dividends paid</t>
        </is>
      </c>
      <c r="B4" s="24" t="n">
        <v>2500</v>
      </c>
      <c r="C4" s="24" t="n">
        <v>2750</v>
      </c>
      <c r="D4" s="24" t="n">
        <v>3000</v>
      </c>
      <c r="E4" s="24">
        <f>'Per-Share &amp; Ratios'!E5*'Per-Share &amp; Ratios'!E2</f>
        <v/>
      </c>
      <c r="F4" s="24">
        <f>'Per-Share &amp; Ratios'!F5*'Per-Share &amp; Ratios'!F2</f>
        <v/>
      </c>
      <c r="G4" s="24">
        <f>'Per-Share &amp; Ratios'!G5*'Per-Share &amp; Ratios'!G2</f>
        <v/>
      </c>
      <c r="H4" s="24">
        <f>'Per-Share &amp; Ratios'!H5*'Per-Share &amp; Ratios'!H2</f>
        <v/>
      </c>
      <c r="I4" s="24">
        <f>'Per-Share &amp; Ratios'!I5*'Per-Share &amp; Ratios'!I2</f>
        <v/>
      </c>
    </row>
    <row r="5">
      <c r="A5" s="22" t="inlineStr">
        <is>
          <t>± Other (OCI, treasury, T1 moves)</t>
        </is>
      </c>
      <c r="B5" s="27" t="n">
        <v>-249</v>
      </c>
      <c r="C5" s="27" t="n">
        <v>2088.3</v>
      </c>
      <c r="D5" s="27" t="n">
        <v>-1093</v>
      </c>
      <c r="E5" s="27" t="n">
        <v>0</v>
      </c>
      <c r="F5" s="27" t="n">
        <v>0</v>
      </c>
      <c r="G5" s="27" t="n">
        <v>0</v>
      </c>
      <c r="H5" s="27" t="n">
        <v>0</v>
      </c>
      <c r="I5" s="27" t="n">
        <v>0</v>
      </c>
    </row>
    <row r="6">
      <c r="A6" s="28" t="inlineStr">
        <is>
          <t>Closing common equity</t>
        </is>
      </c>
      <c r="B6" s="24" t="n">
        <v>27950</v>
      </c>
      <c r="C6" s="24" t="n">
        <v>32690</v>
      </c>
      <c r="D6" s="24" t="n">
        <v>34491.1</v>
      </c>
      <c r="E6" s="24">
        <f>E2+E3-E4+E5</f>
        <v/>
      </c>
      <c r="F6" s="24">
        <f>F2+F3-F4+F5</f>
        <v/>
      </c>
      <c r="G6" s="24">
        <f>G2+G3-G4+G5</f>
        <v/>
      </c>
      <c r="H6" s="24">
        <f>H2+H3-H4+H5</f>
        <v/>
      </c>
      <c r="I6" s="24">
        <f>I2+I3-I4+I5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</cols>
  <sheetData>
    <row r="1">
      <c r="A1" s="4" t="inlineStr">
        <is>
          <t>v3 engine output (carry-anchored YZ-HAR-t)</t>
        </is>
      </c>
      <c r="B1" s="4" t="inlineStr">
        <is>
          <t>T+20</t>
        </is>
      </c>
      <c r="C1" s="4" t="inlineStr">
        <is>
          <t>T+60</t>
        </is>
      </c>
    </row>
    <row r="2">
      <c r="A2" t="inlineStr">
        <is>
          <t>Median</t>
        </is>
      </c>
      <c r="B2" s="5" t="n">
        <v>23.99640582026127</v>
      </c>
      <c r="C2" s="5" t="n">
        <v>23.9971391545375</v>
      </c>
    </row>
    <row r="3">
      <c r="A3" t="inlineStr">
        <is>
          <t>P5</t>
        </is>
      </c>
      <c r="B3" s="5" t="n">
        <v>22.10061554051997</v>
      </c>
      <c r="C3" s="5" t="n">
        <v>20.76328094142201</v>
      </c>
    </row>
    <row r="4">
      <c r="A4" t="inlineStr">
        <is>
          <t>P25</t>
        </is>
      </c>
      <c r="B4" s="5" t="n">
        <v>23.31437646451067</v>
      </c>
      <c r="C4" s="5" t="n">
        <v>22.82270668175136</v>
      </c>
    </row>
    <row r="5">
      <c r="A5" t="inlineStr">
        <is>
          <t>P75</t>
        </is>
      </c>
      <c r="B5" s="5" t="n">
        <v>24.70178421441411</v>
      </c>
      <c r="C5" s="5" t="n">
        <v>25.23623069145612</v>
      </c>
    </row>
    <row r="6">
      <c r="A6" t="inlineStr">
        <is>
          <t>P95</t>
        </is>
      </c>
      <c r="B6" s="5" t="n">
        <v>26.09469180060255</v>
      </c>
      <c r="C6" s="5" t="n">
        <v>27.70286117743284</v>
      </c>
    </row>
    <row r="7">
      <c r="A7" t="inlineStr">
        <is>
          <t>P(above spot)</t>
        </is>
      </c>
      <c r="B7" s="26" t="n">
        <v>0.49854</v>
      </c>
      <c r="C7" s="26" t="n">
        <v>0.49948</v>
      </c>
    </row>
    <row r="8">
      <c r="A8" t="inlineStr">
        <is>
          <t>P(+10%)</t>
        </is>
      </c>
      <c r="B8" s="26" t="n">
        <v>0.03582</v>
      </c>
      <c r="C8" s="26" t="n">
        <v>0.117</v>
      </c>
    </row>
    <row r="9">
      <c r="A9" t="inlineStr">
        <is>
          <t>P(−10%)</t>
        </is>
      </c>
      <c r="B9" s="26" t="n">
        <v>0.02684</v>
      </c>
      <c r="C9" s="26" t="n">
        <v>0.09736</v>
      </c>
    </row>
    <row r="10">
      <c r="A10" t="inlineStr">
        <is>
          <t>Drift = carry ln(1+rf)−ln(1+q) (log, over horizon)</t>
        </is>
      </c>
      <c r="B10" s="29" t="n">
        <v>-0.0001296254646813299</v>
      </c>
      <c r="C10" s="29" t="n">
        <v>-0.0003888763940439898</v>
      </c>
    </row>
    <row r="11">
      <c r="A11" t="inlineStr">
        <is>
          <t>σ_H (log)</t>
        </is>
      </c>
      <c r="B11" s="26" t="n">
        <v>0.05577851320060601</v>
      </c>
      <c r="C11" s="26" t="n">
        <v>0.09661121883410093</v>
      </c>
    </row>
    <row r="12">
      <c r="A12" t="inlineStr">
        <is>
          <t>Note: the §1 value gap is deliberately NOT in the drift (lens independence). Step-0 verdict: PARITY — market-panel validated, no single-name edge claimed.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4" t="inlineStr">
        <is>
          <t>DDM fair value — Ke × terminal g</t>
        </is>
      </c>
      <c r="B1" s="4" t="inlineStr">
        <is>
          <t>g=2.0%</t>
        </is>
      </c>
      <c r="C1" s="4" t="inlineStr">
        <is>
          <t>2.5%</t>
        </is>
      </c>
      <c r="D1" s="4" t="inlineStr">
        <is>
          <t>3.0%</t>
        </is>
      </c>
      <c r="E1" s="4" t="inlineStr">
        <is>
          <t>3.5%</t>
        </is>
      </c>
      <c r="F1" s="4" t="inlineStr">
        <is>
          <t>4.0%</t>
        </is>
      </c>
    </row>
    <row r="2">
      <c r="A2" t="inlineStr">
        <is>
          <t>Ke=8.00%</t>
        </is>
      </c>
      <c r="B2" s="23" t="n">
        <v>37.4</v>
      </c>
      <c r="C2" s="23" t="n">
        <v>39.3</v>
      </c>
      <c r="D2" s="23" t="n">
        <v>41.5</v>
      </c>
      <c r="E2" s="23" t="n">
        <v>44.1</v>
      </c>
      <c r="F2" s="23" t="n">
        <v>47.4</v>
      </c>
    </row>
    <row r="3">
      <c r="A3" t="inlineStr">
        <is>
          <t>Ke=8.75%</t>
        </is>
      </c>
      <c r="B3" s="23" t="n">
        <v>32.7</v>
      </c>
      <c r="C3" s="23" t="n">
        <v>34</v>
      </c>
      <c r="D3" s="23" t="n">
        <v>35.5</v>
      </c>
      <c r="E3" s="23" t="n">
        <v>37.3</v>
      </c>
      <c r="F3" s="23" t="n">
        <v>39.4</v>
      </c>
    </row>
    <row r="4">
      <c r="A4" t="inlineStr">
        <is>
          <t>Ke=9.46%</t>
        </is>
      </c>
      <c r="B4" s="23" t="n">
        <v>29.2</v>
      </c>
      <c r="C4" s="23" t="n">
        <v>30.1</v>
      </c>
      <c r="D4" s="23" t="n">
        <v>31.2</v>
      </c>
      <c r="E4" s="23" t="n">
        <v>32.5</v>
      </c>
      <c r="F4" s="23" t="n">
        <v>33.9</v>
      </c>
    </row>
    <row r="5">
      <c r="A5" t="inlineStr">
        <is>
          <t>Ke=10.17%</t>
        </is>
      </c>
      <c r="B5" s="23" t="n">
        <v>26.3</v>
      </c>
      <c r="C5" s="23" t="n">
        <v>27</v>
      </c>
      <c r="D5" s="23" t="n">
        <v>27.8</v>
      </c>
      <c r="E5" s="23" t="n">
        <v>28.6</v>
      </c>
      <c r="F5" s="23" t="n">
        <v>29.7</v>
      </c>
    </row>
    <row r="6">
      <c r="A6" t="inlineStr">
        <is>
          <t>Ke=11.00%</t>
        </is>
      </c>
      <c r="B6" s="23" t="n">
        <v>23.5</v>
      </c>
      <c r="C6" s="23" t="n">
        <v>24</v>
      </c>
      <c r="D6" s="23" t="n">
        <v>24.5</v>
      </c>
      <c r="E6" s="23" t="n">
        <v>25.1</v>
      </c>
      <c r="F6" s="23" t="n">
        <v>25.8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SAR mn</t>
        </is>
      </c>
      <c r="B1" s="4" t="inlineStr">
        <is>
          <t>FY23</t>
        </is>
      </c>
      <c r="C1" s="4" t="inlineStr">
        <is>
          <t>FY24</t>
        </is>
      </c>
      <c r="D1" s="4" t="inlineStr">
        <is>
          <t>FY25</t>
        </is>
      </c>
      <c r="E1" s="4" t="inlineStr">
        <is>
          <t>FY26e</t>
        </is>
      </c>
      <c r="F1" s="4" t="inlineStr">
        <is>
          <t>FY27e</t>
        </is>
      </c>
      <c r="G1" s="4" t="inlineStr">
        <is>
          <t>FY28e</t>
        </is>
      </c>
      <c r="H1" s="4" t="inlineStr">
        <is>
          <t>FY29e</t>
        </is>
      </c>
      <c r="I1" s="4" t="inlineStr">
        <is>
          <t>FY30e</t>
        </is>
      </c>
    </row>
    <row r="2">
      <c r="A2" s="20" t="inlineStr">
        <is>
          <t>Shares (mn, post-bonus basis)</t>
        </is>
      </c>
      <c r="B2" s="24" t="n">
        <v>3000</v>
      </c>
      <c r="C2" s="24" t="n">
        <v>3000</v>
      </c>
      <c r="D2" s="24" t="n">
        <v>3000</v>
      </c>
      <c r="E2" s="24" t="n">
        <v>3000</v>
      </c>
      <c r="F2" s="24" t="n">
        <v>3000</v>
      </c>
      <c r="G2" s="24" t="n">
        <v>3000</v>
      </c>
      <c r="H2" s="24" t="n">
        <v>3000</v>
      </c>
      <c r="I2" s="24" t="n">
        <v>3000</v>
      </c>
    </row>
    <row r="3">
      <c r="A3" s="22" t="inlineStr">
        <is>
          <t>EPS (common, SAR)</t>
        </is>
      </c>
      <c r="B3" s="5" t="n">
        <v>1.5</v>
      </c>
      <c r="C3" s="5" t="n">
        <v>1.8</v>
      </c>
      <c r="D3" s="5" t="n">
        <v>1.96</v>
      </c>
      <c r="E3" s="5">
        <f>'Income Statement'!E14/E2</f>
        <v/>
      </c>
      <c r="F3" s="5">
        <f>'Income Statement'!F14/F2</f>
        <v/>
      </c>
      <c r="G3" s="5">
        <f>'Income Statement'!G14/G2</f>
        <v/>
      </c>
      <c r="H3" s="5">
        <f>'Income Statement'!H14/H2</f>
        <v/>
      </c>
      <c r="I3" s="5">
        <f>'Income Statement'!I14/I2</f>
        <v/>
      </c>
    </row>
    <row r="4">
      <c r="A4" s="20" t="inlineStr">
        <is>
          <t>EPS as reported (pre-bonus wtd)</t>
        </is>
      </c>
      <c r="B4" s="30" t="n">
        <v>1.81</v>
      </c>
      <c r="C4" s="30" t="n">
        <v>2.22</v>
      </c>
      <c r="D4" s="30" t="n">
        <v>2.37</v>
      </c>
      <c r="E4" s="30" t="n"/>
      <c r="F4" s="30" t="n"/>
      <c r="G4" s="30" t="n"/>
      <c r="H4" s="30" t="n"/>
      <c r="I4" s="30" t="n"/>
    </row>
    <row r="5">
      <c r="A5" s="22" t="inlineStr">
        <is>
          <t>DPS (SAR)</t>
        </is>
      </c>
      <c r="B5" s="5" t="n">
        <v>0.83</v>
      </c>
      <c r="C5" s="5" t="n">
        <v>0.92</v>
      </c>
      <c r="D5" s="5" t="n">
        <v>1</v>
      </c>
      <c r="E5" s="5">
        <f>ROUND(Assumptions!B$22*E3,2)</f>
        <v/>
      </c>
      <c r="F5" s="5">
        <f>ROUND(Assumptions!C$22*F3,2)</f>
        <v/>
      </c>
      <c r="G5" s="5">
        <f>ROUND(Assumptions!D$22*G3,2)</f>
        <v/>
      </c>
      <c r="H5" s="5">
        <f>ROUND(Assumptions!E$22*H3,2)</f>
        <v/>
      </c>
      <c r="I5" s="5">
        <f>ROUND(Assumptions!F$22*I3,2)</f>
        <v/>
      </c>
    </row>
    <row r="6">
      <c r="A6" s="20" t="inlineStr">
        <is>
          <t>BVPS (common, SAR)</t>
        </is>
      </c>
      <c r="B6" s="30" t="n">
        <v>9.32</v>
      </c>
      <c r="C6" s="30" t="n">
        <v>10.9</v>
      </c>
      <c r="D6" s="30" t="n">
        <v>11.49703333333333</v>
      </c>
      <c r="E6" s="30">
        <f>'Balance Sheet'!E7/E2</f>
        <v/>
      </c>
      <c r="F6" s="30">
        <f>'Balance Sheet'!F7/F2</f>
        <v/>
      </c>
      <c r="G6" s="30">
        <f>'Balance Sheet'!G7/G2</f>
        <v/>
      </c>
      <c r="H6" s="30">
        <f>'Balance Sheet'!H7/H2</f>
        <v/>
      </c>
      <c r="I6" s="30">
        <f>'Balance Sheet'!I7/I2</f>
        <v/>
      </c>
    </row>
    <row r="7">
      <c r="A7" s="22" t="inlineStr">
        <is>
          <t>ROE (%, common)</t>
        </is>
      </c>
      <c r="B7" s="23" t="n">
        <v>17.2</v>
      </c>
      <c r="C7" s="23" t="n">
        <v>18.8</v>
      </c>
      <c r="D7" s="23" t="n">
        <v>18.7</v>
      </c>
      <c r="E7" s="23">
        <f>'Income Statement'!E14/(('Balance Sheet'!D7+'Balance Sheet'!E7)/2)*100</f>
        <v/>
      </c>
      <c r="F7" s="23">
        <f>'Income Statement'!F14/(('Balance Sheet'!E7+'Balance Sheet'!F7)/2)*100</f>
        <v/>
      </c>
      <c r="G7" s="23">
        <f>'Income Statement'!G14/(('Balance Sheet'!F7+'Balance Sheet'!G7)/2)*100</f>
        <v/>
      </c>
      <c r="H7" s="23">
        <f>'Income Statement'!H14/(('Balance Sheet'!G7+'Balance Sheet'!H7)/2)*100</f>
        <v/>
      </c>
      <c r="I7" s="23">
        <f>'Income Statement'!I14/(('Balance Sheet'!H7+'Balance Sheet'!I7)/2)*100</f>
        <v/>
      </c>
    </row>
    <row r="8">
      <c r="A8" s="20" t="inlineStr">
        <is>
          <t>ROA (%)</t>
        </is>
      </c>
      <c r="B8" s="30" t="n">
        <v>2.2</v>
      </c>
      <c r="C8" s="30" t="n">
        <v>2.27</v>
      </c>
      <c r="D8" s="30" t="n">
        <v>2.18</v>
      </c>
      <c r="E8" s="30">
        <f>'Income Statement'!E12/(('Balance Sheet'!D4+'Balance Sheet'!E4)/2)*100</f>
        <v/>
      </c>
      <c r="F8" s="30">
        <f>'Income Statement'!F12/(('Balance Sheet'!E4+'Balance Sheet'!F4)/2)*100</f>
        <v/>
      </c>
      <c r="G8" s="30">
        <f>'Income Statement'!G12/(('Balance Sheet'!F4+'Balance Sheet'!G4)/2)*100</f>
        <v/>
      </c>
      <c r="H8" s="30">
        <f>'Income Statement'!H12/(('Balance Sheet'!G4+'Balance Sheet'!H4)/2)*100</f>
        <v/>
      </c>
      <c r="I8" s="30">
        <f>'Income Statement'!I12/(('Balance Sheet'!H4+'Balance Sheet'!I4)/2)*100</f>
        <v/>
      </c>
    </row>
    <row r="9">
      <c r="A9" s="22" t="inlineStr">
        <is>
          <t>NIM (%)</t>
        </is>
      </c>
      <c r="B9" s="5" t="n">
        <v>3.81</v>
      </c>
      <c r="C9" s="5" t="n">
        <v>3.7</v>
      </c>
      <c r="D9" s="5" t="n">
        <v>3.55</v>
      </c>
      <c r="E9" s="5">
        <f>'Income Statement'!E5/'Income Statement'!E4*100</f>
        <v/>
      </c>
      <c r="F9" s="5">
        <f>'Income Statement'!F5/'Income Statement'!F4*100</f>
        <v/>
      </c>
      <c r="G9" s="5">
        <f>'Income Statement'!G5/'Income Statement'!G4*100</f>
        <v/>
      </c>
      <c r="H9" s="5">
        <f>'Income Statement'!H5/'Income Statement'!H4*100</f>
        <v/>
      </c>
      <c r="I9" s="5">
        <f>'Income Statement'!I5/'Income Statement'!I4*100</f>
        <v/>
      </c>
    </row>
    <row r="10">
      <c r="A10" s="20" t="inlineStr">
        <is>
          <t>Cost-to-income (%)</t>
        </is>
      </c>
      <c r="B10" s="21" t="n">
        <v>31.3</v>
      </c>
      <c r="C10" s="21" t="n">
        <v>30.9</v>
      </c>
      <c r="D10" s="21" t="n">
        <v>31.2</v>
      </c>
      <c r="E10" s="21">
        <f>'Income Statement'!E8/'Income Statement'!E7*100</f>
        <v/>
      </c>
      <c r="F10" s="21">
        <f>'Income Statement'!F8/'Income Statement'!F7*100</f>
        <v/>
      </c>
      <c r="G10" s="21">
        <f>'Income Statement'!G8/'Income Statement'!G7*100</f>
        <v/>
      </c>
      <c r="H10" s="21">
        <f>'Income Statement'!H8/'Income Statement'!H7*100</f>
        <v/>
      </c>
      <c r="I10" s="21">
        <f>'Income Statement'!I8/'Income Statement'!I7*100</f>
        <v/>
      </c>
    </row>
    <row r="11">
      <c r="A11" s="22" t="inlineStr">
        <is>
          <t>Cost of risk (bp)</t>
        </is>
      </c>
      <c r="B11" s="27" t="n">
        <v>77</v>
      </c>
      <c r="C11" s="27" t="n">
        <v>55</v>
      </c>
      <c r="D11" s="27" t="n">
        <v>49</v>
      </c>
      <c r="E11" s="27">
        <f>Assumptions!B$21*10000</f>
        <v/>
      </c>
      <c r="F11" s="27">
        <f>Assumptions!C$21*10000</f>
        <v/>
      </c>
      <c r="G11" s="27">
        <f>Assumptions!D$21*10000</f>
        <v/>
      </c>
      <c r="H11" s="27">
        <f>Assumptions!E$21*10000</f>
        <v/>
      </c>
      <c r="I11" s="27">
        <f>Assumptions!F$21*10000</f>
        <v/>
      </c>
    </row>
    <row r="12">
      <c r="A12" s="20" t="inlineStr">
        <is>
          <t>P/E at spot</t>
        </is>
      </c>
      <c r="B12" s="21" t="n"/>
      <c r="C12" s="21" t="n"/>
      <c r="D12" s="21">
        <f>Assumptions!$B$2/D3</f>
        <v/>
      </c>
      <c r="E12" s="21">
        <f>Assumptions!$B$2/E3</f>
        <v/>
      </c>
      <c r="F12" s="21">
        <f>Assumptions!$B$2/F3</f>
        <v/>
      </c>
      <c r="G12" s="21">
        <f>Assumptions!$B$2/G3</f>
        <v/>
      </c>
      <c r="H12" s="21">
        <f>Assumptions!$B$2/H3</f>
        <v/>
      </c>
      <c r="I12" s="21">
        <f>Assumptions!$B$2/I3</f>
        <v/>
      </c>
    </row>
    <row r="13">
      <c r="A13" s="22" t="inlineStr">
        <is>
          <t>P/B at spot</t>
        </is>
      </c>
      <c r="B13" s="5" t="n"/>
      <c r="C13" s="5" t="n"/>
      <c r="D13" s="5">
        <f>Assumptions!$B$2/D6</f>
        <v/>
      </c>
      <c r="E13" s="5">
        <f>Assumptions!$B$2/E6</f>
        <v/>
      </c>
      <c r="F13" s="5">
        <f>Assumptions!$B$2/F6</f>
        <v/>
      </c>
      <c r="G13" s="5">
        <f>Assumptions!$B$2/G6</f>
        <v/>
      </c>
      <c r="H13" s="5">
        <f>Assumptions!$B$2/H6</f>
        <v/>
      </c>
      <c r="I13" s="5">
        <f>Assumptions!$B$2/I6</f>
        <v/>
      </c>
    </row>
    <row r="14">
      <c r="A14" s="20" t="inlineStr">
        <is>
          <t>Dividend yield at spot (%)</t>
        </is>
      </c>
      <c r="B14" s="21" t="n"/>
      <c r="C14" s="21" t="n"/>
      <c r="D14" s="21">
        <f>D5/Assumptions!$B$2*100</f>
        <v/>
      </c>
      <c r="E14" s="21">
        <f>E5/Assumptions!$B$2*100</f>
        <v/>
      </c>
      <c r="F14" s="21">
        <f>F5/Assumptions!$B$2*100</f>
        <v/>
      </c>
      <c r="G14" s="21">
        <f>G5/Assumptions!$B$2*100</f>
        <v/>
      </c>
      <c r="H14" s="21">
        <f>H5/Assumptions!$B$2*100</f>
        <v/>
      </c>
      <c r="I14" s="21">
        <f>I5/Assumptions!$B$2*100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52" customWidth="1" min="5" max="5"/>
  </cols>
  <sheetData>
    <row r="1">
      <c r="A1" s="4" t="inlineStr">
        <is>
          <t>Bank</t>
        </is>
      </c>
      <c r="B1" s="4" t="inlineStr">
        <is>
          <t>P/B</t>
        </is>
      </c>
      <c r="C1" s="4" t="inlineStr">
        <is>
          <t>P/E</t>
        </is>
      </c>
      <c r="D1" s="4" t="inlineStr">
        <is>
          <t>ROE</t>
        </is>
      </c>
      <c r="E1" s="4" t="inlineStr">
        <is>
          <t>Note</t>
        </is>
      </c>
    </row>
    <row r="2">
      <c r="A2" t="inlineStr">
        <is>
          <t>Al Rajhi</t>
        </is>
      </c>
      <c r="B2" t="inlineStr">
        <is>
          <t>~3.5x</t>
        </is>
      </c>
      <c r="C2" t="inlineStr">
        <is>
          <t>~16x</t>
        </is>
      </c>
      <c r="D2" t="inlineStr">
        <is>
          <t>~23%</t>
        </is>
      </c>
      <c r="E2" t="inlineStr">
        <is>
          <t>Premium Islamic franchise; the sector ceiling</t>
        </is>
      </c>
    </row>
    <row r="3">
      <c r="A3" s="10" t="inlineStr">
        <is>
          <t>SNB</t>
        </is>
      </c>
      <c r="B3" s="10" t="inlineStr">
        <is>
          <t>~1.4x</t>
        </is>
      </c>
      <c r="C3" s="10" t="inlineStr">
        <is>
          <t>~10x</t>
        </is>
      </c>
      <c r="D3" s="10" t="inlineStr">
        <is>
          <t>~13%</t>
        </is>
      </c>
      <c r="E3" s="10" t="inlineStr">
        <is>
          <t>Largest by assets</t>
        </is>
      </c>
    </row>
    <row r="4">
      <c r="A4" t="inlineStr">
        <is>
          <t>Riyad Bank</t>
        </is>
      </c>
      <c r="B4" t="inlineStr">
        <is>
          <t>~1.2x</t>
        </is>
      </c>
      <c r="C4" t="inlineStr">
        <is>
          <t>~8x</t>
        </is>
      </c>
      <c r="D4" t="inlineStr">
        <is>
          <t>~16%</t>
        </is>
      </c>
      <c r="E4" t="inlineStr">
        <is>
          <t>Testahil coverage 09-Jul-2026</t>
        </is>
      </c>
    </row>
    <row r="5">
      <c r="A5" s="10" t="inlineStr">
        <is>
          <t>Alinma (this study)</t>
        </is>
      </c>
      <c r="B5" s="10" t="inlineStr">
        <is>
          <t>~2.1x</t>
        </is>
      </c>
      <c r="C5" s="10" t="inlineStr">
        <is>
          <t>~11x</t>
        </is>
      </c>
      <c r="D5" s="10" t="inlineStr">
        <is>
          <t>~18.7%</t>
        </is>
      </c>
      <c r="E5" s="10" t="inlineStr">
        <is>
          <t>Fastest-growing large Islamic bank; premium for growth</t>
        </is>
      </c>
    </row>
    <row r="6">
      <c r="A6" t="inlineStr">
        <is>
          <t>Banque Saudi Fransi</t>
        </is>
      </c>
      <c r="B6" t="inlineStr">
        <is>
          <t>~1.1x</t>
        </is>
      </c>
      <c r="C6" t="inlineStr">
        <is>
          <t>~9x</t>
        </is>
      </c>
      <c r="D6" t="inlineStr">
        <is>
          <t>~12%</t>
        </is>
      </c>
      <c r="E6" t="inlineStr">
        <is>
          <t>Corporate-tilted</t>
        </is>
      </c>
    </row>
    <row r="7">
      <c r="A7" s="10" t="inlineStr">
        <is>
          <t>Arab National Bank</t>
        </is>
      </c>
      <c r="B7" s="10" t="inlineStr">
        <is>
          <t>~1.0x</t>
        </is>
      </c>
      <c r="C7" s="10" t="inlineStr">
        <is>
          <t>~8x</t>
        </is>
      </c>
      <c r="D7" s="10" t="inlineStr">
        <is>
          <t>~12%</t>
        </is>
      </c>
      <c r="E7" s="10" t="inlineStr">
        <is>
          <t>Value end</t>
        </is>
      </c>
    </row>
    <row r="8">
      <c r="A8" t="inlineStr">
        <is>
          <t>Al Bilad</t>
        </is>
      </c>
      <c r="B8" t="inlineStr">
        <is>
          <t>~2.0x</t>
        </is>
      </c>
      <c r="C8" t="inlineStr">
        <is>
          <t>~14x</t>
        </is>
      </c>
      <c r="D8" t="inlineStr">
        <is>
          <t>~16%</t>
        </is>
      </c>
      <c r="E8" t="inlineStr">
        <is>
          <t>Retail/Islamic growth comp</t>
        </is>
      </c>
    </row>
    <row r="9">
      <c r="A9" s="10" t="inlineStr">
        <is>
          <t>Saudi Investment Bank</t>
        </is>
      </c>
      <c r="B9" s="10" t="inlineStr">
        <is>
          <t>~0.9x</t>
        </is>
      </c>
      <c r="C9" s="10" t="inlineStr">
        <is>
          <t>~8x</t>
        </is>
      </c>
      <c r="D9" s="10" t="inlineStr">
        <is>
          <t>~11%</t>
        </is>
      </c>
      <c r="E9" s="10" t="inlineStr">
        <is>
          <t>Smallest, deepest discount</t>
        </is>
      </c>
    </row>
    <row r="10">
      <c r="A10" t="inlineStr">
        <is>
          <t>GCC — Emirates NBD</t>
        </is>
      </c>
      <c r="B10" t="inlineStr">
        <is>
          <t>~1.0x</t>
        </is>
      </c>
      <c r="C10" t="inlineStr">
        <is>
          <t>~6x</t>
        </is>
      </c>
      <c r="D10" t="inlineStr">
        <is>
          <t>~18%</t>
        </is>
      </c>
      <c r="E10" t="inlineStr">
        <is>
          <t>UAE large-cap context</t>
        </is>
      </c>
    </row>
    <row r="11">
      <c r="A11" s="10" t="inlineStr">
        <is>
          <t>GCC — QNB</t>
        </is>
      </c>
      <c r="B11" s="10" t="inlineStr">
        <is>
          <t>~1.4x</t>
        </is>
      </c>
      <c r="C11" s="10" t="inlineStr">
        <is>
          <t>~9x</t>
        </is>
      </c>
      <c r="D11" s="10" t="inlineStr">
        <is>
          <t>~18%</t>
        </is>
      </c>
      <c r="E11" s="10" t="inlineStr">
        <is>
          <t>Qatar large-cap context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Key earnings drivers</t>
        </is>
      </c>
      <c r="B1" s="4" t="inlineStr">
        <is>
          <t>FY24</t>
        </is>
      </c>
      <c r="C1" s="4" t="inlineStr">
        <is>
          <t>FY25</t>
        </is>
      </c>
      <c r="D1" s="4" t="inlineStr">
        <is>
          <t>FY26e</t>
        </is>
      </c>
      <c r="E1" s="4" t="inlineStr">
        <is>
          <t>FY27e</t>
        </is>
      </c>
    </row>
    <row r="2">
      <c r="A2" t="inlineStr">
        <is>
          <t>Financing growth (%)</t>
        </is>
      </c>
      <c r="B2" s="23" t="n">
        <v>15.6</v>
      </c>
      <c r="C2" s="23" t="n">
        <v>13.6</v>
      </c>
      <c r="D2" s="23">
        <f>Assumptions!B17*100</f>
        <v/>
      </c>
      <c r="E2" s="23">
        <f>Assumptions!C17*100</f>
        <v/>
      </c>
    </row>
    <row r="3">
      <c r="A3" s="10" t="inlineStr">
        <is>
          <t>Deposit growth (%)</t>
        </is>
      </c>
      <c r="B3" s="21" t="n">
        <v>12.1</v>
      </c>
      <c r="C3" s="21" t="n">
        <v>8</v>
      </c>
      <c r="D3" s="21" t="n">
        <v>11.1</v>
      </c>
      <c r="E3" s="21" t="n">
        <v>10.2</v>
      </c>
    </row>
    <row r="4">
      <c r="A4" t="inlineStr">
        <is>
          <t>NIM (%)</t>
        </is>
      </c>
      <c r="B4" s="23" t="n">
        <v>3.7</v>
      </c>
      <c r="C4" s="23" t="n">
        <v>3.55</v>
      </c>
      <c r="D4" s="23">
        <f>Assumptions!B18*100</f>
        <v/>
      </c>
      <c r="E4" s="23">
        <f>Assumptions!C18*100</f>
        <v/>
      </c>
    </row>
    <row r="5">
      <c r="A5" s="10" t="inlineStr">
        <is>
          <t>NII growth (%)</t>
        </is>
      </c>
      <c r="B5" s="21" t="n">
        <v>13</v>
      </c>
      <c r="C5" s="21" t="n">
        <v>8.4</v>
      </c>
      <c r="D5" s="21">
        <f>'Income Statement'!E5/'Income Statement'!D5*100-100</f>
        <v/>
      </c>
      <c r="E5" s="21">
        <f>'Income Statement'!F5/'Income Statement'!E5*100-100</f>
        <v/>
      </c>
    </row>
    <row r="6">
      <c r="A6" t="inlineStr">
        <is>
          <t>Fee/non-funded growth (%)</t>
        </is>
      </c>
      <c r="B6" s="23" t="n">
        <v>10.6</v>
      </c>
      <c r="C6" s="23" t="n">
        <v>10.3</v>
      </c>
      <c r="D6" s="23" t="n">
        <v>9</v>
      </c>
      <c r="E6" s="23" t="n">
        <v>9</v>
      </c>
    </row>
    <row r="7">
      <c r="A7" s="10" t="inlineStr">
        <is>
          <t>Revenue growth (%)</t>
        </is>
      </c>
      <c r="B7" s="21" t="n">
        <v>12.5</v>
      </c>
      <c r="C7" s="21" t="n">
        <v>8.800000000000001</v>
      </c>
      <c r="D7" s="21">
        <f>'Income Statement'!E7/'Income Statement'!D7*100-100</f>
        <v/>
      </c>
      <c r="E7" s="21">
        <f>'Income Statement'!F7/'Income Statement'!E7*100-100</f>
        <v/>
      </c>
    </row>
    <row r="8">
      <c r="A8" t="inlineStr">
        <is>
          <t>Opex growth (%)</t>
        </is>
      </c>
      <c r="B8" s="23" t="n">
        <v>11.2</v>
      </c>
      <c r="C8" s="23" t="n">
        <v>9.800000000000001</v>
      </c>
      <c r="D8" s="23">
        <f>'Income Statement'!E8/'Income Statement'!D8*100-100</f>
        <v/>
      </c>
      <c r="E8" s="23">
        <f>'Income Statement'!F8/'Income Statement'!E8*100-100</f>
        <v/>
      </c>
    </row>
    <row r="9">
      <c r="A9" s="10" t="inlineStr">
        <is>
          <t>Cost-to-income (%)</t>
        </is>
      </c>
      <c r="B9" s="21" t="n">
        <v>30.9</v>
      </c>
      <c r="C9" s="21" t="n">
        <v>31.2</v>
      </c>
      <c r="D9" s="21">
        <f>Assumptions!B20*100</f>
        <v/>
      </c>
      <c r="E9" s="21">
        <f>Assumptions!C20*100</f>
        <v/>
      </c>
    </row>
    <row r="10">
      <c r="A10" t="inlineStr">
        <is>
          <t>Cost of risk (bp)</t>
        </is>
      </c>
      <c r="B10" s="23" t="n">
        <v>55</v>
      </c>
      <c r="C10" s="23" t="n">
        <v>49</v>
      </c>
      <c r="D10" s="23" t="n">
        <v>50</v>
      </c>
      <c r="E10" s="23" t="n">
        <v>50</v>
      </c>
    </row>
    <row r="11">
      <c r="A11" s="10" t="inlineStr">
        <is>
          <t>Earnings growth (%)</t>
        </is>
      </c>
      <c r="B11" s="21" t="n">
        <v>20.5</v>
      </c>
      <c r="C11" s="21" t="n">
        <v>9.699999999999999</v>
      </c>
      <c r="D11" s="21">
        <f>'Income Statement'!E12/'Income Statement'!D12*100-100</f>
        <v/>
      </c>
      <c r="E11" s="21">
        <f>'Income Statement'!F12/'Income Statement'!E12*100-100</f>
        <v/>
      </c>
    </row>
    <row r="12">
      <c r="A12" t="inlineStr">
        <is>
          <t>ROAE (%)</t>
        </is>
      </c>
      <c r="B12" s="23" t="n">
        <v>18.8</v>
      </c>
      <c r="C12" s="23" t="n">
        <v>18.7</v>
      </c>
      <c r="D12" s="23">
        <f>'Per-Share &amp; Ratios'!E7</f>
        <v/>
      </c>
      <c r="E12" s="23">
        <f>'Per-Share &amp; Ratios'!F7</f>
        <v/>
      </c>
    </row>
    <row r="13">
      <c r="A13" s="10" t="inlineStr">
        <is>
          <t>ROAA (%)</t>
        </is>
      </c>
      <c r="B13" s="21" t="n">
        <v>2.27</v>
      </c>
      <c r="C13" s="21" t="n">
        <v>2.18</v>
      </c>
      <c r="D13" s="21">
        <f>'Per-Share &amp; Ratios'!E8</f>
        <v/>
      </c>
      <c r="E13" s="21">
        <f>'Per-Share &amp; Ratios'!F8</f>
        <v/>
      </c>
    </row>
    <row r="14">
      <c r="A14" t="inlineStr">
        <is>
          <t>Net profit, reported (SAR mn)</t>
        </is>
      </c>
      <c r="B14" s="23" t="n">
        <v>5831.7</v>
      </c>
      <c r="C14" s="23" t="n">
        <v>6397.1</v>
      </c>
      <c r="D14" s="23">
        <f>'Income Statement'!E12</f>
        <v/>
      </c>
      <c r="E14" s="23">
        <f>'Income Statement'!F12</f>
        <v/>
      </c>
    </row>
    <row r="15">
      <c r="A15" s="10" t="inlineStr">
        <is>
          <t>Net profit, attributable (SAR mn)</t>
        </is>
      </c>
      <c r="B15" s="21" t="n">
        <v>5401.7</v>
      </c>
      <c r="C15" s="21" t="n">
        <v>5894.1</v>
      </c>
      <c r="D15" s="21">
        <f>'Income Statement'!E14</f>
        <v/>
      </c>
      <c r="E15" s="21">
        <f>'Income Statement'!F14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SAR mn</t>
        </is>
      </c>
      <c r="B1" s="4" t="inlineStr">
        <is>
          <t>FY23</t>
        </is>
      </c>
      <c r="C1" s="4" t="inlineStr">
        <is>
          <t>FY24</t>
        </is>
      </c>
      <c r="D1" s="4" t="inlineStr">
        <is>
          <t>FY25</t>
        </is>
      </c>
      <c r="E1" s="4" t="inlineStr">
        <is>
          <t>FY26e</t>
        </is>
      </c>
      <c r="F1" s="4" t="inlineStr">
        <is>
          <t>FY27e</t>
        </is>
      </c>
      <c r="G1" s="4" t="inlineStr">
        <is>
          <t>FY28e</t>
        </is>
      </c>
      <c r="H1" s="4" t="inlineStr">
        <is>
          <t>FY29e</t>
        </is>
      </c>
      <c r="I1" s="4" t="inlineStr">
        <is>
          <t>FY30e</t>
        </is>
      </c>
    </row>
    <row r="2">
      <c r="A2" t="inlineStr">
        <is>
          <t>Total operating income</t>
        </is>
      </c>
      <c r="B2" s="23">
        <f>'Income Statement'!B7</f>
        <v/>
      </c>
      <c r="C2" s="23">
        <f>'Income Statement'!C7</f>
        <v/>
      </c>
      <c r="D2" s="23">
        <f>'Income Statement'!D7</f>
        <v/>
      </c>
      <c r="E2" s="23">
        <f>'Income Statement'!E7</f>
        <v/>
      </c>
      <c r="F2" s="23">
        <f>'Income Statement'!F7</f>
        <v/>
      </c>
      <c r="G2" s="23">
        <f>'Income Statement'!G7</f>
        <v/>
      </c>
      <c r="H2" s="23">
        <f>'Income Statement'!H7</f>
        <v/>
      </c>
      <c r="I2" s="23">
        <f>'Income Statement'!I7</f>
        <v/>
      </c>
    </row>
    <row r="3">
      <c r="A3" t="inlineStr">
        <is>
          <t>Net income</t>
        </is>
      </c>
      <c r="B3" s="27">
        <f>'Income Statement'!B12</f>
        <v/>
      </c>
      <c r="C3" s="27">
        <f>'Income Statement'!C12</f>
        <v/>
      </c>
      <c r="D3" s="27">
        <f>'Income Statement'!D12</f>
        <v/>
      </c>
      <c r="E3" s="27">
        <f>'Income Statement'!E12</f>
        <v/>
      </c>
      <c r="F3" s="27">
        <f>'Income Statement'!F12</f>
        <v/>
      </c>
      <c r="G3" s="27">
        <f>'Income Statement'!G12</f>
        <v/>
      </c>
      <c r="H3" s="27">
        <f>'Income Statement'!H12</f>
        <v/>
      </c>
      <c r="I3" s="27">
        <f>'Income Statement'!I12</f>
        <v/>
      </c>
    </row>
    <row r="4">
      <c r="A4" t="inlineStr">
        <is>
          <t>Financing, net</t>
        </is>
      </c>
      <c r="B4" s="27">
        <f>'Balance Sheet'!B2</f>
        <v/>
      </c>
      <c r="C4" s="27">
        <f>'Balance Sheet'!C2</f>
        <v/>
      </c>
      <c r="D4" s="27">
        <f>'Balance Sheet'!D2</f>
        <v/>
      </c>
      <c r="E4" s="27">
        <f>'Balance Sheet'!E2</f>
        <v/>
      </c>
      <c r="F4" s="27">
        <f>'Balance Sheet'!F2</f>
        <v/>
      </c>
      <c r="G4" s="27">
        <f>'Balance Sheet'!G2</f>
        <v/>
      </c>
      <c r="H4" s="27">
        <f>'Balance Sheet'!H2</f>
        <v/>
      </c>
      <c r="I4" s="27">
        <f>'Balance Sheet'!I2</f>
        <v/>
      </c>
    </row>
    <row r="5">
      <c r="A5" t="inlineStr">
        <is>
          <t>Deposits</t>
        </is>
      </c>
      <c r="B5" s="5">
        <f>'Balance Sheet'!B5</f>
        <v/>
      </c>
      <c r="C5" s="5">
        <f>'Balance Sheet'!C5</f>
        <v/>
      </c>
      <c r="D5" s="5">
        <f>'Balance Sheet'!D5</f>
        <v/>
      </c>
      <c r="E5" s="5">
        <f>'Balance Sheet'!E5</f>
        <v/>
      </c>
      <c r="F5" s="5">
        <f>'Balance Sheet'!F5</f>
        <v/>
      </c>
      <c r="G5" s="5">
        <f>'Balance Sheet'!G5</f>
        <v/>
      </c>
      <c r="H5" s="5">
        <f>'Balance Sheet'!H5</f>
        <v/>
      </c>
      <c r="I5" s="5">
        <f>'Balance Sheet'!I5</f>
        <v/>
      </c>
    </row>
    <row r="6">
      <c r="A6" t="inlineStr">
        <is>
          <t>Common equity</t>
        </is>
      </c>
      <c r="B6" s="23">
        <f>'Balance Sheet'!B7</f>
        <v/>
      </c>
      <c r="C6" s="23">
        <f>'Balance Sheet'!C7</f>
        <v/>
      </c>
      <c r="D6" s="23">
        <f>'Balance Sheet'!D7</f>
        <v/>
      </c>
      <c r="E6" s="23">
        <f>'Balance Sheet'!E7</f>
        <v/>
      </c>
      <c r="F6" s="23">
        <f>'Balance Sheet'!F7</f>
        <v/>
      </c>
      <c r="G6" s="23">
        <f>'Balance Sheet'!G7</f>
        <v/>
      </c>
      <c r="H6" s="23">
        <f>'Balance Sheet'!H7</f>
        <v/>
      </c>
      <c r="I6" s="23">
        <f>'Balance Sheet'!I7</f>
        <v/>
      </c>
    </row>
    <row r="7">
      <c r="A7" t="inlineStr">
        <is>
          <t>EPS (common)</t>
        </is>
      </c>
      <c r="B7" s="5">
        <f>'Per-Share &amp; Ratios'!B3</f>
        <v/>
      </c>
      <c r="C7" s="5">
        <f>'Per-Share &amp; Ratios'!C3</f>
        <v/>
      </c>
      <c r="D7" s="5">
        <f>'Per-Share &amp; Ratios'!D3</f>
        <v/>
      </c>
      <c r="E7" s="5">
        <f>'Per-Share &amp; Ratios'!E3</f>
        <v/>
      </c>
      <c r="F7" s="5">
        <f>'Per-Share &amp; Ratios'!F3</f>
        <v/>
      </c>
      <c r="G7" s="5">
        <f>'Per-Share &amp; Ratios'!G3</f>
        <v/>
      </c>
      <c r="H7" s="5">
        <f>'Per-Share &amp; Ratios'!H3</f>
        <v/>
      </c>
      <c r="I7" s="5">
        <f>'Per-Share &amp; Ratios'!I3</f>
        <v/>
      </c>
    </row>
    <row r="8">
      <c r="A8" t="inlineStr">
        <is>
          <t>DPS</t>
        </is>
      </c>
      <c r="B8" s="5">
        <f>'Per-Share &amp; Ratios'!B5</f>
        <v/>
      </c>
      <c r="C8" s="5">
        <f>'Per-Share &amp; Ratios'!C5</f>
        <v/>
      </c>
      <c r="D8" s="5">
        <f>'Per-Share &amp; Ratios'!D5</f>
        <v/>
      </c>
      <c r="E8" s="5">
        <f>'Per-Share &amp; Ratios'!E5</f>
        <v/>
      </c>
      <c r="F8" s="5">
        <f>'Per-Share &amp; Ratios'!F5</f>
        <v/>
      </c>
      <c r="G8" s="5">
        <f>'Per-Share &amp; Ratios'!G5</f>
        <v/>
      </c>
      <c r="H8" s="5">
        <f>'Per-Share &amp; Ratios'!H5</f>
        <v/>
      </c>
      <c r="I8" s="5">
        <f>'Per-Share &amp; Ratios'!I5</f>
        <v/>
      </c>
    </row>
    <row r="9">
      <c r="A9" t="inlineStr">
        <is>
          <t>BVPS</t>
        </is>
      </c>
      <c r="B9" s="5">
        <f>'Per-Share &amp; Ratios'!B6</f>
        <v/>
      </c>
      <c r="C9" s="5">
        <f>'Per-Share &amp; Ratios'!C6</f>
        <v/>
      </c>
      <c r="D9" s="5">
        <f>'Per-Share &amp; Ratios'!D6</f>
        <v/>
      </c>
      <c r="E9" s="5">
        <f>'Per-Share &amp; Ratios'!E6</f>
        <v/>
      </c>
      <c r="F9" s="5">
        <f>'Per-Share &amp; Ratios'!F6</f>
        <v/>
      </c>
      <c r="G9" s="5">
        <f>'Per-Share &amp; Ratios'!G6</f>
        <v/>
      </c>
      <c r="H9" s="5">
        <f>'Per-Share &amp; Ratios'!H6</f>
        <v/>
      </c>
      <c r="I9" s="5">
        <f>'Per-Share &amp; Ratios'!I6</f>
        <v/>
      </c>
    </row>
    <row r="10">
      <c r="A10" t="inlineStr">
        <is>
          <t>ROE %</t>
        </is>
      </c>
      <c r="B10" s="23">
        <f>'Per-Share &amp; Ratios'!B7</f>
        <v/>
      </c>
      <c r="C10" s="23">
        <f>'Per-Share &amp; Ratios'!C7</f>
        <v/>
      </c>
      <c r="D10" s="23">
        <f>'Per-Share &amp; Ratios'!D7</f>
        <v/>
      </c>
      <c r="E10" s="23">
        <f>'Per-Share &amp; Ratios'!E7</f>
        <v/>
      </c>
      <c r="F10" s="23">
        <f>'Per-Share &amp; Ratios'!F7</f>
        <v/>
      </c>
      <c r="G10" s="23">
        <f>'Per-Share &amp; Ratios'!G7</f>
        <v/>
      </c>
      <c r="H10" s="23">
        <f>'Per-Share &amp; Ratios'!H7</f>
        <v/>
      </c>
      <c r="I10" s="23">
        <f>'Per-Share &amp; Ratios'!I7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2026-07-09T22:58:12Z</dcterms:created>
  <dcterms:modified xmlns:dcterms="http://purl.org/dc/terms/" xmlns:xsi="http://www.w3.org/2001/XMLSchema-instance" xsi:type="dcterms:W3CDTF">2026-07-09T22:58:12Z</dcterms:modified>
</cp:coreProperties>
</file>