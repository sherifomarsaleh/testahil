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FIRST" sheetId="1" state="visible" r:id="rId3"/>
    <sheet name="Summary" sheetId="2" state="visible" r:id="rId4"/>
    <sheet name="Fundamental Valuation" sheetId="3" state="visible" r:id="rId5"/>
    <sheet name="Assumptions" sheetId="4" state="visible" r:id="rId6"/>
    <sheet name="SOTP" sheetId="5" state="visible" r:id="rId7"/>
    <sheet name="Segments" sheetId="6" state="visible" r:id="rId8"/>
    <sheet name="Relative &amp; Normalized" sheetId="7" state="visible" r:id="rId9"/>
    <sheet name="DCF" sheetId="8" state="visible" r:id="rId10"/>
    <sheet name="Income Statement" sheetId="9" state="visible" r:id="rId11"/>
    <sheet name="Balance Sheet" sheetId="10" state="visible" r:id="rId12"/>
    <sheet name="Cash Flow" sheetId="11" state="visible" r:id="rId13"/>
    <sheet name="Summary Financials" sheetId="12" state="visible" r:id="rId14"/>
    <sheet name="Monte Carlo" sheetId="13" state="visible" r:id="rId15"/>
    <sheet name="Sensitivity" sheetId="14" state="visible" r:id="rId16"/>
    <sheet name="Per-Share &amp; Ratios" sheetId="15" state="visible" r:id="rId17"/>
    <sheet name="Peer &amp; Sector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<sst xmlns="http://schemas.openxmlformats.org/spreadsheetml/2006/main" count="435" uniqueCount="354">
  <si>
    <t xml:space="preserve">TESTAHIL — INDEPENDENT VALUATION STUDY · EDUCATIONAL ANALYSIS · NOT INVESTMENT ADVICE</t>
  </si>
  <si>
    <t xml:space="preserve">Orascom Construction PLC (EGX: ORAS) — workbook companion to the study dated 30 June 2026.</t>
  </si>
  <si>
    <t xml:space="preserve">This model is educational. It is not investment advice, not a recommendation, and not a price target.</t>
  </si>
  <si>
    <t xml:space="preserve">It presents a distribution of fair-value estimates across independent methods, plus a probabilistic 3-month price map.</t>
  </si>
  <si>
    <t xml:space="preserve">HOW TO USE: every blue cell on the 'Assumptions' sheet is an input. Change a blue cell and the whole model reprices —</t>
  </si>
  <si>
    <t xml:space="preserve">all downstream sheets link back to Assumptions; there are no hard-coded duplicates of an input.</t>
  </si>
  <si>
    <t xml:space="preserve">Primary lens: going-concern FCFF (DCF), cross-checked by SOTP/RNAV, relative multiples, and normalized earnings.</t>
  </si>
  <si>
    <t xml:space="preserve">Reporting currency is USD (company reports in USD); per-share values convert to EGP at the USD/EGP on Assumptions.</t>
  </si>
  <si>
    <t xml:space="preserve">The EGX line trades in EGP; spot 720 EGP ≈ $14.63 at 49.2, ≈ 8.3x earnings.</t>
  </si>
  <si>
    <t xml:space="preserve">Net cash is shown two ways — reported, and 'usable' (net of client advances / bonding). This is the model's central swing.</t>
  </si>
  <si>
    <t xml:space="preserve">Figures are unaudited estimates from company disclosure; see source notes. Rounding may cause small differences.</t>
  </si>
  <si>
    <t xml:space="preserve">Full disclosures are in the accompanying Word study.</t>
  </si>
  <si>
    <t xml:space="preserve">SUMMARY — ORASCOM CONSTRUCTION (EGX: ORAS)</t>
  </si>
  <si>
    <t xml:space="preserve">Item</t>
  </si>
  <si>
    <t xml:space="preserve">Value</t>
  </si>
  <si>
    <t xml:space="preserve">Note</t>
  </si>
  <si>
    <t xml:space="preserve">Spot (EGP, 30-Jun-26)</t>
  </si>
  <si>
    <t xml:space="preserve">EGX close</t>
  </si>
  <si>
    <t xml:space="preserve">Weighted central FV (EGP)</t>
  </si>
  <si>
    <t xml:space="preserve">four-lens</t>
  </si>
  <si>
    <t xml:space="preserve">Upside / (downside)</t>
  </si>
  <si>
    <t xml:space="preserve">FCFF DCF (EGP)</t>
  </si>
  <si>
    <t xml:space="preserve">primary</t>
  </si>
  <si>
    <t xml:space="preserve">SOTP / RNAV (EGP)</t>
  </si>
  <si>
    <t xml:space="preserve">cross-check</t>
  </si>
  <si>
    <t xml:space="preserve">Relative (EGP)</t>
  </si>
  <si>
    <t xml:space="preserve">Normalized (EGP)</t>
  </si>
  <si>
    <t xml:space="preserve">bear anchor</t>
  </si>
  <si>
    <t xml:space="preserve">P/E (reported)</t>
  </si>
  <si>
    <t xml:space="preserve">EV/EBITDA (adj, usable cash)</t>
  </si>
  <si>
    <t xml:space="preserve">MC median T+60 (EGP)</t>
  </si>
  <si>
    <t xml:space="preserve">3-month price map</t>
  </si>
  <si>
    <t xml:space="preserve">P(touch central FV by T+60)</t>
  </si>
  <si>
    <t xml:space="preserve">23%</t>
  </si>
  <si>
    <t xml:space="preserve">two-clocks</t>
  </si>
  <si>
    <t xml:space="preserve">Backlog (USD bn)</t>
  </si>
  <si>
    <t xml:space="preserve">$13.0bn pro forma</t>
  </si>
  <si>
    <t xml:space="preserve">FUNDAMENTAL VALUATION — FOUR-LENS SYNTHESIS</t>
  </si>
  <si>
    <t xml:space="preserve">Method</t>
  </si>
  <si>
    <t xml:space="preserve">Fair value (EGP)</t>
  </si>
  <si>
    <t xml:space="preserve">vs spot</t>
  </si>
  <si>
    <t xml:space="preserve">Weight</t>
  </si>
  <si>
    <t xml:space="preserve">Contribution</t>
  </si>
  <si>
    <t xml:space="preserve">FCFF DCF (primary)</t>
  </si>
  <si>
    <t xml:space="preserve">SOTP — base</t>
  </si>
  <si>
    <t xml:space="preserve">SOTP — bull</t>
  </si>
  <si>
    <t xml:space="preserve">Relative multiples</t>
  </si>
  <si>
    <t xml:space="preserve">Normalized earnings</t>
  </si>
  <si>
    <t xml:space="preserve">Weighted central (EGP)</t>
  </si>
  <si>
    <t xml:space="preserve">Spot (EGP)</t>
  </si>
  <si>
    <t xml:space="preserve">Range low (EGP)</t>
  </si>
  <si>
    <t xml:space="preserve">Range high (EGP)</t>
  </si>
  <si>
    <t xml:space="preserve">ORASCOM CONSTRUCTION (EGX: ORAS) — ASSUMPTIONS</t>
  </si>
  <si>
    <t xml:space="preserve">All blue cells are inputs. USD million unless noted. Edit to reprice the whole model.</t>
  </si>
  <si>
    <t xml:space="preserve">GLOBAL &amp; CORPORATE</t>
  </si>
  <si>
    <t xml:space="preserve">Spot price (EGP, 30-Jun-26 close)</t>
  </si>
  <si>
    <t xml:space="preserve">EGX close (user data)</t>
  </si>
  <si>
    <t xml:space="preserve">USD/EGP</t>
  </si>
  <si>
    <t xml:space="preserve">interbank 29-Jun-26</t>
  </si>
  <si>
    <t xml:space="preserve">Shares outstanding (m, net of treasury)</t>
  </si>
  <si>
    <t xml:space="preserve">issued ~116.6m</t>
  </si>
  <si>
    <t xml:space="preserve">Tax rate (effective)</t>
  </si>
  <si>
    <t xml:space="preserve">FY2025 REPORTED (USD m) — company PR 31-Mar-2026</t>
  </si>
  <si>
    <t xml:space="preserve">Revenue</t>
  </si>
  <si>
    <t xml:space="preserve">EBITDA (reported)</t>
  </si>
  <si>
    <t xml:space="preserve">EBITDA (adjusted, ex one-offs)</t>
  </si>
  <si>
    <t xml:space="preserve">ex $29m claim/arbitration</t>
  </si>
  <si>
    <t xml:space="preserve">Net income attributable</t>
  </si>
  <si>
    <t xml:space="preserve">Net income (adjusted)</t>
  </si>
  <si>
    <t xml:space="preserve">of which BESIX 50% equity income</t>
  </si>
  <si>
    <t xml:space="preserve">of which concessions net</t>
  </si>
  <si>
    <t xml:space="preserve">of which materials/equip/FM net</t>
  </si>
  <si>
    <t xml:space="preserve">D&amp;A</t>
  </si>
  <si>
    <t xml:space="preserve">est.</t>
  </si>
  <si>
    <t xml:space="preserve">Capex</t>
  </si>
  <si>
    <t xml:space="preserve">BALANCE SHEET (USD m) — est. anchored to disclosed totals</t>
  </si>
  <si>
    <t xml:space="preserve">Gross cash</t>
  </si>
  <si>
    <t xml:space="preserve">TA $5.2bn, cash end-24 $1,041m</t>
  </si>
  <si>
    <t xml:space="preserve">Gross debt</t>
  </si>
  <si>
    <t xml:space="preserve">D/E ~0.6x</t>
  </si>
  <si>
    <t xml:space="preserve">Usable net cash (ex client advances)</t>
  </si>
  <si>
    <t xml:space="preserve">CENTRAL SWING</t>
  </si>
  <si>
    <t xml:space="preserve">Shareholders' equity</t>
  </si>
  <si>
    <t xml:space="preserve">Backlog (consolidated)</t>
  </si>
  <si>
    <t xml:space="preserve">Backlog (pro forma incl. 50% BESIX)</t>
  </si>
  <si>
    <t xml:space="preserve">DCF INPUTS</t>
  </si>
  <si>
    <t xml:space="preserve">WACC (USD)</t>
  </si>
  <si>
    <t xml:space="preserve">Terminal growth g</t>
  </si>
  <si>
    <t xml:space="preserve">Stage-1 FCFF growth</t>
  </si>
  <si>
    <t xml:space="preserve">FCFF base year (USD m)</t>
  </si>
  <si>
    <t xml:space="preserve">NOPAT+D&amp;A−capex−ΔWC</t>
  </si>
  <si>
    <t xml:space="preserve">BESIX 50% stake value (USD m)</t>
  </si>
  <si>
    <t xml:space="preserve">~10x equity income</t>
  </si>
  <si>
    <t xml:space="preserve">SOTP MARKS (USD m)</t>
  </si>
  <si>
    <t xml:space="preserve">Core E&amp;C EBITDA (pure)</t>
  </si>
  <si>
    <t xml:space="preserve">ex concessions &amp; materials</t>
  </si>
  <si>
    <t xml:space="preserve">Core E&amp;C EV/EBITDA (x)</t>
  </si>
  <si>
    <t xml:space="preserve">Concessions platform equity</t>
  </si>
  <si>
    <t xml:space="preserve">912.5MW op +900MW signed</t>
  </si>
  <si>
    <t xml:space="preserve">Materials/equip/FM equity</t>
  </si>
  <si>
    <t xml:space="preserve">~8x net</t>
  </si>
  <si>
    <t xml:space="preserve">RELATIVE &amp; NORMALIZED</t>
  </si>
  <si>
    <t xml:space="preserve">Peer EV/EBITDA (x)</t>
  </si>
  <si>
    <t xml:space="preserve">Peer P/E (x)</t>
  </si>
  <si>
    <t xml:space="preserve">Peer EV/Sales (x)</t>
  </si>
  <si>
    <t xml:space="preserve">Normalized through-cycle net (USD m)</t>
  </si>
  <si>
    <t xml:space="preserve">Normalized justified P/E (x)</t>
  </si>
  <si>
    <t xml:space="preserve">SOTP — BULL MARKS (USD m)</t>
  </si>
  <si>
    <t xml:space="preserve">Core E&amp;C EV/EBITDA bull (x)</t>
  </si>
  <si>
    <t xml:space="preserve">Concessions equity (bull)</t>
  </si>
  <si>
    <t xml:space="preserve">project-finance premium</t>
  </si>
  <si>
    <t xml:space="preserve">BESIX 50% (bull)</t>
  </si>
  <si>
    <t xml:space="preserve">Materials/equip/FM (bull)</t>
  </si>
  <si>
    <t xml:space="preserve">Net cash (full reported, bull)</t>
  </si>
  <si>
    <t xml:space="preserve">FIVE-METHOD WEIGHTS</t>
  </si>
  <si>
    <t xml:space="preserve">FCFF DCF</t>
  </si>
  <si>
    <t xml:space="preserve">SUM-OF-THE-PARTS / RNAV (cross-check)</t>
  </si>
  <si>
    <t xml:space="preserve">Component</t>
  </si>
  <si>
    <t xml:space="preserve">USD m</t>
  </si>
  <si>
    <t xml:space="preserve">Basis</t>
  </si>
  <si>
    <t xml:space="preserve">Core E&amp;C operating EV</t>
  </si>
  <si>
    <t xml:space="preserve">EV/EBITDA</t>
  </si>
  <si>
    <t xml:space="preserve">Concessions platform (renewables/water)</t>
  </si>
  <si>
    <t xml:space="preserve">equity, growing 6x</t>
  </si>
  <si>
    <t xml:space="preserve">BESIX 50% stake</t>
  </si>
  <si>
    <t xml:space="preserve">Building materials / equipment / FM</t>
  </si>
  <si>
    <t xml:space="preserve">~8x net income</t>
  </si>
  <si>
    <t xml:space="preserve">reported less advances</t>
  </si>
  <si>
    <t xml:space="preserve">Equity value (USD m)</t>
  </si>
  <si>
    <t xml:space="preserve">Per share (USD)</t>
  </si>
  <si>
    <t xml:space="preserve">Per share (EGP)</t>
  </si>
  <si>
    <t xml:space="preserve">SOTP — BULL CASE</t>
  </si>
  <si>
    <t xml:space="preserve">Concessions (premium)</t>
  </si>
  <si>
    <t xml:space="preserve">Net cash (full reported)</t>
  </si>
  <si>
    <t xml:space="preserve">Equity value (bull)</t>
  </si>
  <si>
    <t xml:space="preserve">Per share (EGP, bull)</t>
  </si>
  <si>
    <t xml:space="preserve">SEGMENTS (FY2025, USD m / %)</t>
  </si>
  <si>
    <t xml:space="preserve">Segment</t>
  </si>
  <si>
    <t xml:space="preserve">EBITDA</t>
  </si>
  <si>
    <t xml:space="preserve">Backlog share</t>
  </si>
  <si>
    <t xml:space="preserve">MEA (Egypt+Gulf)</t>
  </si>
  <si>
    <t xml:space="preserve">54.3% Egy +11% Gulf</t>
  </si>
  <si>
    <t xml:space="preserve">USA (Weitz/Contrack)</t>
  </si>
  <si>
    <t xml:space="preserve">32.1%</t>
  </si>
  <si>
    <t xml:space="preserve">Concessions (net inc $12.7m)</t>
  </si>
  <si>
    <t xml:space="preserve">—</t>
  </si>
  <si>
    <t xml:space="preserve">renewables/water</t>
  </si>
  <si>
    <t xml:space="preserve">Materials/Equip/FM (net $25.6m)</t>
  </si>
  <si>
    <t xml:space="preserve">BESIX 50% (equity, net $24.7m)</t>
  </si>
  <si>
    <t xml:space="preserve">€6.7bn standalone</t>
  </si>
  <si>
    <t xml:space="preserve">Group revenue</t>
  </si>
  <si>
    <t xml:space="preserve">RELATIVE MULTIPLES &amp; NORMALIZED EARNINGS</t>
  </si>
  <si>
    <t xml:space="preserve">Lens</t>
  </si>
  <si>
    <t xml:space="preserve">Metric (USD m)</t>
  </si>
  <si>
    <t xml:space="preserve">Multiple</t>
  </si>
  <si>
    <t xml:space="preserve">EV/Sales</t>
  </si>
  <si>
    <t xml:space="preserve">Relative mean (EGP)</t>
  </si>
  <si>
    <t xml:space="preserve">Normalized earnings power</t>
  </si>
  <si>
    <t xml:space="preserve">Normalized net (USD m)</t>
  </si>
  <si>
    <t xml:space="preserve">Justified P/E</t>
  </si>
  <si>
    <t xml:space="preserve">CONSOLIDATED FCFF DCF — going-concern (primary lens)</t>
  </si>
  <si>
    <t xml:space="preserve">FCFF grows at stage-1 rate; Gordon terminal. BESIX stake + usable net cash added to operating EV.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</si>
  <si>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</si>
  <si>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</si>
  <si>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</si>
  <si>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</si>
  <si>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</si>
  <si>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Unlevered FCFF</t>
  </si>
  <si>
    <t xml:space="preserve">Discount factor @ WACC</t>
  </si>
  <si>
    <t xml:space="preserve">PV of FCFF</t>
  </si>
  <si>
    <t xml:space="preserve">PV of explicit FCFF</t>
  </si>
  <si>
    <t xml:space="preserve">Terminal value (Gordon)</t>
  </si>
  <si>
    <t xml:space="preserve">PV of terminal value</t>
  </si>
  <si>
    <t xml:space="preserve">Operating enterprise value</t>
  </si>
  <si>
    <t xml:space="preserve">(+) Usable net cash</t>
  </si>
  <si>
    <t xml:space="preserve">(+) BESIX 50% stake</t>
  </si>
  <si>
    <t xml:space="preserve">CONSOLIDATED INCOME STATEMENT (USD m)</t>
  </si>
  <si>
    <t xml:space="preserve">2023a</t>
  </si>
  <si>
    <t xml:space="preserve">2024a</t>
  </si>
  <si>
    <t xml:space="preserve">2025a</t>
  </si>
  <si>
    <t xml:space="preserve">MEA revenue</t>
  </si>
  <si>
    <t xml:space="preserve">USA revenue</t>
  </si>
  <si>
    <t xml:space="preserve">Total revenue</t>
  </si>
  <si>
    <t xml:space="preserve">growth YoY</t>
  </si>
  <si>
    <t xml:space="preserve">-5%</t>
  </si>
  <si>
    <t xml:space="preserve">+55%</t>
  </si>
  <si>
    <t xml:space="preserve">+10%</t>
  </si>
  <si>
    <t xml:space="preserve">+9%</t>
  </si>
  <si>
    <t xml:space="preserve">+7%</t>
  </si>
  <si>
    <t xml:space="preserve">+6%</t>
  </si>
  <si>
    <t xml:space="preserve">Operating expenses</t>
  </si>
  <si>
    <t xml:space="preserve">EBITDA margin</t>
  </si>
  <si>
    <t xml:space="preserve">5.5%</t>
  </si>
  <si>
    <t xml:space="preserve">4.7%</t>
  </si>
  <si>
    <t xml:space="preserve">6.0%</t>
  </si>
  <si>
    <t xml:space="preserve">5.9%</t>
  </si>
  <si>
    <t xml:space="preserve">(−) D&amp;A</t>
  </si>
  <si>
    <t xml:space="preserve">Operating profit (EBIT)</t>
  </si>
  <si>
    <t xml:space="preserve">Net finance, FX &amp; associates</t>
  </si>
  <si>
    <t xml:space="preserve">Pre-tax profit</t>
  </si>
  <si>
    <t xml:space="preserve">Tax &amp; minorities</t>
  </si>
  <si>
    <t xml:space="preserve">Net income (attrib.)</t>
  </si>
  <si>
    <t xml:space="preserve">net margin</t>
  </si>
  <si>
    <t xml:space="preserve">4.6%</t>
  </si>
  <si>
    <t xml:space="preserve">3.6%</t>
  </si>
  <si>
    <t xml:space="preserve">3.9%</t>
  </si>
  <si>
    <t xml:space="preserve">3.8%</t>
  </si>
  <si>
    <t xml:space="preserve">of which one-offs</t>
  </si>
  <si>
    <t xml:space="preserve">Adjusted net income</t>
  </si>
  <si>
    <t xml:space="preserve">EPS (USD)</t>
  </si>
  <si>
    <t xml:space="preserve">CONSOLIDATED BALANCE SHEET (USD m)</t>
  </si>
  <si>
    <t xml:space="preserve">Cash &amp; equivalents</t>
  </si>
  <si>
    <t xml:space="preserve">Trade &amp; other receivables</t>
  </si>
  <si>
    <t xml:space="preserve">Contract work in progress</t>
  </si>
  <si>
    <t xml:space="preserve">Inventories</t>
  </si>
  <si>
    <t xml:space="preserve">Total current assets</t>
  </si>
  <si>
    <t xml:space="preserve">Property, plant &amp; equipment</t>
  </si>
  <si>
    <t xml:space="preserve">Concessions &amp; infra assets</t>
  </si>
  <si>
    <t xml:space="preserve">Investments (BESIX &amp; assoc.)</t>
  </si>
  <si>
    <t xml:space="preserve">Goodwill &amp; other non-current</t>
  </si>
  <si>
    <t xml:space="preserve">Total non-current assets</t>
  </si>
  <si>
    <t xml:space="preserve">Total assets</t>
  </si>
  <si>
    <t xml:space="preserve">Trade &amp; other payables</t>
  </si>
  <si>
    <t xml:space="preserve">Borrowings (current)</t>
  </si>
  <si>
    <t xml:space="preserve">Advances &amp; billing in excess</t>
  </si>
  <si>
    <t xml:space="preserve">Total current liabilities</t>
  </si>
  <si>
    <t xml:space="preserve">Borrowings (non-current)</t>
  </si>
  <si>
    <t xml:space="preserve">Other non-current liabilities</t>
  </si>
  <si>
    <t xml:space="preserve">Total liabilities</t>
  </si>
  <si>
    <t xml:space="preserve">Equity attributable to owners</t>
  </si>
  <si>
    <t xml:space="preserve">Non-controlling interests</t>
  </si>
  <si>
    <t xml:space="preserve">Total equity</t>
  </si>
  <si>
    <t xml:space="preserve">Total equity &amp; liabilities</t>
  </si>
  <si>
    <t xml:space="preserve">BVPS — attributable (USD)</t>
  </si>
  <si>
    <t xml:space="preserve">Net cash (cash − borrowings)</t>
  </si>
  <si>
    <t xml:space="preserve">CONSOLIDATED CASH FLOW (USD m)</t>
  </si>
  <si>
    <t xml:space="preserve">Operating cash flow</t>
  </si>
  <si>
    <t xml:space="preserve">Investing cash flow</t>
  </si>
  <si>
    <t xml:space="preserve">Financing cash flow</t>
  </si>
  <si>
    <t xml:space="preserve">Net change in cash</t>
  </si>
  <si>
    <t xml:space="preserve">SUMMARY FINANCIALS (links to statement sheets)</t>
  </si>
  <si>
    <t xml:space="preserve">Equity attributable</t>
  </si>
  <si>
    <t xml:space="preserve">MONTE CARLO — 16-FACTOR MODEL (50,000 paths, seed 42)</t>
  </si>
  <si>
    <t xml:space="preserve">7 continuous factors compound daily; 9 discrete events arrive with probability. Paths diffuse from spot;</t>
  </si>
  <si>
    <t xml:space="preserve">the §1 fundamental value gap is deliberately kept OUT of the drift (lens independence).</t>
  </si>
  <si>
    <t xml:space="preserve">CORE INPUTS</t>
  </si>
  <si>
    <t xml:space="preserve">Anchor price (EGP)</t>
  </si>
  <si>
    <t xml:space="preserve">Horizon T+20 (sessions)</t>
  </si>
  <si>
    <t xml:space="preserve">Horizon T+60 (sessions)</t>
  </si>
  <si>
    <t xml:space="preserve">Trailing-252 annualized vol</t>
  </si>
  <si>
    <t xml:space="preserve">Calibration KVOL</t>
  </si>
  <si>
    <t xml:space="preserve">Idiosyncratic diffusion (ann)</t>
  </si>
  <si>
    <t xml:space="preserve">Net 3M factor drift</t>
  </si>
  <si>
    <t xml:space="preserve">SMA50 (EGP)</t>
  </si>
  <si>
    <t xml:space="preserve">52-week low (EGP)</t>
  </si>
  <si>
    <t xml:space="preserve">52-week high (EGP)</t>
  </si>
  <si>
    <t xml:space="preserve">SEVEN CONTINUOUS FACTORS</t>
  </si>
  <si>
    <t xml:space="preserve">Factor</t>
  </si>
  <si>
    <t xml:space="preserve">3M drift</t>
  </si>
  <si>
    <t xml:space="preserve">3M vol</t>
  </si>
  <si>
    <t xml:space="preserve">Channel</t>
  </si>
  <si>
    <t xml:space="preserve">US infrastructure / data-center capex cycle</t>
  </si>
  <si>
    <t xml:space="preserve">Weitz; 32% of backlog, fastest-growing leg</t>
  </si>
  <si>
    <t xml:space="preserve">Egypt/MENA FX-funded infra execution</t>
  </si>
  <si>
    <t xml:space="preserve">54% of backlog; IFI-funded, USD-denominated</t>
  </si>
  <si>
    <t xml:space="preserve">EGP/USD translation &amp; EGX cross-listing premium</t>
  </si>
  <si>
    <t xml:space="preserve">USD reporting; EGP-line premium dynamics</t>
  </si>
  <si>
    <t xml:space="preserve">EGX30 / foreign flows &amp; EGP-hedge bid</t>
  </si>
  <si>
    <t xml:space="preserve">market beta + trapped-EGP bid for USD assets</t>
  </si>
  <si>
    <t xml:space="preserve">Input cost (steel/cement/labour) &amp; margin</t>
  </si>
  <si>
    <t xml:space="preserve">contractor gross-margin channel</t>
  </si>
  <si>
    <t xml:space="preserve">Gulf infra-capex &amp; oil-linked liquidity</t>
  </si>
  <si>
    <t xml:space="preserve">KSA/UAE pipeline (Qurayyah, Project Wave)</t>
  </si>
  <si>
    <t xml:space="preserve">Interest-rate / working-capital funding cost</t>
  </si>
  <si>
    <t xml:space="preserve">CBE/USD rates; long-cycle WC funding</t>
  </si>
  <si>
    <t xml:space="preserve">NINE DISCRETE EVENTS</t>
  </si>
  <si>
    <t xml:space="preserve">Event</t>
  </si>
  <si>
    <t xml:space="preserve">Prob</t>
  </si>
  <si>
    <t xml:space="preserve">Impact μ</t>
  </si>
  <si>
    <t xml:space="preserve">Impact σ</t>
  </si>
  <si>
    <t xml:space="preserve">OCI Global combination outcome</t>
  </si>
  <si>
    <t xml:space="preserve">pivotal, two-sided: terms / completion / collapse</t>
  </si>
  <si>
    <t xml:space="preserve">Major contract award (US DC / KSA power / rail)</t>
  </si>
  <si>
    <t xml:space="preserve">per named mega-tender</t>
  </si>
  <si>
    <t xml:space="preserve">Geopolitical / regional security shock</t>
  </si>
  <si>
    <t xml:space="preserve">MENA risk premium</t>
  </si>
  <si>
    <t xml:space="preserve">Quarterly earnings / backlog-burn surprise</t>
  </si>
  <si>
    <t xml:space="preserve">two-sided print</t>
  </si>
  <si>
    <t xml:space="preserve">EGP devaluation step / FX-regime move</t>
  </si>
  <si>
    <t xml:space="preserve">lifts EGP value of USD-linked equity</t>
  </si>
  <si>
    <t xml:space="preserve">Public-sector receivables / cash-conversion</t>
  </si>
  <si>
    <t xml:space="preserve">Egypt arrears; advances unwind</t>
  </si>
  <si>
    <t xml:space="preserve">Concessions BOO milestone / monetization</t>
  </si>
  <si>
    <t xml:space="preserve">renewables platform crystallization</t>
  </si>
  <si>
    <t xml:space="preserve">Claim / arbitration settlement</t>
  </si>
  <si>
    <t xml:space="preserve">legacy claims (cf. $29m FY25 gain)</t>
  </si>
  <si>
    <t xml:space="preserve">Dividend / capital-return surprise</t>
  </si>
  <si>
    <t xml:space="preserve">payout growth (3.2% yield)</t>
  </si>
  <si>
    <t xml:space="preserve">PERCENTILE TABLE (EGP)</t>
  </si>
  <si>
    <t xml:space="preserve">Horizon</t>
  </si>
  <si>
    <t xml:space="preserve">5%</t>
  </si>
  <si>
    <t xml:space="preserve">25%</t>
  </si>
  <si>
    <t xml:space="preserve">Median</t>
  </si>
  <si>
    <t xml:space="preserve">75%</t>
  </si>
  <si>
    <t xml:space="preserve">95%</t>
  </si>
  <si>
    <t xml:space="preserve">T+20</t>
  </si>
  <si>
    <t xml:space="preserve">T+60</t>
  </si>
  <si>
    <t xml:space="preserve">DCF SENSITIVITY — per-share EGP (WACC × terminal g)</t>
  </si>
  <si>
    <t xml:space="preserve">WACC \ g</t>
  </si>
  <si>
    <t xml:space="preserve">PER-SHARE &amp; RATIOS</t>
  </si>
  <si>
    <t xml:space="preserve">Spot (USD)</t>
  </si>
  <si>
    <t xml:space="preserve">Market cap (USD m)</t>
  </si>
  <si>
    <t xml:space="preserve">EPS (USD, reported)</t>
  </si>
  <si>
    <t xml:space="preserve">P/E (adjusted)</t>
  </si>
  <si>
    <t xml:space="preserve">EV (USD m, usable net cash)</t>
  </si>
  <si>
    <t xml:space="preserve">EV/EBITDA (adjusted)</t>
  </si>
  <si>
    <t xml:space="preserve">EV/Revenue</t>
  </si>
  <si>
    <t xml:space="preserve">Dividend/share (USD)</t>
  </si>
  <si>
    <t xml:space="preserve">Dividend yield</t>
  </si>
  <si>
    <t xml:space="preserve">Backlog / market cap (x)</t>
  </si>
  <si>
    <t xml:space="preserve">Net cash / market cap</t>
  </si>
  <si>
    <t xml:space="preserve">PEER SET &amp; SECTOR (indicative)</t>
  </si>
  <si>
    <t xml:space="preserve">Peer</t>
  </si>
  <si>
    <t xml:space="preserve">Market</t>
  </si>
  <si>
    <t xml:space="preserve">P/E</t>
  </si>
  <si>
    <t xml:space="preserve">WeBuild (Salini)</t>
  </si>
  <si>
    <t xml:space="preserve">Italy</t>
  </si>
  <si>
    <t xml:space="preserve">~4-5x</t>
  </si>
  <si>
    <t xml:space="preserve">~10-12x</t>
  </si>
  <si>
    <t xml:space="preserve">Vinci</t>
  </si>
  <si>
    <t xml:space="preserve">France</t>
  </si>
  <si>
    <t xml:space="preserve">~7-8x</t>
  </si>
  <si>
    <t xml:space="preserve">~13-15x</t>
  </si>
  <si>
    <t xml:space="preserve">ACS / Hochtief</t>
  </si>
  <si>
    <t xml:space="preserve">Spain</t>
  </si>
  <si>
    <t xml:space="preserve">~5-6x</t>
  </si>
  <si>
    <t xml:space="preserve">~11-13x</t>
  </si>
  <si>
    <t xml:space="preserve">Hyundai E&amp;C</t>
  </si>
  <si>
    <t xml:space="preserve">Korea</t>
  </si>
  <si>
    <t xml:space="preserve">~9-11x</t>
  </si>
  <si>
    <t xml:space="preserve">Samsung C&amp;T</t>
  </si>
  <si>
    <t xml:space="preserve">~6-7x</t>
  </si>
  <si>
    <t xml:space="preserve">~12-14x</t>
  </si>
  <si>
    <t xml:space="preserve">Arabian Contracting</t>
  </si>
  <si>
    <t xml:space="preserve">KSA</t>
  </si>
  <si>
    <t xml:space="preserve">~7-9x</t>
  </si>
  <si>
    <t xml:space="preserve">~14-18x</t>
  </si>
  <si>
    <t xml:space="preserve">Elsewedy Electric</t>
  </si>
  <si>
    <t xml:space="preserve">Egypt</t>
  </si>
  <si>
    <t xml:space="preserve">~6-8x</t>
  </si>
  <si>
    <t xml:space="preserve">ORAS (this study)</t>
  </si>
  <si>
    <t xml:space="preserve">Egypt/UAE</t>
  </si>
  <si>
    <t xml:space="preserve">~4x</t>
  </si>
  <si>
    <t xml:space="preserve">~8.3x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</si>
</sst>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0%"/>
    <numFmt numFmtId="167" formatCode="0.0\x"/>
    <numFmt numFmtId="168" formatCode="0.0"/>
    <numFmt numFmtId="169" formatCode="#,##0.0"/>
    <numFmt numFmtId="170" formatCode="0.0%"/>
    <numFmt numFmtId="171" formatCode="0.00\x"/>
    <numFmt numFmtId="172" formatCode="#,##0.00"/>
    <numFmt numFmtId="173" formatCode="0.000"/>
    <numFmt numFmtId="174" formatCode="#,##0;\(#,##0\);\-"/>
    <numFmt numFmtId="175" formatCode="#,##0.0##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B5E5E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9"/>
      <color rgb="FF777777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1"/>
      <color rgb="FF555555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5E5E"/>
        <bgColor rgb="FF008080"/>
      </patternFill>
    </fill>
    <fill>
      <patternFill patternType="solid">
        <fgColor rgb="FFDDEBE9"/>
        <bgColor rgb="FFD9E2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2E2"/>
      </left>
      <right style="thin">
        <color rgb="FFD9E2E2"/>
      </right>
      <top style="thin">
        <color rgb="FFD9E2E2"/>
      </top>
      <bottom style="thin">
        <color rgb="FFD9E2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5E5E"/>
      <rgbColor rgb="FFC0C0C0"/>
      <rgbColor rgb="FF777777"/>
      <rgbColor rgb="FF9999FF"/>
      <rgbColor rgb="FF993366"/>
      <rgbColor rgb="FFFFFFCC"/>
      <rgbColor rgb="FFDDEBE9"/>
      <rgbColor rgb="FF660066"/>
      <rgbColor rgb="FFFF8080"/>
      <rgbColor rgb="FF0066CC"/>
      <rgbColor rgb="FFD9E2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" t="s">
        <v>0</v>
      </c>
    </row>
    <row r="4" customFormat="false" ht="15" hidden="false" customHeight="false" outlineLevel="0" collapsed="false">
      <c r="A4" s="0" t="s">
        <v>1</v>
      </c>
    </row>
    <row r="6" customFormat="false" ht="15" hidden="false" customHeight="false" outlineLevel="0" collapsed="false">
      <c r="A6" s="0" t="s">
        <v>2</v>
      </c>
    </row>
    <row r="7" customFormat="false" ht="15" hidden="false" customHeight="false" outlineLevel="0" collapsed="false">
      <c r="A7" s="0" t="s">
        <v>3</v>
      </c>
    </row>
    <row r="9" customFormat="false" ht="15" hidden="false" customHeight="false" outlineLevel="0" collapsed="false">
      <c r="A9" s="0" t="s">
        <v>4</v>
      </c>
    </row>
    <row r="10" customFormat="false" ht="15" hidden="false" customHeight="false" outlineLevel="0" collapsed="false">
      <c r="A10" s="0" t="s">
        <v>5</v>
      </c>
    </row>
    <row r="12" customFormat="false" ht="15" hidden="false" customHeight="false" outlineLevel="0" collapsed="false">
      <c r="A12" s="0" t="s">
        <v>6</v>
      </c>
    </row>
    <row r="13" customFormat="false" ht="15" hidden="false" customHeight="false" outlineLevel="0" collapsed="false">
      <c r="A13" s="0" t="s">
        <v>7</v>
      </c>
    </row>
    <row r="14" customFormat="false" ht="15" hidden="false" customHeight="false" outlineLevel="0" collapsed="false">
      <c r="A14" s="0" t="s">
        <v>8</v>
      </c>
    </row>
    <row r="16" customFormat="false" ht="15" hidden="false" customHeight="false" outlineLevel="0" collapsed="false">
      <c r="A16" s="0" t="s">
        <v>9</v>
      </c>
    </row>
    <row r="18" customFormat="false" ht="15" hidden="false" customHeight="false" outlineLevel="0" collapsed="false">
      <c r="A18" s="0" t="s">
        <v>10</v>
      </c>
    </row>
    <row r="19" customFormat="false" ht="15" hidden="false" customHeight="false" outlineLevel="0" collapsed="false">
      <c r="A19" s="0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16.15" hidden="false" customHeight="false" outlineLevel="0" collapsed="false">
      <c r="A1" s="1" t="s">
        <v>12</v>
      </c>
    </row>
    <row r="3" customFormat="false" ht="15" hidden="false" customHeight="false" outlineLevel="0" collapsed="false">
      <c r="A3" s="2" t="s">
        <v>13</v>
      </c>
      <c r="B3" s="2" t="s">
        <v>14</v>
      </c>
      <c r="C3" s="2" t="s">
        <v>15</v>
      </c>
    </row>
    <row r="4" customFormat="false" ht="15" hidden="false" customHeight="false" outlineLevel="0" collapsed="false">
      <c r="A4" s="0" t="s">
        <v>16</v>
      </c>
      <c r="B4" s="3" t="n">
        <f aca="false">Assumptions!$B$5</f>
        <v>720</v>
      </c>
      <c r="C4" s="4" t="s">
        <v>17</v>
      </c>
    </row>
    <row r="5" customFormat="false" ht="15" hidden="false" customHeight="false" outlineLevel="0" collapsed="false">
      <c r="A5" s="0" t="s">
        <v>18</v>
      </c>
      <c r="B5" s="3" t="n">
        <f aca="false">'Fundamental Valuation'!B9</f>
        <v>927.634926971971</v>
      </c>
      <c r="C5" s="4" t="s">
        <v>19</v>
      </c>
    </row>
    <row r="6" customFormat="false" ht="15" hidden="false" customHeight="false" outlineLevel="0" collapsed="false">
      <c r="A6" s="0" t="s">
        <v>20</v>
      </c>
      <c r="B6" s="5" t="n">
        <f aca="false">'Fundamental Valuation'!B9/Assumptions!$B$5-1</f>
        <v>0.288381843016627</v>
      </c>
      <c r="C6" s="4"/>
    </row>
    <row r="7" customFormat="false" ht="15" hidden="false" customHeight="false" outlineLevel="0" collapsed="false">
      <c r="A7" s="0" t="s">
        <v>21</v>
      </c>
      <c r="B7" s="3" t="n">
        <f aca="false">DCF!B18</f>
        <v>1005.94576233434</v>
      </c>
      <c r="C7" s="4" t="s">
        <v>22</v>
      </c>
    </row>
    <row r="8" customFormat="false" ht="15" hidden="false" customHeight="false" outlineLevel="0" collapsed="false">
      <c r="A8" s="0" t="s">
        <v>23</v>
      </c>
      <c r="B8" s="3" t="n">
        <f aca="false">SOTP!B11</f>
        <v>1030.34264972777</v>
      </c>
      <c r="C8" s="4" t="s">
        <v>24</v>
      </c>
    </row>
    <row r="9" customFormat="false" ht="15" hidden="false" customHeight="false" outlineLevel="0" collapsed="false">
      <c r="A9" s="0" t="s">
        <v>25</v>
      </c>
      <c r="B9" s="3" t="n">
        <f aca="false">'Relative &amp; Normalized'!D7</f>
        <v>897.897023593467</v>
      </c>
      <c r="C9" s="4"/>
    </row>
    <row r="10" customFormat="false" ht="15" hidden="false" customHeight="false" outlineLevel="0" collapsed="false">
      <c r="A10" s="0" t="s">
        <v>26</v>
      </c>
      <c r="B10" s="3" t="n">
        <f aca="false">'Relative &amp; Normalized'!D12</f>
        <v>740.232304900182</v>
      </c>
      <c r="C10" s="4" t="s">
        <v>27</v>
      </c>
    </row>
    <row r="11" customFormat="false" ht="15" hidden="false" customHeight="false" outlineLevel="0" collapsed="false">
      <c r="A11" s="0" t="s">
        <v>28</v>
      </c>
      <c r="B11" s="6" t="n">
        <f aca="false">(Assumptions!$B$5/Assumptions!$B$6*Assumptions!$B$7)/Assumptions!$B$14</f>
        <v>8.27865978865127</v>
      </c>
      <c r="C11" s="4"/>
    </row>
    <row r="12" customFormat="false" ht="15" hidden="false" customHeight="false" outlineLevel="0" collapsed="false">
      <c r="A12" s="0" t="s">
        <v>29</v>
      </c>
      <c r="B12" s="6" t="n">
        <f aca="false">(Assumptions!$B$5/Assumptions!$B$6*Assumptions!$B$7-Assumptions!$B$25)/Assumptions!$B$13</f>
        <v>4.3937787203959</v>
      </c>
      <c r="C12" s="4"/>
    </row>
    <row r="13" customFormat="false" ht="15" hidden="false" customHeight="false" outlineLevel="0" collapsed="false">
      <c r="A13" s="0" t="s">
        <v>30</v>
      </c>
      <c r="B13" s="3" t="n">
        <v>714</v>
      </c>
      <c r="C13" s="4" t="s">
        <v>31</v>
      </c>
    </row>
    <row r="14" customFormat="false" ht="15" hidden="false" customHeight="false" outlineLevel="0" collapsed="false">
      <c r="A14" s="0" t="s">
        <v>32</v>
      </c>
      <c r="B14" s="5" t="s">
        <v>33</v>
      </c>
      <c r="C14" s="4" t="s">
        <v>34</v>
      </c>
    </row>
    <row r="15" customFormat="false" ht="15" hidden="false" customHeight="false" outlineLevel="0" collapsed="false">
      <c r="A15" s="0" t="s">
        <v>35</v>
      </c>
      <c r="B15" s="7" t="n">
        <f aca="false">Assumptions!$B$27/1000</f>
        <v>9.0254</v>
      </c>
      <c r="C15" s="4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5" min="3" style="0" width="12"/>
  </cols>
  <sheetData>
    <row r="1" customFormat="false" ht="16.15" hidden="false" customHeight="false" outlineLevel="0" collapsed="false">
      <c r="A1" s="1" t="s">
        <v>37</v>
      </c>
    </row>
    <row r="3" customFormat="false" ht="15" hidden="false" customHeight="false" outlineLevel="0" collapsed="false">
      <c r="A3" s="8" t="s">
        <v>38</v>
      </c>
      <c r="B3" s="8" t="s">
        <v>39</v>
      </c>
      <c r="C3" s="8" t="s">
        <v>40</v>
      </c>
      <c r="D3" s="8" t="s">
        <v>41</v>
      </c>
      <c r="E3" s="8" t="s">
        <v>42</v>
      </c>
    </row>
    <row r="4" customFormat="false" ht="15" hidden="false" customHeight="false" outlineLevel="0" collapsed="false">
      <c r="A4" s="0" t="s">
        <v>43</v>
      </c>
      <c r="B4" s="9" t="n">
        <f aca="false">DCF!B18</f>
        <v>1005.94576233434</v>
      </c>
      <c r="C4" s="5" t="n">
        <f aca="false">B4/Assumptions!$B$5-1</f>
        <v>0.397146892131035</v>
      </c>
      <c r="D4" s="5" t="n">
        <f aca="false">Assumptions!$B$58</f>
        <v>0.25</v>
      </c>
      <c r="E4" s="3" t="n">
        <f aca="false">B4*D4</f>
        <v>251.486440583586</v>
      </c>
    </row>
    <row r="5" customFormat="false" ht="15" hidden="false" customHeight="false" outlineLevel="0" collapsed="false">
      <c r="A5" s="0" t="s">
        <v>44</v>
      </c>
      <c r="B5" s="9" t="n">
        <f aca="false">SOTP!B11</f>
        <v>1030.34264972777</v>
      </c>
      <c r="C5" s="5" t="n">
        <f aca="false">B5/Assumptions!$B$5-1</f>
        <v>0.431031457955233</v>
      </c>
      <c r="D5" s="5" t="n">
        <f aca="false">Assumptions!$B$59</f>
        <v>0.18</v>
      </c>
      <c r="E5" s="3" t="n">
        <f aca="false">B5*D5</f>
        <v>185.461676950998</v>
      </c>
    </row>
    <row r="6" customFormat="false" ht="15" hidden="false" customHeight="false" outlineLevel="0" collapsed="false">
      <c r="A6" s="0" t="s">
        <v>45</v>
      </c>
      <c r="B6" s="9" t="n">
        <f aca="false">SOTP!B21</f>
        <v>1271.96733212341</v>
      </c>
      <c r="C6" s="5" t="n">
        <f aca="false">B6/Assumptions!$B$5-1</f>
        <v>0.76662129461585</v>
      </c>
      <c r="D6" s="5" t="n">
        <f aca="false">Assumptions!$B$60</f>
        <v>0.07</v>
      </c>
      <c r="E6" s="3" t="n">
        <f aca="false">B6*D6</f>
        <v>89.0377132486389</v>
      </c>
    </row>
    <row r="7" customFormat="false" ht="15" hidden="false" customHeight="false" outlineLevel="0" collapsed="false">
      <c r="A7" s="0" t="s">
        <v>46</v>
      </c>
      <c r="B7" s="9" t="n">
        <f aca="false">'Relative &amp; Normalized'!D7</f>
        <v>897.897023593467</v>
      </c>
      <c r="C7" s="5" t="n">
        <f aca="false">B7/Assumptions!$B$5-1</f>
        <v>0.24707919943537</v>
      </c>
      <c r="D7" s="5" t="n">
        <f aca="false">Assumptions!$B$61</f>
        <v>0.2</v>
      </c>
      <c r="E7" s="3" t="n">
        <f aca="false">B7*D7</f>
        <v>179.579404718693</v>
      </c>
    </row>
    <row r="8" customFormat="false" ht="15" hidden="false" customHeight="false" outlineLevel="0" collapsed="false">
      <c r="A8" s="0" t="s">
        <v>47</v>
      </c>
      <c r="B8" s="9" t="n">
        <f aca="false">'Relative &amp; Normalized'!D12</f>
        <v>740.232304900182</v>
      </c>
      <c r="C8" s="5" t="n">
        <f aca="false">B8/Assumptions!$B$5-1</f>
        <v>0.0281004234724744</v>
      </c>
      <c r="D8" s="5" t="n">
        <f aca="false">Assumptions!$B$62</f>
        <v>0.3</v>
      </c>
      <c r="E8" s="3" t="n">
        <f aca="false">B8*D8</f>
        <v>222.069691470054</v>
      </c>
    </row>
    <row r="9" customFormat="false" ht="15" hidden="false" customHeight="false" outlineLevel="0" collapsed="false">
      <c r="A9" s="10" t="s">
        <v>48</v>
      </c>
      <c r="B9" s="11" t="n">
        <f aca="false">SUM(E4:E8)/SUM(D4:D8)</f>
        <v>927.634926971971</v>
      </c>
    </row>
    <row r="10" customFormat="false" ht="15" hidden="false" customHeight="false" outlineLevel="0" collapsed="false">
      <c r="A10" s="0" t="s">
        <v>49</v>
      </c>
      <c r="B10" s="3" t="n">
        <f aca="false">Assumptions!$B$5</f>
        <v>720</v>
      </c>
    </row>
    <row r="11" customFormat="false" ht="15" hidden="false" customHeight="false" outlineLevel="0" collapsed="false">
      <c r="A11" s="10" t="s">
        <v>20</v>
      </c>
      <c r="B11" s="12" t="n">
        <f aca="false">'Fundamental Valuation'!B9/Assumptions!$B$5-1</f>
        <v>0.288381843016627</v>
      </c>
    </row>
    <row r="13" customFormat="false" ht="15" hidden="false" customHeight="false" outlineLevel="0" collapsed="false">
      <c r="A13" s="0" t="s">
        <v>50</v>
      </c>
      <c r="B13" s="3" t="n">
        <f aca="false">MIN(B4:B8)</f>
        <v>740.232304900182</v>
      </c>
    </row>
    <row r="14" customFormat="false" ht="15" hidden="false" customHeight="false" outlineLevel="0" collapsed="false">
      <c r="A14" s="0" t="s">
        <v>51</v>
      </c>
      <c r="B14" s="3" t="n">
        <f aca="false">MAX(B4:B8)</f>
        <v>1271.96733212341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4"/>
  </cols>
  <sheetData>
    <row r="1" customFormat="false" ht="16.15" hidden="false" customHeight="false" outlineLevel="0" collapsed="false">
      <c r="A1" s="1" t="s">
        <v>52</v>
      </c>
    </row>
    <row r="2" customFormat="false" ht="15" hidden="false" customHeight="false" outlineLevel="0" collapsed="false">
      <c r="A2" s="13" t="s">
        <v>53</v>
      </c>
    </row>
    <row r="4" customFormat="false" ht="15" hidden="false" customHeight="false" outlineLevel="0" collapsed="false">
      <c r="A4" s="14" t="s">
        <v>54</v>
      </c>
    </row>
    <row r="5" customFormat="false" ht="15" hidden="false" customHeight="false" outlineLevel="0" collapsed="false">
      <c r="A5" s="0" t="s">
        <v>55</v>
      </c>
      <c r="B5" s="15" t="n">
        <v>720</v>
      </c>
      <c r="D5" s="4" t="s">
        <v>56</v>
      </c>
    </row>
    <row r="6" customFormat="false" ht="15" hidden="false" customHeight="false" outlineLevel="0" collapsed="false">
      <c r="A6" s="0" t="s">
        <v>57</v>
      </c>
      <c r="B6" s="16" t="n">
        <v>49.2</v>
      </c>
      <c r="D6" s="4" t="s">
        <v>58</v>
      </c>
    </row>
    <row r="7" customFormat="false" ht="15" hidden="false" customHeight="false" outlineLevel="0" collapsed="false">
      <c r="A7" s="0" t="s">
        <v>59</v>
      </c>
      <c r="B7" s="16" t="n">
        <v>110.2</v>
      </c>
      <c r="D7" s="4" t="s">
        <v>60</v>
      </c>
    </row>
    <row r="8" customFormat="false" ht="15" hidden="false" customHeight="false" outlineLevel="0" collapsed="false">
      <c r="A8" s="0" t="s">
        <v>61</v>
      </c>
      <c r="B8" s="17" t="n">
        <v>0.22</v>
      </c>
    </row>
    <row r="10" customFormat="false" ht="15" hidden="false" customHeight="false" outlineLevel="0" collapsed="false">
      <c r="A10" s="14" t="s">
        <v>62</v>
      </c>
    </row>
    <row r="11" customFormat="false" ht="15" hidden="false" customHeight="false" outlineLevel="0" collapsed="false">
      <c r="A11" s="0" t="s">
        <v>63</v>
      </c>
      <c r="B11" s="15" t="n">
        <v>5049.8</v>
      </c>
    </row>
    <row r="12" customFormat="false" ht="15" hidden="false" customHeight="false" outlineLevel="0" collapsed="false">
      <c r="A12" s="0" t="s">
        <v>64</v>
      </c>
      <c r="B12" s="15" t="n">
        <v>305</v>
      </c>
    </row>
    <row r="13" customFormat="false" ht="15" hidden="false" customHeight="false" outlineLevel="0" collapsed="false">
      <c r="A13" s="0" t="s">
        <v>65</v>
      </c>
      <c r="B13" s="15" t="n">
        <v>276</v>
      </c>
      <c r="D13" s="4" t="s">
        <v>66</v>
      </c>
    </row>
    <row r="14" customFormat="false" ht="15" hidden="false" customHeight="false" outlineLevel="0" collapsed="false">
      <c r="A14" s="0" t="s">
        <v>67</v>
      </c>
      <c r="B14" s="15" t="n">
        <v>194.8</v>
      </c>
    </row>
    <row r="15" customFormat="false" ht="15" hidden="false" customHeight="false" outlineLevel="0" collapsed="false">
      <c r="A15" s="0" t="s">
        <v>68</v>
      </c>
      <c r="B15" s="15" t="n">
        <v>165.8</v>
      </c>
    </row>
    <row r="16" customFormat="false" ht="15" hidden="false" customHeight="false" outlineLevel="0" collapsed="false">
      <c r="A16" s="0" t="s">
        <v>69</v>
      </c>
      <c r="B16" s="15" t="n">
        <v>24.7</v>
      </c>
    </row>
    <row r="17" customFormat="false" ht="15" hidden="false" customHeight="false" outlineLevel="0" collapsed="false">
      <c r="A17" s="0" t="s">
        <v>70</v>
      </c>
      <c r="B17" s="15" t="n">
        <v>12.7</v>
      </c>
    </row>
    <row r="18" customFormat="false" ht="15" hidden="false" customHeight="false" outlineLevel="0" collapsed="false">
      <c r="A18" s="0" t="s">
        <v>71</v>
      </c>
      <c r="B18" s="15" t="n">
        <v>25.6</v>
      </c>
    </row>
    <row r="19" customFormat="false" ht="15" hidden="false" customHeight="false" outlineLevel="0" collapsed="false">
      <c r="A19" s="0" t="s">
        <v>72</v>
      </c>
      <c r="B19" s="15" t="n">
        <v>45</v>
      </c>
      <c r="D19" s="4" t="s">
        <v>73</v>
      </c>
    </row>
    <row r="20" customFormat="false" ht="15" hidden="false" customHeight="false" outlineLevel="0" collapsed="false">
      <c r="A20" s="0" t="s">
        <v>74</v>
      </c>
      <c r="B20" s="15" t="n">
        <v>80</v>
      </c>
      <c r="D20" s="4" t="s">
        <v>73</v>
      </c>
    </row>
    <row r="22" customFormat="false" ht="15" hidden="false" customHeight="false" outlineLevel="0" collapsed="false">
      <c r="A22" s="14" t="s">
        <v>75</v>
      </c>
    </row>
    <row r="23" customFormat="false" ht="15" hidden="false" customHeight="false" outlineLevel="0" collapsed="false">
      <c r="A23" s="0" t="s">
        <v>76</v>
      </c>
      <c r="B23" s="15" t="n">
        <v>1100</v>
      </c>
      <c r="D23" s="4" t="s">
        <v>77</v>
      </c>
    </row>
    <row r="24" customFormat="false" ht="15" hidden="false" customHeight="false" outlineLevel="0" collapsed="false">
      <c r="A24" s="0" t="s">
        <v>78</v>
      </c>
      <c r="B24" s="15" t="n">
        <v>560</v>
      </c>
      <c r="D24" s="4" t="s">
        <v>79</v>
      </c>
    </row>
    <row r="25" customFormat="false" ht="15" hidden="false" customHeight="false" outlineLevel="0" collapsed="false">
      <c r="A25" s="0" t="s">
        <v>80</v>
      </c>
      <c r="B25" s="15" t="n">
        <v>400</v>
      </c>
      <c r="D25" s="4" t="s">
        <v>81</v>
      </c>
    </row>
    <row r="26" customFormat="false" ht="15" hidden="false" customHeight="false" outlineLevel="0" collapsed="false">
      <c r="A26" s="0" t="s">
        <v>82</v>
      </c>
      <c r="B26" s="15" t="n">
        <v>873.2</v>
      </c>
    </row>
    <row r="27" customFormat="false" ht="15" hidden="false" customHeight="false" outlineLevel="0" collapsed="false">
      <c r="A27" s="0" t="s">
        <v>83</v>
      </c>
      <c r="B27" s="15" t="n">
        <v>9025.4</v>
      </c>
    </row>
    <row r="28" customFormat="false" ht="15" hidden="false" customHeight="false" outlineLevel="0" collapsed="false">
      <c r="A28" s="0" t="s">
        <v>84</v>
      </c>
      <c r="B28" s="15" t="n">
        <v>12963.6</v>
      </c>
    </row>
    <row r="30" customFormat="false" ht="15" hidden="false" customHeight="false" outlineLevel="0" collapsed="false">
      <c r="A30" s="14" t="s">
        <v>85</v>
      </c>
    </row>
    <row r="31" customFormat="false" ht="15" hidden="false" customHeight="false" outlineLevel="0" collapsed="false">
      <c r="A31" s="0" t="s">
        <v>86</v>
      </c>
      <c r="B31" s="18" t="n">
        <v>0.12</v>
      </c>
    </row>
    <row r="32" customFormat="false" ht="15" hidden="false" customHeight="false" outlineLevel="0" collapsed="false">
      <c r="A32" s="0" t="s">
        <v>87</v>
      </c>
      <c r="B32" s="18" t="n">
        <v>0.035</v>
      </c>
    </row>
    <row r="33" customFormat="false" ht="15" hidden="false" customHeight="false" outlineLevel="0" collapsed="false">
      <c r="A33" s="0" t="s">
        <v>88</v>
      </c>
      <c r="B33" s="18" t="n">
        <v>0.08</v>
      </c>
    </row>
    <row r="34" customFormat="false" ht="15" hidden="false" customHeight="false" outlineLevel="0" collapsed="false">
      <c r="A34" s="0" t="s">
        <v>89</v>
      </c>
      <c r="B34" s="15" t="n">
        <v>110.18</v>
      </c>
      <c r="D34" s="4" t="s">
        <v>90</v>
      </c>
    </row>
    <row r="35" customFormat="false" ht="15" hidden="false" customHeight="false" outlineLevel="0" collapsed="false">
      <c r="A35" s="0" t="s">
        <v>91</v>
      </c>
      <c r="B35" s="15" t="n">
        <v>240</v>
      </c>
      <c r="D35" s="4" t="s">
        <v>92</v>
      </c>
    </row>
    <row r="37" customFormat="false" ht="15" hidden="false" customHeight="false" outlineLevel="0" collapsed="false">
      <c r="A37" s="14" t="s">
        <v>93</v>
      </c>
    </row>
    <row r="38" customFormat="false" ht="15" hidden="false" customHeight="false" outlineLevel="0" collapsed="false">
      <c r="A38" s="0" t="s">
        <v>94</v>
      </c>
      <c r="B38" s="15" t="n">
        <v>206</v>
      </c>
      <c r="D38" s="4" t="s">
        <v>95</v>
      </c>
    </row>
    <row r="39" customFormat="false" ht="15" hidden="false" customHeight="false" outlineLevel="0" collapsed="false">
      <c r="A39" s="0" t="s">
        <v>96</v>
      </c>
      <c r="B39" s="19" t="n">
        <v>5.5</v>
      </c>
    </row>
    <row r="40" customFormat="false" ht="15" hidden="false" customHeight="false" outlineLevel="0" collapsed="false">
      <c r="A40" s="0" t="s">
        <v>97</v>
      </c>
      <c r="B40" s="15" t="n">
        <v>330</v>
      </c>
      <c r="D40" s="4" t="s">
        <v>98</v>
      </c>
    </row>
    <row r="41" customFormat="false" ht="15" hidden="false" customHeight="false" outlineLevel="0" collapsed="false">
      <c r="A41" s="0" t="s">
        <v>99</v>
      </c>
      <c r="B41" s="15" t="n">
        <v>204.8</v>
      </c>
      <c r="D41" s="4" t="s">
        <v>100</v>
      </c>
    </row>
    <row r="43" customFormat="false" ht="15" hidden="false" customHeight="false" outlineLevel="0" collapsed="false">
      <c r="A43" s="14" t="s">
        <v>101</v>
      </c>
    </row>
    <row r="44" customFormat="false" ht="15" hidden="false" customHeight="false" outlineLevel="0" collapsed="false">
      <c r="A44" s="0" t="s">
        <v>102</v>
      </c>
      <c r="B44" s="19" t="n">
        <v>5.5</v>
      </c>
    </row>
    <row r="45" customFormat="false" ht="15" hidden="false" customHeight="false" outlineLevel="0" collapsed="false">
      <c r="A45" s="0" t="s">
        <v>103</v>
      </c>
      <c r="B45" s="19" t="n">
        <v>10</v>
      </c>
    </row>
    <row r="46" customFormat="false" ht="15" hidden="false" customHeight="false" outlineLevel="0" collapsed="false">
      <c r="A46" s="0" t="s">
        <v>104</v>
      </c>
      <c r="B46" s="20" t="n">
        <v>0.35</v>
      </c>
    </row>
    <row r="47" customFormat="false" ht="15" hidden="false" customHeight="false" outlineLevel="0" collapsed="false">
      <c r="A47" s="0" t="s">
        <v>105</v>
      </c>
      <c r="B47" s="15" t="n">
        <v>165.8</v>
      </c>
    </row>
    <row r="48" customFormat="false" ht="15" hidden="false" customHeight="false" outlineLevel="0" collapsed="false">
      <c r="A48" s="0" t="s">
        <v>106</v>
      </c>
      <c r="B48" s="19" t="n">
        <v>10</v>
      </c>
    </row>
    <row r="50" customFormat="false" ht="15" hidden="false" customHeight="false" outlineLevel="0" collapsed="false">
      <c r="A50" s="14" t="s">
        <v>107</v>
      </c>
    </row>
    <row r="51" customFormat="false" ht="15" hidden="false" customHeight="false" outlineLevel="0" collapsed="false">
      <c r="A51" s="0" t="s">
        <v>108</v>
      </c>
      <c r="B51" s="19" t="n">
        <v>6.5</v>
      </c>
    </row>
    <row r="52" customFormat="false" ht="15" hidden="false" customHeight="false" outlineLevel="0" collapsed="false">
      <c r="A52" s="0" t="s">
        <v>109</v>
      </c>
      <c r="B52" s="15" t="n">
        <v>450</v>
      </c>
      <c r="D52" s="4" t="s">
        <v>110</v>
      </c>
    </row>
    <row r="53" customFormat="false" ht="15" hidden="false" customHeight="false" outlineLevel="0" collapsed="false">
      <c r="A53" s="0" t="s">
        <v>111</v>
      </c>
      <c r="B53" s="15" t="n">
        <v>290</v>
      </c>
    </row>
    <row r="54" customFormat="false" ht="15" hidden="false" customHeight="false" outlineLevel="0" collapsed="false">
      <c r="A54" s="0" t="s">
        <v>112</v>
      </c>
      <c r="B54" s="15" t="n">
        <v>230</v>
      </c>
    </row>
    <row r="55" customFormat="false" ht="15" hidden="false" customHeight="false" outlineLevel="0" collapsed="false">
      <c r="A55" s="0" t="s">
        <v>113</v>
      </c>
      <c r="B55" s="15" t="n">
        <v>540</v>
      </c>
    </row>
    <row r="57" customFormat="false" ht="15" hidden="false" customHeight="false" outlineLevel="0" collapsed="false">
      <c r="A57" s="14" t="s">
        <v>114</v>
      </c>
    </row>
    <row r="58" customFormat="false" ht="15" hidden="false" customHeight="false" outlineLevel="0" collapsed="false">
      <c r="A58" s="0" t="s">
        <v>115</v>
      </c>
      <c r="B58" s="17" t="n">
        <v>0.25</v>
      </c>
    </row>
    <row r="59" customFormat="false" ht="15" hidden="false" customHeight="false" outlineLevel="0" collapsed="false">
      <c r="A59" s="0" t="s">
        <v>44</v>
      </c>
      <c r="B59" s="17" t="n">
        <v>0.18</v>
      </c>
    </row>
    <row r="60" customFormat="false" ht="15" hidden="false" customHeight="false" outlineLevel="0" collapsed="false">
      <c r="A60" s="0" t="s">
        <v>45</v>
      </c>
      <c r="B60" s="17" t="n">
        <v>0.07</v>
      </c>
    </row>
    <row r="61" customFormat="false" ht="15" hidden="false" customHeight="false" outlineLevel="0" collapsed="false">
      <c r="A61" s="0" t="s">
        <v>46</v>
      </c>
      <c r="B61" s="17" t="n">
        <v>0.2</v>
      </c>
    </row>
    <row r="62" customFormat="false" ht="15" hidden="false" customHeight="false" outlineLevel="0" collapsed="false">
      <c r="A62" s="0" t="s">
        <v>47</v>
      </c>
      <c r="B62" s="17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6"/>
  </cols>
  <sheetData>
    <row r="1" customFormat="false" ht="16.15" hidden="false" customHeight="false" outlineLevel="0" collapsed="false">
      <c r="A1" s="1" t="s">
        <v>116</v>
      </c>
    </row>
    <row r="3" customFormat="false" ht="15" hidden="false" customHeight="false" outlineLevel="0" collapsed="false">
      <c r="A3" s="8" t="s">
        <v>117</v>
      </c>
      <c r="B3" s="8" t="s">
        <v>118</v>
      </c>
      <c r="C3" s="8" t="s">
        <v>119</v>
      </c>
      <c r="D3" s="8"/>
    </row>
    <row r="4" customFormat="false" ht="15" hidden="false" customHeight="false" outlineLevel="0" collapsed="false">
      <c r="A4" s="0" t="s">
        <v>120</v>
      </c>
      <c r="B4" s="3" t="n">
        <f aca="false">Assumptions!$B$38*Assumptions!$B$39</f>
        <v>1133</v>
      </c>
      <c r="C4" s="21" t="s">
        <v>121</v>
      </c>
    </row>
    <row r="5" customFormat="false" ht="15" hidden="false" customHeight="false" outlineLevel="0" collapsed="false">
      <c r="A5" s="0" t="s">
        <v>122</v>
      </c>
      <c r="B5" s="3" t="n">
        <f aca="false">Assumptions!$B$40</f>
        <v>330</v>
      </c>
      <c r="C5" s="21" t="s">
        <v>123</v>
      </c>
    </row>
    <row r="6" customFormat="false" ht="15" hidden="false" customHeight="false" outlineLevel="0" collapsed="false">
      <c r="A6" s="0" t="s">
        <v>124</v>
      </c>
      <c r="B6" s="3" t="n">
        <f aca="false">Assumptions!$B$35</f>
        <v>240</v>
      </c>
      <c r="C6" s="21" t="s">
        <v>92</v>
      </c>
    </row>
    <row r="7" customFormat="false" ht="15" hidden="false" customHeight="false" outlineLevel="0" collapsed="false">
      <c r="A7" s="0" t="s">
        <v>125</v>
      </c>
      <c r="B7" s="3" t="n">
        <f aca="false">Assumptions!$B$41</f>
        <v>204.8</v>
      </c>
      <c r="C7" s="21" t="s">
        <v>126</v>
      </c>
    </row>
    <row r="8" customFormat="false" ht="15" hidden="false" customHeight="false" outlineLevel="0" collapsed="false">
      <c r="A8" s="0" t="s">
        <v>80</v>
      </c>
      <c r="B8" s="3" t="n">
        <f aca="false">Assumptions!$B$25</f>
        <v>400</v>
      </c>
      <c r="C8" s="21" t="s">
        <v>127</v>
      </c>
    </row>
    <row r="9" customFormat="false" ht="15" hidden="false" customHeight="false" outlineLevel="0" collapsed="false">
      <c r="A9" s="10" t="s">
        <v>128</v>
      </c>
      <c r="B9" s="11" t="n">
        <f aca="false">SUM(B4:B8)</f>
        <v>2307.8</v>
      </c>
    </row>
    <row r="10" customFormat="false" ht="15" hidden="false" customHeight="false" outlineLevel="0" collapsed="false">
      <c r="A10" s="0" t="s">
        <v>129</v>
      </c>
      <c r="B10" s="22" t="n">
        <f aca="false">SOTP!B9/Assumptions!$B$7</f>
        <v>20.9419237749546</v>
      </c>
    </row>
    <row r="11" customFormat="false" ht="15" hidden="false" customHeight="false" outlineLevel="0" collapsed="false">
      <c r="A11" s="10" t="s">
        <v>130</v>
      </c>
      <c r="B11" s="11" t="n">
        <f aca="false">SOTP!B9/Assumptions!$B$7*Assumptions!$B$6</f>
        <v>1030.34264972777</v>
      </c>
    </row>
    <row r="12" customFormat="false" ht="15" hidden="false" customHeight="false" outlineLevel="0" collapsed="false">
      <c r="A12" s="0" t="s">
        <v>40</v>
      </c>
      <c r="B12" s="5" t="n">
        <f aca="false">SOTP!B11/Assumptions!$B$5-1</f>
        <v>0.431031457955233</v>
      </c>
    </row>
    <row r="14" customFormat="false" ht="15" hidden="false" customHeight="false" outlineLevel="0" collapsed="false">
      <c r="A14" s="14" t="s">
        <v>131</v>
      </c>
    </row>
    <row r="15" customFormat="false" ht="15" hidden="false" customHeight="false" outlineLevel="0" collapsed="false">
      <c r="A15" s="0" t="s">
        <v>120</v>
      </c>
      <c r="B15" s="3" t="n">
        <f aca="false">Assumptions!$B$38*Assumptions!$B$51</f>
        <v>1339</v>
      </c>
    </row>
    <row r="16" customFormat="false" ht="15" hidden="false" customHeight="false" outlineLevel="0" collapsed="false">
      <c r="A16" s="0" t="s">
        <v>132</v>
      </c>
      <c r="B16" s="3" t="n">
        <f aca="false">Assumptions!$B$52</f>
        <v>450</v>
      </c>
    </row>
    <row r="17" customFormat="false" ht="15" hidden="false" customHeight="false" outlineLevel="0" collapsed="false">
      <c r="A17" s="0" t="s">
        <v>111</v>
      </c>
      <c r="B17" s="3" t="n">
        <f aca="false">Assumptions!$B$53</f>
        <v>290</v>
      </c>
    </row>
    <row r="18" customFormat="false" ht="15" hidden="false" customHeight="false" outlineLevel="0" collapsed="false">
      <c r="A18" s="0" t="s">
        <v>112</v>
      </c>
      <c r="B18" s="3" t="n">
        <f aca="false">Assumptions!$B$54</f>
        <v>230</v>
      </c>
    </row>
    <row r="19" customFormat="false" ht="15" hidden="false" customHeight="false" outlineLevel="0" collapsed="false">
      <c r="A19" s="0" t="s">
        <v>133</v>
      </c>
      <c r="B19" s="3" t="n">
        <f aca="false">Assumptions!$B$55</f>
        <v>540</v>
      </c>
    </row>
    <row r="20" customFormat="false" ht="15" hidden="false" customHeight="false" outlineLevel="0" collapsed="false">
      <c r="A20" s="10" t="s">
        <v>134</v>
      </c>
      <c r="B20" s="11" t="n">
        <f aca="false">SUM(B15:B19)</f>
        <v>2849</v>
      </c>
    </row>
    <row r="21" customFormat="false" ht="15" hidden="false" customHeight="false" outlineLevel="0" collapsed="false">
      <c r="A21" s="10" t="s">
        <v>135</v>
      </c>
      <c r="B21" s="11" t="n">
        <f aca="false">SOTP!B20/Assumptions!$B$7*Assumptions!$B$6</f>
        <v>1271.96733212341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4"/>
  </cols>
  <sheetData>
    <row r="1" customFormat="false" ht="16.15" hidden="false" customHeight="false" outlineLevel="0" collapsed="false">
      <c r="A1" s="1" t="s">
        <v>136</v>
      </c>
    </row>
    <row r="3" customFormat="false" ht="15" hidden="false" customHeight="false" outlineLevel="0" collapsed="false">
      <c r="A3" s="8" t="s">
        <v>137</v>
      </c>
      <c r="B3" s="8" t="s">
        <v>63</v>
      </c>
      <c r="C3" s="8" t="s">
        <v>138</v>
      </c>
      <c r="D3" s="8" t="s">
        <v>139</v>
      </c>
    </row>
    <row r="4" customFormat="false" ht="15" hidden="false" customHeight="false" outlineLevel="0" collapsed="false">
      <c r="A4" s="0" t="s">
        <v>140</v>
      </c>
      <c r="B4" s="3" t="n">
        <v>2849.3</v>
      </c>
      <c r="C4" s="3" t="n">
        <v>236.4</v>
      </c>
      <c r="D4" s="21" t="s">
        <v>141</v>
      </c>
    </row>
    <row r="5" customFormat="false" ht="15" hidden="false" customHeight="false" outlineLevel="0" collapsed="false">
      <c r="A5" s="0" t="s">
        <v>142</v>
      </c>
      <c r="B5" s="3" t="n">
        <v>2200.5</v>
      </c>
      <c r="C5" s="3" t="n">
        <v>68.6</v>
      </c>
      <c r="D5" s="21" t="s">
        <v>143</v>
      </c>
    </row>
    <row r="6" customFormat="false" ht="15" hidden="false" customHeight="false" outlineLevel="0" collapsed="false">
      <c r="A6" s="0" t="s">
        <v>144</v>
      </c>
      <c r="B6" s="0" t="s">
        <v>145</v>
      </c>
      <c r="C6" s="0" t="s">
        <v>145</v>
      </c>
      <c r="D6" s="0" t="s">
        <v>146</v>
      </c>
    </row>
    <row r="7" customFormat="false" ht="15" hidden="false" customHeight="false" outlineLevel="0" collapsed="false">
      <c r="A7" s="0" t="s">
        <v>147</v>
      </c>
      <c r="B7" s="0" t="s">
        <v>145</v>
      </c>
      <c r="C7" s="0" t="s">
        <v>145</v>
      </c>
      <c r="D7" s="0" t="s">
        <v>145</v>
      </c>
    </row>
    <row r="8" customFormat="false" ht="15" hidden="false" customHeight="false" outlineLevel="0" collapsed="false">
      <c r="A8" s="0" t="s">
        <v>148</v>
      </c>
      <c r="B8" s="0" t="s">
        <v>145</v>
      </c>
      <c r="C8" s="0" t="s">
        <v>145</v>
      </c>
      <c r="D8" s="0" t="s">
        <v>149</v>
      </c>
    </row>
    <row r="9" customFormat="false" ht="15" hidden="false" customHeight="false" outlineLevel="0" collapsed="false">
      <c r="A9" s="10" t="s">
        <v>150</v>
      </c>
      <c r="B9" s="11" t="n">
        <f aca="false">Assumptions!$B$11</f>
        <v>5049.8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6"/>
  </cols>
  <sheetData>
    <row r="1" customFormat="false" ht="16.15" hidden="false" customHeight="false" outlineLevel="0" collapsed="false">
      <c r="A1" s="1" t="s">
        <v>151</v>
      </c>
    </row>
    <row r="3" customFormat="false" ht="15" hidden="false" customHeight="false" outlineLevel="0" collapsed="false">
      <c r="A3" s="8" t="s">
        <v>152</v>
      </c>
      <c r="B3" s="8" t="s">
        <v>153</v>
      </c>
      <c r="C3" s="8" t="s">
        <v>154</v>
      </c>
      <c r="D3" s="8" t="s">
        <v>130</v>
      </c>
    </row>
    <row r="4" customFormat="false" ht="15" hidden="false" customHeight="false" outlineLevel="0" collapsed="false">
      <c r="A4" s="0" t="s">
        <v>121</v>
      </c>
      <c r="B4" s="3" t="n">
        <f aca="false">Assumptions!$B$13</f>
        <v>276</v>
      </c>
      <c r="C4" s="6" t="n">
        <f aca="false">Assumptions!$B$44</f>
        <v>5.5</v>
      </c>
      <c r="D4" s="3" t="n">
        <f aca="false">(Assumptions!$B$13*Assumptions!$B$44+Assumptions!$B$25)/Assumptions!$B$7*Assumptions!$B$6</f>
        <v>856.312159709619</v>
      </c>
    </row>
    <row r="5" customFormat="false" ht="15" hidden="false" customHeight="false" outlineLevel="0" collapsed="false">
      <c r="A5" s="0" t="s">
        <v>28</v>
      </c>
      <c r="B5" s="3" t="n">
        <f aca="false">Assumptions!$B$14</f>
        <v>194.8</v>
      </c>
      <c r="C5" s="6" t="n">
        <f aca="false">Assumptions!$B$45</f>
        <v>10</v>
      </c>
      <c r="D5" s="3" t="n">
        <f aca="false">(Assumptions!$B$14*Assumptions!$B$45)/Assumptions!$B$7*Assumptions!$B$6</f>
        <v>869.705989110708</v>
      </c>
    </row>
    <row r="6" customFormat="false" ht="15" hidden="false" customHeight="false" outlineLevel="0" collapsed="false">
      <c r="A6" s="0" t="s">
        <v>155</v>
      </c>
      <c r="B6" s="3" t="n">
        <f aca="false">Assumptions!$B$11</f>
        <v>5049.8</v>
      </c>
      <c r="C6" s="23" t="n">
        <f aca="false">Assumptions!$B$46</f>
        <v>0.35</v>
      </c>
      <c r="D6" s="3" t="n">
        <f aca="false">(Assumptions!$B$11*Assumptions!$B$46+Assumptions!$B$25)/Assumptions!$B$7*Assumptions!$B$6</f>
        <v>967.672921960073</v>
      </c>
    </row>
    <row r="7" customFormat="false" ht="15" hidden="false" customHeight="false" outlineLevel="0" collapsed="false">
      <c r="A7" s="10" t="s">
        <v>156</v>
      </c>
      <c r="D7" s="11" t="n">
        <f aca="false">AVERAGE(D4:D6)</f>
        <v>897.897023593467</v>
      </c>
    </row>
    <row r="9" customFormat="false" ht="15" hidden="false" customHeight="false" outlineLevel="0" collapsed="false">
      <c r="A9" s="14" t="s">
        <v>157</v>
      </c>
    </row>
    <row r="10" customFormat="false" ht="15" hidden="false" customHeight="false" outlineLevel="0" collapsed="false">
      <c r="A10" s="0" t="s">
        <v>158</v>
      </c>
      <c r="B10" s="3" t="n">
        <f aca="false">Assumptions!$B$47</f>
        <v>165.8</v>
      </c>
    </row>
    <row r="11" customFormat="false" ht="15" hidden="false" customHeight="false" outlineLevel="0" collapsed="false">
      <c r="A11" s="0" t="s">
        <v>159</v>
      </c>
      <c r="C11" s="6" t="n">
        <f aca="false">Assumptions!$B$48</f>
        <v>10</v>
      </c>
    </row>
    <row r="12" customFormat="false" ht="15" hidden="false" customHeight="false" outlineLevel="0" collapsed="false">
      <c r="A12" s="10" t="s">
        <v>130</v>
      </c>
      <c r="D12" s="11" t="n">
        <f aca="false">Assumptions!$B$47*Assumptions!$B$48/Assumptions!$B$7*Assumptions!$B$6</f>
        <v>740.232304900182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2"/>
  </cols>
  <sheetData>
    <row r="1" customFormat="false" ht="16.15" hidden="false" customHeight="false" outlineLevel="0" collapsed="false">
      <c r="A1" s="1" t="s">
        <v>160</v>
      </c>
    </row>
    <row r="2" customFormat="false" ht="15" hidden="false" customHeight="false" outlineLevel="0" collapsed="false">
      <c r="A2" s="4" t="s">
        <v>161</v>
      </c>
    </row>
    <row r="4" customFormat="false" ht="15" hidden="false" customHeight="false" outlineLevel="0" collapsed="false">
      <c r="A4" s="8" t="s">
        <v>118</v>
      </c>
      <c r="B4" s="8" t="s">
        <v>162</v>
      </c>
      <c r="C4" s="8" t="s">
        <v>163</v>
      </c>
      <c r="D4" s="8" t="s">
        <v>164</v>
      </c>
      <c r="E4" s="8" t="s">
        <v>165</v>
      </c>
      <c r="F4" s="8" t="s">
        <v>166</v>
      </c>
    </row>
    <row r="5" customFormat="false" ht="15" hidden="false" customHeight="false" outlineLevel="0" collapsed="false">
      <c r="A5" s="0" t="s">
        <v>167</v>
      </c>
      <c r="B5" s="3" t="n">
        <f aca="false">Assumptions!$B$34*(1+Assumptions!$B$33)</f>
        <v>118.9944</v>
      </c>
      <c r="C5" s="3" t="n">
        <f aca="false">B5*(1+Assumptions!$B$33)</f>
        <v>128.513952</v>
      </c>
      <c r="D5" s="3" t="n">
        <f aca="false">C5*(1+Assumptions!$B$33)</f>
        <v>138.79506816</v>
      </c>
      <c r="E5" s="3" t="n">
        <f aca="false">D5*(1+Assumptions!$B$33)</f>
        <v>149.8986736128</v>
      </c>
      <c r="F5" s="3" t="n">
        <f aca="false">E5*(1+Assumptions!$B$33)</f>
        <v>161.890567501824</v>
      </c>
    </row>
    <row r="6" customFormat="false" ht="15" hidden="false" customHeight="false" outlineLevel="0" collapsed="false">
      <c r="A6" s="0" t="s">
        <v>168</v>
      </c>
      <c r="B6" s="24" t="n">
        <f aca="false">1/(1+Assumptions!$B$31)^1</f>
        <v>0.892857142857143</v>
      </c>
      <c r="C6" s="24" t="n">
        <f aca="false">1/(1+Assumptions!$B$31)^2</f>
        <v>0.79719387755102</v>
      </c>
      <c r="D6" s="24" t="n">
        <f aca="false">1/(1+Assumptions!$B$31)^3</f>
        <v>0.711780247813411</v>
      </c>
      <c r="E6" s="24" t="n">
        <f aca="false">1/(1+Assumptions!$B$31)^4</f>
        <v>0.635518078404831</v>
      </c>
      <c r="F6" s="24" t="n">
        <f aca="false">1/(1+Assumptions!$B$31)^5</f>
        <v>0.567426855718599</v>
      </c>
    </row>
    <row r="7" customFormat="false" ht="15" hidden="false" customHeight="false" outlineLevel="0" collapsed="false">
      <c r="A7" s="0" t="s">
        <v>169</v>
      </c>
      <c r="B7" s="3" t="n">
        <f aca="false">B5*B6</f>
        <v>106.245</v>
      </c>
      <c r="C7" s="3" t="n">
        <f aca="false">C5*C6</f>
        <v>102.450535714286</v>
      </c>
      <c r="D7" s="3" t="n">
        <f aca="false">D5*D6</f>
        <v>98.7915880102041</v>
      </c>
      <c r="E7" s="3" t="n">
        <f aca="false">E5*E6</f>
        <v>95.2633170098397</v>
      </c>
      <c r="F7" s="3" t="n">
        <f aca="false">F5*F6</f>
        <v>91.8610556880597</v>
      </c>
    </row>
    <row r="9" customFormat="false" ht="15" hidden="false" customHeight="false" outlineLevel="0" collapsed="false">
      <c r="A9" s="10" t="s">
        <v>170</v>
      </c>
      <c r="B9" s="11" t="n">
        <f aca="false">SUM(B7:F7)</f>
        <v>494.611496422389</v>
      </c>
    </row>
    <row r="10" customFormat="false" ht="15" hidden="false" customHeight="false" outlineLevel="0" collapsed="false">
      <c r="A10" s="0" t="s">
        <v>171</v>
      </c>
      <c r="B10" s="3" t="n">
        <f aca="false">F5*(1+Assumptions!$B$32)/(Assumptions!$B$31-Assumptions!$B$32)</f>
        <v>1971.25573369868</v>
      </c>
    </row>
    <row r="11" customFormat="false" ht="15" hidden="false" customHeight="false" outlineLevel="0" collapsed="false">
      <c r="A11" s="0" t="s">
        <v>172</v>
      </c>
      <c r="B11" s="3" t="n">
        <f aca="false">B10/(1+Assumptions!$B$31)^5</f>
        <v>1118.5434427899</v>
      </c>
    </row>
    <row r="12" customFormat="false" ht="15" hidden="false" customHeight="false" outlineLevel="0" collapsed="false">
      <c r="A12" s="10" t="s">
        <v>173</v>
      </c>
      <c r="B12" s="11" t="n">
        <f aca="false">B9+B11</f>
        <v>1613.15493921229</v>
      </c>
    </row>
    <row r="13" customFormat="false" ht="15" hidden="false" customHeight="false" outlineLevel="0" collapsed="false">
      <c r="A13" s="0" t="s">
        <v>174</v>
      </c>
      <c r="B13" s="3" t="n">
        <f aca="false">Assumptions!$B$25</f>
        <v>400</v>
      </c>
    </row>
    <row r="14" customFormat="false" ht="15" hidden="false" customHeight="false" outlineLevel="0" collapsed="false">
      <c r="A14" s="0" t="s">
        <v>175</v>
      </c>
      <c r="B14" s="3" t="n">
        <f aca="false">Assumptions!$B$35</f>
        <v>240</v>
      </c>
    </row>
    <row r="15" customFormat="false" ht="15" hidden="false" customHeight="false" outlineLevel="0" collapsed="false">
      <c r="A15" s="10" t="s">
        <v>128</v>
      </c>
      <c r="B15" s="11" t="n">
        <f aca="false">B12+B13+B14</f>
        <v>2253.15493921229</v>
      </c>
    </row>
    <row r="17" customFormat="false" ht="15" hidden="false" customHeight="false" outlineLevel="0" collapsed="false">
      <c r="A17" s="0" t="s">
        <v>129</v>
      </c>
      <c r="B17" s="22" t="n">
        <f aca="false">DCF!B15/Assumptions!$B$7</f>
        <v>20.4460520799664</v>
      </c>
    </row>
    <row r="18" customFormat="false" ht="15" hidden="false" customHeight="false" outlineLevel="0" collapsed="false">
      <c r="A18" s="10" t="s">
        <v>130</v>
      </c>
      <c r="B18" s="11" t="n">
        <f aca="false">DCF!B15/Assumptions!$B$7*Assumptions!$B$6</f>
        <v>1005.94576233434</v>
      </c>
    </row>
    <row r="19" customFormat="false" ht="15" hidden="false" customHeight="false" outlineLevel="0" collapsed="false">
      <c r="A19" s="0" t="s">
        <v>40</v>
      </c>
      <c r="B19" s="5" t="n">
        <f aca="false">DCF!B18/Assumptions!$B$5-1</f>
        <v>0.397146892131035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9" min="2" style="0" width="11"/>
  </cols>
  <sheetData>
    <row r="1" customFormat="false" ht="16.15" hidden="false" customHeight="false" outlineLevel="0" collapsed="false">
      <c r="A1" s="1" t="s">
        <v>176</v>
      </c>
    </row>
    <row r="3" customFormat="false" ht="15" hidden="false" customHeight="false" outlineLevel="0" collapsed="false">
      <c r="A3" s="8"/>
      <c r="B3" s="8" t="s">
        <v>177</v>
      </c>
      <c r="C3" s="8" t="s">
        <v>178</v>
      </c>
      <c r="D3" s="8" t="s">
        <v>179</v>
      </c>
      <c r="E3" s="8" t="s">
        <v>162</v>
      </c>
      <c r="F3" s="8" t="s">
        <v>163</v>
      </c>
      <c r="G3" s="8" t="s">
        <v>164</v>
      </c>
      <c r="H3" s="8" t="s">
        <v>165</v>
      </c>
      <c r="I3" s="8" t="s">
        <v>166</v>
      </c>
    </row>
    <row r="4" customFormat="false" ht="15" hidden="false" customHeight="false" outlineLevel="0" collapsed="false">
      <c r="A4" s="25" t="s">
        <v>180</v>
      </c>
      <c r="B4" s="26" t="n">
        <v>1842</v>
      </c>
      <c r="C4" s="26" t="n">
        <v>1611</v>
      </c>
      <c r="D4" s="26" t="n">
        <v>2849</v>
      </c>
      <c r="E4" s="26" t="n">
        <v>3050</v>
      </c>
      <c r="F4" s="26" t="n">
        <v>3300</v>
      </c>
      <c r="G4" s="26" t="n">
        <v>3520</v>
      </c>
      <c r="H4" s="26" t="n">
        <v>3700</v>
      </c>
      <c r="I4" s="26" t="n">
        <v>3870</v>
      </c>
    </row>
    <row r="5" customFormat="false" ht="15" hidden="false" customHeight="false" outlineLevel="0" collapsed="false">
      <c r="A5" s="25" t="s">
        <v>181</v>
      </c>
      <c r="B5" s="26" t="n">
        <v>1600</v>
      </c>
      <c r="C5" s="26" t="n">
        <v>1644</v>
      </c>
      <c r="D5" s="26" t="n">
        <v>2201</v>
      </c>
      <c r="E5" s="26" t="n">
        <v>2500</v>
      </c>
      <c r="F5" s="26" t="n">
        <v>2750</v>
      </c>
      <c r="G5" s="26" t="n">
        <v>2980</v>
      </c>
      <c r="H5" s="26" t="n">
        <v>3200</v>
      </c>
      <c r="I5" s="26" t="n">
        <v>3430</v>
      </c>
    </row>
    <row r="6" customFormat="false" ht="15" hidden="false" customHeight="false" outlineLevel="0" collapsed="false">
      <c r="A6" s="10" t="s">
        <v>182</v>
      </c>
      <c r="B6" s="27" t="n">
        <v>3442</v>
      </c>
      <c r="C6" s="27" t="n">
        <v>3255</v>
      </c>
      <c r="D6" s="27" t="n">
        <v>5050</v>
      </c>
      <c r="E6" s="27" t="n">
        <v>5550</v>
      </c>
      <c r="F6" s="27" t="n">
        <v>6050</v>
      </c>
      <c r="G6" s="27" t="n">
        <v>6500</v>
      </c>
      <c r="H6" s="27" t="n">
        <v>6900</v>
      </c>
      <c r="I6" s="27" t="n">
        <v>7300</v>
      </c>
    </row>
    <row r="7" customFormat="false" ht="15" hidden="false" customHeight="false" outlineLevel="0" collapsed="false">
      <c r="A7" s="25" t="s">
        <v>183</v>
      </c>
      <c r="B7" s="26" t="s">
        <v>145</v>
      </c>
      <c r="C7" s="26" t="s">
        <v>184</v>
      </c>
      <c r="D7" s="26" t="s">
        <v>185</v>
      </c>
      <c r="E7" s="26" t="s">
        <v>186</v>
      </c>
      <c r="F7" s="26" t="s">
        <v>187</v>
      </c>
      <c r="G7" s="26" t="s">
        <v>188</v>
      </c>
      <c r="H7" s="26" t="s">
        <v>189</v>
      </c>
      <c r="I7" s="26" t="s">
        <v>189</v>
      </c>
    </row>
    <row r="8" customFormat="false" ht="15" hidden="false" customHeight="false" outlineLevel="0" collapsed="false">
      <c r="A8" s="25" t="s">
        <v>190</v>
      </c>
      <c r="B8" s="26" t="n">
        <v>-3252</v>
      </c>
      <c r="C8" s="26" t="n">
        <v>-3103</v>
      </c>
      <c r="D8" s="26" t="n">
        <v>-4745</v>
      </c>
      <c r="E8" s="26" t="n">
        <v>-5220</v>
      </c>
      <c r="F8" s="26" t="n">
        <v>-5690</v>
      </c>
      <c r="G8" s="26" t="n">
        <v>-6112</v>
      </c>
      <c r="H8" s="26" t="n">
        <v>-6486</v>
      </c>
      <c r="I8" s="26" t="n">
        <v>-6862</v>
      </c>
    </row>
    <row r="9" customFormat="false" ht="15" hidden="false" customHeight="false" outlineLevel="0" collapsed="false">
      <c r="A9" s="10" t="s">
        <v>138</v>
      </c>
      <c r="B9" s="27" t="n">
        <v>190</v>
      </c>
      <c r="C9" s="27" t="n">
        <v>152</v>
      </c>
      <c r="D9" s="27" t="n">
        <v>305</v>
      </c>
      <c r="E9" s="27" t="n">
        <v>330</v>
      </c>
      <c r="F9" s="27" t="n">
        <v>360</v>
      </c>
      <c r="G9" s="27" t="n">
        <v>388</v>
      </c>
      <c r="H9" s="27" t="n">
        <v>414</v>
      </c>
      <c r="I9" s="27" t="n">
        <v>438</v>
      </c>
    </row>
    <row r="10" customFormat="false" ht="15" hidden="false" customHeight="false" outlineLevel="0" collapsed="false">
      <c r="A10" s="25" t="s">
        <v>191</v>
      </c>
      <c r="B10" s="26" t="s">
        <v>192</v>
      </c>
      <c r="C10" s="26" t="s">
        <v>193</v>
      </c>
      <c r="D10" s="26" t="s">
        <v>194</v>
      </c>
      <c r="E10" s="26" t="s">
        <v>195</v>
      </c>
      <c r="F10" s="26" t="s">
        <v>194</v>
      </c>
      <c r="G10" s="26" t="s">
        <v>194</v>
      </c>
      <c r="H10" s="26" t="s">
        <v>194</v>
      </c>
      <c r="I10" s="26" t="s">
        <v>194</v>
      </c>
    </row>
    <row r="11" customFormat="false" ht="15" hidden="false" customHeight="false" outlineLevel="0" collapsed="false">
      <c r="A11" s="25" t="s">
        <v>196</v>
      </c>
      <c r="B11" s="26" t="n">
        <v>-30</v>
      </c>
      <c r="C11" s="26" t="n">
        <v>-31</v>
      </c>
      <c r="D11" s="26" t="n">
        <v>-45</v>
      </c>
      <c r="E11" s="26" t="n">
        <v>-50</v>
      </c>
      <c r="F11" s="26" t="n">
        <v>-55</v>
      </c>
      <c r="G11" s="26" t="n">
        <v>-59</v>
      </c>
      <c r="H11" s="26" t="n">
        <v>-62</v>
      </c>
      <c r="I11" s="26" t="n">
        <v>-66</v>
      </c>
    </row>
    <row r="12" customFormat="false" ht="15" hidden="false" customHeight="false" outlineLevel="0" collapsed="false">
      <c r="A12" s="10" t="s">
        <v>197</v>
      </c>
      <c r="B12" s="27" t="n">
        <v>160</v>
      </c>
      <c r="C12" s="27" t="n">
        <v>121</v>
      </c>
      <c r="D12" s="27" t="n">
        <v>260</v>
      </c>
      <c r="E12" s="27" t="n">
        <v>280</v>
      </c>
      <c r="F12" s="27" t="n">
        <v>305</v>
      </c>
      <c r="G12" s="27" t="n">
        <v>329</v>
      </c>
      <c r="H12" s="27" t="n">
        <v>352</v>
      </c>
      <c r="I12" s="27" t="n">
        <v>372</v>
      </c>
    </row>
    <row r="13" customFormat="false" ht="15" hidden="false" customHeight="false" outlineLevel="0" collapsed="false">
      <c r="A13" s="25" t="s">
        <v>198</v>
      </c>
      <c r="B13" s="26" t="n">
        <v>50</v>
      </c>
      <c r="C13" s="26" t="n">
        <v>29</v>
      </c>
      <c r="D13" s="26" t="n">
        <v>14</v>
      </c>
      <c r="E13" s="26" t="n">
        <v>18</v>
      </c>
      <c r="F13" s="26" t="n">
        <v>23</v>
      </c>
      <c r="G13" s="26" t="n">
        <v>32</v>
      </c>
      <c r="H13" s="26" t="n">
        <v>40</v>
      </c>
      <c r="I13" s="26" t="n">
        <v>48</v>
      </c>
    </row>
    <row r="14" customFormat="false" ht="15" hidden="false" customHeight="false" outlineLevel="0" collapsed="false">
      <c r="A14" s="25" t="s">
        <v>199</v>
      </c>
      <c r="B14" s="26" t="n">
        <v>210</v>
      </c>
      <c r="C14" s="26" t="n">
        <v>150</v>
      </c>
      <c r="D14" s="26" t="n">
        <v>274</v>
      </c>
      <c r="E14" s="26" t="n">
        <v>298</v>
      </c>
      <c r="F14" s="26" t="n">
        <v>328</v>
      </c>
      <c r="G14" s="26" t="n">
        <v>361</v>
      </c>
      <c r="H14" s="26" t="n">
        <v>392</v>
      </c>
      <c r="I14" s="26" t="n">
        <v>420</v>
      </c>
    </row>
    <row r="15" customFormat="false" ht="15" hidden="false" customHeight="false" outlineLevel="0" collapsed="false">
      <c r="A15" s="25" t="s">
        <v>200</v>
      </c>
      <c r="B15" s="26" t="n">
        <v>-51</v>
      </c>
      <c r="C15" s="26" t="n">
        <v>-32</v>
      </c>
      <c r="D15" s="26" t="n">
        <v>-79</v>
      </c>
      <c r="E15" s="26" t="n">
        <v>-88</v>
      </c>
      <c r="F15" s="26" t="n">
        <v>-100</v>
      </c>
      <c r="G15" s="26" t="n">
        <v>-115</v>
      </c>
      <c r="H15" s="26" t="n">
        <v>-127</v>
      </c>
      <c r="I15" s="26" t="n">
        <v>-139</v>
      </c>
    </row>
    <row r="16" customFormat="false" ht="15" hidden="false" customHeight="false" outlineLevel="0" collapsed="false">
      <c r="A16" s="10" t="s">
        <v>201</v>
      </c>
      <c r="B16" s="27" t="n">
        <v>159</v>
      </c>
      <c r="C16" s="27" t="n">
        <v>118</v>
      </c>
      <c r="D16" s="27" t="n">
        <v>195</v>
      </c>
      <c r="E16" s="27" t="n">
        <v>210</v>
      </c>
      <c r="F16" s="27" t="n">
        <v>228</v>
      </c>
      <c r="G16" s="27" t="n">
        <v>246</v>
      </c>
      <c r="H16" s="27" t="n">
        <v>265</v>
      </c>
      <c r="I16" s="27" t="n">
        <v>281</v>
      </c>
    </row>
    <row r="17" customFormat="false" ht="15" hidden="false" customHeight="false" outlineLevel="0" collapsed="false">
      <c r="A17" s="25" t="s">
        <v>202</v>
      </c>
      <c r="B17" s="26" t="s">
        <v>203</v>
      </c>
      <c r="C17" s="26" t="s">
        <v>204</v>
      </c>
      <c r="D17" s="26" t="s">
        <v>205</v>
      </c>
      <c r="E17" s="26" t="s">
        <v>206</v>
      </c>
      <c r="F17" s="26" t="s">
        <v>206</v>
      </c>
      <c r="G17" s="26" t="s">
        <v>206</v>
      </c>
      <c r="H17" s="26" t="s">
        <v>206</v>
      </c>
      <c r="I17" s="26" t="s">
        <v>205</v>
      </c>
    </row>
    <row r="18" customFormat="false" ht="15" hidden="false" customHeight="false" outlineLevel="0" collapsed="false">
      <c r="A18" s="25" t="s">
        <v>207</v>
      </c>
      <c r="B18" s="26" t="n">
        <v>107</v>
      </c>
      <c r="C18" s="26" t="n">
        <v>0</v>
      </c>
      <c r="D18" s="26" t="n">
        <v>29</v>
      </c>
      <c r="E18" s="26" t="n">
        <v>0</v>
      </c>
      <c r="F18" s="26" t="n">
        <v>0</v>
      </c>
      <c r="G18" s="26" t="n">
        <v>0</v>
      </c>
      <c r="H18" s="26" t="n">
        <v>0</v>
      </c>
      <c r="I18" s="26" t="n">
        <v>0</v>
      </c>
    </row>
    <row r="19" customFormat="false" ht="15" hidden="false" customHeight="false" outlineLevel="0" collapsed="false">
      <c r="A19" s="10" t="s">
        <v>208</v>
      </c>
      <c r="B19" s="27" t="n">
        <v>52</v>
      </c>
      <c r="C19" s="27" t="n">
        <v>118</v>
      </c>
      <c r="D19" s="27" t="n">
        <v>166</v>
      </c>
      <c r="E19" s="27" t="n">
        <v>210</v>
      </c>
      <c r="F19" s="27" t="n">
        <v>228</v>
      </c>
      <c r="G19" s="27" t="n">
        <v>246</v>
      </c>
      <c r="H19" s="27" t="n">
        <v>265</v>
      </c>
      <c r="I19" s="27" t="n">
        <v>281</v>
      </c>
    </row>
    <row r="20" customFormat="false" ht="15" hidden="false" customHeight="false" outlineLevel="0" collapsed="false">
      <c r="A20" s="25" t="s">
        <v>209</v>
      </c>
      <c r="B20" s="26" t="n">
        <v>1.44</v>
      </c>
      <c r="C20" s="26" t="n">
        <v>1.07</v>
      </c>
      <c r="D20" s="26" t="n">
        <v>1.77</v>
      </c>
      <c r="E20" s="26" t="n">
        <v>1.91</v>
      </c>
      <c r="F20" s="26" t="n">
        <v>2.07</v>
      </c>
      <c r="G20" s="26" t="n">
        <v>2.23</v>
      </c>
      <c r="H20" s="26" t="n">
        <v>2.4</v>
      </c>
      <c r="I20" s="26" t="n">
        <v>2.55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9" min="2" style="0" width="11"/>
  </cols>
  <sheetData>
    <row r="1" customFormat="false" ht="16.15" hidden="false" customHeight="false" outlineLevel="0" collapsed="false">
      <c r="A1" s="1" t="s">
        <v>210</v>
      </c>
    </row>
    <row r="3" customFormat="false" ht="15" hidden="false" customHeight="false" outlineLevel="0" collapsed="false">
      <c r="A3" s="8"/>
      <c r="B3" s="8" t="s">
        <v>177</v>
      </c>
      <c r="C3" s="8" t="s">
        <v>178</v>
      </c>
      <c r="D3" s="8" t="s">
        <v>179</v>
      </c>
      <c r="E3" s="8" t="s">
        <v>162</v>
      </c>
      <c r="F3" s="8" t="s">
        <v>163</v>
      </c>
      <c r="G3" s="8" t="s">
        <v>164</v>
      </c>
      <c r="H3" s="8" t="s">
        <v>165</v>
      </c>
      <c r="I3" s="8" t="s">
        <v>166</v>
      </c>
    </row>
    <row r="4" customFormat="false" ht="15" hidden="false" customHeight="false" outlineLevel="0" collapsed="false">
      <c r="A4" s="25" t="s">
        <v>211</v>
      </c>
      <c r="B4" s="26" t="n">
        <v>696</v>
      </c>
      <c r="C4" s="26" t="n">
        <v>1041</v>
      </c>
      <c r="D4" s="26" t="n">
        <v>1100</v>
      </c>
      <c r="E4" s="26" t="n">
        <v>1180</v>
      </c>
      <c r="F4" s="26" t="n">
        <v>1270</v>
      </c>
      <c r="G4" s="26" t="n">
        <v>1360</v>
      </c>
      <c r="H4" s="26" t="n">
        <v>1450</v>
      </c>
      <c r="I4" s="26" t="n">
        <v>1540</v>
      </c>
    </row>
    <row r="5" customFormat="false" ht="15" hidden="false" customHeight="false" outlineLevel="0" collapsed="false">
      <c r="A5" s="25" t="s">
        <v>212</v>
      </c>
      <c r="B5" s="26" t="n">
        <v>1200</v>
      </c>
      <c r="C5" s="26" t="n">
        <v>1728</v>
      </c>
      <c r="D5" s="26" t="n">
        <v>2050</v>
      </c>
      <c r="E5" s="26" t="n">
        <v>2250</v>
      </c>
      <c r="F5" s="26" t="n">
        <v>2450</v>
      </c>
      <c r="G5" s="26" t="n">
        <v>2630</v>
      </c>
      <c r="H5" s="26" t="n">
        <v>2790</v>
      </c>
      <c r="I5" s="26" t="n">
        <v>2950</v>
      </c>
    </row>
    <row r="6" customFormat="false" ht="15" hidden="false" customHeight="false" outlineLevel="0" collapsed="false">
      <c r="A6" s="25" t="s">
        <v>213</v>
      </c>
      <c r="B6" s="26" t="n">
        <v>600</v>
      </c>
      <c r="C6" s="26" t="n">
        <v>673</v>
      </c>
      <c r="D6" s="26" t="n">
        <v>820</v>
      </c>
      <c r="E6" s="26" t="n">
        <v>900</v>
      </c>
      <c r="F6" s="26" t="n">
        <v>980</v>
      </c>
      <c r="G6" s="26" t="n">
        <v>1050</v>
      </c>
      <c r="H6" s="26" t="n">
        <v>1110</v>
      </c>
      <c r="I6" s="26" t="n">
        <v>1175</v>
      </c>
    </row>
    <row r="7" customFormat="false" ht="15" hidden="false" customHeight="false" outlineLevel="0" collapsed="false">
      <c r="A7" s="25" t="s">
        <v>214</v>
      </c>
      <c r="B7" s="26" t="n">
        <v>180</v>
      </c>
      <c r="C7" s="26" t="n">
        <v>271</v>
      </c>
      <c r="D7" s="26" t="n">
        <v>330</v>
      </c>
      <c r="E7" s="26" t="n">
        <v>360</v>
      </c>
      <c r="F7" s="26" t="n">
        <v>390</v>
      </c>
      <c r="G7" s="26" t="n">
        <v>420</v>
      </c>
      <c r="H7" s="26" t="n">
        <v>445</v>
      </c>
      <c r="I7" s="26" t="n">
        <v>470</v>
      </c>
    </row>
    <row r="8" customFormat="false" ht="15" hidden="false" customHeight="false" outlineLevel="0" collapsed="false">
      <c r="A8" s="10" t="s">
        <v>215</v>
      </c>
      <c r="B8" s="27" t="n">
        <v>2676</v>
      </c>
      <c r="C8" s="27" t="n">
        <v>3713</v>
      </c>
      <c r="D8" s="27" t="n">
        <v>4300</v>
      </c>
      <c r="E8" s="27" t="n">
        <v>4690</v>
      </c>
      <c r="F8" s="27" t="n">
        <v>5090</v>
      </c>
      <c r="G8" s="27" t="n">
        <v>5460</v>
      </c>
      <c r="H8" s="27" t="n">
        <v>5795</v>
      </c>
      <c r="I8" s="27" t="n">
        <v>6135</v>
      </c>
    </row>
    <row r="9" customFormat="false" ht="15" hidden="false" customHeight="false" outlineLevel="0" collapsed="false">
      <c r="A9" s="25" t="s">
        <v>216</v>
      </c>
      <c r="B9" s="26" t="n">
        <v>450</v>
      </c>
      <c r="C9" s="26" t="n">
        <v>500</v>
      </c>
      <c r="D9" s="26" t="n">
        <v>620</v>
      </c>
      <c r="E9" s="26" t="n">
        <v>710</v>
      </c>
      <c r="F9" s="26" t="n">
        <v>800</v>
      </c>
      <c r="G9" s="26" t="n">
        <v>880</v>
      </c>
      <c r="H9" s="26" t="n">
        <v>955</v>
      </c>
      <c r="I9" s="26" t="n">
        <v>1030</v>
      </c>
    </row>
    <row r="10" customFormat="false" ht="15" hidden="false" customHeight="false" outlineLevel="0" collapsed="false">
      <c r="A10" s="25" t="s">
        <v>217</v>
      </c>
      <c r="B10" s="26" t="n">
        <v>250</v>
      </c>
      <c r="C10" s="26" t="n">
        <v>275</v>
      </c>
      <c r="D10" s="26" t="n">
        <v>330</v>
      </c>
      <c r="E10" s="26" t="n">
        <v>370</v>
      </c>
      <c r="F10" s="26" t="n">
        <v>410</v>
      </c>
      <c r="G10" s="26" t="n">
        <v>450</v>
      </c>
      <c r="H10" s="26" t="n">
        <v>485</v>
      </c>
      <c r="I10" s="26" t="n">
        <v>520</v>
      </c>
    </row>
    <row r="11" customFormat="false" ht="15" hidden="false" customHeight="false" outlineLevel="0" collapsed="false">
      <c r="A11" s="25" t="s">
        <v>218</v>
      </c>
      <c r="B11" s="26" t="n">
        <v>300</v>
      </c>
      <c r="C11" s="26" t="n">
        <v>330</v>
      </c>
      <c r="D11" s="26" t="n">
        <v>360</v>
      </c>
      <c r="E11" s="26" t="n">
        <v>386</v>
      </c>
      <c r="F11" s="26" t="n">
        <v>414</v>
      </c>
      <c r="G11" s="26" t="n">
        <v>444</v>
      </c>
      <c r="H11" s="26" t="n">
        <v>476</v>
      </c>
      <c r="I11" s="26" t="n">
        <v>510</v>
      </c>
    </row>
    <row r="12" customFormat="false" ht="15" hidden="false" customHeight="false" outlineLevel="0" collapsed="false">
      <c r="A12" s="25" t="s">
        <v>219</v>
      </c>
      <c r="B12" s="26" t="n">
        <v>420</v>
      </c>
      <c r="C12" s="26" t="n">
        <v>382</v>
      </c>
      <c r="D12" s="26" t="n">
        <v>490</v>
      </c>
      <c r="E12" s="26" t="n">
        <v>520</v>
      </c>
      <c r="F12" s="26" t="n">
        <v>550</v>
      </c>
      <c r="G12" s="26" t="n">
        <v>580</v>
      </c>
      <c r="H12" s="26" t="n">
        <v>610</v>
      </c>
      <c r="I12" s="26" t="n">
        <v>640</v>
      </c>
    </row>
    <row r="13" customFormat="false" ht="15" hidden="false" customHeight="false" outlineLevel="0" collapsed="false">
      <c r="A13" s="10" t="s">
        <v>220</v>
      </c>
      <c r="B13" s="27" t="n">
        <v>1420</v>
      </c>
      <c r="C13" s="27" t="n">
        <v>1487</v>
      </c>
      <c r="D13" s="27" t="n">
        <v>1800</v>
      </c>
      <c r="E13" s="27" t="n">
        <v>1986</v>
      </c>
      <c r="F13" s="27" t="n">
        <v>2174</v>
      </c>
      <c r="G13" s="27" t="n">
        <v>2354</v>
      </c>
      <c r="H13" s="27" t="n">
        <v>2526</v>
      </c>
      <c r="I13" s="27" t="n">
        <v>2700</v>
      </c>
    </row>
    <row r="14" customFormat="false" ht="15" hidden="false" customHeight="false" outlineLevel="0" collapsed="false">
      <c r="A14" s="10" t="s">
        <v>221</v>
      </c>
      <c r="B14" s="27" t="n">
        <v>4096</v>
      </c>
      <c r="C14" s="27" t="n">
        <v>5200</v>
      </c>
      <c r="D14" s="27" t="n">
        <v>6100</v>
      </c>
      <c r="E14" s="27" t="n">
        <v>6676</v>
      </c>
      <c r="F14" s="27" t="n">
        <v>7264</v>
      </c>
      <c r="G14" s="27" t="n">
        <v>7814</v>
      </c>
      <c r="H14" s="27" t="n">
        <v>8321</v>
      </c>
      <c r="I14" s="27" t="n">
        <v>8835</v>
      </c>
    </row>
    <row r="15" customFormat="false" ht="15" hidden="false" customHeight="false" outlineLevel="0" collapsed="false">
      <c r="A15" s="25" t="s">
        <v>222</v>
      </c>
      <c r="B15" s="26" t="n">
        <v>1500</v>
      </c>
      <c r="C15" s="26" t="n">
        <v>2033</v>
      </c>
      <c r="D15" s="26" t="n">
        <v>2560</v>
      </c>
      <c r="E15" s="26" t="n">
        <v>2810</v>
      </c>
      <c r="F15" s="26" t="n">
        <v>3050</v>
      </c>
      <c r="G15" s="26" t="n">
        <v>3270</v>
      </c>
      <c r="H15" s="26" t="n">
        <v>3470</v>
      </c>
      <c r="I15" s="26" t="n">
        <v>3670</v>
      </c>
    </row>
    <row r="16" customFormat="false" ht="15" hidden="false" customHeight="false" outlineLevel="0" collapsed="false">
      <c r="A16" s="25" t="s">
        <v>223</v>
      </c>
      <c r="B16" s="26" t="n">
        <v>200</v>
      </c>
      <c r="C16" s="26" t="n">
        <v>230</v>
      </c>
      <c r="D16" s="26" t="n">
        <v>250</v>
      </c>
      <c r="E16" s="26" t="n">
        <v>265</v>
      </c>
      <c r="F16" s="26" t="n">
        <v>280</v>
      </c>
      <c r="G16" s="26" t="n">
        <v>290</v>
      </c>
      <c r="H16" s="26" t="n">
        <v>300</v>
      </c>
      <c r="I16" s="26" t="n">
        <v>310</v>
      </c>
    </row>
    <row r="17" customFormat="false" ht="15" hidden="false" customHeight="false" outlineLevel="0" collapsed="false">
      <c r="A17" s="25" t="s">
        <v>224</v>
      </c>
      <c r="B17" s="26" t="n">
        <v>700</v>
      </c>
      <c r="C17" s="26" t="n">
        <v>900</v>
      </c>
      <c r="D17" s="26" t="n">
        <v>1100</v>
      </c>
      <c r="E17" s="26" t="n">
        <v>1210</v>
      </c>
      <c r="F17" s="26" t="n">
        <v>1310</v>
      </c>
      <c r="G17" s="26" t="n">
        <v>1410</v>
      </c>
      <c r="H17" s="26" t="n">
        <v>1500</v>
      </c>
      <c r="I17" s="26" t="n">
        <v>1590</v>
      </c>
    </row>
    <row r="18" customFormat="false" ht="15" hidden="false" customHeight="false" outlineLevel="0" collapsed="false">
      <c r="A18" s="10" t="s">
        <v>225</v>
      </c>
      <c r="B18" s="27" t="n">
        <v>2400</v>
      </c>
      <c r="C18" s="27" t="n">
        <v>3163</v>
      </c>
      <c r="D18" s="27" t="n">
        <v>3910</v>
      </c>
      <c r="E18" s="27" t="n">
        <v>4285</v>
      </c>
      <c r="F18" s="27" t="n">
        <v>4640</v>
      </c>
      <c r="G18" s="27" t="n">
        <v>4970</v>
      </c>
      <c r="H18" s="27" t="n">
        <v>5270</v>
      </c>
      <c r="I18" s="27" t="n">
        <v>5570</v>
      </c>
    </row>
    <row r="19" customFormat="false" ht="15" hidden="false" customHeight="false" outlineLevel="0" collapsed="false">
      <c r="A19" s="25" t="s">
        <v>226</v>
      </c>
      <c r="B19" s="26" t="n">
        <v>250</v>
      </c>
      <c r="C19" s="26" t="n">
        <v>290</v>
      </c>
      <c r="D19" s="26" t="n">
        <v>310</v>
      </c>
      <c r="E19" s="26" t="n">
        <v>325</v>
      </c>
      <c r="F19" s="26" t="n">
        <v>340</v>
      </c>
      <c r="G19" s="26" t="n">
        <v>360</v>
      </c>
      <c r="H19" s="26" t="n">
        <v>375</v>
      </c>
      <c r="I19" s="26" t="n">
        <v>390</v>
      </c>
    </row>
    <row r="20" customFormat="false" ht="15" hidden="false" customHeight="false" outlineLevel="0" collapsed="false">
      <c r="A20" s="25" t="s">
        <v>227</v>
      </c>
      <c r="B20" s="26" t="n">
        <v>450</v>
      </c>
      <c r="C20" s="26" t="n">
        <v>400</v>
      </c>
      <c r="D20" s="26" t="n">
        <v>500</v>
      </c>
      <c r="E20" s="26" t="n">
        <v>530</v>
      </c>
      <c r="F20" s="26" t="n">
        <v>560</v>
      </c>
      <c r="G20" s="26" t="n">
        <v>590</v>
      </c>
      <c r="H20" s="26" t="n">
        <v>620</v>
      </c>
      <c r="I20" s="26" t="n">
        <v>650</v>
      </c>
    </row>
    <row r="21" customFormat="false" ht="15" hidden="false" customHeight="false" outlineLevel="0" collapsed="false">
      <c r="A21" s="10" t="s">
        <v>228</v>
      </c>
      <c r="B21" s="27" t="n">
        <v>3100</v>
      </c>
      <c r="C21" s="27" t="n">
        <v>3853</v>
      </c>
      <c r="D21" s="27" t="n">
        <v>4720</v>
      </c>
      <c r="E21" s="27" t="n">
        <v>5140</v>
      </c>
      <c r="F21" s="27" t="n">
        <v>5540</v>
      </c>
      <c r="G21" s="27" t="n">
        <v>5920</v>
      </c>
      <c r="H21" s="27" t="n">
        <v>6265</v>
      </c>
      <c r="I21" s="27" t="n">
        <v>6610</v>
      </c>
    </row>
    <row r="22" customFormat="false" ht="15" hidden="false" customHeight="false" outlineLevel="0" collapsed="false">
      <c r="A22" s="10" t="s">
        <v>229</v>
      </c>
      <c r="B22" s="27" t="n">
        <v>696</v>
      </c>
      <c r="C22" s="27" t="n">
        <v>873</v>
      </c>
      <c r="D22" s="27" t="n">
        <v>873</v>
      </c>
      <c r="E22" s="27" t="n">
        <v>996</v>
      </c>
      <c r="F22" s="27" t="n">
        <v>1149</v>
      </c>
      <c r="G22" s="27" t="n">
        <v>1284</v>
      </c>
      <c r="H22" s="27" t="n">
        <v>1408</v>
      </c>
      <c r="I22" s="27" t="n">
        <v>1537</v>
      </c>
    </row>
    <row r="23" customFormat="false" ht="15" hidden="false" customHeight="false" outlineLevel="0" collapsed="false">
      <c r="A23" s="25" t="s">
        <v>230</v>
      </c>
      <c r="B23" s="26" t="n">
        <v>300</v>
      </c>
      <c r="C23" s="26" t="n">
        <v>474</v>
      </c>
      <c r="D23" s="26" t="n">
        <v>507</v>
      </c>
      <c r="E23" s="26" t="n">
        <v>540</v>
      </c>
      <c r="F23" s="26" t="n">
        <v>575</v>
      </c>
      <c r="G23" s="26" t="n">
        <v>610</v>
      </c>
      <c r="H23" s="26" t="n">
        <v>648</v>
      </c>
      <c r="I23" s="26" t="n">
        <v>688</v>
      </c>
    </row>
    <row r="24" customFormat="false" ht="15" hidden="false" customHeight="false" outlineLevel="0" collapsed="false">
      <c r="A24" s="10" t="s">
        <v>231</v>
      </c>
      <c r="B24" s="27" t="n">
        <v>996</v>
      </c>
      <c r="C24" s="27" t="n">
        <v>1347</v>
      </c>
      <c r="D24" s="27" t="n">
        <v>1380</v>
      </c>
      <c r="E24" s="27" t="n">
        <v>1536</v>
      </c>
      <c r="F24" s="27" t="n">
        <v>1724</v>
      </c>
      <c r="G24" s="27" t="n">
        <v>1894</v>
      </c>
      <c r="H24" s="27" t="n">
        <v>2056</v>
      </c>
      <c r="I24" s="27" t="n">
        <v>2225</v>
      </c>
    </row>
    <row r="25" customFormat="false" ht="15" hidden="false" customHeight="false" outlineLevel="0" collapsed="false">
      <c r="A25" s="10" t="s">
        <v>232</v>
      </c>
      <c r="B25" s="27" t="n">
        <v>4096</v>
      </c>
      <c r="C25" s="27" t="n">
        <v>5200</v>
      </c>
      <c r="D25" s="27" t="n">
        <v>6100</v>
      </c>
      <c r="E25" s="27" t="n">
        <v>6676</v>
      </c>
      <c r="F25" s="27" t="n">
        <v>7264</v>
      </c>
      <c r="G25" s="27" t="n">
        <v>7814</v>
      </c>
      <c r="H25" s="27" t="n">
        <v>8321</v>
      </c>
      <c r="I25" s="27" t="n">
        <v>8835</v>
      </c>
    </row>
    <row r="26" customFormat="false" ht="15" hidden="false" customHeight="false" outlineLevel="0" collapsed="false">
      <c r="A26" s="25" t="s">
        <v>233</v>
      </c>
      <c r="B26" s="26" t="n">
        <v>6.32</v>
      </c>
      <c r="C26" s="26" t="n">
        <v>7.92</v>
      </c>
      <c r="D26" s="26" t="n">
        <v>7.92</v>
      </c>
      <c r="E26" s="26" t="n">
        <v>9.04</v>
      </c>
      <c r="F26" s="26" t="n">
        <v>10.43</v>
      </c>
      <c r="G26" s="26" t="n">
        <v>11.65</v>
      </c>
      <c r="H26" s="26" t="n">
        <v>12.78</v>
      </c>
      <c r="I26" s="26" t="n">
        <v>13.95</v>
      </c>
    </row>
    <row r="27" customFormat="false" ht="15" hidden="false" customHeight="false" outlineLevel="0" collapsed="false">
      <c r="A27" s="25" t="s">
        <v>234</v>
      </c>
      <c r="B27" s="26" t="n">
        <v>246</v>
      </c>
      <c r="C27" s="26" t="n">
        <v>521</v>
      </c>
      <c r="D27" s="26" t="n">
        <v>540</v>
      </c>
      <c r="E27" s="26" t="n">
        <v>590</v>
      </c>
      <c r="F27" s="26" t="n">
        <v>650</v>
      </c>
      <c r="G27" s="26" t="n">
        <v>710</v>
      </c>
      <c r="H27" s="26" t="n">
        <v>775</v>
      </c>
      <c r="I27" s="26" t="n">
        <v>840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9" min="2" style="0" width="11"/>
  </cols>
  <sheetData>
    <row r="1" customFormat="false" ht="16.15" hidden="false" customHeight="false" outlineLevel="0" collapsed="false">
      <c r="A1" s="1" t="s">
        <v>235</v>
      </c>
    </row>
    <row r="3" customFormat="false" ht="15" hidden="false" customHeight="false" outlineLevel="0" collapsed="false">
      <c r="A3" s="8"/>
      <c r="B3" s="8" t="s">
        <v>177</v>
      </c>
      <c r="C3" s="8" t="s">
        <v>178</v>
      </c>
      <c r="D3" s="8" t="s">
        <v>179</v>
      </c>
      <c r="E3" s="8" t="s">
        <v>162</v>
      </c>
      <c r="F3" s="8" t="s">
        <v>163</v>
      </c>
      <c r="G3" s="8" t="s">
        <v>164</v>
      </c>
      <c r="H3" s="8" t="s">
        <v>165</v>
      </c>
      <c r="I3" s="8" t="s">
        <v>166</v>
      </c>
    </row>
    <row r="4" customFormat="false" ht="15" hidden="false" customHeight="false" outlineLevel="0" collapsed="false">
      <c r="A4" s="10" t="s">
        <v>236</v>
      </c>
      <c r="B4" s="27" t="n">
        <v>217</v>
      </c>
      <c r="C4" s="27" t="n">
        <v>645</v>
      </c>
      <c r="D4" s="27" t="n">
        <v>520</v>
      </c>
      <c r="E4" s="27" t="n">
        <v>470</v>
      </c>
      <c r="F4" s="27" t="n">
        <v>500</v>
      </c>
      <c r="G4" s="27" t="n">
        <v>540</v>
      </c>
      <c r="H4" s="27" t="n">
        <v>575</v>
      </c>
      <c r="I4" s="27" t="n">
        <v>610</v>
      </c>
    </row>
    <row r="5" customFormat="false" ht="15" hidden="false" customHeight="false" outlineLevel="0" collapsed="false">
      <c r="A5" s="25" t="s">
        <v>237</v>
      </c>
      <c r="B5" s="26" t="n">
        <v>84</v>
      </c>
      <c r="C5" s="26" t="n">
        <v>-63</v>
      </c>
      <c r="D5" s="26" t="n">
        <v>-150</v>
      </c>
      <c r="E5" s="26" t="n">
        <v>-180</v>
      </c>
      <c r="F5" s="26" t="n">
        <v>-190</v>
      </c>
      <c r="G5" s="26" t="n">
        <v>-200</v>
      </c>
      <c r="H5" s="26" t="n">
        <v>-210</v>
      </c>
      <c r="I5" s="26" t="n">
        <v>-220</v>
      </c>
    </row>
    <row r="6" customFormat="false" ht="15" hidden="false" customHeight="false" outlineLevel="0" collapsed="false">
      <c r="A6" s="25" t="s">
        <v>238</v>
      </c>
      <c r="B6" s="26" t="n">
        <v>-72</v>
      </c>
      <c r="C6" s="26" t="n">
        <v>3</v>
      </c>
      <c r="D6" s="26" t="n">
        <v>-180</v>
      </c>
      <c r="E6" s="26" t="n">
        <v>-210</v>
      </c>
      <c r="F6" s="26" t="n">
        <v>-220</v>
      </c>
      <c r="G6" s="26" t="n">
        <v>-250</v>
      </c>
      <c r="H6" s="26" t="n">
        <v>-275</v>
      </c>
      <c r="I6" s="26" t="n">
        <v>-290</v>
      </c>
    </row>
    <row r="7" customFormat="false" ht="15" hidden="false" customHeight="false" outlineLevel="0" collapsed="false">
      <c r="A7" s="10" t="s">
        <v>239</v>
      </c>
      <c r="B7" s="27" t="n">
        <v>229</v>
      </c>
      <c r="C7" s="27" t="n">
        <v>584</v>
      </c>
      <c r="D7" s="27" t="n">
        <v>190</v>
      </c>
      <c r="E7" s="27" t="n">
        <v>80</v>
      </c>
      <c r="F7" s="27" t="n">
        <v>90</v>
      </c>
      <c r="G7" s="27" t="n">
        <v>90</v>
      </c>
      <c r="H7" s="27" t="n">
        <v>90</v>
      </c>
      <c r="I7" s="27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1"/>
  </cols>
  <sheetData>
    <row r="1" customFormat="false" ht="16.15" hidden="false" customHeight="false" outlineLevel="0" collapsed="false">
      <c r="A1" s="1" t="s">
        <v>240</v>
      </c>
    </row>
    <row r="3" customFormat="false" ht="15" hidden="false" customHeight="false" outlineLevel="0" collapsed="false">
      <c r="A3" s="8"/>
      <c r="B3" s="8" t="s">
        <v>177</v>
      </c>
      <c r="C3" s="8" t="s">
        <v>178</v>
      </c>
      <c r="D3" s="8" t="s">
        <v>179</v>
      </c>
      <c r="E3" s="8" t="s">
        <v>162</v>
      </c>
      <c r="F3" s="8" t="s">
        <v>163</v>
      </c>
      <c r="G3" s="8" t="s">
        <v>164</v>
      </c>
      <c r="H3" s="8" t="s">
        <v>165</v>
      </c>
      <c r="I3" s="8" t="s">
        <v>166</v>
      </c>
    </row>
    <row r="4" customFormat="false" ht="15" hidden="false" customHeight="false" outlineLevel="0" collapsed="false">
      <c r="A4" s="10" t="s">
        <v>182</v>
      </c>
      <c r="B4" s="28" t="n">
        <f aca="false">'Income Statement'!B6</f>
        <v>3442</v>
      </c>
      <c r="C4" s="28" t="n">
        <f aca="false">'Income Statement'!C6</f>
        <v>3255</v>
      </c>
      <c r="D4" s="28" t="n">
        <f aca="false">'Income Statement'!D6</f>
        <v>5050</v>
      </c>
      <c r="E4" s="28" t="n">
        <f aca="false">'Income Statement'!E6</f>
        <v>5550</v>
      </c>
      <c r="F4" s="28" t="n">
        <f aca="false">'Income Statement'!F6</f>
        <v>6050</v>
      </c>
      <c r="G4" s="28" t="n">
        <f aca="false">'Income Statement'!G6</f>
        <v>6500</v>
      </c>
      <c r="H4" s="28" t="n">
        <f aca="false">'Income Statement'!H6</f>
        <v>6900</v>
      </c>
      <c r="I4" s="28" t="n">
        <f aca="false">'Income Statement'!I6</f>
        <v>7300</v>
      </c>
    </row>
    <row r="5" customFormat="false" ht="15" hidden="false" customHeight="false" outlineLevel="0" collapsed="false">
      <c r="A5" s="10" t="s">
        <v>138</v>
      </c>
      <c r="B5" s="28" t="n">
        <f aca="false">'Income Statement'!B9</f>
        <v>190</v>
      </c>
      <c r="C5" s="28" t="n">
        <f aca="false">'Income Statement'!C9</f>
        <v>152</v>
      </c>
      <c r="D5" s="28" t="n">
        <f aca="false">'Income Statement'!D9</f>
        <v>305</v>
      </c>
      <c r="E5" s="28" t="n">
        <f aca="false">'Income Statement'!E9</f>
        <v>330</v>
      </c>
      <c r="F5" s="28" t="n">
        <f aca="false">'Income Statement'!F9</f>
        <v>360</v>
      </c>
      <c r="G5" s="28" t="n">
        <f aca="false">'Income Statement'!G9</f>
        <v>388</v>
      </c>
      <c r="H5" s="28" t="n">
        <f aca="false">'Income Statement'!H9</f>
        <v>414</v>
      </c>
      <c r="I5" s="28" t="n">
        <f aca="false">'Income Statement'!I9</f>
        <v>438</v>
      </c>
    </row>
    <row r="6" customFormat="false" ht="15" hidden="false" customHeight="false" outlineLevel="0" collapsed="false">
      <c r="A6" s="10" t="s">
        <v>201</v>
      </c>
      <c r="B6" s="28" t="n">
        <f aca="false">'Income Statement'!B16</f>
        <v>159</v>
      </c>
      <c r="C6" s="28" t="n">
        <f aca="false">'Income Statement'!C16</f>
        <v>118</v>
      </c>
      <c r="D6" s="28" t="n">
        <f aca="false">'Income Statement'!D16</f>
        <v>195</v>
      </c>
      <c r="E6" s="28" t="n">
        <f aca="false">'Income Statement'!E16</f>
        <v>210</v>
      </c>
      <c r="F6" s="28" t="n">
        <f aca="false">'Income Statement'!F16</f>
        <v>228</v>
      </c>
      <c r="G6" s="28" t="n">
        <f aca="false">'Income Statement'!G16</f>
        <v>246</v>
      </c>
      <c r="H6" s="28" t="n">
        <f aca="false">'Income Statement'!H16</f>
        <v>265</v>
      </c>
      <c r="I6" s="28" t="n">
        <f aca="false">'Income Statement'!I16</f>
        <v>281</v>
      </c>
    </row>
    <row r="7" customFormat="false" ht="15" hidden="false" customHeight="false" outlineLevel="0" collapsed="false">
      <c r="A7" s="10" t="s">
        <v>221</v>
      </c>
      <c r="B7" s="28" t="n">
        <f aca="false">'Balance Sheet'!B14</f>
        <v>4096</v>
      </c>
      <c r="C7" s="28" t="n">
        <f aca="false">'Balance Sheet'!C14</f>
        <v>5200</v>
      </c>
      <c r="D7" s="28" t="n">
        <f aca="false">'Balance Sheet'!D14</f>
        <v>6100</v>
      </c>
      <c r="E7" s="28" t="n">
        <f aca="false">'Balance Sheet'!E14</f>
        <v>6676</v>
      </c>
      <c r="F7" s="28" t="n">
        <f aca="false">'Balance Sheet'!F14</f>
        <v>7264</v>
      </c>
      <c r="G7" s="28" t="n">
        <f aca="false">'Balance Sheet'!G14</f>
        <v>7814</v>
      </c>
      <c r="H7" s="28" t="n">
        <f aca="false">'Balance Sheet'!H14</f>
        <v>8321</v>
      </c>
      <c r="I7" s="28" t="n">
        <f aca="false">'Balance Sheet'!I14</f>
        <v>8835</v>
      </c>
    </row>
    <row r="8" customFormat="false" ht="15" hidden="false" customHeight="false" outlineLevel="0" collapsed="false">
      <c r="A8" s="10" t="s">
        <v>241</v>
      </c>
      <c r="B8" s="28" t="n">
        <f aca="false">'Balance Sheet'!B22</f>
        <v>696</v>
      </c>
      <c r="C8" s="28" t="n">
        <f aca="false">'Balance Sheet'!C22</f>
        <v>873</v>
      </c>
      <c r="D8" s="28" t="n">
        <f aca="false">'Balance Sheet'!D22</f>
        <v>873</v>
      </c>
      <c r="E8" s="28" t="n">
        <f aca="false">'Balance Sheet'!E22</f>
        <v>996</v>
      </c>
      <c r="F8" s="28" t="n">
        <f aca="false">'Balance Sheet'!F22</f>
        <v>1149</v>
      </c>
      <c r="G8" s="28" t="n">
        <f aca="false">'Balance Sheet'!G22</f>
        <v>1284</v>
      </c>
      <c r="H8" s="28" t="n">
        <f aca="false">'Balance Sheet'!H22</f>
        <v>1408</v>
      </c>
      <c r="I8" s="28" t="n">
        <f aca="false">'Balance Sheet'!I22</f>
        <v>1537</v>
      </c>
    </row>
    <row r="9" customFormat="false" ht="15" hidden="false" customHeight="false" outlineLevel="0" collapsed="false">
      <c r="A9" s="10" t="s">
        <v>236</v>
      </c>
      <c r="B9" s="28" t="n">
        <f aca="false">'Cash Flow'!B4</f>
        <v>217</v>
      </c>
      <c r="C9" s="28" t="n">
        <f aca="false">'Cash Flow'!C4</f>
        <v>645</v>
      </c>
      <c r="D9" s="28" t="n">
        <f aca="false">'Cash Flow'!D4</f>
        <v>520</v>
      </c>
      <c r="E9" s="28" t="n">
        <f aca="false">'Cash Flow'!E4</f>
        <v>470</v>
      </c>
      <c r="F9" s="28" t="n">
        <f aca="false">'Cash Flow'!F4</f>
        <v>500</v>
      </c>
      <c r="G9" s="28" t="n">
        <f aca="false">'Cash Flow'!G4</f>
        <v>540</v>
      </c>
      <c r="H9" s="28" t="n">
        <f aca="false">'Cash Flow'!H4</f>
        <v>575</v>
      </c>
      <c r="I9" s="28" t="n">
        <f aca="false">'Cash Flow'!I4</f>
        <v>610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1"/>
    <col collapsed="false" customWidth="true" hidden="false" outlineLevel="0" max="8" min="8" style="0" width="40"/>
  </cols>
  <sheetData>
    <row r="1" customFormat="false" ht="16.15" hidden="false" customHeight="false" outlineLevel="0" collapsed="false">
      <c r="A1" s="1" t="s">
        <v>242</v>
      </c>
    </row>
    <row r="2" customFormat="false" ht="15" hidden="false" customHeight="false" outlineLevel="0" collapsed="false">
      <c r="A2" s="4" t="s">
        <v>243</v>
      </c>
    </row>
    <row r="3" customFormat="false" ht="15" hidden="false" customHeight="false" outlineLevel="0" collapsed="false">
      <c r="A3" s="4" t="s">
        <v>244</v>
      </c>
    </row>
    <row r="5" customFormat="false" ht="15" hidden="false" customHeight="false" outlineLevel="0" collapsed="false">
      <c r="A5" s="14" t="s">
        <v>245</v>
      </c>
    </row>
    <row r="6" customFormat="false" ht="15" hidden="false" customHeight="false" outlineLevel="0" collapsed="false">
      <c r="A6" s="0" t="s">
        <v>246</v>
      </c>
      <c r="B6" s="29" t="n">
        <v>720</v>
      </c>
    </row>
    <row r="7" customFormat="false" ht="15" hidden="false" customHeight="false" outlineLevel="0" collapsed="false">
      <c r="A7" s="0" t="s">
        <v>247</v>
      </c>
      <c r="B7" s="29" t="n">
        <v>20</v>
      </c>
    </row>
    <row r="8" customFormat="false" ht="15" hidden="false" customHeight="false" outlineLevel="0" collapsed="false">
      <c r="A8" s="0" t="s">
        <v>248</v>
      </c>
      <c r="B8" s="29" t="n">
        <v>60</v>
      </c>
    </row>
    <row r="9" customFormat="false" ht="15" hidden="false" customHeight="false" outlineLevel="0" collapsed="false">
      <c r="A9" s="0" t="s">
        <v>249</v>
      </c>
      <c r="B9" s="29" t="n">
        <v>0.336</v>
      </c>
    </row>
    <row r="10" customFormat="false" ht="15" hidden="false" customHeight="false" outlineLevel="0" collapsed="false">
      <c r="A10" s="0" t="s">
        <v>250</v>
      </c>
      <c r="B10" s="29" t="n">
        <v>1.4</v>
      </c>
    </row>
    <row r="11" customFormat="false" ht="15" hidden="false" customHeight="false" outlineLevel="0" collapsed="false">
      <c r="A11" s="0" t="s">
        <v>251</v>
      </c>
      <c r="B11" s="30" t="n">
        <v>0.412</v>
      </c>
    </row>
    <row r="12" customFormat="false" ht="15" hidden="false" customHeight="false" outlineLevel="0" collapsed="false">
      <c r="A12" s="0" t="s">
        <v>252</v>
      </c>
      <c r="B12" s="30" t="n">
        <v>0.017</v>
      </c>
    </row>
    <row r="13" customFormat="false" ht="15" hidden="false" customHeight="false" outlineLevel="0" collapsed="false">
      <c r="A13" s="0" t="s">
        <v>253</v>
      </c>
      <c r="B13" s="29" t="n">
        <v>686</v>
      </c>
    </row>
    <row r="14" customFormat="false" ht="15" hidden="false" customHeight="false" outlineLevel="0" collapsed="false">
      <c r="A14" s="0" t="s">
        <v>254</v>
      </c>
      <c r="B14" s="29" t="n">
        <v>282</v>
      </c>
    </row>
    <row r="15" customFormat="false" ht="15" hidden="false" customHeight="false" outlineLevel="0" collapsed="false">
      <c r="A15" s="0" t="s">
        <v>255</v>
      </c>
      <c r="B15" s="29" t="n">
        <v>800</v>
      </c>
    </row>
    <row r="17" customFormat="false" ht="15" hidden="false" customHeight="false" outlineLevel="0" collapsed="false">
      <c r="A17" s="14" t="s">
        <v>256</v>
      </c>
    </row>
    <row r="18" customFormat="false" ht="15" hidden="false" customHeight="false" outlineLevel="0" collapsed="false">
      <c r="A18" s="8" t="s">
        <v>257</v>
      </c>
      <c r="B18" s="8" t="s">
        <v>258</v>
      </c>
      <c r="C18" s="8" t="s">
        <v>259</v>
      </c>
      <c r="D18" s="8"/>
      <c r="E18" s="8"/>
      <c r="H18" s="10" t="s">
        <v>260</v>
      </c>
    </row>
    <row r="19" customFormat="false" ht="15" hidden="false" customHeight="false" outlineLevel="0" collapsed="false">
      <c r="A19" s="0" t="s">
        <v>261</v>
      </c>
      <c r="B19" s="18" t="n">
        <v>0.008</v>
      </c>
      <c r="C19" s="18" t="n">
        <v>0.06</v>
      </c>
      <c r="H19" s="21" t="s">
        <v>262</v>
      </c>
    </row>
    <row r="20" customFormat="false" ht="15" hidden="false" customHeight="false" outlineLevel="0" collapsed="false">
      <c r="A20" s="0" t="s">
        <v>263</v>
      </c>
      <c r="B20" s="18" t="n">
        <v>0.004</v>
      </c>
      <c r="C20" s="18" t="n">
        <v>0.05</v>
      </c>
      <c r="H20" s="21" t="s">
        <v>264</v>
      </c>
    </row>
    <row r="21" customFormat="false" ht="15" hidden="false" customHeight="false" outlineLevel="0" collapsed="false">
      <c r="A21" s="0" t="s">
        <v>265</v>
      </c>
      <c r="B21" s="18" t="n">
        <v>0</v>
      </c>
      <c r="C21" s="18" t="n">
        <v>0.05</v>
      </c>
      <c r="H21" s="21" t="s">
        <v>266</v>
      </c>
    </row>
    <row r="22" customFormat="false" ht="15" hidden="false" customHeight="false" outlineLevel="0" collapsed="false">
      <c r="A22" s="0" t="s">
        <v>267</v>
      </c>
      <c r="B22" s="18" t="n">
        <v>0.006</v>
      </c>
      <c r="C22" s="18" t="n">
        <v>0.06</v>
      </c>
      <c r="H22" s="21" t="s">
        <v>268</v>
      </c>
    </row>
    <row r="23" customFormat="false" ht="15" hidden="false" customHeight="false" outlineLevel="0" collapsed="false">
      <c r="A23" s="0" t="s">
        <v>269</v>
      </c>
      <c r="B23" s="18" t="n">
        <v>-0.006</v>
      </c>
      <c r="C23" s="18" t="n">
        <v>0.04</v>
      </c>
      <c r="H23" s="21" t="s">
        <v>270</v>
      </c>
    </row>
    <row r="24" customFormat="false" ht="15" hidden="false" customHeight="false" outlineLevel="0" collapsed="false">
      <c r="A24" s="0" t="s">
        <v>271</v>
      </c>
      <c r="B24" s="18" t="n">
        <v>0.004</v>
      </c>
      <c r="C24" s="18" t="n">
        <v>0.05</v>
      </c>
      <c r="H24" s="21" t="s">
        <v>272</v>
      </c>
    </row>
    <row r="25" customFormat="false" ht="15" hidden="false" customHeight="false" outlineLevel="0" collapsed="false">
      <c r="A25" s="0" t="s">
        <v>273</v>
      </c>
      <c r="B25" s="18" t="n">
        <v>-0.004</v>
      </c>
      <c r="C25" s="18" t="n">
        <v>0.04</v>
      </c>
      <c r="H25" s="21" t="s">
        <v>274</v>
      </c>
    </row>
    <row r="27" customFormat="false" ht="15" hidden="false" customHeight="false" outlineLevel="0" collapsed="false">
      <c r="A27" s="14" t="s">
        <v>275</v>
      </c>
    </row>
    <row r="28" customFormat="false" ht="15" hidden="false" customHeight="false" outlineLevel="0" collapsed="false">
      <c r="A28" s="8" t="s">
        <v>276</v>
      </c>
      <c r="B28" s="8" t="s">
        <v>277</v>
      </c>
      <c r="C28" s="8" t="s">
        <v>278</v>
      </c>
      <c r="D28" s="8" t="s">
        <v>279</v>
      </c>
      <c r="E28" s="8"/>
      <c r="H28" s="10" t="s">
        <v>260</v>
      </c>
    </row>
    <row r="29" customFormat="false" ht="15" hidden="false" customHeight="false" outlineLevel="0" collapsed="false">
      <c r="A29" s="0" t="s">
        <v>280</v>
      </c>
      <c r="B29" s="17" t="n">
        <v>0.45</v>
      </c>
      <c r="C29" s="18" t="n">
        <v>0.01</v>
      </c>
      <c r="D29" s="18" t="n">
        <v>0.08</v>
      </c>
      <c r="H29" s="21" t="s">
        <v>281</v>
      </c>
    </row>
    <row r="30" customFormat="false" ht="15" hidden="false" customHeight="false" outlineLevel="0" collapsed="false">
      <c r="A30" s="0" t="s">
        <v>282</v>
      </c>
      <c r="B30" s="17" t="n">
        <v>0.5</v>
      </c>
      <c r="C30" s="18" t="n">
        <v>0.025</v>
      </c>
      <c r="D30" s="18" t="n">
        <v>0.05</v>
      </c>
      <c r="H30" s="21" t="s">
        <v>283</v>
      </c>
    </row>
    <row r="31" customFormat="false" ht="15" hidden="false" customHeight="false" outlineLevel="0" collapsed="false">
      <c r="A31" s="0" t="s">
        <v>284</v>
      </c>
      <c r="B31" s="17" t="n">
        <v>0.3</v>
      </c>
      <c r="C31" s="18" t="n">
        <v>-0.09</v>
      </c>
      <c r="D31" s="18" t="n">
        <v>0.05</v>
      </c>
      <c r="H31" s="21" t="s">
        <v>285</v>
      </c>
    </row>
    <row r="32" customFormat="false" ht="15" hidden="false" customHeight="false" outlineLevel="0" collapsed="false">
      <c r="A32" s="0" t="s">
        <v>286</v>
      </c>
      <c r="B32" s="17" t="n">
        <v>0.5</v>
      </c>
      <c r="C32" s="18" t="n">
        <v>0.01</v>
      </c>
      <c r="D32" s="18" t="n">
        <v>0.06</v>
      </c>
      <c r="H32" s="21" t="s">
        <v>287</v>
      </c>
    </row>
    <row r="33" customFormat="false" ht="15" hidden="false" customHeight="false" outlineLevel="0" collapsed="false">
      <c r="A33" s="0" t="s">
        <v>288</v>
      </c>
      <c r="B33" s="17" t="n">
        <v>0.3</v>
      </c>
      <c r="C33" s="18" t="n">
        <v>0.02</v>
      </c>
      <c r="D33" s="18" t="n">
        <v>0.06</v>
      </c>
      <c r="H33" s="21" t="s">
        <v>289</v>
      </c>
    </row>
    <row r="34" customFormat="false" ht="15" hidden="false" customHeight="false" outlineLevel="0" collapsed="false">
      <c r="A34" s="0" t="s">
        <v>290</v>
      </c>
      <c r="B34" s="17" t="n">
        <v>0.3</v>
      </c>
      <c r="C34" s="18" t="n">
        <v>-0.05</v>
      </c>
      <c r="D34" s="18" t="n">
        <v>0.04</v>
      </c>
      <c r="H34" s="21" t="s">
        <v>291</v>
      </c>
    </row>
    <row r="35" customFormat="false" ht="15" hidden="false" customHeight="false" outlineLevel="0" collapsed="false">
      <c r="A35" s="0" t="s">
        <v>292</v>
      </c>
      <c r="B35" s="17" t="n">
        <v>0.35</v>
      </c>
      <c r="C35" s="18" t="n">
        <v>0.025</v>
      </c>
      <c r="D35" s="18" t="n">
        <v>0.04</v>
      </c>
      <c r="H35" s="21" t="s">
        <v>293</v>
      </c>
    </row>
    <row r="36" customFormat="false" ht="15" hidden="false" customHeight="false" outlineLevel="0" collapsed="false">
      <c r="A36" s="0" t="s">
        <v>294</v>
      </c>
      <c r="B36" s="17" t="n">
        <v>0.3</v>
      </c>
      <c r="C36" s="18" t="n">
        <v>0.02</v>
      </c>
      <c r="D36" s="18" t="n">
        <v>0.05</v>
      </c>
      <c r="H36" s="21" t="s">
        <v>295</v>
      </c>
    </row>
    <row r="37" customFormat="false" ht="15" hidden="false" customHeight="false" outlineLevel="0" collapsed="false">
      <c r="A37" s="0" t="s">
        <v>296</v>
      </c>
      <c r="B37" s="17" t="n">
        <v>0.3</v>
      </c>
      <c r="C37" s="18" t="n">
        <v>0.015</v>
      </c>
      <c r="D37" s="18" t="n">
        <v>0.04</v>
      </c>
      <c r="H37" s="21" t="s">
        <v>297</v>
      </c>
    </row>
    <row r="39" customFormat="false" ht="15" hidden="false" customHeight="false" outlineLevel="0" collapsed="false">
      <c r="A39" s="14" t="s">
        <v>298</v>
      </c>
    </row>
    <row r="40" customFormat="false" ht="15" hidden="false" customHeight="false" outlineLevel="0" collapsed="false">
      <c r="A40" s="8" t="s">
        <v>299</v>
      </c>
      <c r="B40" s="8" t="s">
        <v>300</v>
      </c>
      <c r="C40" s="8" t="s">
        <v>301</v>
      </c>
      <c r="D40" s="8" t="s">
        <v>302</v>
      </c>
      <c r="E40" s="8" t="s">
        <v>303</v>
      </c>
      <c r="F40" s="8" t="s">
        <v>304</v>
      </c>
    </row>
    <row r="41" customFormat="false" ht="15" hidden="false" customHeight="false" outlineLevel="0" collapsed="false">
      <c r="A41" s="0" t="s">
        <v>305</v>
      </c>
      <c r="B41" s="3" t="n">
        <v>575</v>
      </c>
      <c r="C41" s="3" t="n">
        <v>658</v>
      </c>
      <c r="D41" s="3" t="n">
        <v>719</v>
      </c>
      <c r="E41" s="3" t="n">
        <v>785</v>
      </c>
      <c r="F41" s="3" t="n">
        <v>893</v>
      </c>
    </row>
    <row r="42" customFormat="false" ht="15" hidden="false" customHeight="false" outlineLevel="0" collapsed="false">
      <c r="A42" s="0" t="s">
        <v>306</v>
      </c>
      <c r="B42" s="3" t="n">
        <v>488</v>
      </c>
      <c r="C42" s="3" t="n">
        <v>611</v>
      </c>
      <c r="D42" s="3" t="n">
        <v>714</v>
      </c>
      <c r="E42" s="3" t="n">
        <v>834</v>
      </c>
      <c r="F42" s="3" t="n">
        <v>1040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11"/>
  </cols>
  <sheetData>
    <row r="1" customFormat="false" ht="16.15" hidden="false" customHeight="false" outlineLevel="0" collapsed="false">
      <c r="A1" s="1" t="s">
        <v>307</v>
      </c>
    </row>
    <row r="3" customFormat="false" ht="15" hidden="false" customHeight="false" outlineLevel="0" collapsed="false">
      <c r="A3" s="10" t="s">
        <v>308</v>
      </c>
      <c r="B3" s="18" t="n">
        <v>0.025</v>
      </c>
      <c r="C3" s="18" t="n">
        <v>0.03</v>
      </c>
      <c r="D3" s="18" t="n">
        <v>0.035</v>
      </c>
      <c r="E3" s="18" t="n">
        <v>0.04</v>
      </c>
      <c r="F3" s="18" t="n">
        <v>0.045</v>
      </c>
    </row>
    <row r="4" customFormat="false" ht="15" hidden="false" customHeight="false" outlineLevel="0" collapsed="false">
      <c r="A4" s="18" t="n">
        <v>0.105</v>
      </c>
      <c r="B4" s="3" t="n">
        <f aca="false">((Assumptions!$B$34*(1+Assumptions!$B$33)^1/(1+0.105)^1+Assumptions!$B$34*(1+Assumptions!$B$33)^2/(1+0.105)^2+Assumptions!$B$34*(1+Assumptions!$B$33)^3/(1+0.105)^3+Assumptions!$B$34*(1+Assumptions!$B$33)^4/(1+0.105)^4+Assumptions!$B$34*(1+Assumptions!$B$33)^5/(1+0.105)^5)+(Assumptions!$B$34*(1+Assumptions!$B$33)^5*(1+0.025)/(0.105-0.025)/(1+0.105)^5)+Assumptions!$B$25+Assumptions!$B$35)/Assumptions!$B$7*Assumptions!$B$6</f>
        <v>1077.609758912</v>
      </c>
      <c r="C4" s="3" t="n">
        <f aca="false">((Assumptions!$B$34*(1+Assumptions!$B$33)^1/(1+0.105)^1+Assumptions!$B$34*(1+Assumptions!$B$33)^2/(1+0.105)^2+Assumptions!$B$34*(1+Assumptions!$B$33)^3/(1+0.105)^3+Assumptions!$B$34*(1+Assumptions!$B$33)^4/(1+0.105)^4+Assumptions!$B$34*(1+Assumptions!$B$33)^5/(1+0.105)^5)+(Assumptions!$B$34*(1+Assumptions!$B$33)^5*(1+0.03)/(0.105-0.03)/(1+0.105)^5)+Assumptions!$B$25+Assumptions!$B$35)/Assumptions!$B$7*Assumptions!$B$6</f>
        <v>1118.0091384885</v>
      </c>
      <c r="D4" s="3" t="n">
        <f aca="false">((Assumptions!$B$34*(1+Assumptions!$B$33)^1/(1+0.105)^1+Assumptions!$B$34*(1+Assumptions!$B$33)^2/(1+0.105)^2+Assumptions!$B$34*(1+Assumptions!$B$33)^3/(1+0.105)^3+Assumptions!$B$34*(1+Assumptions!$B$33)^4/(1+0.105)^4+Assumptions!$B$34*(1+Assumptions!$B$33)^5/(1+0.105)^5)+(Assumptions!$B$34*(1+Assumptions!$B$33)^5*(1+0.035)/(0.105-0.035)/(1+0.105)^5)+Assumptions!$B$25+Assumptions!$B$35)/Assumptions!$B$7*Assumptions!$B$6</f>
        <v>1164.1798580045</v>
      </c>
      <c r="E4" s="3" t="n">
        <f aca="false">((Assumptions!$B$34*(1+Assumptions!$B$33)^1/(1+0.105)^1+Assumptions!$B$34*(1+Assumptions!$B$33)^2/(1+0.105)^2+Assumptions!$B$34*(1+Assumptions!$B$33)^3/(1+0.105)^3+Assumptions!$B$34*(1+Assumptions!$B$33)^4/(1+0.105)^4+Assumptions!$B$34*(1+Assumptions!$B$33)^5/(1+0.105)^5)+(Assumptions!$B$34*(1+Assumptions!$B$33)^5*(1+0.04)/(0.105-0.04)/(1+0.105)^5)+Assumptions!$B$25+Assumptions!$B$35)/Assumptions!$B$7*Assumptions!$B$6</f>
        <v>1217.45376513835</v>
      </c>
      <c r="F4" s="3" t="n">
        <f aca="false">((Assumptions!$B$34*(1+Assumptions!$B$33)^1/(1+0.105)^1+Assumptions!$B$34*(1+Assumptions!$B$33)^2/(1+0.105)^2+Assumptions!$B$34*(1+Assumptions!$B$33)^3/(1+0.105)^3+Assumptions!$B$34*(1+Assumptions!$B$33)^4/(1+0.105)^4+Assumptions!$B$34*(1+Assumptions!$B$33)^5/(1+0.105)^5)+(Assumptions!$B$34*(1+Assumptions!$B$33)^5*(1+0.045)/(0.105-0.045)/(1+0.105)^5)+Assumptions!$B$25+Assumptions!$B$35)/Assumptions!$B$7*Assumptions!$B$6</f>
        <v>1279.6066567945</v>
      </c>
    </row>
    <row r="5" customFormat="false" ht="15" hidden="false" customHeight="false" outlineLevel="0" collapsed="false">
      <c r="A5" s="18" t="n">
        <v>0.11</v>
      </c>
      <c r="B5" s="3" t="n">
        <f aca="false">((Assumptions!$B$34*(1+Assumptions!$B$33)^1/(1+0.11)^1+Assumptions!$B$34*(1+Assumptions!$B$33)^2/(1+0.11)^2+Assumptions!$B$34*(1+Assumptions!$B$33)^3/(1+0.11)^3+Assumptions!$B$34*(1+Assumptions!$B$33)^4/(1+0.11)^4+Assumptions!$B$34*(1+Assumptions!$B$33)^5/(1+0.11)^5)+(Assumptions!$B$34*(1+Assumptions!$B$33)^5*(1+0.025)/(0.11-0.025)/(1+0.11)^5)+Assumptions!$B$25+Assumptions!$B$35)/Assumptions!$B$7*Assumptions!$B$6</f>
        <v>1029.69585593789</v>
      </c>
      <c r="C5" s="3" t="n">
        <f aca="false">((Assumptions!$B$34*(1+Assumptions!$B$33)^1/(1+0.11)^1+Assumptions!$B$34*(1+Assumptions!$B$33)^2/(1+0.11)^2+Assumptions!$B$34*(1+Assumptions!$B$33)^3/(1+0.11)^3+Assumptions!$B$34*(1+Assumptions!$B$33)^4/(1+0.11)^4+Assumptions!$B$34*(1+Assumptions!$B$33)^5/(1+0.11)^5)+(Assumptions!$B$34*(1+Assumptions!$B$33)^5*(1+0.03)/(0.11-0.03)/(1+0.11)^5)+Assumptions!$B$25+Assumptions!$B$35)/Assumptions!$B$7*Assumptions!$B$6</f>
        <v>1064.70441455311</v>
      </c>
      <c r="D5" s="3" t="n">
        <f aca="false">((Assumptions!$B$34*(1+Assumptions!$B$33)^1/(1+0.11)^1+Assumptions!$B$34*(1+Assumptions!$B$33)^2/(1+0.11)^2+Assumptions!$B$34*(1+Assumptions!$B$33)^3/(1+0.11)^3+Assumptions!$B$34*(1+Assumptions!$B$33)^4/(1+0.11)^4+Assumptions!$B$34*(1+Assumptions!$B$33)^5/(1+0.11)^5)+(Assumptions!$B$34*(1+Assumptions!$B$33)^5*(1+0.035)/(0.11-0.035)/(1+0.11)^5)+Assumptions!$B$25+Assumptions!$B$35)/Assumptions!$B$7*Assumptions!$B$6</f>
        <v>1104.38078098369</v>
      </c>
      <c r="E5" s="3" t="n">
        <f aca="false">((Assumptions!$B$34*(1+Assumptions!$B$33)^1/(1+0.11)^1+Assumptions!$B$34*(1+Assumptions!$B$33)^2/(1+0.11)^2+Assumptions!$B$34*(1+Assumptions!$B$33)^3/(1+0.11)^3+Assumptions!$B$34*(1+Assumptions!$B$33)^4/(1+0.11)^4+Assumptions!$B$34*(1+Assumptions!$B$33)^5/(1+0.11)^5)+(Assumptions!$B$34*(1+Assumptions!$B$33)^5*(1+0.04)/(0.11-0.04)/(1+0.11)^5)+Assumptions!$B$25+Assumptions!$B$35)/Assumptions!$B$7*Assumptions!$B$6</f>
        <v>1149.72519976149</v>
      </c>
      <c r="F5" s="3" t="n">
        <f aca="false">((Assumptions!$B$34*(1+Assumptions!$B$33)^1/(1+0.11)^1+Assumptions!$B$34*(1+Assumptions!$B$33)^2/(1+0.11)^2+Assumptions!$B$34*(1+Assumptions!$B$33)^3/(1+0.11)^3+Assumptions!$B$34*(1+Assumptions!$B$33)^4/(1+0.11)^4+Assumptions!$B$34*(1+Assumptions!$B$33)^5/(1+0.11)^5)+(Assumptions!$B$34*(1+Assumptions!$B$33)^5*(1+0.045)/(0.11-0.045)/(1+0.11)^5)+Assumptions!$B$25+Assumptions!$B$35)/Assumptions!$B$7*Assumptions!$B$6</f>
        <v>1202.04568296665</v>
      </c>
    </row>
    <row r="6" customFormat="false" ht="15" hidden="false" customHeight="false" outlineLevel="0" collapsed="false">
      <c r="A6" s="18" t="n">
        <v>0.12</v>
      </c>
      <c r="B6" s="3" t="n">
        <f aca="false">((Assumptions!$B$34*(1+Assumptions!$B$33)^1/(1+0.12)^1+Assumptions!$B$34*(1+Assumptions!$B$33)^2/(1+0.12)^2+Assumptions!$B$34*(1+Assumptions!$B$33)^3/(1+0.12)^3+Assumptions!$B$34*(1+Assumptions!$B$33)^4/(1+0.12)^4+Assumptions!$B$34*(1+Assumptions!$B$33)^5/(1+0.12)^5)+(Assumptions!$B$34*(1+Assumptions!$B$33)^5*(1+0.025)/(0.12-0.025)/(1+0.12)^5)+Assumptions!$B$25+Assumptions!$B$35)/Assumptions!$B$7*Assumptions!$B$6</f>
        <v>949.061722478469</v>
      </c>
      <c r="C6" s="3" t="n">
        <f aca="false">((Assumptions!$B$34*(1+Assumptions!$B$33)^1/(1+0.12)^1+Assumptions!$B$34*(1+Assumptions!$B$33)^2/(1+0.12)^2+Assumptions!$B$34*(1+Assumptions!$B$33)^3/(1+0.12)^3+Assumptions!$B$34*(1+Assumptions!$B$33)^4/(1+0.12)^4+Assumptions!$B$34*(1+Assumptions!$B$33)^5/(1+0.12)^5)+(Assumptions!$B$34*(1+Assumptions!$B$33)^5*(1+0.03)/(0.12-0.03)/(1+0.12)^5)+Assumptions!$B$25+Assumptions!$B$35)/Assumptions!$B$7*Assumptions!$B$6</f>
        <v>975.923630188188</v>
      </c>
      <c r="D6" s="3" t="n">
        <f aca="false">((Assumptions!$B$34*(1+Assumptions!$B$33)^1/(1+0.12)^1+Assumptions!$B$34*(1+Assumptions!$B$33)^2/(1+0.12)^2+Assumptions!$B$34*(1+Assumptions!$B$33)^3/(1+0.12)^3+Assumptions!$B$34*(1+Assumptions!$B$33)^4/(1+0.12)^4+Assumptions!$B$34*(1+Assumptions!$B$33)^5/(1+0.12)^5)+(Assumptions!$B$34*(1+Assumptions!$B$33)^5*(1+0.035)/(0.12-0.035)/(1+0.12)^5)+Assumptions!$B$25+Assumptions!$B$35)/Assumptions!$B$7*Assumptions!$B$6</f>
        <v>1005.94576233434</v>
      </c>
      <c r="E6" s="3" t="n">
        <f aca="false">((Assumptions!$B$34*(1+Assumptions!$B$33)^1/(1+0.12)^1+Assumptions!$B$34*(1+Assumptions!$B$33)^2/(1+0.12)^2+Assumptions!$B$34*(1+Assumptions!$B$33)^3/(1+0.12)^3+Assumptions!$B$34*(1+Assumptions!$B$33)^4/(1+0.12)^4+Assumptions!$B$34*(1+Assumptions!$B$33)^5/(1+0.12)^5)+(Assumptions!$B$34*(1+Assumptions!$B$33)^5*(1+0.04)/(0.12-0.04)/(1+0.12)^5)+Assumptions!$B$25+Assumptions!$B$35)/Assumptions!$B$7*Assumptions!$B$6</f>
        <v>1039.72066099877</v>
      </c>
      <c r="F6" s="3" t="n">
        <f aca="false">((Assumptions!$B$34*(1+Assumptions!$B$33)^1/(1+0.12)^1+Assumptions!$B$34*(1+Assumptions!$B$33)^2/(1+0.12)^2+Assumptions!$B$34*(1+Assumptions!$B$33)^3/(1+0.12)^3+Assumptions!$B$34*(1+Assumptions!$B$33)^4/(1+0.12)^4+Assumptions!$B$34*(1+Assumptions!$B$33)^5/(1+0.12)^5)+(Assumptions!$B$34*(1+Assumptions!$B$33)^5*(1+0.045)/(0.12-0.045)/(1+0.12)^5)+Assumptions!$B$25+Assumptions!$B$35)/Assumptions!$B$7*Assumptions!$B$6</f>
        <v>1077.99887948512</v>
      </c>
    </row>
    <row r="7" customFormat="false" ht="15" hidden="false" customHeight="false" outlineLevel="0" collapsed="false">
      <c r="A7" s="18" t="n">
        <v>0.13</v>
      </c>
      <c r="B7" s="3" t="n">
        <f aca="false">((Assumptions!$B$34*(1+Assumptions!$B$33)^1/(1+0.13)^1+Assumptions!$B$34*(1+Assumptions!$B$33)^2/(1+0.13)^2+Assumptions!$B$34*(1+Assumptions!$B$33)^3/(1+0.13)^3+Assumptions!$B$34*(1+Assumptions!$B$33)^4/(1+0.13)^4+Assumptions!$B$34*(1+Assumptions!$B$33)^5/(1+0.13)^5)+(Assumptions!$B$34*(1+Assumptions!$B$33)^5*(1+0.025)/(0.13-0.025)/(1+0.13)^5)+Assumptions!$B$25+Assumptions!$B$35)/Assumptions!$B$7*Assumptions!$B$6</f>
        <v>883.859531091902</v>
      </c>
      <c r="C7" s="3" t="n">
        <f aca="false">((Assumptions!$B$34*(1+Assumptions!$B$33)^1/(1+0.13)^1+Assumptions!$B$34*(1+Assumptions!$B$33)^2/(1+0.13)^2+Assumptions!$B$34*(1+Assumptions!$B$33)^3/(1+0.13)^3+Assumptions!$B$34*(1+Assumptions!$B$33)^4/(1+0.13)^4+Assumptions!$B$34*(1+Assumptions!$B$33)^5/(1+0.13)^5)+(Assumptions!$B$34*(1+Assumptions!$B$33)^5*(1+0.03)/(0.13-0.03)/(1+0.13)^5)+Assumptions!$B$25+Assumptions!$B$35)/Assumptions!$B$7*Assumptions!$B$6</f>
        <v>904.968741318627</v>
      </c>
      <c r="D7" s="3" t="n">
        <f aca="false">((Assumptions!$B$34*(1+Assumptions!$B$33)^1/(1+0.13)^1+Assumptions!$B$34*(1+Assumptions!$B$33)^2/(1+0.13)^2+Assumptions!$B$34*(1+Assumptions!$B$33)^3/(1+0.13)^3+Assumptions!$B$34*(1+Assumptions!$B$33)^4/(1+0.13)^4+Assumptions!$B$34*(1+Assumptions!$B$33)^5/(1+0.13)^5)+(Assumptions!$B$34*(1+Assumptions!$B$33)^5*(1+0.035)/(0.13-0.035)/(1+0.13)^5)+Assumptions!$B$25+Assumptions!$B$35)/Assumptions!$B$7*Assumptions!$B$6</f>
        <v>928.299973674481</v>
      </c>
      <c r="E7" s="3" t="n">
        <f aca="false">((Assumptions!$B$34*(1+Assumptions!$B$33)^1/(1+0.13)^1+Assumptions!$B$34*(1+Assumptions!$B$33)^2/(1+0.13)^2+Assumptions!$B$34*(1+Assumptions!$B$33)^3/(1+0.13)^3+Assumptions!$B$34*(1+Assumptions!$B$33)^4/(1+0.13)^4+Assumptions!$B$34*(1+Assumptions!$B$33)^5/(1+0.13)^5)+(Assumptions!$B$34*(1+Assumptions!$B$33)^5*(1+0.04)/(0.13-0.04)/(1+0.13)^5)+Assumptions!$B$25+Assumptions!$B$35)/Assumptions!$B$7*Assumptions!$B$6</f>
        <v>954.223565180986</v>
      </c>
      <c r="F7" s="3" t="n">
        <f aca="false">((Assumptions!$B$34*(1+Assumptions!$B$33)^1/(1+0.13)^1+Assumptions!$B$34*(1+Assumptions!$B$33)^2/(1+0.13)^2+Assumptions!$B$34*(1+Assumptions!$B$33)^3/(1+0.13)^3+Assumptions!$B$34*(1+Assumptions!$B$33)^4/(1+0.13)^4+Assumptions!$B$34*(1+Assumptions!$B$33)^5/(1+0.13)^5)+(Assumptions!$B$34*(1+Assumptions!$B$33)^5*(1+0.045)/(0.13-0.045)/(1+0.13)^5)+Assumptions!$B$25+Assumptions!$B$35)/Assumptions!$B$7*Assumptions!$B$6</f>
        <v>983.196990982373</v>
      </c>
    </row>
    <row r="8" customFormat="false" ht="15" hidden="false" customHeight="false" outlineLevel="0" collapsed="false">
      <c r="A8" s="18" t="n">
        <v>0.14</v>
      </c>
      <c r="B8" s="3" t="n">
        <f aca="false">((Assumptions!$B$34*(1+Assumptions!$B$33)^1/(1+0.14)^1+Assumptions!$B$34*(1+Assumptions!$B$33)^2/(1+0.14)^2+Assumptions!$B$34*(1+Assumptions!$B$33)^3/(1+0.14)^3+Assumptions!$B$34*(1+Assumptions!$B$33)^4/(1+0.14)^4+Assumptions!$B$34*(1+Assumptions!$B$33)^5/(1+0.14)^5)+(Assumptions!$B$34*(1+Assumptions!$B$33)^5*(1+0.025)/(0.14-0.025)/(1+0.14)^5)+Assumptions!$B$25+Assumptions!$B$35)/Assumptions!$B$7*Assumptions!$B$6</f>
        <v>830.060534509162</v>
      </c>
      <c r="C8" s="3" t="n">
        <f aca="false">((Assumptions!$B$34*(1+Assumptions!$B$33)^1/(1+0.14)^1+Assumptions!$B$34*(1+Assumptions!$B$33)^2/(1+0.14)^2+Assumptions!$B$34*(1+Assumptions!$B$33)^3/(1+0.14)^3+Assumptions!$B$34*(1+Assumptions!$B$33)^4/(1+0.14)^4+Assumptions!$B$34*(1+Assumptions!$B$33)^5/(1+0.14)^5)+(Assumptions!$B$34*(1+Assumptions!$B$33)^5*(1+0.03)/(0.14-0.03)/(1+0.14)^5)+Assumptions!$B$25+Assumptions!$B$35)/Assumptions!$B$7*Assumptions!$B$6</f>
        <v>846.975266745257</v>
      </c>
      <c r="D8" s="3" t="n">
        <f aca="false">((Assumptions!$B$34*(1+Assumptions!$B$33)^1/(1+0.14)^1+Assumptions!$B$34*(1+Assumptions!$B$33)^2/(1+0.14)^2+Assumptions!$B$34*(1+Assumptions!$B$33)^3/(1+0.14)^3+Assumptions!$B$34*(1+Assumptions!$B$33)^4/(1+0.14)^4+Assumptions!$B$34*(1+Assumptions!$B$33)^5/(1+0.14)^5)+(Assumptions!$B$34*(1+Assumptions!$B$33)^5*(1+0.035)/(0.14-0.035)/(1+0.14)^5)+Assumptions!$B$25+Assumptions!$B$35)/Assumptions!$B$7*Assumptions!$B$6</f>
        <v>865.500925860981</v>
      </c>
      <c r="E8" s="3" t="n">
        <f aca="false">((Assumptions!$B$34*(1+Assumptions!$B$33)^1/(1+0.14)^1+Assumptions!$B$34*(1+Assumptions!$B$33)^2/(1+0.14)^2+Assumptions!$B$34*(1+Assumptions!$B$33)^3/(1+0.14)^3+Assumptions!$B$34*(1+Assumptions!$B$33)^4/(1+0.14)^4+Assumptions!$B$34*(1+Assumptions!$B$33)^5/(1+0.14)^5)+(Assumptions!$B$34*(1+Assumptions!$B$33)^5*(1+0.04)/(0.14-0.04)/(1+0.14)^5)+Assumptions!$B$25+Assumptions!$B$35)/Assumptions!$B$7*Assumptions!$B$6</f>
        <v>885.879150888277</v>
      </c>
      <c r="F8" s="3" t="n">
        <f aca="false">((Assumptions!$B$34*(1+Assumptions!$B$33)^1/(1+0.14)^1+Assumptions!$B$34*(1+Assumptions!$B$33)^2/(1+0.14)^2+Assumptions!$B$34*(1+Assumptions!$B$33)^3/(1+0.14)^3+Assumptions!$B$34*(1+Assumptions!$B$33)^4/(1+0.14)^4+Assumptions!$B$34*(1+Assumptions!$B$33)^5/(1+0.14)^5)+(Assumptions!$B$34*(1+Assumptions!$B$33)^5*(1+0.045)/(0.14-0.045)/(1+0.14)^5)+Assumptions!$B$25+Assumptions!$B$35)/Assumptions!$B$7*Assumptions!$B$6</f>
        <v>908.402452234235</v>
      </c>
    </row>
    <row r="10" customFormat="false" ht="15" hidden="false" customHeight="false" outlineLevel="0" collapsed="false">
      <c r="A10" s="0" t="s">
        <v>49</v>
      </c>
      <c r="B10" s="3" t="n">
        <f aca="false">Assumptions!$B$5</f>
        <v>720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</cols>
  <sheetData>
    <row r="1" customFormat="false" ht="16.15" hidden="false" customHeight="false" outlineLevel="0" collapsed="false">
      <c r="A1" s="1" t="s">
        <v>309</v>
      </c>
    </row>
    <row r="3" customFormat="false" ht="15" hidden="false" customHeight="false" outlineLevel="0" collapsed="false">
      <c r="A3" s="0" t="s">
        <v>49</v>
      </c>
      <c r="B3" s="3" t="n">
        <f aca="false">Assumptions!$B$5</f>
        <v>720</v>
      </c>
    </row>
    <row r="4" customFormat="false" ht="15" hidden="false" customHeight="false" outlineLevel="0" collapsed="false">
      <c r="A4" s="0" t="s">
        <v>310</v>
      </c>
      <c r="B4" s="22" t="n">
        <f aca="false">Assumptions!$B$5/Assumptions!$B$6</f>
        <v>14.6341463414634</v>
      </c>
    </row>
    <row r="5" customFormat="false" ht="15" hidden="false" customHeight="false" outlineLevel="0" collapsed="false">
      <c r="A5" s="0" t="s">
        <v>311</v>
      </c>
      <c r="B5" s="3" t="n">
        <f aca="false">Assumptions!$B$5/Assumptions!$B$6*Assumptions!$B$7</f>
        <v>1612.68292682927</v>
      </c>
    </row>
    <row r="6" customFormat="false" ht="15" hidden="false" customHeight="false" outlineLevel="0" collapsed="false">
      <c r="A6" s="0" t="s">
        <v>312</v>
      </c>
      <c r="B6" s="22" t="n">
        <f aca="false">Assumptions!$B$14/Assumptions!$B$7</f>
        <v>1.76769509981851</v>
      </c>
    </row>
    <row r="7" customFormat="false" ht="15" hidden="false" customHeight="false" outlineLevel="0" collapsed="false">
      <c r="A7" s="0" t="s">
        <v>28</v>
      </c>
      <c r="B7" s="6" t="n">
        <f aca="false">(Assumptions!$B$5/Assumptions!$B$6*Assumptions!$B$7)/Assumptions!$B$14</f>
        <v>8.27865978865127</v>
      </c>
    </row>
    <row r="8" customFormat="false" ht="15" hidden="false" customHeight="false" outlineLevel="0" collapsed="false">
      <c r="A8" s="0" t="s">
        <v>313</v>
      </c>
      <c r="B8" s="6" t="n">
        <f aca="false">(Assumptions!$B$5/Assumptions!$B$6*Assumptions!$B$7)/Assumptions!$B$15</f>
        <v>9.72667627761923</v>
      </c>
    </row>
    <row r="9" customFormat="false" ht="15" hidden="false" customHeight="false" outlineLevel="0" collapsed="false">
      <c r="A9" s="0" t="s">
        <v>314</v>
      </c>
      <c r="B9" s="3" t="n">
        <f aca="false">Assumptions!$B$5/Assumptions!$B$6*Assumptions!$B$7-Assumptions!$B$25</f>
        <v>1212.68292682927</v>
      </c>
    </row>
    <row r="10" customFormat="false" ht="15" hidden="false" customHeight="false" outlineLevel="0" collapsed="false">
      <c r="A10" s="0" t="s">
        <v>315</v>
      </c>
      <c r="B10" s="6" t="n">
        <f aca="false">(Assumptions!$B$5/Assumptions!$B$6*Assumptions!$B$7-Assumptions!$B$25)/Assumptions!$B$13</f>
        <v>4.3937787203959</v>
      </c>
    </row>
    <row r="11" customFormat="false" ht="15" hidden="false" customHeight="false" outlineLevel="0" collapsed="false">
      <c r="A11" s="0" t="s">
        <v>316</v>
      </c>
      <c r="B11" s="23" t="n">
        <f aca="false">(Assumptions!$B$5/Assumptions!$B$6*Assumptions!$B$7-Assumptions!$B$25)/Assumptions!$B$11</f>
        <v>0.240144743718418</v>
      </c>
    </row>
    <row r="12" customFormat="false" ht="15" hidden="false" customHeight="false" outlineLevel="0" collapsed="false">
      <c r="A12" s="0" t="s">
        <v>317</v>
      </c>
      <c r="B12" s="22" t="n">
        <f aca="false">0.47</f>
        <v>0.47</v>
      </c>
    </row>
    <row r="13" customFormat="false" ht="15" hidden="false" customHeight="false" outlineLevel="0" collapsed="false">
      <c r="A13" s="0" t="s">
        <v>318</v>
      </c>
      <c r="B13" s="31" t="n">
        <f aca="false">0.47/(Assumptions!$B$5/Assumptions!$B$6)</f>
        <v>0.0321166666666667</v>
      </c>
    </row>
    <row r="14" customFormat="false" ht="15" hidden="false" customHeight="false" outlineLevel="0" collapsed="false">
      <c r="A14" s="0" t="s">
        <v>319</v>
      </c>
      <c r="B14" s="6" t="n">
        <f aca="false">Assumptions!$B$27/(Assumptions!$B$5/Assumptions!$B$6*Assumptions!$B$7)</f>
        <v>5.59651240169389</v>
      </c>
    </row>
    <row r="15" customFormat="false" ht="15" hidden="false" customHeight="false" outlineLevel="0" collapsed="false">
      <c r="A15" s="0" t="s">
        <v>320</v>
      </c>
      <c r="B15" s="5" t="n">
        <f aca="false">Assumptions!$B$25/(Assumptions!$B$5/Assumptions!$B$6*Assumptions!$B$7)</f>
        <v>0.248033877797943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4" min="3" style="0" width="14"/>
  </cols>
  <sheetData>
    <row r="1" customFormat="false" ht="16.15" hidden="false" customHeight="false" outlineLevel="0" collapsed="false">
      <c r="A1" s="1" t="s">
        <v>321</v>
      </c>
    </row>
    <row r="3" customFormat="false" ht="15" hidden="false" customHeight="false" outlineLevel="0" collapsed="false">
      <c r="A3" s="8" t="s">
        <v>322</v>
      </c>
      <c r="B3" s="8" t="s">
        <v>323</v>
      </c>
      <c r="C3" s="8" t="s">
        <v>121</v>
      </c>
      <c r="D3" s="8" t="s">
        <v>324</v>
      </c>
    </row>
    <row r="4" customFormat="false" ht="15" hidden="false" customHeight="false" outlineLevel="0" collapsed="false">
      <c r="A4" s="25" t="s">
        <v>325</v>
      </c>
      <c r="B4" s="21" t="s">
        <v>326</v>
      </c>
      <c r="C4" s="21" t="s">
        <v>327</v>
      </c>
      <c r="D4" s="21" t="s">
        <v>328</v>
      </c>
    </row>
    <row r="5" customFormat="false" ht="15" hidden="false" customHeight="false" outlineLevel="0" collapsed="false">
      <c r="A5" s="25" t="s">
        <v>329</v>
      </c>
      <c r="B5" s="21" t="s">
        <v>330</v>
      </c>
      <c r="C5" s="21" t="s">
        <v>331</v>
      </c>
      <c r="D5" s="21" t="s">
        <v>332</v>
      </c>
    </row>
    <row r="6" customFormat="false" ht="15" hidden="false" customHeight="false" outlineLevel="0" collapsed="false">
      <c r="A6" s="25" t="s">
        <v>333</v>
      </c>
      <c r="B6" s="21" t="s">
        <v>334</v>
      </c>
      <c r="C6" s="21" t="s">
        <v>335</v>
      </c>
      <c r="D6" s="21" t="s">
        <v>336</v>
      </c>
    </row>
    <row r="7" customFormat="false" ht="15" hidden="false" customHeight="false" outlineLevel="0" collapsed="false">
      <c r="A7" s="25" t="s">
        <v>337</v>
      </c>
      <c r="B7" s="21" t="s">
        <v>338</v>
      </c>
      <c r="C7" s="21" t="s">
        <v>327</v>
      </c>
      <c r="D7" s="21" t="s">
        <v>339</v>
      </c>
    </row>
    <row r="8" customFormat="false" ht="15" hidden="false" customHeight="false" outlineLevel="0" collapsed="false">
      <c r="A8" s="25" t="s">
        <v>340</v>
      </c>
      <c r="B8" s="21" t="s">
        <v>338</v>
      </c>
      <c r="C8" s="21" t="s">
        <v>341</v>
      </c>
      <c r="D8" s="21" t="s">
        <v>342</v>
      </c>
    </row>
    <row r="9" customFormat="false" ht="15" hidden="false" customHeight="false" outlineLevel="0" collapsed="false">
      <c r="A9" s="25" t="s">
        <v>343</v>
      </c>
      <c r="B9" s="21" t="s">
        <v>344</v>
      </c>
      <c r="C9" s="21" t="s">
        <v>345</v>
      </c>
      <c r="D9" s="21" t="s">
        <v>346</v>
      </c>
    </row>
    <row r="10" customFormat="false" ht="15" hidden="false" customHeight="false" outlineLevel="0" collapsed="false">
      <c r="A10" s="25" t="s">
        <v>347</v>
      </c>
      <c r="B10" s="21" t="s">
        <v>348</v>
      </c>
      <c r="C10" s="21" t="s">
        <v>327</v>
      </c>
      <c r="D10" s="21" t="s">
        <v>349</v>
      </c>
    </row>
    <row r="11" customFormat="false" ht="15" hidden="false" customHeight="false" outlineLevel="0" collapsed="false">
      <c r="A11" s="10" t="s">
        <v>350</v>
      </c>
      <c r="B11" s="21" t="s">
        <v>351</v>
      </c>
      <c r="C11" s="21" t="s">
        <v>352</v>
      </c>
      <c r="D11" s="21" t="s">
        <v>353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2026-06-30T13:18:46Z</dcterms:created>
  <dc:creator>openpyxl</dc:creator>
  <dc:description/>
  <dc:language>en-US</dc:language>
  <cp:lastModifiedBy/>
  <dcterms:modified xsi:type="dcterms:W3CDTF">2026-06-30T13:18:46Z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