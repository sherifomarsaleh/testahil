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<sst xmlns="http://schemas.openxmlformats.org/spreadsheetml/2006/main" count="294" uniqueCount="229">
  <si>
    <t xml:space="preserve">Testahil — Emirates NBD Bank PJSC (DFM: EMIRATESNBD) · Companion valuation model</t>
  </si>
  <si>
    <t xml:space="preserve">Independent Valuation Study — Educational Analysis. Not investment advice. No rating, no price target.</t>
  </si>
  <si>
    <t xml:space="preserve">What this workbook is. A transparent, fully-linked bank valuation model. Blue cells are inputs; black cells are formulas; green cells link across sheets.</t>
  </si>
  <si>
    <t xml:space="preserve">Every downstream cell links back to the Assumptions sheet — change one input (e.g. sustainable ROTE, Ke, terminal growth) and the whole model reprices.</t>
  </si>
  <si>
    <t xml:space="preserve">Primary lens: Dividend-discount / residual-income on tangible book (a bank is worth its book plus the PV of returns above the cost of equity).</t>
  </si>
  <si>
    <t xml:space="preserve">What it is not. Not investment advice, not a recommendation, and not a price target. All outputs are ranges/distributions. The preparer is not licensed by any securities regulator and discloses a possible holding.</t>
  </si>
  <si>
    <t xml:space="preserve">Currency. AED (UAE dirham) throughout; figures in AED billion unless stated. Spot AED 30.64, close 3 July 2026; 6.317bn shares.</t>
  </si>
  <si>
    <t xml:space="preserve">Historical financials (FY2023–FY2025) are the company's own disclosure (annual reports, quarterly results, DFM filings); some line splits are estimated to tie to disclosed totals and are flagged.</t>
  </si>
  <si>
    <t xml:space="preserve">Sheets: Summary · Fundamental Valuation · Assumptions · DDM · Segments · Relative &amp; Normalized · DCF (FCFE) · Income Statement · Balance Sheet · Cash Flow · Summary Financials · Monte Carlo · Sensitivity · Per-Share &amp; Ratios · Peer &amp; Sector.</t>
  </si>
  <si>
    <t xml:space="preserve">Valuation summary — Emirates NBD (DFM: EMIRATESNBD)</t>
  </si>
  <si>
    <t xml:space="preserve">Four-lens fair value vs spot. AED/share.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</si>
  <si>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</si>
  <si>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</si>
  <si>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</si>
  <si>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</si>
  <si>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</si>
  <si>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DDM / residual income</t>
  </si>
  <si>
    <t xml:space="preserve">FCFE discounted cash flow</t>
  </si>
  <si>
    <t xml:space="preserve">Relative multiples</t>
  </si>
  <si>
    <t xml:space="preserve">Normalized earnings</t>
  </si>
  <si>
    <t xml:space="preserve">Weighted central</t>
  </si>
  <si>
    <t xml:space="preserve">Spot price (AED)</t>
  </si>
  <si>
    <t xml:space="preserve">Upside to central base</t>
  </si>
  <si>
    <t xml:space="preserve">Read: modestly undervalued (~+7%); the swing is sustainable ROTE as rates fall and cost of risk normalizes.</t>
  </si>
  <si>
    <t xml:space="preserve">Fundamental valuation — football field (links to Summary)</t>
  </si>
  <si>
    <t xml:space="preserve">Bear/base/bull per lens.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</si>
  <si>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</si>
  <si>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</si>
  <si>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</si>
  <si>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</si>
  <si>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(AED/share)</t>
  </si>
  <si>
    <t xml:space="preserve">Shares outstanding (bn)</t>
  </si>
  <si>
    <t xml:space="preserve">Tangible common equity, FY25 (AED bn)</t>
  </si>
  <si>
    <t xml:space="preserve">Total equity, FY25 (AED bn)</t>
  </si>
  <si>
    <t xml:space="preserve">RWA, FY25 (AED bn)</t>
  </si>
  <si>
    <t xml:space="preserve">COST OF EQUITY (Ke = rf + beta x ERP)</t>
  </si>
  <si>
    <t xml:space="preserve">Risk-free rate (UAE/US 10y, AED peg)</t>
  </si>
  <si>
    <t xml:space="preserve">Beta (house band 0.8–1.3)</t>
  </si>
  <si>
    <t xml:space="preserve">Equity risk premium</t>
  </si>
  <si>
    <t xml:space="preserve">Ke (base, incl. small EM/execution premium)</t>
  </si>
  <si>
    <t xml:space="preserve">Terminal growth g</t>
  </si>
  <si>
    <t xml:space="preserve">DDM / RESIDUAL INCOME</t>
  </si>
  <si>
    <t xml:space="preserve">Sustainable (terminal) ROTE</t>
  </si>
  <si>
    <t xml:space="preserve">Payout ratio (through cycle)</t>
  </si>
  <si>
    <t xml:space="preserve">ROTE path FY26E–FY30E</t>
  </si>
  <si>
    <t xml:space="preserve">RELATIVE &amp; NORMALIZED</t>
  </si>
  <si>
    <t xml:space="preserve">Justified P/TBV (relative)</t>
  </si>
  <si>
    <t xml:space="preserve">Justified P/E (relative)</t>
  </si>
  <si>
    <t xml:space="preserve">Normalized through-cycle ROTE</t>
  </si>
  <si>
    <t xml:space="preserve">Normalized justified P/E</t>
  </si>
  <si>
    <t xml:space="preserve">SYNTHESIS WEIGHTS</t>
  </si>
  <si>
    <t xml:space="preserve">DDM weight</t>
  </si>
  <si>
    <t xml:space="preserve">FCFE-DCF weight</t>
  </si>
  <si>
    <t xml:space="preserve">Relative weight</t>
  </si>
  <si>
    <t xml:space="preserve">Normalized weight</t>
  </si>
  <si>
    <t xml:space="preserve">MONTE CARLO (§3, from mc_v2 YZ-HAR)</t>
  </si>
  <si>
    <t xml:space="preserve">Engine horizon vol (annualized)</t>
  </si>
  <si>
    <t xml:space="preserve">Secular drift</t>
  </si>
  <si>
    <t xml:space="preserve">ON</t>
  </si>
  <si>
    <t xml:space="preserve">Level-anchor window (days)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</si>
  <si>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</si>
  <si>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</si>
  <si>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</si>
  <si>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</si>
  <si>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</si>
  <si>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</si>
  <si>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Total income (AED bn)</t>
  </si>
  <si>
    <t xml:space="preserve">Net interest income (AED bn)</t>
  </si>
  <si>
    <t xml:space="preserve">Non-funded income (AED bn)</t>
  </si>
  <si>
    <t xml:space="preserve">Operating expenses (AED bn)</t>
  </si>
  <si>
    <t xml:space="preserve">Impairment (AED bn)</t>
  </si>
  <si>
    <t xml:space="preserve">Associates/JV &amp; hyperinflation (AED bn)</t>
  </si>
  <si>
    <t xml:space="preserve">Tax (AED bn)</t>
  </si>
  <si>
    <t xml:space="preserve">Net loans (AED bn)</t>
  </si>
  <si>
    <t xml:space="preserve">Deposits (AED bn)</t>
  </si>
  <si>
    <t xml:space="preserve">Total assets (AED bn)</t>
  </si>
  <si>
    <t xml:space="preserve">RWA (AED bn)</t>
  </si>
  <si>
    <t xml:space="preserve">DPS (AED)</t>
  </si>
  <si>
    <t xml:space="preserve">Dividend-discount / residual income — primary lens (AED/share)</t>
  </si>
  <si>
    <t xml:space="preserve">Value = tangible book + PV of returns above the cost of equity.</t>
  </si>
  <si>
    <t xml:space="preserve">Tangible book value / share (FY25)</t>
  </si>
  <si>
    <t xml:space="preserve">Cost of equity (Ke)</t>
  </si>
  <si>
    <t xml:space="preserve">Sustainable ROTE</t>
  </si>
  <si>
    <t xml:space="preserve">Payout ratio</t>
  </si>
  <si>
    <t xml:space="preserve">Year</t>
  </si>
  <si>
    <t xml:space="preserve">ROTE</t>
  </si>
  <si>
    <t xml:space="preserve">Opening TBV</t>
  </si>
  <si>
    <t xml:space="preserve">EPS</t>
  </si>
  <si>
    <t xml:space="preserve">Residual income</t>
  </si>
  <si>
    <t xml:space="preserve">Disc factor</t>
  </si>
  <si>
    <t xml:space="preserve">PV of RI</t>
  </si>
  <si>
    <t xml:space="preserve">Σ PV of explicit residual income</t>
  </si>
  <si>
    <t xml:space="preserve">Terminal residual income (yr6)</t>
  </si>
  <si>
    <t xml:space="preserve">Terminal value (Gordon)</t>
  </si>
  <si>
    <t xml:space="preserve">PV of terminal value</t>
  </si>
  <si>
    <t xml:space="preserve">DDM fair value / share</t>
  </si>
  <si>
    <t xml:space="preserve">Implied P/TBV</t>
  </si>
  <si>
    <t xml:space="preserve">Bear / Bull (from Summary sensitivity band)</t>
  </si>
  <si>
    <t xml:space="preserve">Divisional view (FY25 income, AED bn)</t>
  </si>
  <si>
    <t xml:space="preserve">Contribution by business line (disclosed / estimated).</t>
  </si>
  <si>
    <t xml:space="preserve">Segment</t>
  </si>
  <si>
    <t xml:space="preserve">FY25 income</t>
  </si>
  <si>
    <t xml:space="preserve">Share of income</t>
  </si>
  <si>
    <t xml:space="preserve">Note</t>
  </si>
  <si>
    <t xml:space="preserve">Retail Banking &amp; Wealth (RBWM)</t>
  </si>
  <si>
    <t xml:space="preserve">Deposits, cards, wealth</t>
  </si>
  <si>
    <t xml:space="preserve">Corporate &amp; Institutional (C&amp;IB)</t>
  </si>
  <si>
    <t xml:space="preserve">Landmark regional deals</t>
  </si>
  <si>
    <t xml:space="preserve">Emirates Islamic</t>
  </si>
  <si>
    <t xml:space="preserve">Record PBT AED 3.9bn</t>
  </si>
  <si>
    <t xml:space="preserve">Global Markets &amp; Treasury</t>
  </si>
  <si>
    <t xml:space="preserve">NII + trading</t>
  </si>
  <si>
    <t xml:space="preserve">International (incl. DenizBank, KSA, Egypt)</t>
  </si>
  <si>
    <t xml:space="preserve">~35% of group income</t>
  </si>
  <si>
    <t xml:space="preserve">Total operating income</t>
  </si>
  <si>
    <t xml:space="preserve">Relative multiples &amp; normalized earnings</t>
  </si>
  <si>
    <t xml:space="preserve">Links to Assumptions.</t>
  </si>
  <si>
    <t xml:space="preserve">TBVPS (FY25)</t>
  </si>
  <si>
    <t xml:space="preserve">EPS (FY25)</t>
  </si>
  <si>
    <t xml:space="preserve">Relative — P/TBV based</t>
  </si>
  <si>
    <t xml:space="preserve">Relative — P/E based</t>
  </si>
  <si>
    <t xml:space="preserve">Relative fair value (avg)</t>
  </si>
  <si>
    <t xml:space="preserve">Normalized EPS (through-cycle ROTE × TBVPS)</t>
  </si>
  <si>
    <t xml:space="preserve">Normalized fair value (× justified P/E)</t>
  </si>
  <si>
    <t xml:space="preserve">Discounted cash flow — free cash flow to equity, 5-year explicit</t>
  </si>
  <si>
    <t xml:space="preserve">FCFE = net profit − required capital build; discounted at Ke. Terminal value disclosed as % of equity value.</t>
  </si>
  <si>
    <t xml:space="preserve">Net profit</t>
  </si>
  <si>
    <t xml:space="preserve">− Required equity build (CET1 × ΔRWA)</t>
  </si>
  <si>
    <t xml:space="preserve">Free cash flow to equity (FCFE)</t>
  </si>
  <si>
    <t xml:space="preserve">Discount factor @ Ke</t>
  </si>
  <si>
    <t xml:space="preserve">PV of FCFE</t>
  </si>
  <si>
    <t xml:space="preserve">Σ PV of explicit FCFE</t>
  </si>
  <si>
    <t xml:space="preserve">Terminal value (Gordon on FCFE)</t>
  </si>
  <si>
    <t xml:space="preserve">Equity value (AED bn)</t>
  </si>
  <si>
    <t xml:space="preserve">Fair value / share (AED)</t>
  </si>
  <si>
    <t xml:space="preserve">Terminal value as % of equity value</t>
  </si>
  <si>
    <t xml:space="preserve">Ke = rf + beta × ERP =</t>
  </si>
  <si>
    <t xml:space="preserve">(base Ke used above may add a small EM/execution premium)</t>
  </si>
  <si>
    <t xml:space="preserve">Income statement — bank format (AED bn)</t>
  </si>
  <si>
    <t xml:space="preserve">FY23–FY25 disclosed; FY26E–FY30E forecast links to Assumptions drivers.</t>
  </si>
  <si>
    <t xml:space="preserve">FY23</t>
  </si>
  <si>
    <t xml:space="preserve">FY24</t>
  </si>
  <si>
    <t xml:space="preserve">FY25</t>
  </si>
  <si>
    <t xml:space="preserve">Net interest income</t>
  </si>
  <si>
    <t xml:space="preserve">Non-funded income</t>
  </si>
  <si>
    <t xml:space="preserve">Operating expenses</t>
  </si>
  <si>
    <t xml:space="preserve">Pre-provision operating profit</t>
  </si>
  <si>
    <t xml:space="preserve">Impairment allowance</t>
  </si>
  <si>
    <t xml:space="preserve">Associates / JV &amp; hyperinflation</t>
  </si>
  <si>
    <t xml:space="preserve">Profit before tax</t>
  </si>
  <si>
    <t xml:space="preserve">Tax</t>
  </si>
  <si>
    <t xml:space="preserve">Net profit (attributable)</t>
  </si>
  <si>
    <t xml:space="preserve">Source: Emirates NBD FY2023–FY2025 results &amp; annual reports; DFM filings. FY26E–FY30E: preparer forecast (Assumptions).</t>
  </si>
  <si>
    <t xml:space="preserve">Balance sheet — bank format (AED bn)</t>
  </si>
  <si>
    <t xml:space="preserve">FY23–FY25 disclosed; FY26E–FY30E links to Assumptions.</t>
  </si>
  <si>
    <t xml:space="preserve">Net loans &amp; financing</t>
  </si>
  <si>
    <t xml:space="preserve">Investments &amp; other earning assets</t>
  </si>
  <si>
    <t xml:space="preserve">Cash &amp; due from banks</t>
  </si>
  <si>
    <t xml:space="preserve">Total assets</t>
  </si>
  <si>
    <t xml:space="preserve">Customer deposits</t>
  </si>
  <si>
    <t xml:space="preserve">Borrowings &amp; sukuk</t>
  </si>
  <si>
    <t xml:space="preserve">Other liabilities</t>
  </si>
  <si>
    <t xml:space="preserve">Total equity</t>
  </si>
  <si>
    <t xml:space="preserve">Tangible common equity</t>
  </si>
  <si>
    <t xml:space="preserve">Risk-weighted assets (RWA)</t>
  </si>
  <si>
    <t xml:space="preserve">Balance check (A − L − E)</t>
  </si>
  <si>
    <t xml:space="preserve">Source: Emirates NBD FY2023–FY2025 disclosures. Some splits estimated to tie to disclosed totals (flagged).</t>
  </si>
  <si>
    <t xml:space="preserve">Capital &amp; distribution flow (AED bn)</t>
  </si>
  <si>
    <t xml:space="preserve">Bank funds-flow: earnings less required capital build = distributable.</t>
  </si>
  <si>
    <t xml:space="preserve">− Increase in required equity (CET1 × ΔRWA)</t>
  </si>
  <si>
    <t xml:space="preserve">− Dividends</t>
  </si>
  <si>
    <t xml:space="preserve">Retained / surplus capital</t>
  </si>
  <si>
    <t xml:space="preserve">FCFE = net profit − capital retained to fund RWA growth at a ~14.5% CET1 target. Feeds the DCF sheet.</t>
  </si>
  <si>
    <t xml:space="preserve">Summary financials (AED bn) — every cell links to the statements</t>
  </si>
  <si>
    <t xml:space="preserve">Pre-provision profit</t>
  </si>
  <si>
    <t xml:space="preserve">Net loans</t>
  </si>
  <si>
    <t xml:space="preserve">Deposits</t>
  </si>
  <si>
    <t xml:space="preserve">RWA</t>
  </si>
  <si>
    <t xml:space="preserve">Monte Carlo — engine output (§3)</t>
  </si>
  <si>
    <t xml:space="preserve">50,000 paths · seed 42 · YZ-HAR width · Student-t(5) · secular drift ON · Gulf-bank 16-factor overlay.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</si>
  <si>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</si>
  <si>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</si>
  <si>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</si>
  <si>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</si>
  <si>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</si>
  <si>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</si>
  <si>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</si>
  <si>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</si>
  <si>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Net continuous-factor drift (incremental)</t>
  </si>
  <si>
    <t xml:space="preserve">ON (calibrated, Step 0)</t>
  </si>
  <si>
    <t xml:space="preserve">Level-touch ladder</t>
  </si>
  <si>
    <t xml:space="preserve">Level (AED)</t>
  </si>
  <si>
    <t xml:space="preserve">T+20 touch</t>
  </si>
  <si>
    <t xml:space="preserve">T+60 touch</t>
  </si>
  <si>
    <t xml:space="preserve">DDM fair value — sustainable ROTE × Ke (AED/share)</t>
  </si>
  <si>
    <t xml:space="preserve">Gordon justified P/TBV × TBVPS; g from Assumptions.</t>
  </si>
  <si>
    <t xml:space="preserve">ROTE \ Ke</t>
  </si>
  <si>
    <t xml:space="preserve">Per-share &amp; ratios (the standardized dashboard)</t>
  </si>
  <si>
    <t xml:space="preserve">Links to statements / Assumptions.</t>
  </si>
  <si>
    <t xml:space="preserve">EPS (AED)</t>
  </si>
  <si>
    <t xml:space="preserve">TBVPS (AED)</t>
  </si>
  <si>
    <t xml:space="preserve">BVPS (AED)</t>
  </si>
  <si>
    <t xml:space="preserve">P/E (x)</t>
  </si>
  <si>
    <t xml:space="preserve">P/TBV (x)</t>
  </si>
  <si>
    <t xml:space="preserve">Dividend yield</t>
  </si>
  <si>
    <t xml:space="preserve">NIM</t>
  </si>
  <si>
    <t xml:space="preserve">Cost-income ratio</t>
  </si>
  <si>
    <t xml:space="preserve">NPL ratio</t>
  </si>
  <si>
    <t xml:space="preserve">CET1 ratio</t>
  </si>
  <si>
    <t xml:space="preserve">Total CAR</t>
  </si>
  <si>
    <t xml:space="preserve">RWA density (RWA/assets)</t>
  </si>
  <si>
    <t xml:space="preserve">Peer set &amp; sector (indicative, 2025)</t>
  </si>
  <si>
    <t xml:space="preserve">Gulf banks — P/TBV &amp; P/E context.</t>
  </si>
  <si>
    <t xml:space="preserve">Bank</t>
  </si>
  <si>
    <t xml:space="preserve">Emirates NBD (this study)</t>
  </si>
  <si>
    <t xml:space="preserve">ROTE ~19-20%, mid multiple</t>
  </si>
  <si>
    <t xml:space="preserve">First Abu Dhabi Bank (FAB)</t>
  </si>
  <si>
    <t xml:space="preserve">Largest UAE bank</t>
  </si>
  <si>
    <t xml:space="preserve">Abu Dhabi Commercial (ADCB)</t>
  </si>
  <si>
    <t xml:space="preserve">De-risked book</t>
  </si>
  <si>
    <t xml:space="preserve">Dubai Islamic Bank (DIB)</t>
  </si>
  <si>
    <t xml:space="preserve">UAE Islamic</t>
  </si>
  <si>
    <t xml:space="preserve">Qatar National Bank (QNB)</t>
  </si>
  <si>
    <t xml:space="preserve">Largest GCC bank</t>
  </si>
  <si>
    <t xml:space="preserve">Al Rajhi Bank</t>
  </si>
  <si>
    <t xml:space="preserve">Saudi Islamic premium</t>
  </si>
  <si>
    <t xml:space="preserve">Abu Dhabi Islamic (ADIB)</t>
  </si>
  <si>
    <t xml:space="preserve">Highest Gulf P/TBV</t>
  </si>
  <si>
    <t xml:space="preserve">Source: AGBI/Forbes ME/company disclosures 2025 (indicative; multiples move with price).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</si>
</sst>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#,##0.00"/>
    <numFmt numFmtId="167" formatCode="0.0%"/>
    <numFmt numFmtId="168" formatCode="#,##0.000"/>
    <numFmt numFmtId="169" formatCode="#,##0"/>
    <numFmt numFmtId="170" formatCode="0.00"/>
    <numFmt numFmtId="171" formatCode="0.0"/>
    <numFmt numFmtId="172" formatCode="@"/>
    <numFmt numFmtId="173" formatCode="0"/>
    <numFmt numFmtId="174" formatCode="0.000"/>
    <numFmt numFmtId="175" formatCode="0.00%"/>
    <numFmt numFmtId="17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 t="s">
        <v>7</v>
      </c>
    </row>
    <row r="14" customFormat="false" ht="15" hidden="false" customHeight="false" outlineLevel="0" collapsed="false">
      <c r="A14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1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</row>
    <row r="4" customFormat="false" ht="15" hidden="false" customHeight="false" outlineLevel="0" collapsed="false">
      <c r="A4" s="5" t="s">
        <v>16</v>
      </c>
      <c r="B4" s="6" t="n">
        <v>25</v>
      </c>
      <c r="C4" s="7" t="n">
        <f aca="false">DDM!B21</f>
        <v>32.8801058607324</v>
      </c>
      <c r="D4" s="6" t="n">
        <v>44</v>
      </c>
      <c r="E4" s="8" t="n">
        <f aca="false">Assumptions!$B$29</f>
        <v>0.4</v>
      </c>
    </row>
    <row r="5" customFormat="false" ht="15" hidden="false" customHeight="false" outlineLevel="0" collapsed="false">
      <c r="A5" s="5" t="s">
        <v>17</v>
      </c>
      <c r="B5" s="6" t="n">
        <v>24</v>
      </c>
      <c r="C5" s="7" t="n">
        <f aca="false">DCF!B15</f>
        <v>31.0494316769895</v>
      </c>
      <c r="D5" s="6" t="n">
        <v>46</v>
      </c>
      <c r="E5" s="8" t="n">
        <f aca="false">Assumptions!$B$30</f>
        <v>0.2</v>
      </c>
    </row>
    <row r="6" customFormat="false" ht="15" hidden="false" customHeight="false" outlineLevel="0" collapsed="false">
      <c r="A6" s="5" t="s">
        <v>18</v>
      </c>
      <c r="B6" s="6" t="n">
        <v>27</v>
      </c>
      <c r="C6" s="7" t="n">
        <f aca="false">'Relative &amp; Normalized'!B8</f>
        <v>33.4415070444831</v>
      </c>
      <c r="D6" s="6" t="n">
        <v>42</v>
      </c>
      <c r="E6" s="8" t="n">
        <f aca="false">Assumptions!$B$31</f>
        <v>0.2</v>
      </c>
    </row>
    <row r="7" customFormat="false" ht="15" hidden="false" customHeight="false" outlineLevel="0" collapsed="false">
      <c r="A7" s="5" t="s">
        <v>19</v>
      </c>
      <c r="B7" s="6" t="n">
        <v>24</v>
      </c>
      <c r="C7" s="7" t="n">
        <f aca="false">'Relative &amp; Normalized'!B11</f>
        <v>31.3819851195188</v>
      </c>
      <c r="D7" s="6" t="n">
        <v>40</v>
      </c>
      <c r="E7" s="8" t="n">
        <f aca="false">Assumptions!$B$32</f>
        <v>0.2</v>
      </c>
    </row>
    <row r="8" customFormat="false" ht="15" hidden="false" customHeight="false" outlineLevel="0" collapsed="false">
      <c r="A8" s="9" t="s">
        <v>20</v>
      </c>
      <c r="B8" s="10" t="n">
        <f aca="false">SUMPRODUCT(B4:B7,$E$4:$E$7)</f>
        <v>25</v>
      </c>
      <c r="C8" s="10" t="n">
        <f aca="false">SUMPRODUCT(C4:C7,$E$4:$E$7)</f>
        <v>32.3266271124912</v>
      </c>
      <c r="D8" s="10" t="n">
        <f aca="false">SUMPRODUCT(D4:D7,$E$4:$E$7)</f>
        <v>43.2</v>
      </c>
    </row>
    <row r="10" customFormat="false" ht="15" hidden="false" customHeight="false" outlineLevel="0" collapsed="false">
      <c r="A10" s="0" t="s">
        <v>21</v>
      </c>
      <c r="B10" s="7" t="n">
        <f aca="false">Assumptions!$B$4</f>
        <v>30.64</v>
      </c>
    </row>
    <row r="11" customFormat="false" ht="15" hidden="false" customHeight="false" outlineLevel="0" collapsed="false">
      <c r="A11" s="0" t="s">
        <v>22</v>
      </c>
      <c r="B11" s="11" t="n">
        <f aca="false">C8/B10-1</f>
        <v>0.0550465767784347</v>
      </c>
    </row>
    <row r="13" customFormat="false" ht="15" hidden="false" customHeight="false" outlineLevel="0" collapsed="false">
      <c r="A13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</cols>
  <sheetData>
    <row r="1" customFormat="false" ht="16.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3" t="s">
        <v>25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</row>
    <row r="4" customFormat="false" ht="15" hidden="false" customHeight="false" outlineLevel="0" collapsed="false">
      <c r="A4" s="12" t="str">
        <f aca="false">Summary!A4</f>
        <v>DDM / residual income</v>
      </c>
      <c r="B4" s="7" t="n">
        <f aca="false">Summary!B4</f>
        <v>25</v>
      </c>
      <c r="C4" s="7" t="n">
        <f aca="false">Summary!C4</f>
        <v>32.8801058607324</v>
      </c>
      <c r="D4" s="7" t="n">
        <f aca="false">Summary!D4</f>
        <v>44</v>
      </c>
    </row>
    <row r="5" customFormat="false" ht="15" hidden="false" customHeight="false" outlineLevel="0" collapsed="false">
      <c r="A5" s="12" t="str">
        <f aca="false">Summary!A5</f>
        <v>FCFE discounted cash flow</v>
      </c>
      <c r="B5" s="7" t="n">
        <f aca="false">Summary!B5</f>
        <v>24</v>
      </c>
      <c r="C5" s="7" t="n">
        <f aca="false">Summary!C5</f>
        <v>31.0494316769895</v>
      </c>
      <c r="D5" s="7" t="n">
        <f aca="false">Summary!D5</f>
        <v>46</v>
      </c>
    </row>
    <row r="6" customFormat="false" ht="15" hidden="false" customHeight="false" outlineLevel="0" collapsed="false">
      <c r="A6" s="12" t="str">
        <f aca="false">Summary!A6</f>
        <v>Relative multiples</v>
      </c>
      <c r="B6" s="7" t="n">
        <f aca="false">Summary!B6</f>
        <v>27</v>
      </c>
      <c r="C6" s="7" t="n">
        <f aca="false">Summary!C6</f>
        <v>33.4415070444831</v>
      </c>
      <c r="D6" s="7" t="n">
        <f aca="false">Summary!D6</f>
        <v>42</v>
      </c>
    </row>
    <row r="7" customFormat="false" ht="15" hidden="false" customHeight="false" outlineLevel="0" collapsed="false">
      <c r="A7" s="12" t="str">
        <f aca="false">Summary!A7</f>
        <v>Normalized earnings</v>
      </c>
      <c r="B7" s="7" t="n">
        <f aca="false">Summary!B7</f>
        <v>24</v>
      </c>
      <c r="C7" s="7" t="n">
        <f aca="false">Summary!C7</f>
        <v>31.3819851195188</v>
      </c>
      <c r="D7" s="7" t="n">
        <f aca="false">Summary!D7</f>
        <v>40</v>
      </c>
    </row>
    <row r="8" customFormat="false" ht="15" hidden="false" customHeight="false" outlineLevel="0" collapsed="false">
      <c r="A8" s="9" t="s">
        <v>20</v>
      </c>
      <c r="B8" s="10" t="n">
        <f aca="false">Summary!B8</f>
        <v>25</v>
      </c>
      <c r="C8" s="10" t="n">
        <f aca="false">Summary!C8</f>
        <v>32.3266271124912</v>
      </c>
      <c r="D8" s="10" t="n">
        <f aca="false">Summary!D8</f>
        <v>43.2</v>
      </c>
    </row>
    <row r="9" customFormat="false" ht="15" hidden="false" customHeight="false" outlineLevel="0" collapsed="false">
      <c r="A9" s="0" t="s">
        <v>26</v>
      </c>
      <c r="B9" s="7" t="n">
        <f aca="false">Assumptions!$B$4</f>
        <v>30.64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3" t="s">
        <v>28</v>
      </c>
    </row>
    <row r="3" customFormat="false" ht="15" hidden="false" customHeight="false" outlineLevel="0" collapsed="false">
      <c r="A3" s="9" t="s">
        <v>29</v>
      </c>
    </row>
    <row r="4" customFormat="false" ht="15" hidden="false" customHeight="false" outlineLevel="0" collapsed="false">
      <c r="A4" s="2" t="s">
        <v>30</v>
      </c>
      <c r="B4" s="13" t="n">
        <v>30.64</v>
      </c>
    </row>
    <row r="5" customFormat="false" ht="15" hidden="false" customHeight="false" outlineLevel="0" collapsed="false">
      <c r="A5" s="2" t="s">
        <v>31</v>
      </c>
      <c r="B5" s="14" t="n">
        <v>6.317</v>
      </c>
    </row>
    <row r="6" customFormat="false" ht="15" hidden="false" customHeight="false" outlineLevel="0" collapsed="false">
      <c r="A6" s="2" t="s">
        <v>32</v>
      </c>
      <c r="B6" s="15" t="n">
        <v>118</v>
      </c>
    </row>
    <row r="7" customFormat="false" ht="15" hidden="false" customHeight="false" outlineLevel="0" collapsed="false">
      <c r="A7" s="2" t="s">
        <v>33</v>
      </c>
      <c r="B7" s="15" t="n">
        <v>135</v>
      </c>
    </row>
    <row r="8" customFormat="false" ht="15" hidden="false" customHeight="false" outlineLevel="0" collapsed="false">
      <c r="A8" s="2" t="s">
        <v>34</v>
      </c>
      <c r="B8" s="15" t="n">
        <v>730</v>
      </c>
    </row>
    <row r="10" customFormat="false" ht="15" hidden="false" customHeight="false" outlineLevel="0" collapsed="false">
      <c r="A10" s="9" t="s">
        <v>35</v>
      </c>
    </row>
    <row r="11" customFormat="false" ht="15" hidden="false" customHeight="false" outlineLevel="0" collapsed="false">
      <c r="A11" s="2" t="s">
        <v>36</v>
      </c>
      <c r="B11" s="16" t="n">
        <v>0.043</v>
      </c>
    </row>
    <row r="12" customFormat="false" ht="15" hidden="false" customHeight="false" outlineLevel="0" collapsed="false">
      <c r="A12" s="2" t="s">
        <v>37</v>
      </c>
      <c r="B12" s="17" t="n">
        <v>1.1</v>
      </c>
    </row>
    <row r="13" customFormat="false" ht="15" hidden="false" customHeight="false" outlineLevel="0" collapsed="false">
      <c r="A13" s="2" t="s">
        <v>38</v>
      </c>
      <c r="B13" s="16" t="n">
        <v>0.06</v>
      </c>
    </row>
    <row r="14" customFormat="false" ht="15" hidden="false" customHeight="false" outlineLevel="0" collapsed="false">
      <c r="A14" s="2" t="s">
        <v>39</v>
      </c>
      <c r="B14" s="16" t="n">
        <v>0.115</v>
      </c>
    </row>
    <row r="15" customFormat="false" ht="15" hidden="false" customHeight="false" outlineLevel="0" collapsed="false">
      <c r="A15" s="2" t="s">
        <v>40</v>
      </c>
      <c r="B15" s="16" t="n">
        <v>0.045</v>
      </c>
    </row>
    <row r="17" customFormat="false" ht="15" hidden="false" customHeight="false" outlineLevel="0" collapsed="false">
      <c r="A17" s="9" t="s">
        <v>41</v>
      </c>
    </row>
    <row r="18" customFormat="false" ht="15" hidden="false" customHeight="false" outlineLevel="0" collapsed="false">
      <c r="A18" s="2" t="s">
        <v>42</v>
      </c>
      <c r="B18" s="16" t="n">
        <v>0.155</v>
      </c>
    </row>
    <row r="19" customFormat="false" ht="15" hidden="false" customHeight="false" outlineLevel="0" collapsed="false">
      <c r="A19" s="2" t="s">
        <v>43</v>
      </c>
      <c r="B19" s="16" t="n">
        <v>0.5</v>
      </c>
    </row>
    <row r="20" customFormat="false" ht="15" hidden="false" customHeight="false" outlineLevel="0" collapsed="false">
      <c r="A20" s="2" t="s">
        <v>44</v>
      </c>
      <c r="B20" s="16" t="n">
        <v>0.189</v>
      </c>
      <c r="C20" s="16" t="n">
        <v>0.175</v>
      </c>
      <c r="D20" s="16" t="n">
        <v>0.168</v>
      </c>
      <c r="E20" s="16" t="n">
        <v>0.162</v>
      </c>
      <c r="F20" s="16" t="n">
        <v>0.158</v>
      </c>
    </row>
    <row r="22" customFormat="false" ht="15" hidden="false" customHeight="false" outlineLevel="0" collapsed="false">
      <c r="A22" s="9" t="s">
        <v>45</v>
      </c>
    </row>
    <row r="23" customFormat="false" ht="15" hidden="false" customHeight="false" outlineLevel="0" collapsed="false">
      <c r="A23" s="2" t="s">
        <v>46</v>
      </c>
      <c r="B23" s="17" t="n">
        <v>1.75</v>
      </c>
    </row>
    <row r="24" customFormat="false" ht="15" hidden="false" customHeight="false" outlineLevel="0" collapsed="false">
      <c r="A24" s="2" t="s">
        <v>47</v>
      </c>
      <c r="B24" s="18" t="n">
        <v>9</v>
      </c>
    </row>
    <row r="25" customFormat="false" ht="15" hidden="false" customHeight="false" outlineLevel="0" collapsed="false">
      <c r="A25" s="2" t="s">
        <v>48</v>
      </c>
      <c r="B25" s="16" t="n">
        <v>0.16</v>
      </c>
    </row>
    <row r="26" customFormat="false" ht="15" hidden="false" customHeight="false" outlineLevel="0" collapsed="false">
      <c r="A26" s="2" t="s">
        <v>49</v>
      </c>
      <c r="B26" s="18" t="n">
        <v>10.5</v>
      </c>
    </row>
    <row r="28" customFormat="false" ht="15" hidden="false" customHeight="false" outlineLevel="0" collapsed="false">
      <c r="A28" s="9" t="s">
        <v>50</v>
      </c>
    </row>
    <row r="29" customFormat="false" ht="15" hidden="false" customHeight="false" outlineLevel="0" collapsed="false">
      <c r="A29" s="2" t="s">
        <v>51</v>
      </c>
      <c r="B29" s="16" t="n">
        <v>0.4</v>
      </c>
    </row>
    <row r="30" customFormat="false" ht="15" hidden="false" customHeight="false" outlineLevel="0" collapsed="false">
      <c r="A30" s="2" t="s">
        <v>52</v>
      </c>
      <c r="B30" s="16" t="n">
        <v>0.2</v>
      </c>
    </row>
    <row r="31" customFormat="false" ht="15" hidden="false" customHeight="false" outlineLevel="0" collapsed="false">
      <c r="A31" s="2" t="s">
        <v>53</v>
      </c>
      <c r="B31" s="16" t="n">
        <v>0.2</v>
      </c>
    </row>
    <row r="32" customFormat="false" ht="15" hidden="false" customHeight="false" outlineLevel="0" collapsed="false">
      <c r="A32" s="2" t="s">
        <v>54</v>
      </c>
      <c r="B32" s="16" t="n">
        <v>0.2</v>
      </c>
    </row>
    <row r="34" customFormat="false" ht="15" hidden="false" customHeight="false" outlineLevel="0" collapsed="false">
      <c r="A34" s="9" t="s">
        <v>55</v>
      </c>
    </row>
    <row r="35" customFormat="false" ht="15" hidden="false" customHeight="false" outlineLevel="0" collapsed="false">
      <c r="A35" s="2" t="s">
        <v>56</v>
      </c>
      <c r="B35" s="11" t="n">
        <v>0.45</v>
      </c>
    </row>
    <row r="36" customFormat="false" ht="15" hidden="false" customHeight="false" outlineLevel="0" collapsed="false">
      <c r="A36" s="2" t="s">
        <v>57</v>
      </c>
      <c r="B36" s="19" t="s">
        <v>58</v>
      </c>
    </row>
    <row r="37" customFormat="false" ht="15" hidden="false" customHeight="false" outlineLevel="0" collapsed="false">
      <c r="A37" s="2" t="s">
        <v>59</v>
      </c>
      <c r="B37" s="20" t="n">
        <v>120</v>
      </c>
    </row>
    <row r="39" customFormat="false" ht="15" hidden="false" customHeight="false" outlineLevel="0" collapsed="false">
      <c r="A39" s="9" t="s">
        <v>60</v>
      </c>
    </row>
    <row r="40" customFormat="false" ht="15" hidden="false" customHeight="false" outlineLevel="0" collapsed="false">
      <c r="A40" s="4"/>
      <c r="B40" s="4" t="s">
        <v>61</v>
      </c>
      <c r="C40" s="4" t="s">
        <v>62</v>
      </c>
      <c r="D40" s="4" t="s">
        <v>63</v>
      </c>
      <c r="E40" s="4" t="s">
        <v>64</v>
      </c>
      <c r="F40" s="4" t="s">
        <v>65</v>
      </c>
    </row>
    <row r="41" customFormat="false" ht="15" hidden="false" customHeight="false" outlineLevel="0" collapsed="false">
      <c r="A41" s="2" t="s">
        <v>66</v>
      </c>
      <c r="B41" s="6" t="n">
        <v>51.8</v>
      </c>
      <c r="C41" s="6" t="n">
        <v>53.9</v>
      </c>
      <c r="D41" s="6" t="n">
        <v>56.5</v>
      </c>
      <c r="E41" s="6" t="n">
        <v>59.6</v>
      </c>
      <c r="F41" s="6" t="n">
        <v>62.9</v>
      </c>
    </row>
    <row r="42" customFormat="false" ht="15" hidden="false" customHeight="false" outlineLevel="0" collapsed="false">
      <c r="A42" s="2" t="s">
        <v>67</v>
      </c>
      <c r="B42" s="6" t="n">
        <v>34.5</v>
      </c>
      <c r="C42" s="6" t="n">
        <v>35.6</v>
      </c>
      <c r="D42" s="6" t="n">
        <v>37.2</v>
      </c>
      <c r="E42" s="6" t="n">
        <v>39.2</v>
      </c>
      <c r="F42" s="6" t="n">
        <v>41.2</v>
      </c>
    </row>
    <row r="43" customFormat="false" ht="15" hidden="false" customHeight="false" outlineLevel="0" collapsed="false">
      <c r="A43" s="2" t="s">
        <v>68</v>
      </c>
      <c r="B43" s="6" t="n">
        <v>17.3</v>
      </c>
      <c r="C43" s="6" t="n">
        <v>18.3</v>
      </c>
      <c r="D43" s="6" t="n">
        <v>19.3</v>
      </c>
      <c r="E43" s="6" t="n">
        <v>20.4</v>
      </c>
      <c r="F43" s="6" t="n">
        <v>21.7</v>
      </c>
    </row>
    <row r="44" customFormat="false" ht="15" hidden="false" customHeight="false" outlineLevel="0" collapsed="false">
      <c r="A44" s="2" t="s">
        <v>69</v>
      </c>
      <c r="B44" s="6" t="n">
        <v>-16.1</v>
      </c>
      <c r="C44" s="6" t="n">
        <v>-16.9</v>
      </c>
      <c r="D44" s="6" t="n">
        <v>-17.7</v>
      </c>
      <c r="E44" s="6" t="n">
        <v>-18.6</v>
      </c>
      <c r="F44" s="6" t="n">
        <v>-19.5</v>
      </c>
    </row>
    <row r="45" customFormat="false" ht="15" hidden="false" customHeight="false" outlineLevel="0" collapsed="false">
      <c r="A45" s="2" t="s">
        <v>70</v>
      </c>
      <c r="B45" s="6" t="n">
        <v>-3</v>
      </c>
      <c r="C45" s="6" t="n">
        <v>-4</v>
      </c>
      <c r="D45" s="6" t="n">
        <v>-4.8</v>
      </c>
      <c r="E45" s="6" t="n">
        <v>-5.5</v>
      </c>
      <c r="F45" s="6" t="n">
        <v>-6.2</v>
      </c>
    </row>
    <row r="46" customFormat="false" ht="15" hidden="false" customHeight="false" outlineLevel="0" collapsed="false">
      <c r="A46" s="2" t="s">
        <v>71</v>
      </c>
      <c r="B46" s="6" t="n">
        <v>-2.5</v>
      </c>
      <c r="C46" s="6" t="n">
        <v>-2</v>
      </c>
      <c r="D46" s="6" t="n">
        <v>-1.6</v>
      </c>
      <c r="E46" s="6" t="n">
        <v>-1.4</v>
      </c>
      <c r="F46" s="6" t="n">
        <v>-1.2</v>
      </c>
    </row>
    <row r="47" customFormat="false" ht="15" hidden="false" customHeight="false" outlineLevel="0" collapsed="false">
      <c r="A47" s="2" t="s">
        <v>72</v>
      </c>
      <c r="B47" s="6" t="n">
        <v>-5.4</v>
      </c>
      <c r="C47" s="6" t="n">
        <v>-5.6</v>
      </c>
      <c r="D47" s="6" t="n">
        <v>-5.8</v>
      </c>
      <c r="E47" s="6" t="n">
        <v>-6.1</v>
      </c>
      <c r="F47" s="6" t="n">
        <v>-6.5</v>
      </c>
    </row>
    <row r="48" customFormat="false" ht="15" hidden="false" customHeight="false" outlineLevel="0" collapsed="false">
      <c r="A48" s="2" t="s">
        <v>73</v>
      </c>
      <c r="B48" s="6" t="n">
        <v>715</v>
      </c>
      <c r="C48" s="6" t="n">
        <v>790</v>
      </c>
      <c r="D48" s="6" t="n">
        <v>865</v>
      </c>
      <c r="E48" s="6" t="n">
        <v>940</v>
      </c>
      <c r="F48" s="6" t="n">
        <v>1015</v>
      </c>
    </row>
    <row r="49" customFormat="false" ht="15" hidden="false" customHeight="false" outlineLevel="0" collapsed="false">
      <c r="A49" s="2" t="s">
        <v>74</v>
      </c>
      <c r="B49" s="6" t="n">
        <v>880</v>
      </c>
      <c r="C49" s="6" t="n">
        <v>965</v>
      </c>
      <c r="D49" s="6" t="n">
        <v>1050</v>
      </c>
      <c r="E49" s="6" t="n">
        <v>1135</v>
      </c>
      <c r="F49" s="6" t="n">
        <v>1220</v>
      </c>
    </row>
    <row r="50" customFormat="false" ht="15" hidden="false" customHeight="false" outlineLevel="0" collapsed="false">
      <c r="A50" s="2" t="s">
        <v>75</v>
      </c>
      <c r="B50" s="6" t="n">
        <v>1210</v>
      </c>
      <c r="C50" s="6" t="n">
        <v>1320</v>
      </c>
      <c r="D50" s="6" t="n">
        <v>1435</v>
      </c>
      <c r="E50" s="6" t="n">
        <v>1550</v>
      </c>
      <c r="F50" s="6" t="n">
        <v>1665</v>
      </c>
    </row>
    <row r="51" customFormat="false" ht="15" hidden="false" customHeight="false" outlineLevel="0" collapsed="false">
      <c r="A51" s="2" t="s">
        <v>76</v>
      </c>
      <c r="B51" s="6" t="n">
        <v>818</v>
      </c>
      <c r="C51" s="6" t="n">
        <v>908</v>
      </c>
      <c r="D51" s="6" t="n">
        <v>999</v>
      </c>
      <c r="E51" s="6" t="n">
        <v>1089</v>
      </c>
      <c r="F51" s="6" t="n">
        <v>1176</v>
      </c>
    </row>
    <row r="52" customFormat="false" ht="15" hidden="false" customHeight="false" outlineLevel="0" collapsed="false">
      <c r="A52" s="2" t="s">
        <v>77</v>
      </c>
      <c r="B52" s="13" t="n">
        <v>1.1</v>
      </c>
      <c r="C52" s="13" t="n">
        <v>1.2</v>
      </c>
      <c r="D52" s="13" t="n">
        <v>1.3</v>
      </c>
      <c r="E52" s="13" t="n">
        <v>1.4</v>
      </c>
      <c r="F52" s="13" t="n"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78</v>
      </c>
    </row>
    <row r="2" customFormat="false" ht="15" hidden="false" customHeight="false" outlineLevel="0" collapsed="false">
      <c r="A2" s="3" t="s">
        <v>79</v>
      </c>
    </row>
    <row r="4" customFormat="false" ht="15" hidden="false" customHeight="false" outlineLevel="0" collapsed="false">
      <c r="A4" s="0" t="s">
        <v>80</v>
      </c>
      <c r="B4" s="21" t="n">
        <f aca="false">Assumptions!$B$6/Assumptions!$B$5</f>
        <v>18.6797530473326</v>
      </c>
    </row>
    <row r="5" customFormat="false" ht="15" hidden="false" customHeight="false" outlineLevel="0" collapsed="false">
      <c r="A5" s="0" t="s">
        <v>81</v>
      </c>
      <c r="B5" s="8" t="n">
        <f aca="false">Assumptions!$B$14</f>
        <v>0.115</v>
      </c>
    </row>
    <row r="6" customFormat="false" ht="15" hidden="false" customHeight="false" outlineLevel="0" collapsed="false">
      <c r="A6" s="0" t="s">
        <v>40</v>
      </c>
      <c r="B6" s="8" t="n">
        <f aca="false">Assumptions!$B$15</f>
        <v>0.045</v>
      </c>
    </row>
    <row r="7" customFormat="false" ht="15" hidden="false" customHeight="false" outlineLevel="0" collapsed="false">
      <c r="A7" s="0" t="s">
        <v>82</v>
      </c>
      <c r="B7" s="8" t="n">
        <f aca="false">Assumptions!$B$18</f>
        <v>0.155</v>
      </c>
    </row>
    <row r="8" customFormat="false" ht="15" hidden="false" customHeight="false" outlineLevel="0" collapsed="false">
      <c r="A8" s="0" t="s">
        <v>83</v>
      </c>
      <c r="B8" s="8" t="n">
        <f aca="false">Assumptions!$B$19</f>
        <v>0.5</v>
      </c>
    </row>
    <row r="10" customFormat="false" ht="15" hidden="false" customHeight="false" outlineLevel="0" collapsed="false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89</v>
      </c>
      <c r="G10" s="4" t="s">
        <v>90</v>
      </c>
    </row>
    <row r="11" customFormat="false" ht="15" hidden="false" customHeight="false" outlineLevel="0" collapsed="false">
      <c r="A11" s="5" t="s">
        <v>61</v>
      </c>
      <c r="B11" s="8" t="n">
        <f aca="false">Assumptions!$B$20</f>
        <v>0.189</v>
      </c>
      <c r="C11" s="21" t="n">
        <f aca="false">B4</f>
        <v>18.6797530473326</v>
      </c>
      <c r="D11" s="21" t="n">
        <f aca="false">B11*C11</f>
        <v>3.53047332594586</v>
      </c>
      <c r="E11" s="21" t="n">
        <f aca="false">(B11-$B$5)*C11</f>
        <v>1.38230172550261</v>
      </c>
      <c r="F11" s="22" t="n">
        <f aca="false">1/(1+$B$5)^1</f>
        <v>0.896860986547085</v>
      </c>
      <c r="G11" s="21" t="n">
        <f aca="false">E11*F11</f>
        <v>1.23973248924001</v>
      </c>
    </row>
    <row r="12" customFormat="false" ht="15" hidden="false" customHeight="false" outlineLevel="0" collapsed="false">
      <c r="A12" s="5" t="s">
        <v>62</v>
      </c>
      <c r="B12" s="8" t="n">
        <f aca="false">Assumptions!$C$20</f>
        <v>0.175</v>
      </c>
      <c r="C12" s="21" t="n">
        <f aca="false">C11*(1+B11*(1-Assumptions!$B$19))</f>
        <v>20.4449897103055</v>
      </c>
      <c r="D12" s="21" t="n">
        <f aca="false">B12*C12</f>
        <v>3.57787319930347</v>
      </c>
      <c r="E12" s="21" t="n">
        <f aca="false">(B12-$B$5)*C12</f>
        <v>1.22669938261833</v>
      </c>
      <c r="F12" s="22" t="n">
        <f aca="false">1/(1+$B$5)^2</f>
        <v>0.804359629190211</v>
      </c>
      <c r="G12" s="21" t="n">
        <f aca="false">E12*F12</f>
        <v>0.986707460530742</v>
      </c>
    </row>
    <row r="13" customFormat="false" ht="15" hidden="false" customHeight="false" outlineLevel="0" collapsed="false">
      <c r="A13" s="5" t="s">
        <v>63</v>
      </c>
      <c r="B13" s="8" t="n">
        <f aca="false">Assumptions!$D$20</f>
        <v>0.168</v>
      </c>
      <c r="C13" s="21" t="n">
        <f aca="false">C12*(1+B12*(1-Assumptions!$B$19))</f>
        <v>22.2339263099573</v>
      </c>
      <c r="D13" s="21" t="n">
        <f aca="false">B13*C13</f>
        <v>3.73529962007282</v>
      </c>
      <c r="E13" s="21" t="n">
        <f aca="false">(B13-$B$5)*C13</f>
        <v>1.17839809442773</v>
      </c>
      <c r="F13" s="22" t="n">
        <f aca="false">1/(1+$B$5)^3</f>
        <v>0.72139877057418</v>
      </c>
      <c r="G13" s="21" t="n">
        <f aca="false">E13*F13</f>
        <v>0.850094936567124</v>
      </c>
    </row>
    <row r="14" customFormat="false" ht="15" hidden="false" customHeight="false" outlineLevel="0" collapsed="false">
      <c r="A14" s="5" t="s">
        <v>64</v>
      </c>
      <c r="B14" s="8" t="n">
        <f aca="false">Assumptions!$E$20</f>
        <v>0.162</v>
      </c>
      <c r="C14" s="21" t="n">
        <f aca="false">C13*(1+B13*(1-Assumptions!$B$19))</f>
        <v>24.1015761199937</v>
      </c>
      <c r="D14" s="21" t="n">
        <f aca="false">B14*C14</f>
        <v>3.90445533143897</v>
      </c>
      <c r="E14" s="21" t="n">
        <f aca="false">(B14-$B$5)*C14</f>
        <v>1.1327740776397</v>
      </c>
      <c r="F14" s="22" t="n">
        <f aca="false">1/(1+$B$5)^4</f>
        <v>0.646994413071014</v>
      </c>
      <c r="G14" s="21" t="n">
        <f aca="false">E14*F14</f>
        <v>0.732898499504558</v>
      </c>
    </row>
    <row r="15" customFormat="false" ht="15" hidden="false" customHeight="false" outlineLevel="0" collapsed="false">
      <c r="A15" s="5" t="s">
        <v>65</v>
      </c>
      <c r="B15" s="8" t="n">
        <f aca="false">Assumptions!$F$20</f>
        <v>0.158</v>
      </c>
      <c r="C15" s="21" t="n">
        <f aca="false">C14*(1+B14*(1-Assumptions!$B$19))</f>
        <v>26.0538037857132</v>
      </c>
      <c r="D15" s="21" t="n">
        <f aca="false">B15*C15</f>
        <v>4.11650099814268</v>
      </c>
      <c r="E15" s="21" t="n">
        <f aca="false">(B15-$B$5)*C15</f>
        <v>1.12031356278567</v>
      </c>
      <c r="F15" s="22" t="n">
        <f aca="false">1/(1+$B$5)^5</f>
        <v>0.580264047597322</v>
      </c>
      <c r="G15" s="21" t="n">
        <f aca="false">E15*F15</f>
        <v>0.650077682520186</v>
      </c>
    </row>
    <row r="17" customFormat="false" ht="15" hidden="false" customHeight="false" outlineLevel="0" collapsed="false">
      <c r="A17" s="0" t="s">
        <v>91</v>
      </c>
      <c r="B17" s="21" t="n">
        <f aca="false">SUM(G11:G15)</f>
        <v>4.45951106836262</v>
      </c>
    </row>
    <row r="18" customFormat="false" ht="15" hidden="false" customHeight="false" outlineLevel="0" collapsed="false">
      <c r="A18" s="0" t="s">
        <v>92</v>
      </c>
      <c r="B18" s="21" t="n">
        <f aca="false">($B$7-$B$5)*C15*(1+B15*(1-$B$8))*(1+$B$6)</f>
        <v>1.17508386910399</v>
      </c>
    </row>
    <row r="19" customFormat="false" ht="15" hidden="false" customHeight="false" outlineLevel="0" collapsed="false">
      <c r="A19" s="0" t="s">
        <v>93</v>
      </c>
      <c r="B19" s="21" t="n">
        <f aca="false">B18/($B$5-$B$6)</f>
        <v>16.7869124157713</v>
      </c>
    </row>
    <row r="20" customFormat="false" ht="15" hidden="false" customHeight="false" outlineLevel="0" collapsed="false">
      <c r="A20" s="0" t="s">
        <v>94</v>
      </c>
      <c r="B20" s="21" t="n">
        <f aca="false">B19*F15</f>
        <v>9.74084174503719</v>
      </c>
    </row>
    <row r="21" customFormat="false" ht="15" hidden="false" customHeight="false" outlineLevel="0" collapsed="false">
      <c r="A21" s="0" t="s">
        <v>95</v>
      </c>
      <c r="B21" s="23" t="n">
        <f aca="false">B4+B17+B20</f>
        <v>32.8801058607324</v>
      </c>
    </row>
    <row r="22" customFormat="false" ht="15" hidden="false" customHeight="false" outlineLevel="0" collapsed="false">
      <c r="A22" s="0" t="s">
        <v>96</v>
      </c>
      <c r="B22" s="24" t="n">
        <f aca="false">B21/B4</f>
        <v>1.76020024340887</v>
      </c>
    </row>
    <row r="24" customFormat="false" ht="15" hidden="false" customHeight="false" outlineLevel="0" collapsed="false">
      <c r="A24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3" t="s">
        <v>99</v>
      </c>
    </row>
    <row r="3" customFormat="false" ht="15" hidden="false" customHeight="false" outlineLevel="0" collapsed="false">
      <c r="A3" s="4" t="s">
        <v>100</v>
      </c>
      <c r="B3" s="4" t="s">
        <v>101</v>
      </c>
      <c r="C3" s="4" t="s">
        <v>102</v>
      </c>
      <c r="D3" s="4" t="s">
        <v>103</v>
      </c>
    </row>
    <row r="4" customFormat="false" ht="15" hidden="false" customHeight="false" outlineLevel="0" collapsed="false">
      <c r="A4" s="5" t="s">
        <v>104</v>
      </c>
      <c r="B4" s="6" t="n">
        <v>19.7</v>
      </c>
      <c r="C4" s="11" t="n">
        <f aca="false">B4/$B$9</f>
        <v>0.399594320486815</v>
      </c>
      <c r="D4" s="3" t="s">
        <v>105</v>
      </c>
    </row>
    <row r="5" customFormat="false" ht="15" hidden="false" customHeight="false" outlineLevel="0" collapsed="false">
      <c r="A5" s="5" t="s">
        <v>106</v>
      </c>
      <c r="B5" s="6" t="n">
        <v>9</v>
      </c>
      <c r="C5" s="11" t="n">
        <f aca="false">B5/$B$9</f>
        <v>0.182555780933063</v>
      </c>
      <c r="D5" s="3" t="s">
        <v>107</v>
      </c>
    </row>
    <row r="6" customFormat="false" ht="15" hidden="false" customHeight="false" outlineLevel="0" collapsed="false">
      <c r="A6" s="5" t="s">
        <v>108</v>
      </c>
      <c r="B6" s="6" t="n">
        <v>6</v>
      </c>
      <c r="C6" s="11" t="n">
        <f aca="false">B6/$B$9</f>
        <v>0.121703853955375</v>
      </c>
      <c r="D6" s="3" t="s">
        <v>109</v>
      </c>
    </row>
    <row r="7" customFormat="false" ht="15" hidden="false" customHeight="false" outlineLevel="0" collapsed="false">
      <c r="A7" s="5" t="s">
        <v>110</v>
      </c>
      <c r="B7" s="6" t="n">
        <v>4.5</v>
      </c>
      <c r="C7" s="11" t="n">
        <f aca="false">B7/$B$9</f>
        <v>0.0912778904665314</v>
      </c>
      <c r="D7" s="3" t="s">
        <v>111</v>
      </c>
    </row>
    <row r="8" customFormat="false" ht="15" hidden="false" customHeight="false" outlineLevel="0" collapsed="false">
      <c r="A8" s="5" t="s">
        <v>112</v>
      </c>
      <c r="B8" s="6" t="n">
        <v>10.1</v>
      </c>
      <c r="C8" s="11" t="n">
        <f aca="false">B8/$B$9</f>
        <v>0.204868154158215</v>
      </c>
      <c r="D8" s="3" t="s">
        <v>113</v>
      </c>
    </row>
    <row r="9" customFormat="false" ht="15" hidden="false" customHeight="false" outlineLevel="0" collapsed="false">
      <c r="A9" s="9" t="s">
        <v>114</v>
      </c>
      <c r="B9" s="25" t="n">
        <f aca="false">SUM(B4:B8)</f>
        <v>49.3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3" t="s">
        <v>116</v>
      </c>
    </row>
    <row r="4" customFormat="false" ht="15" hidden="false" customHeight="false" outlineLevel="0" collapsed="false">
      <c r="A4" s="0" t="s">
        <v>117</v>
      </c>
      <c r="B4" s="21" t="n">
        <f aca="false">Assumptions!$B$6/Assumptions!$B$5</f>
        <v>18.6797530473326</v>
      </c>
    </row>
    <row r="5" customFormat="false" ht="15" hidden="false" customHeight="false" outlineLevel="0" collapsed="false">
      <c r="A5" s="0" t="s">
        <v>118</v>
      </c>
      <c r="B5" s="21" t="n">
        <f aca="false">'Income Statement'!D13/Assumptions!$B$5</f>
        <v>3.79927180623714</v>
      </c>
    </row>
    <row r="6" customFormat="false" ht="15" hidden="false" customHeight="false" outlineLevel="0" collapsed="false">
      <c r="A6" s="0" t="s">
        <v>119</v>
      </c>
      <c r="B6" s="21" t="n">
        <f aca="false">Assumptions!$B$23*B4</f>
        <v>32.689567832832</v>
      </c>
    </row>
    <row r="7" customFormat="false" ht="15" hidden="false" customHeight="false" outlineLevel="0" collapsed="false">
      <c r="A7" s="0" t="s">
        <v>120</v>
      </c>
      <c r="B7" s="21" t="n">
        <f aca="false">Assumptions!$B$24*B5</f>
        <v>34.1934462561342</v>
      </c>
    </row>
    <row r="8" customFormat="false" ht="15" hidden="false" customHeight="false" outlineLevel="0" collapsed="false">
      <c r="A8" s="0" t="s">
        <v>121</v>
      </c>
      <c r="B8" s="10" t="n">
        <f aca="false">AVERAGE(B6:B7)</f>
        <v>33.4415070444831</v>
      </c>
    </row>
    <row r="10" customFormat="false" ht="15" hidden="false" customHeight="false" outlineLevel="0" collapsed="false">
      <c r="A10" s="0" t="s">
        <v>122</v>
      </c>
      <c r="B10" s="21" t="n">
        <f aca="false">Assumptions!$B$25*B4</f>
        <v>2.98876048757321</v>
      </c>
    </row>
    <row r="11" customFormat="false" ht="15" hidden="false" customHeight="false" outlineLevel="0" collapsed="false">
      <c r="A11" s="0" t="s">
        <v>123</v>
      </c>
      <c r="B11" s="10" t="n">
        <f aca="false">B10*Assumptions!$B$26</f>
        <v>31.3819851195188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3" t="s">
        <v>125</v>
      </c>
    </row>
    <row r="4" customFormat="false" ht="15" hidden="false" customHeight="false" outlineLevel="0" collapsed="false">
      <c r="A4" s="4"/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</row>
    <row r="5" customFormat="false" ht="15" hidden="false" customHeight="false" outlineLevel="0" collapsed="false">
      <c r="A5" s="5" t="s">
        <v>126</v>
      </c>
      <c r="B5" s="26" t="n">
        <f aca="false">'Income Statement'!E13</f>
        <v>24.8</v>
      </c>
      <c r="C5" s="26" t="n">
        <f aca="false">'Income Statement'!F13</f>
        <v>25.4</v>
      </c>
      <c r="D5" s="26" t="n">
        <f aca="false">'Income Statement'!G13</f>
        <v>26.6</v>
      </c>
      <c r="E5" s="26" t="n">
        <f aca="false">'Income Statement'!H13</f>
        <v>28</v>
      </c>
      <c r="F5" s="26" t="n">
        <f aca="false">'Income Statement'!I13</f>
        <v>29.5</v>
      </c>
    </row>
    <row r="6" customFormat="false" ht="15" hidden="false" customHeight="false" outlineLevel="0" collapsed="false">
      <c r="A6" s="5" t="s">
        <v>127</v>
      </c>
      <c r="B6" s="26" t="n">
        <f aca="false">'Cash Flow'!B5</f>
        <v>-12.76</v>
      </c>
      <c r="C6" s="26" t="n">
        <f aca="false">'Cash Flow'!C5</f>
        <v>-13.05</v>
      </c>
      <c r="D6" s="26" t="n">
        <f aca="false">'Cash Flow'!D5</f>
        <v>-13.195</v>
      </c>
      <c r="E6" s="26" t="n">
        <f aca="false">'Cash Flow'!E5</f>
        <v>-13.05</v>
      </c>
      <c r="F6" s="26" t="n">
        <f aca="false">'Cash Flow'!F5</f>
        <v>-12.615</v>
      </c>
    </row>
    <row r="7" customFormat="false" ht="15" hidden="false" customHeight="false" outlineLevel="0" collapsed="false">
      <c r="A7" s="9" t="s">
        <v>128</v>
      </c>
      <c r="B7" s="25" t="n">
        <f aca="false">B5+B6</f>
        <v>12.04</v>
      </c>
      <c r="C7" s="25" t="n">
        <f aca="false">C5+C6</f>
        <v>12.35</v>
      </c>
      <c r="D7" s="25" t="n">
        <f aca="false">D5+D6</f>
        <v>13.405</v>
      </c>
      <c r="E7" s="25" t="n">
        <f aca="false">E5+E6</f>
        <v>14.95</v>
      </c>
      <c r="F7" s="25" t="n">
        <f aca="false">F5+F6</f>
        <v>16.885</v>
      </c>
    </row>
    <row r="8" customFormat="false" ht="15" hidden="false" customHeight="false" outlineLevel="0" collapsed="false">
      <c r="A8" s="5" t="s">
        <v>129</v>
      </c>
      <c r="B8" s="21" t="n">
        <f aca="false">1/(1+Assumptions!$B$14)^1</f>
        <v>0.896860986547085</v>
      </c>
      <c r="C8" s="21" t="n">
        <f aca="false">1/(1+Assumptions!$B$14)^2</f>
        <v>0.804359629190211</v>
      </c>
      <c r="D8" s="21" t="n">
        <f aca="false">1/(1+Assumptions!$B$14)^3</f>
        <v>0.72139877057418</v>
      </c>
      <c r="E8" s="21" t="n">
        <f aca="false">1/(1+Assumptions!$B$14)^4</f>
        <v>0.646994413071014</v>
      </c>
      <c r="F8" s="21" t="n">
        <f aca="false">1/(1+Assumptions!$B$14)^5</f>
        <v>0.580264047597322</v>
      </c>
    </row>
    <row r="9" customFormat="false" ht="15" hidden="false" customHeight="false" outlineLevel="0" collapsed="false">
      <c r="A9" s="5" t="s">
        <v>130</v>
      </c>
      <c r="B9" s="26" t="n">
        <f aca="false">B7*B8</f>
        <v>10.7982062780269</v>
      </c>
      <c r="C9" s="26" t="n">
        <f aca="false">C7*C8</f>
        <v>9.93384142049911</v>
      </c>
      <c r="D9" s="26" t="n">
        <f aca="false">D7*D8</f>
        <v>9.67035051954689</v>
      </c>
      <c r="E9" s="26" t="n">
        <f aca="false">E7*E8</f>
        <v>9.67256647541166</v>
      </c>
      <c r="F9" s="26" t="n">
        <f aca="false">F7*F8</f>
        <v>9.79775844368078</v>
      </c>
    </row>
    <row r="11" customFormat="false" ht="15" hidden="false" customHeight="false" outlineLevel="0" collapsed="false">
      <c r="A11" s="0" t="s">
        <v>131</v>
      </c>
      <c r="B11" s="26" t="n">
        <f aca="false">SUM(B9:F9)</f>
        <v>49.8727231371653</v>
      </c>
    </row>
    <row r="12" customFormat="false" ht="15" hidden="false" customHeight="false" outlineLevel="0" collapsed="false">
      <c r="A12" s="0" t="s">
        <v>132</v>
      </c>
      <c r="B12" s="26" t="n">
        <f aca="false">F7*(1+Assumptions!$B$15)/(Assumptions!$B$14-Assumptions!$B$15)</f>
        <v>252.068928571429</v>
      </c>
    </row>
    <row r="13" customFormat="false" ht="15" hidden="false" customHeight="false" outlineLevel="0" collapsed="false">
      <c r="A13" s="0" t="s">
        <v>94</v>
      </c>
      <c r="B13" s="26" t="n">
        <f aca="false">B12*F8</f>
        <v>146.266536766377</v>
      </c>
    </row>
    <row r="14" customFormat="false" ht="15" hidden="false" customHeight="false" outlineLevel="0" collapsed="false">
      <c r="A14" s="0" t="s">
        <v>133</v>
      </c>
      <c r="B14" s="27" t="n">
        <f aca="false">B11+B13</f>
        <v>196.139259903543</v>
      </c>
    </row>
    <row r="15" customFormat="false" ht="15" hidden="false" customHeight="false" outlineLevel="0" collapsed="false">
      <c r="A15" s="0" t="s">
        <v>134</v>
      </c>
      <c r="B15" s="23" t="n">
        <f aca="false">B14/Assumptions!$B$5</f>
        <v>31.0494316769895</v>
      </c>
    </row>
    <row r="16" customFormat="false" ht="15" hidden="false" customHeight="false" outlineLevel="0" collapsed="false">
      <c r="A16" s="0" t="s">
        <v>135</v>
      </c>
      <c r="B16" s="11" t="n">
        <f aca="false">B13/B14</f>
        <v>0.74572799366281</v>
      </c>
    </row>
    <row r="18" customFormat="false" ht="15" hidden="false" customHeight="false" outlineLevel="0" collapsed="false">
      <c r="A18" s="0" t="s">
        <v>136</v>
      </c>
      <c r="B18" s="8" t="n">
        <f aca="false">Assumptions!$B$11+Assumptions!$B$12*Assumptions!$B$13</f>
        <v>0.109</v>
      </c>
      <c r="C18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3" t="s">
        <v>139</v>
      </c>
    </row>
    <row r="3" customFormat="false" ht="15" hidden="false" customHeight="false" outlineLevel="0" collapsed="false">
      <c r="A3" s="4"/>
      <c r="B3" s="4" t="s">
        <v>140</v>
      </c>
      <c r="C3" s="4" t="s">
        <v>141</v>
      </c>
      <c r="D3" s="4" t="s">
        <v>142</v>
      </c>
      <c r="E3" s="4" t="s">
        <v>61</v>
      </c>
      <c r="F3" s="4" t="s">
        <v>62</v>
      </c>
      <c r="G3" s="4" t="s">
        <v>63</v>
      </c>
      <c r="H3" s="4" t="s">
        <v>64</v>
      </c>
      <c r="I3" s="4" t="s">
        <v>65</v>
      </c>
    </row>
    <row r="4" customFormat="false" ht="15" hidden="false" customHeight="false" outlineLevel="0" collapsed="false">
      <c r="A4" s="5" t="s">
        <v>143</v>
      </c>
      <c r="B4" s="6" t="n">
        <v>29</v>
      </c>
      <c r="C4" s="6" t="n">
        <v>32</v>
      </c>
      <c r="D4" s="6" t="n">
        <v>33.8</v>
      </c>
      <c r="E4" s="26" t="n">
        <f aca="false">Assumptions!$B$42</f>
        <v>34.5</v>
      </c>
      <c r="F4" s="26" t="n">
        <f aca="false">Assumptions!$C$42</f>
        <v>35.6</v>
      </c>
      <c r="G4" s="26" t="n">
        <f aca="false">Assumptions!$D$42</f>
        <v>37.2</v>
      </c>
      <c r="H4" s="26" t="n">
        <f aca="false">Assumptions!$E$42</f>
        <v>39.2</v>
      </c>
      <c r="I4" s="26" t="n">
        <f aca="false">Assumptions!$F$42</f>
        <v>41.2</v>
      </c>
    </row>
    <row r="5" customFormat="false" ht="15" hidden="false" customHeight="false" outlineLevel="0" collapsed="false">
      <c r="A5" s="5" t="s">
        <v>144</v>
      </c>
      <c r="B5" s="6" t="n">
        <v>14</v>
      </c>
      <c r="C5" s="6" t="n">
        <v>12.1</v>
      </c>
      <c r="D5" s="6" t="n">
        <v>15.5</v>
      </c>
      <c r="E5" s="26" t="n">
        <f aca="false">Assumptions!$B$43</f>
        <v>17.3</v>
      </c>
      <c r="F5" s="26" t="n">
        <f aca="false">Assumptions!$C$43</f>
        <v>18.3</v>
      </c>
      <c r="G5" s="26" t="n">
        <f aca="false">Assumptions!$D$43</f>
        <v>19.3</v>
      </c>
      <c r="H5" s="26" t="n">
        <f aca="false">Assumptions!$E$43</f>
        <v>20.4</v>
      </c>
      <c r="I5" s="26" t="n">
        <f aca="false">Assumptions!$F$43</f>
        <v>21.7</v>
      </c>
    </row>
    <row r="6" customFormat="false" ht="15" hidden="false" customHeight="false" outlineLevel="0" collapsed="false">
      <c r="A6" s="9" t="s">
        <v>114</v>
      </c>
      <c r="B6" s="25" t="n">
        <v>43</v>
      </c>
      <c r="C6" s="25" t="n">
        <v>44.1</v>
      </c>
      <c r="D6" s="25" t="n">
        <v>49.3</v>
      </c>
      <c r="E6" s="28" t="n">
        <f aca="false">E4+E5</f>
        <v>51.8</v>
      </c>
      <c r="F6" s="28" t="n">
        <f aca="false">F4+F5</f>
        <v>53.9</v>
      </c>
      <c r="G6" s="28" t="n">
        <f aca="false">G4+G5</f>
        <v>56.5</v>
      </c>
      <c r="H6" s="28" t="n">
        <f aca="false">H4+H5</f>
        <v>59.6</v>
      </c>
      <c r="I6" s="28" t="n">
        <f aca="false">I4+I5</f>
        <v>62.9</v>
      </c>
    </row>
    <row r="7" customFormat="false" ht="15" hidden="false" customHeight="false" outlineLevel="0" collapsed="false">
      <c r="A7" s="5" t="s">
        <v>145</v>
      </c>
      <c r="B7" s="6" t="n">
        <v>-11.6</v>
      </c>
      <c r="C7" s="6" t="n">
        <v>-13</v>
      </c>
      <c r="D7" s="6" t="n">
        <v>-15</v>
      </c>
      <c r="E7" s="26" t="n">
        <f aca="false">Assumptions!$B$44</f>
        <v>-16.1</v>
      </c>
      <c r="F7" s="26" t="n">
        <f aca="false">Assumptions!$C$44</f>
        <v>-16.9</v>
      </c>
      <c r="G7" s="26" t="n">
        <f aca="false">Assumptions!$D$44</f>
        <v>-17.7</v>
      </c>
      <c r="H7" s="26" t="n">
        <f aca="false">Assumptions!$E$44</f>
        <v>-18.6</v>
      </c>
      <c r="I7" s="26" t="n">
        <f aca="false">Assumptions!$F$44</f>
        <v>-19.5</v>
      </c>
    </row>
    <row r="8" customFormat="false" ht="15" hidden="false" customHeight="false" outlineLevel="0" collapsed="false">
      <c r="A8" s="9" t="s">
        <v>146</v>
      </c>
      <c r="B8" s="25" t="n">
        <v>31.4</v>
      </c>
      <c r="C8" s="25" t="n">
        <v>31.1</v>
      </c>
      <c r="D8" s="25" t="n">
        <v>34.3</v>
      </c>
      <c r="E8" s="28" t="n">
        <f aca="false">E6+E7</f>
        <v>35.7</v>
      </c>
      <c r="F8" s="28" t="n">
        <f aca="false">F6+F7</f>
        <v>37</v>
      </c>
      <c r="G8" s="28" t="n">
        <f aca="false">G6+G7</f>
        <v>38.8</v>
      </c>
      <c r="H8" s="28" t="n">
        <f aca="false">H6+H7</f>
        <v>41</v>
      </c>
      <c r="I8" s="28" t="n">
        <f aca="false">I6+I7</f>
        <v>43.4</v>
      </c>
    </row>
    <row r="9" customFormat="false" ht="15" hidden="false" customHeight="false" outlineLevel="0" collapsed="false">
      <c r="A9" s="5" t="s">
        <v>147</v>
      </c>
      <c r="B9" s="6" t="n">
        <v>-6.5</v>
      </c>
      <c r="C9" s="6" t="n">
        <v>-3.7</v>
      </c>
      <c r="D9" s="6" t="n">
        <v>-1.5</v>
      </c>
      <c r="E9" s="26" t="n">
        <f aca="false">Assumptions!$B$45</f>
        <v>-3</v>
      </c>
      <c r="F9" s="26" t="n">
        <f aca="false">Assumptions!$C$45</f>
        <v>-4</v>
      </c>
      <c r="G9" s="26" t="n">
        <f aca="false">Assumptions!$D$45</f>
        <v>-4.8</v>
      </c>
      <c r="H9" s="26" t="n">
        <f aca="false">Assumptions!$E$45</f>
        <v>-5.5</v>
      </c>
      <c r="I9" s="26" t="n">
        <f aca="false">Assumptions!$F$45</f>
        <v>-6.2</v>
      </c>
    </row>
    <row r="10" customFormat="false" ht="15" hidden="false" customHeight="false" outlineLevel="0" collapsed="false">
      <c r="A10" s="5" t="s">
        <v>148</v>
      </c>
      <c r="B10" s="6" t="n">
        <v>-1.2</v>
      </c>
      <c r="C10" s="6" t="n">
        <v>-0.3</v>
      </c>
      <c r="D10" s="6" t="n">
        <v>-3</v>
      </c>
      <c r="E10" s="26" t="n">
        <f aca="false">Assumptions!$B$46</f>
        <v>-2.5</v>
      </c>
      <c r="F10" s="26" t="n">
        <f aca="false">Assumptions!$C$46</f>
        <v>-2</v>
      </c>
      <c r="G10" s="26" t="n">
        <f aca="false">Assumptions!$D$46</f>
        <v>-1.6</v>
      </c>
      <c r="H10" s="26" t="n">
        <f aca="false">Assumptions!$E$46</f>
        <v>-1.4</v>
      </c>
      <c r="I10" s="26" t="n">
        <f aca="false">Assumptions!$F$46</f>
        <v>-1.2</v>
      </c>
    </row>
    <row r="11" customFormat="false" ht="15" hidden="false" customHeight="false" outlineLevel="0" collapsed="false">
      <c r="A11" s="9" t="s">
        <v>149</v>
      </c>
      <c r="B11" s="25" t="n">
        <v>23.7</v>
      </c>
      <c r="C11" s="25" t="n">
        <v>27.1</v>
      </c>
      <c r="D11" s="25" t="n">
        <v>29.8</v>
      </c>
      <c r="E11" s="28" t="n">
        <f aca="false">E8+E9+E10</f>
        <v>30.2</v>
      </c>
      <c r="F11" s="28" t="n">
        <f aca="false">F8+F9+F10</f>
        <v>31</v>
      </c>
      <c r="G11" s="28" t="n">
        <f aca="false">G8+G9+G10</f>
        <v>32.4</v>
      </c>
      <c r="H11" s="28" t="n">
        <f aca="false">H8+H9+H10</f>
        <v>34.1</v>
      </c>
      <c r="I11" s="28" t="n">
        <f aca="false">I8+I9+I10</f>
        <v>36</v>
      </c>
    </row>
    <row r="12" customFormat="false" ht="15" hidden="false" customHeight="false" outlineLevel="0" collapsed="false">
      <c r="A12" s="5" t="s">
        <v>150</v>
      </c>
      <c r="B12" s="6" t="n">
        <v>-2.2</v>
      </c>
      <c r="C12" s="6" t="n">
        <v>-4.1</v>
      </c>
      <c r="D12" s="6" t="n">
        <v>-5.8</v>
      </c>
      <c r="E12" s="26" t="n">
        <f aca="false">Assumptions!$B$47</f>
        <v>-5.4</v>
      </c>
      <c r="F12" s="26" t="n">
        <f aca="false">Assumptions!$C$47</f>
        <v>-5.6</v>
      </c>
      <c r="G12" s="26" t="n">
        <f aca="false">Assumptions!$D$47</f>
        <v>-5.8</v>
      </c>
      <c r="H12" s="26" t="n">
        <f aca="false">Assumptions!$E$47</f>
        <v>-6.1</v>
      </c>
      <c r="I12" s="26" t="n">
        <f aca="false">Assumptions!$F$47</f>
        <v>-6.5</v>
      </c>
    </row>
    <row r="13" customFormat="false" ht="15" hidden="false" customHeight="false" outlineLevel="0" collapsed="false">
      <c r="A13" s="9" t="s">
        <v>151</v>
      </c>
      <c r="B13" s="25" t="n">
        <v>21.5</v>
      </c>
      <c r="C13" s="25" t="n">
        <v>23</v>
      </c>
      <c r="D13" s="25" t="n">
        <v>24</v>
      </c>
      <c r="E13" s="28" t="n">
        <f aca="false">E11+E12</f>
        <v>24.8</v>
      </c>
      <c r="F13" s="28" t="n">
        <f aca="false">F11+F12</f>
        <v>25.4</v>
      </c>
      <c r="G13" s="28" t="n">
        <f aca="false">G11+G12</f>
        <v>26.6</v>
      </c>
      <c r="H13" s="28" t="n">
        <f aca="false">H11+H12</f>
        <v>28</v>
      </c>
      <c r="I13" s="28" t="n">
        <f aca="false">I11+I12</f>
        <v>29.5</v>
      </c>
    </row>
    <row r="15" customFormat="false" ht="15" hidden="false" customHeight="false" outlineLevel="0" collapsed="false">
      <c r="A15" s="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3" t="s">
        <v>154</v>
      </c>
    </row>
    <row r="3" customFormat="false" ht="15" hidden="false" customHeight="false" outlineLevel="0" collapsed="false">
      <c r="A3" s="4"/>
      <c r="B3" s="4" t="s">
        <v>140</v>
      </c>
      <c r="C3" s="4" t="s">
        <v>141</v>
      </c>
      <c r="D3" s="4" t="s">
        <v>142</v>
      </c>
      <c r="E3" s="4" t="s">
        <v>61</v>
      </c>
      <c r="F3" s="4" t="s">
        <v>62</v>
      </c>
      <c r="G3" s="4" t="s">
        <v>63</v>
      </c>
      <c r="H3" s="4" t="s">
        <v>64</v>
      </c>
      <c r="I3" s="4" t="s">
        <v>65</v>
      </c>
    </row>
    <row r="4" customFormat="false" ht="15" hidden="false" customHeight="false" outlineLevel="0" collapsed="false">
      <c r="A4" s="5" t="s">
        <v>155</v>
      </c>
      <c r="B4" s="15" t="n">
        <v>440</v>
      </c>
      <c r="C4" s="15" t="n">
        <v>520</v>
      </c>
      <c r="D4" s="15" t="n">
        <v>640</v>
      </c>
      <c r="E4" s="29" t="n">
        <f aca="false">Assumptions!$B$48</f>
        <v>715</v>
      </c>
      <c r="F4" s="29" t="n">
        <f aca="false">Assumptions!$C$48</f>
        <v>790</v>
      </c>
      <c r="G4" s="29" t="n">
        <f aca="false">Assumptions!$D$48</f>
        <v>865</v>
      </c>
      <c r="H4" s="29" t="n">
        <f aca="false">Assumptions!$E$48</f>
        <v>940</v>
      </c>
      <c r="I4" s="29" t="n">
        <f aca="false">Assumptions!$F$48</f>
        <v>1015</v>
      </c>
    </row>
    <row r="5" customFormat="false" ht="15" hidden="false" customHeight="false" outlineLevel="0" collapsed="false">
      <c r="A5" s="5" t="s">
        <v>156</v>
      </c>
      <c r="B5" s="15" t="n">
        <v>337</v>
      </c>
      <c r="C5" s="15" t="n">
        <v>377</v>
      </c>
      <c r="D5" s="15" t="n">
        <v>345</v>
      </c>
      <c r="E5" s="29" t="n">
        <f aca="false">E8-E4-E6</f>
        <v>374</v>
      </c>
      <c r="F5" s="29" t="n">
        <f aca="false">F8-F4-F6</f>
        <v>398</v>
      </c>
      <c r="G5" s="29" t="n">
        <f aca="false">G8-G4-G6</f>
        <v>426.5</v>
      </c>
      <c r="H5" s="29" t="n">
        <f aca="false">H8-H4-H6</f>
        <v>455</v>
      </c>
      <c r="I5" s="29" t="n">
        <f aca="false">I8-I4-I6</f>
        <v>483.5</v>
      </c>
    </row>
    <row r="6" customFormat="false" ht="15" hidden="false" customHeight="false" outlineLevel="0" collapsed="false">
      <c r="A6" s="5" t="s">
        <v>157</v>
      </c>
      <c r="B6" s="15" t="n">
        <v>86</v>
      </c>
      <c r="C6" s="15" t="n">
        <v>100</v>
      </c>
      <c r="D6" s="15" t="n">
        <v>110</v>
      </c>
      <c r="E6" s="29" t="n">
        <f aca="false">0.1*E8</f>
        <v>121</v>
      </c>
      <c r="F6" s="29" t="n">
        <f aca="false">0.1*F8</f>
        <v>132</v>
      </c>
      <c r="G6" s="29" t="n">
        <f aca="false">0.1*G8</f>
        <v>143.5</v>
      </c>
      <c r="H6" s="29" t="n">
        <f aca="false">0.1*H8</f>
        <v>155</v>
      </c>
      <c r="I6" s="29" t="n">
        <f aca="false">0.1*I8</f>
        <v>166.5</v>
      </c>
    </row>
    <row r="8" customFormat="false" ht="15" hidden="false" customHeight="false" outlineLevel="0" collapsed="false">
      <c r="A8" s="9" t="s">
        <v>158</v>
      </c>
      <c r="B8" s="30" t="n">
        <v>863</v>
      </c>
      <c r="C8" s="30" t="n">
        <v>997</v>
      </c>
      <c r="D8" s="30" t="n">
        <v>1095</v>
      </c>
      <c r="E8" s="30" t="n">
        <f aca="false">Assumptions!$B$50</f>
        <v>1210</v>
      </c>
      <c r="F8" s="30" t="n">
        <f aca="false">Assumptions!$C$50</f>
        <v>1320</v>
      </c>
      <c r="G8" s="30" t="n">
        <f aca="false">Assumptions!$D$50</f>
        <v>1435</v>
      </c>
      <c r="H8" s="30" t="n">
        <f aca="false">Assumptions!$E$50</f>
        <v>1550</v>
      </c>
      <c r="I8" s="30" t="n">
        <f aca="false">Assumptions!$F$50</f>
        <v>1665</v>
      </c>
    </row>
    <row r="10" customFormat="false" ht="15" hidden="false" customHeight="false" outlineLevel="0" collapsed="false">
      <c r="A10" s="5" t="s">
        <v>159</v>
      </c>
      <c r="B10" s="15" t="n">
        <v>590</v>
      </c>
      <c r="C10" s="15" t="n">
        <v>671</v>
      </c>
      <c r="D10" s="15" t="n">
        <v>790</v>
      </c>
      <c r="E10" s="29" t="n">
        <f aca="false">Assumptions!$B$49</f>
        <v>880</v>
      </c>
      <c r="F10" s="29" t="n">
        <f aca="false">Assumptions!$C$49</f>
        <v>965</v>
      </c>
      <c r="G10" s="29" t="n">
        <f aca="false">Assumptions!$D$49</f>
        <v>1050</v>
      </c>
      <c r="H10" s="29" t="n">
        <f aca="false">Assumptions!$E$49</f>
        <v>1135</v>
      </c>
      <c r="I10" s="29" t="n">
        <f aca="false">Assumptions!$F$49</f>
        <v>1220</v>
      </c>
    </row>
    <row r="11" customFormat="false" ht="15" hidden="false" customHeight="false" outlineLevel="0" collapsed="false">
      <c r="A11" s="5" t="s">
        <v>160</v>
      </c>
      <c r="B11" s="15" t="n">
        <v>120</v>
      </c>
      <c r="C11" s="15" t="n">
        <v>148</v>
      </c>
      <c r="D11" s="15" t="n">
        <v>104</v>
      </c>
      <c r="E11" s="29" t="n">
        <f aca="false">E8-E10-E13-E12</f>
        <v>104.5487</v>
      </c>
      <c r="F11" s="29" t="n">
        <f aca="false">F8-F10-F13-F12</f>
        <v>105.1291</v>
      </c>
      <c r="G11" s="29" t="n">
        <f aca="false">G8-G10-G13-G12</f>
        <v>109.8412</v>
      </c>
      <c r="H11" s="29" t="n">
        <f aca="false">H8-H10-H13-H12</f>
        <v>113.785</v>
      </c>
      <c r="I11" s="29" t="n">
        <f aca="false">I8-I10-I13-I12</f>
        <v>116.8605</v>
      </c>
    </row>
    <row r="12" customFormat="false" ht="15" hidden="false" customHeight="false" outlineLevel="0" collapsed="false">
      <c r="A12" s="5" t="s">
        <v>161</v>
      </c>
      <c r="B12" s="15" t="n">
        <v>52</v>
      </c>
      <c r="C12" s="15" t="n">
        <v>60</v>
      </c>
      <c r="D12" s="15" t="n">
        <v>66</v>
      </c>
      <c r="E12" s="29" t="n">
        <f aca="false">0.06*E8</f>
        <v>72.6</v>
      </c>
      <c r="F12" s="29" t="n">
        <f aca="false">0.06*F8</f>
        <v>79.2</v>
      </c>
      <c r="G12" s="29" t="n">
        <f aca="false">0.06*G8</f>
        <v>86.1</v>
      </c>
      <c r="H12" s="29" t="n">
        <f aca="false">0.06*H8</f>
        <v>93</v>
      </c>
      <c r="I12" s="29" t="n">
        <f aca="false">0.06*I8</f>
        <v>99.9</v>
      </c>
    </row>
    <row r="13" customFormat="false" ht="15" hidden="false" customHeight="false" outlineLevel="0" collapsed="false">
      <c r="A13" s="9" t="s">
        <v>162</v>
      </c>
      <c r="B13" s="30" t="n">
        <v>101</v>
      </c>
      <c r="C13" s="30" t="n">
        <v>118</v>
      </c>
      <c r="D13" s="30" t="n">
        <v>135</v>
      </c>
      <c r="E13" s="29" t="n">
        <f aca="false">D13+'Income Statement'!E13+Assumptions!$B$52*-Assumptions!$B$5</f>
        <v>152.8513</v>
      </c>
      <c r="F13" s="29" t="n">
        <f aca="false">E13+'Income Statement'!F13+Assumptions!$C$52*-Assumptions!$B$5</f>
        <v>170.6709</v>
      </c>
      <c r="G13" s="29" t="n">
        <f aca="false">F13+'Income Statement'!G13+Assumptions!$D$52*-Assumptions!$B$5</f>
        <v>189.0588</v>
      </c>
      <c r="H13" s="29" t="n">
        <f aca="false">G13+'Income Statement'!H13+Assumptions!$E$52*-Assumptions!$B$5</f>
        <v>208.215</v>
      </c>
      <c r="I13" s="29" t="n">
        <f aca="false">H13+'Income Statement'!I13+Assumptions!$F$52*-Assumptions!$B$5</f>
        <v>228.2395</v>
      </c>
    </row>
    <row r="15" customFormat="false" ht="15" hidden="false" customHeight="false" outlineLevel="0" collapsed="false">
      <c r="A15" s="5" t="s">
        <v>163</v>
      </c>
      <c r="B15" s="15" t="n">
        <v>85</v>
      </c>
      <c r="C15" s="15" t="n">
        <v>100</v>
      </c>
      <c r="D15" s="15" t="n">
        <v>118</v>
      </c>
      <c r="E15" s="29" t="n">
        <f aca="false">D15+(E13-D13)</f>
        <v>135.8513</v>
      </c>
      <c r="F15" s="29" t="n">
        <f aca="false">E15+(F13-E13)</f>
        <v>153.6709</v>
      </c>
      <c r="G15" s="29" t="n">
        <f aca="false">F15+(G13-F13)</f>
        <v>172.0588</v>
      </c>
      <c r="H15" s="29" t="n">
        <f aca="false">G15+(H13-G13)</f>
        <v>191.215</v>
      </c>
      <c r="I15" s="29" t="n">
        <f aca="false">H15+(I13-H13)</f>
        <v>211.2395</v>
      </c>
    </row>
    <row r="16" customFormat="false" ht="15" hidden="false" customHeight="false" outlineLevel="0" collapsed="false">
      <c r="A16" s="5" t="s">
        <v>164</v>
      </c>
      <c r="B16" s="15" t="n">
        <v>600</v>
      </c>
      <c r="C16" s="15" t="n">
        <v>660</v>
      </c>
      <c r="D16" s="15" t="n">
        <v>730</v>
      </c>
      <c r="E16" s="29" t="n">
        <f aca="false">Assumptions!$B$51</f>
        <v>818</v>
      </c>
      <c r="F16" s="29" t="n">
        <f aca="false">Assumptions!$C$51</f>
        <v>908</v>
      </c>
      <c r="G16" s="29" t="n">
        <f aca="false">Assumptions!$D$51</f>
        <v>999</v>
      </c>
      <c r="H16" s="29" t="n">
        <f aca="false">Assumptions!$E$51</f>
        <v>1089</v>
      </c>
      <c r="I16" s="29" t="n">
        <f aca="false">Assumptions!$F$51</f>
        <v>1176</v>
      </c>
    </row>
    <row r="18" customFormat="false" ht="15" hidden="false" customHeight="false" outlineLevel="0" collapsed="false">
      <c r="A18" s="9" t="s">
        <v>165</v>
      </c>
      <c r="B18" s="30" t="n">
        <f aca="false">B8-B10-B11-B12-B13</f>
        <v>0</v>
      </c>
      <c r="C18" s="30" t="n">
        <f aca="false">C8-C10-C11-C12-C13</f>
        <v>0</v>
      </c>
      <c r="D18" s="30" t="n">
        <f aca="false">D8-D10-D11-D12-D13</f>
        <v>0</v>
      </c>
      <c r="E18" s="30" t="n">
        <f aca="false">E8-E10-E11-E12-E13</f>
        <v>0</v>
      </c>
      <c r="F18" s="30" t="n">
        <f aca="false">F8-F10-F11-F12-F13</f>
        <v>0</v>
      </c>
      <c r="G18" s="30" t="n">
        <f aca="false">G8-G10-G11-G12-G13</f>
        <v>0</v>
      </c>
      <c r="H18" s="30" t="n">
        <f aca="false">H8-H10-H11-H12-H13</f>
        <v>0</v>
      </c>
      <c r="I18" s="30" t="n">
        <f aca="false">I8-I10-I11-I12-I13</f>
        <v>0</v>
      </c>
    </row>
    <row r="20" customFormat="false" ht="15" hidden="false" customHeight="false" outlineLevel="0" collapsed="false">
      <c r="A20" s="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3" t="s">
        <v>168</v>
      </c>
    </row>
    <row r="3" customFormat="false" ht="15" hidden="false" customHeight="false" outlineLevel="0" collapsed="false">
      <c r="A3" s="4"/>
      <c r="B3" s="4" t="s">
        <v>61</v>
      </c>
      <c r="C3" s="4" t="s">
        <v>62</v>
      </c>
      <c r="D3" s="4" t="s">
        <v>63</v>
      </c>
      <c r="E3" s="4" t="s">
        <v>64</v>
      </c>
      <c r="F3" s="4" t="s">
        <v>65</v>
      </c>
    </row>
    <row r="4" customFormat="false" ht="15" hidden="false" customHeight="false" outlineLevel="0" collapsed="false">
      <c r="A4" s="5" t="s">
        <v>126</v>
      </c>
      <c r="B4" s="26" t="n">
        <f aca="false">'Income Statement'!E13</f>
        <v>24.8</v>
      </c>
      <c r="C4" s="26" t="n">
        <f aca="false">'Income Statement'!F13</f>
        <v>25.4</v>
      </c>
      <c r="D4" s="26" t="n">
        <f aca="false">'Income Statement'!G13</f>
        <v>26.6</v>
      </c>
      <c r="E4" s="26" t="n">
        <f aca="false">'Income Statement'!H13</f>
        <v>28</v>
      </c>
      <c r="F4" s="26" t="n">
        <f aca="false">'Income Statement'!I13</f>
        <v>29.5</v>
      </c>
    </row>
    <row r="5" customFormat="false" ht="15" hidden="false" customHeight="false" outlineLevel="0" collapsed="false">
      <c r="A5" s="5" t="s">
        <v>169</v>
      </c>
      <c r="B5" s="26" t="n">
        <f aca="false">-0.145*('Balance Sheet'!E16-'Balance Sheet'!D16)</f>
        <v>-12.76</v>
      </c>
      <c r="C5" s="26" t="n">
        <f aca="false">-0.145*('Balance Sheet'!F16-'Balance Sheet'!E16)</f>
        <v>-13.05</v>
      </c>
      <c r="D5" s="26" t="n">
        <f aca="false">-0.145*('Balance Sheet'!G16-'Balance Sheet'!F16)</f>
        <v>-13.195</v>
      </c>
      <c r="E5" s="26" t="n">
        <f aca="false">-0.145*('Balance Sheet'!H16-'Balance Sheet'!G16)</f>
        <v>-13.05</v>
      </c>
      <c r="F5" s="26" t="n">
        <f aca="false">-0.145*('Balance Sheet'!I16-'Balance Sheet'!H16)</f>
        <v>-12.615</v>
      </c>
    </row>
    <row r="6" customFormat="false" ht="15" hidden="false" customHeight="false" outlineLevel="0" collapsed="false">
      <c r="A6" s="9" t="s">
        <v>128</v>
      </c>
      <c r="B6" s="25" t="n">
        <f aca="false">B4+B5</f>
        <v>12.04</v>
      </c>
      <c r="C6" s="25" t="n">
        <f aca="false">C4+C5</f>
        <v>12.35</v>
      </c>
      <c r="D6" s="25" t="n">
        <f aca="false">D4+D5</f>
        <v>13.405</v>
      </c>
      <c r="E6" s="25" t="n">
        <f aca="false">E4+E5</f>
        <v>14.95</v>
      </c>
      <c r="F6" s="25" t="n">
        <f aca="false">F4+F5</f>
        <v>16.885</v>
      </c>
    </row>
    <row r="7" customFormat="false" ht="15" hidden="false" customHeight="false" outlineLevel="0" collapsed="false">
      <c r="A7" s="5" t="s">
        <v>170</v>
      </c>
      <c r="B7" s="26" t="n">
        <f aca="false">-Assumptions!$B$52*Assumptions!$B$5</f>
        <v>-6.9487</v>
      </c>
      <c r="C7" s="26" t="n">
        <f aca="false">-Assumptions!$C$52*Assumptions!$B$5</f>
        <v>-7.5804</v>
      </c>
      <c r="D7" s="26" t="n">
        <f aca="false">-Assumptions!$D$52*Assumptions!$B$5</f>
        <v>-8.2121</v>
      </c>
      <c r="E7" s="26" t="n">
        <f aca="false">-Assumptions!$E$52*Assumptions!$B$5</f>
        <v>-8.8438</v>
      </c>
      <c r="F7" s="26" t="n">
        <f aca="false">-Assumptions!$F$52*Assumptions!$B$5</f>
        <v>-9.4755</v>
      </c>
    </row>
    <row r="8" customFormat="false" ht="15" hidden="false" customHeight="false" outlineLevel="0" collapsed="false">
      <c r="A8" s="9" t="s">
        <v>171</v>
      </c>
      <c r="B8" s="25" t="n">
        <f aca="false">B6+B7</f>
        <v>5.0913</v>
      </c>
      <c r="C8" s="25" t="n">
        <f aca="false">C6+C7</f>
        <v>4.76960000000001</v>
      </c>
      <c r="D8" s="25" t="n">
        <f aca="false">D6+D7</f>
        <v>5.1929</v>
      </c>
      <c r="E8" s="25" t="n">
        <f aca="false">E6+E7</f>
        <v>6.1062</v>
      </c>
      <c r="F8" s="25" t="n">
        <f aca="false">F6+F7</f>
        <v>7.4095</v>
      </c>
    </row>
    <row r="10" customFormat="false" ht="15" hidden="false" customHeight="false" outlineLevel="0" collapsed="false">
      <c r="A10" s="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0"/>
  </cols>
  <sheetData>
    <row r="1" customFormat="false" ht="16.1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3"/>
    </row>
    <row r="4" customFormat="false" ht="15" hidden="false" customHeight="false" outlineLevel="0" collapsed="false">
      <c r="A4" s="4"/>
      <c r="B4" s="4" t="s">
        <v>140</v>
      </c>
      <c r="C4" s="4" t="s">
        <v>141</v>
      </c>
      <c r="D4" s="4" t="s">
        <v>142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</row>
    <row r="5" customFormat="false" ht="15" hidden="false" customHeight="false" outlineLevel="0" collapsed="false">
      <c r="A5" s="5" t="s">
        <v>114</v>
      </c>
      <c r="B5" s="31" t="n">
        <f aca="false">'Income Statement'!B6</f>
        <v>43</v>
      </c>
      <c r="C5" s="31" t="n">
        <f aca="false">'Income Statement'!C6</f>
        <v>44.1</v>
      </c>
      <c r="D5" s="31" t="n">
        <f aca="false">'Income Statement'!D6</f>
        <v>49.3</v>
      </c>
      <c r="E5" s="31" t="n">
        <f aca="false">'Income Statement'!E6</f>
        <v>51.8</v>
      </c>
      <c r="F5" s="31" t="n">
        <f aca="false">'Income Statement'!F6</f>
        <v>53.9</v>
      </c>
      <c r="G5" s="31" t="n">
        <f aca="false">'Income Statement'!G6</f>
        <v>56.5</v>
      </c>
      <c r="H5" s="31" t="n">
        <f aca="false">'Income Statement'!H6</f>
        <v>59.6</v>
      </c>
      <c r="I5" s="31" t="n">
        <f aca="false">'Income Statement'!I6</f>
        <v>62.9</v>
      </c>
    </row>
    <row r="6" customFormat="false" ht="15" hidden="false" customHeight="false" outlineLevel="0" collapsed="false">
      <c r="A6" s="5" t="s">
        <v>174</v>
      </c>
      <c r="B6" s="31" t="n">
        <f aca="false">'Income Statement'!B8</f>
        <v>31.4</v>
      </c>
      <c r="C6" s="31" t="n">
        <f aca="false">'Income Statement'!C8</f>
        <v>31.1</v>
      </c>
      <c r="D6" s="31" t="n">
        <f aca="false">'Income Statement'!D8</f>
        <v>34.3</v>
      </c>
      <c r="E6" s="31" t="n">
        <f aca="false">'Income Statement'!E8</f>
        <v>35.7</v>
      </c>
      <c r="F6" s="31" t="n">
        <f aca="false">'Income Statement'!F8</f>
        <v>37</v>
      </c>
      <c r="G6" s="31" t="n">
        <f aca="false">'Income Statement'!G8</f>
        <v>38.8</v>
      </c>
      <c r="H6" s="31" t="n">
        <f aca="false">'Income Statement'!H8</f>
        <v>41</v>
      </c>
      <c r="I6" s="31" t="n">
        <f aca="false">'Income Statement'!I8</f>
        <v>43.4</v>
      </c>
    </row>
    <row r="7" customFormat="false" ht="15" hidden="false" customHeight="false" outlineLevel="0" collapsed="false">
      <c r="A7" s="5" t="s">
        <v>126</v>
      </c>
      <c r="B7" s="31" t="n">
        <f aca="false">'Income Statement'!B13</f>
        <v>21.5</v>
      </c>
      <c r="C7" s="31" t="n">
        <f aca="false">'Income Statement'!C13</f>
        <v>23</v>
      </c>
      <c r="D7" s="31" t="n">
        <f aca="false">'Income Statement'!D13</f>
        <v>24</v>
      </c>
      <c r="E7" s="31" t="n">
        <f aca="false">'Income Statement'!E13</f>
        <v>24.8</v>
      </c>
      <c r="F7" s="31" t="n">
        <f aca="false">'Income Statement'!F13</f>
        <v>25.4</v>
      </c>
      <c r="G7" s="31" t="n">
        <f aca="false">'Income Statement'!G13</f>
        <v>26.6</v>
      </c>
      <c r="H7" s="31" t="n">
        <f aca="false">'Income Statement'!H13</f>
        <v>28</v>
      </c>
      <c r="I7" s="31" t="n">
        <f aca="false">'Income Statement'!I13</f>
        <v>29.5</v>
      </c>
    </row>
    <row r="8" customFormat="false" ht="15" hidden="false" customHeight="false" outlineLevel="0" collapsed="false">
      <c r="A8" s="5" t="s">
        <v>158</v>
      </c>
      <c r="B8" s="31" t="n">
        <f aca="false">'Balance Sheet'!B8</f>
        <v>863</v>
      </c>
      <c r="C8" s="31" t="n">
        <f aca="false">'Balance Sheet'!C8</f>
        <v>997</v>
      </c>
      <c r="D8" s="31" t="n">
        <f aca="false">'Balance Sheet'!D8</f>
        <v>1095</v>
      </c>
      <c r="E8" s="31" t="n">
        <f aca="false">'Balance Sheet'!E8</f>
        <v>1210</v>
      </c>
      <c r="F8" s="31" t="n">
        <f aca="false">'Balance Sheet'!F8</f>
        <v>1320</v>
      </c>
      <c r="G8" s="31" t="n">
        <f aca="false">'Balance Sheet'!G8</f>
        <v>1435</v>
      </c>
      <c r="H8" s="31" t="n">
        <f aca="false">'Balance Sheet'!H8</f>
        <v>1550</v>
      </c>
      <c r="I8" s="31" t="n">
        <f aca="false">'Balance Sheet'!I8</f>
        <v>1665</v>
      </c>
    </row>
    <row r="9" customFormat="false" ht="15" hidden="false" customHeight="false" outlineLevel="0" collapsed="false">
      <c r="A9" s="5" t="s">
        <v>175</v>
      </c>
      <c r="B9" s="31" t="n">
        <f aca="false">'Balance Sheet'!B4</f>
        <v>440</v>
      </c>
      <c r="C9" s="31" t="n">
        <f aca="false">'Balance Sheet'!C4</f>
        <v>520</v>
      </c>
      <c r="D9" s="31" t="n">
        <f aca="false">'Balance Sheet'!D4</f>
        <v>640</v>
      </c>
      <c r="E9" s="31" t="n">
        <f aca="false">'Balance Sheet'!E4</f>
        <v>715</v>
      </c>
      <c r="F9" s="31" t="n">
        <f aca="false">'Balance Sheet'!F4</f>
        <v>790</v>
      </c>
      <c r="G9" s="31" t="n">
        <f aca="false">'Balance Sheet'!G4</f>
        <v>865</v>
      </c>
      <c r="H9" s="31" t="n">
        <f aca="false">'Balance Sheet'!H4</f>
        <v>940</v>
      </c>
      <c r="I9" s="31" t="n">
        <f aca="false">'Balance Sheet'!I4</f>
        <v>1015</v>
      </c>
    </row>
    <row r="10" customFormat="false" ht="15" hidden="false" customHeight="false" outlineLevel="0" collapsed="false">
      <c r="A10" s="5" t="s">
        <v>176</v>
      </c>
      <c r="B10" s="31" t="n">
        <f aca="false">'Balance Sheet'!B10</f>
        <v>590</v>
      </c>
      <c r="C10" s="31" t="n">
        <f aca="false">'Balance Sheet'!C10</f>
        <v>671</v>
      </c>
      <c r="D10" s="31" t="n">
        <f aca="false">'Balance Sheet'!D10</f>
        <v>790</v>
      </c>
      <c r="E10" s="31" t="n">
        <f aca="false">'Balance Sheet'!E10</f>
        <v>880</v>
      </c>
      <c r="F10" s="31" t="n">
        <f aca="false">'Balance Sheet'!F10</f>
        <v>965</v>
      </c>
      <c r="G10" s="31" t="n">
        <f aca="false">'Balance Sheet'!G10</f>
        <v>1050</v>
      </c>
      <c r="H10" s="31" t="n">
        <f aca="false">'Balance Sheet'!H10</f>
        <v>1135</v>
      </c>
      <c r="I10" s="31" t="n">
        <f aca="false">'Balance Sheet'!I10</f>
        <v>1220</v>
      </c>
    </row>
    <row r="11" customFormat="false" ht="15" hidden="false" customHeight="false" outlineLevel="0" collapsed="false">
      <c r="A11" s="5" t="s">
        <v>162</v>
      </c>
      <c r="B11" s="31" t="n">
        <f aca="false">'Balance Sheet'!B13</f>
        <v>101</v>
      </c>
      <c r="C11" s="31" t="n">
        <f aca="false">'Balance Sheet'!C13</f>
        <v>118</v>
      </c>
      <c r="D11" s="31" t="n">
        <f aca="false">'Balance Sheet'!D13</f>
        <v>135</v>
      </c>
      <c r="E11" s="31" t="n">
        <f aca="false">'Balance Sheet'!E13</f>
        <v>152.8513</v>
      </c>
      <c r="F11" s="31" t="n">
        <f aca="false">'Balance Sheet'!F13</f>
        <v>170.6709</v>
      </c>
      <c r="G11" s="31" t="n">
        <f aca="false">'Balance Sheet'!G13</f>
        <v>189.0588</v>
      </c>
      <c r="H11" s="31" t="n">
        <f aca="false">'Balance Sheet'!H13</f>
        <v>208.215</v>
      </c>
      <c r="I11" s="31" t="n">
        <f aca="false">'Balance Sheet'!I13</f>
        <v>228.2395</v>
      </c>
    </row>
    <row r="12" customFormat="false" ht="15" hidden="false" customHeight="false" outlineLevel="0" collapsed="false">
      <c r="A12" s="5" t="s">
        <v>177</v>
      </c>
      <c r="B12" s="31" t="n">
        <f aca="false">'Balance Sheet'!B16</f>
        <v>600</v>
      </c>
      <c r="C12" s="31" t="n">
        <f aca="false">'Balance Sheet'!C16</f>
        <v>660</v>
      </c>
      <c r="D12" s="31" t="n">
        <f aca="false">'Balance Sheet'!D16</f>
        <v>730</v>
      </c>
      <c r="E12" s="31" t="n">
        <f aca="false">'Balance Sheet'!E16</f>
        <v>818</v>
      </c>
      <c r="F12" s="31" t="n">
        <f aca="false">'Balance Sheet'!F16</f>
        <v>908</v>
      </c>
      <c r="G12" s="31" t="n">
        <f aca="false">'Balance Sheet'!G16</f>
        <v>999</v>
      </c>
      <c r="H12" s="31" t="n">
        <f aca="false">'Balance Sheet'!H16</f>
        <v>1089</v>
      </c>
      <c r="I12" s="31" t="n">
        <f aca="false">'Balance Sheet'!I16</f>
        <v>1176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3" t="s">
        <v>179</v>
      </c>
    </row>
    <row r="4" customFormat="false" ht="15" hidden="false" customHeight="false" outlineLevel="0" collapsed="false">
      <c r="A4" s="4" t="s">
        <v>180</v>
      </c>
      <c r="B4" s="4" t="s">
        <v>181</v>
      </c>
      <c r="C4" s="4" t="s">
        <v>182</v>
      </c>
      <c r="D4" s="4" t="s">
        <v>183</v>
      </c>
      <c r="E4" s="4" t="s">
        <v>184</v>
      </c>
      <c r="F4" s="4" t="s">
        <v>185</v>
      </c>
    </row>
    <row r="5" customFormat="false" ht="15" hidden="false" customHeight="false" outlineLevel="0" collapsed="false">
      <c r="A5" s="5" t="s">
        <v>186</v>
      </c>
      <c r="B5" s="21" t="n">
        <v>23.69</v>
      </c>
      <c r="C5" s="21" t="n">
        <v>28.14</v>
      </c>
      <c r="D5" s="21" t="n">
        <v>31.04</v>
      </c>
      <c r="E5" s="21" t="n">
        <v>34.23</v>
      </c>
      <c r="F5" s="21" t="n">
        <v>40.59</v>
      </c>
    </row>
    <row r="6" customFormat="false" ht="15" hidden="false" customHeight="false" outlineLevel="0" collapsed="false">
      <c r="A6" s="5" t="s">
        <v>187</v>
      </c>
      <c r="B6" s="21" t="n">
        <v>22.31</v>
      </c>
      <c r="C6" s="21" t="n">
        <v>27.97</v>
      </c>
      <c r="D6" s="21" t="n">
        <v>31.81</v>
      </c>
      <c r="E6" s="21" t="n">
        <v>36.15</v>
      </c>
      <c r="F6" s="21" t="n">
        <v>45.24</v>
      </c>
    </row>
    <row r="8" customFormat="false" ht="15" hidden="false" customHeight="false" outlineLevel="0" collapsed="false">
      <c r="A8" s="0" t="s">
        <v>56</v>
      </c>
      <c r="C8" s="16" t="n">
        <v>0.45</v>
      </c>
    </row>
    <row r="9" customFormat="false" ht="15" hidden="false" customHeight="false" outlineLevel="0" collapsed="false">
      <c r="A9" s="0" t="s">
        <v>188</v>
      </c>
      <c r="C9" s="32" t="n">
        <v>0.006</v>
      </c>
    </row>
    <row r="10" customFormat="false" ht="15" hidden="false" customHeight="false" outlineLevel="0" collapsed="false">
      <c r="A10" s="0" t="s">
        <v>57</v>
      </c>
      <c r="C10" s="33" t="s">
        <v>189</v>
      </c>
    </row>
    <row r="12" customFormat="false" ht="15" hidden="false" customHeight="false" outlineLevel="0" collapsed="false">
      <c r="A12" s="9" t="s">
        <v>190</v>
      </c>
    </row>
    <row r="13" customFormat="false" ht="15" hidden="false" customHeight="false" outlineLevel="0" collapsed="false">
      <c r="A13" s="4" t="s">
        <v>191</v>
      </c>
      <c r="B13" s="4" t="s">
        <v>192</v>
      </c>
      <c r="C13" s="4" t="s">
        <v>193</v>
      </c>
    </row>
    <row r="14" customFormat="false" ht="15" hidden="false" customHeight="false" outlineLevel="0" collapsed="false">
      <c r="A14" s="21" t="n">
        <v>37</v>
      </c>
      <c r="B14" s="34" t="n">
        <v>0.198</v>
      </c>
      <c r="C14" s="34" t="n">
        <v>0.348</v>
      </c>
    </row>
    <row r="15" customFormat="false" ht="15" hidden="false" customHeight="false" outlineLevel="0" collapsed="false">
      <c r="A15" s="21" t="n">
        <v>35</v>
      </c>
      <c r="B15" s="34" t="n">
        <v>0.334</v>
      </c>
      <c r="C15" s="34" t="n">
        <v>0.494</v>
      </c>
    </row>
    <row r="16" customFormat="false" ht="15" hidden="false" customHeight="false" outlineLevel="0" collapsed="false">
      <c r="A16" s="21" t="n">
        <v>34</v>
      </c>
      <c r="B16" s="34" t="n">
        <v>0.431</v>
      </c>
      <c r="C16" s="34" t="n">
        <v>0.582</v>
      </c>
    </row>
    <row r="17" customFormat="false" ht="15" hidden="false" customHeight="false" outlineLevel="0" collapsed="false">
      <c r="A17" s="21" t="n">
        <v>33</v>
      </c>
      <c r="B17" s="34" t="n">
        <v>0.548</v>
      </c>
      <c r="C17" s="34" t="n">
        <v>0.679</v>
      </c>
    </row>
    <row r="18" customFormat="false" ht="15" hidden="false" customHeight="false" outlineLevel="0" collapsed="false">
      <c r="A18" s="21" t="n">
        <v>32</v>
      </c>
      <c r="B18" s="34" t="n">
        <v>0.682</v>
      </c>
      <c r="C18" s="34" t="n">
        <v>0.779</v>
      </c>
    </row>
    <row r="19" customFormat="false" ht="15" hidden="false" customHeight="false" outlineLevel="0" collapsed="false">
      <c r="A19" s="21" t="n">
        <v>31</v>
      </c>
      <c r="B19" s="34" t="n">
        <v>0.819</v>
      </c>
      <c r="C19" s="34" t="n">
        <v>0.876</v>
      </c>
    </row>
    <row r="20" customFormat="false" ht="15" hidden="false" customHeight="false" outlineLevel="0" collapsed="false">
      <c r="A20" s="21" t="n">
        <v>30</v>
      </c>
      <c r="B20" s="34" t="n">
        <v>0.739</v>
      </c>
      <c r="C20" s="34" t="n">
        <v>0.794</v>
      </c>
    </row>
    <row r="21" customFormat="false" ht="15" hidden="false" customHeight="false" outlineLevel="0" collapsed="false">
      <c r="A21" s="21" t="n">
        <v>29</v>
      </c>
      <c r="B21" s="34" t="n">
        <v>0.577</v>
      </c>
      <c r="C21" s="34" t="n">
        <v>0.66</v>
      </c>
    </row>
    <row r="22" customFormat="false" ht="15" hidden="false" customHeight="false" outlineLevel="0" collapsed="false">
      <c r="A22" s="21" t="n">
        <v>28</v>
      </c>
      <c r="B22" s="34" t="n">
        <v>0.43</v>
      </c>
      <c r="C22" s="34" t="n">
        <v>0.531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0"/>
  </cols>
  <sheetData>
    <row r="1" customFormat="false" ht="16.1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3" t="s">
        <v>195</v>
      </c>
    </row>
    <row r="4" customFormat="false" ht="15" hidden="false" customHeight="false" outlineLevel="0" collapsed="false">
      <c r="A4" s="9" t="s">
        <v>196</v>
      </c>
      <c r="B4" s="16" t="n">
        <v>0.105</v>
      </c>
      <c r="C4" s="16" t="n">
        <v>0.11</v>
      </c>
      <c r="D4" s="16" t="n">
        <v>0.115</v>
      </c>
      <c r="E4" s="16" t="n">
        <v>0.12</v>
      </c>
      <c r="F4" s="16" t="n">
        <v>0.125</v>
      </c>
      <c r="G4" s="16" t="n">
        <v>0.13</v>
      </c>
    </row>
    <row r="5" customFormat="false" ht="15" hidden="false" customHeight="false" outlineLevel="0" collapsed="false">
      <c r="A5" s="16" t="n">
        <v>0.14</v>
      </c>
      <c r="B5" s="26" t="n">
        <f aca="false">(($A5-Assumptions!$B$15)/(B$4-Assumptions!$B$15))*((Assumptions!$B$6)/Assumptions!$B$5)</f>
        <v>29.5762756582766</v>
      </c>
      <c r="C5" s="26" t="n">
        <f aca="false">(($A5-Assumptions!$B$15)/(C$4-Assumptions!$B$15))*((Assumptions!$B$6)/Assumptions!$B$5)</f>
        <v>27.3011775307169</v>
      </c>
      <c r="D5" s="26" t="n">
        <f aca="false">(($A5-Assumptions!$B$15)/(D$4-Assumptions!$B$15))*((Assumptions!$B$6)/Assumptions!$B$5)</f>
        <v>25.35109342138</v>
      </c>
      <c r="E5" s="26" t="n">
        <f aca="false">(($A5-Assumptions!$B$15)/(E$4-Assumptions!$B$15))*((Assumptions!$B$6)/Assumptions!$B$5)</f>
        <v>23.6610205266213</v>
      </c>
      <c r="F5" s="26" t="n">
        <f aca="false">(($A5-Assumptions!$B$15)/(F$4-Assumptions!$B$15))*((Assumptions!$B$6)/Assumptions!$B$5)</f>
        <v>22.1822067437075</v>
      </c>
      <c r="G5" s="26" t="n">
        <f aca="false">(($A5-Assumptions!$B$15)/(G$4-Assumptions!$B$15))*((Assumptions!$B$6)/Assumptions!$B$5)</f>
        <v>20.8773710529011</v>
      </c>
    </row>
    <row r="6" customFormat="false" ht="15" hidden="false" customHeight="false" outlineLevel="0" collapsed="false">
      <c r="A6" s="16" t="n">
        <v>0.155</v>
      </c>
      <c r="B6" s="26" t="n">
        <f aca="false">(($A6-Assumptions!$B$15)/(B$4-Assumptions!$B$15))*((Assumptions!$B$6)/Assumptions!$B$5)</f>
        <v>34.2462139201098</v>
      </c>
      <c r="C6" s="26" t="n">
        <f aca="false">(($A6-Assumptions!$B$15)/(C$4-Assumptions!$B$15))*((Assumptions!$B$6)/Assumptions!$B$5)</f>
        <v>31.611889772409</v>
      </c>
      <c r="D6" s="26" t="n">
        <f aca="false">(($A6-Assumptions!$B$15)/(D$4-Assumptions!$B$15))*((Assumptions!$B$6)/Assumptions!$B$5)</f>
        <v>29.3538976458084</v>
      </c>
      <c r="E6" s="26" t="n">
        <f aca="false">(($A6-Assumptions!$B$15)/(E$4-Assumptions!$B$15))*((Assumptions!$B$6)/Assumptions!$B$5)</f>
        <v>27.3969711360878</v>
      </c>
      <c r="F6" s="26" t="n">
        <f aca="false">(($A6-Assumptions!$B$15)/(F$4-Assumptions!$B$15))*((Assumptions!$B$6)/Assumptions!$B$5)</f>
        <v>25.6846604400823</v>
      </c>
      <c r="G6" s="26" t="n">
        <f aca="false">(($A6-Assumptions!$B$15)/(G$4-Assumptions!$B$15))*((Assumptions!$B$6)/Assumptions!$B$5)</f>
        <v>24.1737980612539</v>
      </c>
    </row>
    <row r="7" customFormat="false" ht="15" hidden="false" customHeight="false" outlineLevel="0" collapsed="false">
      <c r="A7" s="16" t="n">
        <v>0.165</v>
      </c>
      <c r="B7" s="26" t="n">
        <f aca="false">(($A7-Assumptions!$B$15)/(B$4-Assumptions!$B$15))*((Assumptions!$B$6)/Assumptions!$B$5)</f>
        <v>37.3595060946652</v>
      </c>
      <c r="C7" s="26" t="n">
        <f aca="false">(($A7-Assumptions!$B$15)/(C$4-Assumptions!$B$15))*((Assumptions!$B$6)/Assumptions!$B$5)</f>
        <v>34.4856979335371</v>
      </c>
      <c r="D7" s="26" t="n">
        <f aca="false">(($A7-Assumptions!$B$15)/(D$4-Assumptions!$B$15))*((Assumptions!$B$6)/Assumptions!$B$5)</f>
        <v>32.0224337954273</v>
      </c>
      <c r="E7" s="26" t="n">
        <f aca="false">(($A7-Assumptions!$B$15)/(E$4-Assumptions!$B$15))*((Assumptions!$B$6)/Assumptions!$B$5)</f>
        <v>29.8876048757322</v>
      </c>
      <c r="F7" s="26" t="n">
        <f aca="false">(($A7-Assumptions!$B$15)/(F$4-Assumptions!$B$15))*((Assumptions!$B$6)/Assumptions!$B$5)</f>
        <v>28.0196295709989</v>
      </c>
      <c r="G7" s="26" t="n">
        <f aca="false">(($A7-Assumptions!$B$15)/(G$4-Assumptions!$B$15))*((Assumptions!$B$6)/Assumptions!$B$5)</f>
        <v>26.3714160668225</v>
      </c>
    </row>
    <row r="8" customFormat="false" ht="15" hidden="false" customHeight="false" outlineLevel="0" collapsed="false">
      <c r="A8" s="16" t="n">
        <v>0.175</v>
      </c>
      <c r="B8" s="26" t="n">
        <f aca="false">(($A8-Assumptions!$B$15)/(B$4-Assumptions!$B$15))*((Assumptions!$B$6)/Assumptions!$B$5)</f>
        <v>40.4727982692206</v>
      </c>
      <c r="C8" s="26" t="n">
        <f aca="false">(($A8-Assumptions!$B$15)/(C$4-Assumptions!$B$15))*((Assumptions!$B$6)/Assumptions!$B$5)</f>
        <v>37.3595060946652</v>
      </c>
      <c r="D8" s="26" t="n">
        <f aca="false">(($A8-Assumptions!$B$15)/(D$4-Assumptions!$B$15))*((Assumptions!$B$6)/Assumptions!$B$5)</f>
        <v>34.6909699450462</v>
      </c>
      <c r="E8" s="26" t="n">
        <f aca="false">(($A8-Assumptions!$B$15)/(E$4-Assumptions!$B$15))*((Assumptions!$B$6)/Assumptions!$B$5)</f>
        <v>32.3782386153765</v>
      </c>
      <c r="F8" s="26" t="n">
        <f aca="false">(($A8-Assumptions!$B$15)/(F$4-Assumptions!$B$15))*((Assumptions!$B$6)/Assumptions!$B$5)</f>
        <v>30.3545987019155</v>
      </c>
      <c r="G8" s="26" t="n">
        <f aca="false">(($A8-Assumptions!$B$15)/(G$4-Assumptions!$B$15))*((Assumptions!$B$6)/Assumptions!$B$5)</f>
        <v>28.569034072391</v>
      </c>
    </row>
    <row r="9" customFormat="false" ht="15" hidden="false" customHeight="false" outlineLevel="0" collapsed="false">
      <c r="A9" s="16" t="n">
        <v>0.185</v>
      </c>
      <c r="B9" s="26" t="n">
        <f aca="false">(($A9-Assumptions!$B$15)/(B$4-Assumptions!$B$15))*((Assumptions!$B$6)/Assumptions!$B$5)</f>
        <v>43.5860904437761</v>
      </c>
      <c r="C9" s="26" t="n">
        <f aca="false">(($A9-Assumptions!$B$15)/(C$4-Assumptions!$B$15))*((Assumptions!$B$6)/Assumptions!$B$5)</f>
        <v>40.2333142557933</v>
      </c>
      <c r="D9" s="26" t="n">
        <f aca="false">(($A9-Assumptions!$B$15)/(D$4-Assumptions!$B$15))*((Assumptions!$B$6)/Assumptions!$B$5)</f>
        <v>37.3595060946652</v>
      </c>
      <c r="E9" s="26" t="n">
        <f aca="false">(($A9-Assumptions!$B$15)/(E$4-Assumptions!$B$15))*((Assumptions!$B$6)/Assumptions!$B$5)</f>
        <v>34.8688723550209</v>
      </c>
      <c r="F9" s="26" t="n">
        <f aca="false">(($A9-Assumptions!$B$15)/(F$4-Assumptions!$B$15))*((Assumptions!$B$6)/Assumptions!$B$5)</f>
        <v>32.689567832832</v>
      </c>
      <c r="G9" s="26" t="n">
        <f aca="false">(($A9-Assumptions!$B$15)/(G$4-Assumptions!$B$15))*((Assumptions!$B$6)/Assumptions!$B$5)</f>
        <v>30.7666520779596</v>
      </c>
    </row>
    <row r="10" customFormat="false" ht="15" hidden="false" customHeight="false" outlineLevel="0" collapsed="false">
      <c r="A10" s="16" t="n">
        <v>0.195</v>
      </c>
      <c r="B10" s="26" t="n">
        <f aca="false">(($A10-Assumptions!$B$15)/(B$4-Assumptions!$B$15))*((Assumptions!$B$6)/Assumptions!$B$5)</f>
        <v>46.6993826183315</v>
      </c>
      <c r="C10" s="26" t="n">
        <f aca="false">(($A10-Assumptions!$B$15)/(C$4-Assumptions!$B$15))*((Assumptions!$B$6)/Assumptions!$B$5)</f>
        <v>43.1071224169214</v>
      </c>
      <c r="D10" s="26" t="n">
        <f aca="false">(($A10-Assumptions!$B$15)/(D$4-Assumptions!$B$15))*((Assumptions!$B$6)/Assumptions!$B$5)</f>
        <v>40.0280422442841</v>
      </c>
      <c r="E10" s="26" t="n">
        <f aca="false">(($A10-Assumptions!$B$15)/(E$4-Assumptions!$B$15))*((Assumptions!$B$6)/Assumptions!$B$5)</f>
        <v>37.3595060946652</v>
      </c>
      <c r="F10" s="26" t="n">
        <f aca="false">(($A10-Assumptions!$B$15)/(F$4-Assumptions!$B$15))*((Assumptions!$B$6)/Assumptions!$B$5)</f>
        <v>35.0245369637486</v>
      </c>
      <c r="G10" s="26" t="n">
        <f aca="false">(($A10-Assumptions!$B$15)/(G$4-Assumptions!$B$15))*((Assumptions!$B$6)/Assumptions!$B$5)</f>
        <v>32.9642700835281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9"/>
  </cols>
  <sheetData>
    <row r="1" customFormat="false" ht="16.1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3" t="s">
        <v>198</v>
      </c>
    </row>
    <row r="4" customFormat="false" ht="15" hidden="false" customHeight="false" outlineLevel="0" collapsed="false">
      <c r="A4" s="4"/>
      <c r="B4" s="4" t="s">
        <v>140</v>
      </c>
      <c r="C4" s="4" t="s">
        <v>141</v>
      </c>
      <c r="D4" s="4" t="s">
        <v>142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</row>
    <row r="5" customFormat="false" ht="15" hidden="false" customHeight="false" outlineLevel="0" collapsed="false">
      <c r="A5" s="5" t="s">
        <v>199</v>
      </c>
      <c r="B5" s="21" t="n">
        <f aca="false">'Income Statement'!B13/Assumptions!$B$5</f>
        <v>3.40351432642077</v>
      </c>
      <c r="C5" s="21" t="n">
        <f aca="false">'Income Statement'!C13/Assumptions!$B$5</f>
        <v>3.64096881431059</v>
      </c>
      <c r="D5" s="21" t="n">
        <f aca="false">'Income Statement'!D13/Assumptions!$B$5</f>
        <v>3.79927180623714</v>
      </c>
      <c r="E5" s="21" t="n">
        <f aca="false">'Income Statement'!E13/Assumptions!$B$5</f>
        <v>3.92591419977838</v>
      </c>
      <c r="F5" s="21" t="n">
        <f aca="false">'Income Statement'!F13/Assumptions!$B$5</f>
        <v>4.02089599493431</v>
      </c>
      <c r="G5" s="21" t="n">
        <f aca="false">'Income Statement'!G13/Assumptions!$B$5</f>
        <v>4.21085958524616</v>
      </c>
      <c r="H5" s="21" t="n">
        <f aca="false">'Income Statement'!H13/Assumptions!$B$5</f>
        <v>4.43248377394333</v>
      </c>
      <c r="I5" s="21" t="n">
        <f aca="false">'Income Statement'!I13/Assumptions!$B$5</f>
        <v>4.66993826183315</v>
      </c>
    </row>
    <row r="6" customFormat="false" ht="15" hidden="false" customHeight="false" outlineLevel="0" collapsed="false">
      <c r="A6" s="5" t="s">
        <v>77</v>
      </c>
      <c r="B6" s="21" t="n">
        <f aca="false">1.2</f>
        <v>1.2</v>
      </c>
      <c r="C6" s="21" t="n">
        <f aca="false">1</f>
        <v>1</v>
      </c>
      <c r="D6" s="21" t="n">
        <f aca="false">1</f>
        <v>1</v>
      </c>
      <c r="E6" s="21" t="n">
        <f aca="false">1.1</f>
        <v>1.1</v>
      </c>
      <c r="F6" s="21" t="n">
        <f aca="false">1.2</f>
        <v>1.2</v>
      </c>
      <c r="G6" s="21" t="n">
        <f aca="false">1.3</f>
        <v>1.3</v>
      </c>
      <c r="H6" s="21" t="n">
        <f aca="false">1.4</f>
        <v>1.4</v>
      </c>
      <c r="I6" s="21" t="n">
        <f aca="false">1.5</f>
        <v>1.5</v>
      </c>
    </row>
    <row r="7" customFormat="false" ht="15" hidden="false" customHeight="false" outlineLevel="0" collapsed="false">
      <c r="A7" s="5" t="s">
        <v>200</v>
      </c>
      <c r="B7" s="21" t="n">
        <f aca="false">'Balance Sheet'!B15/Assumptions!$B$5</f>
        <v>13.4557543137565</v>
      </c>
      <c r="C7" s="21" t="n">
        <f aca="false">'Balance Sheet'!C15/Assumptions!$B$5</f>
        <v>15.8302991926547</v>
      </c>
      <c r="D7" s="21" t="n">
        <f aca="false">'Balance Sheet'!D15/Assumptions!$B$5</f>
        <v>18.6797530473326</v>
      </c>
      <c r="E7" s="21" t="n">
        <f aca="false">'Balance Sheet'!E15/Assumptions!$B$5</f>
        <v>21.505667247111</v>
      </c>
      <c r="F7" s="21" t="n">
        <f aca="false">'Balance Sheet'!F15/Assumptions!$B$5</f>
        <v>24.3265632420453</v>
      </c>
      <c r="G7" s="21" t="n">
        <f aca="false">'Balance Sheet'!G15/Assumptions!$B$5</f>
        <v>27.2374228272914</v>
      </c>
      <c r="H7" s="21" t="n">
        <f aca="false">'Balance Sheet'!H15/Assumptions!$B$5</f>
        <v>30.2699066012348</v>
      </c>
      <c r="I7" s="21" t="n">
        <f aca="false">'Balance Sheet'!I15/Assumptions!$B$5</f>
        <v>33.4398448630679</v>
      </c>
    </row>
    <row r="8" customFormat="false" ht="15" hidden="false" customHeight="false" outlineLevel="0" collapsed="false">
      <c r="A8" s="5" t="s">
        <v>201</v>
      </c>
      <c r="B8" s="21" t="n">
        <f aca="false">'Balance Sheet'!B13/Assumptions!$B$5</f>
        <v>15.9886021845813</v>
      </c>
      <c r="C8" s="21" t="n">
        <f aca="false">'Balance Sheet'!C13/Assumptions!$B$5</f>
        <v>18.6797530473326</v>
      </c>
      <c r="D8" s="21" t="n">
        <f aca="false">'Balance Sheet'!D13/Assumptions!$B$5</f>
        <v>21.3709039100839</v>
      </c>
      <c r="E8" s="21" t="n">
        <f aca="false">'Balance Sheet'!E13/Assumptions!$B$5</f>
        <v>24.1968181098623</v>
      </c>
      <c r="F8" s="21" t="n">
        <f aca="false">'Balance Sheet'!F13/Assumptions!$B$5</f>
        <v>27.0177141047966</v>
      </c>
      <c r="G8" s="21" t="n">
        <f aca="false">'Balance Sheet'!G13/Assumptions!$B$5</f>
        <v>29.9285736900427</v>
      </c>
      <c r="H8" s="21" t="n">
        <f aca="false">'Balance Sheet'!H13/Assumptions!$B$5</f>
        <v>32.9610574639861</v>
      </c>
      <c r="I8" s="21" t="n">
        <f aca="false">'Balance Sheet'!I13/Assumptions!$B$5</f>
        <v>36.1309957258192</v>
      </c>
    </row>
    <row r="9" customFormat="false" ht="15" hidden="false" customHeight="false" outlineLevel="0" collapsed="false">
      <c r="A9" s="5" t="s">
        <v>202</v>
      </c>
      <c r="B9" s="35" t="n">
        <f aca="false">Assumptions!$B$4/(B5)</f>
        <v>9.00245953488372</v>
      </c>
      <c r="C9" s="35" t="n">
        <f aca="false">Assumptions!$B$4/(C5)</f>
        <v>8.41534260869565</v>
      </c>
      <c r="D9" s="35" t="n">
        <f aca="false">Assumptions!$B$4/(D5)</f>
        <v>8.06470333333333</v>
      </c>
      <c r="E9" s="35" t="n">
        <f aca="false">Assumptions!$B$4/(E5)</f>
        <v>7.80455161290323</v>
      </c>
      <c r="F9" s="35" t="n">
        <f aca="false">Assumptions!$B$4/(F5)</f>
        <v>7.62019212598425</v>
      </c>
      <c r="G9" s="35" t="n">
        <f aca="false">Assumptions!$B$4/(G5)</f>
        <v>7.27642406015038</v>
      </c>
      <c r="H9" s="35" t="n">
        <f aca="false">Assumptions!$B$4/(H5)</f>
        <v>6.91260285714286</v>
      </c>
      <c r="I9" s="35" t="n">
        <f aca="false">Assumptions!$B$4/(I5)</f>
        <v>6.56111457627119</v>
      </c>
    </row>
    <row r="10" customFormat="false" ht="15" hidden="false" customHeight="false" outlineLevel="0" collapsed="false">
      <c r="A10" s="5" t="s">
        <v>203</v>
      </c>
      <c r="B10" s="24" t="n">
        <f aca="false">Assumptions!$B$4/(B7)</f>
        <v>2.27709270588235</v>
      </c>
      <c r="C10" s="24" t="n">
        <f aca="false">Assumptions!$B$4/(C7)</f>
        <v>1.9355288</v>
      </c>
      <c r="D10" s="24" t="n">
        <f aca="false">Assumptions!$B$4/(D7)</f>
        <v>1.6402786440678</v>
      </c>
      <c r="E10" s="24" t="n">
        <f aca="false">Assumptions!$B$4/(E7)</f>
        <v>1.42474072754549</v>
      </c>
      <c r="F10" s="24" t="n">
        <f aca="false">Assumptions!$B$4/(F7)</f>
        <v>1.25952851190434</v>
      </c>
      <c r="G10" s="24" t="n">
        <f aca="false">Assumptions!$B$4/(G7)</f>
        <v>1.12492287520313</v>
      </c>
      <c r="H10" s="24" t="n">
        <f aca="false">Assumptions!$B$4/(H7)</f>
        <v>1.01222644666998</v>
      </c>
      <c r="I10" s="24" t="n">
        <f aca="false">Assumptions!$B$4/(I7)</f>
        <v>0.916272193410797</v>
      </c>
    </row>
    <row r="11" customFormat="false" ht="15" hidden="false" customHeight="false" outlineLevel="0" collapsed="false">
      <c r="A11" s="5" t="s">
        <v>204</v>
      </c>
      <c r="B11" s="11" t="n">
        <f aca="false">B6/Assumptions!$B$4</f>
        <v>0.0391644908616188</v>
      </c>
      <c r="C11" s="11" t="n">
        <f aca="false">C6/Assumptions!$B$4</f>
        <v>0.0326370757180157</v>
      </c>
      <c r="D11" s="11" t="n">
        <f aca="false">D6/Assumptions!$B$4</f>
        <v>0.0326370757180157</v>
      </c>
      <c r="E11" s="11" t="n">
        <f aca="false">E6/Assumptions!$B$4</f>
        <v>0.0359007832898172</v>
      </c>
      <c r="F11" s="11" t="n">
        <f aca="false">F6/Assumptions!$B$4</f>
        <v>0.0391644908616188</v>
      </c>
      <c r="G11" s="11" t="n">
        <f aca="false">G6/Assumptions!$B$4</f>
        <v>0.0424281984334204</v>
      </c>
      <c r="H11" s="11" t="n">
        <f aca="false">H6/Assumptions!$B$4</f>
        <v>0.0456919060052219</v>
      </c>
      <c r="I11" s="11" t="n">
        <f aca="false">I6/Assumptions!$B$4</f>
        <v>0.0489556135770235</v>
      </c>
    </row>
    <row r="12" customFormat="false" ht="15" hidden="false" customHeight="false" outlineLevel="0" collapsed="false">
      <c r="A12" s="5" t="s">
        <v>85</v>
      </c>
      <c r="B12" s="11" t="n">
        <f aca="false">0.195</f>
        <v>0.195</v>
      </c>
      <c r="C12" s="11" t="n">
        <f aca="false">0.212</f>
        <v>0.212</v>
      </c>
      <c r="D12" s="11" t="n">
        <f aca="false">0.2</f>
        <v>0.2</v>
      </c>
      <c r="E12" s="11" t="n">
        <f aca="false">0.189</f>
        <v>0.189</v>
      </c>
      <c r="F12" s="11" t="n">
        <f aca="false">0.175</f>
        <v>0.175</v>
      </c>
      <c r="G12" s="11" t="n">
        <f aca="false">0.168</f>
        <v>0.168</v>
      </c>
      <c r="H12" s="11" t="n">
        <f aca="false">0.162</f>
        <v>0.162</v>
      </c>
      <c r="I12" s="11" t="n">
        <f aca="false">0.158</f>
        <v>0.158</v>
      </c>
    </row>
    <row r="13" customFormat="false" ht="15" hidden="false" customHeight="false" outlineLevel="0" collapsed="false">
      <c r="A13" s="5" t="s">
        <v>205</v>
      </c>
      <c r="B13" s="36" t="n">
        <f aca="false">0.036</f>
        <v>0.036</v>
      </c>
      <c r="C13" s="36" t="n">
        <f aca="false">0.04</f>
        <v>0.04</v>
      </c>
      <c r="D13" s="36" t="n">
        <f aca="false">0.0346</f>
        <v>0.0346</v>
      </c>
      <c r="E13" s="36" t="n">
        <f aca="false">0.0325</f>
        <v>0.0325</v>
      </c>
      <c r="F13" s="36" t="n">
        <f aca="false">0.0315</f>
        <v>0.0315</v>
      </c>
      <c r="G13" s="36" t="n">
        <f aca="false">0.031</f>
        <v>0.031</v>
      </c>
      <c r="H13" s="36" t="n">
        <f aca="false">0.0308</f>
        <v>0.0308</v>
      </c>
      <c r="I13" s="36" t="n">
        <f aca="false">0.0305</f>
        <v>0.0305</v>
      </c>
    </row>
    <row r="14" customFormat="false" ht="15" hidden="false" customHeight="false" outlineLevel="0" collapsed="false">
      <c r="A14" s="5" t="s">
        <v>206</v>
      </c>
      <c r="B14" s="11" t="n">
        <f aca="false">-'Income Statement'!B7/'Income Statement'!B6</f>
        <v>0.269767441860465</v>
      </c>
      <c r="C14" s="11" t="n">
        <f aca="false">-'Income Statement'!C7/'Income Statement'!C6</f>
        <v>0.294784580498866</v>
      </c>
      <c r="D14" s="11" t="n">
        <f aca="false">-'Income Statement'!D7/'Income Statement'!D6</f>
        <v>0.304259634888438</v>
      </c>
      <c r="E14" s="11" t="n">
        <f aca="false">-'Income Statement'!E7/'Income Statement'!E6</f>
        <v>0.310810810810811</v>
      </c>
      <c r="F14" s="11" t="n">
        <f aca="false">-'Income Statement'!F7/'Income Statement'!F6</f>
        <v>0.313543599257885</v>
      </c>
      <c r="G14" s="11" t="n">
        <f aca="false">-'Income Statement'!G7/'Income Statement'!G6</f>
        <v>0.313274336283186</v>
      </c>
      <c r="H14" s="11" t="n">
        <f aca="false">-'Income Statement'!H7/'Income Statement'!H6</f>
        <v>0.312080536912752</v>
      </c>
      <c r="I14" s="11" t="n">
        <f aca="false">-'Income Statement'!I7/'Income Statement'!I6</f>
        <v>0.310015898251192</v>
      </c>
    </row>
    <row r="15" customFormat="false" ht="15" hidden="false" customHeight="false" outlineLevel="0" collapsed="false">
      <c r="A15" s="5" t="s">
        <v>207</v>
      </c>
      <c r="B15" s="11" t="n">
        <f aca="false">0.046</f>
        <v>0.046</v>
      </c>
      <c r="C15" s="11" t="n">
        <f aca="false">0.033</f>
        <v>0.033</v>
      </c>
      <c r="D15" s="11" t="n">
        <f aca="false">0.024</f>
        <v>0.024</v>
      </c>
      <c r="E15" s="11" t="n">
        <f aca="false">0.026</f>
        <v>0.026</v>
      </c>
      <c r="F15" s="11" t="n">
        <f aca="false">0.029</f>
        <v>0.029</v>
      </c>
      <c r="G15" s="11" t="n">
        <f aca="false">0.031</f>
        <v>0.031</v>
      </c>
      <c r="H15" s="11" t="n">
        <f aca="false">0.032</f>
        <v>0.032</v>
      </c>
      <c r="I15" s="11" t="n">
        <f aca="false">0.032</f>
        <v>0.032</v>
      </c>
    </row>
    <row r="16" customFormat="false" ht="15" hidden="false" customHeight="false" outlineLevel="0" collapsed="false">
      <c r="A16" s="5" t="s">
        <v>208</v>
      </c>
      <c r="B16" s="11" t="n">
        <f aca="false">0.147</f>
        <v>0.147</v>
      </c>
      <c r="C16" s="11" t="n">
        <f aca="false">0.149</f>
        <v>0.149</v>
      </c>
      <c r="D16" s="11" t="n">
        <f aca="false">0.144</f>
        <v>0.144</v>
      </c>
      <c r="E16" s="11" t="n">
        <f aca="false">0.145</f>
        <v>0.145</v>
      </c>
      <c r="F16" s="11" t="n">
        <f aca="false">0.146</f>
        <v>0.146</v>
      </c>
      <c r="G16" s="11" t="n">
        <f aca="false">0.146</f>
        <v>0.146</v>
      </c>
      <c r="H16" s="11" t="n">
        <f aca="false">0.147</f>
        <v>0.147</v>
      </c>
      <c r="I16" s="11" t="n">
        <f aca="false">0.148</f>
        <v>0.148</v>
      </c>
    </row>
    <row r="17" customFormat="false" ht="15" hidden="false" customHeight="false" outlineLevel="0" collapsed="false">
      <c r="A17" s="5" t="s">
        <v>209</v>
      </c>
      <c r="B17" s="11" t="n">
        <f aca="false">0.169</f>
        <v>0.169</v>
      </c>
      <c r="C17" s="11" t="n">
        <f aca="false">0.172</f>
        <v>0.172</v>
      </c>
      <c r="D17" s="11" t="n">
        <f aca="false">0.166</f>
        <v>0.166</v>
      </c>
      <c r="E17" s="11" t="n">
        <f aca="false">0.167</f>
        <v>0.167</v>
      </c>
      <c r="F17" s="11" t="n">
        <f aca="false">0.168</f>
        <v>0.168</v>
      </c>
      <c r="G17" s="11" t="n">
        <f aca="false">0.169</f>
        <v>0.169</v>
      </c>
      <c r="H17" s="11" t="n">
        <f aca="false">0.17</f>
        <v>0.17</v>
      </c>
      <c r="I17" s="11" t="n">
        <f aca="false">0.171</f>
        <v>0.171</v>
      </c>
    </row>
    <row r="18" customFormat="false" ht="15" hidden="false" customHeight="false" outlineLevel="0" collapsed="false">
      <c r="A18" s="5" t="s">
        <v>210</v>
      </c>
      <c r="B18" s="11" t="n">
        <f aca="false">'Balance Sheet'!B16/'Balance Sheet'!B8</f>
        <v>0.695249130938586</v>
      </c>
      <c r="C18" s="11" t="n">
        <f aca="false">'Balance Sheet'!C16/'Balance Sheet'!C8</f>
        <v>0.661985957873621</v>
      </c>
      <c r="D18" s="11" t="n">
        <f aca="false">'Balance Sheet'!D16/'Balance Sheet'!D8</f>
        <v>0.666666666666667</v>
      </c>
      <c r="E18" s="11" t="n">
        <f aca="false">'Balance Sheet'!E16/'Balance Sheet'!E8</f>
        <v>0.67603305785124</v>
      </c>
      <c r="F18" s="11" t="n">
        <f aca="false">'Balance Sheet'!F16/'Balance Sheet'!F8</f>
        <v>0.687878787878788</v>
      </c>
      <c r="G18" s="11" t="n">
        <f aca="false">'Balance Sheet'!G16/'Balance Sheet'!G8</f>
        <v>0.69616724738676</v>
      </c>
      <c r="H18" s="11" t="n">
        <f aca="false">'Balance Sheet'!H16/'Balance Sheet'!H8</f>
        <v>0.70258064516129</v>
      </c>
      <c r="I18" s="11" t="n">
        <f aca="false">'Balance Sheet'!I16/'Balance Sheet'!I8</f>
        <v>0.706306306306306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3" t="s">
        <v>212</v>
      </c>
    </row>
    <row r="4" customFormat="false" ht="15" hidden="false" customHeight="false" outlineLevel="0" collapsed="false">
      <c r="A4" s="4" t="s">
        <v>213</v>
      </c>
      <c r="B4" s="4" t="s">
        <v>203</v>
      </c>
      <c r="C4" s="4" t="s">
        <v>202</v>
      </c>
      <c r="D4" s="4" t="s">
        <v>103</v>
      </c>
    </row>
    <row r="5" customFormat="false" ht="15" hidden="false" customHeight="false" outlineLevel="0" collapsed="false">
      <c r="A5" s="5" t="s">
        <v>214</v>
      </c>
      <c r="B5" s="17" t="n">
        <v>1.64</v>
      </c>
      <c r="C5" s="18" t="n">
        <v>8.3</v>
      </c>
      <c r="D5" s="3" t="s">
        <v>215</v>
      </c>
    </row>
    <row r="6" customFormat="false" ht="15" hidden="false" customHeight="false" outlineLevel="0" collapsed="false">
      <c r="A6" s="5" t="s">
        <v>216</v>
      </c>
      <c r="B6" s="17" t="n">
        <v>1.4</v>
      </c>
      <c r="C6" s="18" t="n">
        <v>9.7</v>
      </c>
      <c r="D6" s="3" t="s">
        <v>217</v>
      </c>
    </row>
    <row r="7" customFormat="false" ht="15" hidden="false" customHeight="false" outlineLevel="0" collapsed="false">
      <c r="A7" s="5" t="s">
        <v>218</v>
      </c>
      <c r="B7" s="17" t="n">
        <v>1.3</v>
      </c>
      <c r="C7" s="18" t="n">
        <v>9</v>
      </c>
      <c r="D7" s="3" t="s">
        <v>219</v>
      </c>
    </row>
    <row r="8" customFormat="false" ht="15" hidden="false" customHeight="false" outlineLevel="0" collapsed="false">
      <c r="A8" s="5" t="s">
        <v>220</v>
      </c>
      <c r="B8" s="17" t="n">
        <v>1.3</v>
      </c>
      <c r="C8" s="18" t="n">
        <v>7</v>
      </c>
      <c r="D8" s="3" t="s">
        <v>221</v>
      </c>
    </row>
    <row r="9" customFormat="false" ht="15" hidden="false" customHeight="false" outlineLevel="0" collapsed="false">
      <c r="A9" s="5" t="s">
        <v>222</v>
      </c>
      <c r="B9" s="17" t="n">
        <v>1.7</v>
      </c>
      <c r="C9" s="18" t="n">
        <v>9</v>
      </c>
      <c r="D9" s="3" t="s">
        <v>223</v>
      </c>
    </row>
    <row r="10" customFormat="false" ht="15" hidden="false" customHeight="false" outlineLevel="0" collapsed="false">
      <c r="A10" s="5" t="s">
        <v>224</v>
      </c>
      <c r="B10" s="17" t="n">
        <v>3</v>
      </c>
      <c r="C10" s="18" t="n">
        <v>18</v>
      </c>
      <c r="D10" s="3" t="s">
        <v>225</v>
      </c>
    </row>
    <row r="11" customFormat="false" ht="15" hidden="false" customHeight="false" outlineLevel="0" collapsed="false">
      <c r="A11" s="5" t="s">
        <v>226</v>
      </c>
      <c r="B11" s="17" t="n">
        <v>3.5</v>
      </c>
      <c r="C11" s="18" t="n">
        <v>13</v>
      </c>
      <c r="D11" s="3" t="s">
        <v>227</v>
      </c>
    </row>
    <row r="13" customFormat="false" ht="15" hidden="false" customHeight="false" outlineLevel="0" collapsed="false">
      <c r="A13" s="3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2026-07-05T11:18:38Z</dcterms:created>
  <dc:creator>openpyxl</dc:creator>
  <dc:description/>
  <dc:language>en-US</dc:language>
  <cp:lastModifiedBy/>
  <dcterms:modified xsi:type="dcterms:W3CDTF">2026-07-05T11:18:38Z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