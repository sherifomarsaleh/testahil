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5">
    <numFmt numFmtId="164" formatCode="#,##0.0"/>
    <numFmt numFmtId="165" formatCode="#,##0.000"/>
    <numFmt numFmtId="166" formatCode="0.0%"/>
    <numFmt numFmtId="167" formatCode="0.00000"/>
    <numFmt numFmtId="168" formatCode="0.0000"/>
  </numFmts>
  <fonts count="10">
    <font>
      <name val="Calibri"/>
      <family val="2"/>
      <color theme="1"/>
      <sz val="11"/>
      <scheme val="minor"/>
    </font>
    <font>
      <b val="1"/>
      <color rgb="001F4E79"/>
      <sz val="14"/>
    </font>
    <font>
      <b val="1"/>
      <color rgb="001F4E79"/>
    </font>
    <font>
      <sz val="10"/>
    </font>
    <font>
      <i val="1"/>
      <color rgb="00595959"/>
      <sz val="9"/>
    </font>
    <font>
      <b val="1"/>
      <color rgb="00FFFFFF"/>
      <sz val="11"/>
    </font>
    <font>
      <color rgb="001F4E79"/>
    </font>
    <font>
      <color rgb="00000000"/>
    </font>
    <font>
      <sz val="9"/>
    </font>
    <font>
      <color rgb="001E6B3A"/>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horizontal="center" vertical="center" wrapText="1"/>
    </xf>
    <xf numFmtId="0" fontId="6" fillId="0" borderId="0" pivotButton="0" quotePrefix="0" xfId="0"/>
    <xf numFmtId="4" fontId="9" fillId="0" borderId="0" pivotButton="0" quotePrefix="0" xfId="0"/>
    <xf numFmtId="166" fontId="7" fillId="0" borderId="0" pivotButton="0" quotePrefix="0" xfId="0"/>
    <xf numFmtId="0" fontId="6" fillId="0" borderId="0" applyAlignment="1" pivotButton="0" quotePrefix="0" xfId="0">
      <alignment vertical="top" wrapText="1"/>
    </xf>
    <xf numFmtId="0" fontId="2" fillId="0" borderId="0" pivotButton="0" quotePrefix="0" xfId="0"/>
    <xf numFmtId="4" fontId="7" fillId="0" borderId="0" pivotButton="0" quotePrefix="0" xfId="0"/>
    <xf numFmtId="4" fontId="6" fillId="0" borderId="0" pivotButton="0" quotePrefix="0" xfId="0"/>
    <xf numFmtId="3" fontId="6" fillId="0" borderId="0" pivotButton="0" quotePrefix="0" xfId="0"/>
    <xf numFmtId="3" fontId="7" fillId="0" borderId="0" pivotButton="0" quotePrefix="0" xfId="0"/>
    <xf numFmtId="166" fontId="6" fillId="0" borderId="0" pivotButton="0" quotePrefix="0" xfId="0"/>
    <xf numFmtId="10" fontId="7" fillId="0" borderId="0" pivotButton="0" quotePrefix="0" xfId="0"/>
    <xf numFmtId="0" fontId="4" fillId="0" borderId="0" pivotButton="0" quotePrefix="0" xfId="0"/>
    <xf numFmtId="0" fontId="8" fillId="0" borderId="0" applyAlignment="1" pivotButton="0" quotePrefix="0" xfId="0">
      <alignment vertical="top" wrapText="1"/>
    </xf>
    <xf numFmtId="165" fontId="7" fillId="0" borderId="0" pivotButton="0" quotePrefix="0" xfId="0"/>
    <xf numFmtId="164" fontId="6" fillId="0" borderId="0" pivotButton="0" quotePrefix="0" xfId="0"/>
    <xf numFmtId="165" fontId="6" fillId="0" borderId="0" pivotButton="0" quotePrefix="0" xfId="0"/>
    <xf numFmtId="167" fontId="6" fillId="0" borderId="0" pivotButton="0" quotePrefix="0" xfId="0"/>
    <xf numFmtId="10" fontId="6" fillId="0" borderId="0" pivotButton="0" quotePrefix="0" xfId="0"/>
    <xf numFmtId="3" fontId="9" fillId="0" borderId="0" pivotButton="0" quotePrefix="0" xfId="0"/>
    <xf numFmtId="166" fontId="9" fillId="0" borderId="0" pivotButton="0" quotePrefix="0" xfId="0"/>
    <xf numFmtId="164" fontId="7" fillId="0" borderId="0" pivotButton="0" quotePrefix="0" xfId="0"/>
    <xf numFmtId="10" fontId="9" fillId="0" borderId="0" pivotButton="0" quotePrefix="0" xfId="0"/>
    <xf numFmtId="168" fontId="7" fillId="0" borderId="0" pivotButton="0" quotePrefix="0" xfId="0"/>
    <xf numFmtId="164"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8" customWidth="1" min="1" max="1"/>
  </cols>
  <sheetData>
    <row r="1">
      <c r="A1" s="1" t="inlineStr">
        <is>
          <t>EGYPTIAN CHEMICAL INDUSTRIES (KIMA) — EGX: EGCH — VALUATION MODEL</t>
        </is>
      </c>
    </row>
    <row r="4" ht="14" customHeight="1">
      <c r="A4" s="2" t="inlineStr">
        <is>
          <t>WHAT THIS FILE IS</t>
        </is>
      </c>
    </row>
    <row r="5" ht="65" customHeight="1">
      <c r="A5" s="3" t="inlineStr">
        <is>
          <t>A live formula model of a single-site Egyptian nitrogen-fertilizer producer. Revenue is built product by product as tonnes times price; cost is built as physical consumption times a unit price; the cost of capital, the discount-rate glide, the free-cash-flow waterfall, the terminal block, the statement roll-forwards and every ratio are calculated in the sheet. Change a blue cell on Assumptions and the valuation recomputes.</t>
        </is>
      </c>
    </row>
    <row r="6" ht="14" customHeight="1">
      <c r="A6" s="3" t="inlineStr"/>
    </row>
    <row r="7" ht="14" customHeight="1">
      <c r="A7" s="2" t="inlineStr">
        <is>
          <t>BLUE IS AN INPUT.  BLACK IS A FORMULA.  GREEN IS A LINK TO ANOTHER SHEET.</t>
        </is>
      </c>
    </row>
    <row r="8" ht="14" customHeight="1">
      <c r="A8" s="3" t="inlineStr"/>
    </row>
    <row r="9" ht="14" customHeight="1">
      <c r="A9" s="2" t="inlineStr">
        <is>
          <t>THE THREE CLASSES OF PASTED CELL, AND THERE ARE NO OTHERS</t>
        </is>
      </c>
    </row>
    <row r="10" ht="52" customHeight="1">
      <c r="A10" s="3" t="inlineStr">
        <is>
          <t>1. AUDITED AND DISCLOSED HISTORY. The Income Statement, Balance Sheet and Cash Flow sheets carry the figures exactly as issued in the company's own audited statements for the years ended 30 June 2023, 2024 and 2025 and its reviewed nine-month accounts to 31 March 2026. Where a line is both disclosed and derivable, the DISCLOSED figure is carried and the derivation sits beside it as a check.</t>
        </is>
      </c>
    </row>
    <row r="11" ht="52" customHeight="1">
      <c r="A11" s="3" t="inlineStr">
        <is>
          <t>2. THE UNIT BUILD'S OUTPUT. Production tonnages, the split of those tonnes between the subsidised, local free-market and export channels, and the realised price in each channel are the output of a reconciliation against the audited revenue note that would be unreadable flattened into a grid. They are pasted on Assumptions; everything downstream is a formula.</t>
        </is>
      </c>
    </row>
    <row r="12" ht="39" customHeight="1">
      <c r="A12" s="3" t="inlineStr">
        <is>
          <t>3. WHOLE-MODEL RE-RUNS AND SIMULATION OUTPUT. Every cell of the Sensitivity grid is a complete revaluation at a different pair of inputs, and the Monte Carlo sheet reports statistics of a fifty-thousand-path simulation. NEITHER REDRAWS WHEN A DRIVER CHANGES, and both say so on their own sheet.</t>
        </is>
      </c>
    </row>
    <row r="13" ht="14" customHeight="1">
      <c r="A13" s="3" t="inlineStr"/>
    </row>
    <row r="14" ht="14" customHeight="1">
      <c r="A14" s="2" t="inlineStr">
        <is>
          <t>THE CONTESTED JUDGEMENT IS CARRIED BOTH WAYS, NEVER AVERAGED</t>
        </is>
      </c>
    </row>
    <row r="15" ht="65" customHeight="1">
      <c r="A15" s="3" t="inlineStr">
        <is>
          <t>This company is building a nitric-acid and ammonium-nitrate complex whose bank-approved cost is about three quarters of its own stock-market value. Whether that programme is carried through or stopped is worth more than three pounds a share — more than twice the central estimate itself. Averaging the two would report a number that is true in neither world, so both are computed and both are published: on Summary, on Fundamental Valuation, in the DCF sheet's two columns, and in the expert panel.</t>
        </is>
      </c>
    </row>
    <row r="16" ht="14" customHeight="1">
      <c r="A16" s="3" t="inlineStr"/>
    </row>
    <row r="17" ht="26" customHeight="1">
      <c r="A17" s="4" t="inlineStr">
        <is>
          <t>This is a valuation study. It is not a rating and not a price target: it reports a range of fair values and the distribution around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0" customWidth="1" min="1" max="1"/>
    <col width="17" customWidth="1" min="2" max="2"/>
    <col width="17" customWidth="1" min="3" max="3"/>
    <col width="12" customWidth="1" min="4" max="4"/>
    <col width="54" customWidth="1" min="5" max="5"/>
  </cols>
  <sheetData>
    <row r="1">
      <c r="A1" s="1" t="inlineStr">
        <is>
          <t>SUMMARY — EVERY READ AT A GLANCE</t>
        </is>
      </c>
    </row>
    <row r="2" ht="30" customHeight="1">
      <c r="A2" s="4" t="inlineStr">
        <is>
          <t>Every figure here is a formula reading the valuation sheets. The contested judgement appears as two columns and is never averaged into one.</t>
        </is>
      </c>
    </row>
    <row r="4">
      <c r="A4" s="5" t="inlineStr">
        <is>
          <t>Lens</t>
        </is>
      </c>
      <c r="B4" s="5" t="inlineStr">
        <is>
          <t>Programme carried through (EGP/share)</t>
        </is>
      </c>
      <c r="C4" s="5" t="inlineStr">
        <is>
          <t>Programme stopped (EGP/share)</t>
        </is>
      </c>
      <c r="D4" s="5" t="inlineStr">
        <is>
          <t>Against spot</t>
        </is>
      </c>
      <c r="E4" s="5" t="inlineStr">
        <is>
          <t>What it measures</t>
        </is>
      </c>
    </row>
    <row r="5" ht="28" customHeight="1">
      <c r="A5" s="6" t="inlineStr">
        <is>
          <t>Cash flow — the primary lens</t>
        </is>
      </c>
      <c r="B5" s="7">
        <f>'DCF'!B44</f>
        <v/>
      </c>
      <c r="C5" s="7">
        <f>'DCF'!D44</f>
        <v/>
      </c>
      <c r="D5" s="8">
        <f>B5/$B$14-1</f>
        <v/>
      </c>
      <c r="E5" s="9" t="inlineStr">
        <is>
          <t>Free cash flow to the firm, discounted on a glided cost of capital</t>
        </is>
      </c>
    </row>
    <row r="6" ht="28" customHeight="1">
      <c r="A6" s="6" t="inlineStr">
        <is>
          <t>Book value and sustainable return</t>
        </is>
      </c>
      <c r="B6" s="7">
        <f>'Fundamental Valuation'!B18</f>
        <v/>
      </c>
      <c r="C6" s="7">
        <f>'Fundamental Valuation'!B18</f>
        <v/>
      </c>
      <c r="D6" s="8">
        <f>B6/$B$14-1</f>
        <v/>
      </c>
      <c r="E6" s="9" t="inlineStr">
        <is>
          <t>Book equity at the justified multiple implied by its own sustainable return</t>
        </is>
      </c>
    </row>
    <row r="7" ht="28" customHeight="1">
      <c r="A7" s="6" t="inlineStr">
        <is>
          <t>Relative multiples</t>
        </is>
      </c>
      <c r="B7" s="7">
        <f>'Relative &amp; Normalized'!B12</f>
        <v/>
      </c>
      <c r="C7" s="7">
        <f>'Relative &amp; Normalized'!B12</f>
        <v/>
      </c>
      <c r="D7" s="8">
        <f>B7/$B$14-1</f>
        <v/>
      </c>
      <c r="E7" s="9" t="inlineStr">
        <is>
          <t>Forward EBITDA at the mid-point of the Egyptian industrial range</t>
        </is>
      </c>
    </row>
    <row r="8" ht="28" customHeight="1">
      <c r="A8" s="6" t="inlineStr">
        <is>
          <t>Normalised earnings power</t>
        </is>
      </c>
      <c r="B8" s="7">
        <f>'Relative &amp; Normalized'!B31</f>
        <v/>
      </c>
      <c r="C8" s="7">
        <f>'Relative &amp; Normalized'!B31</f>
        <v/>
      </c>
      <c r="D8" s="8">
        <f>B8/$B$14-1</f>
        <v/>
      </c>
      <c r="E8" s="9" t="inlineStr">
        <is>
          <t>Mid-cycle operating profit after tax at a justified multiple</t>
        </is>
      </c>
    </row>
    <row r="10">
      <c r="A10" s="10" t="inlineStr">
        <is>
          <t>THE FIELD</t>
        </is>
      </c>
    </row>
    <row r="11">
      <c r="A11" s="6" t="inlineStr">
        <is>
          <t>Low (floored at zero — limited liability)</t>
        </is>
      </c>
      <c r="B11" s="11">
        <f>MAX(0,MIN(B5:B8))</f>
        <v/>
      </c>
    </row>
    <row r="12">
      <c r="A12" s="6" t="inlineStr">
        <is>
          <t>High</t>
        </is>
      </c>
      <c r="B12" s="11">
        <f>MAX(B5:C8)</f>
        <v/>
      </c>
    </row>
    <row r="13">
      <c r="A13" s="6" t="inlineStr">
        <is>
          <t>Spread across the four lenses</t>
        </is>
      </c>
      <c r="B13" s="11">
        <f>B12-B11</f>
        <v/>
      </c>
    </row>
    <row r="14">
      <c r="A14" s="6" t="inlineStr">
        <is>
          <t>Spot price, 6 August 2026</t>
        </is>
      </c>
      <c r="B14" s="12" t="n">
        <v>13.98</v>
      </c>
    </row>
    <row r="15">
      <c r="A15" s="6" t="inlineStr">
        <is>
          <t>Shares outstanding</t>
        </is>
      </c>
      <c r="B15" s="13" t="n">
        <v>1986578999</v>
      </c>
    </row>
    <row r="16">
      <c r="A16" s="6" t="inlineStr">
        <is>
          <t>Market capitalisation (EGP m)</t>
        </is>
      </c>
      <c r="B16" s="14">
        <f>B14*B15/1000000</f>
        <v/>
      </c>
    </row>
    <row r="18">
      <c r="A18" s="10" t="inlineStr">
        <is>
          <t>THE CONTESTED JUDGEMENT — BOTH WAYS, NEVER AVERAGED</t>
        </is>
      </c>
    </row>
    <row r="19">
      <c r="A19" s="6" t="inlineStr">
        <is>
          <t>Is the ANNA capital programme carried through, or stopped?</t>
        </is>
      </c>
    </row>
    <row r="20">
      <c r="A20" s="6" t="inlineStr">
        <is>
          <t>Carried through (EGP/share)</t>
        </is>
      </c>
      <c r="B20" s="11">
        <f>B5</f>
        <v/>
      </c>
    </row>
    <row r="21">
      <c r="A21" s="6" t="inlineStr">
        <is>
          <t>Stopped (EGP/share)</t>
        </is>
      </c>
      <c r="B21" s="11">
        <f>C5</f>
        <v/>
      </c>
    </row>
    <row r="22">
      <c r="A22" s="6" t="inlineStr">
        <is>
          <t>The gap (EGP/share)</t>
        </is>
      </c>
      <c r="B22" s="11">
        <f>B21-B20</f>
        <v/>
      </c>
    </row>
    <row r="23">
      <c r="A23" s="6" t="inlineStr">
        <is>
          <t>The gap (EGP m of equity)</t>
        </is>
      </c>
      <c r="B23" s="14">
        <f>B22*$B$15/1000000</f>
        <v/>
      </c>
    </row>
    <row r="25">
      <c r="A25" s="6" t="inlineStr">
        <is>
          <t>Discount rate implied by the traded price (flat, nominal)</t>
        </is>
      </c>
      <c r="B25" s="15" t="n">
        <v>0.07933489569564534</v>
      </c>
    </row>
    <row r="26">
      <c r="A26" s="6" t="inlineStr">
        <is>
          <t>Sovereign ten-year yield the same day, for comparison</t>
        </is>
      </c>
      <c r="B26" s="15" t="n">
        <v>0.23</v>
      </c>
    </row>
    <row r="27">
      <c r="A27" s="6" t="inlineStr">
        <is>
          <t>Cost of capital built in this model, year one</t>
        </is>
      </c>
      <c r="B27" s="16">
        <f>'Assumptions'!C102</f>
        <v/>
      </c>
    </row>
    <row r="28">
      <c r="A28" s="6" t="inlineStr">
        <is>
          <t>Cost of capital on the CDS premium basis, year one</t>
        </is>
      </c>
      <c r="B28" s="16">
        <f>'Assumptions'!C100*'Assumptions'!C92+'Assumptions'!C101*'Assumptions'!C98*(1-'Assumptions'!C99)</f>
        <v/>
      </c>
    </row>
    <row r="29">
      <c r="A29" s="17" t="inlineStr">
        <is>
          <t>Both premium bases are published and neither is mixed with the other's risk-free rate.</t>
        </is>
      </c>
    </row>
    <row r="31" ht="26" customHeight="1">
      <c r="A31" s="18" t="inlineStr">
        <is>
          <t>Terminal value as a share of enterprise value is reported beside the cash-flow lens on the DCF sheet, in both columns, because on this company it is the number that decides the answer.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44" customWidth="1" min="1" max="1"/>
    <col width="14" customWidth="1" min="2" max="2"/>
    <col width="66" customWidth="1" min="3" max="3"/>
  </cols>
  <sheetData>
    <row r="1">
      <c r="A1" s="1" t="inlineStr">
        <is>
          <t>FUNDAMENTAL VALUATION — THE FOUR LENSES, ONE FIELD</t>
        </is>
      </c>
    </row>
    <row r="2" ht="30" customHeight="1">
      <c r="A2" s="4" t="inlineStr">
        <is>
          <t>The cash-flow lens is primary; the other three test it from directions it cannot test itself.</t>
        </is>
      </c>
    </row>
    <row r="4">
      <c r="A4" s="5" t="inlineStr">
        <is>
          <t>Lens 2 — book value and sustainable return</t>
        </is>
      </c>
      <c r="B4" s="5" t="inlineStr">
        <is>
          <t>Value</t>
        </is>
      </c>
      <c r="C4" s="5" t="inlineStr">
        <is>
          <t>Derivation</t>
        </is>
      </c>
    </row>
    <row r="5" ht="14" customHeight="1">
      <c r="A5" s="6" t="inlineStr">
        <is>
          <t>Book equity, 31 March 2026 (EGP m)</t>
        </is>
      </c>
      <c r="B5" s="13" t="n">
        <v>16206.086</v>
      </c>
      <c r="C5" s="9" t="inlineStr">
        <is>
          <t>Paid-in capital plus reserves, as reported</t>
        </is>
      </c>
    </row>
    <row r="6" ht="14" customHeight="1">
      <c r="A6" s="6" t="inlineStr">
        <is>
          <t>Book value per share (EGP)</t>
        </is>
      </c>
      <c r="B6" s="11">
        <f>B5*1000000/'Assumptions'!C6</f>
        <v/>
      </c>
      <c r="C6" s="9" t="inlineStr"/>
    </row>
    <row r="7" ht="14" customHeight="1">
      <c r="A7" s="6" t="inlineStr">
        <is>
          <t>Underlying profit FY2023/24 (EGP m)</t>
        </is>
      </c>
      <c r="B7" s="13" t="n">
        <v>503.3610000000001</v>
      </c>
      <c r="C7" s="9" t="inlineStr">
        <is>
          <t>Reported profit less the one-off investment-property revaluation gain</t>
        </is>
      </c>
    </row>
    <row r="8" ht="14" customHeight="1">
      <c r="A8" s="6" t="inlineStr">
        <is>
          <t>Underlying profit FY2024/25 (EGP m)</t>
        </is>
      </c>
      <c r="B8" s="13" t="n">
        <v>986.9640000000001</v>
      </c>
      <c r="C8" s="9" t="inlineStr">
        <is>
          <t>As reported</t>
        </is>
      </c>
    </row>
    <row r="9" ht="14" customHeight="1">
      <c r="A9" s="6" t="inlineStr">
        <is>
          <t>Opening equity FY2023/24 (EGP m)</t>
        </is>
      </c>
      <c r="B9" s="13" t="n">
        <v>7249.581</v>
      </c>
      <c r="C9" s="9" t="inlineStr">
        <is>
          <t>Prior-year closing equity</t>
        </is>
      </c>
    </row>
    <row r="10" ht="14" customHeight="1">
      <c r="A10" s="6" t="inlineStr">
        <is>
          <t>Opening equity FY2024/25 (EGP m)</t>
        </is>
      </c>
      <c r="B10" s="13" t="n">
        <v>14560.104</v>
      </c>
      <c r="C10" s="9" t="inlineStr">
        <is>
          <t>Prior-year closing equity</t>
        </is>
      </c>
    </row>
    <row r="11" ht="14" customHeight="1">
      <c r="A11" s="6" t="inlineStr">
        <is>
          <t>Return on equity FY2023/24</t>
        </is>
      </c>
      <c r="B11" s="8">
        <f>B7/B9</f>
        <v/>
      </c>
      <c r="C11" s="9" t="inlineStr"/>
    </row>
    <row r="12" ht="14" customHeight="1">
      <c r="A12" s="6" t="inlineStr">
        <is>
          <t>Return on equity FY2024/25</t>
        </is>
      </c>
      <c r="B12" s="8">
        <f>B8/B10</f>
        <v/>
      </c>
      <c r="C12" s="9" t="inlineStr"/>
    </row>
    <row r="13" ht="14" customHeight="1">
      <c r="A13" s="6" t="inlineStr">
        <is>
          <t>Sustainable return on equity</t>
        </is>
      </c>
      <c r="B13" s="8">
        <f>(B11+B12)/2</f>
        <v/>
      </c>
      <c r="C13" s="9" t="inlineStr">
        <is>
          <t>The two-year average on underlying profit</t>
        </is>
      </c>
    </row>
    <row r="14" ht="14" customHeight="1">
      <c r="A14" s="6" t="inlineStr">
        <is>
          <t>Cost of equity</t>
        </is>
      </c>
      <c r="B14" s="16">
        <f>'Assumptions'!C91</f>
        <v/>
      </c>
      <c r="C14" s="9" t="inlineStr">
        <is>
          <t>Built on the Assumptions sheet</t>
        </is>
      </c>
    </row>
    <row r="15" ht="14" customHeight="1">
      <c r="A15" s="6" t="inlineStr">
        <is>
          <t>Terminal growth</t>
        </is>
      </c>
      <c r="B15" s="8">
        <f>'Assumptions'!C109</f>
        <v/>
      </c>
      <c r="C15" s="9" t="inlineStr"/>
    </row>
    <row r="16" ht="24" customHeight="1">
      <c r="A16" s="6" t="inlineStr">
        <is>
          <t>Justified price-to-book, before flooring</t>
        </is>
      </c>
      <c r="B16" s="19">
        <f>(B13-B15)/(B14-B15)</f>
        <v/>
      </c>
      <c r="C16" s="9" t="inlineStr">
        <is>
          <t>The sustainable return does not cover even nominal maintenance growth, so this is NEGATIVE. That is the finding, not a rounding artefact.</t>
        </is>
      </c>
    </row>
    <row r="17" ht="14" customHeight="1">
      <c r="A17" s="6" t="inlineStr">
        <is>
          <t>Justified price-to-book</t>
        </is>
      </c>
      <c r="B17" s="11">
        <f>MAX(0,B16)</f>
        <v/>
      </c>
      <c r="C17" s="9" t="inlineStr">
        <is>
          <t>Floored at zero</t>
        </is>
      </c>
    </row>
    <row r="18" ht="14" customHeight="1">
      <c r="A18" s="6" t="inlineStr">
        <is>
          <t>Value per share on this lens (EGP)</t>
        </is>
      </c>
      <c r="B18" s="11">
        <f>B17*B6</f>
        <v/>
      </c>
      <c r="C18" s="9" t="inlineStr"/>
    </row>
    <row r="19" ht="14" customHeight="1">
      <c r="A19" s="6" t="inlineStr">
        <is>
          <t>Price-to-book the market pays</t>
        </is>
      </c>
      <c r="B19" s="11">
        <f>B14*0+'Assumptions'!C7*'Assumptions'!C6/1000000/B5</f>
        <v/>
      </c>
      <c r="C19" s="9" t="inlineStr">
        <is>
          <t>For comparison</t>
        </is>
      </c>
    </row>
    <row r="21">
      <c r="A21" s="10" t="inlineStr">
        <is>
          <t>WHAT THE FOUR LENSES SAY TOGETHER</t>
        </is>
      </c>
    </row>
    <row r="22">
      <c r="A22" s="5" t="inlineStr">
        <is>
          <t>Lens</t>
        </is>
      </c>
      <c r="B22" s="5" t="inlineStr">
        <is>
          <t>EGP per share</t>
        </is>
      </c>
      <c r="C22" s="5" t="inlineStr">
        <is>
          <t>Note</t>
        </is>
      </c>
    </row>
    <row r="23">
      <c r="A23" s="6" t="inlineStr">
        <is>
          <t>Cash flow — programme carried through</t>
        </is>
      </c>
      <c r="B23" s="12" t="n">
        <v>-0.6670929341943478</v>
      </c>
    </row>
    <row r="24">
      <c r="A24" s="6" t="inlineStr">
        <is>
          <t>Cash flow — programme stopped</t>
        </is>
      </c>
      <c r="B24" s="12" t="n">
        <v>3.337010452983641</v>
      </c>
    </row>
    <row r="25">
      <c r="A25" s="6" t="inlineStr">
        <is>
          <t>Book value and sustainable return</t>
        </is>
      </c>
      <c r="B25" s="12" t="n">
        <v>0.5772439672035078</v>
      </c>
    </row>
    <row r="26">
      <c r="A26" s="6" t="inlineStr">
        <is>
          <t>Relative multiples</t>
        </is>
      </c>
      <c r="B26" s="12" t="n">
        <v>15.4744443192992</v>
      </c>
    </row>
    <row r="27">
      <c r="A27" s="6" t="inlineStr">
        <is>
          <t>Normalised earnings power</t>
        </is>
      </c>
      <c r="B27" s="12" t="n">
        <v>3.776252679840041</v>
      </c>
    </row>
    <row r="29">
      <c r="A29" s="6" t="inlineStr">
        <is>
          <t>The field, low to high</t>
        </is>
      </c>
      <c r="B29" s="11">
        <f>MAX(0,MIN(B23:B27))</f>
        <v/>
      </c>
      <c r="C29" s="11">
        <f>MAX(B23:B27)</f>
        <v/>
      </c>
    </row>
    <row r="31" ht="52" customHeight="1">
      <c r="A31" s="18" t="inlineStr">
        <is>
          <t>The two cash-flow readings are the contested judgement. They are the two sides of one question and are never averaged; the other three lenses are read against both. Note that the lens giving the highest number — relative multiples — is also the one that never asks what the capital programme does to cash, which is exactly the question the cash-flow lens exists to answer.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7"/>
  <sheetViews>
    <sheetView workbookViewId="0">
      <selection activeCell="A1" sqref="A1"/>
    </sheetView>
  </sheetViews>
  <sheetFormatPr baseColWidth="8" defaultRowHeight="15"/>
  <cols>
    <col width="46" customWidth="1" min="1" max="1"/>
    <col width="15" customWidth="1" min="2" max="2"/>
    <col width="14" customWidth="1" min="3" max="3"/>
    <col width="76" customWidth="1" min="4" max="4"/>
  </cols>
  <sheetData>
    <row r="1">
      <c r="A1" s="1" t="inlineStr">
        <is>
          <t>ASSUMPTIONS — THE LIVE DRIVERS</t>
        </is>
      </c>
    </row>
    <row r="2" ht="30" customHeight="1">
      <c r="A2" s="4" t="inlineStr">
        <is>
          <t>Blue cells are inputs. Change one and the model reprices. Each carries its source. Every value on this sheet comes from the study's input register.</t>
        </is>
      </c>
    </row>
    <row r="4">
      <c r="A4" s="5" t="inlineStr">
        <is>
          <t>Driver</t>
        </is>
      </c>
      <c r="B4" s="5" t="inlineStr">
        <is>
          <t>Unit</t>
        </is>
      </c>
      <c r="C4" s="5" t="inlineStr">
        <is>
          <t>Value</t>
        </is>
      </c>
      <c r="D4" s="5" t="inlineStr">
        <is>
          <t>Source</t>
        </is>
      </c>
    </row>
    <row r="5">
      <c r="A5" s="10" t="inlineStr">
        <is>
          <t>THE CAPITALISATION</t>
        </is>
      </c>
    </row>
    <row r="6" ht="24" customHeight="1">
      <c r="A6" s="6" t="inlineStr">
        <is>
          <t>Shares outstanding</t>
        </is>
      </c>
      <c r="B6" s="6" t="inlineStr">
        <is>
          <t>shares</t>
        </is>
      </c>
      <c r="C6" s="13" t="n">
        <v>1986578999</v>
      </c>
      <c r="D6" s="9" t="inlineStr">
        <is>
          <t>Audited financial statements, year ended 30 June 2025 (Central Auditing Organization, report dated 23 September 2025), note 14 share capital</t>
        </is>
      </c>
    </row>
    <row r="7" ht="14" customHeight="1">
      <c r="A7" s="6" t="inlineStr">
        <is>
          <t>Anchor price</t>
        </is>
      </c>
      <c r="B7" s="6" t="inlineStr">
        <is>
          <t>EGP</t>
        </is>
      </c>
      <c r="C7" s="12" t="n">
        <v>13.98</v>
      </c>
      <c r="D7" s="9" t="inlineStr">
        <is>
          <t>Exchange close, from the study's own price library</t>
        </is>
      </c>
    </row>
    <row r="8" ht="24" customHeight="1">
      <c r="A8" s="6" t="inlineStr">
        <is>
          <t>Exchange rate, FY2024/25 average</t>
        </is>
      </c>
      <c r="B8" s="6" t="inlineStr">
        <is>
          <t>EGP/US$</t>
        </is>
      </c>
      <c r="C8" s="12" t="n">
        <v>49</v>
      </c>
      <c r="D8" s="9" t="inlineStr">
        <is>
          <t>Constructed: the rate that reconciles note 20 export revenue to the disclosed export price and the implied export tonnage</t>
        </is>
      </c>
    </row>
    <row r="9" ht="14" customHeight="1">
      <c r="A9" s="6" t="inlineStr">
        <is>
          <t>Normalised-earnings multiple, low</t>
        </is>
      </c>
      <c r="B9" s="6" t="inlineStr">
        <is>
          <t>x</t>
        </is>
      </c>
      <c r="C9" s="20" t="n">
        <v>8</v>
      </c>
      <c r="D9" s="9" t="inlineStr">
        <is>
          <t>Multiple applied to mid-cycle profit after tax, low end</t>
        </is>
      </c>
    </row>
    <row r="10" ht="14" customHeight="1">
      <c r="A10" s="6" t="inlineStr">
        <is>
          <t>Normalised-earnings multiple, central</t>
        </is>
      </c>
      <c r="B10" s="6" t="inlineStr">
        <is>
          <t>x</t>
        </is>
      </c>
      <c r="C10" s="20" t="n">
        <v>10</v>
      </c>
      <c r="D10" s="9" t="inlineStr">
        <is>
          <t>Multiple applied to mid-cycle profit after tax, central</t>
        </is>
      </c>
    </row>
    <row r="11" ht="14" customHeight="1">
      <c r="A11" s="6" t="inlineStr">
        <is>
          <t>Normalised-earnings multiple, high</t>
        </is>
      </c>
      <c r="B11" s="6" t="inlineStr">
        <is>
          <t>x</t>
        </is>
      </c>
      <c r="C11" s="20" t="n">
        <v>12</v>
      </c>
      <c r="D11" s="9" t="inlineStr">
        <is>
          <t>Multiple applied to mid-cycle profit after tax, high end</t>
        </is>
      </c>
    </row>
    <row r="12">
      <c r="A12" s="10" t="inlineStr">
        <is>
          <t>CAPACITY AND VOLUME</t>
        </is>
      </c>
    </row>
    <row r="13" ht="14" customHeight="1">
      <c r="A13" s="6" t="inlineStr">
        <is>
          <t>Urea design capacity</t>
        </is>
      </c>
      <c r="B13" s="6" t="inlineStr">
        <is>
          <t>tonnes/year</t>
        </is>
      </c>
      <c r="C13" s="13" t="n">
        <v>574875</v>
      </c>
      <c r="D13" s="9" t="inlineStr">
        <is>
          <t>Constructed: 1,575 t/day contractual plate times 365 days</t>
        </is>
      </c>
    </row>
    <row r="14" ht="24" customHeight="1">
      <c r="A14" s="6" t="inlineStr">
        <is>
          <t>Ammonia design capacity</t>
        </is>
      </c>
      <c r="B14" s="6" t="inlineStr">
        <is>
          <t>tonnes/year</t>
        </is>
      </c>
      <c r="C14" s="13" t="n">
        <v>438000</v>
      </c>
      <c r="D14" s="9" t="inlineStr">
        <is>
          <t>Audited financial statements, year ended 30 June 2025 (Central Auditing Organization, report dated 23 September 2025), note 28</t>
        </is>
      </c>
    </row>
    <row r="15" ht="24" customHeight="1">
      <c r="A15" s="6" t="inlineStr">
        <is>
          <t>Ammonia per tonne of urea</t>
        </is>
      </c>
      <c r="B15" s="6" t="inlineStr">
        <is>
          <t>tonnes</t>
        </is>
      </c>
      <c r="C15" s="21" t="n">
        <v>0.619889556570605</v>
      </c>
      <c r="D15" s="9" t="inlineStr">
        <is>
          <t>Constructed: FY2024/25 ammonia output divided by FY2024/25 urea output, both from the auditor's product cost table</t>
        </is>
      </c>
    </row>
    <row r="16" ht="36" customHeight="1">
      <c r="A16" s="6" t="inlineStr">
        <is>
          <t>Urea capacity utilisation — FY2026/27</t>
        </is>
      </c>
      <c r="B16" s="6" t="inlineStr">
        <is>
          <t>% of plate</t>
        </is>
      </c>
      <c r="C16" s="15" t="n">
        <v>0.913</v>
      </c>
      <c r="D16" s="9" t="inlineStr">
        <is>
          <t>Constructed: utilisation path. Audited output ran 586.4kt in FY2022/23 (2% above plate), 521.9kt in FY2023/24 and 513.4kt in FY2024/25; the path never returns to plate because the summer gas curtailment is structural.</t>
        </is>
      </c>
    </row>
    <row r="17" ht="36" customHeight="1">
      <c r="A17" s="6" t="inlineStr">
        <is>
          <t>Urea capacity utilisation — FY2027/28</t>
        </is>
      </c>
      <c r="B17" s="6" t="inlineStr">
        <is>
          <t>% of plate</t>
        </is>
      </c>
      <c r="C17" s="15" t="n">
        <v>0.922</v>
      </c>
      <c r="D17" s="9" t="inlineStr">
        <is>
          <t>Constructed: utilisation path. Audited output ran 586.4kt in FY2022/23 (2% above plate), 521.9kt in FY2023/24 and 513.4kt in FY2024/25; the path never returns to plate because the summer gas curtailment is structural.</t>
        </is>
      </c>
    </row>
    <row r="18" ht="36" customHeight="1">
      <c r="A18" s="6" t="inlineStr">
        <is>
          <t>Urea capacity utilisation — FY2028/29</t>
        </is>
      </c>
      <c r="B18" s="6" t="inlineStr">
        <is>
          <t>% of plate</t>
        </is>
      </c>
      <c r="C18" s="15" t="n">
        <v>0.93</v>
      </c>
      <c r="D18" s="9" t="inlineStr">
        <is>
          <t>Constructed: utilisation path. Audited output ran 586.4kt in FY2022/23 (2% above plate), 521.9kt in FY2023/24 and 513.4kt in FY2024/25; the path never returns to plate because the summer gas curtailment is structural.</t>
        </is>
      </c>
    </row>
    <row r="19" ht="36" customHeight="1">
      <c r="A19" s="6" t="inlineStr">
        <is>
          <t>Urea capacity utilisation — FY2029/30</t>
        </is>
      </c>
      <c r="B19" s="6" t="inlineStr">
        <is>
          <t>% of plate</t>
        </is>
      </c>
      <c r="C19" s="15" t="n">
        <v>0.9389999999999999</v>
      </c>
      <c r="D19" s="9" t="inlineStr">
        <is>
          <t>Constructed: utilisation path. Audited output ran 586.4kt in FY2022/23 (2% above plate), 521.9kt in FY2023/24 and 513.4kt in FY2024/25; the path never returns to plate because the summer gas curtailment is structural.</t>
        </is>
      </c>
    </row>
    <row r="20" ht="36" customHeight="1">
      <c r="A20" s="6" t="inlineStr">
        <is>
          <t>Urea capacity utilisation — FY2030/31</t>
        </is>
      </c>
      <c r="B20" s="6" t="inlineStr">
        <is>
          <t>% of plate</t>
        </is>
      </c>
      <c r="C20" s="15" t="n">
        <v>0.948</v>
      </c>
      <c r="D20" s="9" t="inlineStr">
        <is>
          <t>Constructed: utilisation path. Audited output ran 586.4kt in FY2022/23 (2% above plate), 521.9kt in FY2023/24 and 513.4kt in FY2024/25; the path never returns to plate because the summer gas curtailment is structural.</t>
        </is>
      </c>
    </row>
    <row r="21" ht="24" customHeight="1">
      <c r="A21" s="6" t="inlineStr">
        <is>
          <t>Subsidised deliveries — FY2026/27</t>
        </is>
      </c>
      <c r="B21" s="6" t="inlineStr">
        <is>
          <t>tonnes</t>
        </is>
      </c>
      <c r="C21" s="13" t="n">
        <v>155000</v>
      </c>
      <c r="D21" s="9" t="inlineStr">
        <is>
          <t>Constructed: subsidised delivery path. The company met 147kt of a 322kt requirement in the fourteen months to August 2025, a 46% compliance rate the forecast does not assume away.</t>
        </is>
      </c>
    </row>
    <row r="22" ht="24" customHeight="1">
      <c r="A22" s="6" t="inlineStr">
        <is>
          <t>Subsidised deliveries — FY2027/28</t>
        </is>
      </c>
      <c r="B22" s="6" t="inlineStr">
        <is>
          <t>tonnes</t>
        </is>
      </c>
      <c r="C22" s="13" t="n">
        <v>160000</v>
      </c>
      <c r="D22" s="9" t="inlineStr">
        <is>
          <t>Constructed: subsidised delivery path. The company met 147kt of a 322kt requirement in the fourteen months to August 2025, a 46% compliance rate the forecast does not assume away.</t>
        </is>
      </c>
    </row>
    <row r="23" ht="24" customHeight="1">
      <c r="A23" s="6" t="inlineStr">
        <is>
          <t>Subsidised deliveries — FY2028/29</t>
        </is>
      </c>
      <c r="B23" s="6" t="inlineStr">
        <is>
          <t>tonnes</t>
        </is>
      </c>
      <c r="C23" s="13" t="n">
        <v>165000</v>
      </c>
      <c r="D23" s="9" t="inlineStr">
        <is>
          <t>Constructed: subsidised delivery path. The company met 147kt of a 322kt requirement in the fourteen months to August 2025, a 46% compliance rate the forecast does not assume away.</t>
        </is>
      </c>
    </row>
    <row r="24" ht="24" customHeight="1">
      <c r="A24" s="6" t="inlineStr">
        <is>
          <t>Subsidised deliveries — FY2029/30</t>
        </is>
      </c>
      <c r="B24" s="6" t="inlineStr">
        <is>
          <t>tonnes</t>
        </is>
      </c>
      <c r="C24" s="13" t="n">
        <v>170000</v>
      </c>
      <c r="D24" s="9" t="inlineStr">
        <is>
          <t>Constructed: subsidised delivery path. The company met 147kt of a 322kt requirement in the fourteen months to August 2025, a 46% compliance rate the forecast does not assume away.</t>
        </is>
      </c>
    </row>
    <row r="25" ht="24" customHeight="1">
      <c r="A25" s="6" t="inlineStr">
        <is>
          <t>Subsidised deliveries — FY2030/31</t>
        </is>
      </c>
      <c r="B25" s="6" t="inlineStr">
        <is>
          <t>tonnes</t>
        </is>
      </c>
      <c r="C25" s="13" t="n">
        <v>175000</v>
      </c>
      <c r="D25" s="9" t="inlineStr">
        <is>
          <t>Constructed: subsidised delivery path. The company met 147kt of a 322kt requirement in the fourteen months to August 2025, a 46% compliance rate the forecast does not assume away.</t>
        </is>
      </c>
    </row>
    <row r="26" ht="14" customHeight="1">
      <c r="A26" s="6" t="inlineStr">
        <is>
          <t>Local free-market volume — FY2026/27</t>
        </is>
      </c>
      <c r="B26" s="6" t="inlineStr">
        <is>
          <t>tonnes</t>
        </is>
      </c>
      <c r="C26" s="13" t="n">
        <v>40000</v>
      </c>
      <c r="D26" s="9" t="inlineStr">
        <is>
          <t>Constructed: local free-market volume path from the 37.1kt implied for FY2024/25.</t>
        </is>
      </c>
    </row>
    <row r="27" ht="14" customHeight="1">
      <c r="A27" s="6" t="inlineStr">
        <is>
          <t>Local free-market volume — FY2027/28</t>
        </is>
      </c>
      <c r="B27" s="6" t="inlineStr">
        <is>
          <t>tonnes</t>
        </is>
      </c>
      <c r="C27" s="13" t="n">
        <v>41000</v>
      </c>
      <c r="D27" s="9" t="inlineStr">
        <is>
          <t>Constructed: local free-market volume path from the 37.1kt implied for FY2024/25.</t>
        </is>
      </c>
    </row>
    <row r="28" ht="14" customHeight="1">
      <c r="A28" s="6" t="inlineStr">
        <is>
          <t>Local free-market volume — FY2028/29</t>
        </is>
      </c>
      <c r="B28" s="6" t="inlineStr">
        <is>
          <t>tonnes</t>
        </is>
      </c>
      <c r="C28" s="13" t="n">
        <v>42000</v>
      </c>
      <c r="D28" s="9" t="inlineStr">
        <is>
          <t>Constructed: local free-market volume path from the 37.1kt implied for FY2024/25.</t>
        </is>
      </c>
    </row>
    <row r="29" ht="14" customHeight="1">
      <c r="A29" s="6" t="inlineStr">
        <is>
          <t>Local free-market volume — FY2029/30</t>
        </is>
      </c>
      <c r="B29" s="6" t="inlineStr">
        <is>
          <t>tonnes</t>
        </is>
      </c>
      <c r="C29" s="13" t="n">
        <v>43000</v>
      </c>
      <c r="D29" s="9" t="inlineStr">
        <is>
          <t>Constructed: local free-market volume path from the 37.1kt implied for FY2024/25.</t>
        </is>
      </c>
    </row>
    <row r="30" ht="14" customHeight="1">
      <c r="A30" s="6" t="inlineStr">
        <is>
          <t>Local free-market volume — FY2030/31</t>
        </is>
      </c>
      <c r="B30" s="6" t="inlineStr">
        <is>
          <t>tonnes</t>
        </is>
      </c>
      <c r="C30" s="13" t="n">
        <v>44000</v>
      </c>
      <c r="D30" s="9" t="inlineStr">
        <is>
          <t>Constructed: local free-market volume path from the 37.1kt implied for FY2024/25.</t>
        </is>
      </c>
    </row>
    <row r="32">
      <c r="A32" s="10" t="inlineStr">
        <is>
          <t>PRICES</t>
        </is>
      </c>
    </row>
    <row r="33" ht="24" customHeight="1">
      <c r="A33" s="6" t="inlineStr">
        <is>
          <t>Export urea price — FY2026/27</t>
        </is>
      </c>
      <c r="B33" s="6" t="inlineStr">
        <is>
          <t>US$/tonne</t>
        </is>
      </c>
      <c r="C33" s="20" t="n">
        <v>530</v>
      </c>
      <c r="D33" s="9" t="inlineStr">
        <is>
          <t>Constructed: export price path, mean-reverting from the August 2026 quote toward the cash cost of the marginal gas-based producer.</t>
        </is>
      </c>
    </row>
    <row r="34" ht="24" customHeight="1">
      <c r="A34" s="6" t="inlineStr">
        <is>
          <t>Export urea price — FY2027/28</t>
        </is>
      </c>
      <c r="B34" s="6" t="inlineStr">
        <is>
          <t>US$/tonne</t>
        </is>
      </c>
      <c r="C34" s="20" t="n">
        <v>500</v>
      </c>
      <c r="D34" s="9" t="inlineStr">
        <is>
          <t>Constructed: export price path, mean-reverting from the August 2026 quote toward the cash cost of the marginal gas-based producer.</t>
        </is>
      </c>
    </row>
    <row r="35" ht="24" customHeight="1">
      <c r="A35" s="6" t="inlineStr">
        <is>
          <t>Export urea price — FY2028/29</t>
        </is>
      </c>
      <c r="B35" s="6" t="inlineStr">
        <is>
          <t>US$/tonne</t>
        </is>
      </c>
      <c r="C35" s="20" t="n">
        <v>470</v>
      </c>
      <c r="D35" s="9" t="inlineStr">
        <is>
          <t>Constructed: export price path, mean-reverting from the August 2026 quote toward the cash cost of the marginal gas-based producer.</t>
        </is>
      </c>
    </row>
    <row r="36" ht="24" customHeight="1">
      <c r="A36" s="6" t="inlineStr">
        <is>
          <t>Export urea price — FY2029/30</t>
        </is>
      </c>
      <c r="B36" s="6" t="inlineStr">
        <is>
          <t>US$/tonne</t>
        </is>
      </c>
      <c r="C36" s="20" t="n">
        <v>450</v>
      </c>
      <c r="D36" s="9" t="inlineStr">
        <is>
          <t>Constructed: export price path, mean-reverting from the August 2026 quote toward the cash cost of the marginal gas-based producer.</t>
        </is>
      </c>
    </row>
    <row r="37" ht="24" customHeight="1">
      <c r="A37" s="6" t="inlineStr">
        <is>
          <t>Export urea price — FY2030/31</t>
        </is>
      </c>
      <c r="B37" s="6" t="inlineStr">
        <is>
          <t>US$/tonne</t>
        </is>
      </c>
      <c r="C37" s="20" t="n">
        <v>440</v>
      </c>
      <c r="D37" s="9" t="inlineStr">
        <is>
          <t>Constructed: export price path, mean-reverting from the August 2026 quote toward the cash cost of the marginal gas-based producer.</t>
        </is>
      </c>
    </row>
    <row r="38" ht="24" customHeight="1">
      <c r="A38" s="6" t="inlineStr">
        <is>
          <t>Egyptian pounds per US dollar — FY2026/27</t>
        </is>
      </c>
      <c r="B38" s="6" t="inlineStr">
        <is>
          <t>EGP/US$</t>
        </is>
      </c>
      <c r="C38" s="12" t="n">
        <v>53.4853515625</v>
      </c>
      <c r="D38" s="9" t="inlineStr">
        <is>
          <t>Derived: the spot rate compounded at the relative-purchasing-power wedge against the model's own inflation path, year by year</t>
        </is>
      </c>
    </row>
    <row r="39" ht="24" customHeight="1">
      <c r="A39" s="6" t="inlineStr">
        <is>
          <t>Egyptian pounds per US dollar — FY2027/28</t>
        </is>
      </c>
      <c r="B39" s="6" t="inlineStr">
        <is>
          <t>EGP/US$</t>
        </is>
      </c>
      <c r="C39" s="12" t="n">
        <v>56.67149066925049</v>
      </c>
      <c r="D39" s="9" t="inlineStr">
        <is>
          <t>Derived: the spot rate compounded at the relative-purchasing-power wedge against the model's own inflation path, year by year</t>
        </is>
      </c>
    </row>
    <row r="40" ht="24" customHeight="1">
      <c r="A40" s="6" t="inlineStr">
        <is>
          <t>Egyptian pounds per US dollar — FY2028/29</t>
        </is>
      </c>
      <c r="B40" s="6" t="inlineStr">
        <is>
          <t>EGP/US$</t>
        </is>
      </c>
      <c r="C40" s="12" t="n">
        <v>59.49399655219167</v>
      </c>
      <c r="D40" s="9" t="inlineStr">
        <is>
          <t>Derived: the spot rate compounded at the relative-purchasing-power wedge against the model's own inflation path, year by year</t>
        </is>
      </c>
    </row>
    <row r="41" ht="24" customHeight="1">
      <c r="A41" s="6" t="inlineStr">
        <is>
          <t>Egyptian pounds per US dollar — FY2029/30</t>
        </is>
      </c>
      <c r="B41" s="6" t="inlineStr">
        <is>
          <t>EGP/US$</t>
        </is>
      </c>
      <c r="C41" s="12" t="n">
        <v>62.16657842855966</v>
      </c>
      <c r="D41" s="9" t="inlineStr">
        <is>
          <t>Derived: the spot rate compounded at the relative-purchasing-power wedge against the model's own inflation path, year by year</t>
        </is>
      </c>
    </row>
    <row r="42" ht="24" customHeight="1">
      <c r="A42" s="6" t="inlineStr">
        <is>
          <t>Egyptian pounds per US dollar — FY2030/31</t>
        </is>
      </c>
      <c r="B42" s="6" t="inlineStr">
        <is>
          <t>EGP/US$</t>
        </is>
      </c>
      <c r="C42" s="12" t="n">
        <v>64.95921769390512</v>
      </c>
      <c r="D42" s="9" t="inlineStr">
        <is>
          <t>Derived: the spot rate compounded at the relative-purchasing-power wedge against the model's own inflation path, year by year</t>
        </is>
      </c>
    </row>
    <row r="43" ht="14" customHeight="1">
      <c r="A43" s="6" t="inlineStr">
        <is>
          <t>Export duty</t>
        </is>
      </c>
      <c r="B43" s="6" t="inlineStr">
        <is>
          <t>% of export value</t>
        </is>
      </c>
      <c r="C43" s="15" t="n">
        <v>0.1</v>
      </c>
      <c r="D43" s="9" t="inlineStr">
        <is>
          <t>2026 replacement of the shortfall levy with an ad-valorem duty tied to the global price</t>
        </is>
      </c>
    </row>
    <row r="44" ht="14" customHeight="1">
      <c r="A44" s="6" t="inlineStr">
        <is>
          <t>Subsidised price — FY2026/27</t>
        </is>
      </c>
      <c r="B44" s="6" t="inlineStr">
        <is>
          <t>EGP/tonne</t>
        </is>
      </c>
      <c r="C44" s="13" t="n">
        <v>7526</v>
      </c>
      <c r="D44" s="9" t="inlineStr">
        <is>
          <t>Constructed: administered subsidised price path from the EGP 6,000 cooperative supply price.</t>
        </is>
      </c>
    </row>
    <row r="45" ht="14" customHeight="1">
      <c r="A45" s="6" t="inlineStr">
        <is>
          <t>Subsidised price — FY2027/28</t>
        </is>
      </c>
      <c r="B45" s="6" t="inlineStr">
        <is>
          <t>EGP/tonne</t>
        </is>
      </c>
      <c r="C45" s="13" t="n">
        <v>8429</v>
      </c>
      <c r="D45" s="9" t="inlineStr">
        <is>
          <t>Constructed: administered subsidised price path from the EGP 6,000 cooperative supply price.</t>
        </is>
      </c>
    </row>
    <row r="46" ht="14" customHeight="1">
      <c r="A46" s="6" t="inlineStr">
        <is>
          <t>Subsidised price — FY2028/29</t>
        </is>
      </c>
      <c r="B46" s="6" t="inlineStr">
        <is>
          <t>EGP/tonne</t>
        </is>
      </c>
      <c r="C46" s="13" t="n">
        <v>9272</v>
      </c>
      <c r="D46" s="9" t="inlineStr">
        <is>
          <t>Constructed: administered subsidised price path from the EGP 6,000 cooperative supply price.</t>
        </is>
      </c>
    </row>
    <row r="47" ht="14" customHeight="1">
      <c r="A47" s="6" t="inlineStr">
        <is>
          <t>Subsidised price — FY2029/30</t>
        </is>
      </c>
      <c r="B47" s="6" t="inlineStr">
        <is>
          <t>EGP/tonne</t>
        </is>
      </c>
      <c r="C47" s="13" t="n">
        <v>10106</v>
      </c>
      <c r="D47" s="9" t="inlineStr">
        <is>
          <t>Constructed: administered subsidised price path from the EGP 6,000 cooperative supply price.</t>
        </is>
      </c>
    </row>
    <row r="48" ht="14" customHeight="1">
      <c r="A48" s="6" t="inlineStr">
        <is>
          <t>Subsidised price — FY2030/31</t>
        </is>
      </c>
      <c r="B48" s="6" t="inlineStr">
        <is>
          <t>EGP/tonne</t>
        </is>
      </c>
      <c r="C48" s="13" t="n">
        <v>10915</v>
      </c>
      <c r="D48" s="9" t="inlineStr">
        <is>
          <t>Constructed: administered subsidised price path from the EGP 6,000 cooperative supply price.</t>
        </is>
      </c>
    </row>
    <row r="49" ht="24" customHeight="1">
      <c r="A49" s="6" t="inlineStr">
        <is>
          <t>Local free price as % of export parity</t>
        </is>
      </c>
      <c r="B49" s="6" t="inlineStr">
        <is>
          <t>%</t>
        </is>
      </c>
      <c r="C49" s="15" t="n">
        <v>0.9</v>
      </c>
      <c r="D49" s="9" t="inlineStr">
        <is>
          <t>Constructed: local free-market urea clears at about 90% of export parity, implied by the FY2024/25 note-20 local revenue net of the subsidised and nitrate legs</t>
        </is>
      </c>
    </row>
    <row r="50" ht="24" customHeight="1">
      <c r="A50" s="6" t="inlineStr">
        <is>
          <t>Nitrate volume — FY2026/27</t>
        </is>
      </c>
      <c r="B50" s="6" t="inlineStr">
        <is>
          <t>tonnes</t>
        </is>
      </c>
      <c r="C50" s="13" t="n">
        <v>26000</v>
      </c>
      <c r="D50" s="9" t="inlineStr">
        <is>
          <t>Constructed: nitrate volume path, flat on the FY2024/25 combined granulated and low-density output.</t>
        </is>
      </c>
    </row>
    <row r="51" ht="24" customHeight="1">
      <c r="A51" s="6" t="inlineStr">
        <is>
          <t>Nitrate volume — FY2027/28</t>
        </is>
      </c>
      <c r="B51" s="6" t="inlineStr">
        <is>
          <t>tonnes</t>
        </is>
      </c>
      <c r="C51" s="13" t="n">
        <v>26000</v>
      </c>
      <c r="D51" s="9" t="inlineStr">
        <is>
          <t>Constructed: nitrate volume path, flat on the FY2024/25 combined granulated and low-density output.</t>
        </is>
      </c>
    </row>
    <row r="52" ht="24" customHeight="1">
      <c r="A52" s="6" t="inlineStr">
        <is>
          <t>Nitrate volume — FY2028/29</t>
        </is>
      </c>
      <c r="B52" s="6" t="inlineStr">
        <is>
          <t>tonnes</t>
        </is>
      </c>
      <c r="C52" s="13" t="n">
        <v>26000</v>
      </c>
      <c r="D52" s="9" t="inlineStr">
        <is>
          <t>Constructed: nitrate volume path, flat on the FY2024/25 combined granulated and low-density output.</t>
        </is>
      </c>
    </row>
    <row r="53" ht="24" customHeight="1">
      <c r="A53" s="6" t="inlineStr">
        <is>
          <t>Nitrate volume — FY2029/30</t>
        </is>
      </c>
      <c r="B53" s="6" t="inlineStr">
        <is>
          <t>tonnes</t>
        </is>
      </c>
      <c r="C53" s="13" t="n">
        <v>26000</v>
      </c>
      <c r="D53" s="9" t="inlineStr">
        <is>
          <t>Constructed: nitrate volume path, flat on the FY2024/25 combined granulated and low-density output.</t>
        </is>
      </c>
    </row>
    <row r="54" ht="24" customHeight="1">
      <c r="A54" s="6" t="inlineStr">
        <is>
          <t>Nitrate volume — FY2030/31</t>
        </is>
      </c>
      <c r="B54" s="6" t="inlineStr">
        <is>
          <t>tonnes</t>
        </is>
      </c>
      <c r="C54" s="13" t="n">
        <v>26000</v>
      </c>
      <c r="D54" s="9" t="inlineStr">
        <is>
          <t>Constructed: nitrate volume path, flat on the FY2024/25 combined granulated and low-density output.</t>
        </is>
      </c>
    </row>
    <row r="55" ht="24" customHeight="1">
      <c r="A55" s="6" t="inlineStr">
        <is>
          <t>Nitrate price, FY2024/25 basis</t>
        </is>
      </c>
      <c r="B55" s="6" t="inlineStr">
        <is>
          <t>EGP/tonne</t>
        </is>
      </c>
      <c r="C55" s="13" t="n">
        <v>20000</v>
      </c>
      <c r="D55" s="9" t="inlineStr">
        <is>
          <t>Implied by the note-20 local revenue net of the subsidised and free-market urea legs; indexed forward on the currency</t>
        </is>
      </c>
    </row>
    <row r="56" ht="14" customHeight="1">
      <c r="A56" s="6" t="inlineStr">
        <is>
          <t>Other revenue — FY2026/27</t>
        </is>
      </c>
      <c r="B56" s="6" t="inlineStr">
        <is>
          <t>EGP m</t>
        </is>
      </c>
      <c r="C56" s="20" t="n">
        <v>140</v>
      </c>
      <c r="D56" s="9" t="inlineStr">
        <is>
          <t>Constructed: merchant nitric acid, the ferrosilicon plant's rent and services.</t>
        </is>
      </c>
    </row>
    <row r="57" ht="14" customHeight="1">
      <c r="A57" s="6" t="inlineStr">
        <is>
          <t>Other revenue — FY2027/28</t>
        </is>
      </c>
      <c r="B57" s="6" t="inlineStr">
        <is>
          <t>EGP m</t>
        </is>
      </c>
      <c r="C57" s="20" t="n">
        <v>152</v>
      </c>
      <c r="D57" s="9" t="inlineStr">
        <is>
          <t>Constructed: merchant nitric acid, the ferrosilicon plant's rent and services.</t>
        </is>
      </c>
    </row>
    <row r="58" ht="14" customHeight="1">
      <c r="A58" s="6" t="inlineStr">
        <is>
          <t>Other revenue — FY2028/29</t>
        </is>
      </c>
      <c r="B58" s="6" t="inlineStr">
        <is>
          <t>EGP m</t>
        </is>
      </c>
      <c r="C58" s="20" t="n">
        <v>163</v>
      </c>
      <c r="D58" s="9" t="inlineStr">
        <is>
          <t>Constructed: merchant nitric acid, the ferrosilicon plant's rent and services.</t>
        </is>
      </c>
    </row>
    <row r="59" ht="14" customHeight="1">
      <c r="A59" s="6" t="inlineStr">
        <is>
          <t>Other revenue — FY2029/30</t>
        </is>
      </c>
      <c r="B59" s="6" t="inlineStr">
        <is>
          <t>EGP m</t>
        </is>
      </c>
      <c r="C59" s="20" t="n">
        <v>174</v>
      </c>
      <c r="D59" s="9" t="inlineStr">
        <is>
          <t>Constructed: merchant nitric acid, the ferrosilicon plant's rent and services.</t>
        </is>
      </c>
    </row>
    <row r="60" ht="14" customHeight="1">
      <c r="A60" s="6" t="inlineStr">
        <is>
          <t>Other revenue — FY2030/31</t>
        </is>
      </c>
      <c r="B60" s="6" t="inlineStr">
        <is>
          <t>EGP m</t>
        </is>
      </c>
      <c r="C60" s="20" t="n">
        <v>186</v>
      </c>
      <c r="D60" s="9" t="inlineStr">
        <is>
          <t>Constructed: merchant nitric acid, the ferrosilicon plant's rent and services.</t>
        </is>
      </c>
    </row>
    <row r="62">
      <c r="A62" s="10" t="inlineStr">
        <is>
          <t>COST STACK — ONE ESCALATOR PER PHYSICAL DRIVER</t>
        </is>
      </c>
    </row>
    <row r="63" ht="48" customHeight="1">
      <c r="A63" s="6" t="inlineStr">
        <is>
          <t>Gas per tonne of ammonia</t>
        </is>
      </c>
      <c r="B63" s="6" t="inlineStr">
        <is>
          <t>m3</t>
        </is>
      </c>
      <c r="C63" s="13" t="n">
        <v>1292</v>
      </c>
      <c r="D63" s="9" t="inlineStr">
        <is>
          <t>Constructed and FLAGGED: the statements give a single materials line and do not split gas from the rest. Gas is set at three quarters of that line, which implies 1,292 m3 per tonne of ammonia — inside the auditor's own disclosed 1,025 to 1,771 range. This is the largest modelled allocation in the study.</t>
        </is>
      </c>
    </row>
    <row r="64" ht="36" customHeight="1">
      <c r="A64" s="6" t="inlineStr">
        <is>
          <t>Realised gas price</t>
        </is>
      </c>
      <c r="B64" s="6" t="inlineStr">
        <is>
          <t>US$/mmBtu</t>
        </is>
      </c>
      <c r="C64" s="12" t="n">
        <v>4.68</v>
      </c>
      <c r="D64" s="9" t="inlineStr">
        <is>
          <t>Constructed: the company's own Q1 disclosure values 31,313,235 m3 of lost gas at EGP 251m, or EGP 8.016/m3, which converts to about US$4.68/mmBtu at the prevailing rate — below the US$5.75 contract price, which the study carries as its downside case</t>
        </is>
      </c>
    </row>
    <row r="65" ht="14" customHeight="1">
      <c r="A65" s="6" t="inlineStr">
        <is>
          <t>Energy conversion</t>
        </is>
      </c>
      <c r="B65" s="6" t="inlineStr">
        <is>
          <t>mmBtu per m3</t>
        </is>
      </c>
      <c r="C65" s="22" t="n">
        <v>0.03531</v>
      </c>
      <c r="D65" s="9" t="inlineStr">
        <is>
          <t>Constructed: standard gross calorific conversion</t>
        </is>
      </c>
    </row>
    <row r="66" ht="24" customHeight="1">
      <c r="A66" s="6" t="inlineStr">
        <is>
          <t>Other materials per tonne of urea</t>
        </is>
      </c>
      <c r="B66" s="6" t="inlineStr">
        <is>
          <t>EGP</t>
        </is>
      </c>
      <c r="C66" s="13" t="n">
        <v>2141.977268521675</v>
      </c>
      <c r="D66" s="9" t="inlineStr">
        <is>
          <t>The FY2024/25 materials line less modelled gas, over urea output: packaging, catalysts and consumable spares</t>
        </is>
      </c>
    </row>
    <row r="67" ht="24" customHeight="1">
      <c r="A67" s="6" t="inlineStr">
        <is>
          <t>Wages in cost of sales, FY2024/25</t>
        </is>
      </c>
      <c r="B67" s="6" t="inlineStr">
        <is>
          <t>EGP m</t>
        </is>
      </c>
      <c r="C67" s="20" t="n">
        <v>212.857</v>
      </c>
      <c r="D67" s="9" t="inlineStr">
        <is>
          <t>Audited financial statements, year ended 30 June 2025 (Central Auditing Organization, report dated 23 September 2025), note 21</t>
        </is>
      </c>
    </row>
    <row r="68" ht="24" customHeight="1">
      <c r="A68" s="6" t="inlineStr">
        <is>
          <t>Purchased services, FY2024/25</t>
        </is>
      </c>
      <c r="B68" s="6" t="inlineStr">
        <is>
          <t>EGP m</t>
        </is>
      </c>
      <c r="C68" s="20" t="n">
        <v>62.557</v>
      </c>
      <c r="D68" s="9" t="inlineStr">
        <is>
          <t>Audited financial statements, year ended 30 June 2025 (Central Auditing Organization, report dated 23 September 2025), note 21</t>
        </is>
      </c>
    </row>
    <row r="69" ht="24" customHeight="1">
      <c r="A69" s="6" t="inlineStr">
        <is>
          <t>Inland freight per export tonne</t>
        </is>
      </c>
      <c r="B69" s="6" t="inlineStr">
        <is>
          <t>EGP</t>
        </is>
      </c>
      <c r="C69" s="13" t="n">
        <v>1741.725316670984</v>
      </c>
      <c r="D69" s="9" t="inlineStr">
        <is>
          <t>Audited financial statements, year ended 30 June 2025 (Central Auditing Organization, report dated 23 September 2025), note 22 freight and commissions over the implied export tonnage</t>
        </is>
      </c>
    </row>
    <row r="70" ht="24" customHeight="1">
      <c r="A70" s="6" t="inlineStr">
        <is>
          <t>Other selling cost, FY2024/25</t>
        </is>
      </c>
      <c r="B70" s="6" t="inlineStr">
        <is>
          <t>EGP m</t>
        </is>
      </c>
      <c r="C70" s="20" t="n">
        <v>176.305</v>
      </c>
      <c r="D70" s="9" t="inlineStr">
        <is>
          <t>Audited financial statements, year ended 30 June 2025 (Central Auditing Organization, report dated 23 September 2025), note 22 selling materials, wages and other selling expense</t>
        </is>
      </c>
    </row>
    <row r="71" ht="24" customHeight="1">
      <c r="A71" s="6" t="inlineStr">
        <is>
          <t>Administrative expense, FY2024/25</t>
        </is>
      </c>
      <c r="B71" s="6" t="inlineStr">
        <is>
          <t>EGP m</t>
        </is>
      </c>
      <c r="C71" s="20" t="n">
        <v>359.624</v>
      </c>
      <c r="D71" s="9" t="inlineStr">
        <is>
          <t>Audited financial statements, year ended 30 June 2025 (Central Auditing Organization, report dated 23 September 2025), income statement</t>
        </is>
      </c>
    </row>
    <row r="72" ht="24" customHeight="1">
      <c r="A72" s="6" t="inlineStr">
        <is>
          <t>Stoppage and abnormal gas cost — FY2026/27</t>
        </is>
      </c>
      <c r="B72" s="6" t="inlineStr">
        <is>
          <t>EGP m</t>
        </is>
      </c>
      <c r="C72" s="20" t="n">
        <v>150</v>
      </c>
      <c r="D72" s="9" t="inlineStr">
        <is>
          <t>Constructed: stoppage and abnormal-gas cost, decaying as supply normalises from the EGP 164.5m charged in FY2024/25.</t>
        </is>
      </c>
    </row>
    <row r="73" ht="24" customHeight="1">
      <c r="A73" s="6" t="inlineStr">
        <is>
          <t>Stoppage and abnormal gas cost — FY2027/28</t>
        </is>
      </c>
      <c r="B73" s="6" t="inlineStr">
        <is>
          <t>EGP m</t>
        </is>
      </c>
      <c r="C73" s="20" t="n">
        <v>120</v>
      </c>
      <c r="D73" s="9" t="inlineStr">
        <is>
          <t>Constructed: stoppage and abnormal-gas cost, decaying as supply normalises from the EGP 164.5m charged in FY2024/25.</t>
        </is>
      </c>
    </row>
    <row r="74" ht="24" customHeight="1">
      <c r="A74" s="6" t="inlineStr">
        <is>
          <t>Stoppage and abnormal gas cost — FY2028/29</t>
        </is>
      </c>
      <c r="B74" s="6" t="inlineStr">
        <is>
          <t>EGP m</t>
        </is>
      </c>
      <c r="C74" s="20" t="n">
        <v>100</v>
      </c>
      <c r="D74" s="9" t="inlineStr">
        <is>
          <t>Constructed: stoppage and abnormal-gas cost, decaying as supply normalises from the EGP 164.5m charged in FY2024/25.</t>
        </is>
      </c>
    </row>
    <row r="75" ht="24" customHeight="1">
      <c r="A75" s="6" t="inlineStr">
        <is>
          <t>Stoppage and abnormal gas cost — FY2029/30</t>
        </is>
      </c>
      <c r="B75" s="6" t="inlineStr">
        <is>
          <t>EGP m</t>
        </is>
      </c>
      <c r="C75" s="20" t="n">
        <v>90</v>
      </c>
      <c r="D75" s="9" t="inlineStr">
        <is>
          <t>Constructed: stoppage and abnormal-gas cost, decaying as supply normalises from the EGP 164.5m charged in FY2024/25.</t>
        </is>
      </c>
    </row>
    <row r="76" ht="24" customHeight="1">
      <c r="A76" s="6" t="inlineStr">
        <is>
          <t>Stoppage and abnormal gas cost — FY2030/31</t>
        </is>
      </c>
      <c r="B76" s="6" t="inlineStr">
        <is>
          <t>EGP m</t>
        </is>
      </c>
      <c r="C76" s="20" t="n">
        <v>80</v>
      </c>
      <c r="D76" s="9" t="inlineStr">
        <is>
          <t>Constructed: stoppage and abnormal-gas cost, decaying as supply normalises from the EGP 164.5m charged in FY2024/25.</t>
        </is>
      </c>
    </row>
    <row r="77" ht="14" customHeight="1">
      <c r="A77" s="6" t="inlineStr">
        <is>
          <t>Egyptian inflation — FY2026/27</t>
        </is>
      </c>
      <c r="B77" s="6" t="inlineStr">
        <is>
          <t>%</t>
        </is>
      </c>
      <c r="C77" s="15" t="n">
        <v>0.1</v>
      </c>
      <c r="D77" s="9" t="inlineStr">
        <is>
          <t>Domestic inflation converging from the June 2026 print on the central bank's target.</t>
        </is>
      </c>
    </row>
    <row r="78" ht="14" customHeight="1">
      <c r="A78" s="6" t="inlineStr">
        <is>
          <t>Egyptian inflation — FY2027/28</t>
        </is>
      </c>
      <c r="B78" s="6" t="inlineStr">
        <is>
          <t>%</t>
        </is>
      </c>
      <c r="C78" s="15" t="n">
        <v>0.08500000000000001</v>
      </c>
      <c r="D78" s="9" t="inlineStr">
        <is>
          <t>Domestic inflation converging from the June 2026 print on the central bank's target.</t>
        </is>
      </c>
    </row>
    <row r="79" ht="14" customHeight="1">
      <c r="A79" s="6" t="inlineStr">
        <is>
          <t>Egyptian inflation — FY2028/29</t>
        </is>
      </c>
      <c r="B79" s="6" t="inlineStr">
        <is>
          <t>%</t>
        </is>
      </c>
      <c r="C79" s="15" t="n">
        <v>0.075</v>
      </c>
      <c r="D79" s="9" t="inlineStr">
        <is>
          <t>Domestic inflation converging from the June 2026 print on the central bank's target.</t>
        </is>
      </c>
    </row>
    <row r="80" ht="14" customHeight="1">
      <c r="A80" s="6" t="inlineStr">
        <is>
          <t>Egyptian inflation — FY2029/30</t>
        </is>
      </c>
      <c r="B80" s="6" t="inlineStr">
        <is>
          <t>%</t>
        </is>
      </c>
      <c r="C80" s="15" t="n">
        <v>0.07000000000000001</v>
      </c>
      <c r="D80" s="9" t="inlineStr">
        <is>
          <t>Domestic inflation converging from the June 2026 print on the central bank's target.</t>
        </is>
      </c>
    </row>
    <row r="81" ht="14" customHeight="1">
      <c r="A81" s="6" t="inlineStr">
        <is>
          <t>Egyptian inflation — FY2030/31</t>
        </is>
      </c>
      <c r="B81" s="6" t="inlineStr">
        <is>
          <t>%</t>
        </is>
      </c>
      <c r="C81" s="15" t="n">
        <v>0.07000000000000001</v>
      </c>
      <c r="D81" s="9" t="inlineStr">
        <is>
          <t>Domestic inflation converging from the June 2026 print on the central bank's target.</t>
        </is>
      </c>
    </row>
    <row r="83">
      <c r="A83" s="10" t="inlineStr">
        <is>
          <t>COST OF CAPITAL</t>
        </is>
      </c>
    </row>
    <row r="84" ht="14" customHeight="1">
      <c r="A84" s="6" t="inlineStr">
        <is>
          <t>Observed ten-year government yield</t>
        </is>
      </c>
      <c r="B84" s="6" t="inlineStr">
        <is>
          <t>%</t>
        </is>
      </c>
      <c r="C84" s="23" t="n">
        <v>0.23</v>
      </c>
      <c r="D84" s="9" t="inlineStr">
        <is>
          <t>Egypt ten-year government bond yield, market quote</t>
        </is>
      </c>
    </row>
    <row r="85" ht="14" customHeight="1">
      <c r="A85" s="6" t="inlineStr">
        <is>
          <t>Sovereign default spread, rating basis</t>
        </is>
      </c>
      <c r="B85" s="6" t="inlineStr">
        <is>
          <t>%</t>
        </is>
      </c>
      <c r="C85" s="23" t="n">
        <v>0.06372478453347744</v>
      </c>
      <c r="D85" s="9" t="inlineStr">
        <is>
          <t>Country risk premium workbook, original file, Egypt row, adjusted default spread</t>
        </is>
      </c>
    </row>
    <row r="86">
      <c r="A86" s="6" t="inlineStr">
        <is>
          <t>Normalised risk-free rate, rating basis</t>
        </is>
      </c>
      <c r="B86" s="6" t="inlineStr">
        <is>
          <t>%</t>
        </is>
      </c>
      <c r="C86" s="16">
        <f>'Assumptions'!C84-'Assumptions'!C85</f>
        <v/>
      </c>
      <c r="D86" s="9" t="inlineStr">
        <is>
          <t>Country risk enters ONCE, through the premium below. Using the raw local yield with a country-loaded premium would charge Egypt's sovereign risk twice.</t>
        </is>
      </c>
    </row>
    <row r="87" ht="14" customHeight="1">
      <c r="A87" s="6" t="inlineStr">
        <is>
          <t>Equity risk premium, rating basis</t>
        </is>
      </c>
      <c r="B87" s="6" t="inlineStr">
        <is>
          <t>%</t>
        </is>
      </c>
      <c r="C87" s="23" t="n">
        <v>0.139376943200201</v>
      </c>
      <c r="D87" s="9" t="inlineStr">
        <is>
          <t>Country risk premium workbook, original file, Egypt row, rating basis total equity risk premium</t>
        </is>
      </c>
    </row>
    <row r="88" ht="14" customHeight="1">
      <c r="A88" s="6" t="inlineStr">
        <is>
          <t>Sovereign default spread, CDS basis</t>
        </is>
      </c>
      <c r="B88" s="6" t="inlineStr">
        <is>
          <t>%</t>
        </is>
      </c>
      <c r="C88" s="23" t="n">
        <v>0.0341</v>
      </c>
      <c r="D88" s="9" t="inlineStr">
        <is>
          <t>Country risk premium workbook, original file, Egypt row, ten-year CDS spread</t>
        </is>
      </c>
    </row>
    <row r="89" ht="36" customHeight="1">
      <c r="A89" s="6" t="inlineStr">
        <is>
          <t>Equity risk premium, CDS basis</t>
        </is>
      </c>
      <c r="B89" s="6" t="inlineStr">
        <is>
          <t>%</t>
        </is>
      </c>
      <c r="C89" s="23" t="n">
        <v>0.0941</v>
      </c>
      <c r="D89" s="9" t="inlineStr">
        <is>
          <t>Country risk premium workbook, original file, Egypt row, equity risk premium based on the sovereign credit default swap. CORRECTED 9 August 2026: the study had 9.4247%, reconstructed from a 3.55% spread the file does not carry. Damodaran's Egypt row reads 3.41% and 9.41%.</t>
        </is>
      </c>
    </row>
    <row r="90" ht="24" customHeight="1">
      <c r="A90" s="6" t="inlineStr">
        <is>
          <t>Beta</t>
        </is>
      </c>
      <c r="B90" s="6" t="inlineStr">
        <is>
          <t>x</t>
        </is>
      </c>
      <c r="C90" s="21" t="n">
        <v>1.052664590352939</v>
      </c>
      <c r="D90" s="9" t="inlineStr">
        <is>
          <t>Own-stock weekly regression, 257 observations over five years against an equal-weight index of 35 Egyptian names with the subject excluded, R-squared 0.283, standard error 0.105</t>
        </is>
      </c>
    </row>
    <row r="91">
      <c r="A91" s="6" t="inlineStr">
        <is>
          <t>Cost of equity, rating basis</t>
        </is>
      </c>
      <c r="B91" s="6" t="inlineStr">
        <is>
          <t>%</t>
        </is>
      </c>
      <c r="C91" s="16">
        <f>'Assumptions'!C86+'Assumptions'!C90*'Assumptions'!C87</f>
        <v/>
      </c>
    </row>
    <row r="92">
      <c r="A92" s="6" t="inlineStr">
        <is>
          <t>Cost of equity, CDS basis</t>
        </is>
      </c>
      <c r="B92" s="6" t="inlineStr">
        <is>
          <t>%</t>
        </is>
      </c>
      <c r="C92" s="16">
        <f>'Assumptions'!C84-'Assumptions'!C88+'Assumptions'!C90*'Assumptions'!C89</f>
        <v/>
      </c>
    </row>
    <row r="93" ht="24" customHeight="1">
      <c r="A93" s="6" t="inlineStr">
        <is>
          <t>Cost of debt, local currency</t>
        </is>
      </c>
      <c r="B93" s="6" t="inlineStr">
        <is>
          <t>%</t>
        </is>
      </c>
      <c r="C93" s="23" t="n">
        <v>0.194</v>
      </c>
      <c r="D93" s="9" t="inlineStr">
        <is>
          <t>Constructed: EGP 96,896,001 of interest on the EGP 500,000,000 holding-company facility drawn in FY2024/25 — the company's own latest local borrowing</t>
        </is>
      </c>
    </row>
    <row r="94" ht="14" customHeight="1">
      <c r="A94" s="6" t="inlineStr">
        <is>
          <t>Cost of debt, dollar tranche, in dollars</t>
        </is>
      </c>
      <c r="B94" s="6" t="inlineStr">
        <is>
          <t>%</t>
        </is>
      </c>
      <c r="C94" s="23" t="n">
        <v>0.117</v>
      </c>
      <c r="D94" s="9" t="inlineStr">
        <is>
          <t>Constructed: EGP 1,338.0m of FY2024/25 interest on a mean dollar balance of about US$233m</t>
        </is>
      </c>
    </row>
    <row r="95" ht="60" customHeight="1">
      <c r="A95" s="6" t="inlineStr">
        <is>
          <t>Expected currency depreciation</t>
        </is>
      </c>
      <c r="B95" s="6" t="inlineStr">
        <is>
          <t>%</t>
        </is>
      </c>
      <c r="C95" s="23" t="n">
        <v>0.025390625</v>
      </c>
      <c r="D95" s="9" t="inlineStr">
        <is>
          <t>Constructed: the central bank's LONG-RUN 5% target against about 2.4% in the United States, on the same relative-purchasing-power identity the study states. CORRECTED 9 August 2026: the study previously asserted 4.5% flat while stating a derivation that produces a different number in every year. The wedge is now computed from the identity rather than asserted, and the currency path is built from it year by year.</t>
        </is>
      </c>
    </row>
    <row r="96">
      <c r="A96" s="6" t="inlineStr">
        <is>
          <t>Dollar debt at local-equivalent cost</t>
        </is>
      </c>
      <c r="B96" s="6" t="inlineStr">
        <is>
          <t>%</t>
        </is>
      </c>
      <c r="C96" s="16">
        <f>(1+'Assumptions'!C94)*(1+'Assumptions'!C95)-1</f>
        <v/>
      </c>
    </row>
    <row r="97" ht="24" customHeight="1">
      <c r="A97" s="6" t="inlineStr">
        <is>
          <t>Share of debt in local currency</t>
        </is>
      </c>
      <c r="B97" s="6" t="inlineStr">
        <is>
          <t>%</t>
        </is>
      </c>
      <c r="C97" s="15" t="n">
        <v>0.003135811265216677</v>
      </c>
      <c r="D97" s="9" t="inlineStr">
        <is>
          <t>The pound tranche of the project loan was repaid in June 2024, so the book is almost entirely dollar</t>
        </is>
      </c>
    </row>
    <row r="98">
      <c r="A98" s="6" t="inlineStr">
        <is>
          <t>Blended pre-tax cost of debt</t>
        </is>
      </c>
      <c r="B98" s="6" t="inlineStr">
        <is>
          <t>%</t>
        </is>
      </c>
      <c r="C98" s="16">
        <f>'Assumptions'!C97*'Assumptions'!C93+(1-'Assumptions'!C97)*'Assumptions'!C96</f>
        <v/>
      </c>
    </row>
    <row r="99" ht="24" customHeight="1">
      <c r="A99" s="6" t="inlineStr">
        <is>
          <t>Tax rate</t>
        </is>
      </c>
      <c r="B99" s="6" t="inlineStr">
        <is>
          <t>%</t>
        </is>
      </c>
      <c r="C99" s="15" t="n">
        <v>0.225</v>
      </c>
      <c r="D99" s="9" t="inlineStr">
        <is>
          <t>Audited financial statements, year ended 30 June 2025 (Central Auditing Organization, report dated 23 September 2025), note 5-16 income tax</t>
        </is>
      </c>
    </row>
    <row r="100" ht="14" customHeight="1">
      <c r="A100" s="6" t="inlineStr">
        <is>
          <t>Equity weight</t>
        </is>
      </c>
      <c r="B100" s="6" t="inlineStr">
        <is>
          <t>%</t>
        </is>
      </c>
      <c r="C100" s="15" t="n">
        <v>0.6548338567778519</v>
      </c>
      <c r="D100" s="9" t="inlineStr">
        <is>
          <t>Market-value equity over market-value equity plus debt</t>
        </is>
      </c>
    </row>
    <row r="101" ht="14" customHeight="1">
      <c r="A101" s="6" t="inlineStr">
        <is>
          <t>Debt weight</t>
        </is>
      </c>
      <c r="B101" s="6" t="inlineStr">
        <is>
          <t>%</t>
        </is>
      </c>
      <c r="C101" s="15" t="n">
        <v>0.3451661432221481</v>
      </c>
      <c r="D101" s="9" t="inlineStr">
        <is>
          <t>One less the equity weight</t>
        </is>
      </c>
    </row>
    <row r="102">
      <c r="A102" s="6" t="inlineStr">
        <is>
          <t>Cost of capital, year one</t>
        </is>
      </c>
      <c r="B102" s="6" t="inlineStr">
        <is>
          <t>%</t>
        </is>
      </c>
      <c r="C102" s="16">
        <f>'Assumptions'!C100*'Assumptions'!C91+'Assumptions'!C101*'Assumptions'!C98*(1-'Assumptions'!C99)</f>
        <v/>
      </c>
    </row>
    <row r="103" ht="14" customHeight="1">
      <c r="A103" s="6" t="inlineStr">
        <is>
          <t>Long-run inflation</t>
        </is>
      </c>
      <c r="B103" s="6" t="inlineStr">
        <is>
          <t>%</t>
        </is>
      </c>
      <c r="C103" s="15" t="n">
        <v>0.07000000000000001</v>
      </c>
      <c r="D103" s="9" t="inlineStr">
        <is>
          <t>Central bank published medium-term inflation target</t>
        </is>
      </c>
    </row>
    <row r="104" ht="24" customHeight="1">
      <c r="A104" s="6" t="inlineStr">
        <is>
          <t>Long-run real rate</t>
        </is>
      </c>
      <c r="B104" s="6" t="inlineStr">
        <is>
          <t>%</t>
        </is>
      </c>
      <c r="C104" s="15" t="n">
        <v>0.035</v>
      </c>
      <c r="D104" s="9" t="inlineStr">
        <is>
          <t>Constructed: long-run emerging-market real policy rate, used to build the terminal risk-free rate from its own components rather than from a spot yield</t>
        </is>
      </c>
    </row>
    <row r="105">
      <c r="A105" s="6" t="inlineStr">
        <is>
          <t>Terminal normalised risk-free rate</t>
        </is>
      </c>
      <c r="B105" s="6" t="inlineStr">
        <is>
          <t>%</t>
        </is>
      </c>
      <c r="C105" s="16">
        <f>(1+'Assumptions'!C103)*(1+'Assumptions'!C104)-1</f>
        <v/>
      </c>
    </row>
    <row r="106" ht="14" customHeight="1">
      <c r="A106" s="6" t="inlineStr">
        <is>
          <t>Long-run dollar cost of debt</t>
        </is>
      </c>
      <c r="B106" s="6" t="inlineStr">
        <is>
          <t>%</t>
        </is>
      </c>
      <c r="C106" s="23" t="n">
        <v>0.09</v>
      </c>
      <c r="D106" s="9" t="inlineStr">
        <is>
          <t>Constructed: long-run corporate dollar cost of debt</t>
        </is>
      </c>
    </row>
    <row r="107">
      <c r="A107" s="6" t="inlineStr">
        <is>
          <t>Terminal cost of debt, local-equivalent</t>
        </is>
      </c>
      <c r="B107" s="6" t="inlineStr">
        <is>
          <t>%</t>
        </is>
      </c>
      <c r="C107" s="16">
        <f>(1+'Assumptions'!C106)*(1+'Assumptions'!C95)-1</f>
        <v/>
      </c>
    </row>
    <row r="108">
      <c r="A108" s="6" t="inlineStr">
        <is>
          <t>TERMINAL COST OF CAPITAL</t>
        </is>
      </c>
      <c r="B108" s="6" t="inlineStr">
        <is>
          <t>%</t>
        </is>
      </c>
      <c r="C108" s="16">
        <f>'Assumptions'!C100*('Assumptions'!C105+'Assumptions'!C90*'Assumptions'!C87)+'Assumptions'!C101*'Assumptions'!C107*(1-'Assumptions'!C99)</f>
        <v/>
      </c>
    </row>
    <row r="109" ht="60" customHeight="1">
      <c r="A109" s="6" t="inlineStr">
        <is>
          <t>Terminal growth</t>
        </is>
      </c>
      <c r="B109" s="6" t="inlineStr">
        <is>
          <t>%</t>
        </is>
      </c>
      <c r="C109" s="15" t="n">
        <v>0.05</v>
      </c>
      <c r="D109" s="9" t="inlineStr">
        <is>
          <t>Terminal growth set at the central bank's LONGEST-HORIZON published inflation target: 5% (+/-2) for Q4 2028. CORRECTED 9 August 2026 after external critique: the study previously used the 7% Q4-2026 target, which expires one quarter after the anchor date, as a perpetuity anchor -- and then defended it by calling 5% 'below the target', inverting the central bank's own target structure. A perpetuity takes the longest-horizon target there is.</t>
        </is>
      </c>
    </row>
    <row r="110" ht="24" customHeight="1">
      <c r="A110" s="6" t="inlineStr">
        <is>
          <t>Terminal return on invested capital</t>
        </is>
      </c>
      <c r="B110" s="6" t="inlineStr">
        <is>
          <t>%</t>
        </is>
      </c>
      <c r="C110" s="15" t="n">
        <v>0.18</v>
      </c>
      <c r="D110" s="9" t="inlineStr">
        <is>
          <t>Constructed: terminal return on invested capital, which sets the terminal reinvestment rate as growth divided by return on capital</t>
        </is>
      </c>
    </row>
    <row r="112">
      <c r="A112" s="10" t="inlineStr">
        <is>
          <t>CAPITAL, WORKING CAPITAL AND THE PROJECT</t>
        </is>
      </c>
    </row>
    <row r="113" ht="24" customHeight="1">
      <c r="A113" s="6" t="inlineStr">
        <is>
          <t>Depreciation charge, FY2024/25</t>
        </is>
      </c>
      <c r="B113" s="6" t="inlineStr">
        <is>
          <t>EGP m</t>
        </is>
      </c>
      <c r="C113" s="20" t="n">
        <v>771.213</v>
      </c>
      <c r="D113" s="9" t="inlineStr">
        <is>
          <t>Audited financial statements, year ended 30 June 2025 (Central Auditing Organization, report dated 23 September 2025), note 6 fixed-asset register</t>
        </is>
      </c>
    </row>
    <row r="114" ht="24" customHeight="1">
      <c r="A114" s="6" t="inlineStr">
        <is>
          <t>Amortisation, FY2024/25</t>
        </is>
      </c>
      <c r="B114" s="6" t="inlineStr">
        <is>
          <t>EGP m</t>
        </is>
      </c>
      <c r="C114" s="20" t="n">
        <v>119.378</v>
      </c>
      <c r="D114" s="9" t="inlineStr">
        <is>
          <t>Audited financial statements, year ended 30 June 2025 (Central Auditing Organization, report dated 23 September 2025), note 10 usufruct intangible</t>
        </is>
      </c>
    </row>
    <row r="115" ht="60" customHeight="1">
      <c r="A115" s="6" t="inlineStr">
        <is>
          <t>Project capital expenditure — FY2026/27</t>
        </is>
      </c>
      <c r="B115" s="6" t="inlineStr">
        <is>
          <t>EGP m</t>
        </is>
      </c>
      <c r="C115" s="14">
        <f>'Cash Flow'!B30</f>
        <v/>
      </c>
      <c r="D115" s="9" t="inlineStr">
        <is>
          <t>Constructed: 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16" ht="60" customHeight="1">
      <c r="A116" s="6" t="inlineStr">
        <is>
          <t>Project capital expenditure — FY2027/28</t>
        </is>
      </c>
      <c r="B116" s="6" t="inlineStr">
        <is>
          <t>EGP m</t>
        </is>
      </c>
      <c r="C116" s="13" t="n">
        <v>3100</v>
      </c>
      <c r="D116" s="9" t="inlineStr">
        <is>
          <t>Constructed: 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17" ht="60" customHeight="1">
      <c r="A117" s="6" t="inlineStr">
        <is>
          <t>Project capital expenditure — FY2028/29</t>
        </is>
      </c>
      <c r="B117" s="6" t="inlineStr">
        <is>
          <t>EGP m</t>
        </is>
      </c>
      <c r="C117" s="13" t="n">
        <v>3300</v>
      </c>
      <c r="D117" s="9" t="inlineStr">
        <is>
          <t>Constructed: 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18" ht="60" customHeight="1">
      <c r="A118" s="6" t="inlineStr">
        <is>
          <t>Project capital expenditure — FY2029/30</t>
        </is>
      </c>
      <c r="B118" s="6" t="inlineStr">
        <is>
          <t>EGP m</t>
        </is>
      </c>
      <c r="C118" s="13" t="n">
        <v>3200</v>
      </c>
      <c r="D118" s="9" t="inlineStr">
        <is>
          <t>Constructed: 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19" ht="60" customHeight="1">
      <c r="A119" s="6" t="inlineStr">
        <is>
          <t>Project capital expenditure — FY2030/31</t>
        </is>
      </c>
      <c r="B119" s="6" t="inlineStr">
        <is>
          <t>EGP m</t>
        </is>
      </c>
      <c r="C119" s="14">
        <f>'Cash Flow'!D34-(C115+C116+C117+C118)</f>
        <v/>
      </c>
      <c r="D119" s="9" t="inlineStr">
        <is>
          <t>Constructed: 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20" ht="24" customHeight="1">
      <c r="A120" s="6" t="inlineStr">
        <is>
          <t>Depreciation escalation on the existing base</t>
        </is>
      </c>
      <c r="B120" s="6" t="inlineStr">
        <is>
          <t>per year</t>
        </is>
      </c>
      <c r="C120" s="15" t="n">
        <v>0.02</v>
      </c>
      <c r="D120" s="9" t="inlineStr">
        <is>
          <t>Constructed: escalation on the existing depreciation base, reflecting ordinary additions to the plant already in service</t>
        </is>
      </c>
    </row>
    <row r="121" ht="24" customHeight="1">
      <c r="A121" s="6" t="inlineStr">
        <is>
          <t>Depreciation rate on the new complex</t>
        </is>
      </c>
      <c r="B121" s="6" t="inlineStr">
        <is>
          <t>per year</t>
        </is>
      </c>
      <c r="C121" s="23" t="n">
        <v>0.0395</v>
      </c>
      <c r="D121" s="9" t="inlineStr">
        <is>
          <t>Audited financial statements, year ended 30 June 2025 (Central Auditing Organization, report dated 23 September 2025), note 5-2 depreciation rates</t>
        </is>
      </c>
    </row>
    <row r="122" ht="48" customHeight="1">
      <c r="A122" s="6" t="inlineStr">
        <is>
          <t>New complex nameplate</t>
        </is>
      </c>
      <c r="B122" s="6" t="inlineStr">
        <is>
          <t>tonnes/day</t>
        </is>
      </c>
      <c r="C122" s="13" t="n">
        <v>800</v>
      </c>
      <c r="D122" s="9" t="inlineStr">
        <is>
          <t>EPC award for this plant (Tecnimont S.p.A. with Orascom Construction, announced 9 June 2023): 600 t/day nitric acid converted to 800 t/day of fertilizer-grade granulated ammonium nitrate. FOUND BY EXTERNAL CRITIQUE 9 August 2026 -- the study had said 'no filing states it' and derived the plate from the ammonia surplus instead.</t>
        </is>
      </c>
    </row>
    <row r="123" ht="24" customHeight="1">
      <c r="A123" s="6" t="inlineStr">
        <is>
          <t>Operating days a year</t>
        </is>
      </c>
      <c r="B123" s="6" t="inlineStr">
        <is>
          <t>days</t>
        </is>
      </c>
      <c r="C123" s="13" t="n">
        <v>330</v>
      </c>
      <c r="D123" s="9" t="inlineStr">
        <is>
          <t>Constructed: operating days a year for a continuous nitrate line, net of the turnaround the company takes annually</t>
        </is>
      </c>
    </row>
    <row r="124" ht="24" customHeight="1">
      <c r="A124" s="6" t="inlineStr">
        <is>
          <t>Steady-state depreciation wedge in the terminal year</t>
        </is>
      </c>
      <c r="B124" s="6" t="inlineStr">
        <is>
          <t>ratio</t>
        </is>
      </c>
      <c r="C124" s="15" t="n">
        <v>0.025</v>
      </c>
      <c r="D124" s="9" t="inlineStr">
        <is>
          <t>Constructed: steady-state gap between the terminal inflation target and the currency wedge, held constant in the terminal year</t>
        </is>
      </c>
    </row>
    <row r="125" ht="24" customHeight="1">
      <c r="A125" s="6" t="inlineStr">
        <is>
          <t>The complex is completed and in service (1 = yes)</t>
        </is>
      </c>
      <c r="B125" s="6" t="inlineStr">
        <is>
          <t>switch</t>
        </is>
      </c>
      <c r="C125" s="13" t="n">
        <v>1</v>
      </c>
      <c r="D125" s="9" t="inlineStr">
        <is>
          <t>Case switch. Zero in the capital-discipline column, where the plant is never finished and therefore never depreciated.</t>
        </is>
      </c>
    </row>
    <row r="126" ht="36" customHeight="1">
      <c r="A126" s="6" t="inlineStr">
        <is>
          <t>Approved cost of the new complex</t>
        </is>
      </c>
      <c r="B126" s="6" t="inlineStr">
        <is>
          <t>EGP m</t>
        </is>
      </c>
      <c r="C126" s="13" t="n">
        <v>20341.668</v>
      </c>
      <c r="D126" s="9" t="inlineStr">
        <is>
          <t>Audited financial statements, year ended 30 June 2025 (Central Auditing Organization, report dated 23 September 2025), note 18-3 — bank-approved investment cost, agreement of 25 June 2025; dual-currency tranches at the approval rate</t>
        </is>
      </c>
    </row>
    <row r="127" ht="72" customHeight="1">
      <c r="A127" s="6" t="inlineStr">
        <is>
          <t>Maintenance capital expenditure</t>
        </is>
      </c>
      <c r="B127" s="6" t="inlineStr">
        <is>
          <t>% of revenue</t>
        </is>
      </c>
      <c r="C127" s="8">
        <f>'Cash Flow'!D28</f>
        <v/>
      </c>
      <c r="D127" s="9" t="inlineStr">
        <is>
          <t>Maintenance capital expenditure as a share of revenue, RE-ANCHORED 9 August 2026 on the company's OWN pre-project cash-flow statements: EGP 123.3m spent across FY2021/22 and FY2022/23 on EGP 11,052.9m of revenue. The first issue of this study used a 3.0% mature-plant standard instead, which is 2.7 times what this company has ever spent to keep its plant running, and which no disclosure supports. The replacement-rate framing (gross fixed assets at the disclosed 3.95% machinery rate, 6.11% of revenue) is carried as the published alternative and as the downside case.</t>
        </is>
      </c>
    </row>
    <row r="128" ht="36" customHeight="1">
      <c r="A128" s="6" t="inlineStr">
        <is>
          <t>Wind-down cost if the programme is stopped</t>
        </is>
      </c>
      <c r="B128" s="6" t="inlineStr">
        <is>
          <t>EGP m</t>
        </is>
      </c>
      <c r="C128" s="13" t="n">
        <v>1000</v>
      </c>
      <c r="D128" s="9" t="inlineStr">
        <is>
          <t>Constructed: capital-discipline case only: the cost of stopping the programme in the first forecast year — contract settlement and site preservation. No filing states it; it is the study's estimate and is flagged.</t>
        </is>
      </c>
    </row>
    <row r="129" ht="24" customHeight="1">
      <c r="A129" s="6" t="inlineStr">
        <is>
          <t>Ammonia per tonne of nitrate</t>
        </is>
      </c>
      <c r="B129" s="6" t="inlineStr">
        <is>
          <t>tonnes</t>
        </is>
      </c>
      <c r="C129" s="12" t="n">
        <v>0.43</v>
      </c>
      <c r="D129" s="9" t="inlineStr">
        <is>
          <t>Constructed: ammonia per tonne of ammonium nitrate through the nitric-acid route plus direct neutralisation</t>
        </is>
      </c>
    </row>
    <row r="130" ht="40" customHeight="1">
      <c r="A130" s="6" t="inlineStr">
        <is>
          <t>Project nameplate (derived, not disclosed)</t>
        </is>
      </c>
      <c r="B130" s="6" t="inlineStr">
        <is>
          <t>tonnes/year</t>
        </is>
      </c>
      <c r="C130" s="14">
        <f>'Assumptions'!C122*'Assumptions'!C123</f>
        <v/>
      </c>
      <c r="D130" s="9" t="inlineStr">
        <is>
          <t>EPC award for this plant (Tecnimont S.p.A. with Orascom Construction, announced 9 June 2023): 600 t/day nitric acid converted to 800 t/day of fertilizer-grade granulated ammonium nitrate. FOUND BY EXTERNAL CRITIQUE 9 August 2026 -- the study had said 'no filing states it' and derived the plate from the ammonia surplus instead.</t>
        </is>
      </c>
    </row>
    <row r="131" ht="40" customHeight="1">
      <c r="A131" s="6" t="inlineStr">
        <is>
          <t>Cross-check: nameplate derived from the ammonia surplus</t>
        </is>
      </c>
      <c r="B131" s="6" t="inlineStr">
        <is>
          <t>tonnes/year</t>
        </is>
      </c>
      <c r="C131" s="14">
        <f>('Assumptions'!C14-'Assumptions'!C13*'Assumptions'!C15)/'Assumptions'!C129</f>
        <v/>
      </c>
      <c r="D131" s="9" t="inlineStr">
        <is>
          <t>The construction the study used before the engineering award was found. Retained as a cross-check on the disclosed plate, not as the plate itself.</t>
        </is>
      </c>
    </row>
    <row r="132" ht="14" customHeight="1">
      <c r="A132" s="6" t="inlineStr">
        <is>
          <t>Project utilisation in the terminal year</t>
        </is>
      </c>
      <c r="B132" s="6" t="inlineStr">
        <is>
          <t>%</t>
        </is>
      </c>
      <c r="C132" s="15" t="n">
        <v>0.5</v>
      </c>
      <c r="D132" s="9" t="inlineStr">
        <is>
          <t>Constructed: project utilisation in the terminal year, central case</t>
        </is>
      </c>
    </row>
    <row r="133" ht="14" customHeight="1">
      <c r="A133" s="6" t="inlineStr">
        <is>
          <t>Nitrate price</t>
        </is>
      </c>
      <c r="B133" s="6" t="inlineStr">
        <is>
          <t>US$/tonne</t>
        </is>
      </c>
      <c r="C133" s="13" t="n">
        <v>280</v>
      </c>
      <c r="D133" s="9" t="inlineStr">
        <is>
          <t>Mid-cycle ammonium nitrate pricing</t>
        </is>
      </c>
    </row>
    <row r="134" ht="14" customHeight="1">
      <c r="A134" s="6" t="inlineStr">
        <is>
          <t>Project cash margin</t>
        </is>
      </c>
      <c r="B134" s="6" t="inlineStr">
        <is>
          <t>% of revenue</t>
        </is>
      </c>
      <c r="C134" s="15" t="n">
        <v>0.32</v>
      </c>
      <c r="D134" s="9" t="inlineStr">
        <is>
          <t>Constructed: conversion margin on ammonium nitrate over its own ammonia feedstock</t>
        </is>
      </c>
    </row>
    <row r="135" ht="14" customHeight="1">
      <c r="A135" s="6" t="inlineStr">
        <is>
          <t>Days sales outstanding</t>
        </is>
      </c>
      <c r="B135" s="6" t="inlineStr">
        <is>
          <t>days</t>
        </is>
      </c>
      <c r="C135" s="20" t="n">
        <v>26.77469536556713</v>
      </c>
      <c r="D135" s="9" t="inlineStr">
        <is>
          <t>Constructed: FY2024/25 receivables over revenue</t>
        </is>
      </c>
    </row>
    <row r="136" ht="14" customHeight="1">
      <c r="A136" s="6" t="inlineStr">
        <is>
          <t>Days inventory outstanding</t>
        </is>
      </c>
      <c r="B136" s="6" t="inlineStr">
        <is>
          <t>days</t>
        </is>
      </c>
      <c r="C136" s="20" t="n">
        <v>165.2475279747788</v>
      </c>
      <c r="D136" s="9" t="inlineStr">
        <is>
          <t>Constructed: FY2024/25 inventory over cost of sales</t>
        </is>
      </c>
    </row>
    <row r="137" ht="14" customHeight="1">
      <c r="A137" s="6" t="inlineStr">
        <is>
          <t>Days payable outstanding</t>
        </is>
      </c>
      <c r="B137" s="6" t="inlineStr">
        <is>
          <t>days</t>
        </is>
      </c>
      <c r="C137" s="20" t="n">
        <v>83.17161071710899</v>
      </c>
      <c r="D137" s="9" t="inlineStr">
        <is>
          <t>Constructed: FY2024/25 payables over cost of sales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0" customWidth="1" min="1" max="1"/>
    <col width="18" customWidth="1" min="2" max="2"/>
    <col width="18" customWidth="1" min="3" max="3"/>
    <col width="56" customWidth="1" min="4" max="4"/>
  </cols>
  <sheetData>
    <row r="1">
      <c r="A1" s="1" t="inlineStr">
        <is>
          <t>ENTERPRISE VALUE TO EQUITY — THE BRIDGE, BOTH SIDES OF THE JUDGEMENT</t>
        </is>
      </c>
    </row>
    <row r="2" ht="30" customHeight="1">
      <c r="A2" s="4" t="inlineStr">
        <is>
          <t>This company has one operating business, so there are no parts to sum. What the bridge does carry is the non-operating stack and the net debt, and it carries them for both sides of the contested judgement.</t>
        </is>
      </c>
    </row>
    <row r="4">
      <c r="A4" s="5" t="inlineStr">
        <is>
          <t>Component</t>
        </is>
      </c>
      <c r="B4" s="5" t="inlineStr">
        <is>
          <t>Programme carried through (EGP m)</t>
        </is>
      </c>
      <c r="C4" s="5" t="inlineStr">
        <is>
          <t>Programme stopped (EGP m)</t>
        </is>
      </c>
      <c r="D4" s="5" t="inlineStr">
        <is>
          <t>Source</t>
        </is>
      </c>
    </row>
    <row r="5" ht="26" customHeight="1">
      <c r="A5" s="6" t="inlineStr">
        <is>
          <t>Present value of the explicit window</t>
        </is>
      </c>
      <c r="B5" s="24">
        <f>'DCF'!B36</f>
        <v/>
      </c>
      <c r="C5" s="24">
        <f>'DCF'!D36</f>
        <v/>
      </c>
      <c r="D5" s="9" t="inlineStr">
        <is>
          <t>Five years of free cash flow to the firm, discounted on the glide</t>
        </is>
      </c>
    </row>
    <row r="6" ht="26" customHeight="1">
      <c r="A6" s="6" t="inlineStr">
        <is>
          <t>Present value of the terminal value</t>
        </is>
      </c>
      <c r="B6" s="24">
        <f>'DCF'!B33</f>
        <v/>
      </c>
      <c r="C6" s="24">
        <f>'DCF'!D33</f>
        <v/>
      </c>
      <c r="D6" s="9" t="inlineStr">
        <is>
          <t>The perpetuity, capitalised at the terminal cost of capital</t>
        </is>
      </c>
    </row>
    <row r="7" ht="26" customHeight="1">
      <c r="A7" s="6" t="inlineStr">
        <is>
          <t>Enterprise value</t>
        </is>
      </c>
      <c r="B7" s="24">
        <f>'DCF'!B37</f>
        <v/>
      </c>
      <c r="C7" s="24">
        <f>'DCF'!D37</f>
        <v/>
      </c>
      <c r="D7" s="9" t="inlineStr"/>
    </row>
    <row r="8" ht="26" customHeight="1">
      <c r="A8" s="6" t="inlineStr">
        <is>
          <t>Terminal value as a share of enterprise value</t>
        </is>
      </c>
      <c r="B8" s="25">
        <f>'DCF'!B38</f>
        <v/>
      </c>
      <c r="C8" s="25">
        <f>'DCF'!D38</f>
        <v/>
      </c>
      <c r="D8" s="9" t="inlineStr">
        <is>
          <t>Reported because on this company it is the number that decides the answer</t>
        </is>
      </c>
    </row>
    <row r="9" ht="26" customHeight="1">
      <c r="A9" s="6" t="inlineStr">
        <is>
          <t>Less net debt</t>
        </is>
      </c>
      <c r="B9" s="24">
        <f>-'DCF'!B41</f>
        <v/>
      </c>
      <c r="C9" s="24">
        <f>-'DCF'!D41</f>
        <v/>
      </c>
      <c r="D9" s="9" t="inlineStr">
        <is>
          <t>Gross debt less cash at 31 March 2026</t>
        </is>
      </c>
    </row>
    <row r="10" ht="26" customHeight="1">
      <c r="A10" s="6" t="inlineStr">
        <is>
          <t>Plus listed equity stakes at market</t>
        </is>
      </c>
      <c r="B10" s="24">
        <f>'DCF'!B42</f>
        <v/>
      </c>
      <c r="C10" s="24">
        <f>'DCF'!D42</f>
        <v/>
      </c>
      <c r="D10" s="9" t="inlineStr">
        <is>
          <t>Remaining holdings after the partial disposal in the first half</t>
        </is>
      </c>
    </row>
    <row r="11" ht="26" customHeight="1">
      <c r="A11" s="6" t="inlineStr">
        <is>
          <t>Plus investment property</t>
        </is>
      </c>
      <c r="B11" s="24">
        <f>'DCF'!B43</f>
        <v/>
      </c>
      <c r="C11" s="24">
        <f>'DCF'!D43</f>
        <v/>
      </c>
      <c r="D11" s="9" t="inlineStr">
        <is>
          <t>Carried at the revalued amount in the statements</t>
        </is>
      </c>
    </row>
    <row r="12" ht="26" customHeight="1">
      <c r="A12" s="6" t="inlineStr">
        <is>
          <t>Equity value</t>
        </is>
      </c>
      <c r="B12" s="24">
        <f>'DCF'!B45</f>
        <v/>
      </c>
      <c r="C12" s="24">
        <f>'DCF'!D45</f>
        <v/>
      </c>
      <c r="D12" s="9" t="inlineStr"/>
    </row>
    <row r="13" ht="26" customHeight="1">
      <c r="A13" s="6" t="inlineStr">
        <is>
          <t>Value per share (EGP)</t>
        </is>
      </c>
      <c r="B13" s="7">
        <f>'DCF'!B44</f>
        <v/>
      </c>
      <c r="C13" s="7">
        <f>'DCF'!D44</f>
        <v/>
      </c>
      <c r="D13" s="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SEGMENTS — THE UNIT BUILD, TONNES TIMES PRICE</t>
        </is>
      </c>
    </row>
    <row r="2" ht="30" customHeight="1">
      <c r="A2" s="4" t="inlineStr">
        <is>
          <t>The company reports one operating segment, so the build goes below it to the product and the channel, which is the finest level the statements source.</t>
        </is>
      </c>
    </row>
    <row r="4">
      <c r="A4" s="5" t="inlineStr">
        <is>
          <t>Tonnes and prices</t>
        </is>
      </c>
      <c r="B4" s="5" t="inlineStr">
        <is>
          <t>FY2026/27</t>
        </is>
      </c>
      <c r="C4" s="5" t="inlineStr">
        <is>
          <t>FY2027/28</t>
        </is>
      </c>
      <c r="D4" s="5" t="inlineStr">
        <is>
          <t>FY2028/29</t>
        </is>
      </c>
      <c r="E4" s="5" t="inlineStr">
        <is>
          <t>FY2029/30</t>
        </is>
      </c>
      <c r="F4" s="5" t="inlineStr">
        <is>
          <t>FY2030/31</t>
        </is>
      </c>
    </row>
    <row r="5">
      <c r="A5" s="6" t="inlineStr">
        <is>
          <t>Urea production (tonnes)</t>
        </is>
      </c>
      <c r="B5" s="14">
        <f>'Assumptions'!C13*'Assumptions'!C16</f>
        <v/>
      </c>
      <c r="C5" s="14">
        <f>'Assumptions'!C13*'Assumptions'!C17</f>
        <v/>
      </c>
      <c r="D5" s="14">
        <f>'Assumptions'!C13*'Assumptions'!C18</f>
        <v/>
      </c>
      <c r="E5" s="14">
        <f>'Assumptions'!C13*'Assumptions'!C19</f>
        <v/>
      </c>
      <c r="F5" s="14">
        <f>'Assumptions'!C13*'Assumptions'!C20</f>
        <v/>
      </c>
    </row>
    <row r="6">
      <c r="A6" s="6" t="inlineStr">
        <is>
          <t>Ammonia produced, capped at the design plate</t>
        </is>
      </c>
      <c r="B6" s="14">
        <f>MIN(B5*'Assumptions'!C15,'Assumptions'!C14)</f>
        <v/>
      </c>
      <c r="C6" s="14">
        <f>MIN(C5*'Assumptions'!C15,'Assumptions'!C14)</f>
        <v/>
      </c>
      <c r="D6" s="14">
        <f>MIN(D5*'Assumptions'!C15,'Assumptions'!C14)</f>
        <v/>
      </c>
      <c r="E6" s="14">
        <f>MIN(E5*'Assumptions'!C15,'Assumptions'!C14)</f>
        <v/>
      </c>
      <c r="F6" s="14">
        <f>MIN(F5*'Assumptions'!C15,'Assumptions'!C14)</f>
        <v/>
      </c>
    </row>
    <row r="7">
      <c r="A7" s="6" t="inlineStr">
        <is>
          <t>Subsidised volume (tonnes)</t>
        </is>
      </c>
      <c r="B7" s="14">
        <f>'Assumptions'!C21</f>
        <v/>
      </c>
      <c r="C7" s="14">
        <f>'Assumptions'!C22</f>
        <v/>
      </c>
      <c r="D7" s="14">
        <f>'Assumptions'!C23</f>
        <v/>
      </c>
      <c r="E7" s="14">
        <f>'Assumptions'!C24</f>
        <v/>
      </c>
      <c r="F7" s="14">
        <f>'Assumptions'!C25</f>
        <v/>
      </c>
    </row>
    <row r="8">
      <c r="A8" s="6" t="inlineStr">
        <is>
          <t>Local free-market volume (tonnes)</t>
        </is>
      </c>
      <c r="B8" s="14">
        <f>'Assumptions'!C26</f>
        <v/>
      </c>
      <c r="C8" s="14">
        <f>'Assumptions'!C27</f>
        <v/>
      </c>
      <c r="D8" s="14">
        <f>'Assumptions'!C28</f>
        <v/>
      </c>
      <c r="E8" s="14">
        <f>'Assumptions'!C29</f>
        <v/>
      </c>
      <c r="F8" s="14">
        <f>'Assumptions'!C30</f>
        <v/>
      </c>
    </row>
    <row r="9">
      <c r="A9" s="6" t="inlineStr">
        <is>
          <t>Export volume (tonnes)</t>
        </is>
      </c>
      <c r="B9" s="14">
        <f>B5-B7-B8</f>
        <v/>
      </c>
      <c r="C9" s="14">
        <f>C5-C7-C8</f>
        <v/>
      </c>
      <c r="D9" s="14">
        <f>D5-D7-D8</f>
        <v/>
      </c>
      <c r="E9" s="14">
        <f>E5-E7-E8</f>
        <v/>
      </c>
      <c r="F9" s="14">
        <f>F5-F7-F8</f>
        <v/>
      </c>
    </row>
    <row r="10">
      <c r="A10" s="6" t="inlineStr">
        <is>
          <t>Export price net of duty (EGP/tonne)</t>
        </is>
      </c>
      <c r="B10" s="14">
        <f>'Assumptions'!C33*'Assumptions'!C38*(1-'Assumptions'!C43)</f>
        <v/>
      </c>
      <c r="C10" s="14">
        <f>'Assumptions'!C34*'Assumptions'!C39*(1-'Assumptions'!C43)</f>
        <v/>
      </c>
      <c r="D10" s="14">
        <f>'Assumptions'!C35*'Assumptions'!C40*(1-'Assumptions'!C43)</f>
        <v/>
      </c>
      <c r="E10" s="14">
        <f>'Assumptions'!C36*'Assumptions'!C41*(1-'Assumptions'!C43)</f>
        <v/>
      </c>
      <c r="F10" s="14">
        <f>'Assumptions'!C37*'Assumptions'!C42*(1-'Assumptions'!C43)</f>
        <v/>
      </c>
    </row>
    <row r="11">
      <c r="A11" s="6" t="inlineStr">
        <is>
          <t>Local free-market price (EGP/tonne)</t>
        </is>
      </c>
      <c r="B11" s="14">
        <f>'Assumptions'!C33*'Assumptions'!C38*'Assumptions'!C49</f>
        <v/>
      </c>
      <c r="C11" s="14">
        <f>'Assumptions'!C34*'Assumptions'!C39*'Assumptions'!C49</f>
        <v/>
      </c>
      <c r="D11" s="14">
        <f>'Assumptions'!C35*'Assumptions'!C40*'Assumptions'!C49</f>
        <v/>
      </c>
      <c r="E11" s="14">
        <f>'Assumptions'!C36*'Assumptions'!C41*'Assumptions'!C49</f>
        <v/>
      </c>
      <c r="F11" s="14">
        <f>'Assumptions'!C37*'Assumptions'!C42*'Assumptions'!C49</f>
        <v/>
      </c>
    </row>
    <row r="12">
      <c r="A12" s="6" t="inlineStr">
        <is>
          <t>Nitrate price (EGP/tonne)</t>
        </is>
      </c>
      <c r="B12" s="14">
        <f>'Assumptions'!C55*'Assumptions'!C38/'Assumptions'!C8</f>
        <v/>
      </c>
      <c r="C12" s="14">
        <f>'Assumptions'!C55*'Assumptions'!C39/'Assumptions'!C8</f>
        <v/>
      </c>
      <c r="D12" s="14">
        <f>'Assumptions'!C55*'Assumptions'!C40/'Assumptions'!C8</f>
        <v/>
      </c>
      <c r="E12" s="14">
        <f>'Assumptions'!C55*'Assumptions'!C41/'Assumptions'!C8</f>
        <v/>
      </c>
      <c r="F12" s="14">
        <f>'Assumptions'!C55*'Assumptions'!C42/'Assumptions'!C8</f>
        <v/>
      </c>
    </row>
    <row r="13">
      <c r="A13" s="6" t="inlineStr">
        <is>
          <t>Export revenue (EGP m)</t>
        </is>
      </c>
      <c r="B13" s="14">
        <f>B9*B10/1000000</f>
        <v/>
      </c>
      <c r="C13" s="14">
        <f>C9*C10/1000000</f>
        <v/>
      </c>
      <c r="D13" s="14">
        <f>D9*D10/1000000</f>
        <v/>
      </c>
      <c r="E13" s="14">
        <f>E9*E10/1000000</f>
        <v/>
      </c>
      <c r="F13" s="14">
        <f>F9*F10/1000000</f>
        <v/>
      </c>
    </row>
    <row r="14">
      <c r="A14" s="6" t="inlineStr">
        <is>
          <t>Subsidised revenue (EGP m)</t>
        </is>
      </c>
      <c r="B14" s="14">
        <f>B7*'Assumptions'!C44/1000000</f>
        <v/>
      </c>
      <c r="C14" s="14">
        <f>C7*'Assumptions'!C45/1000000</f>
        <v/>
      </c>
      <c r="D14" s="14">
        <f>D7*'Assumptions'!C46/1000000</f>
        <v/>
      </c>
      <c r="E14" s="14">
        <f>E7*'Assumptions'!C47/1000000</f>
        <v/>
      </c>
      <c r="F14" s="14">
        <f>F7*'Assumptions'!C48/1000000</f>
        <v/>
      </c>
    </row>
    <row r="15">
      <c r="A15" s="6" t="inlineStr">
        <is>
          <t>Local free-market revenue (EGP m)</t>
        </is>
      </c>
      <c r="B15" s="14">
        <f>B8*B11/1000000</f>
        <v/>
      </c>
      <c r="C15" s="14">
        <f>C8*C11/1000000</f>
        <v/>
      </c>
      <c r="D15" s="14">
        <f>D8*D11/1000000</f>
        <v/>
      </c>
      <c r="E15" s="14">
        <f>E8*E11/1000000</f>
        <v/>
      </c>
      <c r="F15" s="14">
        <f>F8*F11/1000000</f>
        <v/>
      </c>
    </row>
    <row r="16">
      <c r="A16" s="6" t="inlineStr">
        <is>
          <t>Nitrate revenue (EGP m)</t>
        </is>
      </c>
      <c r="B16" s="14">
        <f>'Assumptions'!C50*B12/1000000</f>
        <v/>
      </c>
      <c r="C16" s="14">
        <f>'Assumptions'!C51*C12/1000000</f>
        <v/>
      </c>
      <c r="D16" s="14">
        <f>'Assumptions'!C52*D12/1000000</f>
        <v/>
      </c>
      <c r="E16" s="14">
        <f>'Assumptions'!C53*E12/1000000</f>
        <v/>
      </c>
      <c r="F16" s="14">
        <f>'Assumptions'!C54*F12/1000000</f>
        <v/>
      </c>
    </row>
    <row r="17">
      <c r="A17" s="6" t="inlineStr">
        <is>
          <t>Other revenue (EGP m)</t>
        </is>
      </c>
      <c r="B17" s="14">
        <f>'Assumptions'!C56</f>
        <v/>
      </c>
      <c r="C17" s="14">
        <f>'Assumptions'!C57</f>
        <v/>
      </c>
      <c r="D17" s="14">
        <f>'Assumptions'!C58</f>
        <v/>
      </c>
      <c r="E17" s="14">
        <f>'Assumptions'!C59</f>
        <v/>
      </c>
      <c r="F17" s="14">
        <f>'Assumptions'!C60</f>
        <v/>
      </c>
    </row>
    <row r="18">
      <c r="A18" s="10" t="inlineStr">
        <is>
          <t>REVENUE (EGP m)</t>
        </is>
      </c>
      <c r="B18" s="14">
        <f>SUM(B13:B17)</f>
        <v/>
      </c>
      <c r="C18" s="14">
        <f>SUM(C13:C17)</f>
        <v/>
      </c>
      <c r="D18" s="14">
        <f>SUM(D13:D17)</f>
        <v/>
      </c>
      <c r="E18" s="14">
        <f>SUM(E13:E17)</f>
        <v/>
      </c>
      <c r="F18" s="14">
        <f>SUM(F13:F17)</f>
        <v/>
      </c>
    </row>
    <row r="19">
      <c r="A19" s="6" t="inlineStr">
        <is>
          <t>Gas price (EGP per m3)</t>
        </is>
      </c>
      <c r="B19" s="11">
        <f>'Assumptions'!C64*'Assumptions'!C65*'Assumptions'!C38</f>
        <v/>
      </c>
      <c r="C19" s="11">
        <f>'Assumptions'!C64*'Assumptions'!C65*'Assumptions'!C39</f>
        <v/>
      </c>
      <c r="D19" s="11">
        <f>'Assumptions'!C64*'Assumptions'!C65*'Assumptions'!C40</f>
        <v/>
      </c>
      <c r="E19" s="11">
        <f>'Assumptions'!C64*'Assumptions'!C65*'Assumptions'!C41</f>
        <v/>
      </c>
      <c r="F19" s="11">
        <f>'Assumptions'!C64*'Assumptions'!C65*'Assumptions'!C42</f>
        <v/>
      </c>
    </row>
    <row r="20">
      <c r="A20" s="6" t="inlineStr">
        <is>
          <t>Natural gas (EGP m)</t>
        </is>
      </c>
      <c r="B20" s="14">
        <f>B6*'Assumptions'!C63*B19/1000000</f>
        <v/>
      </c>
      <c r="C20" s="14">
        <f>C6*'Assumptions'!C63*C19/1000000</f>
        <v/>
      </c>
      <c r="D20" s="14">
        <f>D6*'Assumptions'!C63*D19/1000000</f>
        <v/>
      </c>
      <c r="E20" s="14">
        <f>E6*'Assumptions'!C63*E19/1000000</f>
        <v/>
      </c>
      <c r="F20" s="14">
        <f>F6*'Assumptions'!C63*F19/1000000</f>
        <v/>
      </c>
    </row>
    <row r="21">
      <c r="A21" s="6" t="inlineStr">
        <is>
          <t>Cumulative inflation index</t>
        </is>
      </c>
      <c r="B21" s="19">
        <f>(1+'Assumptions'!C77)</f>
        <v/>
      </c>
      <c r="C21" s="19">
        <f>(1+'Assumptions'!C77)*(1+'Assumptions'!C78)</f>
        <v/>
      </c>
      <c r="D21" s="19">
        <f>(1+'Assumptions'!C77)*(1+'Assumptions'!C78)*(1+'Assumptions'!C79)</f>
        <v/>
      </c>
      <c r="E21" s="19">
        <f>(1+'Assumptions'!C77)*(1+'Assumptions'!C78)*(1+'Assumptions'!C79)*(1+'Assumptions'!C80)</f>
        <v/>
      </c>
      <c r="F21" s="19">
        <f>(1+'Assumptions'!C77)*(1+'Assumptions'!C78)*(1+'Assumptions'!C79)*(1+'Assumptions'!C80)*(1+'Assumptions'!C81)</f>
        <v/>
      </c>
    </row>
    <row r="22">
      <c r="A22" s="6" t="inlineStr">
        <is>
          <t>Other materials (EGP m)</t>
        </is>
      </c>
      <c r="B22" s="14">
        <f>B5*'Assumptions'!C66*B21/1000000</f>
        <v/>
      </c>
      <c r="C22" s="14">
        <f>C5*'Assumptions'!C66*C21/1000000</f>
        <v/>
      </c>
      <c r="D22" s="14">
        <f>D5*'Assumptions'!C66*D21/1000000</f>
        <v/>
      </c>
      <c r="E22" s="14">
        <f>E5*'Assumptions'!C66*E21/1000000</f>
        <v/>
      </c>
      <c r="F22" s="14">
        <f>F5*'Assumptions'!C66*F21/1000000</f>
        <v/>
      </c>
    </row>
    <row r="23">
      <c r="A23" s="6" t="inlineStr">
        <is>
          <t>Wages (EGP m)</t>
        </is>
      </c>
      <c r="B23" s="14">
        <f>'Assumptions'!C67*B21</f>
        <v/>
      </c>
      <c r="C23" s="14">
        <f>'Assumptions'!C67*C21</f>
        <v/>
      </c>
      <c r="D23" s="14">
        <f>'Assumptions'!C67*D21</f>
        <v/>
      </c>
      <c r="E23" s="14">
        <f>'Assumptions'!C67*E21</f>
        <v/>
      </c>
      <c r="F23" s="14">
        <f>'Assumptions'!C67*F21</f>
        <v/>
      </c>
    </row>
    <row r="24">
      <c r="A24" s="6" t="inlineStr">
        <is>
          <t>Purchased services (EGP m)</t>
        </is>
      </c>
      <c r="B24" s="14">
        <f>'Assumptions'!C68*B21</f>
        <v/>
      </c>
      <c r="C24" s="14">
        <f>'Assumptions'!C68*C21</f>
        <v/>
      </c>
      <c r="D24" s="14">
        <f>'Assumptions'!C68*D21</f>
        <v/>
      </c>
      <c r="E24" s="14">
        <f>'Assumptions'!C68*E21</f>
        <v/>
      </c>
      <c r="F24" s="14">
        <f>'Assumptions'!C68*F21</f>
        <v/>
      </c>
    </row>
    <row r="25">
      <c r="A25" s="6" t="inlineStr">
        <is>
          <t>Depreciation and amortisation (EGP m)</t>
        </is>
      </c>
      <c r="B25" s="14">
        <f>'Assumptions'!C113*(1+'Assumptions'!C120*0)+'Assumptions'!C114</f>
        <v/>
      </c>
      <c r="C25" s="14">
        <f>'Assumptions'!C113*(1+'Assumptions'!C120*1)+'Assumptions'!C114+SUM('Assumptions'!C115:C115)*'Assumptions'!C121</f>
        <v/>
      </c>
      <c r="D25" s="14">
        <f>'Assumptions'!C113*(1+'Assumptions'!C120*2)+'Assumptions'!C114+SUM('Assumptions'!C115:C116)*'Assumptions'!C121</f>
        <v/>
      </c>
      <c r="E25" s="14">
        <f>'Assumptions'!C113*(1+'Assumptions'!C120*3)+'Assumptions'!C114+SUM('Assumptions'!C115:C117)*'Assumptions'!C121</f>
        <v/>
      </c>
      <c r="F25" s="14">
        <f>'Assumptions'!C113*(1+'Assumptions'!C120*4)+'Assumptions'!C114+SUM('Assumptions'!C115:C118)*'Assumptions'!C121</f>
        <v/>
      </c>
    </row>
    <row r="26">
      <c r="A26" s="10" t="inlineStr">
        <is>
          <t>COST OF SALES (EGP m)</t>
        </is>
      </c>
      <c r="B26" s="14">
        <f>B20+B22+B23+B24+B25</f>
        <v/>
      </c>
      <c r="C26" s="14">
        <f>C20+C22+C23+C24+C25</f>
        <v/>
      </c>
      <c r="D26" s="14">
        <f>D20+D22+D23+D24+D25</f>
        <v/>
      </c>
      <c r="E26" s="14">
        <f>E20+E22+E23+E24+E25</f>
        <v/>
      </c>
      <c r="F26" s="14">
        <f>F20+F22+F23+F24+F25</f>
        <v/>
      </c>
    </row>
    <row r="27">
      <c r="A27" s="10" t="inlineStr">
        <is>
          <t>GROSS PROFIT (EGP m)</t>
        </is>
      </c>
      <c r="B27" s="14">
        <f>B18-B26</f>
        <v/>
      </c>
      <c r="C27" s="14">
        <f>C18-C26</f>
        <v/>
      </c>
      <c r="D27" s="14">
        <f>D18-D26</f>
        <v/>
      </c>
      <c r="E27" s="14">
        <f>E18-E26</f>
        <v/>
      </c>
      <c r="F27" s="14">
        <f>F18-F26</f>
        <v/>
      </c>
    </row>
    <row r="28">
      <c r="A28" s="6" t="inlineStr">
        <is>
          <t>Gross margin — an OUTPUT, never an input</t>
        </is>
      </c>
      <c r="B28" s="8">
        <f>B27/B18</f>
        <v/>
      </c>
      <c r="C28" s="8">
        <f>C27/C18</f>
        <v/>
      </c>
      <c r="D28" s="8">
        <f>D27/D18</f>
        <v/>
      </c>
      <c r="E28" s="8">
        <f>E27/E18</f>
        <v/>
      </c>
      <c r="F28" s="8">
        <f>F27/F18</f>
        <v/>
      </c>
    </row>
    <row r="29">
      <c r="A29" s="6" t="inlineStr">
        <is>
          <t>Inland freight to port (EGP m)</t>
        </is>
      </c>
      <c r="B29" s="14">
        <f>B9*'Assumptions'!C69*B21/1000000</f>
        <v/>
      </c>
      <c r="C29" s="14">
        <f>C9*'Assumptions'!C69*C21/1000000</f>
        <v/>
      </c>
      <c r="D29" s="14">
        <f>D9*'Assumptions'!C69*D21/1000000</f>
        <v/>
      </c>
      <c r="E29" s="14">
        <f>E9*'Assumptions'!C69*E21/1000000</f>
        <v/>
      </c>
      <c r="F29" s="14">
        <f>F9*'Assumptions'!C69*F21/1000000</f>
        <v/>
      </c>
    </row>
    <row r="30">
      <c r="A30" s="6" t="inlineStr">
        <is>
          <t>Other selling cost (EGP m)</t>
        </is>
      </c>
      <c r="B30" s="14">
        <f>'Assumptions'!C70*B21</f>
        <v/>
      </c>
      <c r="C30" s="14">
        <f>'Assumptions'!C70*C21</f>
        <v/>
      </c>
      <c r="D30" s="14">
        <f>'Assumptions'!C70*D21</f>
        <v/>
      </c>
      <c r="E30" s="14">
        <f>'Assumptions'!C70*E21</f>
        <v/>
      </c>
      <c r="F30" s="14">
        <f>'Assumptions'!C70*F21</f>
        <v/>
      </c>
    </row>
    <row r="31">
      <c r="A31" s="6" t="inlineStr">
        <is>
          <t>Administrative (EGP m)</t>
        </is>
      </c>
      <c r="B31" s="14">
        <f>'Assumptions'!C71*B21</f>
        <v/>
      </c>
      <c r="C31" s="14">
        <f>'Assumptions'!C71*C21</f>
        <v/>
      </c>
      <c r="D31" s="14">
        <f>'Assumptions'!C71*D21</f>
        <v/>
      </c>
      <c r="E31" s="14">
        <f>'Assumptions'!C71*E21</f>
        <v/>
      </c>
      <c r="F31" s="14">
        <f>'Assumptions'!C71*F21</f>
        <v/>
      </c>
    </row>
    <row r="32">
      <c r="A32" s="6" t="inlineStr">
        <is>
          <t>Stoppage and abnormal gas cost (EGP m)</t>
        </is>
      </c>
      <c r="B32" s="14">
        <f>'Assumptions'!C72</f>
        <v/>
      </c>
      <c r="C32" s="14">
        <f>'Assumptions'!C73</f>
        <v/>
      </c>
      <c r="D32" s="14">
        <f>'Assumptions'!C74</f>
        <v/>
      </c>
      <c r="E32" s="14">
        <f>'Assumptions'!C75</f>
        <v/>
      </c>
      <c r="F32" s="14">
        <f>'Assumptions'!C76</f>
        <v/>
      </c>
    </row>
    <row r="33">
      <c r="A33" s="10" t="inlineStr">
        <is>
          <t>EBIT (EGP m)</t>
        </is>
      </c>
      <c r="B33" s="14">
        <f>B27-B29-B30-B31-B32</f>
        <v/>
      </c>
      <c r="C33" s="14">
        <f>C27-C29-C30-C31-C32</f>
        <v/>
      </c>
      <c r="D33" s="14">
        <f>D27-D29-D30-D31-D32</f>
        <v/>
      </c>
      <c r="E33" s="14">
        <f>E27-E29-E30-E31-E32</f>
        <v/>
      </c>
      <c r="F33" s="14">
        <f>F27-F29-F30-F31-F32</f>
        <v/>
      </c>
    </row>
    <row r="34">
      <c r="A34" s="10" t="inlineStr">
        <is>
          <t>EBITDA (EGP m)</t>
        </is>
      </c>
      <c r="B34" s="14">
        <f>B33+B25</f>
        <v/>
      </c>
      <c r="C34" s="14">
        <f>C33+C25</f>
        <v/>
      </c>
      <c r="D34" s="14">
        <f>D33+D25</f>
        <v/>
      </c>
      <c r="E34" s="14">
        <f>E33+E25</f>
        <v/>
      </c>
      <c r="F34" s="14">
        <f>F33+F25</f>
        <v/>
      </c>
    </row>
    <row r="35">
      <c r="A35" s="6" t="inlineStr">
        <is>
          <t>EBITDA margin — an OUTPUT</t>
        </is>
      </c>
      <c r="B35" s="8">
        <f>B34/B18</f>
        <v/>
      </c>
      <c r="C35" s="8">
        <f>C34/C18</f>
        <v/>
      </c>
      <c r="D35" s="8">
        <f>D34/D18</f>
        <v/>
      </c>
      <c r="E35" s="8">
        <f>E34/E18</f>
        <v/>
      </c>
      <c r="F35" s="8">
        <f>F34/F18</f>
        <v/>
      </c>
    </row>
    <row r="37" ht="26" customHeight="1">
      <c r="A37" s="18" t="inlineStr">
        <is>
          <t>Margins are outputs of the build, not inputs to it. Nothing on this sheet sets a margin; each one falls out of tonnes, prices and physical consumption.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42" customWidth="1" min="1" max="1"/>
    <col width="15" customWidth="1" min="2" max="2"/>
    <col width="64" customWidth="1" min="3" max="3"/>
  </cols>
  <sheetData>
    <row r="1">
      <c r="A1" s="1" t="inlineStr">
        <is>
          <t>LENS 3 — RELATIVE MULTIPLES  ·  LENS 4 — NORMALISED EARNINGS POWER</t>
        </is>
      </c>
    </row>
    <row r="2" ht="30" customHeight="1">
      <c r="A2" s="4" t="inlineStr">
        <is>
          <t>Two cross-checks on the cash-flow lens, each reaching the answer from a direction the cash-flow model cannot reach it from.</t>
        </is>
      </c>
    </row>
    <row r="4">
      <c r="A4" s="5" t="inlineStr">
        <is>
          <t>Relative multiples</t>
        </is>
      </c>
      <c r="B4" s="5" t="inlineStr">
        <is>
          <t>Value</t>
        </is>
      </c>
      <c r="C4" s="5" t="inlineStr">
        <is>
          <t>Note</t>
        </is>
      </c>
    </row>
    <row r="5" ht="14" customHeight="1">
      <c r="A5" s="6" t="inlineStr">
        <is>
          <t>Forward EBITDA, FY2026/27 (EGP m)</t>
        </is>
      </c>
      <c r="B5" s="14">
        <f>'Segments'!B34</f>
        <v/>
      </c>
      <c r="C5" s="9" t="inlineStr">
        <is>
          <t>From the unit build</t>
        </is>
      </c>
    </row>
    <row r="6" ht="14" customHeight="1">
      <c r="A6" s="6" t="inlineStr">
        <is>
          <t>Egyptian industrial range, low</t>
        </is>
      </c>
      <c r="B6" s="20" t="n">
        <v>6</v>
      </c>
      <c r="C6" s="9" t="inlineStr">
        <is>
          <t>Observed trading and transaction range</t>
        </is>
      </c>
    </row>
    <row r="7" ht="14" customHeight="1">
      <c r="A7" s="6" t="inlineStr">
        <is>
          <t>Egyptian industrial range, high</t>
        </is>
      </c>
      <c r="B7" s="20" t="n">
        <v>9.9</v>
      </c>
      <c r="C7" s="9" t="inlineStr">
        <is>
          <t>Observed trading and transaction range</t>
        </is>
      </c>
    </row>
    <row r="8" ht="14" customHeight="1">
      <c r="A8" s="6" t="inlineStr">
        <is>
          <t>Mid-point</t>
        </is>
      </c>
      <c r="B8" s="26">
        <f>(B6+B7)/2</f>
        <v/>
      </c>
      <c r="C8" s="9" t="inlineStr"/>
    </row>
    <row r="9" ht="14" customHeight="1">
      <c r="A9" s="6" t="inlineStr">
        <is>
          <t>Enterprise value at the mid-point (EGP m)</t>
        </is>
      </c>
      <c r="B9" s="14">
        <f>B5*B8</f>
        <v/>
      </c>
      <c r="C9" s="9" t="inlineStr"/>
    </row>
    <row r="10" ht="14" customHeight="1">
      <c r="A10" s="6" t="inlineStr">
        <is>
          <t>Less net debt (EGP m)</t>
        </is>
      </c>
      <c r="B10" s="14">
        <f>-'DCF'!B41</f>
        <v/>
      </c>
      <c r="C10" s="9" t="inlineStr">
        <is>
          <t>31 March 2026</t>
        </is>
      </c>
    </row>
    <row r="11" ht="14" customHeight="1">
      <c r="A11" s="6" t="inlineStr">
        <is>
          <t>Plus non-operating assets (EGP m)</t>
        </is>
      </c>
      <c r="B11" s="14">
        <f>'DCF'!B42+'DCF'!B43</f>
        <v/>
      </c>
      <c r="C11" s="9" t="inlineStr">
        <is>
          <t>Listed stakes and investment property</t>
        </is>
      </c>
    </row>
    <row r="12" ht="14" customHeight="1">
      <c r="A12" s="6" t="inlineStr">
        <is>
          <t>Value per share on this lens (EGP)</t>
        </is>
      </c>
      <c r="B12" s="11">
        <f>(B9+B10+B11)*1000000/'Assumptions'!C6</f>
        <v/>
      </c>
      <c r="C12" s="9" t="inlineStr"/>
    </row>
    <row r="13" ht="14" customHeight="1">
      <c r="A13" s="6" t="inlineStr">
        <is>
          <t>At the low multiple (EGP)</t>
        </is>
      </c>
      <c r="B13" s="11">
        <f>(B5*B6+B10+B11)*1000000/'Assumptions'!C6</f>
        <v/>
      </c>
      <c r="C13" s="9" t="inlineStr"/>
    </row>
    <row r="14" ht="14" customHeight="1">
      <c r="A14" s="6" t="inlineStr">
        <is>
          <t>At the high multiple (EGP)</t>
        </is>
      </c>
      <c r="B14" s="11">
        <f>(B5*B7+B10+B11)*1000000/'Assumptions'!C6</f>
        <v/>
      </c>
      <c r="C14" s="9" t="inlineStr"/>
    </row>
    <row r="15" ht="14" customHeight="1">
      <c r="A15" s="6" t="inlineStr">
        <is>
          <t>Multiple the market pays</t>
        </is>
      </c>
      <c r="B15" s="26">
        <f>('Summary'!B16+'DCF'!B41)/B5</f>
        <v/>
      </c>
      <c r="C15" s="9" t="inlineStr">
        <is>
          <t>The gap between this line and the next is the whole disagreement in one number</t>
        </is>
      </c>
    </row>
    <row r="16" ht="14" customHeight="1">
      <c r="A16" s="6" t="inlineStr">
        <is>
          <t>Multiple this model's cash-flow lens implies</t>
        </is>
      </c>
      <c r="B16" s="26">
        <f>'DCF'!B37/B5</f>
        <v/>
      </c>
      <c r="C16" s="9" t="inlineStr"/>
    </row>
    <row r="18" ht="52" customHeight="1">
      <c r="A18" s="18" t="inlineStr">
        <is>
          <t>This lens gives the highest of the four answers, and it is worth saying why: a multiple of forward EBITDA never asks what the capital programme does to cash. It values the plant as though the money being spent on the new complex were not being spent. That is exactly the question the cash-flow lens exists to answer, which is why this one is a cross-check and not the primary read.</t>
        </is>
      </c>
    </row>
    <row r="20">
      <c r="A20" s="5" t="inlineStr">
        <is>
          <t>Normalised earnings power — every intermediate line</t>
        </is>
      </c>
      <c r="B20" s="5" t="inlineStr">
        <is>
          <t>Value</t>
        </is>
      </c>
      <c r="C20" s="5" t="inlineStr">
        <is>
          <t>Note</t>
        </is>
      </c>
    </row>
    <row r="21" ht="14" customHeight="1">
      <c r="A21" s="6" t="inlineStr">
        <is>
          <t>Mid-cycle urea output (tonnes)</t>
        </is>
      </c>
      <c r="B21" s="13" t="n">
        <v>540542</v>
      </c>
      <c r="C21" s="9" t="inlineStr">
        <is>
          <t>Three-year average of audited output: 586.4kt, 521.9kt and 513.4kt</t>
        </is>
      </c>
    </row>
    <row r="22" ht="14" customHeight="1">
      <c r="A22" s="6" t="inlineStr">
        <is>
          <t>Export tonnes at mid-cycle</t>
        </is>
      </c>
      <c r="B22" s="14">
        <f>B21-'Assumptions'!C21-'Assumptions'!C26</f>
        <v/>
      </c>
      <c r="C22" s="9" t="inlineStr">
        <is>
          <t>Output less the subsidised and free-market legs</t>
        </is>
      </c>
    </row>
    <row r="23" ht="24" customHeight="1">
      <c r="A23" s="6" t="inlineStr">
        <is>
          <t>Mid-cycle export price (US$/tonne)</t>
        </is>
      </c>
      <c r="B23" s="13" t="n">
        <v>400</v>
      </c>
      <c r="C23" s="9" t="inlineStr">
        <is>
          <t>Above the 2015-2020 average of roughly US$250 and well below the August 2026 quote of US$545</t>
        </is>
      </c>
    </row>
    <row r="24" ht="14" customHeight="1">
      <c r="A24" s="6" t="inlineStr">
        <is>
          <t>Exchange rate used</t>
        </is>
      </c>
      <c r="B24" s="12" t="n">
        <v>54.2</v>
      </c>
      <c r="C24" s="9" t="inlineStr">
        <is>
          <t>The second year of the currency path</t>
        </is>
      </c>
    </row>
    <row r="25" ht="14" customHeight="1">
      <c r="A25" s="6" t="inlineStr">
        <is>
          <t>Export revenue (EGP m)</t>
        </is>
      </c>
      <c r="B25" s="14">
        <f>B22*B23*B24*(1-'Assumptions'!C43)/1000000</f>
        <v/>
      </c>
      <c r="C25" s="9" t="inlineStr"/>
    </row>
    <row r="26" ht="24" customHeight="1">
      <c r="A26" s="6" t="inlineStr">
        <is>
          <t>Other revenue legs (EGP m)</t>
        </is>
      </c>
      <c r="B26" s="13" t="n">
        <v>2662.193673469388</v>
      </c>
      <c r="C26" s="9" t="inlineStr">
        <is>
          <t>Subsidised, local free market, nitrates and other, on the same paths as the main build</t>
        </is>
      </c>
    </row>
    <row r="27" ht="14" customHeight="1">
      <c r="A27" s="6" t="inlineStr">
        <is>
          <t>Mid-cycle revenue (EGP m)</t>
        </is>
      </c>
      <c r="B27" s="14">
        <f>B25+B26</f>
        <v/>
      </c>
      <c r="C27" s="9" t="inlineStr"/>
    </row>
    <row r="28" ht="24" customHeight="1">
      <c r="A28" s="6" t="inlineStr">
        <is>
          <t>Mid-cycle cash cost (EGP m)</t>
        </is>
      </c>
      <c r="B28" s="13" t="n">
        <v>6707.836207316137</v>
      </c>
      <c r="C28" s="9" t="inlineStr">
        <is>
          <t>Gas, other materials, wages, services, freight, other selling and administration, each escalated on its own driver</t>
        </is>
      </c>
    </row>
    <row r="29" ht="14" customHeight="1">
      <c r="A29" s="6" t="inlineStr">
        <is>
          <t>Mid-cycle EBITDA (EGP m)</t>
        </is>
      </c>
      <c r="B29" s="14">
        <f>B27-B28</f>
        <v/>
      </c>
      <c r="C29" s="9" t="inlineStr"/>
    </row>
    <row r="30" ht="14" customHeight="1">
      <c r="A30" s="6" t="inlineStr">
        <is>
          <t>Mid-cycle operating profit after tax (EGP m)</t>
        </is>
      </c>
      <c r="B30" s="14">
        <f>(B29-'Assumptions'!C113-'Assumptions'!C114)*(1-'Assumptions'!C99)</f>
        <v/>
      </c>
      <c r="C30" s="9" t="inlineStr">
        <is>
          <t>After depreciation and tax</t>
        </is>
      </c>
    </row>
    <row r="31" ht="14" customHeight="1">
      <c r="A31" s="6" t="inlineStr">
        <is>
          <t>Value per share at the central multiple (EGP)</t>
        </is>
      </c>
      <c r="B31" s="11">
        <f>(B30*'Assumptions'!C10+B10+B11)*1000000/'Assumptions'!C6</f>
        <v/>
      </c>
      <c r="C31" s="9" t="inlineStr">
        <is>
          <t>A mature single-asset industrial in a high-inflation economy does not deserve more</t>
        </is>
      </c>
    </row>
    <row r="32" ht="14" customHeight="1">
      <c r="A32" s="6" t="inlineStr">
        <is>
          <t>At the low multiple (EGP)</t>
        </is>
      </c>
      <c r="B32" s="11">
        <f>(B30*'Assumptions'!C9+B10+B11)*1000000/'Assumptions'!C6</f>
        <v/>
      </c>
      <c r="C32" s="9" t="inlineStr"/>
    </row>
    <row r="33" ht="14" customHeight="1">
      <c r="A33" s="6" t="inlineStr">
        <is>
          <t>At the high multiple (EGP)</t>
        </is>
      </c>
      <c r="B33" s="11">
        <f>(B30*'Assumptions'!C11+B10+B11)*1000000/'Assumptions'!C6</f>
        <v/>
      </c>
      <c r="C33" s="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cols>
    <col width="38" customWidth="1" min="1" max="1"/>
    <col width="15" customWidth="1" min="2" max="2"/>
    <col width="3" customWidth="1" min="3" max="3"/>
    <col width="15" customWidth="1" min="4" max="4"/>
    <col width="15" customWidth="1" min="5" max="5"/>
    <col width="15" customWidth="1" min="6" max="6"/>
    <col width="32" customWidth="1" min="8" max="8"/>
    <col width="10" customWidth="1" min="9" max="9"/>
  </cols>
  <sheetData>
    <row r="1">
      <c r="A1" s="1" t="inlineStr">
        <is>
          <t>DISCOUNTED CASH FLOW — THE CONTESTED JUDGEMENT IN TWO COLUMNS</t>
        </is>
      </c>
    </row>
    <row r="2" ht="30" customHeight="1">
      <c r="A2" s="4" t="inlineStr">
        <is>
          <t>Column B carries the programme through; column D stops it. Both are complete valuations. They are never averaged.</t>
        </is>
      </c>
    </row>
    <row r="4">
      <c r="A4" s="5" t="inlineStr">
        <is>
          <t>EGP million</t>
        </is>
      </c>
      <c r="B4" s="5" t="inlineStr">
        <is>
          <t>FY2026/27</t>
        </is>
      </c>
      <c r="C4" s="5" t="inlineStr">
        <is>
          <t>FY2027/28</t>
        </is>
      </c>
      <c r="D4" s="5" t="inlineStr">
        <is>
          <t>FY2028/29</t>
        </is>
      </c>
      <c r="E4" s="5" t="inlineStr">
        <is>
          <t>FY2029/30</t>
        </is>
      </c>
      <c r="F4" s="5" t="inlineStr">
        <is>
          <t>FY2030/31</t>
        </is>
      </c>
      <c r="H4" s="10" t="inlineStr">
        <is>
          <t>Case switches</t>
        </is>
      </c>
    </row>
    <row r="5">
      <c r="A5" s="6" t="inlineStr">
        <is>
          <t>Revenue</t>
        </is>
      </c>
      <c r="B5" s="24">
        <f>'Segments'!B18</f>
        <v/>
      </c>
      <c r="C5" s="24">
        <f>'Segments'!C18</f>
        <v/>
      </c>
      <c r="D5" s="24">
        <f>'Segments'!D18</f>
        <v/>
      </c>
      <c r="E5" s="24">
        <f>'Segments'!E18</f>
        <v/>
      </c>
      <c r="F5" s="24">
        <f>'Segments'!F18</f>
        <v/>
      </c>
      <c r="H5" s="6" t="inlineStr">
        <is>
          <t>Programme carried through (1 = yes)</t>
        </is>
      </c>
      <c r="I5" s="6" t="n">
        <v>1</v>
      </c>
    </row>
    <row r="6">
      <c r="A6" s="10" t="inlineStr">
        <is>
          <t>EBITDA</t>
        </is>
      </c>
      <c r="B6" s="24">
        <f>'Segments'!B34</f>
        <v/>
      </c>
      <c r="C6" s="24">
        <f>'Segments'!C34</f>
        <v/>
      </c>
      <c r="D6" s="24">
        <f>'Segments'!D34</f>
        <v/>
      </c>
      <c r="E6" s="24">
        <f>'Segments'!E34</f>
        <v/>
      </c>
      <c r="F6" s="24">
        <f>'Segments'!F34</f>
        <v/>
      </c>
      <c r="H6" s="6" t="inlineStr">
        <is>
          <t>Wind-down cost if stopped (EGP m)</t>
        </is>
      </c>
      <c r="I6" s="13" t="n">
        <v>1000</v>
      </c>
    </row>
    <row r="7">
      <c r="A7" s="6" t="inlineStr">
        <is>
          <t>EBITDA margin</t>
        </is>
      </c>
      <c r="B7" s="8">
        <f>B6/B5</f>
        <v/>
      </c>
      <c r="C7" s="8">
        <f>C6/C5</f>
        <v/>
      </c>
      <c r="D7" s="8">
        <f>D6/D5</f>
        <v/>
      </c>
      <c r="E7" s="8">
        <f>E6/E5</f>
        <v/>
      </c>
      <c r="F7" s="8">
        <f>F6/F5</f>
        <v/>
      </c>
    </row>
    <row r="8">
      <c r="A8" s="6" t="inlineStr">
        <is>
          <t>Depreciation and amortisation</t>
        </is>
      </c>
      <c r="B8" s="24">
        <f>'Segments'!B25</f>
        <v/>
      </c>
      <c r="C8" s="24">
        <f>'Segments'!C25</f>
        <v/>
      </c>
      <c r="D8" s="24">
        <f>'Segments'!D25</f>
        <v/>
      </c>
      <c r="E8" s="24">
        <f>'Segments'!E25</f>
        <v/>
      </c>
      <c r="F8" s="24">
        <f>'Segments'!F25</f>
        <v/>
      </c>
    </row>
    <row r="9">
      <c r="A9" s="10" t="inlineStr">
        <is>
          <t>EBIT</t>
        </is>
      </c>
      <c r="B9" s="14">
        <f>B6-B8</f>
        <v/>
      </c>
      <c r="C9" s="14">
        <f>C6-C8</f>
        <v/>
      </c>
      <c r="D9" s="14">
        <f>D6-D8</f>
        <v/>
      </c>
      <c r="E9" s="14">
        <f>E6-E8</f>
        <v/>
      </c>
      <c r="F9" s="14">
        <f>F6-F8</f>
        <v/>
      </c>
    </row>
    <row r="10">
      <c r="A10" s="6" t="inlineStr">
        <is>
          <t>NOPAT = EBIT x (1 - tax rate)</t>
        </is>
      </c>
      <c r="B10" s="14">
        <f>B9*(1-'Assumptions'!C99)</f>
        <v/>
      </c>
      <c r="C10" s="14">
        <f>C9*(1-'Assumptions'!C99)</f>
        <v/>
      </c>
      <c r="D10" s="14">
        <f>D9*(1-'Assumptions'!C99)</f>
        <v/>
      </c>
      <c r="E10" s="14">
        <f>E9*(1-'Assumptions'!C99)</f>
        <v/>
      </c>
      <c r="F10" s="14">
        <f>F9*(1-'Assumptions'!C99)</f>
        <v/>
      </c>
    </row>
    <row r="11">
      <c r="A11" s="6" t="inlineStr">
        <is>
          <t>Add back depreciation</t>
        </is>
      </c>
      <c r="B11" s="14">
        <f>B8</f>
        <v/>
      </c>
      <c r="C11" s="14">
        <f>C8</f>
        <v/>
      </c>
      <c r="D11" s="14">
        <f>D8</f>
        <v/>
      </c>
      <c r="E11" s="14">
        <f>E8</f>
        <v/>
      </c>
      <c r="F11" s="14">
        <f>F8</f>
        <v/>
      </c>
    </row>
    <row r="12">
      <c r="A12" s="6" t="inlineStr">
        <is>
          <t>Less capital expenditure</t>
        </is>
      </c>
      <c r="B12" s="14">
        <f>-($I$5*'Assumptions'!C115+$I$6*(1-$I$5)+B5*'Assumptions'!C127)</f>
        <v/>
      </c>
      <c r="C12" s="14">
        <f>-($I$5*'Assumptions'!C116+C5*'Assumptions'!C127)</f>
        <v/>
      </c>
      <c r="D12" s="14">
        <f>-($I$5*'Assumptions'!C117+D5*'Assumptions'!C127)</f>
        <v/>
      </c>
      <c r="E12" s="14">
        <f>-($I$5*'Assumptions'!C118+E5*'Assumptions'!C127)</f>
        <v/>
      </c>
      <c r="F12" s="14">
        <f>-($I$5*'Assumptions'!C119+F5*'Assumptions'!C127)</f>
        <v/>
      </c>
    </row>
    <row r="13">
      <c r="A13" s="6" t="inlineStr">
        <is>
          <t>Less change in working capital</t>
        </is>
      </c>
      <c r="B13" s="24">
        <f>-'Cash Flow'!B12</f>
        <v/>
      </c>
      <c r="C13" s="24">
        <f>-'Cash Flow'!C12</f>
        <v/>
      </c>
      <c r="D13" s="24">
        <f>-'Cash Flow'!D12</f>
        <v/>
      </c>
      <c r="E13" s="24">
        <f>-'Cash Flow'!E12</f>
        <v/>
      </c>
      <c r="F13" s="24">
        <f>-'Cash Flow'!F12</f>
        <v/>
      </c>
    </row>
    <row r="14">
      <c r="A14" s="10" t="inlineStr">
        <is>
          <t>FREE CASH FLOW TO THE FIRM</t>
        </is>
      </c>
      <c r="B14" s="14">
        <f>B10+B11+B12+B13</f>
        <v/>
      </c>
      <c r="C14" s="14">
        <f>C10+C11+C12+C13</f>
        <v/>
      </c>
      <c r="D14" s="14">
        <f>D10+D11+D12+D13</f>
        <v/>
      </c>
      <c r="E14" s="14">
        <f>E10+E11+E12+E13</f>
        <v/>
      </c>
      <c r="F14" s="14">
        <f>F10+F11+F12+F13</f>
        <v/>
      </c>
    </row>
    <row r="15">
      <c r="A15" s="6" t="inlineStr">
        <is>
          <t>Discount rate from the glide</t>
        </is>
      </c>
      <c r="B15" s="27">
        <f>'Assumptions'!C102+('Assumptions'!C108-'Assumptions'!C102)*0/5</f>
        <v/>
      </c>
      <c r="C15" s="27">
        <f>'Assumptions'!C102+('Assumptions'!C108-'Assumptions'!C102)*1/5</f>
        <v/>
      </c>
      <c r="D15" s="27">
        <f>'Assumptions'!C102+('Assumptions'!C108-'Assumptions'!C102)*2/5</f>
        <v/>
      </c>
      <c r="E15" s="27">
        <f>'Assumptions'!C102+('Assumptions'!C108-'Assumptions'!C102)*3/5</f>
        <v/>
      </c>
      <c r="F15" s="27">
        <f>'Assumptions'!C102+('Assumptions'!C108-'Assumptions'!C102)*4/5</f>
        <v/>
      </c>
    </row>
    <row r="16">
      <c r="A16" s="6" t="inlineStr">
        <is>
          <t>Discount factor, compounded</t>
        </is>
      </c>
      <c r="B16" s="28">
        <f>1/(1+B15)</f>
        <v/>
      </c>
      <c r="C16" s="28">
        <f>B16/(1+C15)</f>
        <v/>
      </c>
      <c r="D16" s="28">
        <f>C16/(1+D15)</f>
        <v/>
      </c>
      <c r="E16" s="28">
        <f>D16/(1+E15)</f>
        <v/>
      </c>
      <c r="F16" s="28">
        <f>E16/(1+F15)</f>
        <v/>
      </c>
    </row>
    <row r="17">
      <c r="A17" s="10" t="inlineStr">
        <is>
          <t>PRESENT VALUE OF FREE CASH FLOW</t>
        </is>
      </c>
      <c r="B17" s="14">
        <f>B14*B16</f>
        <v/>
      </c>
      <c r="C17" s="14">
        <f>C14*C16</f>
        <v/>
      </c>
      <c r="D17" s="14">
        <f>D14*D16</f>
        <v/>
      </c>
      <c r="E17" s="14">
        <f>E14*E16</f>
        <v/>
      </c>
      <c r="F17" s="14">
        <f>F14*F16</f>
        <v/>
      </c>
    </row>
    <row r="19">
      <c r="A19" s="10" t="inlineStr">
        <is>
          <t>TERMINAL BLOCK AND THE BRIDGE — BOTH SIDES</t>
        </is>
      </c>
    </row>
    <row r="20">
      <c r="A20" s="5" t="inlineStr"/>
      <c r="B20" s="5" t="inlineStr">
        <is>
          <t>Programme carried through</t>
        </is>
      </c>
      <c r="C20" s="5" t="inlineStr"/>
      <c r="D20" s="5" t="inlineStr">
        <is>
          <t>Programme stopped</t>
        </is>
      </c>
    </row>
    <row r="21">
      <c r="A21" s="6" t="inlineStr">
        <is>
          <t>Year-five EBIT grown at terminal growth</t>
        </is>
      </c>
      <c r="B21" s="14">
        <f>F9*(1+'Assumptions'!C109)</f>
        <v/>
      </c>
      <c r="D21" s="14">
        <f>(F9+SUM('Assumptions'!C115:C118)*'Assumptions'!C121)*(1+'Assumptions'!C109)</f>
        <v/>
      </c>
    </row>
    <row r="22">
      <c r="A22" s="6" t="inlineStr">
        <is>
          <t>Project revenue in the terminal year</t>
        </is>
      </c>
      <c r="B22" s="14">
        <f>'Assumptions'!C130*'Assumptions'!C132*'Assumptions'!C133*('Assumptions'!C42*(1+'Assumptions'!C109-'Assumptions'!C124))/1000000</f>
        <v/>
      </c>
      <c r="D22" s="14">
        <f>'Assumptions'!C130*0*'Assumptions'!C133*('Assumptions'!C42*(1+'Assumptions'!C109-'Assumptions'!C124))/1000000</f>
        <v/>
      </c>
    </row>
    <row r="23">
      <c r="A23" s="6" t="inlineStr">
        <is>
          <t>Project operating profit, after its own depreciation</t>
        </is>
      </c>
      <c r="B23" s="14">
        <f>B22*'Assumptions'!C134-'Assumptions'!C125*'Assumptions'!C126*'Assumptions'!C121</f>
        <v/>
      </c>
      <c r="D23" s="14">
        <f>D22*'Assumptions'!C134-0*'Assumptions'!C126*'Assumptions'!C121</f>
        <v/>
      </c>
    </row>
    <row r="24">
      <c r="A24" s="6" t="inlineStr">
        <is>
          <t>Terminal EBIT</t>
        </is>
      </c>
      <c r="B24" s="14">
        <f>B21+B23</f>
        <v/>
      </c>
      <c r="D24" s="14">
        <f>D21+D23</f>
        <v/>
      </c>
    </row>
    <row r="25">
      <c r="A25" s="6" t="inlineStr">
        <is>
          <t>Terminal NOPAT</t>
        </is>
      </c>
      <c r="B25" s="14">
        <f>B24*(1-'Assumptions'!C99)</f>
        <v/>
      </c>
      <c r="D25" s="14">
        <f>D24*(1-'Assumptions'!C99)</f>
        <v/>
      </c>
    </row>
    <row r="26">
      <c r="A26" s="6" t="inlineStr">
        <is>
          <t>Reinvestment rate = growth / return on capital</t>
        </is>
      </c>
      <c r="B26" s="8">
        <f>'Assumptions'!C109/'Assumptions'!C110</f>
        <v/>
      </c>
      <c r="D26" s="8">
        <f>'Assumptions'!C109/'Assumptions'!C110</f>
        <v/>
      </c>
    </row>
    <row r="27">
      <c r="A27" s="6" t="inlineStr">
        <is>
          <t>Terminal free cash flow</t>
        </is>
      </c>
      <c r="B27" s="14">
        <f>B25*(1-B26)</f>
        <v/>
      </c>
      <c r="D27" s="14">
        <f>D25*(1-D26)</f>
        <v/>
      </c>
    </row>
    <row r="28">
      <c r="A28" s="6" t="inlineStr">
        <is>
          <t>TERMINAL VALUE</t>
        </is>
      </c>
      <c r="B28" s="14">
        <f>B27/('Assumptions'!C108-'Assumptions'!C109)</f>
        <v/>
      </c>
      <c r="D28" s="14">
        <f>D27/('Assumptions'!C108-'Assumptions'!C109)</f>
        <v/>
      </c>
    </row>
    <row r="33">
      <c r="A33" s="6" t="inlineStr">
        <is>
          <t>Present value of the terminal value</t>
        </is>
      </c>
      <c r="B33" s="14">
        <f>B28*F16</f>
        <v/>
      </c>
      <c r="D33" s="14">
        <f>D28*F16</f>
        <v/>
      </c>
    </row>
    <row r="36">
      <c r="A36" s="6" t="inlineStr">
        <is>
          <t>Present value of the explicit window</t>
        </is>
      </c>
      <c r="B36" s="14">
        <f>SUM(B17:F17)</f>
        <v/>
      </c>
      <c r="D36" s="14">
        <f>SUM(B54:F54)</f>
        <v/>
      </c>
    </row>
    <row r="37">
      <c r="A37" s="10" t="inlineStr">
        <is>
          <t>ENTERPRISE VALUE</t>
        </is>
      </c>
      <c r="B37" s="14">
        <f>B36+B33</f>
        <v/>
      </c>
      <c r="D37" s="14">
        <f>D36+D33</f>
        <v/>
      </c>
    </row>
    <row r="38">
      <c r="A38" s="10" t="inlineStr">
        <is>
          <t>TERMINAL VALUE AS A SHARE OF ENTERPRISE VALUE</t>
        </is>
      </c>
      <c r="B38" s="8">
        <f>B33/B37</f>
        <v/>
      </c>
      <c r="D38" s="8">
        <f>D33/D37</f>
        <v/>
      </c>
    </row>
    <row r="39">
      <c r="A39" s="6" t="inlineStr">
        <is>
          <t>Gross debt, 31 March 2026</t>
        </is>
      </c>
      <c r="B39" s="13" t="n">
        <v>14639.005</v>
      </c>
    </row>
    <row r="40">
      <c r="A40" s="6" t="inlineStr">
        <is>
          <t>Cash and equivalents</t>
        </is>
      </c>
      <c r="B40" s="13" t="n">
        <v>4606.522</v>
      </c>
    </row>
    <row r="41">
      <c r="A41" s="6" t="inlineStr">
        <is>
          <t>Net debt</t>
        </is>
      </c>
      <c r="B41" s="14">
        <f>B39-B40</f>
        <v/>
      </c>
      <c r="D41" s="14">
        <f>B41</f>
        <v/>
      </c>
    </row>
    <row r="42">
      <c r="A42" s="6" t="inlineStr">
        <is>
          <t>Listed equity stakes at market</t>
        </is>
      </c>
      <c r="B42" s="13" t="n">
        <v>1382.886</v>
      </c>
      <c r="D42" s="14">
        <f>B42</f>
        <v/>
      </c>
    </row>
    <row r="43">
      <c r="A43" s="6" t="inlineStr">
        <is>
          <t>Investment property</t>
        </is>
      </c>
      <c r="B43" s="13" t="n">
        <v>2155.061</v>
      </c>
      <c r="D43" s="14">
        <f>B43</f>
        <v/>
      </c>
    </row>
    <row r="44">
      <c r="A44" s="10" t="inlineStr">
        <is>
          <t>VALUE PER SHARE (EGP)</t>
        </is>
      </c>
      <c r="B44" s="11">
        <f>B45*1000000/'Assumptions'!C6</f>
        <v/>
      </c>
      <c r="D44" s="11">
        <f>D45*1000000/'Assumptions'!C6</f>
        <v/>
      </c>
    </row>
    <row r="45">
      <c r="A45" s="10" t="inlineStr">
        <is>
          <t>EQUITY VALUE</t>
        </is>
      </c>
      <c r="B45" s="14">
        <f>B37-B41+B42+B43</f>
        <v/>
      </c>
      <c r="D45" s="14">
        <f>D37-D41+D42+D43</f>
        <v/>
      </c>
    </row>
    <row r="47">
      <c r="A47" s="10" t="inlineStr">
        <is>
          <t>PROGRAMME STOPPED — the same operating build, project capital removed</t>
        </is>
      </c>
    </row>
    <row r="48">
      <c r="A48" s="5" t="inlineStr">
        <is>
          <t>EGP million</t>
        </is>
      </c>
      <c r="B48" s="5" t="inlineStr">
        <is>
          <t>FY2026/27</t>
        </is>
      </c>
      <c r="C48" s="5" t="inlineStr">
        <is>
          <t>FY2027/28</t>
        </is>
      </c>
      <c r="D48" s="5" t="inlineStr">
        <is>
          <t>FY2028/29</t>
        </is>
      </c>
      <c r="E48" s="5" t="inlineStr">
        <is>
          <t>FY2029/30</t>
        </is>
      </c>
      <c r="F48" s="5" t="inlineStr">
        <is>
          <t>FY2030/31</t>
        </is>
      </c>
    </row>
    <row r="49">
      <c r="A49" s="6" t="inlineStr">
        <is>
          <t>Free cash flow, programme carried through</t>
        </is>
      </c>
      <c r="B49" s="14">
        <f>B14</f>
        <v/>
      </c>
      <c r="C49" s="14">
        <f>C14</f>
        <v/>
      </c>
      <c r="D49" s="14">
        <f>D14</f>
        <v/>
      </c>
      <c r="E49" s="14">
        <f>E14</f>
        <v/>
      </c>
      <c r="F49" s="14">
        <f>F14</f>
        <v/>
      </c>
    </row>
    <row r="50">
      <c r="A50" s="6" t="inlineStr">
        <is>
          <t>Add back project capital not spent</t>
        </is>
      </c>
      <c r="B50" s="14">
        <f>+'Assumptions'!C115</f>
        <v/>
      </c>
      <c r="C50" s="14">
        <f>+'Assumptions'!C116</f>
        <v/>
      </c>
      <c r="D50" s="14">
        <f>+'Assumptions'!C117</f>
        <v/>
      </c>
      <c r="E50" s="14">
        <f>+'Assumptions'!C118</f>
        <v/>
      </c>
      <c r="F50" s="14">
        <f>+'Assumptions'!C119</f>
        <v/>
      </c>
    </row>
    <row r="51">
      <c r="A51" s="6" t="inlineStr">
        <is>
          <t>Less the wind-down cost</t>
        </is>
      </c>
      <c r="B51" s="14">
        <f>-'Assumptions'!C128</f>
        <v/>
      </c>
      <c r="C51" s="14">
        <f>0</f>
        <v/>
      </c>
      <c r="D51" s="14">
        <f>0</f>
        <v/>
      </c>
      <c r="E51" s="14">
        <f>0</f>
        <v/>
      </c>
      <c r="F51" s="14">
        <f>0</f>
        <v/>
      </c>
    </row>
    <row r="52">
      <c r="A52" s="6" t="inlineStr">
        <is>
          <t>Less the tax shield on depreciation never incurred</t>
        </is>
      </c>
      <c r="B52" s="14">
        <f>0</f>
        <v/>
      </c>
      <c r="C52" s="14">
        <f>-SUM('Assumptions'!C115:C115)*'Assumptions'!C121*'Assumptions'!C99</f>
        <v/>
      </c>
      <c r="D52" s="14">
        <f>-SUM('Assumptions'!C115:C116)*'Assumptions'!C121*'Assumptions'!C99</f>
        <v/>
      </c>
      <c r="E52" s="14">
        <f>-SUM('Assumptions'!C115:C117)*'Assumptions'!C121*'Assumptions'!C99</f>
        <v/>
      </c>
      <c r="F52" s="14">
        <f>-SUM('Assumptions'!C115:C118)*'Assumptions'!C121*'Assumptions'!C99</f>
        <v/>
      </c>
    </row>
    <row r="53">
      <c r="A53" s="6" t="inlineStr">
        <is>
          <t>FREE CASH FLOW, PROGRAMME STOPPED</t>
        </is>
      </c>
      <c r="B53" s="14">
        <f>B49+B50+B51+B52</f>
        <v/>
      </c>
      <c r="C53" s="14">
        <f>C49+C50+C51+C52</f>
        <v/>
      </c>
      <c r="D53" s="14">
        <f>D49+D50+D51+D52</f>
        <v/>
      </c>
      <c r="E53" s="14">
        <f>E49+E50+E51+E52</f>
        <v/>
      </c>
      <c r="F53" s="14">
        <f>F49+F50+F51+F52</f>
        <v/>
      </c>
    </row>
    <row r="54">
      <c r="A54" s="6" t="inlineStr">
        <is>
          <t>Present value</t>
        </is>
      </c>
      <c r="B54" s="14">
        <f>B53*B16</f>
        <v/>
      </c>
      <c r="C54" s="14">
        <f>C53*C16</f>
        <v/>
      </c>
      <c r="D54" s="14">
        <f>D53*D16</f>
        <v/>
      </c>
      <c r="E54" s="14">
        <f>E53*E16</f>
        <v/>
      </c>
      <c r="F54" s="14">
        <f>F53*F16</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INCOME STATEMENT — THREE YEARS HISTORICAL, FIVE YEARS FORECAST</t>
        </is>
      </c>
    </row>
    <row r="2" ht="30" customHeight="1">
      <c r="A2" s="4" t="inlineStr">
        <is>
          <t>History is carried exactly as issued. The forecast is a formula reading the unit build.</t>
        </is>
      </c>
    </row>
    <row r="4">
      <c r="A4" s="5" t="inlineStr">
        <is>
          <t>EGP million</t>
        </is>
      </c>
      <c r="B4" s="5" t="inlineStr">
        <is>
          <t>FY2022/23</t>
        </is>
      </c>
      <c r="C4" s="5" t="inlineStr">
        <is>
          <t>FY2023/24</t>
        </is>
      </c>
      <c r="D4" s="5" t="inlineStr">
        <is>
          <t>FY2024/25</t>
        </is>
      </c>
      <c r="E4" s="5" t="inlineStr">
        <is>
          <t>FY2025/26E</t>
        </is>
      </c>
      <c r="F4" s="5" t="inlineStr">
        <is>
          <t>FY2026/27</t>
        </is>
      </c>
      <c r="G4" s="5" t="inlineStr">
        <is>
          <t>FY2027/28</t>
        </is>
      </c>
      <c r="H4" s="5" t="inlineStr">
        <is>
          <t>FY2028/29</t>
        </is>
      </c>
      <c r="I4" s="5" t="inlineStr">
        <is>
          <t>FY2029/30</t>
        </is>
      </c>
      <c r="J4" s="5" t="inlineStr">
        <is>
          <t>FY2030/31</t>
        </is>
      </c>
    </row>
    <row r="5">
      <c r="A5" s="6" t="inlineStr">
        <is>
          <t>Revenue</t>
        </is>
      </c>
      <c r="B5" s="13" t="n">
        <v>6612.226</v>
      </c>
      <c r="C5" s="13" t="n">
        <v>6532.126</v>
      </c>
      <c r="D5" s="13" t="n">
        <v>8602.606</v>
      </c>
      <c r="E5" s="13" t="n">
        <v>10378.73038</v>
      </c>
      <c r="F5" s="24">
        <f>'Segments'!B18</f>
        <v/>
      </c>
      <c r="G5" s="24">
        <f>'Segments'!C18</f>
        <v/>
      </c>
      <c r="H5" s="24">
        <f>'Segments'!D18</f>
        <v/>
      </c>
      <c r="I5" s="24">
        <f>'Segments'!E18</f>
        <v/>
      </c>
      <c r="J5" s="24">
        <f>'Segments'!F18</f>
        <v/>
      </c>
    </row>
    <row r="6">
      <c r="A6" s="6" t="inlineStr">
        <is>
          <t>Cost of sales</t>
        </is>
      </c>
      <c r="B6" s="13" t="n">
        <v>3574.483</v>
      </c>
      <c r="C6" s="13" t="n">
        <v>4395.788</v>
      </c>
      <c r="D6" s="13" t="n">
        <v>5300.31</v>
      </c>
      <c r="E6" s="13" t="n">
        <v>5825.213193060001</v>
      </c>
      <c r="F6" s="24">
        <f>'Segments'!B26</f>
        <v/>
      </c>
      <c r="G6" s="24">
        <f>'Segments'!C26</f>
        <v/>
      </c>
      <c r="H6" s="24">
        <f>'Segments'!D26</f>
        <v/>
      </c>
      <c r="I6" s="24">
        <f>'Segments'!E26</f>
        <v/>
      </c>
      <c r="J6" s="24">
        <f>'Segments'!F26</f>
        <v/>
      </c>
    </row>
    <row r="7">
      <c r="A7" s="6" t="inlineStr">
        <is>
          <t>Gross profit</t>
        </is>
      </c>
      <c r="B7" s="14">
        <f>B5-B6</f>
        <v/>
      </c>
      <c r="C7" s="14">
        <f>C5-C6</f>
        <v/>
      </c>
      <c r="D7" s="14">
        <f>D5-D6</f>
        <v/>
      </c>
      <c r="E7" s="14">
        <f>E5-E6</f>
        <v/>
      </c>
      <c r="F7" s="24">
        <f>'Segments'!B27</f>
        <v/>
      </c>
      <c r="G7" s="24">
        <f>'Segments'!C27</f>
        <v/>
      </c>
      <c r="H7" s="24">
        <f>'Segments'!D27</f>
        <v/>
      </c>
      <c r="I7" s="24">
        <f>'Segments'!E27</f>
        <v/>
      </c>
      <c r="J7" s="24">
        <f>'Segments'!F27</f>
        <v/>
      </c>
    </row>
    <row r="8">
      <c r="A8" s="6" t="inlineStr">
        <is>
          <t>Selling and distribution</t>
        </is>
      </c>
      <c r="B8" s="13" t="n">
        <v>473.72</v>
      </c>
      <c r="C8" s="13" t="n">
        <v>562.527</v>
      </c>
      <c r="D8" s="13" t="n">
        <v>786.463</v>
      </c>
      <c r="E8" s="13" t="n">
        <v>979.6093333333333</v>
      </c>
      <c r="F8" s="24">
        <f>'Segments'!B29+'Segments'!B30</f>
        <v/>
      </c>
      <c r="G8" s="24">
        <f>'Segments'!C29+'Segments'!C30</f>
        <v/>
      </c>
      <c r="H8" s="24">
        <f>'Segments'!D29+'Segments'!D30</f>
        <v/>
      </c>
      <c r="I8" s="24">
        <f>'Segments'!E29+'Segments'!E30</f>
        <v/>
      </c>
      <c r="J8" s="24">
        <f>'Segments'!F29+'Segments'!F30</f>
        <v/>
      </c>
    </row>
    <row r="9">
      <c r="A9" s="6" t="inlineStr">
        <is>
          <t>Administrative</t>
        </is>
      </c>
      <c r="B9" s="13" t="n">
        <v>188.851</v>
      </c>
      <c r="C9" s="13" t="n">
        <v>297.887</v>
      </c>
      <c r="D9" s="13" t="n">
        <v>359.624</v>
      </c>
      <c r="E9" s="13" t="n">
        <v>365.108</v>
      </c>
      <c r="F9" s="24">
        <f>'Segments'!B31</f>
        <v/>
      </c>
      <c r="G9" s="24">
        <f>'Segments'!C31</f>
        <v/>
      </c>
      <c r="H9" s="24">
        <f>'Segments'!D31</f>
        <v/>
      </c>
      <c r="I9" s="24">
        <f>'Segments'!E31</f>
        <v/>
      </c>
      <c r="J9" s="24">
        <f>'Segments'!F31</f>
        <v/>
      </c>
    </row>
    <row r="10">
      <c r="A10" s="6" t="inlineStr">
        <is>
          <t>EBIT before other items</t>
        </is>
      </c>
      <c r="B10" s="14">
        <f>B7-B8-B9</f>
        <v/>
      </c>
      <c r="C10" s="14">
        <f>C7-C8-C9</f>
        <v/>
      </c>
      <c r="D10" s="14">
        <f>D7-D8-D9</f>
        <v/>
      </c>
      <c r="E10" s="14">
        <f>E7-E8-E9</f>
        <v/>
      </c>
      <c r="F10" s="24">
        <f>'Segments'!B33</f>
        <v/>
      </c>
      <c r="G10" s="24">
        <f>'Segments'!C33</f>
        <v/>
      </c>
      <c r="H10" s="24">
        <f>'Segments'!D33</f>
        <v/>
      </c>
      <c r="I10" s="24">
        <f>'Segments'!E33</f>
        <v/>
      </c>
      <c r="J10" s="24">
        <f>'Segments'!F33</f>
        <v/>
      </c>
    </row>
    <row r="11">
      <c r="A11" s="6" t="inlineStr">
        <is>
          <t>Depreciation and amortisation</t>
        </is>
      </c>
      <c r="B11" s="13" t="n">
        <v>719.213</v>
      </c>
      <c r="C11" s="13" t="n">
        <v>772.634</v>
      </c>
      <c r="D11" s="13" t="n">
        <v>895.849</v>
      </c>
      <c r="E11" s="13" t="n">
        <v>890.591</v>
      </c>
      <c r="F11" s="24">
        <f>'Segments'!B25</f>
        <v/>
      </c>
      <c r="G11" s="24">
        <f>'Segments'!C25</f>
        <v/>
      </c>
      <c r="H11" s="24">
        <f>'Segments'!D25</f>
        <v/>
      </c>
      <c r="I11" s="24">
        <f>'Segments'!E25</f>
        <v/>
      </c>
      <c r="J11" s="24">
        <f>'Segments'!F25</f>
        <v/>
      </c>
    </row>
    <row r="12">
      <c r="A12" s="6" t="inlineStr">
        <is>
          <t>EBITDA</t>
        </is>
      </c>
      <c r="B12" s="14">
        <f>B10+B11</f>
        <v/>
      </c>
      <c r="C12" s="14">
        <f>C10+C11</f>
        <v/>
      </c>
      <c r="D12" s="14">
        <f>D10+D11</f>
        <v/>
      </c>
      <c r="E12" s="14">
        <f>E10+E11</f>
        <v/>
      </c>
      <c r="F12" s="24">
        <f>'Segments'!B34</f>
        <v/>
      </c>
      <c r="G12" s="24">
        <f>'Segments'!C34</f>
        <v/>
      </c>
      <c r="H12" s="24">
        <f>'Segments'!D34</f>
        <v/>
      </c>
      <c r="I12" s="24">
        <f>'Segments'!E34</f>
        <v/>
      </c>
      <c r="J12" s="24">
        <f>'Segments'!F34</f>
        <v/>
      </c>
    </row>
    <row r="13">
      <c r="A13" s="6" t="inlineStr">
        <is>
          <t>Gross margin</t>
        </is>
      </c>
      <c r="B13" s="8">
        <f>B7/B5</f>
        <v/>
      </c>
      <c r="C13" s="8">
        <f>C7/C5</f>
        <v/>
      </c>
      <c r="D13" s="8">
        <f>D7/D5</f>
        <v/>
      </c>
      <c r="E13" s="8">
        <f>E7/E5</f>
        <v/>
      </c>
      <c r="F13" s="8">
        <f>F7/F5</f>
        <v/>
      </c>
      <c r="G13" s="8">
        <f>G7/G5</f>
        <v/>
      </c>
      <c r="H13" s="8">
        <f>H7/H5</f>
        <v/>
      </c>
      <c r="I13" s="8">
        <f>I7/I5</f>
        <v/>
      </c>
      <c r="J13" s="8">
        <f>J7/J5</f>
        <v/>
      </c>
    </row>
    <row r="14">
      <c r="A14" s="6" t="inlineStr">
        <is>
          <t>EBITDA margin</t>
        </is>
      </c>
      <c r="B14" s="8">
        <f>B12/B5</f>
        <v/>
      </c>
      <c r="C14" s="8">
        <f>C12/C5</f>
        <v/>
      </c>
      <c r="D14" s="8">
        <f>D12/D5</f>
        <v/>
      </c>
      <c r="E14" s="8">
        <f>E12/E5</f>
        <v/>
      </c>
      <c r="F14" s="8">
        <f>F12/F5</f>
        <v/>
      </c>
      <c r="G14" s="8">
        <f>G12/G5</f>
        <v/>
      </c>
      <c r="H14" s="8">
        <f>H12/H5</f>
        <v/>
      </c>
      <c r="I14" s="8">
        <f>I12/I5</f>
        <v/>
      </c>
      <c r="J14" s="8">
        <f>J12/J5</f>
        <v/>
      </c>
    </row>
    <row r="16">
      <c r="A16" s="6" t="inlineStr">
        <is>
          <t>Net profit as reported</t>
        </is>
      </c>
      <c r="B16" s="13" t="n">
        <v>1150.767</v>
      </c>
      <c r="C16" s="13" t="n">
        <v>2537.934</v>
      </c>
      <c r="D16" s="13" t="n">
        <v>986.9640000000001</v>
      </c>
      <c r="E16" s="13" t="n">
        <v>531.3099999999999</v>
      </c>
    </row>
    <row r="17">
      <c r="A17" s="6" t="inlineStr">
        <is>
          <t>Less one-off investment-property revaluation</t>
        </is>
      </c>
      <c r="C17" s="13" t="n">
        <v>2034.573</v>
      </c>
    </row>
    <row r="18">
      <c r="A18" s="6" t="inlineStr">
        <is>
          <t>Net profit, underlying</t>
        </is>
      </c>
      <c r="C18" s="14">
        <f>C16-C17</f>
        <v/>
      </c>
    </row>
    <row r="20" ht="52" customHeight="1">
      <c r="A20" s="18" t="inlineStr">
        <is>
          <t>The EBIT line is struck before provisions, currency translation and other income and expense, so it measures trading rather than the statements' own operating result, which mixes all three. FY2025/26 is nine months reviewed plus a fourth quarter run-rated on the third quarter, with the translation line set to zero: a swing on dollar debt is not forecastable and is carried as a sensitivity instead.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s>
  <sheetData>
    <row r="1">
      <c r="A1" s="1" t="inlineStr">
        <is>
          <t>BALANCE SHEET — AS ISSUED, AND ROLLED FORWARD</t>
        </is>
      </c>
    </row>
    <row r="2" ht="30" customHeight="1">
      <c r="A2" s="4" t="inlineStr">
        <is>
          <t>History exactly as issued at each reporting date. The forecast rolls property on capital expenditure less depreciation and working capital on the disclosed day counts.</t>
        </is>
      </c>
    </row>
    <row r="4">
      <c r="A4" s="5" t="inlineStr">
        <is>
          <t>EGP million</t>
        </is>
      </c>
      <c r="B4" s="5" t="inlineStr">
        <is>
          <t>30 Jun 2023</t>
        </is>
      </c>
      <c r="C4" s="5" t="inlineStr">
        <is>
          <t>30 Jun 2024</t>
        </is>
      </c>
      <c r="D4" s="5" t="inlineStr">
        <is>
          <t>30 Jun 2025</t>
        </is>
      </c>
      <c r="E4" s="5" t="inlineStr">
        <is>
          <t>31 Mar 2026</t>
        </is>
      </c>
    </row>
    <row r="5">
      <c r="A5" s="6" t="inlineStr">
        <is>
          <t>Net fixed assets</t>
        </is>
      </c>
      <c r="B5" s="13" t="n">
        <v>11300.438</v>
      </c>
      <c r="C5" s="13" t="n">
        <v>14144.067</v>
      </c>
      <c r="D5" s="13" t="n">
        <v>13587.193</v>
      </c>
      <c r="E5" s="13" t="n">
        <v>13057.606</v>
      </c>
    </row>
    <row r="6">
      <c r="A6" s="6" t="inlineStr">
        <is>
          <t>Construction in progress</t>
        </is>
      </c>
      <c r="B6" s="13" t="n">
        <v>56.405</v>
      </c>
      <c r="C6" s="13" t="n">
        <v>2535.135</v>
      </c>
      <c r="D6" s="13" t="n">
        <v>3790.155</v>
      </c>
      <c r="E6" s="13" t="n">
        <v>5653.51</v>
      </c>
    </row>
    <row r="7">
      <c r="A7" s="6" t="inlineStr">
        <is>
          <t>Investment property</t>
        </is>
      </c>
      <c r="B7" s="13" t="n">
        <v>0</v>
      </c>
      <c r="C7" s="13" t="n">
        <v>2034.589</v>
      </c>
      <c r="D7" s="13" t="n">
        <v>2160.62</v>
      </c>
      <c r="E7" s="13" t="n">
        <v>2155.061</v>
      </c>
    </row>
    <row r="8">
      <c r="A8" s="6" t="inlineStr">
        <is>
          <t>Investments at fair value</t>
        </is>
      </c>
      <c r="B8" s="13" t="n">
        <v>1855.435</v>
      </c>
      <c r="C8" s="13" t="n">
        <v>2491.189</v>
      </c>
      <c r="D8" s="13" t="n">
        <v>2163.27</v>
      </c>
      <c r="E8" s="13" t="n">
        <v>1382.886</v>
      </c>
    </row>
    <row r="9">
      <c r="A9" s="6" t="inlineStr">
        <is>
          <t>Intangible assets</t>
        </is>
      </c>
      <c r="B9" s="13" t="n">
        <v>1908.612</v>
      </c>
      <c r="C9" s="13" t="n">
        <v>2376.211</v>
      </c>
      <c r="D9" s="13" t="n">
        <v>2256.834</v>
      </c>
      <c r="E9" s="13" t="n">
        <v>2170.5</v>
      </c>
    </row>
    <row r="10">
      <c r="A10" s="6" t="inlineStr">
        <is>
          <t>Inventory</t>
        </is>
      </c>
      <c r="B10" s="13" t="n">
        <v>1391.802</v>
      </c>
      <c r="C10" s="13" t="n">
        <v>1615.47</v>
      </c>
      <c r="D10" s="13" t="n">
        <v>2399.625</v>
      </c>
      <c r="E10" s="13" t="n">
        <v>3378.16</v>
      </c>
    </row>
    <row r="11">
      <c r="A11" s="6" t="inlineStr">
        <is>
          <t>Receivables</t>
        </is>
      </c>
      <c r="B11" s="13" t="n">
        <v>798.577</v>
      </c>
      <c r="C11" s="13" t="n">
        <v>858.39</v>
      </c>
      <c r="D11" s="13" t="n">
        <v>631.047</v>
      </c>
      <c r="E11" s="13" t="n">
        <v>1230.232</v>
      </c>
    </row>
    <row r="12">
      <c r="A12" s="6" t="inlineStr">
        <is>
          <t>Cash and equivalents</t>
        </is>
      </c>
      <c r="B12" s="13" t="n">
        <v>1416.243</v>
      </c>
      <c r="C12" s="13" t="n">
        <v>3103.365</v>
      </c>
      <c r="D12" s="13" t="n">
        <v>3057.028</v>
      </c>
      <c r="E12" s="13" t="n">
        <v>4606.522</v>
      </c>
    </row>
    <row r="13">
      <c r="A13" s="6" t="inlineStr">
        <is>
          <t>Total assets</t>
        </is>
      </c>
      <c r="B13" s="14">
        <f>SUM(B5:B12)</f>
        <v/>
      </c>
      <c r="C13" s="14">
        <f>SUM(C5:C12)</f>
        <v/>
      </c>
      <c r="D13" s="14">
        <f>SUM(D5:D12)</f>
        <v/>
      </c>
      <c r="E13" s="14">
        <f>SUM(E5:E12)</f>
        <v/>
      </c>
    </row>
    <row r="15">
      <c r="A15" s="6" t="inlineStr">
        <is>
          <t>Paid-in capital</t>
        </is>
      </c>
      <c r="B15" s="13" t="n">
        <v>5932.895</v>
      </c>
      <c r="C15" s="13" t="n">
        <v>9932.895</v>
      </c>
      <c r="D15" s="13" t="n">
        <v>9932.895</v>
      </c>
      <c r="E15" s="13" t="n">
        <v>9932.895</v>
      </c>
    </row>
    <row r="16">
      <c r="A16" s="6" t="inlineStr">
        <is>
          <t>Reserves and retained earnings</t>
        </is>
      </c>
      <c r="B16" s="13" t="n">
        <v>1316.686</v>
      </c>
      <c r="C16" s="13" t="n">
        <v>4627.209</v>
      </c>
      <c r="D16" s="13" t="n">
        <v>5430.17</v>
      </c>
      <c r="E16" s="13" t="n">
        <v>6273.191</v>
      </c>
    </row>
    <row r="17">
      <c r="A17" s="6" t="inlineStr">
        <is>
          <t>Long-term bank loans</t>
        </is>
      </c>
      <c r="B17" s="13" t="n">
        <v>8424.870999999999</v>
      </c>
      <c r="C17" s="13" t="n">
        <v>11226.246</v>
      </c>
      <c r="D17" s="13" t="n">
        <v>11183.315</v>
      </c>
      <c r="E17" s="13" t="n">
        <v>14386.056</v>
      </c>
    </row>
    <row r="18">
      <c r="A18" s="6" t="inlineStr">
        <is>
          <t>Holding-company loans</t>
        </is>
      </c>
      <c r="B18" s="13" t="n">
        <v>50.266</v>
      </c>
      <c r="C18" s="13" t="n">
        <v>0</v>
      </c>
      <c r="D18" s="13" t="n">
        <v>596.896</v>
      </c>
      <c r="E18" s="13" t="n">
        <v>45.955</v>
      </c>
    </row>
    <row r="19">
      <c r="A19" s="6" t="inlineStr">
        <is>
          <t>Deferred tax liability</t>
        </is>
      </c>
      <c r="B19" s="13" t="n">
        <v>1469.472</v>
      </c>
      <c r="C19" s="13" t="n">
        <v>1001.464</v>
      </c>
      <c r="D19" s="13" t="n">
        <v>990.8630000000001</v>
      </c>
      <c r="E19" s="13" t="n">
        <v>961.184</v>
      </c>
    </row>
    <row r="20">
      <c r="A20" s="6" t="inlineStr">
        <is>
          <t>Provisions</t>
        </is>
      </c>
      <c r="B20" s="13" t="n">
        <v>144.359</v>
      </c>
      <c r="C20" s="13" t="n">
        <v>432.156</v>
      </c>
      <c r="D20" s="13" t="n">
        <v>309.113</v>
      </c>
      <c r="E20" s="13" t="n">
        <v>291.769</v>
      </c>
    </row>
    <row r="21">
      <c r="A21" s="6" t="inlineStr">
        <is>
          <t>Payables and other</t>
        </is>
      </c>
      <c r="B21" s="13" t="n">
        <v>1367.845</v>
      </c>
      <c r="C21" s="13" t="n">
        <v>1587.001</v>
      </c>
      <c r="D21" s="13" t="n">
        <v>1207.768</v>
      </c>
      <c r="E21" s="13" t="n">
        <v>1538.968</v>
      </c>
    </row>
    <row r="22">
      <c r="A22" s="6" t="inlineStr">
        <is>
          <t>Current portion of long-term debt</t>
        </is>
      </c>
      <c r="B22" s="13" t="n">
        <v>21.391</v>
      </c>
      <c r="C22" s="13" t="n">
        <v>354.051</v>
      </c>
      <c r="D22" s="13" t="n">
        <v>397.314</v>
      </c>
      <c r="E22" s="13" t="n">
        <v>206.994</v>
      </c>
    </row>
    <row r="23">
      <c r="A23" s="6" t="inlineStr">
        <is>
          <t>Total equity and liabilities</t>
        </is>
      </c>
      <c r="B23" s="14">
        <f>SUM(B15:B22)</f>
        <v/>
      </c>
      <c r="C23" s="14">
        <f>SUM(C15:C22)</f>
        <v/>
      </c>
      <c r="D23" s="14">
        <f>SUM(D15:D22)</f>
        <v/>
      </c>
      <c r="E23" s="14">
        <f>SUM(E15:E22)</f>
        <v/>
      </c>
    </row>
    <row r="24">
      <c r="A24" s="6" t="inlineStr">
        <is>
          <t>Gross interest-bearing debt</t>
        </is>
      </c>
      <c r="B24" s="14">
        <f>B17+B18+B22</f>
        <v/>
      </c>
      <c r="C24" s="14">
        <f>C17+C18+C22</f>
        <v/>
      </c>
      <c r="D24" s="14">
        <f>D17+D18+D22</f>
        <v/>
      </c>
      <c r="E24" s="14">
        <f>E17+E18+E22</f>
        <v/>
      </c>
    </row>
    <row r="25">
      <c r="A25" s="6" t="inlineStr">
        <is>
          <t>Net debt</t>
        </is>
      </c>
      <c r="B25" s="14">
        <f>B24-B12</f>
        <v/>
      </c>
      <c r="C25" s="14">
        <f>C24-C12</f>
        <v/>
      </c>
      <c r="D25" s="14">
        <f>D24-D12</f>
        <v/>
      </c>
      <c r="E25" s="14">
        <f>E24-E12</f>
        <v/>
      </c>
    </row>
    <row r="27">
      <c r="A27" s="10" t="inlineStr">
        <is>
          <t>FORECAST ROLL-FORWARD</t>
        </is>
      </c>
    </row>
    <row r="28">
      <c r="A28" s="5" t="inlineStr">
        <is>
          <t>EGP million</t>
        </is>
      </c>
      <c r="B28" s="5" t="inlineStr">
        <is>
          <t>FY2026/27</t>
        </is>
      </c>
      <c r="C28" s="5" t="inlineStr">
        <is>
          <t>FY2027/28</t>
        </is>
      </c>
      <c r="D28" s="5" t="inlineStr">
        <is>
          <t>FY2028/29</t>
        </is>
      </c>
      <c r="E28" s="5" t="inlineStr">
        <is>
          <t>FY2029/30</t>
        </is>
      </c>
      <c r="F28" s="5" t="inlineStr">
        <is>
          <t>FY2030/31</t>
        </is>
      </c>
    </row>
    <row r="29">
      <c r="A29" s="6" t="inlineStr">
        <is>
          <t>Property and construction, opening</t>
        </is>
      </c>
      <c r="B29" s="13" t="n">
        <v>18711.116</v>
      </c>
      <c r="C29" s="14">
        <f>B32</f>
        <v/>
      </c>
      <c r="D29" s="14">
        <f>C32</f>
        <v/>
      </c>
      <c r="E29" s="14">
        <f>D32</f>
        <v/>
      </c>
      <c r="F29" s="14">
        <f>E32</f>
        <v/>
      </c>
    </row>
    <row r="30">
      <c r="A30" s="6" t="inlineStr">
        <is>
          <t>Capital expenditure</t>
        </is>
      </c>
      <c r="B30" s="24">
        <f>-'DCF'!B12</f>
        <v/>
      </c>
      <c r="C30" s="24">
        <f>-'DCF'!C12</f>
        <v/>
      </c>
      <c r="D30" s="24">
        <f>-'DCF'!D12</f>
        <v/>
      </c>
      <c r="E30" s="24">
        <f>-'DCF'!E12</f>
        <v/>
      </c>
      <c r="F30" s="24">
        <f>-'DCF'!F12</f>
        <v/>
      </c>
    </row>
    <row r="31">
      <c r="A31" s="6" t="inlineStr">
        <is>
          <t>Depreciation and amortisation</t>
        </is>
      </c>
      <c r="B31" s="24">
        <f>'Segments'!B25</f>
        <v/>
      </c>
      <c r="C31" s="24">
        <f>'Segments'!C25</f>
        <v/>
      </c>
      <c r="D31" s="24">
        <f>'Segments'!D25</f>
        <v/>
      </c>
      <c r="E31" s="24">
        <f>'Segments'!E25</f>
        <v/>
      </c>
      <c r="F31" s="24">
        <f>'Segments'!F25</f>
        <v/>
      </c>
    </row>
    <row r="32">
      <c r="A32" s="6" t="inlineStr">
        <is>
          <t>Property and construction, closing</t>
        </is>
      </c>
      <c r="B32" s="14">
        <f>B29+B30-B31</f>
        <v/>
      </c>
      <c r="C32" s="14">
        <f>C29+C30-C31</f>
        <v/>
      </c>
      <c r="D32" s="14">
        <f>D29+D30-D31</f>
        <v/>
      </c>
      <c r="E32" s="14">
        <f>E29+E30-E31</f>
        <v/>
      </c>
      <c r="F32" s="14">
        <f>F29+F30-F31</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46" customWidth="1" min="5" max="5"/>
    <col width="14" customWidth="1" min="6" max="6"/>
  </cols>
  <sheetData>
    <row r="1">
      <c r="A1" s="1" t="inlineStr">
        <is>
          <t>CASH FLOW — WORKING CAPITAL FROM THE DISCLOSED DAY COUNTS</t>
        </is>
      </c>
    </row>
    <row r="2" ht="30" customHeight="1">
      <c r="A2" s="4" t="inlineStr">
        <is>
          <t>No plugs: receivables, inventory and payables are projected from the day counts the audited statements themselves imply, and the change feeds the free-cash-flow waterfall.</t>
        </is>
      </c>
    </row>
    <row r="4">
      <c r="A4" s="5" t="inlineStr">
        <is>
          <t>EGP million</t>
        </is>
      </c>
      <c r="B4" s="5" t="inlineStr">
        <is>
          <t>FY2026/27</t>
        </is>
      </c>
      <c r="C4" s="5" t="inlineStr">
        <is>
          <t>FY2027/28</t>
        </is>
      </c>
      <c r="D4" s="5" t="inlineStr">
        <is>
          <t>FY2028/29</t>
        </is>
      </c>
      <c r="E4" s="5" t="inlineStr">
        <is>
          <t>FY2029/30</t>
        </is>
      </c>
      <c r="F4" s="5" t="inlineStr">
        <is>
          <t>FY2030/31</t>
        </is>
      </c>
    </row>
    <row r="5">
      <c r="A5" s="6" t="inlineStr">
        <is>
          <t>Revenue</t>
        </is>
      </c>
      <c r="B5" s="24">
        <f>'Segments'!B18</f>
        <v/>
      </c>
      <c r="C5" s="24">
        <f>'Segments'!C18</f>
        <v/>
      </c>
      <c r="D5" s="24">
        <f>'Segments'!D18</f>
        <v/>
      </c>
      <c r="E5" s="24">
        <f>'Segments'!E18</f>
        <v/>
      </c>
      <c r="F5" s="24">
        <f>'Segments'!F18</f>
        <v/>
      </c>
    </row>
    <row r="6">
      <c r="A6" s="6" t="inlineStr">
        <is>
          <t>Cost of sales</t>
        </is>
      </c>
      <c r="B6" s="24">
        <f>'Segments'!B26</f>
        <v/>
      </c>
      <c r="C6" s="24">
        <f>'Segments'!C26</f>
        <v/>
      </c>
      <c r="D6" s="24">
        <f>'Segments'!D26</f>
        <v/>
      </c>
      <c r="E6" s="24">
        <f>'Segments'!E26</f>
        <v/>
      </c>
      <c r="F6" s="24">
        <f>'Segments'!F26</f>
        <v/>
      </c>
    </row>
    <row r="7">
      <c r="A7" s="6" t="inlineStr">
        <is>
          <t>Receivables</t>
        </is>
      </c>
      <c r="B7" s="14">
        <f>B5*'Assumptions'!C135/365</f>
        <v/>
      </c>
      <c r="C7" s="14">
        <f>C5*'Assumptions'!C135/365</f>
        <v/>
      </c>
      <c r="D7" s="14">
        <f>D5*'Assumptions'!C135/365</f>
        <v/>
      </c>
      <c r="E7" s="14">
        <f>E5*'Assumptions'!C135/365</f>
        <v/>
      </c>
      <c r="F7" s="14">
        <f>F5*'Assumptions'!C135/365</f>
        <v/>
      </c>
    </row>
    <row r="8">
      <c r="A8" s="6" t="inlineStr">
        <is>
          <t>Inventory</t>
        </is>
      </c>
      <c r="B8" s="14">
        <f>B6*'Assumptions'!C136/365</f>
        <v/>
      </c>
      <c r="C8" s="14">
        <f>C6*'Assumptions'!C136/365</f>
        <v/>
      </c>
      <c r="D8" s="14">
        <f>D6*'Assumptions'!C136/365</f>
        <v/>
      </c>
      <c r="E8" s="14">
        <f>E6*'Assumptions'!C136/365</f>
        <v/>
      </c>
      <c r="F8" s="14">
        <f>F6*'Assumptions'!C136/365</f>
        <v/>
      </c>
    </row>
    <row r="9">
      <c r="A9" s="6" t="inlineStr">
        <is>
          <t>Payables</t>
        </is>
      </c>
      <c r="B9" s="14">
        <f>B6*'Assumptions'!C137/365</f>
        <v/>
      </c>
      <c r="C9" s="14">
        <f>C6*'Assumptions'!C137/365</f>
        <v/>
      </c>
      <c r="D9" s="14">
        <f>D6*'Assumptions'!C137/365</f>
        <v/>
      </c>
      <c r="E9" s="14">
        <f>E6*'Assumptions'!C137/365</f>
        <v/>
      </c>
      <c r="F9" s="14">
        <f>F6*'Assumptions'!C137/365</f>
        <v/>
      </c>
    </row>
    <row r="10">
      <c r="A10" s="6" t="inlineStr">
        <is>
          <t>Net working capital</t>
        </is>
      </c>
      <c r="B10" s="14">
        <f>B7+B8-B9</f>
        <v/>
      </c>
      <c r="C10" s="14">
        <f>C7+C8-C9</f>
        <v/>
      </c>
      <c r="D10" s="14">
        <f>D7+D8-D9</f>
        <v/>
      </c>
      <c r="E10" s="14">
        <f>E7+E8-E9</f>
        <v/>
      </c>
      <c r="F10" s="14">
        <f>F7+F8-F9</f>
        <v/>
      </c>
    </row>
    <row r="11">
      <c r="A11" s="6" t="inlineStr">
        <is>
          <t>Opening net working capital, 31 March 2026 as reported</t>
        </is>
      </c>
      <c r="B11" s="13" t="n">
        <v>3069.424</v>
      </c>
    </row>
    <row r="12">
      <c r="A12" s="6" t="inlineStr">
        <is>
          <t>Change in net working capital</t>
        </is>
      </c>
      <c r="B12" s="14">
        <f>B10-B11</f>
        <v/>
      </c>
      <c r="C12" s="14">
        <f>C10-B10</f>
        <v/>
      </c>
      <c r="D12" s="14">
        <f>D10-C10</f>
        <v/>
      </c>
      <c r="E12" s="14">
        <f>E10-D10</f>
        <v/>
      </c>
      <c r="F12" s="14">
        <f>F10-E10</f>
        <v/>
      </c>
    </row>
    <row r="14">
      <c r="A14" s="10" t="inlineStr">
        <is>
          <t>Free cash flow to the firm</t>
        </is>
      </c>
      <c r="B14" s="24">
        <f>'DCF'!B14</f>
        <v/>
      </c>
      <c r="C14" s="24">
        <f>'DCF'!C14</f>
        <v/>
      </c>
      <c r="D14" s="24">
        <f>'DCF'!D14</f>
        <v/>
      </c>
      <c r="E14" s="24">
        <f>'DCF'!E14</f>
        <v/>
      </c>
      <c r="F14" s="24">
        <f>'DCF'!F14</f>
        <v/>
      </c>
    </row>
    <row r="20">
      <c r="A20" s="10" t="inlineStr">
        <is>
          <t>CAPITAL EXPENDITURE RECORD — WHAT THE COMPANY ACTUALLY SPENDS</t>
        </is>
      </c>
    </row>
    <row r="21">
      <c r="A21" s="5" t="inlineStr">
        <is>
          <t>Year</t>
        </is>
      </c>
      <c r="B21" s="5" t="inlineStr">
        <is>
          <t>Capital expenditure paid (EGP m)</t>
        </is>
      </c>
      <c r="C21" s="5" t="inlineStr">
        <is>
          <t>Revenue (EGP m)</t>
        </is>
      </c>
      <c r="D21" s="5" t="inlineStr">
        <is>
          <t>Of revenue</t>
        </is>
      </c>
      <c r="E21" s="5" t="inlineStr">
        <is>
          <t>What it was</t>
        </is>
      </c>
    </row>
    <row r="22">
      <c r="A22" s="6" t="inlineStr">
        <is>
          <t>FY2021/22</t>
        </is>
      </c>
      <c r="B22" s="20" t="n">
        <v>80.847245</v>
      </c>
      <c r="C22" s="13" t="n">
        <v>4440.701</v>
      </c>
      <c r="D22" s="8">
        <f>B22/C22</f>
        <v/>
      </c>
      <c r="E22" s="6" t="inlineStr">
        <is>
          <t>Before the project</t>
        </is>
      </c>
    </row>
    <row r="23">
      <c r="A23" s="6" t="inlineStr">
        <is>
          <t>FY2022/23</t>
        </is>
      </c>
      <c r="B23" s="20" t="n">
        <v>42.470154</v>
      </c>
      <c r="C23" s="13" t="n">
        <v>6612.226</v>
      </c>
      <c r="D23" s="8">
        <f>B23/C23</f>
        <v/>
      </c>
      <c r="E23" s="6" t="inlineStr">
        <is>
          <t>Before the project</t>
        </is>
      </c>
    </row>
    <row r="24">
      <c r="A24" s="6" t="inlineStr">
        <is>
          <t>FY2023/24</t>
        </is>
      </c>
      <c r="B24" s="20" t="n">
        <v>2396.608259</v>
      </c>
      <c r="C24" s="13" t="n">
        <v>6532.126</v>
      </c>
      <c r="D24" s="8">
        <f>B24/C24</f>
        <v/>
      </c>
      <c r="E24" s="6" t="inlineStr">
        <is>
          <t>The build begins</t>
        </is>
      </c>
    </row>
    <row r="25">
      <c r="A25" s="6" t="inlineStr">
        <is>
          <t>FY2024/25</t>
        </is>
      </c>
      <c r="B25" s="20" t="n">
        <v>1545.053761</v>
      </c>
      <c r="C25" s="13" t="n">
        <v>8602.606</v>
      </c>
      <c r="D25" s="8">
        <f>B25/C25</f>
        <v/>
      </c>
      <c r="E25" s="6" t="inlineStr">
        <is>
          <t>Building</t>
        </is>
      </c>
    </row>
    <row r="26">
      <c r="A26" s="6" t="inlineStr">
        <is>
          <t>9M FY2025/26</t>
        </is>
      </c>
      <c r="B26" s="20" t="n">
        <v>1949.134461</v>
      </c>
      <c r="C26" s="13" t="n">
        <v>7314.933</v>
      </c>
      <c r="D26" s="8">
        <f>B26/C26</f>
        <v/>
      </c>
      <c r="E26" s="6" t="inlineStr">
        <is>
          <t>Nine months actual</t>
        </is>
      </c>
    </row>
    <row r="28">
      <c r="A28" s="6" t="inlineStr">
        <is>
          <t>Pre-project maintenance rate, the two clean years pooled</t>
        </is>
      </c>
      <c r="D28" s="15">
        <f>(B22+B23)/(C22+C23)</f>
        <v/>
      </c>
      <c r="E28" s="6" t="inlineStr">
        <is>
          <t>THE MAINTENANCE DRIVER. Assumptions reads this cell.</t>
        </is>
      </c>
    </row>
    <row r="29">
      <c r="A29" s="6" t="inlineStr">
        <is>
          <t>Replacement-rate framing, the published alternative</t>
        </is>
      </c>
      <c r="B29" s="13" t="n">
        <v>17022.493</v>
      </c>
      <c r="C29" s="23" t="n">
        <v>0.0395</v>
      </c>
      <c r="D29" s="8">
        <f>B29*C29/B5</f>
        <v/>
      </c>
      <c r="E29" s="6" t="inlineStr">
        <is>
          <t>Gross fixed assets at the disclosed machinery rate, over first-forecast-year revenue. NOT used in the valuation — the downside case, published beside the central and never averaged in.</t>
        </is>
      </c>
    </row>
    <row r="30">
      <c r="A30" s="6" t="inlineStr">
        <is>
          <t>Full-year project spend at the observed run rate</t>
        </is>
      </c>
      <c r="B30" s="26">
        <f>B26*4/3</f>
        <v/>
      </c>
      <c r="E30" s="6" t="inlineStr">
        <is>
          <t>THE PROJECT PATH'S FIRST YEAR. Assumptions reads this cell.</t>
        </is>
      </c>
    </row>
    <row r="31">
      <c r="A31" s="6" t="inlineStr">
        <is>
          <t>Rate when the facility was signed, 25 June 2025</t>
        </is>
      </c>
      <c r="B31" s="12" t="n">
        <v>50</v>
      </c>
      <c r="E31" s="6" t="inlineStr">
        <is>
          <t>EGP per US dollar</t>
        </is>
      </c>
    </row>
    <row r="32">
      <c r="A32" s="6" t="inlineStr">
        <is>
          <t>Approved cost of the programme (EGP m)</t>
        </is>
      </c>
      <c r="B32" s="13" t="n">
        <v>6422.418</v>
      </c>
      <c r="C32" s="20" t="n">
        <v>278.385</v>
      </c>
      <c r="D32" s="14">
        <f>B32+C32*B31</f>
        <v/>
      </c>
      <c r="E32" s="6" t="inlineStr">
        <is>
          <t>EGP tranche, dollar tranche, and the two in one currency</t>
        </is>
      </c>
    </row>
    <row r="33">
      <c r="A33" s="6" t="inlineStr">
        <is>
          <t>Spent by 31 March 2026 (construction in progress)</t>
        </is>
      </c>
      <c r="B33" s="13" t="n">
        <v>5653.51</v>
      </c>
    </row>
    <row r="34">
      <c r="A34" s="6" t="inlineStr">
        <is>
          <t>Still to spend</t>
        </is>
      </c>
      <c r="D34" s="14">
        <f>D32-B33</f>
        <v/>
      </c>
      <c r="E34" s="6" t="inlineStr">
        <is>
          <t>THE PROJECT PATH'S LAST YEAR is this less the four before it, so the path completes the programme by construction</t>
        </is>
      </c>
    </row>
    <row r="36" ht="39" customHeight="1">
      <c r="A36" s="18" t="inlineStr">
        <is>
          <t>The two shaded years at the top are the answer to the question this block exists to settle. With nothing being built, this plant cost EGP 80.8m and then EGP 42.5m a year to keep running. Everything above that is the new complex, and it stops when the complex is finished.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s>
  <sheetData>
    <row r="1">
      <c r="A1" s="1" t="inlineStr">
        <is>
          <t>SUMMARY FINANCIALS — THE WHOLE MODEL ON ONE PAGE</t>
        </is>
      </c>
    </row>
    <row r="4">
      <c r="A4" s="5" t="inlineStr">
        <is>
          <t>EGP million</t>
        </is>
      </c>
      <c r="B4" s="5" t="inlineStr">
        <is>
          <t>FY2026/27</t>
        </is>
      </c>
      <c r="C4" s="5" t="inlineStr">
        <is>
          <t>FY2027/28</t>
        </is>
      </c>
      <c r="D4" s="5" t="inlineStr">
        <is>
          <t>FY2028/29</t>
        </is>
      </c>
      <c r="E4" s="5" t="inlineStr">
        <is>
          <t>FY2029/30</t>
        </is>
      </c>
      <c r="F4" s="5" t="inlineStr">
        <is>
          <t>FY2030/31</t>
        </is>
      </c>
    </row>
    <row r="5">
      <c r="A5" s="6" t="inlineStr">
        <is>
          <t>Revenue</t>
        </is>
      </c>
      <c r="B5" s="24">
        <f>'DCF'!B5</f>
        <v/>
      </c>
      <c r="C5" s="24">
        <f>'DCF'!C5</f>
        <v/>
      </c>
      <c r="D5" s="24">
        <f>'DCF'!D5</f>
        <v/>
      </c>
      <c r="E5" s="24">
        <f>'DCF'!E5</f>
        <v/>
      </c>
      <c r="F5" s="24">
        <f>'DCF'!F5</f>
        <v/>
      </c>
    </row>
    <row r="6">
      <c r="A6" s="6" t="inlineStr">
        <is>
          <t>EBITDA</t>
        </is>
      </c>
      <c r="B6" s="24">
        <f>'DCF'!B6</f>
        <v/>
      </c>
      <c r="C6" s="24">
        <f>'DCF'!C6</f>
        <v/>
      </c>
      <c r="D6" s="24">
        <f>'DCF'!D6</f>
        <v/>
      </c>
      <c r="E6" s="24">
        <f>'DCF'!E6</f>
        <v/>
      </c>
      <c r="F6" s="24">
        <f>'DCF'!F6</f>
        <v/>
      </c>
    </row>
    <row r="7">
      <c r="A7" s="6" t="inlineStr">
        <is>
          <t>EBITDA margin</t>
        </is>
      </c>
      <c r="B7" s="25">
        <f>'DCF'!B7</f>
        <v/>
      </c>
      <c r="C7" s="25">
        <f>'DCF'!C7</f>
        <v/>
      </c>
      <c r="D7" s="25">
        <f>'DCF'!D7</f>
        <v/>
      </c>
      <c r="E7" s="25">
        <f>'DCF'!E7</f>
        <v/>
      </c>
      <c r="F7" s="25">
        <f>'DCF'!F7</f>
        <v/>
      </c>
    </row>
    <row r="8">
      <c r="A8" s="6" t="inlineStr">
        <is>
          <t>EBIT</t>
        </is>
      </c>
      <c r="B8" s="24">
        <f>'DCF'!B9</f>
        <v/>
      </c>
      <c r="C8" s="24">
        <f>'DCF'!C9</f>
        <v/>
      </c>
      <c r="D8" s="24">
        <f>'DCF'!D9</f>
        <v/>
      </c>
      <c r="E8" s="24">
        <f>'DCF'!E9</f>
        <v/>
      </c>
      <c r="F8" s="24">
        <f>'DCF'!F9</f>
        <v/>
      </c>
    </row>
    <row r="9">
      <c r="A9" s="6" t="inlineStr">
        <is>
          <t>NOPAT</t>
        </is>
      </c>
      <c r="B9" s="24">
        <f>'DCF'!B10</f>
        <v/>
      </c>
      <c r="C9" s="24">
        <f>'DCF'!C10</f>
        <v/>
      </c>
      <c r="D9" s="24">
        <f>'DCF'!D10</f>
        <v/>
      </c>
      <c r="E9" s="24">
        <f>'DCF'!E10</f>
        <v/>
      </c>
      <c r="F9" s="24">
        <f>'DCF'!F10</f>
        <v/>
      </c>
    </row>
    <row r="10">
      <c r="A10" s="6" t="inlineStr">
        <is>
          <t>Capital expenditure</t>
        </is>
      </c>
      <c r="B10" s="24">
        <f>-'DCF'!B12</f>
        <v/>
      </c>
      <c r="C10" s="24">
        <f>-'DCF'!C12</f>
        <v/>
      </c>
      <c r="D10" s="24">
        <f>-'DCF'!D12</f>
        <v/>
      </c>
      <c r="E10" s="24">
        <f>-'DCF'!E12</f>
        <v/>
      </c>
      <c r="F10" s="24">
        <f>-'DCF'!F12</f>
        <v/>
      </c>
    </row>
    <row r="11">
      <c r="A11" s="6" t="inlineStr">
        <is>
          <t>Free cash flow to the firm</t>
        </is>
      </c>
      <c r="B11" s="24">
        <f>'DCF'!B14</f>
        <v/>
      </c>
      <c r="C11" s="24">
        <f>'DCF'!C14</f>
        <v/>
      </c>
      <c r="D11" s="24">
        <f>'DCF'!D14</f>
        <v/>
      </c>
      <c r="E11" s="24">
        <f>'DCF'!E14</f>
        <v/>
      </c>
      <c r="F11" s="24">
        <f>'DCF'!F14</f>
        <v/>
      </c>
    </row>
    <row r="12">
      <c r="A12" s="6" t="inlineStr">
        <is>
          <t>Present value</t>
        </is>
      </c>
      <c r="B12" s="24">
        <f>'DCF'!B17</f>
        <v/>
      </c>
      <c r="C12" s="24">
        <f>'DCF'!C17</f>
        <v/>
      </c>
      <c r="D12" s="24">
        <f>'DCF'!D17</f>
        <v/>
      </c>
      <c r="E12" s="24">
        <f>'DCF'!E17</f>
        <v/>
      </c>
      <c r="F12" s="24">
        <f>'DCF'!F17</f>
        <v/>
      </c>
    </row>
    <row r="13">
      <c r="A13" s="6" t="inlineStr">
        <is>
          <t>Urea output (tonnes)</t>
        </is>
      </c>
      <c r="B13" s="24">
        <f>'Segments'!B5</f>
        <v/>
      </c>
      <c r="C13" s="24">
        <f>'Segments'!C5</f>
        <v/>
      </c>
      <c r="D13" s="24">
        <f>'Segments'!D5</f>
        <v/>
      </c>
      <c r="E13" s="24">
        <f>'Segments'!E5</f>
        <v/>
      </c>
      <c r="F13" s="24">
        <f>'Segments'!F5</f>
        <v/>
      </c>
    </row>
    <row r="14">
      <c r="A14" s="6" t="inlineStr">
        <is>
          <t>Export tonnes</t>
        </is>
      </c>
      <c r="B14" s="24">
        <f>'Segments'!B9</f>
        <v/>
      </c>
      <c r="C14" s="24">
        <f>'Segments'!C9</f>
        <v/>
      </c>
      <c r="D14" s="24">
        <f>'Segments'!D9</f>
        <v/>
      </c>
      <c r="E14" s="24">
        <f>'Segments'!E9</f>
        <v/>
      </c>
      <c r="F14" s="24">
        <f>'Segments'!F9</f>
        <v/>
      </c>
    </row>
    <row r="15">
      <c r="A15" s="6" t="inlineStr">
        <is>
          <t>Export price (US$/t)</t>
        </is>
      </c>
      <c r="B15" s="29">
        <f>'Assumptions'!C33</f>
        <v/>
      </c>
      <c r="C15" s="29">
        <f>'Assumptions'!C34</f>
        <v/>
      </c>
      <c r="D15" s="29">
        <f>'Assumptions'!C35</f>
        <v/>
      </c>
      <c r="E15" s="29">
        <f>'Assumptions'!C36</f>
        <v/>
      </c>
      <c r="F15" s="29">
        <f>'Assumptions'!C37</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22" customWidth="1" min="1" max="1"/>
    <col width="16" customWidth="1" min="2" max="2"/>
    <col width="16" customWidth="1" min="3" max="3"/>
    <col width="14" customWidth="1" min="4" max="4"/>
    <col width="14" customWidth="1" min="5" max="5"/>
  </cols>
  <sheetData>
    <row r="1">
      <c r="A1" s="1" t="inlineStr">
        <is>
          <t>PROBABILISTIC PRICE MAP — SIMULATION OUTPUT</t>
        </is>
      </c>
    </row>
    <row r="2" ht="30" customHeight="1">
      <c r="A2" s="4" t="inlineStr">
        <is>
          <t>PASTED CLASS 3. These are statistics of a fifty-thousand-path simulation of the traded price, run on the same cleaned price history the rest of the study uses. THIS SHEET DOES NOT REDRAW when a valuation driver changes: it is a map of where the price may go, not of what the business is worth.</t>
        </is>
      </c>
    </row>
    <row r="4">
      <c r="A4" s="5" t="inlineStr">
        <is>
          <t>Percentile</t>
        </is>
      </c>
      <c r="B4" s="5" t="inlineStr">
        <is>
          <t>One month (EGP)</t>
        </is>
      </c>
      <c r="C4" s="5" t="inlineStr">
        <is>
          <t>Three months (EGP)</t>
        </is>
      </c>
      <c r="D4" s="5" t="inlineStr">
        <is>
          <t>Against spot, 1M</t>
        </is>
      </c>
      <c r="E4" s="5" t="inlineStr">
        <is>
          <t>Against spot, 3M</t>
        </is>
      </c>
    </row>
    <row r="5">
      <c r="A5" s="6" t="inlineStr">
        <is>
          <t>Percentile 5</t>
        </is>
      </c>
      <c r="B5" s="12" t="n">
        <v>12.04</v>
      </c>
      <c r="C5" s="12" t="n">
        <v>10.69</v>
      </c>
      <c r="D5" s="8">
        <f>B5/$B$12-1</f>
        <v/>
      </c>
      <c r="E5" s="8">
        <f>C5/$B$12-1</f>
        <v/>
      </c>
    </row>
    <row r="6">
      <c r="A6" s="6" t="inlineStr">
        <is>
          <t>Percentile 25</t>
        </is>
      </c>
      <c r="B6" s="12" t="n">
        <v>13.35</v>
      </c>
      <c r="C6" s="12" t="n">
        <v>13.03</v>
      </c>
      <c r="D6" s="8">
        <f>B6/$B$12-1</f>
        <v/>
      </c>
      <c r="E6" s="8">
        <f>C6/$B$12-1</f>
        <v/>
      </c>
    </row>
    <row r="7">
      <c r="A7" s="6" t="inlineStr">
        <is>
          <t>Percentile 50</t>
        </is>
      </c>
      <c r="B7" s="12" t="n">
        <v>14.19</v>
      </c>
      <c r="C7" s="12" t="n">
        <v>14.64</v>
      </c>
      <c r="D7" s="8">
        <f>B7/$B$12-1</f>
        <v/>
      </c>
      <c r="E7" s="8">
        <f>C7/$B$12-1</f>
        <v/>
      </c>
    </row>
    <row r="8">
      <c r="A8" s="6" t="inlineStr">
        <is>
          <t>Percentile 75</t>
        </is>
      </c>
      <c r="B8" s="12" t="n">
        <v>15.09</v>
      </c>
      <c r="C8" s="12" t="n">
        <v>16.43</v>
      </c>
      <c r="D8" s="8">
        <f>B8/$B$12-1</f>
        <v/>
      </c>
      <c r="E8" s="8">
        <f>C8/$B$12-1</f>
        <v/>
      </c>
    </row>
    <row r="9">
      <c r="A9" s="6" t="inlineStr">
        <is>
          <t>Percentile 95</t>
        </is>
      </c>
      <c r="B9" s="12" t="n">
        <v>16.73</v>
      </c>
      <c r="C9" s="12" t="n">
        <v>20.04</v>
      </c>
      <c r="D9" s="8">
        <f>B9/$B$12-1</f>
        <v/>
      </c>
      <c r="E9" s="8">
        <f>C9/$B$12-1</f>
        <v/>
      </c>
    </row>
    <row r="11">
      <c r="A11" s="6" t="inlineStr">
        <is>
          <t>Probability the price ends above today's</t>
        </is>
      </c>
      <c r="B11" s="15" t="n">
        <v>0.56706</v>
      </c>
      <c r="C11" s="15" t="n">
        <v>0.60656</v>
      </c>
    </row>
    <row r="12">
      <c r="A12" s="6" t="inlineStr">
        <is>
          <t>Spot at the anchor date</t>
        </is>
      </c>
      <c r="B12" s="12" t="n">
        <v>13.98</v>
      </c>
    </row>
    <row r="13">
      <c r="A13" s="6" t="inlineStr">
        <is>
          <t>Anchor date</t>
        </is>
      </c>
      <c r="B13" s="6" t="inlineStr">
        <is>
          <t>2026-08-06</t>
        </is>
      </c>
    </row>
    <row r="14">
      <c r="A14" s="6" t="inlineStr">
        <is>
          <t>Check date</t>
        </is>
      </c>
      <c r="B14" s="6" t="inlineStr">
        <is>
          <t>2026-09-06</t>
        </is>
      </c>
      <c r="C14" s="6" t="inlineStr">
        <is>
          <t>2026-11-08</t>
        </is>
      </c>
    </row>
    <row r="16">
      <c r="A16" s="10" t="inlineStr">
        <is>
          <t>LEVEL-TOUCH LADDER — probability the price TRADES THROUGH a level at any point before the check date</t>
        </is>
      </c>
    </row>
    <row r="17">
      <c r="A17" s="5" t="inlineStr">
        <is>
          <t>Level</t>
        </is>
      </c>
      <c r="B17" s="5" t="inlineStr">
        <is>
          <t>One month</t>
        </is>
      </c>
      <c r="C17" s="5" t="inlineStr">
        <is>
          <t>Three months</t>
        </is>
      </c>
    </row>
    <row r="18">
      <c r="A18" s="6" t="inlineStr">
        <is>
          <t>Up 5%</t>
        </is>
      </c>
      <c r="B18" s="15" t="n">
        <v>0.5606</v>
      </c>
      <c r="C18" s="15" t="n">
        <v>0.7869</v>
      </c>
    </row>
    <row r="19">
      <c r="A19" s="6" t="inlineStr">
        <is>
          <t>Up 10%</t>
        </is>
      </c>
      <c r="B19" s="15" t="n">
        <v>0.3006</v>
      </c>
      <c r="C19" s="15" t="n">
        <v>0.61668</v>
      </c>
    </row>
    <row r="20">
      <c r="A20" s="6" t="inlineStr">
        <is>
          <t>Up 15%</t>
        </is>
      </c>
      <c r="B20" s="15" t="n">
        <v>0.148</v>
      </c>
      <c r="C20" s="15" t="n">
        <v>0.47072</v>
      </c>
    </row>
    <row r="21">
      <c r="A21" s="6" t="inlineStr">
        <is>
          <t>Up 20%</t>
        </is>
      </c>
      <c r="B21" s="15" t="n">
        <v>0.07272000000000001</v>
      </c>
      <c r="C21" s="15" t="n">
        <v>0.34748</v>
      </c>
    </row>
    <row r="22">
      <c r="A22" s="6" t="inlineStr">
        <is>
          <t>Down 5%</t>
        </is>
      </c>
      <c r="B22" s="15" t="n">
        <v>0.4361</v>
      </c>
      <c r="C22" s="15" t="n">
        <v>0.6341599999999999</v>
      </c>
    </row>
    <row r="23">
      <c r="A23" s="6" t="inlineStr">
        <is>
          <t>Down 10%</t>
        </is>
      </c>
      <c r="B23" s="15" t="n">
        <v>0.1831</v>
      </c>
      <c r="C23" s="15" t="n">
        <v>0.40808</v>
      </c>
    </row>
    <row r="24">
      <c r="A24" s="6" t="inlineStr">
        <is>
          <t>Down 15%</t>
        </is>
      </c>
      <c r="B24" s="15" t="n">
        <v>0.06858</v>
      </c>
      <c r="C24" s="15" t="n">
        <v>0.24862</v>
      </c>
    </row>
    <row r="25">
      <c r="A25" s="6" t="inlineStr">
        <is>
          <t>Down 20%</t>
        </is>
      </c>
      <c r="B25" s="15" t="n">
        <v>0.02568</v>
      </c>
      <c r="C25" s="15" t="n">
        <v>0.14526</v>
      </c>
    </row>
    <row r="27" ht="52" customHeight="1">
      <c r="A27" s="18" t="inlineStr">
        <is>
          <t>How this was tested. The same method was run backwards over the company's own fifteen-year price history in non-overlapping three-month windows and scored against a random walk. Over the last five years of those windows it beat the random walk, and the outcomes fell across the predicted bands roughly evenly. The statistics are quoted in the study text.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42" customWidth="1" min="1" max="1"/>
    <col width="46" customWidth="1" min="2" max="2"/>
    <col width="13" customWidth="1" min="3" max="3"/>
    <col width="20" customWidth="1" min="4" max="4"/>
    <col width="15" customWidth="1" min="5" max="5"/>
    <col width="15" customWidth="1" min="6" max="6"/>
  </cols>
  <sheetData>
    <row r="1">
      <c r="A1" s="1" t="inlineStr">
        <is>
          <t>SENSITIVITY — WHOLE-MODEL RE-RUNS</t>
        </is>
      </c>
    </row>
    <row r="2" ht="30" customHeight="1">
      <c r="A2" s="4" t="inlineStr">
        <is>
          <t>PASTED CLASS 3. Each cell is a complete revaluation at that pair of inputs. THIS GRID DOES NOT REDRAW when a driver changes on Assumptions.</t>
        </is>
      </c>
    </row>
    <row r="4">
      <c r="A4" s="10" t="inlineStr">
        <is>
          <t>Value per share (EGP) — long-run export price against the terminal cost of capital</t>
        </is>
      </c>
    </row>
    <row r="5">
      <c r="B5" s="5" t="inlineStr">
        <is>
          <t>17.0% terminal</t>
        </is>
      </c>
      <c r="C5" s="5" t="inlineStr">
        <is>
          <t>18.5% terminal</t>
        </is>
      </c>
      <c r="D5" s="5" t="inlineStr">
        <is>
          <t>20.4% terminal</t>
        </is>
      </c>
      <c r="E5" s="5" t="inlineStr">
        <is>
          <t>22.0% terminal</t>
        </is>
      </c>
      <c r="F5" s="5" t="inlineStr">
        <is>
          <t>24.0% terminal</t>
        </is>
      </c>
    </row>
    <row r="6">
      <c r="A6" s="6" t="inlineStr">
        <is>
          <t>US$ 380/t long-run export price</t>
        </is>
      </c>
      <c r="B6" s="12" t="n">
        <v>-2.64</v>
      </c>
      <c r="C6" s="12" t="n">
        <v>-2.74</v>
      </c>
      <c r="D6" s="12" t="n">
        <v>-2.85</v>
      </c>
      <c r="E6" s="12" t="n">
        <v>-2.91</v>
      </c>
      <c r="F6" s="12" t="n">
        <v>-2.98</v>
      </c>
    </row>
    <row r="7">
      <c r="A7" s="6" t="inlineStr">
        <is>
          <t>US$ 420/t long-run export price</t>
        </is>
      </c>
      <c r="B7" s="12" t="n">
        <v>-1.06</v>
      </c>
      <c r="C7" s="12" t="n">
        <v>-1.25</v>
      </c>
      <c r="D7" s="12" t="n">
        <v>-1.44</v>
      </c>
      <c r="E7" s="12" t="n">
        <v>-1.56</v>
      </c>
      <c r="F7" s="12" t="n">
        <v>-1.69</v>
      </c>
    </row>
    <row r="8">
      <c r="A8" s="6" t="inlineStr">
        <is>
          <t>US$ 460/t long-run export price</t>
        </is>
      </c>
      <c r="B8" s="12" t="n">
        <v>0.52</v>
      </c>
      <c r="C8" s="12" t="n">
        <v>0.24</v>
      </c>
      <c r="D8" s="12" t="n">
        <v>-0.03</v>
      </c>
      <c r="E8" s="12" t="n">
        <v>-0.21</v>
      </c>
      <c r="F8" s="12" t="n">
        <v>-0.4</v>
      </c>
    </row>
    <row r="9">
      <c r="A9" s="6" t="inlineStr">
        <is>
          <t>US$ 500/t long-run export price</t>
        </is>
      </c>
      <c r="B9" s="12" t="n">
        <v>2.1</v>
      </c>
      <c r="C9" s="12" t="n">
        <v>1.73</v>
      </c>
      <c r="D9" s="12" t="n">
        <v>1.38</v>
      </c>
      <c r="E9" s="12" t="n">
        <v>1.14</v>
      </c>
      <c r="F9" s="12" t="n">
        <v>0.9</v>
      </c>
    </row>
    <row r="10">
      <c r="A10" s="6" t="inlineStr">
        <is>
          <t>US$ 540/t long-run export price</t>
        </is>
      </c>
      <c r="B10" s="12" t="n">
        <v>3.67</v>
      </c>
      <c r="C10" s="12" t="n">
        <v>3.23</v>
      </c>
      <c r="D10" s="12" t="n">
        <v>2.79</v>
      </c>
      <c r="E10" s="12" t="n">
        <v>2.49</v>
      </c>
      <c r="F10" s="12" t="n">
        <v>2.19</v>
      </c>
    </row>
    <row r="13" ht="52" customHeight="1">
      <c r="A13" s="18" t="inlineStr">
        <is>
          <t>The crux in observable units. Both inputs are observable rather than matters of opinion: the first prints daily on a listed futures contract, the second can be read against the sovereign's own borrowing cost. A reader who believes urea holds above US$540 for a decade, or that Egyptian equity risk clears below its sovereign, is reading a different cell rather than disagreeing with the arithmetic.</t>
        </is>
      </c>
    </row>
    <row r="15">
      <c r="A15" s="10" t="inlineStr">
        <is>
          <t>THE CONTESTED CONSTRUCTIONS — one component moved, model re-run</t>
        </is>
      </c>
      <c r="C15" s="6" t="inlineStr">
        <is>
          <t>The published answer</t>
        </is>
      </c>
      <c r="D15" s="11">
        <f>'DCF'!B44</f>
        <v/>
      </c>
    </row>
    <row r="16">
      <c r="A16" s="5" t="inlineStr">
        <is>
          <t>Choice made</t>
        </is>
      </c>
      <c r="B16" s="5" t="inlineStr">
        <is>
          <t>The alternative</t>
        </is>
      </c>
      <c r="C16" s="5" t="inlineStr">
        <is>
          <t>EGP/share</t>
        </is>
      </c>
      <c r="D16" s="5" t="inlineStr">
        <is>
          <t>Against the published</t>
        </is>
      </c>
    </row>
    <row r="17" ht="26" customHeight="1">
      <c r="A17" s="9" t="inlineStr">
        <is>
          <t>Country risk priced off the sovereign's credit rating</t>
        </is>
      </c>
      <c r="B17" s="9" t="inlineStr">
        <is>
          <t>Priced off the sovereign's traded default swap instead, which is the narrower of the two spreads</t>
        </is>
      </c>
      <c r="C17" s="12" t="n">
        <v>-0.01815018750557796</v>
      </c>
      <c r="D17" s="11">
        <f>C17-$D$15</f>
        <v/>
      </c>
    </row>
    <row r="18" ht="26" customHeight="1">
      <c r="A18" s="9" t="inlineStr">
        <is>
          <t>A cost of capital that glides from its spot build to a terminal rate made from its own long-run components</t>
        </is>
      </c>
      <c r="B18" s="9" t="inlineStr">
        <is>
          <t>One flat spot rate applied to every explicit year and to the perpetuity</t>
        </is>
      </c>
      <c r="C18" s="12" t="n">
        <v>-1.167721151771788</v>
      </c>
      <c r="D18" s="11">
        <f>C18-$D$15</f>
        <v/>
      </c>
    </row>
    <row r="19" ht="26" customHeight="1">
      <c r="A19" s="9" t="inlineStr">
        <is>
          <t>Terminal growth at the central bank's medium-term inflation target</t>
        </is>
      </c>
      <c r="B19" s="9" t="inlineStr">
        <is>
          <t>Two percentage points below it, which is negative real maintenance growth</t>
        </is>
      </c>
      <c r="C19" s="12" t="n">
        <v>-0.6670929341943478</v>
      </c>
      <c r="D19" s="11">
        <f>C19-$D$15</f>
        <v/>
      </c>
    </row>
    <row r="20" ht="26" customHeight="1">
      <c r="A20" s="9" t="inlineStr">
        <is>
          <t>Beta from the five-year weekly regression of the share against its own local index</t>
        </is>
      </c>
      <c r="B20" s="9" t="inlineStr">
        <is>
          <t>The Dimson sum-beta from the same regression, which corrects for co-movement booked late because the share does not trade every session</t>
        </is>
      </c>
      <c r="C20" s="12" t="n">
        <v>-0.1993221562101967</v>
      </c>
      <c r="D20" s="11">
        <f>C20-$D$15</f>
        <v/>
      </c>
    </row>
    <row r="21" ht="26" customHeight="1">
      <c r="A21" s="9" t="inlineStr">
        <is>
          <t>Gas at the realised price the company's own loss disclosure implies</t>
        </is>
      </c>
      <c r="B21" s="9" t="inlineStr">
        <is>
          <t>The contract formula price in the operating agreement, which is higher</t>
        </is>
      </c>
      <c r="C21" s="12" t="n">
        <v>-2.553287069645033</v>
      </c>
      <c r="D21" s="11">
        <f>C21-$D$15</f>
        <v/>
      </c>
    </row>
    <row r="22" ht="26" customHeight="1">
      <c r="A22" s="9" t="inlineStr">
        <is>
          <t>The new complex earning at half its derived nameplate in the terminal year</t>
        </is>
      </c>
      <c r="B22" s="9" t="inlineStr">
        <is>
          <t>Seventy per cent, which is what a well-run nitrate line achieves</t>
        </is>
      </c>
      <c r="C22" s="12" t="n">
        <v>-0.4499628389347562</v>
      </c>
      <c r="D22" s="11">
        <f>C22-$D$15</f>
        <v/>
      </c>
    </row>
    <row r="23" ht="26" customHeight="1">
      <c r="A23" s="9" t="inlineStr">
        <is>
          <t>Maintenance capital expenditure at the company's own observed pre-project rate of 1.12% of revenue</t>
        </is>
      </c>
      <c r="B23" s="9" t="inlineStr">
        <is>
          <t>Replacement-rate maintenance: gross fixed assets at the disclosed 3.95% machinery depreciation rate, or 6.11% of revenue</t>
        </is>
      </c>
      <c r="C23" s="12" t="n">
        <v>-1.48122464015131</v>
      </c>
      <c r="D23" s="11">
        <f>C23-$D$15</f>
        <v/>
      </c>
    </row>
    <row r="24" ht="26" customHeight="1">
      <c r="A24" s="9" t="inlineStr">
        <is>
          <t>Terminal reinvestment of 38.9% of operating profit after tax, from growth over an 18% return on capital</t>
        </is>
      </c>
      <c r="B24" s="9" t="inlineStr">
        <is>
          <t>23.3%, from a 30% return on capital — the rate a newly completed plant earns on incremental capital while it is still filling</t>
        </is>
      </c>
      <c r="C24" s="12" t="n">
        <v>-0.4056928790197533</v>
      </c>
      <c r="D24" s="11">
        <f>C24-$D$15</f>
        <v/>
      </c>
    </row>
    <row r="25" ht="26" customHeight="1">
      <c r="A25" s="9" t="inlineStr">
        <is>
          <t>Project spending anchored on the observed run rate: the nine-month actual extended to a full year</t>
        </is>
      </c>
      <c r="B25" s="9" t="inlineStr">
        <is>
          <t>The faster profile the first issue of this study used, opening at EGP 3,000m</t>
        </is>
      </c>
      <c r="C25" s="12" t="n">
        <v>-0.8996788650758137</v>
      </c>
      <c r="D25" s="11">
        <f>C25-$D$15</f>
        <v/>
      </c>
    </row>
    <row r="27" ht="39" customHeight="1">
      <c r="A27" s="18" t="inlineStr">
        <is>
          <t>Each row is a complete re-run of the model through the same case machinery with one component moved and everything else held. Column C is pasted class 3 and DOES NOT REDRAW; column D is a formula against the published answer so the gap can never drift from the values beside it.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5" customWidth="1" min="2" max="2"/>
    <col width="62" customWidth="1" min="3" max="3"/>
  </cols>
  <sheetData>
    <row r="1">
      <c r="A1" s="1" t="inlineStr">
        <is>
          <t>PER-SHARE FIGURES AND RATIOS</t>
        </is>
      </c>
    </row>
    <row r="2" ht="30" customHeight="1">
      <c r="A2" s="4" t="inlineStr">
        <is>
          <t>Every line a formula.</t>
        </is>
      </c>
    </row>
    <row r="4">
      <c r="A4" s="5" t="inlineStr">
        <is>
          <t>Measure</t>
        </is>
      </c>
      <c r="B4" s="5" t="inlineStr">
        <is>
          <t>Value</t>
        </is>
      </c>
      <c r="C4" s="5" t="inlineStr">
        <is>
          <t>Basis</t>
        </is>
      </c>
    </row>
    <row r="5" ht="14" customHeight="1">
      <c r="A5" s="6" t="inlineStr">
        <is>
          <t>Book value per share (EGP)</t>
        </is>
      </c>
      <c r="B5" s="11">
        <f>'Fundamental Valuation'!B6</f>
        <v/>
      </c>
      <c r="C5" s="9" t="inlineStr">
        <is>
          <t>Paid-in capital plus reserves at 31 March 2026 over the share count</t>
        </is>
      </c>
    </row>
    <row r="6" ht="14" customHeight="1">
      <c r="A6" s="6" t="inlineStr">
        <is>
          <t>Price to book the market pays</t>
        </is>
      </c>
      <c r="B6" s="11">
        <f>'Summary'!B16/'Fundamental Valuation'!B5</f>
        <v/>
      </c>
      <c r="C6" s="9" t="inlineStr"/>
    </row>
    <row r="7" ht="14" customHeight="1">
      <c r="A7" s="6" t="inlineStr">
        <is>
          <t>Sustainable return on equity</t>
        </is>
      </c>
      <c r="B7" s="8">
        <f>'Fundamental Valuation'!B13</f>
        <v/>
      </c>
      <c r="C7" s="9" t="inlineStr">
        <is>
          <t>Two-year average on underlying profit</t>
        </is>
      </c>
    </row>
    <row r="8" ht="14" customHeight="1">
      <c r="A8" s="6" t="inlineStr">
        <is>
          <t>Cost of equity</t>
        </is>
      </c>
      <c r="B8" s="16">
        <f>'Assumptions'!C91</f>
        <v/>
      </c>
      <c r="C8" s="9" t="inlineStr">
        <is>
          <t>Built on the Assumptions sheet</t>
        </is>
      </c>
    </row>
    <row r="9" ht="14" customHeight="1">
      <c r="A9" s="6" t="inlineStr">
        <is>
          <t>The gap the company has to close</t>
        </is>
      </c>
      <c r="B9" s="8">
        <f>B8-B7</f>
        <v/>
      </c>
      <c r="C9" s="9" t="inlineStr">
        <is>
          <t>A company earning below its cost of equity destroys value by growing</t>
        </is>
      </c>
    </row>
    <row r="10" ht="14" customHeight="1">
      <c r="A10" s="6" t="inlineStr">
        <is>
          <t>Net debt to EBITDA, FY2026/27</t>
        </is>
      </c>
      <c r="B10" s="26">
        <f>'DCF'!B41/'DCF'!B6</f>
        <v/>
      </c>
      <c r="C10" s="9" t="inlineStr">
        <is>
          <t>On the forward year</t>
        </is>
      </c>
    </row>
    <row r="11" ht="14" customHeight="1">
      <c r="A11" s="6" t="inlineStr">
        <is>
          <t>Enterprise value to EBITDA at the model's value</t>
        </is>
      </c>
      <c r="B11" s="26">
        <f>'DCF'!B37/'DCF'!B6</f>
        <v/>
      </c>
      <c r="C11" s="9" t="inlineStr"/>
    </row>
    <row r="12" ht="14" customHeight="1">
      <c r="A12" s="6" t="inlineStr">
        <is>
          <t>Enterprise value to EBITDA at the market price</t>
        </is>
      </c>
      <c r="B12" s="26">
        <f>('Summary'!B16+'DCF'!B41)/'DCF'!B6</f>
        <v/>
      </c>
      <c r="C12" s="9" t="inlineStr"/>
    </row>
    <row r="13" ht="14" customHeight="1">
      <c r="A13" s="6" t="inlineStr">
        <is>
          <t>Free cash flow per share, FY2026/27 (EGP)</t>
        </is>
      </c>
      <c r="B13" s="11">
        <f>'DCF'!B14*1000000/'Assumptions'!C6</f>
        <v/>
      </c>
      <c r="C13" s="9" t="inlineStr"/>
    </row>
    <row r="14" ht="14" customHeight="1">
      <c r="A14" s="6" t="inlineStr">
        <is>
          <t>Free cash flow per share, FY2030/31 (EGP)</t>
        </is>
      </c>
      <c r="B14" s="11">
        <f>'DCF'!F14*1000000/'Assumptions'!C6</f>
        <v/>
      </c>
      <c r="C14" s="9" t="inlineStr"/>
    </row>
    <row r="15" ht="14" customHeight="1">
      <c r="A15" s="6" t="inlineStr">
        <is>
          <t>Dividend per share</t>
        </is>
      </c>
      <c r="B15" s="12" t="n">
        <v>0</v>
      </c>
      <c r="C15" s="9" t="inlineStr">
        <is>
          <t>#,##0.00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28" customWidth="1" min="1" max="1"/>
    <col width="12" customWidth="1" min="2" max="2"/>
    <col width="18" customWidth="1" min="3" max="3"/>
    <col width="24" customWidth="1" min="4" max="4"/>
    <col width="56" customWidth="1" min="5" max="5"/>
  </cols>
  <sheetData>
    <row r="1">
      <c r="A1" s="1" t="inlineStr">
        <is>
          <t>PEER FRAME AND SECTOR</t>
        </is>
      </c>
    </row>
    <row r="2" ht="30" customHeight="1">
      <c r="A2" s="4" t="inlineStr">
        <is>
          <t>Cross-check only. Peer data is never a source for this company's own reported history.</t>
        </is>
      </c>
    </row>
    <row r="4">
      <c r="A4" s="5" t="inlineStr">
        <is>
          <t>Company</t>
        </is>
      </c>
      <c r="B4" s="5" t="inlineStr">
        <is>
          <t>Market</t>
        </is>
      </c>
      <c r="C4" s="5" t="inlineStr">
        <is>
          <t>Urea capacity (kt/yr)</t>
        </is>
      </c>
      <c r="D4" s="5" t="inlineStr">
        <is>
          <t>Location</t>
        </is>
      </c>
      <c r="E4" s="5" t="inlineStr">
        <is>
          <t>Why it matters here</t>
        </is>
      </c>
    </row>
    <row r="5" ht="40" customHeight="1">
      <c r="A5" s="6" t="inlineStr">
        <is>
          <t>Egyptian Chemical Industries</t>
        </is>
      </c>
      <c r="B5" s="6" t="inlineStr">
        <is>
          <t>EGX</t>
        </is>
      </c>
      <c r="C5" s="13" t="n">
        <v>574.875</v>
      </c>
      <c r="D5" s="6" t="inlineStr">
        <is>
          <t>Aswan, 1,000 km inland</t>
        </is>
      </c>
      <c r="E5" s="9" t="inlineStr">
        <is>
          <t>The subject. The only Egyptian nitrogen producer off the coast, which is why freight to port is its own disclosed cost line.</t>
        </is>
      </c>
    </row>
    <row r="6" ht="40" customHeight="1">
      <c r="A6" s="6" t="inlineStr">
        <is>
          <t>Abu Qir Fertilizers</t>
        </is>
      </c>
      <c r="B6" s="6" t="inlineStr">
        <is>
          <t>EGX</t>
        </is>
      </c>
      <c r="C6" s="13" t="n">
        <v>2000</v>
      </c>
      <c r="D6" s="6" t="inlineStr">
        <is>
          <t>Alexandria, coastal</t>
        </is>
      </c>
      <c r="E6" s="9" t="inlineStr">
        <is>
          <t>The listed comparator, and the marketer of the subject's ammonia exports for a fee of 12% of the export price. The subject held 2.7% of it and began selling down.</t>
        </is>
      </c>
    </row>
    <row r="7" ht="40" customHeight="1">
      <c r="A7" s="6" t="inlineStr">
        <is>
          <t>MOPCO</t>
        </is>
      </c>
      <c r="B7" s="6" t="inlineStr">
        <is>
          <t>Unlisted</t>
        </is>
      </c>
      <c r="C7" s="13" t="n">
        <v>1800</v>
      </c>
      <c r="D7" s="6" t="inlineStr">
        <is>
          <t>Damietta, coastal</t>
        </is>
      </c>
      <c r="E7" s="9" t="inlineStr">
        <is>
          <t>Curtailed alongside the rest of the industry in the 2026 gas squeeze; the subject's own urea is warehoused at Damietta for export.</t>
        </is>
      </c>
    </row>
    <row r="8" ht="40" customHeight="1">
      <c r="A8" s="6" t="inlineStr">
        <is>
          <t>Helwan Fertilizers and NCIC</t>
        </is>
      </c>
      <c r="B8" s="6" t="inlineStr">
        <is>
          <t>Unlisted</t>
        </is>
      </c>
      <c r="C8" s="13" t="n">
        <v>1300</v>
      </c>
      <c r="D8" s="6" t="inlineStr">
        <is>
          <t>Helwan and Ain Sokhna</t>
        </is>
      </c>
      <c r="E8" s="9" t="inlineStr">
        <is>
          <t>Completes the supply picture against which the export share is allocated.</t>
        </is>
      </c>
    </row>
    <row r="10">
      <c r="A10" s="6" t="inlineStr">
        <is>
          <t>Egyptian nitrogen capacity (kt/yr)</t>
        </is>
      </c>
      <c r="B10" s="13" t="n">
        <v>7250</v>
      </c>
    </row>
    <row r="11">
      <c r="A11" s="6" t="inlineStr">
        <is>
          <t>The subject's share of it</t>
        </is>
      </c>
      <c r="B11" s="8">
        <f>C5/B10</f>
        <v/>
      </c>
    </row>
    <row r="12">
      <c r="A12" s="6" t="inlineStr">
        <is>
          <t>Inland freight per export tonne (EGP)</t>
        </is>
      </c>
      <c r="B12" s="14">
        <f>'Assumptions'!C69</f>
        <v/>
      </c>
    </row>
    <row r="14" ht="26" customHeight="1">
      <c r="A14" s="18" t="inlineStr">
        <is>
          <t>The freight line is the difference that matters. A coastal producer does not carry it, and on the subject it ran to EGP 610.2 million in the year to June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2026-08-09T09:59:02Z</dcterms:created>
  <dcterms:modified xmlns:dcterms="http://purl.org/dc/terms/" xmlns:xsi="http://www.w3.org/2001/XMLSchema-instance" xsi:type="dcterms:W3CDTF">2026-08-09T09:59:02Z</dcterms:modified>
</cp:coreProperties>
</file>