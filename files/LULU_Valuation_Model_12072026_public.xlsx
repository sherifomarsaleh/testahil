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19.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FIRST" sheetId="1" state="visible" r:id="rId3"/>
    <sheet name="Assumptions" sheetId="2" state="visible" r:id="rId4"/>
    <sheet name="Segments" sheetId="3" state="visible" r:id="rId5"/>
    <sheet name="Estate &amp; Leverage" sheetId="4" state="visible" r:id="rId6"/>
    <sheet name="Dividend Cover" sheetId="5" state="visible" r:id="rId7"/>
    <sheet name="DCF" sheetId="6" state="visible" r:id="rId8"/>
    <sheet name="Fundamental Valuation" sheetId="7" state="visible" r:id="rId9"/>
    <sheet name="Relative &amp; Normalized" sheetId="8" state="visible" r:id="rId10"/>
    <sheet name="Dividend Discount" sheetId="9" state="visible" r:id="rId11"/>
    <sheet name="Income Statement" sheetId="10" state="visible" r:id="rId12"/>
    <sheet name="Balance Sheet" sheetId="11" state="visible" r:id="rId13"/>
    <sheet name="Cash Flow" sheetId="12" state="visible" r:id="rId14"/>
    <sheet name="Sensitivity" sheetId="13" state="visible" r:id="rId15"/>
    <sheet name="Monte Carlo" sheetId="14" state="visible" r:id="rId16"/>
    <sheet name="MC Factors" sheetId="15" state="visible" r:id="rId17"/>
    <sheet name="Per-Share &amp; Ratios" sheetId="16" state="visible" r:id="rId18"/>
    <sheet name="Peer &amp; Sector" sheetId="17" state="visible" r:id="rId19"/>
    <sheet name="Sources" sheetId="18" state="visible" r:id="rId20"/>
    <sheet name="Ledger" sheetId="19" state="visible" r:id="rId2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<sst xmlns="http://schemas.openxmlformats.org/spreadsheetml/2006/main" count="890" uniqueCount="672">
  <si>
    <t xml:space="preserve">Testahil — Independent Valuation Study · Educational analysis, not investment advice</t>
  </si>
  <si>
    <t xml:space="preserve">LULU — Lulu Retail Holdings PLC (ADX: LULU)  ·  anchor AED 0.94, 10 July 2026</t>
  </si>
  <si>
    <t xml:space="preserve">WHAT THIS IS. A valuation exercise published free of charge for educational purposes. It is NOT investment advice,</t>
  </si>
  <si>
    <t xml:space="preserve">NOT a recommendation, and NOT a price target. The preparer is not licensed by any securities regulator. Every output</t>
  </si>
  <si>
    <t xml:space="preserve">is a range or a distribution. No single number here should be relied upon.</t>
  </si>
  <si>
    <t xml:space="preserve">HOW TO USE IT. Every BLUE cell on Assumptions is an input; everything else is a live formula pointing at one. Change</t>
  </si>
  <si>
    <t xml:space="preserve">a blue cell and the DCF, the relative lens, the DDM, the normalized lens and the football field all recompute.</t>
  </si>
  <si>
    <t xml:space="preserve">THE THREE CLOCKS, KEPT SEPARATE.</t>
  </si>
  <si>
    <t xml:space="preserve">    T+60 sessions   Monte Carlo price probabilities. Its drift is the money-market carry — never the fair-value gap.</t>
  </si>
  <si>
    <t xml:space="preserve">    ~12 months      The weighted fundamental central. A risk-adjusted range, not a target.</t>
  </si>
  <si>
    <t xml:space="preserve">    Multi-year      The DCF. A statement about terminal economics, not a 2026 expectation.</t>
  </si>
  <si>
    <t xml:space="preserve">TWO THINGS TO KNOW BEFORE ANY NUMBER.</t>
  </si>
  <si>
    <t xml:space="preserve">    1. LULU listed on 14-Nov-2024. Its 410 sessions yield just 2 non-overlapping 60-day backtest windows against a</t>
  </si>
  <si>
    <t xml:space="preserve">       the ~18 a meaningful test needs. There is NO name-level calibration verdict for LULU and this study claims none. The Monte</t>
  </si>
  <si>
    <t xml:space="preserve">       Carlo is gated on the 14-name UAE market panel (PARITY); the cone is the UAE cone, not a LULU-specific one.</t>
  </si>
  <si>
    <t xml:space="preserve">    2. The terminal value is an OBSERVABLE exit EV/EBITDA multiple, not a Gordon formula. At the sourced WACC of</t>
  </si>
  <si>
    <t xml:space="preserve">       5.64% a Gordon terminal implies a 2.9% spread, an 88% TV share and a value 2.4x higher. That is a bet on the</t>
  </si>
  <si>
    <t xml:space="preserve">       discount rate, not a valuation. The DCF sheet shows both, side by side, so the reader can see the difference.</t>
  </si>
  <si>
    <t xml:space="preserve">PROVENANCE. Every financial-statement line item is company-official (FY2023–FY2025 audited consolidated FS, Deloitte</t>
  </si>
  <si>
    <t xml:space="preserve">&amp; Touche ME, unqualified, 18-Mar-2026; Q1-2026 interim, 11-May-2026). Lines marked DERIVED are computed from disclosed</t>
  </si>
  <si>
    <t xml:space="preserve">ratios, flagged on Assumptions, and flagged as a derivation. No aggregator supplies a financial line.</t>
  </si>
  <si>
    <t xml:space="preserve">Assumptions — the single input layer</t>
  </si>
  <si>
    <t xml:space="preserve">BLUE = hardcoded input. Every other cell in this workbook is a formula pointing here. DERIVED lines are flagged.</t>
  </si>
  <si>
    <t xml:space="preserve">Market &amp; shares</t>
  </si>
  <si>
    <t xml:space="preserve">Spot price (AED, 10-Jul-2026 close)</t>
  </si>
  <si>
    <t xml:space="preserve">ADX close, from the attached daily history</t>
  </si>
  <si>
    <t xml:space="preserve">Shares outstanding (mn)</t>
  </si>
  <si>
    <t xml:space="preserve">FY2025 audited FS, Note 1</t>
  </si>
  <si>
    <t xml:space="preserve">AED / USD peg</t>
  </si>
  <si>
    <t xml:space="preserve">Central Bank of the UAE — fixed</t>
  </si>
  <si>
    <t xml:space="preserve">Market cap (AED mn)</t>
  </si>
  <si>
    <t xml:space="preserve">formula</t>
  </si>
  <si>
    <t xml:space="preserve">Market cap (US$ mn)</t>
  </si>
  <si>
    <t xml:space="preserve">FY2025 audited base (US$ mn) — company disclosure only</t>
  </si>
  <si>
    <t xml:space="preserve">Revenue</t>
  </si>
  <si>
    <t xml:space="preserve">FY2025 audited FS</t>
  </si>
  <si>
    <t xml:space="preserve">Gross profit</t>
  </si>
  <si>
    <t xml:space="preserve">Other operating income</t>
  </si>
  <si>
    <t xml:space="preserve">Operating expenses (incl. D&amp;A)</t>
  </si>
  <si>
    <t xml:space="preserve">EBIT</t>
  </si>
  <si>
    <t xml:space="preserve">D&amp;A — property, plant &amp; equipment</t>
  </si>
  <si>
    <t xml:space="preserve">D&amp;A — right-of-use assets</t>
  </si>
  <si>
    <t xml:space="preserve">D&amp;A — investment property</t>
  </si>
  <si>
    <t xml:space="preserve">EBITDA  (reconciled — ties to co.-stated 782.2)</t>
  </si>
  <si>
    <t xml:space="preserve">Finance costs, net</t>
  </si>
  <si>
    <t xml:space="preserve">Tax</t>
  </si>
  <si>
    <t xml:space="preserve">Net profit</t>
  </si>
  <si>
    <t xml:space="preserve">Interest expense (FY2025)</t>
  </si>
  <si>
    <t xml:space="preserve">Revenue FY2024 (base for ΔWC)</t>
  </si>
  <si>
    <t xml:space="preserve">FY2024 audited FS</t>
  </si>
  <si>
    <t xml:space="preserve">Balance sheet &amp; the derived debt split (US$ mn)</t>
  </si>
  <si>
    <t xml:space="preserve">Cash &amp; equivalents</t>
  </si>
  <si>
    <t xml:space="preserve">Right-of-use assets</t>
  </si>
  <si>
    <t xml:space="preserve">Net debt / EBITDA — IFRS-16 basis</t>
  </si>
  <si>
    <t xml:space="preserve">company-stated, FY2025</t>
  </si>
  <si>
    <t xml:space="preserve">Net debt / EBITDA — excluding leases</t>
  </si>
  <si>
    <t xml:space="preserve">Net debt, IFRS-16  (DERIVED)</t>
  </si>
  <si>
    <t xml:space="preserve">DERIVED from the stated ratio</t>
  </si>
  <si>
    <t xml:space="preserve">Net debt, ex-lease  (DERIVED)</t>
  </si>
  <si>
    <t xml:space="preserve">Lease liabilities  (DERIVED)</t>
  </si>
  <si>
    <t xml:space="preserve">DERIVED — cross-check: 93% of RoU</t>
  </si>
  <si>
    <t xml:space="preserve">Gross bank debt  (DERIVED)</t>
  </si>
  <si>
    <t xml:space="preserve">DERIVED</t>
  </si>
  <si>
    <t xml:space="preserve">Total interest-bearing debt</t>
  </si>
  <si>
    <t xml:space="preserve">Lease liabilities as % of RoU assets</t>
  </si>
  <si>
    <t xml:space="preserve">the cross-check on the derivation</t>
  </si>
  <si>
    <t xml:space="preserve">RoU additions FY2025  (DERIVED)</t>
  </si>
  <si>
    <t xml:space="preserve">DERIVED from the RoU roll-forward</t>
  </si>
  <si>
    <t xml:space="preserve">Operating WC / revenue</t>
  </si>
  <si>
    <t xml:space="preserve">FY2023 — last year payables are disclosed</t>
  </si>
  <si>
    <t xml:space="preserve">Cost of capital</t>
  </si>
  <si>
    <t xml:space="preserve">Risk-free rate (rf)</t>
  </si>
  <si>
    <t xml:space="preserve">AED T-Bond Jan-2031, MoF auction 23-May-26 — LOCAL bond</t>
  </si>
  <si>
    <t xml:space="preserve">ERP — rating basis</t>
  </si>
  <si>
    <t xml:space="preserve">Damodaran ORIGINAL ctryprem.html, 5-Jan-26, UAE Aa2</t>
  </si>
  <si>
    <t xml:space="preserve">ERP — CDS basis</t>
  </si>
  <si>
    <t xml:space="preserve">same file, Abu Dhabi CDS (no UAE-federal row)</t>
  </si>
  <si>
    <t xml:space="preserve">Beta</t>
  </si>
  <si>
    <t xml:space="preserve">weekly regression n=86, R² 9.9%, SE 0.161 — PASSES the gate</t>
  </si>
  <si>
    <t xml:space="preserve">Cost of debt (pre-tax)</t>
  </si>
  <si>
    <t xml:space="preserve">FY25 interest ÷ derived avg IB debt = 5.28%</t>
  </si>
  <si>
    <t xml:space="preserve">Effective tax on EBIT</t>
  </si>
  <si>
    <t xml:space="preserve">audited group ETR 11.85% FY25, drifting up on KSA mix</t>
  </si>
  <si>
    <t xml:space="preserve">Cost of equity, Ke (rating basis)</t>
  </si>
  <si>
    <t xml:space="preserve">Equity weight</t>
  </si>
  <si>
    <t xml:space="preserve">spot market cap</t>
  </si>
  <si>
    <t xml:space="preserve">Debt weight</t>
  </si>
  <si>
    <t xml:space="preserve">WACC (rating basis)</t>
  </si>
  <si>
    <t xml:space="preserve">WACC (CDS basis)</t>
  </si>
  <si>
    <t xml:space="preserve">both bases published</t>
  </si>
  <si>
    <t xml:space="preserve">The estate — stores, space, sales density</t>
  </si>
  <si>
    <t xml:space="preserve">Retail space FY2025 (m sqm)</t>
  </si>
  <si>
    <t xml:space="preserve">DISCLOSED</t>
  </si>
  <si>
    <t xml:space="preserve">Retail space FY2024 (m sqm)</t>
  </si>
  <si>
    <t xml:space="preserve">derived from the disclosed +5.6%</t>
  </si>
  <si>
    <t xml:space="preserve">SALES DENSITY FY2025 (US$/sqm)</t>
  </si>
  <si>
    <t xml:space="preserve">THE retail KPI — the company does not report it</t>
  </si>
  <si>
    <t xml:space="preserve">SALES DENSITY FY2024 (US$/sqm)</t>
  </si>
  <si>
    <t xml:space="preserve">  density change FY2025</t>
  </si>
  <si>
    <t xml:space="preserve">NEGATIVE — space grew faster than sales</t>
  </si>
  <si>
    <t xml:space="preserve">Hypermarket average selling area (sqm)</t>
  </si>
  <si>
    <t xml:space="preserve">company website</t>
  </si>
  <si>
    <t xml:space="preserve">Express store size (sqm)</t>
  </si>
  <si>
    <t xml:space="preserve">Q1-26 DISCLOSED: 11 Express = 20,153 sqm</t>
  </si>
  <si>
    <t xml:space="preserve">Q1-2026 net space added (sqm)</t>
  </si>
  <si>
    <t xml:space="preserve">DISCLOSED: 20,153 opened − 227 closed</t>
  </si>
  <si>
    <t xml:space="preserve">Q1-2026 space (m sqm)</t>
  </si>
  <si>
    <t xml:space="preserve">Q1-2026 space growth, y/y</t>
  </si>
  <si>
    <t xml:space="preserve">vs an interpolated Q1-25 — the ONE estimate in the density calc</t>
  </si>
  <si>
    <t xml:space="preserve">Q1-2026 DENSITY change (BOUNDED −4.3% to −9.4%)</t>
  </si>
  <si>
    <t xml:space="preserve">bounded, not asserted: FY25 opening phasing is not disclosed</t>
  </si>
  <si>
    <t xml:space="preserve">New-store size, forecast (sqm)</t>
  </si>
  <si>
    <t xml:space="preserve">DRIVER: blend of the Q1-26 all-Express 1,832 and the FY25 blend of 3,646</t>
  </si>
  <si>
    <t xml:space="preserve">The cost model — CALIBRATED ON DISCLOSURE, not assumed</t>
  </si>
  <si>
    <t xml:space="preserve">Contribution margin (GP + other op income) / revenue</t>
  </si>
  <si>
    <t xml:space="preserve">formula — from the audited lines</t>
  </si>
  <si>
    <t xml:space="preserve">Cash opex FY2025 (opex less D&amp;A)</t>
  </si>
  <si>
    <t xml:space="preserve">labour, utilities, logistics — NOT rent (IFRS-16)</t>
  </si>
  <si>
    <t xml:space="preserve">Cash opex FY2024</t>
  </si>
  <si>
    <t xml:space="preserve">  cash opex growth FY2025</t>
  </si>
  <si>
    <t xml:space="preserve">  space growth FY2025</t>
  </si>
  <si>
    <t xml:space="preserve">MATURE-STORE INFLATION FY2025 (derived)</t>
  </si>
  <si>
    <t xml:space="preserve">≈0% — efficiency offset inflation</t>
  </si>
  <si>
    <t xml:space="preserve">Q1-2026 cash opex growth</t>
  </si>
  <si>
    <t xml:space="preserve">DISCLOSED: "opex ex-depreciation increased by just 1.1%"</t>
  </si>
  <si>
    <t xml:space="preserve">MATURE-STORE INFLATION Q1-2026 (derived)</t>
  </si>
  <si>
    <t xml:space="preserve">ties to the co.'s "mid-single digit reduction in staff costs in existing stores"</t>
  </si>
  <si>
    <t xml:space="preserve">BREAK-EVEN RULE (derived, not assumed):  the EBITDA margin is FLAT when</t>
  </si>
  <si>
    <t xml:space="preserve">      DENSITY GROWTH  =  MATURE-STORE COST INFLATION</t>
  </si>
  <si>
    <t xml:space="preserve">      because  opex tracks SPACE  and  revenue tracks SPACE x DENSITY.</t>
  </si>
  <si>
    <t xml:space="preserve">Forecast drivers — the two cost dials, by year</t>
  </si>
  <si>
    <t xml:space="preserve">FY26E</t>
  </si>
  <si>
    <t xml:space="preserve">FY27E</t>
  </si>
  <si>
    <t xml:space="preserve">FY28E</t>
  </si>
  <si>
    <t xml:space="preserve">FY29E</t>
  </si>
  <si>
    <t xml:space="preserve">FY30E</t>
  </si>
  <si>
    <t xml:space="preserve">Mature-store cost inflation</t>
  </si>
  <si>
    <t xml:space="preserve">FY26E: partial persistence of the Q1 programme; then +0.5%</t>
  </si>
  <si>
    <t xml:space="preserve">Contribution margin (GP + other op income)</t>
  </si>
  <si>
    <t xml:space="preserve">FY26E carries the DISCLOSED 10bp Q1 gross-margin slip; then back to FY25</t>
  </si>
  <si>
    <t xml:space="preserve">Segment drivers — SALES DENSITY growth by country</t>
  </si>
  <si>
    <t xml:space="preserve">  density — UAE</t>
  </si>
  <si>
    <t xml:space="preserve">  density — KSA</t>
  </si>
  <si>
    <t xml:space="preserve">  density — Oman</t>
  </si>
  <si>
    <t xml:space="preserve">  density — Qatar</t>
  </si>
  <si>
    <t xml:space="preserve">  density — Kuwait</t>
  </si>
  <si>
    <t xml:space="preserve">  density — Other</t>
  </si>
  <si>
    <t xml:space="preserve">Segment drivers — new stores by country</t>
  </si>
  <si>
    <t xml:space="preserve">  New stores — UAE</t>
  </si>
  <si>
    <t xml:space="preserve">  New stores — KSA</t>
  </si>
  <si>
    <t xml:space="preserve">  New stores — Oman</t>
  </si>
  <si>
    <t xml:space="preserve">  New stores — Qatar</t>
  </si>
  <si>
    <t xml:space="preserve">  New stores — Kuwait</t>
  </si>
  <si>
    <t xml:space="preserve">  New stores — Other</t>
  </si>
  <si>
    <t xml:space="preserve">  TOTAL new stores</t>
  </si>
  <si>
    <t xml:space="preserve">company: 18–20 in FY26; 50 over 2026–28</t>
  </si>
  <si>
    <t xml:space="preserve">Group drivers — capex, D&amp;A, working capital</t>
  </si>
  <si>
    <t xml:space="preserve">D&amp;A % revenue</t>
  </si>
  <si>
    <t xml:space="preserve">bottom-up: reconciled from the audited D&amp;A lines</t>
  </si>
  <si>
    <t xml:space="preserve">Capex % revenue</t>
  </si>
  <si>
    <t xml:space="preserve">bottom-up: DISCLOSED — Q1-2026 capex was 1.3% of sales</t>
  </si>
  <si>
    <t xml:space="preserve">Lease additions % revenue</t>
  </si>
  <si>
    <t xml:space="preserve">bottom-up: DERIVED from the audited RoU roll-forward</t>
  </si>
  <si>
    <t xml:space="preserve">Operating WC % revenue</t>
  </si>
  <si>
    <t xml:space="preserve">top-down: FY23 disclosed ratio (FY24/25 payables not disclosed)</t>
  </si>
  <si>
    <t xml:space="preserve">Terminal, multiples &amp; the dividend</t>
  </si>
  <si>
    <t xml:space="preserve">Exit EV/EBITDA — base (terminal)</t>
  </si>
  <si>
    <t xml:space="preserve">peer mark: Al Othaim 8.9x, intl. grocers 5–7x</t>
  </si>
  <si>
    <t xml:space="preserve">Exit EV/EBITDA — bear</t>
  </si>
  <si>
    <t xml:space="preserve">roughly where spot already sits</t>
  </si>
  <si>
    <t xml:space="preserve">Exit EV/EBITDA — bull</t>
  </si>
  <si>
    <t xml:space="preserve">re-rate toward the Al Othaim mark</t>
  </si>
  <si>
    <t xml:space="preserve">Relative multiple on FY26E — base</t>
  </si>
  <si>
    <t xml:space="preserve">the same peer mark, applied today</t>
  </si>
  <si>
    <t xml:space="preserve">Terminal dividend yield (DDM)</t>
  </si>
  <si>
    <t xml:space="preserve">GCC staples pay 5.5–6.5%</t>
  </si>
  <si>
    <t xml:space="preserve">Near-term DPS growth</t>
  </si>
  <si>
    <t xml:space="preserve">tracks earnings</t>
  </si>
  <si>
    <t xml:space="preserve">FY26E DPS (AED)</t>
  </si>
  <si>
    <t xml:space="preserve">1.40x CASH cover, not the 96% earnings payout, is the binding constraint</t>
  </si>
  <si>
    <t xml:space="preserve">Stated dividend payout policy</t>
  </si>
  <si>
    <t xml:space="preserve">company policy — 75% of distributable profit</t>
  </si>
  <si>
    <t xml:space="preserve">FY25 DPS declared (AED)</t>
  </si>
  <si>
    <t xml:space="preserve">interim 3.5 + final 3.5 fils</t>
  </si>
  <si>
    <t xml:space="preserve">Normalized P/E — base</t>
  </si>
  <si>
    <t xml:space="preserve">GCC staples 11–17x</t>
  </si>
  <si>
    <t xml:space="preserve">Statutory ETR on PBT</t>
  </si>
  <si>
    <t xml:space="preserve">audited FY2025</t>
  </si>
  <si>
    <t xml:space="preserve">Gordon g — CROSS-CHECK ONLY, not used</t>
  </si>
  <si>
    <t xml:space="preserve">shown only to expose the artifact it creates</t>
  </si>
  <si>
    <t xml:space="preserve">Lens weights</t>
  </si>
  <si>
    <t xml:space="preserve">DCF</t>
  </si>
  <si>
    <t xml:space="preserve">Relative EV/EBITDA</t>
  </si>
  <si>
    <t xml:space="preserve">Dividend discount</t>
  </si>
  <si>
    <t xml:space="preserve">Normalized earnings</t>
  </si>
  <si>
    <t xml:space="preserve">Total</t>
  </si>
  <si>
    <t xml:space="preserve">must equal 100%</t>
  </si>
  <si>
    <t xml:space="preserve">The engine — six countries, driven by SPACE and DENSITY (US$ mn)</t>
  </si>
  <si>
    <t xml:space="preserve">space(t) = space(t−1) + new stores × new-store size    ·    revenue(t) = revenue(t−1) × (1+space growth) × (1+density growth)    ·    opex(t) = opex(t−1) × (1+space growth) × (1+mature-store inflation)    ·    EBITDA = revenue × contribution − opex</t>
  </si>
  <si>
    <t xml:space="preserve">RETAIL SPACE (m sqm)</t>
  </si>
  <si>
    <t xml:space="preserve">FY25A</t>
  </si>
  <si>
    <t xml:space="preserve">Q1-26 actual sqm</t>
  </si>
  <si>
    <t xml:space="preserve">UAE</t>
  </si>
  <si>
    <t xml:space="preserve">KSA</t>
  </si>
  <si>
    <t xml:space="preserve">Oman</t>
  </si>
  <si>
    <t xml:space="preserve">Qatar</t>
  </si>
  <si>
    <t xml:space="preserve">Kuwait</t>
  </si>
  <si>
    <t xml:space="preserve">Other</t>
  </si>
  <si>
    <t xml:space="preserve">GROUP SPACE</t>
  </si>
  <si>
    <t xml:space="preserve">  space growth</t>
  </si>
  <si>
    <t xml:space="preserve">REVENUE  = prior × (1 + space growth) × (1 + DENSITY growth)</t>
  </si>
  <si>
    <t xml:space="preserve">GROUP REVENUE</t>
  </si>
  <si>
    <t xml:space="preserve">  revenue growth</t>
  </si>
  <si>
    <t xml:space="preserve">  GROUP SALES DENSITY (US$/sqm)</t>
  </si>
  <si>
    <t xml:space="preserve">CASH OPEX  = prior × (1 + space growth) × (1 + MATURE-store inflation)</t>
  </si>
  <si>
    <t xml:space="preserve">GROUP CASH OPEX</t>
  </si>
  <si>
    <t xml:space="preserve">  opex growth</t>
  </si>
  <si>
    <t xml:space="preserve">EBITDA  = revenue × contribution − cash opex</t>
  </si>
  <si>
    <t xml:space="preserve">GROUP EBITDA</t>
  </si>
  <si>
    <t xml:space="preserve">  EBITDA margin</t>
  </si>
  <si>
    <t xml:space="preserve">FY2025 SEGMENT ECONOMICS — space rebuilt from the DISCLOSED format split</t>
  </si>
  <si>
    <t xml:space="preserve">Share</t>
  </si>
  <si>
    <t xml:space="preserve">EBITDA</t>
  </si>
  <si>
    <t xml:space="preserve">Margin</t>
  </si>
  <si>
    <t xml:space="preserve">Stores</t>
  </si>
  <si>
    <t xml:space="preserve">% hyper</t>
  </si>
  <si>
    <t xml:space="preserve">Space (k sqm)</t>
  </si>
  <si>
    <t xml:space="preserve">DENSITY $/sqm</t>
  </si>
  <si>
    <t xml:space="preserve">Saudi sells US$4,489 per sqm against Qatar's US$9,027 and a group US$5,749. Its estate is NOT small — 46% of its stores are hypermarkets, the same share as the group. It is UNPRODUCTIVE. That is why its opex runs 22.1% of revenue against the UAE's 14.5%, and why its EBITDA margin is 4.66%.</t>
  </si>
  <si>
    <t xml:space="preserve">Sales density, and the cost model rebuilt from DISCLOSURE</t>
  </si>
  <si>
    <t xml:space="preserve">Nothing on this sheet is assumed. Every input is a figure Lulu published.</t>
  </si>
  <si>
    <t xml:space="preserve">THE ESTATE — sales per square metre</t>
  </si>
  <si>
    <t xml:space="preserve">FY2024</t>
  </si>
  <si>
    <t xml:space="preserve">FY2025</t>
  </si>
  <si>
    <t xml:space="preserve">Q1-2026</t>
  </si>
  <si>
    <t xml:space="preserve">Retail space (m sqm)</t>
  </si>
  <si>
    <t xml:space="preserve">Revenue (US$ mn)</t>
  </si>
  <si>
    <t xml:space="preserve">SALES DENSITY (US$ / sqm)</t>
  </si>
  <si>
    <t xml:space="preserve">  change, year on year</t>
  </si>
  <si>
    <t xml:space="preserve">Q1-2026 space is DISCLOSED (11 Express = 20,153 sqm, less a 227 sqm Mini Market closure). The only estimate in the Q1 density figure is Q1-2025 space, which is not disclosed — so the result is BOUNDED −4.3% to −9.4%, not asserted.</t>
  </si>
  <si>
    <t xml:space="preserve">THE COST MODEL — calibrated on two periods, both from disclosure</t>
  </si>
  <si>
    <t xml:space="preserve">Space growth</t>
  </si>
  <si>
    <t xml:space="preserve">Cash opex growth</t>
  </si>
  <si>
    <t xml:space="preserve">⇒ MATURE-store inflation</t>
  </si>
  <si>
    <t xml:space="preserve">Density growth</t>
  </si>
  <si>
    <t xml:space="preserve">FY2025 (audited)</t>
  </si>
  <si>
    <t xml:space="preserve">Q1-2026 (DISCLOSED)</t>
  </si>
  <si>
    <t xml:space="preserve">BREAK-EVEN:  density growth = mature-store cost inflation</t>
  </si>
  <si>
    <t xml:space="preserve">   opex tracks SPACE.  revenue tracks SPACE × DENSITY.  So the margin is flat only when the density you lose equals the cost you cut from the stores you already have. Derived, not assumed.</t>
  </si>
  <si>
    <t xml:space="preserve">THE Q1-2026 MARGIN BRIDGE — every input DISCLOSED</t>
  </si>
  <si>
    <t xml:space="preserve">Q1-2025 revenue (US$ mn)</t>
  </si>
  <si>
    <t xml:space="preserve">Q1-2025 gross margin (DISCLOSED)</t>
  </si>
  <si>
    <t xml:space="preserve">Q1-2026 revenue (DISCLOSED)</t>
  </si>
  <si>
    <t xml:space="preserve">Q1-2026 gross profit (DISCLOSED)</t>
  </si>
  <si>
    <t xml:space="preserve">Q1-2026 EBITDA (DISCLOSED)</t>
  </si>
  <si>
    <t xml:space="preserve">Q1-2026 cash opex growth (DISCLOSED)</t>
  </si>
  <si>
    <t xml:space="preserve">⇒ Q1-2026 cash opex</t>
  </si>
  <si>
    <t xml:space="preserve">⇒ Q1-2025 cash opex</t>
  </si>
  <si>
    <t xml:space="preserve">⇒ Q1-2025 EBITDA</t>
  </si>
  <si>
    <t xml:space="preserve">Q1-2025 EBITDA margin</t>
  </si>
  <si>
    <t xml:space="preserve">  − contribution margin</t>
  </si>
  <si>
    <t xml:space="preserve">  − OPERATING DELEVERAGE</t>
  </si>
  <si>
    <t xml:space="preserve">→ Q1-2026 EBITDA margin</t>
  </si>
  <si>
    <t xml:space="preserve">Nine-tenths of the margin decline is OPERATING DELEVERAGE. The gross margin barely moved. The margin fell because revenue fell while the cost of the estate did not — and the estate had just grown.</t>
  </si>
  <si>
    <t xml:space="preserve">The dividend is 96% of EARNINGS and 1.4× covered by CASH — both are true</t>
  </si>
  <si>
    <t xml:space="preserve">− cash lease payments (principal + interest)</t>
  </si>
  <si>
    <t xml:space="preserve">− bank interest</t>
  </si>
  <si>
    <t xml:space="preserve">− cash tax</t>
  </si>
  <si>
    <t xml:space="preserve">− capex (PPE)</t>
  </si>
  <si>
    <t xml:space="preserve">→ FREE CASH FLOW</t>
  </si>
  <si>
    <t xml:space="preserve">Dividend bill at 7 fils</t>
  </si>
  <si>
    <t xml:space="preserve">COVER</t>
  </si>
  <si>
    <t xml:space="preserve">FY2025 EPS (AED)</t>
  </si>
  <si>
    <t xml:space="preserve">FY2025 DPS declared (AED)</t>
  </si>
  <si>
    <t xml:space="preserve">FY2025 payout ratio — on EARNINGS</t>
  </si>
  <si>
    <t xml:space="preserve">FY2025 cover — on CASH</t>
  </si>
  <si>
    <t xml:space="preserve">Stated policy payout</t>
  </si>
  <si>
    <t xml:space="preserve">Dividend yield at 7 fils</t>
  </si>
  <si>
    <t xml:space="preserve">Both are true, and the reconciliation is that D&amp;A (US$388mn) is nearly THREE TIMES capex (US$139mn) — because THE LEASES ARE THE CAPEX. LULU does not buy its stores; it rents them, and the rent is already deducted above as a cash lease payment. Right-of-use depreciation is a non-cash charge sitting on top of a cash rent that has already been paid. Strip the double-count and the payout is comfortable. The first version of this model read the payout off EARNINGS, called it over-distributed, and cut the forecast DPS to 5.5 fils. That was wrong: the base is 6.0 fils.</t>
  </si>
  <si>
    <t xml:space="preserve">DCF — the full FCFF waterfall, discounted to PV (US$ mn)</t>
  </si>
  <si>
    <t xml:space="preserve">Terminal = exit EV/EBITDA on FY30E EBITDA. The Gordon terminal is computed alongside it, only to show what it would have done.</t>
  </si>
  <si>
    <t xml:space="preserve">Revenue  ← sum of the six country models</t>
  </si>
  <si>
    <t xml:space="preserve">EBITDA  ← sum of the six country models</t>
  </si>
  <si>
    <t xml:space="preserve">− D&amp;A</t>
  </si>
  <si>
    <t xml:space="preserve">→ EBIT</t>
  </si>
  <si>
    <t xml:space="preserve">NOPAT  = EBIT × (1 − t)</t>
  </si>
  <si>
    <t xml:space="preserve">+ D&amp;A</t>
  </si>
  <si>
    <t xml:space="preserve">− Capex (PPE)</t>
  </si>
  <si>
    <t xml:space="preserve">− Lease additions (new right-of-use)</t>
  </si>
  <si>
    <t xml:space="preserve">− ΔOperating working capital</t>
  </si>
  <si>
    <t xml:space="preserve">→ FCFF</t>
  </si>
  <si>
    <t xml:space="preserve">× Discount factor @ WACC</t>
  </si>
  <si>
    <t xml:space="preserve">→ PV of FCFF</t>
  </si>
  <si>
    <t xml:space="preserve">Sum of PV of FCFF (5 years)</t>
  </si>
  <si>
    <t xml:space="preserve">Terminal value = exit multiple × FY30E EBITDA</t>
  </si>
  <si>
    <t xml:space="preserve">PV of terminal value</t>
  </si>
  <si>
    <t xml:space="preserve">ENTERPRISE VALUE</t>
  </si>
  <si>
    <t xml:space="preserve">    terminal value as % of EV</t>
  </si>
  <si>
    <t xml:space="preserve">− Net debt (bank, ex-lease)</t>
  </si>
  <si>
    <t xml:space="preserve">− Lease liabilities (IFRS-16)</t>
  </si>
  <si>
    <t xml:space="preserve">EQUITY VALUE (US$ mn)</t>
  </si>
  <si>
    <t xml:space="preserve">Value per share (US$)</t>
  </si>
  <si>
    <t xml:space="preserve">VALUE PER SHARE (AED)</t>
  </si>
  <si>
    <t xml:space="preserve">vs spot</t>
  </si>
  <si>
    <t xml:space="preserve">CROSS-CHECK — what a Gordon terminal would have produced instead</t>
  </si>
  <si>
    <t xml:space="preserve">Gordon TV = FCFF(FY30E) × (1+g) ÷ (WACC − g)</t>
  </si>
  <si>
    <t xml:space="preserve">    WACC − g spread</t>
  </si>
  <si>
    <t xml:space="preserve">    Gordon TV ÷ exit-multiple TV</t>
  </si>
  <si>
    <t xml:space="preserve">    implied perpetual g inside the exit multiple</t>
  </si>
  <si>
    <t xml:space="preserve">The exit multiple is the CONSERVATIVE choice — it implies a NEGATIVE perpetual growth rate. A Gordon terminal at a 2.9% spread is a bet on the discount rate, not a valuation of a grocer.</t>
  </si>
  <si>
    <t xml:space="preserve">The four lenses, and the weighted central</t>
  </si>
  <si>
    <t xml:space="preserve">Bear</t>
  </si>
  <si>
    <t xml:space="preserve">Base</t>
  </si>
  <si>
    <t xml:space="preserve">Bull</t>
  </si>
  <si>
    <t xml:space="preserve">Weight</t>
  </si>
  <si>
    <t xml:space="preserve">Weighted (base)</t>
  </si>
  <si>
    <t xml:space="preserve">DCF (FCFF, exit-multiple terminal)</t>
  </si>
  <si>
    <t xml:space="preserve">Dividend discount (policy)</t>
  </si>
  <si>
    <t xml:space="preserve">WEIGHTED CENTRAL</t>
  </si>
  <si>
    <t xml:space="preserve">The DCF and the market lenses are deliberately NOT blended into one point — the football field carries the divergence and §1.5 of the study reads it. The DCF sits above the market lenses because it capitalises five years of EBITDA growth (777 → 977) before applying the same 7.5× the market lens applies today.</t>
  </si>
  <si>
    <t xml:space="preserve">Relative multiples, and normalized earnings power</t>
  </si>
  <si>
    <t xml:space="preserve">RELATIVE — EV/EBITDA applied to FY26E</t>
  </si>
  <si>
    <t xml:space="preserve">6.5× (bear)</t>
  </si>
  <si>
    <t xml:space="preserve">7.5× (base)</t>
  </si>
  <si>
    <t xml:space="preserve">8.5× (bull)</t>
  </si>
  <si>
    <t xml:space="preserve">FY26E EBITDA (US$ mn)</t>
  </si>
  <si>
    <t xml:space="preserve">Multiple</t>
  </si>
  <si>
    <t xml:space="preserve">Implied enterprise value</t>
  </si>
  <si>
    <t xml:space="preserve">− Net debt (IFRS-16)</t>
  </si>
  <si>
    <t xml:space="preserve">Implied equity value</t>
  </si>
  <si>
    <t xml:space="preserve">AED / share</t>
  </si>
  <si>
    <t xml:space="preserve">WHERE THE MARKET ALREADY IS — the crux, in real units</t>
  </si>
  <si>
    <t xml:space="preserve">Spot enterprise value (mkt cap + net debt)</t>
  </si>
  <si>
    <t xml:space="preserve">Spot EV ÷ FY2025 EBITDA</t>
  </si>
  <si>
    <t xml:space="preserve">Spot EV ÷ FY26E EBITDA</t>
  </si>
  <si>
    <t xml:space="preserve">At a 7.5× peer mark, spot implies FY26E EBITDA of</t>
  </si>
  <si>
    <t xml:space="preserve">    … versus FY2025 actual EBITDA</t>
  </si>
  <si>
    <t xml:space="preserve">    … i.e. an FY26E EBITDA margin of</t>
  </si>
  <si>
    <t xml:space="preserve">NORMALIZED EARNINGS — through-cycle</t>
  </si>
  <si>
    <t xml:space="preserve">Through-cycle EBITDA margin (FY23–25 average)</t>
  </si>
  <si>
    <t xml:space="preserve">Applied to FY26E revenue</t>
  </si>
  <si>
    <t xml:space="preserve">− Net finance cost</t>
  </si>
  <si>
    <t xml:space="preserve">→ Normalized PBT</t>
  </si>
  <si>
    <t xml:space="preserve">× (1 − ETR)</t>
  </si>
  <si>
    <t xml:space="preserve">→ Normalized net profit</t>
  </si>
  <si>
    <t xml:space="preserve">Normalized EPS (AED)</t>
  </si>
  <si>
    <t xml:space="preserve">11×</t>
  </si>
  <si>
    <t xml:space="preserve">14×</t>
  </si>
  <si>
    <t xml:space="preserve">17×</t>
  </si>
  <si>
    <t xml:space="preserve">The policy lens — what a holder actually receives</t>
  </si>
  <si>
    <t xml:space="preserve">Terminal = DPS(FY30E) capitalised at an observable terminal dividend yield, not a Gordon g.</t>
  </si>
  <si>
    <t xml:space="preserve">Terminal</t>
  </si>
  <si>
    <t xml:space="preserve">DPS (AED)</t>
  </si>
  <si>
    <t xml:space="preserve">Discount factor @ Ke</t>
  </si>
  <si>
    <t xml:space="preserve">PV</t>
  </si>
  <si>
    <t xml:space="preserve">DDM VALUE (AED/share) — base</t>
  </si>
  <si>
    <t xml:space="preserve">FY2025 payout ratio — ACTUAL</t>
  </si>
  <si>
    <t xml:space="preserve">FY26E EPS (AED)</t>
  </si>
  <si>
    <t xml:space="preserve">FY26E DPS at the stated policy (AED)</t>
  </si>
  <si>
    <t xml:space="preserve">Dividend yield at the policy DPS</t>
  </si>
  <si>
    <t xml:space="preserve">The company paid 96% of FY2025 earnings against a stated 75% policy. Held to that policy on FY26E earnings, the DPS falls to ~5.2 fils and the yield support weakens from 7.4% to ~5.5%. That is why the DDM base uses 5.5 fils, not the trailing 7.0 — and why the dividend is one of this study's named falsifiers.</t>
  </si>
  <si>
    <t xml:space="preserve">Income statement — 3 historical (audited) + 5 forecast (US$ mn)</t>
  </si>
  <si>
    <t xml:space="preserve">FY23</t>
  </si>
  <si>
    <t xml:space="preserve">FY24</t>
  </si>
  <si>
    <t xml:space="preserve">FY25</t>
  </si>
  <si>
    <t xml:space="preserve">    gross margin</t>
  </si>
  <si>
    <t xml:space="preserve">D&amp;A</t>
  </si>
  <si>
    <t xml:space="preserve">    EBITDA margin</t>
  </si>
  <si>
    <t xml:space="preserve">Profit before tax</t>
  </si>
  <si>
    <t xml:space="preserve">NET PROFIT (continuing)</t>
  </si>
  <si>
    <t xml:space="preserve">    effective tax rate</t>
  </si>
  <si>
    <t xml:space="preserve">EPS (US cents)</t>
  </si>
  <si>
    <t xml:space="preserve">EPS (AED)</t>
  </si>
  <si>
    <t xml:space="preserve">FY23 D&amp;A is DERIVED (company-stated EBITDA 753.0 less the reconciled EBIT of 368.1). FY24 shows a 5.6 gap between the RECONCILED EBITDA (791.9) and the company's stated 786.3 — an "adjusted" definitional difference. This model uses the reconciled figure throughout, never the press-release one.</t>
  </si>
  <si>
    <t xml:space="preserve">Q1-2026 (interim, 11-May-26): revenue 2,020.0 (−2.9% y/y) · gross margin 22.2% · EBITDA 192.0 (9.5% margin) · net income 47.0 (−33% y/y). FY26E is built off this print, not off the reiterated guidance.</t>
  </si>
  <si>
    <t xml:space="preserve">Balance sheet — condensed house layout (US$ mn)</t>
  </si>
  <si>
    <t xml:space="preserve">Dec-23</t>
  </si>
  <si>
    <t xml:space="preserve">Dec-24</t>
  </si>
  <si>
    <t xml:space="preserve">Dec-25</t>
  </si>
  <si>
    <t xml:space="preserve">Mar-26</t>
  </si>
  <si>
    <t xml:space="preserve">Inventories</t>
  </si>
  <si>
    <t xml:space="preserve">Trade &amp; other receivables</t>
  </si>
  <si>
    <t xml:space="preserve">Trade &amp; other payables</t>
  </si>
  <si>
    <t xml:space="preserve">Property, plant &amp; equipment</t>
  </si>
  <si>
    <t xml:space="preserve">TOTAL ASSETS</t>
  </si>
  <si>
    <t xml:space="preserve">Bank borrowings (DERIVED, FY25)</t>
  </si>
  <si>
    <t xml:space="preserve">Lease liabilities (DERIVED, FY25)</t>
  </si>
  <si>
    <t xml:space="preserve">TOTAL EQUITY</t>
  </si>
  <si>
    <t xml:space="preserve">Net debt — IFRS-16 basis</t>
  </si>
  <si>
    <t xml:space="preserve">    × EBITDA</t>
  </si>
  <si>
    <t xml:space="preserve">Net debt — excluding leases</t>
  </si>
  <si>
    <t xml:space="preserve">Operating WC (inv + recv − pay)</t>
  </si>
  <si>
    <t xml:space="preserve">    % of revenue</t>
  </si>
  <si>
    <t xml:space="preserve">DUAL FRAMING (house rule) — the same leverage has two legitimate framings, and both are stated:</t>
  </si>
  <si>
    <t xml:space="preserve">      net debt US$2,503m = 3.2× EBITDA   INCLUDING IFRS-16 lease liabilities</t>
  </si>
  <si>
    <t xml:space="preserve">      net debt US$  860m = 1.1× EBITDA   EXCLUDING them.</t>
  </si>
  <si>
    <t xml:space="preserve">The company states both. This model uses the INCLUDING basis throughout — EBITDA is post-IFRS-16, so leases must</t>
  </si>
  <si>
    <t xml:space="preserve">be debt in the bridge AND lease additions must be a capex charge in the FCFF. Mixing the two framings is the</t>
  </si>
  <si>
    <t xml:space="preserve">classic IFRS-16 valuation error: rent-free EBITDA that never pays for its own leases.</t>
  </si>
  <si>
    <t xml:space="preserve">LIKEWISE "WORKING CAPITAL". The company reports a US$205m deficit — but that is CURRENT ASSETS minus CURRENT</t>
  </si>
  <si>
    <t xml:space="preserve">LIABILITIES, contaminated by short-term debt and the current portion of lease liabilities. OPERATING working</t>
  </si>
  <si>
    <t xml:space="preserve">capital (inventory + receivables − payables) was POSITIVE US$326m in FY2023 — the last year all three lines are</t>
  </si>
  <si>
    <t xml:space="preserve">disclosed. The model uses the operating measure (4.48% of revenue). FY24/FY25 payables were NOT disclosed in the</t>
  </si>
  <si>
    <t xml:space="preserve">sources captured; that gap is flagged wherever it is used rather than silently estimated.</t>
  </si>
  <si>
    <t xml:space="preserve">Bank debt and lease liabilities are DERIVED from the company-stated 3.2× / 1.1× ratios plus cash. CROSS-CHECK: the</t>
  </si>
  <si>
    <t xml:space="preserve">derived lease liability is 93% of right-of-use assets — a normal ratio for a mature lease book, which is what gives</t>
  </si>
  <si>
    <t xml:space="preserve">confidence in the derivation.</t>
  </si>
  <si>
    <t xml:space="preserve">Cash flow — and the FCFF reconciliation receipt (US$ mn)</t>
  </si>
  <si>
    <t xml:space="preserve">Net cash from operating activities</t>
  </si>
  <si>
    <t xml:space="preserve">Capex — property, plant &amp; equipment</t>
  </si>
  <si>
    <t xml:space="preserve">Lease principal repaid (in financing)</t>
  </si>
  <si>
    <t xml:space="preserve">Dividends paid</t>
  </si>
  <si>
    <t xml:space="preserve">Net cash used in financing</t>
  </si>
  <si>
    <t xml:space="preserve">THE RECONCILIATION — two independent routes to FY2025 FCFF</t>
  </si>
  <si>
    <t xml:space="preserve">Route A — the NOPAT waterfall</t>
  </si>
  <si>
    <t xml:space="preserve">    NOPAT = EBIT × (1 − t)</t>
  </si>
  <si>
    <t xml:space="preserve">    + D&amp;A</t>
  </si>
  <si>
    <t xml:space="preserve">    − Capex (PPE)</t>
  </si>
  <si>
    <t xml:space="preserve">    − Lease additions (new RoU)</t>
  </si>
  <si>
    <t xml:space="preserve">    − ΔOperating working capital</t>
  </si>
  <si>
    <t xml:space="preserve">    → FCFF (route A)</t>
  </si>
  <si>
    <t xml:space="preserve">Route B — rebuilt from the AUDITED cash-flow statement</t>
  </si>
  <si>
    <t xml:space="preserve">    Net cash from operating activities</t>
  </si>
  <si>
    <t xml:space="preserve">    + after-tax interest (interest sits INSIDE OCF)</t>
  </si>
  <si>
    <t xml:space="preserve">    → FCFF (route B)</t>
  </si>
  <si>
    <t xml:space="preserve">GAP  (route B − route A)</t>
  </si>
  <si>
    <t xml:space="preserve">    as % of route A</t>
  </si>
  <si>
    <t xml:space="preserve">The test that proves interest is an OPERATING item:</t>
  </si>
  <si>
    <t xml:space="preserve">    EBITDA − interest − cash tax − OCF</t>
  </si>
  <si>
    <t xml:space="preserve">    ≈ zero ⇒ interest is already inside OCF, so route B is right to add it back. Two routes built from different statements land within ~2% of each other. That is the receipt.</t>
  </si>
  <si>
    <t xml:space="preserve">Sensitivity — WACC × exit multiple, the beta grid, and the crux</t>
  </si>
  <si>
    <t xml:space="preserve">DCF value (AED/share):  WACC (rows) × exit EV/EBITDA (columns)</t>
  </si>
  <si>
    <t xml:space="preserve">6.0x</t>
  </si>
  <si>
    <t xml:space="preserve">6.5x</t>
  </si>
  <si>
    <t xml:space="preserve">7.5x</t>
  </si>
  <si>
    <t xml:space="preserve">8.5x</t>
  </si>
  <si>
    <t xml:space="preserve">9.5x</t>
  </si>
  <si>
    <t xml:space="preserve">Pink cells bracket spot at AED 0.94.</t>
  </si>
  <si>
    <t xml:space="preserve">THE BETA GRID — the honesty tax on a MEASURED β of 0.489</t>
  </si>
  <si>
    <t xml:space="preserve">Ke</t>
  </si>
  <si>
    <t xml:space="preserve">WACC</t>
  </si>
  <si>
    <t xml:space="preserve">DCF (AED/sh)</t>
  </si>
  <si>
    <t xml:space="preserve">Because the terminal is an OBSERVABLE exit multiple and not a Gordon formula, the DCF is now robust to beta: the whole 0.49 → 1.40 range moves it by only AED 0.21. Under a Gordon terminal the same move was worth multiples of the share price. Removing that leverage is the single most important modelling decision in this study — and it is why beta, though carefully measured, is NOT the crux.</t>
  </si>
  <si>
    <t xml:space="preserve">THE CRUX, IN REAL UNITS — FY26E SALES DENSITY (not the margin: the margin is downstream)</t>
  </si>
  <si>
    <t xml:space="preserve">Density Δ</t>
  </si>
  <si>
    <t xml:space="preserve">Rev growth</t>
  </si>
  <si>
    <t xml:space="preserve">DCF (AED)</t>
  </si>
  <si>
    <t xml:space="preserve">Rel @7.5× (AED)</t>
  </si>
  <si>
    <t xml:space="preserve">Read this as a causal chain: DENSITY → REVENUE → OPERATING LEVERAGE → MARGIN → VALUE. Q1-2026 printed roughly −9%. Management's guidance requires density FLAT for the year. This study's base assumes −2.3%: better than Q1, worse than flat. The H1 print on 19-Aug-2026 tests it, and by the cost model of 'Estate &amp; Leverage' the revenue in that print IS the margin in that print.</t>
  </si>
  <si>
    <t xml:space="preserve">Monte Carlo v3 — carry-anchored YZ-HAR-t (engine/mc_v3.py)</t>
  </si>
  <si>
    <t xml:space="preserve">The drift is the money-market carry. The fundamental gap NEVER enters it — that is the lens-independence rule.</t>
  </si>
  <si>
    <t xml:space="preserve">Engine</t>
  </si>
  <si>
    <t xml:space="preserve">carry-anchored YZ-HAR-t · 50,000 paths · seed 42</t>
  </si>
  <si>
    <t xml:space="preserve">Market profile</t>
  </si>
  <si>
    <t xml:space="preserve">AE (UAE) — read LIVE from engine/market_profiles.py</t>
  </si>
  <si>
    <t xml:space="preserve">Student-t shape ν</t>
  </si>
  <si>
    <t xml:space="preserve">Width calibration</t>
  </si>
  <si>
    <t xml:space="preserve">Signal</t>
  </si>
  <si>
    <t xml:space="preserve">OFF — carry-only (ablated on the AE panel; fallback rule)</t>
  </si>
  <si>
    <t xml:space="preserve">rf — carry anchor (CBUAE base rate)</t>
  </si>
  <si>
    <t xml:space="preserve">Dividend yield q — declared (7 fils)</t>
  </si>
  <si>
    <t xml:space="preserve">Dividend yield q — at the 75% policy</t>
  </si>
  <si>
    <t xml:space="preserve">Carry over 60 sessions (log)</t>
  </si>
  <si>
    <t xml:space="preserve">Event-ledger drift</t>
  </si>
  <si>
    <t xml:space="preserve">σ over 60 sessions</t>
  </si>
  <si>
    <t xml:space="preserve">GATE — UAE market panel (14 names, 237 windows)</t>
  </si>
  <si>
    <t xml:space="preserve">PARITY   +0.49%   CI90 [−0.24%, +1.26%]</t>
  </si>
  <si>
    <t xml:space="preserve">GATE — LULU name level</t>
  </si>
  <si>
    <t xml:space="preserve">NOT IDENTIFIED — 2 test windows against the ~18 a meaningful test needs</t>
  </si>
  <si>
    <t xml:space="preserve">Calibration tier</t>
  </si>
  <si>
    <t xml:space="preserve">PARITY — market-panel validated; NO single-name edge claimed</t>
  </si>
  <si>
    <t xml:space="preserve">PERCENTILE MAP (AED)</t>
  </si>
  <si>
    <t xml:space="preserve">T+20</t>
  </si>
  <si>
    <t xml:space="preserve">T+60</t>
  </si>
  <si>
    <t xml:space="preserve">move at T+60</t>
  </si>
  <si>
    <t xml:space="preserve">5th</t>
  </si>
  <si>
    <t xml:space="preserve">25th</t>
  </si>
  <si>
    <t xml:space="preserve">50th (median)</t>
  </si>
  <si>
    <t xml:space="preserve">75th</t>
  </si>
  <si>
    <t xml:space="preserve">95th</t>
  </si>
  <si>
    <t xml:space="preserve">P(price above spot at T+60)</t>
  </si>
  <si>
    <t xml:space="preserve">P(≥ +10%)</t>
  </si>
  <si>
    <t xml:space="preserve">P(≤ −10%)</t>
  </si>
  <si>
    <t xml:space="preserve">Odds ratio (up10 ÷ down10)</t>
  </si>
  <si>
    <t xml:space="preserve">T+20 cohort matures</t>
  </si>
  <si>
    <t xml:space="preserve">07 Aug 2026</t>
  </si>
  <si>
    <t xml:space="preserve">T+60 cohort matures</t>
  </si>
  <si>
    <t xml:space="preserve">02 Oct 2026</t>
  </si>
  <si>
    <t xml:space="preserve">LEVEL-TOUCH LADDER</t>
  </si>
  <si>
    <t xml:space="preserve">P(touch by T+20)</t>
  </si>
  <si>
    <t xml:space="preserve">P(touch by T+60)</t>
  </si>
  <si>
    <t xml:space="preserve">AED 1.30</t>
  </si>
  <si>
    <t xml:space="preserve">AED 1.20</t>
  </si>
  <si>
    <t xml:space="preserve">AED 1.10</t>
  </si>
  <si>
    <t xml:space="preserve">AED 1.05</t>
  </si>
  <si>
    <t xml:space="preserve">AED 1.00</t>
  </si>
  <si>
    <t xml:space="preserve">AED 0.95</t>
  </si>
  <si>
    <t xml:space="preserve">AED 0.90</t>
  </si>
  <si>
    <t xml:space="preserve">AED 0.85</t>
  </si>
  <si>
    <t xml:space="preserve">AED 0.80</t>
  </si>
  <si>
    <t xml:space="preserve">AED 0.75</t>
  </si>
  <si>
    <t xml:space="preserve">The event ledger — discrete, probability-weighted</t>
  </si>
  <si>
    <t xml:space="preserve">Probability</t>
  </si>
  <si>
    <t xml:space="preserve">Impact</t>
  </si>
  <si>
    <t xml:space="preserve">Contribution</t>
  </si>
  <si>
    <t xml:space="preserve">H1-2026 (19-Aug): Q2 revenue also falls — a 2nd down quarter (the strait was blockaded through Apr–May)</t>
  </si>
  <si>
    <t xml:space="preserve">H1-2026: FY26 revenue guidance (+4–5%) formally withdrawn or cut</t>
  </si>
  <si>
    <t xml:space="preserve">H1-2026: guidance held — density stabilises as the March non-food deferral unwinds</t>
  </si>
  <si>
    <t xml:space="preserve">Hormuz normalisation (MOU 17-Jun; blockade lifted) feeds into an H2 non-food recovery</t>
  </si>
  <si>
    <t xml:space="preserve">Renewed escalation or re-closure of the strait</t>
  </si>
  <si>
    <t xml:space="preserve">Cost programme delivers again: mature-store opex down a 2nd consecutive period</t>
  </si>
  <si>
    <t xml:space="preserve">Interim DPS held at 3.5 fils (the 1.40× cash cover is defended)</t>
  </si>
  <si>
    <t xml:space="preserve">Interim DPS cut toward the 75%-of-earnings policy</t>
  </si>
  <si>
    <t xml:space="preserve">Placement / lock-up release from the 70.44% controlling stake</t>
  </si>
  <si>
    <t xml:space="preserve">Re-rating toward Al Othaim's ~8.9× from LULU's 6.6×</t>
  </si>
  <si>
    <t xml:space="preserve">NET EVENT-LEDGER DRIFT</t>
  </si>
  <si>
    <t xml:space="preserve">The ledger is net NEGATIVE. On the evidence of Q1, the H1-2026 print (19-Aug) and the interim dividend decision are each more likely to disappoint than to surprise. This is why the Monte-Carlo median sits BELOW spot while the fundamental lenses sit above it — and the two are not in conflict. They are different clocks.</t>
  </si>
  <si>
    <t xml:space="preserve">Per-share, returns, and the retail operating dashboard</t>
  </si>
  <si>
    <t xml:space="preserve">Spot (AED)</t>
  </si>
  <si>
    <t xml:space="preserve">IPO price (14-Nov-2024)</t>
  </si>
  <si>
    <t xml:space="preserve">Drawdown from the IPO price</t>
  </si>
  <si>
    <t xml:space="preserve">52-week range (AED)</t>
  </si>
  <si>
    <t xml:space="preserve">0.93 – 1.29</t>
  </si>
  <si>
    <t xml:space="preserve">P/E — trailing</t>
  </si>
  <si>
    <t xml:space="preserve">P/E — FY26E</t>
  </si>
  <si>
    <t xml:space="preserve">Dividend yield — 7 fils declared</t>
  </si>
  <si>
    <t xml:space="preserve">Dividend yield — at the 75% policy</t>
  </si>
  <si>
    <t xml:space="preserve">EV/EBITDA — FY2025</t>
  </si>
  <si>
    <t xml:space="preserve">EV/EBITDA — FY26E</t>
  </si>
  <si>
    <t xml:space="preserve">ROIC (FY2025, after tax)</t>
  </si>
  <si>
    <t xml:space="preserve">ROIC − WACC spread</t>
  </si>
  <si>
    <t xml:space="preserve">ROE (FY2025)</t>
  </si>
  <si>
    <t xml:space="preserve">Stores — FY25 / Q1-26</t>
  </si>
  <si>
    <t xml:space="preserve">267 / 277</t>
  </si>
  <si>
    <t xml:space="preserve">Retail space (m sqm, FY25)</t>
  </si>
  <si>
    <t xml:space="preserve">Private label % of retail sales (Q1-26)</t>
  </si>
  <si>
    <t xml:space="preserve">E-commerce % of retail sales (Q1-26)</t>
  </si>
  <si>
    <t xml:space="preserve">E-commerce growth (Q1-26, y/y)</t>
  </si>
  <si>
    <t xml:space="preserve">Loyalty members (mn)</t>
  </si>
  <si>
    <t xml:space="preserve">Revenue linked to loyalty members</t>
  </si>
  <si>
    <t xml:space="preserve">LFL sales growth — FY25 / Q4-25</t>
  </si>
  <si>
    <t xml:space="preserve">+2.3% / −1.1%</t>
  </si>
  <si>
    <t xml:space="preserve">UAE segment EBITDA margin (FY25)</t>
  </si>
  <si>
    <t xml:space="preserve">KSA segment EBITDA margin (FY25)</t>
  </si>
  <si>
    <t xml:space="preserve">Peer set — secondary market data, flagged as such</t>
  </si>
  <si>
    <t xml:space="preserve">EV/EBITDA</t>
  </si>
  <si>
    <t xml:space="preserve">EBITDA margin</t>
  </si>
  <si>
    <t xml:space="preserve">Div. yield</t>
  </si>
  <si>
    <t xml:space="preserve">Note</t>
  </si>
  <si>
    <t xml:space="preserve">LULU (this study) — at spot 0.94</t>
  </si>
  <si>
    <t xml:space="preserve">FY26E basis, post-IFRS-16</t>
  </si>
  <si>
    <t xml:space="preserve">Abdullah Al Othaim (Tadawul 4001)</t>
  </si>
  <si>
    <t xml:space="preserve">the TIGHTEST structural comp — KSA grocery</t>
  </si>
  <si>
    <t xml:space="preserve">Spinneys 1961 (DFM)</t>
  </si>
  <si>
    <t xml:space="preserve">premium/Waitrose model — NOT margin-comparable</t>
  </si>
  <si>
    <t xml:space="preserve">BinDawood (Tadawul 4161)</t>
  </si>
  <si>
    <t xml:space="preserve">KSA grocery</t>
  </si>
  <si>
    <t xml:space="preserve">Tesco (LSE)</t>
  </si>
  <si>
    <t xml:space="preserve">international mass grocer</t>
  </si>
  <si>
    <t xml:space="preserve">Ahold Delhaize (AMS)</t>
  </si>
  <si>
    <t xml:space="preserve">Carrefour (EPA)</t>
  </si>
  <si>
    <t xml:space="preserve">Jerónimo Martins (ELI)</t>
  </si>
  <si>
    <t xml:space="preserve">the premium multiple within the group</t>
  </si>
  <si>
    <t xml:space="preserve">Majid Al Futtaim / Carrefour UAE</t>
  </si>
  <si>
    <t xml:space="preserve">largest UAE competitor — UNLISTED</t>
  </si>
  <si>
    <t xml:space="preserve">Union Coop (UAE)</t>
  </si>
  <si>
    <t xml:space="preserve">exploring an IPO</t>
  </si>
  <si>
    <t xml:space="preserve">LULU trades at roughly 6.6× FY26E EV/EBITDA against Al Othaim's ~8.9× — a ~26% discount to its closest</t>
  </si>
  <si>
    <t xml:space="preserve">structural comparable, on a business that is #1 in four of the six GCC markets it operates in.</t>
  </si>
  <si>
    <t xml:space="preserve">That discount IS the study.</t>
  </si>
  <si>
    <t xml:space="preserve">Peer multiples are secondary/vendor data and are flagged as such. They set a RANGE (6.5–8.5×), never a point.</t>
  </si>
  <si>
    <t xml:space="preserve">No LULU financial-statement line item anywhere in this workbook comes from an aggregator.</t>
  </si>
  <si>
    <t xml:space="preserve">Research sources — every finding dated and attributed</t>
  </si>
  <si>
    <t xml:space="preserve">Scope</t>
  </si>
  <si>
    <t xml:space="preserve">What kind of finding</t>
  </si>
  <si>
    <t xml:space="preserve">Finding</t>
  </si>
  <si>
    <t xml:space="preserve">Source</t>
  </si>
  <si>
    <t xml:space="preserve">Date</t>
  </si>
  <si>
    <t xml:space="preserve">Global</t>
  </si>
  <si>
    <t xml:space="preserve">Structural</t>
  </si>
  <si>
    <t xml:space="preserve">AED hard-pegged to USD at 3.6725; CBUAE Base Rate 3.65% tracks the Fed. AED T-Bond programme is the study's rf source: Jan-2031 tranche cleared 4.30% (23-May-26 auction); longest AED tenor is the 7-yr Feb-2033 T-Sukuk at 4.13% (Apr-26). No 10-yr AED tenor exists.</t>
  </si>
  <si>
    <t xml:space="preserve">UAE Ministry of Finance T-Bond auction releases; CBUAE</t>
  </si>
  <si>
    <t xml:space="preserve">23 May 2026</t>
  </si>
  <si>
    <t xml:space="preserve">Global food commodity prices and freight are LULU's principal input cost. The 2026 Strait of Hormuz crisis (US/Israel strikes and IRGC VHF closure warnings 28-Feb-26; formal IRGC closure announced 2-Mar-26; 'complete control' declared 4-Mar-26; US naval blockade 13-Apr to 29-May; Islamabad MOU signed 17-Jun-26 and the strait reopening) disrupted GCC food imports; regional consumer price spikes wer</t>
  </si>
  <si>
    <t xml:space="preserve">Company Q1-2026 results commentary; press coverage of the disruption</t>
  </si>
  <si>
    <t xml:space="preserve">11 May 2026</t>
  </si>
  <si>
    <t xml:space="preserve">COLOR</t>
  </si>
  <si>
    <t xml:space="preserve">Global grocery retail is a low-growth, low-margin, defensive category. Global retail sector EV/EBITDA ~11.7x (all retail); listed food retailers cluster far lower at ~5-7x (Tesco, Ahold Delhaize, Carrefour), with Jeronimo Martins at a premium.</t>
  </si>
  <si>
    <t xml:space="preserve">Statista global retail sector multiples; peer quotes</t>
  </si>
  <si>
    <t xml:space="preserve">11 Jul 2026</t>
  </si>
  <si>
    <t xml:space="preserve">LULU sources from 85 countries via 19 sourcing centres — an unusually deep own-import chain for a regional grocer. The Hormuz disruption tested it directly; management reported all stores remained open and well-stocked, which is the falsifiable claim.</t>
  </si>
  <si>
    <t xml:space="preserve">Company Q1-2026 earnings release</t>
  </si>
  <si>
    <t xml:space="preserve">Country</t>
  </si>
  <si>
    <t xml:space="preserve">UAE Aa2 (Moody's). GDP +5.6% (2025), non-oil +6.1%. Inflation 1.3% avg 2025; food inflation easing. Peg intact — no devaluation channel. Q1/Q2-2026 growth sharply decelerated on the Hormuz closure. KSA: Vision-2030 population and retail growth, offset by Saudization labour cost.</t>
  </si>
  <si>
    <t xml:space="preserve">CBUAE; World Bank; Damodaran country file (Aa2)</t>
  </si>
  <si>
    <t xml:space="preserve">Unlocks a driver</t>
  </si>
  <si>
    <t xml:space="preserve">UAE 9% federal corporate tax effective for FYs beginning on/after 1-Jun-2023. KSA subsidiary taxed under Saudi CIT/zakat. Group effective tax rate FY2025 = 11.85% (27.499 / 232.031), FY2024 = 9.35% — rising with the KSA mix. No price caps on grocery retail.</t>
  </si>
  <si>
    <t xml:space="preserve">FY2025 audited consolidated financial statements (Deloitte)</t>
  </si>
  <si>
    <t xml:space="preserve">18 Mar 2026</t>
  </si>
  <si>
    <t xml:space="preserve">The 2026 regional escalation / Strait of Hormuz closure is the dominant country-ring event: it hit during the MARCH portion of Ramadan (c.18-Feb to 19-Mar-2026), grocery's seasonal peak. LULU's Q1-2026 revenue fell 2.9% and net income fell 33% — a Ramadan quarter that went backwards.</t>
  </si>
  <si>
    <t xml:space="preserve">Company Q1-2026 earnings release, 11-May-2026</t>
  </si>
  <si>
    <t xml:space="preserve">Industry</t>
  </si>
  <si>
    <t xml:space="preserve">GCC grocery market projected to reach c.US$101bn by 2028, a 4.2% CAGR 2023-28 (modern retail ~4.8%). LULU held 13.5% of the GCC modern offline grocery market in 2023 — #1 overall, and #1 in Oman, Qatar, Kuwait and Bahrain; #2 in the UAE; fastest-growing player of scale in KSA.</t>
  </si>
  <si>
    <t xml:space="preserve">Euromonitor International, cited in the company's IPO/ITF disclosure</t>
  </si>
  <si>
    <t xml:space="preserve">14 Nov 2024</t>
  </si>
  <si>
    <t xml:space="preserve">Grocery pricing is pass-through-constrained and promotional. LULU's gross margin has been flat-to-down: 23.02% (FY23) -&gt; 23.16% (FY24) -&gt; 22.98% (FY25), and 22.2% in Q1-2026. The EBITDA margin fell to 9.5% in Q4-2025 and again 9.5% in Q1-2026, from 9.86% for FY25.</t>
  </si>
  <si>
    <t xml:space="preserve">FY2023-FY2025 audited FS; Q1-2026 earnings release</t>
  </si>
  <si>
    <t xml:space="preserve">Discounters and quick-commerce aggregators are entering GCC grocery. Saudi broker commentary on Al Othaim explicitly names 'new discounters such as Lulu' and convenience formats (BinDawood's 'dash') as margin pressures — i.e. the discount channel is live in KSA, LULU's weakest-margin market (4.7% segment EBITDA margin FY25).</t>
  </si>
  <si>
    <t xml:space="preserve">Al-Jazira Capital broker note on Al Othaim; sector coverage</t>
  </si>
  <si>
    <t xml:space="preserve">E-commerce is additive, not substitutive, for LULU: FY2025 online sales US$451.1m, +38.6%, 6.0% of retail sales; Q1-2026 US$150m, +61%, 7.9% of sales. About half the estate is e-commerce enabled; quick-commerce (45-90 min) live; Amazon partnership in the UAE.</t>
  </si>
  <si>
    <t xml:space="preserve">FY2025 results; Q1-2026 earnings release</t>
  </si>
  <si>
    <t xml:space="preserve">Closest listed comps and their marks: Spinneys (DFM) FY2025 adj. EBITDA margin 20.0% on a premium/Waitrose positioning (fresh 64.2%, private label 45.4% of sales) — not structurally comparable; Abdullah Al Othaim Markets (Tadawul 4001) EV/EBITDA ~8.9x on a ~6.5% EBITDA margin — the tightest structural comp; BinDawood (Tadawul 4161). Carrefour/Majid Al Futtaim is the largest UAE competitor but unli</t>
  </si>
  <si>
    <t xml:space="preserve">Spinneys FY2025 results release (11-Feb-26); Tadawul/vendor quotes</t>
  </si>
  <si>
    <t xml:space="preserve">Company</t>
  </si>
  <si>
    <t xml:space="preserve">FY2023/FY2024/FY2025 audited consolidated FS (Deloitte &amp; Touche ME, unqualified, 18-Mar-2026) captured. FY2025: revenue 7,933.970; gross profit 1,822.836; other operating income 302.553; operating expenses (1,731.157) incl. D&amp;A; finance costs net (162.201); tax (27.499); net profit 204.532; EPS US$0.0198. RECONCILED: EBIT 394.232 + D&amp;A 387.946 (PPE 167.018 / RoU 219.381 / IP 1.547) = EBITDA 782.17</t>
  </si>
  <si>
    <t xml:space="preserve">FY2026 guidance issued 13-Feb-26 and REITERATED at Q1 on 11-May-26 (i.e. after the Q1 miss): revenue +4-5%; FLAT EBITDA margin; net profit +10%; 18-20 new stores; capex 1.2-1.5% of sales. Medium-term: 50 new stores 2026-28; dividend policy 75% of distributable profit, semi-annual.</t>
  </si>
  <si>
    <t xml:space="preserve">Q1-2026 earnings release / results call</t>
  </si>
  <si>
    <t xml:space="preserve">Changes the base case</t>
  </si>
  <si>
    <t xml:space="preserve">Q1-2026 (11-May-26): revenue US$2,020m (-2.9% YoY); gross margin 22.2%; EBITDA US$192m (9.5% margin); net income US$47m (-33% YoY); 277 stores (+10 in the quarter); net debt US$2.5bn = 3.3x IFRS-16 / 0.9x ex-lease; e-commerce US$150m (+61%, 7.9% of sales); private label 30.2%.</t>
  </si>
  <si>
    <t xml:space="preserve">Q1-2026 earnings release</t>
  </si>
  <si>
    <t xml:space="preserve">Store network FY2025: 267 stores (123 hypermarkets, 118 express, 26 mini) — UAE 116, KSA 65, Oman 32, Qatar 24, Kuwait 17, Bahrain 13; 1.38m sqm retail space (+5.6%). Loyalty: 8.4m members, ~67% of revenue member-linked. c.680-690k daily shoppers, 130 nationalities. ~70% of FY24/FY25 openings were smaller express/mini formats (the asset-light pivot).</t>
  </si>
  <si>
    <t xml:space="preserve">FY2025 results presentation / IR disclosure</t>
  </si>
  <si>
    <t xml:space="preserve">13 Feb 2026</t>
  </si>
  <si>
    <t xml:space="preserve">FY2025 net profit fell 5.4% on continuing operations (204.532 vs 216.280) and the FY2025 dividend of 7 fils (US$196.9m) was ~96% of net profit, against a STATED 75% payout policy. FY2024 also carried US$32.9m of discontinued-operations profit (a lease-termination gain) that does not recur. No acquisitions, disposals or capital raises identified in FY2025/H1-2026.</t>
  </si>
  <si>
    <t xml:space="preserve">FY2025 audited FS; dividend declarations</t>
  </si>
  <si>
    <t xml:space="preserve">Lulu International Holdings Limited holds 70.44% post-IPO (FY2025 audited FS, Note 1); ultimate controlling party Mr. Yusuffali M.A. IPO 14-Nov-2024 at AED 2.04 was a 100% SECONDARY offering (AED 6.32bn to the selling shareholder; no primary proceeds to the company). Cornerstone investors carried a 180-day lock-up (expired c.mid-May-2025). SEARCHED SPECIFICALLY: the controlling shareholder's own l</t>
  </si>
  <si>
    <t xml:space="preserve">FY2025 audited FS Note 1; IPO prospectus / ADX admission documents</t>
  </si>
  <si>
    <t xml:space="preserve">No management change, buyback, capital raise or rating action identified for FY2025/H1-2026. Dividend paid semi-annually (interim 3.5 fils + final 3.5 fils for FY2025). Next scheduled print: H1-2026 results, 19-Aug-2026.</t>
  </si>
  <si>
    <t xml:space="preserve">Company IR calendar / results announcements</t>
  </si>
  <si>
    <t xml:space="preserve">Searched — not found</t>
  </si>
  <si>
    <t xml:space="preserve">Negative search — nothing found (multi-year revenue/margin guidance beyond FY2026; capital-markets day; maintenance-vs-growth capex split; any company-disclosed valuation guide or target multiple — none exist)</t>
  </si>
  <si>
    <t xml:space="preserve">negative search</t>
  </si>
  <si>
    <t xml:space="preserve">Negative search — nothing found (FY2024/FY2025 trade payables line and the full cash-conversion cycle — disclosed only inside the audited notes, not in the captured summary statements; FY2023 is the last fully-disclosed year)</t>
  </si>
  <si>
    <t xml:space="preserve">Cost-of-capital inputs sourced, not assumed. rf = 4.30% (AED T-Bond Jan-2031 tranche cut-off, UAE MoF auction 23-May-26) — the LOCAL government bond, never a US-Treasury shortcut, even under a peg; cross-check 4.13% on the 7-yr Feb-2033 T-Sukuk. ERP = 4.87% (Damodaran ORIGINAL ctryprem.html, 5-Jan-26 vintage: UAE Aa2, mature-market 4.23% + CRP 0.64%); Abu Dhabi CDS-basis 4.93% published alongside.</t>
  </si>
  <si>
    <t xml:space="preserve">UAE MoF auction release; Damodaran ctryprem.html; CBUAE</t>
  </si>
  <si>
    <t xml:space="preserve">Q1-2026 press release (11-May-26) DISCLOSES the operating cost base: 'operating expenses (excluding depreciation) increased by just 1.1% year-on-year' and 'a mid-single digit percentage reduction in staff costs in existing stores'. Combined with the disclosed gross profit (US$449m) and EBITDA (US$192m), the Q1 margin bridge is pure arithmetic: -73bp = -65bp operating deleverage + -7bp contribution</t>
  </si>
  <si>
    <t xml:space="preserve">Lulu Retail Q1-2026 press release</t>
  </si>
  <si>
    <t xml:space="preserve">Q1-2026 store table: 11 stores opened, ALL EXPRESS format, totalling 20,153 sqm (= 1,832 sqm each); one Mini Market closed (227 sqm) =&gt; 10 NET, 267 -&gt; 277. Country split of openings: UAE 6, KSA 2, Kuwait 2, Oman 1. KSA store count 65 -&gt; 67. This gives the Express footprint used to forecast space.</t>
  </si>
  <si>
    <t xml:space="preserve">Company website discloses the format split (123 hypermarkets: UAE 43, KSA 30, Oman 21, Qatar 11, Kuwait 8, Bahrain 9) and the average hypermarket selling area (9,200 sqm). With the 1,832 sqm Express figure this reconstructs SEGMENT SPACE, and the derived total ties to the disclosed 1.380m sqm estate to within 0.6% — which licenses segment-level SALES DENSITY.</t>
  </si>
  <si>
    <t xml:space="preserve">luluretail.com — Retail</t>
  </si>
  <si>
    <t xml:space="preserve">Jul 2026</t>
  </si>
  <si>
    <t xml:space="preserve">Context</t>
  </si>
  <si>
    <t xml:space="preserve">Q1-2026 trading SHAPE: 'Trading in January and February was in line with the Company's expectations'; 'March saw a slowdown, particularly in non-food'. By category: CPG and Fresh Food INCREASED y/y; Lifestyle modestly down; Electrical 'a particularly pronounced decline ... mostly during March'. Capex 1.3% of sales. Loyalty-linked sales c.70%. 690,000 daily shoppers.</t>
  </si>
  <si>
    <t xml:space="preserve">“Searched — not found” rows (shaded) are deliberate: a figure that was looked for and shown not to exist is part of the record, and each is carried through the study as an explicit limitation rather than quietly filled with an estimate.</t>
  </si>
  <si>
    <t xml:space="preserve">Scope = which layer the finding sits in (company / industry / country / global). "Searched — not found" rows are deliberate: a figure looked for and shown not to exist is part of the record.. Coverage is categories CLOSED, never query count.</t>
  </si>
  <si>
    <t xml:space="preserve">Calibration Ledger — the cohort this study registers</t>
  </si>
  <si>
    <t xml:space="preserve">Value</t>
  </si>
  <si>
    <t xml:space="preserve">Ticker</t>
  </si>
  <si>
    <t xml:space="preserve">LULU</t>
  </si>
  <si>
    <t xml:space="preserve">Market</t>
  </si>
  <si>
    <t xml:space="preserve">AE — Abu Dhabi Securities Exchange</t>
  </si>
  <si>
    <t xml:space="preserve">Anchor date</t>
  </si>
  <si>
    <t xml:space="preserve">10 Jul 2026</t>
  </si>
  <si>
    <t xml:space="preserve">Anchor price (AED)</t>
  </si>
  <si>
    <t xml:space="preserve">mc_v3 — carry-anchored YZ-HAR-t</t>
  </si>
  <si>
    <t xml:space="preserve">ν / width_cal</t>
  </si>
  <si>
    <t xml:space="preserve">10 / 1.049  (UAE market fit, read live from the repo)</t>
  </si>
  <si>
    <t xml:space="preserve">OFF — carry-only</t>
  </si>
  <si>
    <t xml:space="preserve">Price-history screen (corporate actions, bad prints)</t>
  </si>
  <si>
    <t xml:space="preserve">PASS — 410 rows, 0 repairs, 248.8 rows/yr vs the ADX calendar</t>
  </si>
  <si>
    <t xml:space="preserve">Market-panel validation (14 ADX/DFM names)</t>
  </si>
  <si>
    <t xml:space="preserve">PARITY — 14 names, 237 windows, +0.49% CI90 [−0.24%, +1.26%]</t>
  </si>
  <si>
    <t xml:space="preserve">Name-level verdict</t>
  </si>
  <si>
    <t xml:space="preserve">NOT IDENTIFIED — 2 test windows vs the ~18 a meaningful test needs</t>
  </si>
  <si>
    <t xml:space="preserve">PARITY — market-panel validated, NO single-name edge claimed</t>
  </si>
  <si>
    <t xml:space="preserve">T+20  p5 / p50 / p95</t>
  </si>
  <si>
    <t xml:space="preserve">0.80 / 0.94 / 1.10</t>
  </si>
  <si>
    <t xml:space="preserve">T+60  p5 / p50 / p95</t>
  </si>
  <si>
    <t xml:space="preserve">0.71 / 0.93 / 1.22</t>
  </si>
  <si>
    <t xml:space="preserve">Grading rule</t>
  </si>
  <si>
    <t xml:space="preserve">graded against these FROZEN percentiles on maturity; never retro-edited</t>
  </si>
  <si>
    <t xml:space="preserve">Ledgers are APPEND-ONLY. This cohort will be graded against the percentiles above exactly as they stand today — pass or fail — and published on the public Calibration Ledger.</t>
  </si>
</sst>
</file>

<file path=xl/styles.xml><?xml version="1.0" encoding="utf-8"?>
<styleSheet xmlns="http://schemas.openxmlformats.org/spreadsheetml/2006/main">
  <numFmts count="12">
    <numFmt numFmtId="164" formatCode="General"/>
    <numFmt numFmtId="165" formatCode="0.00"/>
    <numFmt numFmtId="166" formatCode="#,##0.0;\(#,##0.0\);\-"/>
    <numFmt numFmtId="167" formatCode="0.000"/>
    <numFmt numFmtId="168" formatCode="0.00\x"/>
    <numFmt numFmtId="169" formatCode="0.0%"/>
    <numFmt numFmtId="170" formatCode="0"/>
    <numFmt numFmtId="171" formatCode="0.0000"/>
    <numFmt numFmtId="172" formatCode="#,##0"/>
    <numFmt numFmtId="173" formatCode="0.0"/>
    <numFmt numFmtId="174" formatCode="\+0.0%;\-0.0%"/>
    <numFmt numFmtId="175" formatCode="\+0.00%;\-0.00%"/>
  </numFmts>
  <fonts count="18">
    <font>
      <sz val="11"/>
      <color theme="1"/>
      <name val="Calibri"/>
      <family val="2"/>
      <charset val="1"/>
    </font>
    <font>
      <sz val="10"/>
      <name val="Arial"/>
      <family val="0"/>
    </font>
    <font>
      <sz val="10"/>
      <name val="Arial"/>
      <family val="0"/>
    </font>
    <font>
      <sz val="10"/>
      <name val="Arial"/>
      <family val="0"/>
    </font>
    <font>
      <b val="true"/>
      <sz val="13"/>
      <color rgb="FF1A1A2E"/>
      <name val="Arial"/>
      <family val="0"/>
      <charset val="1"/>
    </font>
    <font>
      <sz val="10"/>
      <name val="Arial"/>
      <family val="0"/>
      <charset val="1"/>
    </font>
    <font>
      <b val="true"/>
      <sz val="10"/>
      <name val="Arial"/>
      <family val="0"/>
      <charset val="1"/>
    </font>
    <font>
      <i val="true"/>
      <sz val="8"/>
      <color rgb="FF6C7A89"/>
      <name val="Arial"/>
      <family val="0"/>
      <charset val="1"/>
    </font>
    <font>
      <sz val="10"/>
      <color rgb="FF0000FF"/>
      <name val="Arial"/>
      <family val="0"/>
      <charset val="1"/>
    </font>
    <font>
      <sz val="10"/>
      <color rgb="FF000000"/>
      <name val="Arial"/>
      <family val="0"/>
      <charset val="1"/>
    </font>
    <font>
      <b val="true"/>
      <sz val="10"/>
      <color rgb="FF000000"/>
      <name val="Arial"/>
      <family val="0"/>
      <charset val="1"/>
    </font>
    <font>
      <b val="true"/>
      <sz val="11"/>
      <color rgb="FF0000FF"/>
      <name val="Arial"/>
      <family val="0"/>
      <charset val="1"/>
    </font>
    <font>
      <b val="true"/>
      <sz val="10"/>
      <color rgb="FFFFFFFF"/>
      <name val="Arial"/>
      <family val="0"/>
      <charset val="1"/>
    </font>
    <font>
      <sz val="10"/>
      <color rgb="FF008000"/>
      <name val="Arial"/>
      <family val="0"/>
      <charset val="1"/>
    </font>
    <font>
      <b val="true"/>
      <sz val="10"/>
      <color rgb="FF0000FF"/>
      <name val="Arial"/>
      <family val="0"/>
      <charset val="1"/>
    </font>
    <font>
      <i val="true"/>
      <sz val="9"/>
      <name val="Arial"/>
      <family val="0"/>
      <charset val="1"/>
    </font>
    <font>
      <sz val="9"/>
      <name val="Arial"/>
      <family val="0"/>
      <charset val="1"/>
    </font>
    <font>
      <sz val="8"/>
      <name val="Arial"/>
      <family val="0"/>
      <charset val="1"/>
    </font>
  </fonts>
  <fills count="6">
    <fill>
      <patternFill patternType="none"/>
    </fill>
    <fill>
      <patternFill patternType="gray125"/>
    </fill>
    <fill>
      <patternFill patternType="solid">
        <fgColor rgb="FFFFF9E0"/>
        <bgColor rgb="FFFAF8F5"/>
      </patternFill>
    </fill>
    <fill>
      <patternFill patternType="solid">
        <fgColor rgb="FFFFE8E0"/>
        <bgColor rgb="FFFFF9E0"/>
      </patternFill>
    </fill>
    <fill>
      <patternFill patternType="solid">
        <fgColor rgb="FF1A1A2E"/>
        <bgColor rgb="FF333300"/>
      </patternFill>
    </fill>
    <fill>
      <patternFill patternType="solid">
        <fgColor rgb="FFFAF8F5"/>
        <bgColor rgb="FFFF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xf numFmtId="167" fontId="8" fillId="0" borderId="0" xfId="0" applyFont="true" applyBorder="false" applyAlignment="false" applyProtection="false">
      <alignment horizontal="general" vertical="bottom" textRotation="0" wrapText="false" indent="0"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66" fontId="10" fillId="0" borderId="0" xfId="0" applyFont="true" applyBorder="false" applyAlignment="false" applyProtection="false">
      <alignment horizontal="general" vertical="bottom" textRotation="0" wrapText="false" indent="0" shrinkToFit="false"/>
      <protection locked="true" hidden="false"/>
    </xf>
    <xf numFmtId="168" fontId="8" fillId="0" borderId="0" xfId="0" applyFont="true" applyBorder="false" applyAlignment="false" applyProtection="false">
      <alignment horizontal="general" vertical="bottom" textRotation="0" wrapText="false" indent="0" shrinkToFit="false"/>
      <protection locked="true" hidden="false"/>
    </xf>
    <xf numFmtId="169" fontId="9" fillId="0" borderId="0" xfId="0" applyFont="true" applyBorder="false" applyAlignment="false" applyProtection="false">
      <alignment horizontal="general" vertical="bottom" textRotation="0" wrapText="false" indent="0" shrinkToFit="false"/>
      <protection locked="true" hidden="false"/>
    </xf>
    <xf numFmtId="169" fontId="8" fillId="0" borderId="0" xfId="0" applyFont="true" applyBorder="false" applyAlignment="false" applyProtection="false">
      <alignment horizontal="general" vertical="bottom" textRotation="0" wrapText="false" indent="0" shrinkToFit="false"/>
      <protection locked="true" hidden="false"/>
    </xf>
    <xf numFmtId="169" fontId="10" fillId="2" borderId="0" xfId="0" applyFont="true" applyBorder="false" applyAlignment="false" applyProtection="false">
      <alignment horizontal="general" vertical="bottom" textRotation="0" wrapText="false" indent="0" shrinkToFit="false"/>
      <protection locked="true" hidden="false"/>
    </xf>
    <xf numFmtId="167" fontId="9" fillId="0" borderId="0" xfId="0" applyFont="true" applyBorder="false" applyAlignment="false" applyProtection="false">
      <alignment horizontal="general" vertical="bottom" textRotation="0" wrapText="false" indent="0" shrinkToFit="false"/>
      <protection locked="true" hidden="false"/>
    </xf>
    <xf numFmtId="166" fontId="10" fillId="2" borderId="0" xfId="0" applyFont="true" applyBorder="false" applyAlignment="false" applyProtection="false">
      <alignment horizontal="general" vertical="bottom" textRotation="0" wrapText="false" indent="0" shrinkToFit="false"/>
      <protection locked="true" hidden="false"/>
    </xf>
    <xf numFmtId="169" fontId="10" fillId="3" borderId="0" xfId="0" applyFont="true" applyBorder="false" applyAlignment="false" applyProtection="false">
      <alignment horizontal="general" vertical="bottom" textRotation="0" wrapText="false" indent="0" shrinkToFit="false"/>
      <protection locked="true" hidden="false"/>
    </xf>
    <xf numFmtId="164" fontId="11" fillId="2" borderId="0" xfId="0" applyFont="true" applyBorder="false" applyAlignment="false" applyProtection="false">
      <alignment horizontal="general" vertical="bottom" textRotation="0" wrapText="false" indent="0" shrinkToFit="false"/>
      <protection locked="true" hidden="false"/>
    </xf>
    <xf numFmtId="164" fontId="12" fillId="4" borderId="0" xfId="0" applyFont="true" applyBorder="false" applyAlignment="true" applyProtection="false">
      <alignment horizontal="center" vertical="bottom" textRotation="0" wrapText="false" indent="0" shrinkToFit="false"/>
      <protection locked="true" hidden="false"/>
    </xf>
    <xf numFmtId="170" fontId="8" fillId="0" borderId="0" xfId="0" applyFont="true" applyBorder="false" applyAlignment="false" applyProtection="false">
      <alignment horizontal="general" vertical="bottom" textRotation="0" wrapText="false" indent="0" shrinkToFit="false"/>
      <protection locked="true" hidden="false"/>
    </xf>
    <xf numFmtId="170" fontId="6" fillId="0" borderId="0" xfId="0" applyFont="true" applyBorder="false" applyAlignment="false" applyProtection="false">
      <alignment horizontal="general" vertical="bottom" textRotation="0" wrapText="false" indent="0" shrinkToFit="false"/>
      <protection locked="true" hidden="false"/>
    </xf>
    <xf numFmtId="169" fontId="10" fillId="0" borderId="0" xfId="0" applyFont="true" applyBorder="false" applyAlignment="false" applyProtection="false">
      <alignment horizontal="general" vertical="bottom" textRotation="0" wrapText="false" indent="0" shrinkToFit="false"/>
      <protection locked="true" hidden="false"/>
    </xf>
    <xf numFmtId="164" fontId="12" fillId="4" borderId="0" xfId="0" applyFont="true" applyBorder="false" applyAlignment="false" applyProtection="false">
      <alignment horizontal="general" vertical="bottom" textRotation="0" wrapText="false" indent="0" shrinkToFit="false"/>
      <protection locked="true" hidden="false"/>
    </xf>
    <xf numFmtId="171" fontId="8" fillId="0" borderId="0" xfId="0" applyFont="true" applyBorder="false" applyAlignment="false" applyProtection="false">
      <alignment horizontal="general" vertical="bottom" textRotation="0" wrapText="false" indent="0" shrinkToFit="false"/>
      <protection locked="true" hidden="false"/>
    </xf>
    <xf numFmtId="171" fontId="5" fillId="0" borderId="0" xfId="0" applyFont="true" applyBorder="false" applyAlignment="false" applyProtection="false">
      <alignment horizontal="general" vertical="bottom" textRotation="0" wrapText="false" indent="0" shrinkToFit="false"/>
      <protection locked="true" hidden="false"/>
    </xf>
    <xf numFmtId="172" fontId="8" fillId="0" borderId="0" xfId="0" applyFont="true" applyBorder="false" applyAlignment="false" applyProtection="false">
      <alignment horizontal="general" vertical="bottom" textRotation="0" wrapText="false" indent="0" shrinkToFit="false"/>
      <protection locked="true" hidden="false"/>
    </xf>
    <xf numFmtId="171" fontId="6" fillId="2" borderId="0" xfId="0" applyFont="true" applyBorder="false" applyAlignment="false" applyProtection="false">
      <alignment horizontal="general" vertical="bottom" textRotation="0" wrapText="false" indent="0" shrinkToFit="false"/>
      <protection locked="true" hidden="false"/>
    </xf>
    <xf numFmtId="169" fontId="5" fillId="0" borderId="0" xfId="0" applyFont="tru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6" fontId="6" fillId="2" borderId="0" xfId="0" applyFont="true" applyBorder="false" applyAlignment="false" applyProtection="false">
      <alignment horizontal="general" vertical="bottom" textRotation="0" wrapText="false" indent="0" shrinkToFit="false"/>
      <protection locked="true" hidden="false"/>
    </xf>
    <xf numFmtId="166" fontId="6" fillId="3" borderId="0" xfId="0" applyFont="true" applyBorder="false" applyAlignment="false" applyProtection="false">
      <alignment horizontal="general" vertical="bottom" textRotation="0" wrapText="false" indent="0" shrinkToFit="false"/>
      <protection locked="true" hidden="false"/>
    </xf>
    <xf numFmtId="166" fontId="8" fillId="3" borderId="0" xfId="0" applyFont="true" applyBorder="false" applyAlignment="false" applyProtection="false">
      <alignment horizontal="general" vertical="bottom" textRotation="0" wrapText="false" indent="0" shrinkToFit="false"/>
      <protection locked="true" hidden="false"/>
    </xf>
    <xf numFmtId="169" fontId="6" fillId="3" borderId="0" xfId="0" applyFont="true" applyBorder="false" applyAlignment="false" applyProtection="false">
      <alignment horizontal="general" vertical="bottom" textRotation="0" wrapText="false" indent="0" shrinkToFit="false"/>
      <protection locked="true" hidden="false"/>
    </xf>
    <xf numFmtId="169" fontId="8" fillId="3" borderId="0" xfId="0" applyFont="true" applyBorder="false" applyAlignment="false" applyProtection="false">
      <alignment horizontal="general" vertical="bottom" textRotation="0" wrapText="false" indent="0" shrinkToFit="false"/>
      <protection locked="true" hidden="false"/>
    </xf>
    <xf numFmtId="170" fontId="8" fillId="3" borderId="0" xfId="0" applyFont="true" applyBorder="false" applyAlignment="false" applyProtection="false">
      <alignment horizontal="general" vertical="bottom" textRotation="0" wrapText="false" indent="0" shrinkToFit="false"/>
      <protection locked="true" hidden="false"/>
    </xf>
    <xf numFmtId="172" fontId="8" fillId="3" borderId="0" xfId="0" applyFont="true" applyBorder="false" applyAlignment="false" applyProtection="false">
      <alignment horizontal="general" vertical="bottom" textRotation="0" wrapText="false" indent="0" shrinkToFit="false"/>
      <protection locked="true" hidden="false"/>
    </xf>
    <xf numFmtId="169" fontId="5" fillId="2" borderId="0" xfId="0" applyFont="true" applyBorder="false" applyAlignment="false" applyProtection="false">
      <alignment horizontal="general" vertical="bottom" textRotation="0" wrapText="false" indent="0" shrinkToFit="false"/>
      <protection locked="true" hidden="false"/>
    </xf>
    <xf numFmtId="169" fontId="6" fillId="5" borderId="0" xfId="0" applyFont="true" applyBorder="false" applyAlignment="false" applyProtection="false">
      <alignment horizontal="general" vertical="bottom" textRotation="0" wrapText="false" indent="0" shrinkToFit="false"/>
      <protection locked="true" hidden="false"/>
    </xf>
    <xf numFmtId="169" fontId="6" fillId="2" borderId="0" xfId="0" applyFont="true" applyBorder="false" applyAlignment="false" applyProtection="false">
      <alignment horizontal="general" vertical="bottom" textRotation="0" wrapText="false" indent="0" shrinkToFit="false"/>
      <protection locked="true" hidden="false"/>
    </xf>
    <xf numFmtId="168" fontId="6" fillId="2" borderId="0" xfId="0" applyFont="true" applyBorder="false" applyAlignment="false" applyProtection="false">
      <alignment horizontal="general" vertical="bottom" textRotation="0" wrapText="false" indent="0" shrinkToFit="false"/>
      <protection locked="true" hidden="false"/>
    </xf>
    <xf numFmtId="167" fontId="5" fillId="0" borderId="0" xfId="0" applyFont="true" applyBorder="false" applyAlignment="false" applyProtection="false">
      <alignment horizontal="general" vertical="bottom" textRotation="0" wrapText="false" indent="0" shrinkToFit="false"/>
      <protection locked="true" hidden="false"/>
    </xf>
    <xf numFmtId="166" fontId="13" fillId="0" borderId="0" xfId="0" applyFont="true" applyBorder="false" applyAlignment="false" applyProtection="false">
      <alignment horizontal="general" vertical="bottom" textRotation="0" wrapText="false" indent="0" shrinkToFit="false"/>
      <protection locked="true" hidden="false"/>
    </xf>
    <xf numFmtId="166" fontId="6" fillId="0" borderId="0" xfId="0" applyFont="true" applyBorder="false" applyAlignment="false" applyProtection="false">
      <alignment horizontal="general" vertical="bottom" textRotation="0" wrapText="false" indent="0" shrinkToFit="false"/>
      <protection locked="true" hidden="false"/>
    </xf>
    <xf numFmtId="165" fontId="6" fillId="2" borderId="0" xfId="0" applyFont="true" applyBorder="false" applyAlignment="false" applyProtection="false">
      <alignment horizontal="general" vertical="bottom" textRotation="0" wrapText="false" indent="0" shrinkToFit="false"/>
      <protection locked="true" hidden="false"/>
    </xf>
    <xf numFmtId="168" fontId="5" fillId="0" borderId="0" xfId="0" applyFont="true" applyBorder="false" applyAlignment="false" applyProtection="false">
      <alignment horizontal="general" vertical="bottom" textRotation="0" wrapText="false" indent="0" shrinkToFit="false"/>
      <protection locked="true" hidden="false"/>
    </xf>
    <xf numFmtId="165" fontId="13" fillId="0" borderId="0" xfId="0" applyFont="true" applyBorder="false" applyAlignment="false" applyProtection="false">
      <alignment horizontal="general" vertical="bottom" textRotation="0" wrapText="false" indent="0" shrinkToFit="false"/>
      <protection locked="true" hidden="false"/>
    </xf>
    <xf numFmtId="169" fontId="13"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9" fontId="6" fillId="0" borderId="0" xfId="0" applyFont="true" applyBorder="false" applyAlignment="false" applyProtection="false">
      <alignment horizontal="general" vertical="bottom" textRotation="0" wrapText="false" indent="0" shrinkToFit="false"/>
      <protection locked="true" hidden="false"/>
    </xf>
    <xf numFmtId="168" fontId="13" fillId="0" borderId="0" xfId="0" applyFont="true" applyBorder="false" applyAlignment="false" applyProtection="false">
      <alignment horizontal="general" vertical="bottom" textRotation="0" wrapText="false" indent="0" shrinkToFit="false"/>
      <protection locked="true" hidden="false"/>
    </xf>
    <xf numFmtId="166" fontId="5" fillId="3" borderId="0" xfId="0" applyFont="true" applyBorder="false" applyAlignment="false" applyProtection="false">
      <alignment horizontal="general" vertical="bottom" textRotation="0" wrapText="false" indent="0" shrinkToFit="false"/>
      <protection locked="true" hidden="false"/>
    </xf>
    <xf numFmtId="169" fontId="5" fillId="3" borderId="0" xfId="0" applyFont="tru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7" fontId="13" fillId="0" borderId="0" xfId="0" applyFont="true" applyBorder="false" applyAlignment="false" applyProtection="false">
      <alignment horizontal="general" vertical="bottom" textRotation="0" wrapText="false" indent="0" shrinkToFit="false"/>
      <protection locked="true" hidden="false"/>
    </xf>
    <xf numFmtId="167" fontId="6" fillId="0" borderId="0" xfId="0" applyFont="true" applyBorder="false" applyAlignment="false" applyProtection="false">
      <alignment horizontal="general" vertical="bottom" textRotation="0" wrapText="false" indent="0" shrinkToFit="false"/>
      <protection locked="true" hidden="false"/>
    </xf>
    <xf numFmtId="166" fontId="14" fillId="0" borderId="0" xfId="0" applyFont="true" applyBorder="false" applyAlignment="false" applyProtection="false">
      <alignment horizontal="general" vertical="bottom" textRotation="0" wrapText="false" indent="0" shrinkToFit="false"/>
      <protection locked="true" hidden="false"/>
    </xf>
    <xf numFmtId="168" fontId="10" fillId="0" borderId="0" xfId="0" applyFont="true" applyBorder="false" applyAlignment="false" applyProtection="false">
      <alignment horizontal="general" vertical="bottom" textRotation="0" wrapText="false" indent="0" shrinkToFit="false"/>
      <protection locked="true" hidden="false"/>
    </xf>
    <xf numFmtId="168" fontId="14" fillId="0" borderId="0" xfId="0" applyFont="true" applyBorder="false" applyAlignment="false" applyProtection="false">
      <alignment horizontal="general" vertical="bottom" textRotation="0" wrapText="false" indent="0" shrinkToFit="false"/>
      <protection locked="true" hidden="false"/>
    </xf>
    <xf numFmtId="165" fontId="8" fillId="3" borderId="0" xfId="0" applyFont="true" applyBorder="false" applyAlignment="false" applyProtection="false">
      <alignment horizontal="general" vertical="bottom" textRotation="0" wrapText="false" indent="0" shrinkToFit="false"/>
      <protection locked="true" hidden="false"/>
    </xf>
    <xf numFmtId="167" fontId="8" fillId="2" borderId="0" xfId="0" applyFont="true" applyBorder="false" applyAlignment="false" applyProtection="false">
      <alignment horizontal="general" vertical="bottom" textRotation="0" wrapText="false" indent="0" shrinkToFit="false"/>
      <protection locked="true" hidden="false"/>
    </xf>
    <xf numFmtId="169" fontId="8" fillId="2" borderId="0" xfId="0" applyFont="true" applyBorder="false" applyAlignment="false" applyProtection="false">
      <alignment horizontal="general" vertical="bottom" textRotation="0" wrapText="false" indent="0" shrinkToFit="false"/>
      <protection locked="true" hidden="false"/>
    </xf>
    <xf numFmtId="165" fontId="8" fillId="2" borderId="0" xfId="0" applyFont="true" applyBorder="false" applyAlignment="false" applyProtection="false">
      <alignment horizontal="general" vertical="bottom" textRotation="0" wrapText="false" indent="0" shrinkToFit="false"/>
      <protection locked="true" hidden="false"/>
    </xf>
    <xf numFmtId="166" fontId="8" fillId="2"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73" fontId="8" fillId="0" borderId="0" xfId="0" applyFont="true" applyBorder="false" applyAlignment="false" applyProtection="false">
      <alignment horizontal="general" vertical="bottom" textRotation="0" wrapText="false" indent="0" shrinkToFit="false"/>
      <protection locked="true" hidden="false"/>
    </xf>
    <xf numFmtId="164" fontId="15" fillId="2"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74" fontId="8" fillId="0" borderId="0" xfId="0" applyFont="true" applyBorder="false" applyAlignment="false" applyProtection="false">
      <alignment horizontal="general" vertical="bottom" textRotation="0" wrapText="false" indent="0" shrinkToFit="false"/>
      <protection locked="true" hidden="false"/>
    </xf>
    <xf numFmtId="175" fontId="5" fillId="0" borderId="0" xfId="0" applyFont="true" applyBorder="false" applyAlignment="false" applyProtection="false">
      <alignment horizontal="general" vertical="bottom" textRotation="0" wrapText="false" indent="0" shrinkToFit="false"/>
      <protection locked="true" hidden="false"/>
    </xf>
    <xf numFmtId="175" fontId="6" fillId="2"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top" textRotation="0" wrapText="false" indent="0" shrinkToFit="false"/>
      <protection locked="true" hidden="false"/>
    </xf>
    <xf numFmtId="164" fontId="17" fillId="0" borderId="0" xfId="0" applyFont="true" applyBorder="false" applyAlignment="true" applyProtection="false">
      <alignment horizontal="general" vertical="top" textRotation="0" wrapText="true" indent="0" shrinkToFit="false"/>
      <protection locked="true" hidden="false"/>
    </xf>
    <xf numFmtId="164" fontId="17" fillId="3" borderId="0" xfId="0" applyFont="true" applyBorder="false" applyAlignment="true" applyProtection="false">
      <alignment horizontal="general" vertical="top" textRotation="0" wrapText="false" indent="0" shrinkToFit="false"/>
      <protection locked="true" hidden="false"/>
    </xf>
    <xf numFmtId="164" fontId="17" fillId="3" borderId="0" xfId="0" applyFont="true" applyBorder="false" applyAlignment="true" applyProtection="false">
      <alignment horizontal="general" vertical="top" textRotation="0" wrapText="true" indent="0" shrinkToFit="false"/>
      <protection locked="true" hidden="false"/>
    </xf>
    <xf numFmtId="164" fontId="8" fillId="2"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6C7A89"/>
      <rgbColor rgb="FF9999FF"/>
      <rgbColor rgb="FF993366"/>
      <rgbColor rgb="FFFFF9E0"/>
      <rgbColor rgb="FFFAF8F5"/>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E8E0"/>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A1A2E"/>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10" min="2" style="0" width="13"/>
  </cols>
  <sheetData>
    <row r="1" customFormat="false" ht="16.15" hidden="false" customHeight="false" outlineLevel="0" collapsed="false">
      <c r="A1" s="1" t="s">
        <v>0</v>
      </c>
    </row>
    <row r="4" customFormat="false" ht="15" hidden="false" customHeight="false" outlineLevel="0" collapsed="false">
      <c r="A4" s="2"/>
    </row>
    <row r="5" customFormat="false" ht="15" hidden="false" customHeight="false" outlineLevel="0" collapsed="false">
      <c r="A5" s="3" t="s">
        <v>1</v>
      </c>
    </row>
    <row r="6" customFormat="false" ht="15" hidden="false" customHeight="false" outlineLevel="0" collapsed="false">
      <c r="A6" s="2"/>
    </row>
    <row r="7" customFormat="false" ht="15" hidden="false" customHeight="false" outlineLevel="0" collapsed="false">
      <c r="A7" s="3" t="s">
        <v>2</v>
      </c>
    </row>
    <row r="8" customFormat="false" ht="15" hidden="false" customHeight="false" outlineLevel="0" collapsed="false">
      <c r="A8" s="3" t="s">
        <v>3</v>
      </c>
    </row>
    <row r="9" customFormat="false" ht="15" hidden="false" customHeight="false" outlineLevel="0" collapsed="false">
      <c r="A9" s="2" t="s">
        <v>4</v>
      </c>
    </row>
    <row r="10" customFormat="false" ht="15" hidden="false" customHeight="false" outlineLevel="0" collapsed="false">
      <c r="A10" s="2"/>
    </row>
    <row r="11" customFormat="false" ht="15" hidden="false" customHeight="false" outlineLevel="0" collapsed="false">
      <c r="A11" s="3" t="s">
        <v>5</v>
      </c>
    </row>
    <row r="12" customFormat="false" ht="15" hidden="false" customHeight="false" outlineLevel="0" collapsed="false">
      <c r="A12" s="2" t="s">
        <v>6</v>
      </c>
    </row>
    <row r="13" customFormat="false" ht="15" hidden="false" customHeight="false" outlineLevel="0" collapsed="false">
      <c r="A13" s="2"/>
    </row>
    <row r="14" customFormat="false" ht="15" hidden="false" customHeight="false" outlineLevel="0" collapsed="false">
      <c r="A14" s="3" t="s">
        <v>7</v>
      </c>
    </row>
    <row r="15" customFormat="false" ht="15" hidden="false" customHeight="false" outlineLevel="0" collapsed="false">
      <c r="A15" s="2" t="s">
        <v>8</v>
      </c>
    </row>
    <row r="16" customFormat="false" ht="15" hidden="false" customHeight="false" outlineLevel="0" collapsed="false">
      <c r="A16" s="2" t="s">
        <v>9</v>
      </c>
    </row>
    <row r="17" customFormat="false" ht="15" hidden="false" customHeight="false" outlineLevel="0" collapsed="false">
      <c r="A17" s="2" t="s">
        <v>10</v>
      </c>
    </row>
    <row r="18" customFormat="false" ht="15" hidden="false" customHeight="false" outlineLevel="0" collapsed="false">
      <c r="A18" s="2"/>
    </row>
    <row r="19" customFormat="false" ht="15" hidden="false" customHeight="false" outlineLevel="0" collapsed="false">
      <c r="A19" s="3" t="s">
        <v>11</v>
      </c>
    </row>
    <row r="20" customFormat="false" ht="15" hidden="false" customHeight="false" outlineLevel="0" collapsed="false">
      <c r="A20" s="2" t="s">
        <v>12</v>
      </c>
    </row>
    <row r="21" customFormat="false" ht="15" hidden="false" customHeight="false" outlineLevel="0" collapsed="false">
      <c r="A21" s="2" t="s">
        <v>13</v>
      </c>
    </row>
    <row r="22" customFormat="false" ht="15" hidden="false" customHeight="false" outlineLevel="0" collapsed="false">
      <c r="A22" s="2" t="s">
        <v>14</v>
      </c>
    </row>
    <row r="23" customFormat="false" ht="15" hidden="false" customHeight="false" outlineLevel="0" collapsed="false">
      <c r="A23" s="2" t="s">
        <v>15</v>
      </c>
    </row>
    <row r="24" customFormat="false" ht="15" hidden="false" customHeight="false" outlineLevel="0" collapsed="false">
      <c r="A24" s="2" t="s">
        <v>16</v>
      </c>
    </row>
    <row r="25" customFormat="false" ht="15" hidden="false" customHeight="false" outlineLevel="0" collapsed="false">
      <c r="A25" s="2" t="s">
        <v>17</v>
      </c>
    </row>
    <row r="26" customFormat="false" ht="15" hidden="false" customHeight="false" outlineLevel="0" collapsed="false">
      <c r="A26" s="2"/>
    </row>
    <row r="27" customFormat="false" ht="15" hidden="false" customHeight="false" outlineLevel="0" collapsed="false">
      <c r="A27" s="3" t="s">
        <v>18</v>
      </c>
    </row>
    <row r="28" customFormat="false" ht="15" hidden="false" customHeight="false" outlineLevel="0" collapsed="false">
      <c r="A28" s="2" t="s">
        <v>19</v>
      </c>
    </row>
    <row r="29" customFormat="false" ht="15" hidden="false" customHeight="false" outlineLevel="0" collapsed="false">
      <c r="A29" s="2" t="s">
        <v>20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10" min="2" style="0" width="13"/>
  </cols>
  <sheetData>
    <row r="1" customFormat="false" ht="16.15" hidden="false" customHeight="false" outlineLevel="0" collapsed="false">
      <c r="A1" s="1" t="s">
        <v>21</v>
      </c>
    </row>
    <row r="2" customFormat="false" ht="15" hidden="false" customHeight="false" outlineLevel="0" collapsed="false">
      <c r="A2" s="4" t="s">
        <v>22</v>
      </c>
    </row>
    <row r="4" customFormat="false" ht="15" hidden="false" customHeight="false" outlineLevel="0" collapsed="false">
      <c r="A4" s="5" t="s">
        <v>23</v>
      </c>
    </row>
    <row r="5" customFormat="false" ht="15" hidden="false" customHeight="false" outlineLevel="0" collapsed="false">
      <c r="A5" s="2" t="s">
        <v>24</v>
      </c>
      <c r="B5" s="6" t="n">
        <v>0.94</v>
      </c>
      <c r="C5" s="4" t="s">
        <v>25</v>
      </c>
    </row>
    <row r="6" customFormat="false" ht="15" hidden="false" customHeight="false" outlineLevel="0" collapsed="false">
      <c r="A6" s="2" t="s">
        <v>26</v>
      </c>
      <c r="B6" s="7" t="n">
        <v>10328.9</v>
      </c>
      <c r="C6" s="4" t="s">
        <v>27</v>
      </c>
    </row>
    <row r="7" customFormat="false" ht="15" hidden="false" customHeight="false" outlineLevel="0" collapsed="false">
      <c r="A7" s="2" t="s">
        <v>28</v>
      </c>
      <c r="B7" s="8" t="n">
        <v>3.6725</v>
      </c>
      <c r="C7" s="4" t="s">
        <v>29</v>
      </c>
    </row>
    <row r="8" customFormat="false" ht="15" hidden="false" customHeight="false" outlineLevel="0" collapsed="false">
      <c r="A8" s="2" t="s">
        <v>30</v>
      </c>
      <c r="B8" s="9" t="n">
        <f aca="false">Assumptions!$B$5*Assumptions!$B$6</f>
        <v>9709.166</v>
      </c>
      <c r="C8" s="4" t="s">
        <v>31</v>
      </c>
    </row>
    <row r="9" customFormat="false" ht="15" hidden="false" customHeight="false" outlineLevel="0" collapsed="false">
      <c r="A9" s="2" t="s">
        <v>32</v>
      </c>
      <c r="B9" s="9" t="n">
        <f aca="false">Assumptions!$B$8/Assumptions!$B$7</f>
        <v>2643.74840027229</v>
      </c>
      <c r="C9" s="4" t="s">
        <v>31</v>
      </c>
    </row>
    <row r="11" customFormat="false" ht="15" hidden="false" customHeight="false" outlineLevel="0" collapsed="false">
      <c r="A11" s="5" t="s">
        <v>33</v>
      </c>
    </row>
    <row r="12" customFormat="false" ht="15" hidden="false" customHeight="false" outlineLevel="0" collapsed="false">
      <c r="A12" s="2" t="s">
        <v>34</v>
      </c>
      <c r="B12" s="7" t="n">
        <v>7933.97</v>
      </c>
      <c r="C12" s="4" t="s">
        <v>35</v>
      </c>
    </row>
    <row r="13" customFormat="false" ht="15" hidden="false" customHeight="false" outlineLevel="0" collapsed="false">
      <c r="A13" s="2" t="s">
        <v>36</v>
      </c>
      <c r="B13" s="7" t="n">
        <v>1822.836</v>
      </c>
      <c r="C13" s="4" t="s">
        <v>35</v>
      </c>
    </row>
    <row r="14" customFormat="false" ht="15" hidden="false" customHeight="false" outlineLevel="0" collapsed="false">
      <c r="A14" s="2" t="s">
        <v>37</v>
      </c>
      <c r="B14" s="7" t="n">
        <v>302.553</v>
      </c>
      <c r="C14" s="4" t="s">
        <v>35</v>
      </c>
    </row>
    <row r="15" customFormat="false" ht="15" hidden="false" customHeight="false" outlineLevel="0" collapsed="false">
      <c r="A15" s="2" t="s">
        <v>38</v>
      </c>
      <c r="B15" s="7" t="n">
        <v>-1731.157</v>
      </c>
      <c r="C15" s="4" t="s">
        <v>35</v>
      </c>
    </row>
    <row r="16" customFormat="false" ht="15" hidden="false" customHeight="false" outlineLevel="0" collapsed="false">
      <c r="A16" s="2" t="s">
        <v>39</v>
      </c>
      <c r="B16" s="9" t="n">
        <f aca="false">Assumptions!$B$13+Assumptions!$B$14+Assumptions!$B$15</f>
        <v>394.232</v>
      </c>
      <c r="C16" s="4" t="s">
        <v>31</v>
      </c>
    </row>
    <row r="17" customFormat="false" ht="15" hidden="false" customHeight="false" outlineLevel="0" collapsed="false">
      <c r="A17" s="2" t="s">
        <v>40</v>
      </c>
      <c r="B17" s="7" t="n">
        <v>167.018</v>
      </c>
      <c r="C17" s="4" t="s">
        <v>35</v>
      </c>
    </row>
    <row r="18" customFormat="false" ht="15" hidden="false" customHeight="false" outlineLevel="0" collapsed="false">
      <c r="A18" s="2" t="s">
        <v>41</v>
      </c>
      <c r="B18" s="7" t="n">
        <v>219.381</v>
      </c>
      <c r="C18" s="4" t="s">
        <v>35</v>
      </c>
    </row>
    <row r="19" customFormat="false" ht="15" hidden="false" customHeight="false" outlineLevel="0" collapsed="false">
      <c r="A19" s="2" t="s">
        <v>42</v>
      </c>
      <c r="B19" s="7" t="n">
        <v>1.547</v>
      </c>
      <c r="C19" s="4" t="s">
        <v>35</v>
      </c>
    </row>
    <row r="20" customFormat="false" ht="15" hidden="false" customHeight="false" outlineLevel="0" collapsed="false">
      <c r="A20" s="3" t="s">
        <v>43</v>
      </c>
      <c r="B20" s="10" t="n">
        <f aca="false">Assumptions!$B$16+Assumptions!$B$17+Assumptions!$B$18+Assumptions!$B$19</f>
        <v>782.178</v>
      </c>
      <c r="C20" s="4" t="s">
        <v>31</v>
      </c>
    </row>
    <row r="21" customFormat="false" ht="15" hidden="false" customHeight="false" outlineLevel="0" collapsed="false">
      <c r="A21" s="2" t="s">
        <v>44</v>
      </c>
      <c r="B21" s="7" t="n">
        <v>-162.201</v>
      </c>
      <c r="C21" s="4" t="s">
        <v>35</v>
      </c>
    </row>
    <row r="22" customFormat="false" ht="15" hidden="false" customHeight="false" outlineLevel="0" collapsed="false">
      <c r="A22" s="2" t="s">
        <v>45</v>
      </c>
      <c r="B22" s="7" t="n">
        <v>-27.499</v>
      </c>
      <c r="C22" s="4" t="s">
        <v>35</v>
      </c>
    </row>
    <row r="23" customFormat="false" ht="15" hidden="false" customHeight="false" outlineLevel="0" collapsed="false">
      <c r="A23" s="2" t="s">
        <v>46</v>
      </c>
      <c r="B23" s="9" t="n">
        <f aca="false">Assumptions!$B$16+Assumptions!$B$21+Assumptions!$B$22</f>
        <v>204.532</v>
      </c>
      <c r="C23" s="4" t="s">
        <v>31</v>
      </c>
    </row>
    <row r="24" customFormat="false" ht="15" hidden="false" customHeight="false" outlineLevel="0" collapsed="false">
      <c r="A24" s="2" t="s">
        <v>47</v>
      </c>
      <c r="B24" s="7" t="n">
        <v>149.421</v>
      </c>
      <c r="C24" s="4" t="s">
        <v>35</v>
      </c>
    </row>
    <row r="25" customFormat="false" ht="15" hidden="false" customHeight="false" outlineLevel="0" collapsed="false">
      <c r="A25" s="2" t="s">
        <v>48</v>
      </c>
      <c r="B25" s="7" t="n">
        <v>7620.802</v>
      </c>
      <c r="C25" s="4" t="s">
        <v>49</v>
      </c>
    </row>
    <row r="27" customFormat="false" ht="15" hidden="false" customHeight="false" outlineLevel="0" collapsed="false">
      <c r="A27" s="5" t="s">
        <v>50</v>
      </c>
    </row>
    <row r="28" customFormat="false" ht="15" hidden="false" customHeight="false" outlineLevel="0" collapsed="false">
      <c r="A28" s="2" t="s">
        <v>51</v>
      </c>
      <c r="B28" s="7" t="n">
        <v>329.543</v>
      </c>
      <c r="C28" s="4" t="s">
        <v>35</v>
      </c>
    </row>
    <row r="29" customFormat="false" ht="15" hidden="false" customHeight="false" outlineLevel="0" collapsed="false">
      <c r="A29" s="2" t="s">
        <v>52</v>
      </c>
      <c r="B29" s="7" t="n">
        <v>1765.769</v>
      </c>
      <c r="C29" s="4" t="s">
        <v>35</v>
      </c>
    </row>
    <row r="30" customFormat="false" ht="15" hidden="false" customHeight="false" outlineLevel="0" collapsed="false">
      <c r="A30" s="2" t="s">
        <v>53</v>
      </c>
      <c r="B30" s="11" t="n">
        <v>3.2</v>
      </c>
      <c r="C30" s="4" t="s">
        <v>54</v>
      </c>
    </row>
    <row r="31" customFormat="false" ht="15" hidden="false" customHeight="false" outlineLevel="0" collapsed="false">
      <c r="A31" s="2" t="s">
        <v>55</v>
      </c>
      <c r="B31" s="11" t="n">
        <v>1.1</v>
      </c>
      <c r="C31" s="4" t="s">
        <v>54</v>
      </c>
    </row>
    <row r="32" customFormat="false" ht="15" hidden="false" customHeight="false" outlineLevel="0" collapsed="false">
      <c r="A32" s="2" t="s">
        <v>56</v>
      </c>
      <c r="B32" s="9" t="n">
        <f aca="false">Assumptions!$B$30*Assumptions!$B$20</f>
        <v>2502.9696</v>
      </c>
      <c r="C32" s="4" t="s">
        <v>57</v>
      </c>
    </row>
    <row r="33" customFormat="false" ht="15" hidden="false" customHeight="false" outlineLevel="0" collapsed="false">
      <c r="A33" s="2" t="s">
        <v>58</v>
      </c>
      <c r="B33" s="9" t="n">
        <f aca="false">Assumptions!$B$31*Assumptions!$B$20</f>
        <v>860.3958</v>
      </c>
      <c r="C33" s="4" t="s">
        <v>57</v>
      </c>
    </row>
    <row r="34" customFormat="false" ht="15" hidden="false" customHeight="false" outlineLevel="0" collapsed="false">
      <c r="A34" s="2" t="s">
        <v>59</v>
      </c>
      <c r="B34" s="9" t="n">
        <f aca="false">Assumptions!$B$32-Assumptions!$B$33</f>
        <v>1642.5738</v>
      </c>
      <c r="C34" s="4" t="s">
        <v>60</v>
      </c>
    </row>
    <row r="35" customFormat="false" ht="15" hidden="false" customHeight="false" outlineLevel="0" collapsed="false">
      <c r="A35" s="2" t="s">
        <v>61</v>
      </c>
      <c r="B35" s="9" t="n">
        <f aca="false">Assumptions!$B$33+Assumptions!$B$28</f>
        <v>1189.9388</v>
      </c>
      <c r="C35" s="4" t="s">
        <v>62</v>
      </c>
    </row>
    <row r="36" customFormat="false" ht="15" hidden="false" customHeight="false" outlineLevel="0" collapsed="false">
      <c r="A36" s="2" t="s">
        <v>63</v>
      </c>
      <c r="B36" s="9" t="n">
        <f aca="false">Assumptions!$B$34+Assumptions!$B$35</f>
        <v>2832.5126</v>
      </c>
      <c r="C36" s="4" t="s">
        <v>31</v>
      </c>
    </row>
    <row r="37" customFormat="false" ht="15" hidden="false" customHeight="false" outlineLevel="0" collapsed="false">
      <c r="A37" s="2" t="s">
        <v>64</v>
      </c>
      <c r="B37" s="12" t="n">
        <f aca="false">Assumptions!$B$34/Assumptions!$B$29</f>
        <v>0.930231417586332</v>
      </c>
      <c r="C37" s="4" t="s">
        <v>65</v>
      </c>
    </row>
    <row r="38" customFormat="false" ht="15" hidden="false" customHeight="false" outlineLevel="0" collapsed="false">
      <c r="A38" s="2" t="s">
        <v>66</v>
      </c>
      <c r="B38" s="7" t="n">
        <v>258.757</v>
      </c>
      <c r="C38" s="4" t="s">
        <v>67</v>
      </c>
    </row>
    <row r="39" customFormat="false" ht="15" hidden="false" customHeight="false" outlineLevel="0" collapsed="false">
      <c r="A39" s="2" t="s">
        <v>68</v>
      </c>
      <c r="B39" s="13" t="n">
        <v>0.0448</v>
      </c>
      <c r="C39" s="4" t="s">
        <v>69</v>
      </c>
    </row>
    <row r="41" customFormat="false" ht="15" hidden="false" customHeight="false" outlineLevel="0" collapsed="false">
      <c r="A41" s="5" t="s">
        <v>70</v>
      </c>
    </row>
    <row r="42" customFormat="false" ht="15" hidden="false" customHeight="false" outlineLevel="0" collapsed="false">
      <c r="A42" s="2" t="s">
        <v>71</v>
      </c>
      <c r="B42" s="13" t="n">
        <v>0.043</v>
      </c>
      <c r="C42" s="4" t="s">
        <v>72</v>
      </c>
    </row>
    <row r="43" customFormat="false" ht="15" hidden="false" customHeight="false" outlineLevel="0" collapsed="false">
      <c r="A43" s="2" t="s">
        <v>73</v>
      </c>
      <c r="B43" s="13" t="n">
        <v>0.0487</v>
      </c>
      <c r="C43" s="4" t="s">
        <v>74</v>
      </c>
    </row>
    <row r="44" customFormat="false" ht="15" hidden="false" customHeight="false" outlineLevel="0" collapsed="false">
      <c r="A44" s="2" t="s">
        <v>75</v>
      </c>
      <c r="B44" s="13" t="n">
        <v>0.0493</v>
      </c>
      <c r="C44" s="4" t="s">
        <v>76</v>
      </c>
    </row>
    <row r="45" customFormat="false" ht="15" hidden="false" customHeight="false" outlineLevel="0" collapsed="false">
      <c r="A45" s="2" t="s">
        <v>77</v>
      </c>
      <c r="B45" s="8" t="n">
        <v>0.489</v>
      </c>
      <c r="C45" s="4" t="s">
        <v>78</v>
      </c>
    </row>
    <row r="46" customFormat="false" ht="15" hidden="false" customHeight="false" outlineLevel="0" collapsed="false">
      <c r="A46" s="2" t="s">
        <v>79</v>
      </c>
      <c r="B46" s="13" t="n">
        <v>0.053</v>
      </c>
      <c r="C46" s="4" t="s">
        <v>80</v>
      </c>
    </row>
    <row r="47" customFormat="false" ht="15" hidden="false" customHeight="false" outlineLevel="0" collapsed="false">
      <c r="A47" s="2" t="s">
        <v>81</v>
      </c>
      <c r="B47" s="13" t="n">
        <v>0.12</v>
      </c>
      <c r="C47" s="4" t="s">
        <v>82</v>
      </c>
    </row>
    <row r="48" customFormat="false" ht="15" hidden="false" customHeight="false" outlineLevel="0" collapsed="false">
      <c r="A48" s="2" t="s">
        <v>83</v>
      </c>
      <c r="B48" s="12" t="n">
        <f aca="false">Assumptions!$B$42+Assumptions!$B$45*Assumptions!$B$43</f>
        <v>0.0668143</v>
      </c>
      <c r="C48" s="4" t="s">
        <v>31</v>
      </c>
    </row>
    <row r="49" customFormat="false" ht="15" hidden="false" customHeight="false" outlineLevel="0" collapsed="false">
      <c r="A49" s="2" t="s">
        <v>84</v>
      </c>
      <c r="B49" s="12" t="n">
        <f aca="false">Assumptions!$B$9/(Assumptions!$B$9+Assumptions!$B$36)</f>
        <v>0.482765229805672</v>
      </c>
      <c r="C49" s="4" t="s">
        <v>85</v>
      </c>
    </row>
    <row r="50" customFormat="false" ht="15" hidden="false" customHeight="false" outlineLevel="0" collapsed="false">
      <c r="A50" s="2" t="s">
        <v>86</v>
      </c>
      <c r="B50" s="12" t="n">
        <f aca="false">1-Assumptions!$B$49</f>
        <v>0.517234770194328</v>
      </c>
      <c r="C50" s="4" t="s">
        <v>31</v>
      </c>
    </row>
    <row r="51" customFormat="false" ht="15" hidden="false" customHeight="false" outlineLevel="0" collapsed="false">
      <c r="A51" s="3" t="s">
        <v>87</v>
      </c>
      <c r="B51" s="14" t="n">
        <f aca="false">Assumptions!$B$49*Assumptions!$B$48+Assumptions!$B$50*Assumptions!$B$46*(1-Assumptions!$B$47)</f>
        <v>0.0563794505756686</v>
      </c>
      <c r="C51" s="4" t="s">
        <v>31</v>
      </c>
    </row>
    <row r="52" customFormat="false" ht="15" hidden="false" customHeight="false" outlineLevel="0" collapsed="false">
      <c r="A52" s="2" t="s">
        <v>88</v>
      </c>
      <c r="B52" s="12" t="n">
        <f aca="false">Assumptions!$B$49*(Assumptions!$B$42+Assumptions!$B$45*Assumptions!$B$44)+Assumptions!$B$50*Assumptions!$B$46*(1-Assumptions!$B$47)</f>
        <v>0.0565210938940936</v>
      </c>
      <c r="C52" s="4" t="s">
        <v>89</v>
      </c>
    </row>
    <row r="54" customFormat="false" ht="15" hidden="false" customHeight="false" outlineLevel="0" collapsed="false">
      <c r="A54" s="5" t="s">
        <v>90</v>
      </c>
    </row>
    <row r="55" customFormat="false" ht="15" hidden="false" customHeight="false" outlineLevel="0" collapsed="false">
      <c r="A55" s="2" t="s">
        <v>91</v>
      </c>
      <c r="B55" s="8" t="n">
        <v>1.38</v>
      </c>
      <c r="C55" s="4" t="s">
        <v>92</v>
      </c>
    </row>
    <row r="56" customFormat="false" ht="15" hidden="false" customHeight="false" outlineLevel="0" collapsed="false">
      <c r="A56" s="2" t="s">
        <v>93</v>
      </c>
      <c r="B56" s="15" t="n">
        <f aca="false">Assumptions!$B$55/1.056</f>
        <v>1.30681818181818</v>
      </c>
      <c r="C56" s="4" t="s">
        <v>94</v>
      </c>
    </row>
    <row r="57" customFormat="false" ht="15" hidden="false" customHeight="false" outlineLevel="0" collapsed="false">
      <c r="A57" s="3" t="s">
        <v>95</v>
      </c>
      <c r="B57" s="16" t="n">
        <f aca="false">Assumptions!$B$12/Assumptions!$B$55</f>
        <v>5749.25362318841</v>
      </c>
      <c r="C57" s="4" t="s">
        <v>96</v>
      </c>
    </row>
    <row r="58" customFormat="false" ht="15" hidden="false" customHeight="false" outlineLevel="0" collapsed="false">
      <c r="A58" s="3" t="s">
        <v>97</v>
      </c>
      <c r="B58" s="10" t="n">
        <f aca="false">Assumptions!$B$25/Assumptions!$B$56</f>
        <v>5831.57022608696</v>
      </c>
      <c r="C58" s="4" t="s">
        <v>31</v>
      </c>
    </row>
    <row r="59" customFormat="false" ht="15" hidden="false" customHeight="false" outlineLevel="0" collapsed="false">
      <c r="A59" s="3" t="s">
        <v>98</v>
      </c>
      <c r="B59" s="17" t="n">
        <f aca="false">Assumptions!$B$57/Assumptions!$B$58-1</f>
        <v>-0.0141156840622986</v>
      </c>
      <c r="C59" s="4" t="s">
        <v>99</v>
      </c>
    </row>
    <row r="60" customFormat="false" ht="15" hidden="false" customHeight="false" outlineLevel="0" collapsed="false">
      <c r="A60" s="2" t="s">
        <v>100</v>
      </c>
      <c r="B60" s="7" t="n">
        <v>9200</v>
      </c>
      <c r="C60" s="4" t="s">
        <v>101</v>
      </c>
    </row>
    <row r="61" customFormat="false" ht="15" hidden="false" customHeight="false" outlineLevel="0" collapsed="false">
      <c r="A61" s="2" t="s">
        <v>102</v>
      </c>
      <c r="B61" s="7" t="n">
        <v>1832</v>
      </c>
      <c r="C61" s="4" t="s">
        <v>103</v>
      </c>
    </row>
    <row r="62" customFormat="false" ht="15" hidden="false" customHeight="false" outlineLevel="0" collapsed="false">
      <c r="A62" s="2" t="s">
        <v>104</v>
      </c>
      <c r="B62" s="7" t="n">
        <v>19926</v>
      </c>
      <c r="C62" s="4" t="s">
        <v>105</v>
      </c>
    </row>
    <row r="63" customFormat="false" ht="15" hidden="false" customHeight="false" outlineLevel="0" collapsed="false">
      <c r="A63" s="2" t="s">
        <v>106</v>
      </c>
      <c r="B63" s="15" t="n">
        <f aca="false">Assumptions!$B$55+Assumptions!$B$62/1000000</f>
        <v>1.399926</v>
      </c>
      <c r="C63" s="4" t="s">
        <v>31</v>
      </c>
    </row>
    <row r="64" customFormat="false" ht="15" hidden="false" customHeight="false" outlineLevel="0" collapsed="false">
      <c r="A64" s="2" t="s">
        <v>107</v>
      </c>
      <c r="B64" s="13" t="n">
        <v>0.0564573192693594</v>
      </c>
      <c r="C64" s="4" t="s">
        <v>108</v>
      </c>
    </row>
    <row r="65" customFormat="false" ht="15" hidden="false" customHeight="false" outlineLevel="0" collapsed="false">
      <c r="A65" s="3" t="s">
        <v>109</v>
      </c>
      <c r="B65" s="17" t="n">
        <f aca="false">0.971/(1+Assumptions!$B$64)-1</f>
        <v>-0.0808904607035722</v>
      </c>
      <c r="C65" s="4" t="s">
        <v>110</v>
      </c>
    </row>
    <row r="66" customFormat="false" ht="15" hidden="false" customHeight="false" outlineLevel="0" collapsed="false">
      <c r="A66" s="2" t="s">
        <v>111</v>
      </c>
      <c r="B66" s="7" t="n">
        <v>2800</v>
      </c>
      <c r="C66" s="4" t="s">
        <v>112</v>
      </c>
    </row>
    <row r="68" customFormat="false" ht="15" hidden="false" customHeight="false" outlineLevel="0" collapsed="false">
      <c r="A68" s="5" t="s">
        <v>113</v>
      </c>
    </row>
    <row r="69" customFormat="false" ht="15" hidden="false" customHeight="false" outlineLevel="0" collapsed="false">
      <c r="A69" s="2" t="s">
        <v>114</v>
      </c>
      <c r="B69" s="12" t="n">
        <f aca="false">(Assumptions!$B$13+Assumptions!$B$14)/Assumptions!$B$12</f>
        <v>0.267884678162383</v>
      </c>
      <c r="C69" s="4" t="s">
        <v>115</v>
      </c>
    </row>
    <row r="70" customFormat="false" ht="15" hidden="false" customHeight="false" outlineLevel="0" collapsed="false">
      <c r="A70" s="2" t="s">
        <v>116</v>
      </c>
      <c r="B70" s="9" t="n">
        <f aca="false">-Assumptions!$B$15-Assumptions!$B$17-Assumptions!$B$18-Assumptions!$B$19</f>
        <v>1343.211</v>
      </c>
      <c r="C70" s="4" t="s">
        <v>117</v>
      </c>
    </row>
    <row r="71" customFormat="false" ht="15" hidden="false" customHeight="false" outlineLevel="0" collapsed="false">
      <c r="A71" s="2" t="s">
        <v>118</v>
      </c>
      <c r="B71" s="7" t="n">
        <v>1272.819</v>
      </c>
      <c r="C71" s="4" t="s">
        <v>49</v>
      </c>
    </row>
    <row r="72" customFormat="false" ht="15" hidden="false" customHeight="false" outlineLevel="0" collapsed="false">
      <c r="A72" s="2" t="s">
        <v>119</v>
      </c>
      <c r="B72" s="12" t="n">
        <f aca="false">Assumptions!$B$70/Assumptions!$B$71-1</f>
        <v>0.0553040141606935</v>
      </c>
      <c r="C72" s="4" t="s">
        <v>31</v>
      </c>
    </row>
    <row r="73" customFormat="false" ht="15" hidden="false" customHeight="false" outlineLevel="0" collapsed="false">
      <c r="A73" s="2" t="s">
        <v>120</v>
      </c>
      <c r="B73" s="12" t="n">
        <f aca="false">Assumptions!$B$55/Assumptions!$B$56-1</f>
        <v>0.0560000000000001</v>
      </c>
      <c r="C73" s="4" t="s">
        <v>31</v>
      </c>
    </row>
    <row r="74" customFormat="false" ht="15" hidden="false" customHeight="false" outlineLevel="0" collapsed="false">
      <c r="A74" s="3" t="s">
        <v>121</v>
      </c>
      <c r="B74" s="14" t="n">
        <f aca="false">(1+Assumptions!$B$72)/(1+Assumptions!$B$73)-1</f>
        <v>-0.000659077499343352</v>
      </c>
      <c r="C74" s="4" t="s">
        <v>122</v>
      </c>
    </row>
    <row r="75" customFormat="false" ht="15" hidden="false" customHeight="false" outlineLevel="0" collapsed="false">
      <c r="A75" s="2" t="s">
        <v>123</v>
      </c>
      <c r="B75" s="13" t="n">
        <v>0.011</v>
      </c>
      <c r="C75" s="4" t="s">
        <v>124</v>
      </c>
    </row>
    <row r="76" customFormat="false" ht="15" hidden="false" customHeight="false" outlineLevel="0" collapsed="false">
      <c r="A76" s="3" t="s">
        <v>125</v>
      </c>
      <c r="B76" s="14" t="n">
        <f aca="false">(1+Assumptions!$B$75)/(1+Assumptions!$B$64)-1</f>
        <v>-0.0430280697953775</v>
      </c>
      <c r="C76" s="4" t="s">
        <v>126</v>
      </c>
    </row>
    <row r="78" customFormat="false" ht="15" hidden="false" customHeight="false" outlineLevel="0" collapsed="false">
      <c r="A78" s="3" t="s">
        <v>127</v>
      </c>
    </row>
    <row r="79" customFormat="false" ht="15" hidden="false" customHeight="false" outlineLevel="0" collapsed="false">
      <c r="A79" s="18" t="s">
        <v>128</v>
      </c>
    </row>
    <row r="80" customFormat="false" ht="15" hidden="false" customHeight="false" outlineLevel="0" collapsed="false">
      <c r="A80" s="4" t="s">
        <v>129</v>
      </c>
    </row>
    <row r="82" customFormat="false" ht="15" hidden="false" customHeight="false" outlineLevel="0" collapsed="false">
      <c r="A82" s="5" t="s">
        <v>130</v>
      </c>
    </row>
    <row r="83" customFormat="false" ht="15" hidden="false" customHeight="false" outlineLevel="0" collapsed="false">
      <c r="B83" s="19" t="s">
        <v>131</v>
      </c>
      <c r="C83" s="19" t="s">
        <v>132</v>
      </c>
      <c r="D83" s="19" t="s">
        <v>133</v>
      </c>
      <c r="E83" s="19" t="s">
        <v>134</v>
      </c>
      <c r="F83" s="19" t="s">
        <v>135</v>
      </c>
    </row>
    <row r="84" customFormat="false" ht="15" hidden="false" customHeight="false" outlineLevel="0" collapsed="false">
      <c r="A84" s="2" t="s">
        <v>136</v>
      </c>
      <c r="B84" s="13" t="n">
        <v>-0.015</v>
      </c>
      <c r="C84" s="13" t="n">
        <v>0.005</v>
      </c>
      <c r="D84" s="13" t="n">
        <v>0.005</v>
      </c>
      <c r="E84" s="13" t="n">
        <v>0.005</v>
      </c>
      <c r="F84" s="13" t="n">
        <v>0.005</v>
      </c>
      <c r="H84" s="4" t="s">
        <v>137</v>
      </c>
    </row>
    <row r="85" customFormat="false" ht="15" hidden="false" customHeight="false" outlineLevel="0" collapsed="false">
      <c r="A85" s="2" t="s">
        <v>138</v>
      </c>
      <c r="B85" s="13" t="n">
        <v>0.266884678162383</v>
      </c>
      <c r="C85" s="13" t="n">
        <v>0.267884678162383</v>
      </c>
      <c r="D85" s="13" t="n">
        <v>0.267884678162383</v>
      </c>
      <c r="E85" s="13" t="n">
        <v>0.267884678162383</v>
      </c>
      <c r="F85" s="13" t="n">
        <v>0.267884678162383</v>
      </c>
      <c r="H85" s="4" t="s">
        <v>139</v>
      </c>
    </row>
    <row r="87" customFormat="false" ht="15" hidden="false" customHeight="false" outlineLevel="0" collapsed="false">
      <c r="A87" s="5" t="s">
        <v>140</v>
      </c>
    </row>
    <row r="88" customFormat="false" ht="15" hidden="false" customHeight="false" outlineLevel="0" collapsed="false">
      <c r="B88" s="19" t="s">
        <v>131</v>
      </c>
      <c r="C88" s="19" t="s">
        <v>132</v>
      </c>
      <c r="D88" s="19" t="s">
        <v>133</v>
      </c>
      <c r="E88" s="19" t="s">
        <v>134</v>
      </c>
      <c r="F88" s="19" t="s">
        <v>135</v>
      </c>
    </row>
    <row r="89" customFormat="false" ht="15" hidden="false" customHeight="false" outlineLevel="0" collapsed="false">
      <c r="A89" s="2" t="s">
        <v>141</v>
      </c>
      <c r="B89" s="13" t="n">
        <v>-0.015</v>
      </c>
      <c r="C89" s="13" t="n">
        <v>0.005</v>
      </c>
      <c r="D89" s="13" t="n">
        <v>0.005</v>
      </c>
      <c r="E89" s="13" t="n">
        <v>0.005</v>
      </c>
      <c r="F89" s="13" t="n">
        <v>0.005</v>
      </c>
    </row>
    <row r="90" customFormat="false" ht="15" hidden="false" customHeight="false" outlineLevel="0" collapsed="false">
      <c r="A90" s="2" t="s">
        <v>142</v>
      </c>
      <c r="B90" s="13" t="n">
        <v>-0.035</v>
      </c>
      <c r="C90" s="13" t="n">
        <v>0</v>
      </c>
      <c r="D90" s="13" t="n">
        <v>0</v>
      </c>
      <c r="E90" s="13" t="n">
        <v>0</v>
      </c>
      <c r="F90" s="13" t="n">
        <v>0</v>
      </c>
    </row>
    <row r="91" customFormat="false" ht="15" hidden="false" customHeight="false" outlineLevel="0" collapsed="false">
      <c r="A91" s="2" t="s">
        <v>143</v>
      </c>
      <c r="B91" s="13" t="n">
        <v>-0.02</v>
      </c>
      <c r="C91" s="13" t="n">
        <v>0.005</v>
      </c>
      <c r="D91" s="13" t="n">
        <v>0.005</v>
      </c>
      <c r="E91" s="13" t="n">
        <v>0.005</v>
      </c>
      <c r="F91" s="13" t="n">
        <v>0.005</v>
      </c>
    </row>
    <row r="92" customFormat="false" ht="15" hidden="false" customHeight="false" outlineLevel="0" collapsed="false">
      <c r="A92" s="2" t="s">
        <v>144</v>
      </c>
      <c r="B92" s="13" t="n">
        <v>-0.02</v>
      </c>
      <c r="C92" s="13" t="n">
        <v>0.005</v>
      </c>
      <c r="D92" s="13" t="n">
        <v>0.005</v>
      </c>
      <c r="E92" s="13" t="n">
        <v>0.005</v>
      </c>
      <c r="F92" s="13" t="n">
        <v>0.005</v>
      </c>
    </row>
    <row r="93" customFormat="false" ht="15" hidden="false" customHeight="false" outlineLevel="0" collapsed="false">
      <c r="A93" s="2" t="s">
        <v>145</v>
      </c>
      <c r="B93" s="13" t="n">
        <v>-0.01</v>
      </c>
      <c r="C93" s="13" t="n">
        <v>0.01</v>
      </c>
      <c r="D93" s="13" t="n">
        <v>0.01</v>
      </c>
      <c r="E93" s="13" t="n">
        <v>0.01</v>
      </c>
      <c r="F93" s="13" t="n">
        <v>0.01</v>
      </c>
    </row>
    <row r="94" customFormat="false" ht="15" hidden="false" customHeight="false" outlineLevel="0" collapsed="false">
      <c r="A94" s="2" t="s">
        <v>146</v>
      </c>
      <c r="B94" s="13" t="n">
        <v>-0.02</v>
      </c>
      <c r="C94" s="13" t="n">
        <v>0.005</v>
      </c>
      <c r="D94" s="13" t="n">
        <v>0.005</v>
      </c>
      <c r="E94" s="13" t="n">
        <v>0.005</v>
      </c>
      <c r="F94" s="13" t="n">
        <v>0.005</v>
      </c>
    </row>
    <row r="96" customFormat="false" ht="15" hidden="false" customHeight="false" outlineLevel="0" collapsed="false">
      <c r="A96" s="5" t="s">
        <v>147</v>
      </c>
    </row>
    <row r="97" customFormat="false" ht="15" hidden="false" customHeight="false" outlineLevel="0" collapsed="false">
      <c r="B97" s="19" t="s">
        <v>131</v>
      </c>
      <c r="C97" s="19" t="s">
        <v>132</v>
      </c>
      <c r="D97" s="19" t="s">
        <v>133</v>
      </c>
      <c r="E97" s="19" t="s">
        <v>134</v>
      </c>
      <c r="F97" s="19" t="s">
        <v>135</v>
      </c>
    </row>
    <row r="98" customFormat="false" ht="15" hidden="false" customHeight="false" outlineLevel="0" collapsed="false">
      <c r="A98" s="2" t="s">
        <v>148</v>
      </c>
      <c r="B98" s="20" t="n">
        <v>3</v>
      </c>
      <c r="C98" s="20" t="n">
        <v>7</v>
      </c>
      <c r="D98" s="20" t="n">
        <v>7</v>
      </c>
      <c r="E98" s="20" t="n">
        <v>6</v>
      </c>
      <c r="F98" s="20" t="n">
        <v>6</v>
      </c>
    </row>
    <row r="99" customFormat="false" ht="15" hidden="false" customHeight="false" outlineLevel="0" collapsed="false">
      <c r="A99" s="2" t="s">
        <v>149</v>
      </c>
      <c r="B99" s="20" t="n">
        <v>3</v>
      </c>
      <c r="C99" s="20" t="n">
        <v>5</v>
      </c>
      <c r="D99" s="20" t="n">
        <v>5</v>
      </c>
      <c r="E99" s="20" t="n">
        <v>4</v>
      </c>
      <c r="F99" s="20" t="n">
        <v>4</v>
      </c>
    </row>
    <row r="100" customFormat="false" ht="15" hidden="false" customHeight="false" outlineLevel="0" collapsed="false">
      <c r="A100" s="2" t="s">
        <v>150</v>
      </c>
      <c r="B100" s="20" t="n">
        <v>1</v>
      </c>
      <c r="C100" s="20" t="n">
        <v>2</v>
      </c>
      <c r="D100" s="20" t="n">
        <v>2</v>
      </c>
      <c r="E100" s="20" t="n">
        <v>2</v>
      </c>
      <c r="F100" s="20" t="n">
        <v>2</v>
      </c>
    </row>
    <row r="101" customFormat="false" ht="15" hidden="false" customHeight="false" outlineLevel="0" collapsed="false">
      <c r="A101" s="2" t="s">
        <v>151</v>
      </c>
      <c r="B101" s="20" t="n">
        <v>1</v>
      </c>
      <c r="C101" s="20" t="n">
        <v>1</v>
      </c>
      <c r="D101" s="20" t="n">
        <v>1</v>
      </c>
      <c r="E101" s="20" t="n">
        <v>1</v>
      </c>
      <c r="F101" s="20" t="n">
        <v>1</v>
      </c>
    </row>
    <row r="102" customFormat="false" ht="15" hidden="false" customHeight="false" outlineLevel="0" collapsed="false">
      <c r="A102" s="2" t="s">
        <v>152</v>
      </c>
      <c r="B102" s="20" t="n">
        <v>0</v>
      </c>
      <c r="C102" s="20" t="n">
        <v>1</v>
      </c>
      <c r="D102" s="20" t="n">
        <v>1</v>
      </c>
      <c r="E102" s="20" t="n">
        <v>1</v>
      </c>
      <c r="F102" s="20" t="n">
        <v>1</v>
      </c>
    </row>
    <row r="103" customFormat="false" ht="15" hidden="false" customHeight="false" outlineLevel="0" collapsed="false">
      <c r="A103" s="2" t="s">
        <v>153</v>
      </c>
      <c r="B103" s="20" t="n">
        <v>0</v>
      </c>
      <c r="C103" s="20" t="n">
        <v>0</v>
      </c>
      <c r="D103" s="20" t="n">
        <v>0</v>
      </c>
      <c r="E103" s="20" t="n">
        <v>0</v>
      </c>
      <c r="F103" s="20" t="n">
        <v>0</v>
      </c>
    </row>
    <row r="104" customFormat="false" ht="15" hidden="false" customHeight="false" outlineLevel="0" collapsed="false">
      <c r="A104" s="3" t="s">
        <v>154</v>
      </c>
      <c r="B104" s="21" t="n">
        <f aca="false">SUM(B98:B103)</f>
        <v>8</v>
      </c>
      <c r="C104" s="21" t="n">
        <f aca="false">SUM(C98:C103)</f>
        <v>16</v>
      </c>
      <c r="D104" s="21" t="n">
        <f aca="false">SUM(D98:D103)</f>
        <v>16</v>
      </c>
      <c r="E104" s="21" t="n">
        <f aca="false">SUM(E98:E103)</f>
        <v>14</v>
      </c>
      <c r="F104" s="21" t="n">
        <f aca="false">SUM(F98:F103)</f>
        <v>14</v>
      </c>
      <c r="H104" s="4" t="s">
        <v>155</v>
      </c>
    </row>
    <row r="106" customFormat="false" ht="15" hidden="false" customHeight="false" outlineLevel="0" collapsed="false">
      <c r="A106" s="5" t="s">
        <v>156</v>
      </c>
    </row>
    <row r="107" customFormat="false" ht="15" hidden="false" customHeight="false" outlineLevel="0" collapsed="false">
      <c r="B107" s="19" t="s">
        <v>131</v>
      </c>
      <c r="C107" s="19" t="s">
        <v>132</v>
      </c>
      <c r="D107" s="19" t="s">
        <v>133</v>
      </c>
      <c r="E107" s="19" t="s">
        <v>134</v>
      </c>
      <c r="F107" s="19" t="s">
        <v>135</v>
      </c>
    </row>
    <row r="108" customFormat="false" ht="15" hidden="false" customHeight="false" outlineLevel="0" collapsed="false">
      <c r="A108" s="2" t="s">
        <v>157</v>
      </c>
      <c r="B108" s="13" t="n">
        <v>0.049</v>
      </c>
      <c r="C108" s="13" t="n">
        <v>0.0488</v>
      </c>
      <c r="D108" s="13" t="n">
        <v>0.0485</v>
      </c>
      <c r="E108" s="13" t="n">
        <v>0.0482</v>
      </c>
      <c r="F108" s="13" t="n">
        <v>0.048</v>
      </c>
      <c r="H108" s="4" t="s">
        <v>158</v>
      </c>
    </row>
    <row r="109" customFormat="false" ht="15" hidden="false" customHeight="false" outlineLevel="0" collapsed="false">
      <c r="A109" s="2" t="s">
        <v>159</v>
      </c>
      <c r="B109" s="13" t="n">
        <v>0.013</v>
      </c>
      <c r="C109" s="13" t="n">
        <v>0.013</v>
      </c>
      <c r="D109" s="13" t="n">
        <v>0.013</v>
      </c>
      <c r="E109" s="13" t="n">
        <v>0.013</v>
      </c>
      <c r="F109" s="13" t="n">
        <v>0.013</v>
      </c>
      <c r="H109" s="4" t="s">
        <v>160</v>
      </c>
    </row>
    <row r="110" customFormat="false" ht="15" hidden="false" customHeight="false" outlineLevel="0" collapsed="false">
      <c r="A110" s="2" t="s">
        <v>161</v>
      </c>
      <c r="B110" s="13" t="n">
        <v>0.031</v>
      </c>
      <c r="C110" s="13" t="n">
        <v>0.0305</v>
      </c>
      <c r="D110" s="13" t="n">
        <v>0.0295</v>
      </c>
      <c r="E110" s="13" t="n">
        <v>0.0285</v>
      </c>
      <c r="F110" s="13" t="n">
        <v>0.0277</v>
      </c>
      <c r="H110" s="4" t="s">
        <v>162</v>
      </c>
    </row>
    <row r="111" customFormat="false" ht="15" hidden="false" customHeight="false" outlineLevel="0" collapsed="false">
      <c r="A111" s="2" t="s">
        <v>163</v>
      </c>
      <c r="B111" s="13" t="n">
        <v>0.0448</v>
      </c>
      <c r="C111" s="13" t="n">
        <v>0.0448</v>
      </c>
      <c r="D111" s="13" t="n">
        <v>0.0448</v>
      </c>
      <c r="E111" s="13" t="n">
        <v>0.0448</v>
      </c>
      <c r="F111" s="13" t="n">
        <v>0.0448</v>
      </c>
      <c r="H111" s="4" t="s">
        <v>164</v>
      </c>
    </row>
    <row r="113" customFormat="false" ht="15" hidden="false" customHeight="false" outlineLevel="0" collapsed="false">
      <c r="A113" s="5" t="s">
        <v>165</v>
      </c>
    </row>
    <row r="114" customFormat="false" ht="15" hidden="false" customHeight="false" outlineLevel="0" collapsed="false">
      <c r="A114" s="2" t="s">
        <v>166</v>
      </c>
      <c r="B114" s="11" t="n">
        <v>7.5</v>
      </c>
      <c r="C114" s="4" t="s">
        <v>167</v>
      </c>
    </row>
    <row r="115" customFormat="false" ht="15" hidden="false" customHeight="false" outlineLevel="0" collapsed="false">
      <c r="A115" s="2" t="s">
        <v>168</v>
      </c>
      <c r="B115" s="11" t="n">
        <v>6.5</v>
      </c>
      <c r="C115" s="4" t="s">
        <v>169</v>
      </c>
    </row>
    <row r="116" customFormat="false" ht="15" hidden="false" customHeight="false" outlineLevel="0" collapsed="false">
      <c r="A116" s="2" t="s">
        <v>170</v>
      </c>
      <c r="B116" s="11" t="n">
        <v>8.5</v>
      </c>
      <c r="C116" s="4" t="s">
        <v>171</v>
      </c>
    </row>
    <row r="117" customFormat="false" ht="15" hidden="false" customHeight="false" outlineLevel="0" collapsed="false">
      <c r="A117" s="2" t="s">
        <v>172</v>
      </c>
      <c r="B117" s="11" t="n">
        <v>7.5</v>
      </c>
      <c r="C117" s="4" t="s">
        <v>173</v>
      </c>
    </row>
    <row r="118" customFormat="false" ht="15" hidden="false" customHeight="false" outlineLevel="0" collapsed="false">
      <c r="A118" s="2" t="s">
        <v>174</v>
      </c>
      <c r="B118" s="13" t="n">
        <v>0.06</v>
      </c>
      <c r="C118" s="4" t="s">
        <v>175</v>
      </c>
    </row>
    <row r="119" customFormat="false" ht="15" hidden="false" customHeight="false" outlineLevel="0" collapsed="false">
      <c r="A119" s="2" t="s">
        <v>176</v>
      </c>
      <c r="B119" s="13" t="n">
        <v>0.05</v>
      </c>
      <c r="C119" s="4" t="s">
        <v>177</v>
      </c>
    </row>
    <row r="120" customFormat="false" ht="15" hidden="false" customHeight="false" outlineLevel="0" collapsed="false">
      <c r="A120" s="2" t="s">
        <v>178</v>
      </c>
      <c r="B120" s="8" t="n">
        <v>0.06</v>
      </c>
      <c r="C120" s="4" t="s">
        <v>179</v>
      </c>
    </row>
    <row r="121" customFormat="false" ht="15" hidden="false" customHeight="false" outlineLevel="0" collapsed="false">
      <c r="A121" s="2" t="s">
        <v>180</v>
      </c>
      <c r="B121" s="13" t="n">
        <v>0.75</v>
      </c>
      <c r="C121" s="4" t="s">
        <v>181</v>
      </c>
    </row>
    <row r="122" customFormat="false" ht="15" hidden="false" customHeight="false" outlineLevel="0" collapsed="false">
      <c r="A122" s="2" t="s">
        <v>182</v>
      </c>
      <c r="B122" s="8" t="n">
        <v>0.07</v>
      </c>
      <c r="C122" s="4" t="s">
        <v>183</v>
      </c>
    </row>
    <row r="123" customFormat="false" ht="15" hidden="false" customHeight="false" outlineLevel="0" collapsed="false">
      <c r="A123" s="2" t="s">
        <v>184</v>
      </c>
      <c r="B123" s="11" t="n">
        <v>14</v>
      </c>
      <c r="C123" s="4" t="s">
        <v>185</v>
      </c>
    </row>
    <row r="124" customFormat="false" ht="15" hidden="false" customHeight="false" outlineLevel="0" collapsed="false">
      <c r="A124" s="2" t="s">
        <v>186</v>
      </c>
      <c r="B124" s="13" t="n">
        <v>0.119</v>
      </c>
      <c r="C124" s="4" t="s">
        <v>187</v>
      </c>
    </row>
    <row r="125" customFormat="false" ht="15" hidden="false" customHeight="false" outlineLevel="0" collapsed="false">
      <c r="A125" s="2" t="s">
        <v>188</v>
      </c>
      <c r="B125" s="13" t="n">
        <v>0.0275</v>
      </c>
      <c r="C125" s="4" t="s">
        <v>189</v>
      </c>
    </row>
    <row r="127" customFormat="false" ht="15" hidden="false" customHeight="false" outlineLevel="0" collapsed="false">
      <c r="A127" s="5" t="s">
        <v>190</v>
      </c>
    </row>
    <row r="128" customFormat="false" ht="15" hidden="false" customHeight="false" outlineLevel="0" collapsed="false">
      <c r="A128" s="2" t="s">
        <v>191</v>
      </c>
      <c r="B128" s="13" t="n">
        <v>0.3</v>
      </c>
    </row>
    <row r="129" customFormat="false" ht="15" hidden="false" customHeight="false" outlineLevel="0" collapsed="false">
      <c r="A129" s="2" t="s">
        <v>192</v>
      </c>
      <c r="B129" s="13" t="n">
        <v>0.3</v>
      </c>
    </row>
    <row r="130" customFormat="false" ht="15" hidden="false" customHeight="false" outlineLevel="0" collapsed="false">
      <c r="A130" s="2" t="s">
        <v>193</v>
      </c>
      <c r="B130" s="13" t="n">
        <v>0.25</v>
      </c>
    </row>
    <row r="131" customFormat="false" ht="15" hidden="false" customHeight="false" outlineLevel="0" collapsed="false">
      <c r="A131" s="2" t="s">
        <v>194</v>
      </c>
      <c r="B131" s="13" t="n">
        <v>0.15</v>
      </c>
    </row>
    <row r="132" customFormat="false" ht="15" hidden="false" customHeight="false" outlineLevel="0" collapsed="false">
      <c r="A132" s="3" t="s">
        <v>195</v>
      </c>
      <c r="B132" s="22" t="n">
        <f aca="false">SUM(B128:B131)</f>
        <v>1</v>
      </c>
      <c r="C132" s="4" t="s">
        <v>196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5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10" min="2" style="0" width="13"/>
  </cols>
  <sheetData>
    <row r="1" customFormat="false" ht="16.15" hidden="false" customHeight="false" outlineLevel="0" collapsed="false">
      <c r="A1" s="1" t="s">
        <v>197</v>
      </c>
    </row>
    <row r="2" customFormat="false" ht="15" hidden="false" customHeight="false" outlineLevel="0" collapsed="false">
      <c r="A2" s="4" t="s">
        <v>198</v>
      </c>
    </row>
    <row r="4" customFormat="false" ht="15" hidden="false" customHeight="false" outlineLevel="0" collapsed="false">
      <c r="A4" s="23" t="s">
        <v>199</v>
      </c>
      <c r="B4" s="19" t="s">
        <v>200</v>
      </c>
      <c r="C4" s="19" t="s">
        <v>131</v>
      </c>
      <c r="D4" s="19" t="s">
        <v>132</v>
      </c>
      <c r="E4" s="19" t="s">
        <v>133</v>
      </c>
      <c r="F4" s="19" t="s">
        <v>134</v>
      </c>
      <c r="G4" s="19" t="s">
        <v>135</v>
      </c>
      <c r="H4" s="19" t="s">
        <v>201</v>
      </c>
    </row>
    <row r="5" customFormat="false" ht="15" hidden="false" customHeight="false" outlineLevel="0" collapsed="false">
      <c r="A5" s="2" t="s">
        <v>202</v>
      </c>
      <c r="B5" s="24" t="n">
        <v>0.52627150584026</v>
      </c>
      <c r="C5" s="25" t="n">
        <f aca="false">B5+Assumptions!B$98*Assumptions!$B$66/1000000+$H$5/1000000</f>
        <v>0.54543650584026</v>
      </c>
      <c r="D5" s="25" t="n">
        <f aca="false">C5+Assumptions!C$98*Assumptions!$B$66/1000000</f>
        <v>0.565036505840259</v>
      </c>
      <c r="E5" s="25" t="n">
        <f aca="false">D5+Assumptions!D$98*Assumptions!$B$66/1000000</f>
        <v>0.584636505840259</v>
      </c>
      <c r="F5" s="25" t="n">
        <f aca="false">E5+Assumptions!E$98*Assumptions!$B$66/1000000</f>
        <v>0.601436505840259</v>
      </c>
      <c r="G5" s="25" t="n">
        <f aca="false">F5+Assumptions!F$98*Assumptions!$B$66/1000000</f>
        <v>0.61823650584026</v>
      </c>
      <c r="H5" s="26" t="n">
        <v>10765</v>
      </c>
    </row>
    <row r="6" customFormat="false" ht="15" hidden="false" customHeight="false" outlineLevel="0" collapsed="false">
      <c r="A6" s="3" t="s">
        <v>203</v>
      </c>
      <c r="B6" s="24" t="n">
        <v>0.338149861300179</v>
      </c>
      <c r="C6" s="25" t="n">
        <f aca="false">B6+Assumptions!B$99*Assumptions!$B$66/1000000+$H$6/1000000</f>
        <v>0.350213861300179</v>
      </c>
      <c r="D6" s="25" t="n">
        <f aca="false">C6+Assumptions!C$99*Assumptions!$B$66/1000000</f>
        <v>0.364213861300179</v>
      </c>
      <c r="E6" s="25" t="n">
        <f aca="false">D6+Assumptions!D$99*Assumptions!$B$66/1000000</f>
        <v>0.378213861300179</v>
      </c>
      <c r="F6" s="25" t="n">
        <f aca="false">E6+Assumptions!E$99*Assumptions!$B$66/1000000</f>
        <v>0.389413861300179</v>
      </c>
      <c r="G6" s="25" t="n">
        <f aca="false">F6+Assumptions!F$99*Assumptions!$B$66/1000000</f>
        <v>0.400613861300179</v>
      </c>
      <c r="H6" s="26" t="n">
        <v>3664</v>
      </c>
    </row>
    <row r="7" customFormat="false" ht="15" hidden="false" customHeight="false" outlineLevel="0" collapsed="false">
      <c r="A7" s="2" t="s">
        <v>204</v>
      </c>
      <c r="B7" s="24" t="n">
        <v>0.212115172427569</v>
      </c>
      <c r="C7" s="25" t="n">
        <f aca="false">B7+Assumptions!B$100*Assumptions!$B$66/1000000+$H$7/1000000</f>
        <v>0.216747172427569</v>
      </c>
      <c r="D7" s="25" t="n">
        <f aca="false">C7+Assumptions!C$100*Assumptions!$B$66/1000000</f>
        <v>0.222347172427569</v>
      </c>
      <c r="E7" s="25" t="n">
        <f aca="false">D7+Assumptions!D$100*Assumptions!$B$66/1000000</f>
        <v>0.227947172427569</v>
      </c>
      <c r="F7" s="25" t="n">
        <f aca="false">E7+Assumptions!E$100*Assumptions!$B$66/1000000</f>
        <v>0.233547172427569</v>
      </c>
      <c r="G7" s="25" t="n">
        <f aca="false">F7+Assumptions!F$100*Assumptions!$B$66/1000000</f>
        <v>0.239147172427569</v>
      </c>
      <c r="H7" s="26" t="n">
        <v>1832</v>
      </c>
    </row>
    <row r="8" customFormat="false" ht="15" hidden="false" customHeight="false" outlineLevel="0" collapsed="false">
      <c r="A8" s="2" t="s">
        <v>205</v>
      </c>
      <c r="B8" s="24" t="n">
        <v>0.12429185939627</v>
      </c>
      <c r="C8" s="25" t="n">
        <f aca="false">B8+Assumptions!B$101*Assumptions!$B$66/1000000+$H$8/1000000</f>
        <v>0.12709185939627</v>
      </c>
      <c r="D8" s="25" t="n">
        <f aca="false">C8+Assumptions!C$101*Assumptions!$B$66/1000000</f>
        <v>0.12989185939627</v>
      </c>
      <c r="E8" s="25" t="n">
        <f aca="false">D8+Assumptions!D$101*Assumptions!$B$66/1000000</f>
        <v>0.13269185939627</v>
      </c>
      <c r="F8" s="25" t="n">
        <f aca="false">E8+Assumptions!E$101*Assumptions!$B$66/1000000</f>
        <v>0.13549185939627</v>
      </c>
      <c r="G8" s="25" t="n">
        <f aca="false">F8+Assumptions!F$101*Assumptions!$B$66/1000000</f>
        <v>0.13829185939627</v>
      </c>
      <c r="H8" s="26" t="n">
        <v>0</v>
      </c>
    </row>
    <row r="9" customFormat="false" ht="15" hidden="false" customHeight="false" outlineLevel="0" collapsed="false">
      <c r="A9" s="2" t="s">
        <v>206</v>
      </c>
      <c r="B9" s="24" t="n">
        <v>0.089566142507639</v>
      </c>
      <c r="C9" s="25" t="n">
        <f aca="false">B9+Assumptions!B$102*Assumptions!$B$66/1000000+$H$9/1000000</f>
        <v>0.093230142507639</v>
      </c>
      <c r="D9" s="25" t="n">
        <f aca="false">C9+Assumptions!C$102*Assumptions!$B$66/1000000</f>
        <v>0.096030142507639</v>
      </c>
      <c r="E9" s="25" t="n">
        <f aca="false">D9+Assumptions!D$102*Assumptions!$B$66/1000000</f>
        <v>0.098830142507639</v>
      </c>
      <c r="F9" s="25" t="n">
        <f aca="false">E9+Assumptions!E$102*Assumptions!$B$66/1000000</f>
        <v>0.101630142507639</v>
      </c>
      <c r="G9" s="25" t="n">
        <f aca="false">F9+Assumptions!F$102*Assumptions!$B$66/1000000</f>
        <v>0.104430142507639</v>
      </c>
      <c r="H9" s="26" t="n">
        <v>3664</v>
      </c>
    </row>
    <row r="10" customFormat="false" ht="15" hidden="false" customHeight="false" outlineLevel="0" collapsed="false">
      <c r="A10" s="2" t="s">
        <v>207</v>
      </c>
      <c r="B10" s="24" t="n">
        <v>0.0896054585280823</v>
      </c>
      <c r="C10" s="25" t="n">
        <f aca="false">B10+Assumptions!B$103*Assumptions!$B$66/1000000+$H$10/1000000</f>
        <v>0.0896054585280823</v>
      </c>
      <c r="D10" s="25" t="n">
        <f aca="false">C10+Assumptions!C$103*Assumptions!$B$66/1000000</f>
        <v>0.0896054585280823</v>
      </c>
      <c r="E10" s="25" t="n">
        <f aca="false">D10+Assumptions!D$103*Assumptions!$B$66/1000000</f>
        <v>0.0896054585280823</v>
      </c>
      <c r="F10" s="25" t="n">
        <f aca="false">E10+Assumptions!E$103*Assumptions!$B$66/1000000</f>
        <v>0.0896054585280823</v>
      </c>
      <c r="G10" s="25" t="n">
        <f aca="false">F10+Assumptions!F$103*Assumptions!$B$66/1000000</f>
        <v>0.0896054585280823</v>
      </c>
      <c r="H10" s="26" t="n">
        <v>0</v>
      </c>
    </row>
    <row r="11" customFormat="false" ht="15" hidden="false" customHeight="false" outlineLevel="0" collapsed="false">
      <c r="A11" s="3" t="s">
        <v>208</v>
      </c>
      <c r="B11" s="27" t="n">
        <f aca="false">SUM(B5:B10)</f>
        <v>1.38</v>
      </c>
      <c r="C11" s="27" t="n">
        <f aca="false">SUM(C5:C10)</f>
        <v>1.422325</v>
      </c>
      <c r="D11" s="27" t="n">
        <f aca="false">SUM(D5:D10)</f>
        <v>1.467125</v>
      </c>
      <c r="E11" s="27" t="n">
        <f aca="false">SUM(E5:E10)</f>
        <v>1.511925</v>
      </c>
      <c r="F11" s="27" t="n">
        <f aca="false">SUM(F5:F10)</f>
        <v>1.551125</v>
      </c>
      <c r="G11" s="27" t="n">
        <f aca="false">SUM(G5:G10)</f>
        <v>1.590325</v>
      </c>
    </row>
    <row r="12" customFormat="false" ht="15" hidden="false" customHeight="false" outlineLevel="0" collapsed="false">
      <c r="A12" s="2" t="s">
        <v>209</v>
      </c>
      <c r="C12" s="28" t="n">
        <f aca="false">C11/B11-1</f>
        <v>0.0306702898550724</v>
      </c>
      <c r="D12" s="28" t="n">
        <f aca="false">D11/C11-1</f>
        <v>0.0314977237973038</v>
      </c>
      <c r="E12" s="28" t="n">
        <f aca="false">E11/D11-1</f>
        <v>0.0305359120729318</v>
      </c>
      <c r="F12" s="28" t="n">
        <f aca="false">F11/E11-1</f>
        <v>0.0259272119979497</v>
      </c>
      <c r="G12" s="28" t="n">
        <f aca="false">G11/F11-1</f>
        <v>0.0252719800145056</v>
      </c>
    </row>
    <row r="14" customFormat="false" ht="15" hidden="false" customHeight="false" outlineLevel="0" collapsed="false">
      <c r="A14" s="23" t="s">
        <v>210</v>
      </c>
      <c r="B14" s="19" t="s">
        <v>200</v>
      </c>
      <c r="C14" s="19" t="s">
        <v>131</v>
      </c>
      <c r="D14" s="19" t="s">
        <v>132</v>
      </c>
      <c r="E14" s="19" t="s">
        <v>133</v>
      </c>
      <c r="F14" s="19" t="s">
        <v>134</v>
      </c>
      <c r="G14" s="19" t="s">
        <v>135</v>
      </c>
    </row>
    <row r="15" customFormat="false" ht="15" hidden="false" customHeight="false" outlineLevel="0" collapsed="false">
      <c r="A15" s="2" t="s">
        <v>202</v>
      </c>
      <c r="B15" s="7" t="n">
        <v>2920</v>
      </c>
      <c r="C15" s="29" t="n">
        <f aca="false">B15*(C5/B5)*(1+Assumptions!B$89)</f>
        <v>2980.94132151994</v>
      </c>
      <c r="D15" s="29" t="n">
        <f aca="false">C15*(D5/C5)*(1+Assumptions!C$89)</f>
        <v>3103.50032248183</v>
      </c>
      <c r="E15" s="29" t="n">
        <f aca="false">D15*(E5/D5)*(1+Assumptions!D$89)</f>
        <v>3227.21038992029</v>
      </c>
      <c r="F15" s="29" t="n">
        <f aca="false">E15*(F5/E5)*(1+Assumptions!E$89)</f>
        <v>3336.54660928863</v>
      </c>
      <c r="G15" s="29" t="n">
        <f aca="false">F15*(G5/F5)*(1+Assumptions!F$89)</f>
        <v>3446.89551059089</v>
      </c>
    </row>
    <row r="16" customFormat="false" ht="15" hidden="false" customHeight="false" outlineLevel="0" collapsed="false">
      <c r="A16" s="3" t="s">
        <v>203</v>
      </c>
      <c r="B16" s="7" t="n">
        <v>1518</v>
      </c>
      <c r="C16" s="29" t="n">
        <f aca="false">B16*(C6/B6)*(1+Assumptions!B$90)</f>
        <v>1517.13141927739</v>
      </c>
      <c r="D16" s="29" t="n">
        <f aca="false">C16*(D6/C6)*(1+Assumptions!C$90)</f>
        <v>1577.77961804094</v>
      </c>
      <c r="E16" s="29" t="n">
        <f aca="false">D16*(E6/D6)*(1+Assumptions!D$90)</f>
        <v>1638.42781680449</v>
      </c>
      <c r="F16" s="29" t="n">
        <f aca="false">E16*(F6/E6)*(1+Assumptions!E$90)</f>
        <v>1686.94637581533</v>
      </c>
      <c r="G16" s="29" t="n">
        <f aca="false">F16*(G6/F6)*(1+Assumptions!F$90)</f>
        <v>1735.46493482617</v>
      </c>
    </row>
    <row r="17" customFormat="false" ht="15" hidden="false" customHeight="false" outlineLevel="0" collapsed="false">
      <c r="A17" s="2" t="s">
        <v>204</v>
      </c>
      <c r="B17" s="7" t="n">
        <v>1189</v>
      </c>
      <c r="C17" s="29" t="n">
        <f aca="false">B17*(C7/B7)*(1+Assumptions!B$91)</f>
        <v>1190.66513425527</v>
      </c>
      <c r="D17" s="29" t="n">
        <f aca="false">C17*(D7/C7)*(1+Assumptions!C$91)</f>
        <v>1227.53495724708</v>
      </c>
      <c r="E17" s="29" t="n">
        <f aca="false">D17*(E7/D7)*(1+Assumptions!D$91)</f>
        <v>1264.74371184044</v>
      </c>
      <c r="F17" s="29" t="n">
        <f aca="false">E17*(F7/E7)*(1+Assumptions!E$91)</f>
        <v>1302.29386560581</v>
      </c>
      <c r="G17" s="29" t="n">
        <f aca="false">F17*(G7/F7)*(1+Assumptions!F$91)</f>
        <v>1340.18790231603</v>
      </c>
    </row>
    <row r="18" customFormat="false" ht="15" hidden="false" customHeight="false" outlineLevel="0" collapsed="false">
      <c r="A18" s="2" t="s">
        <v>205</v>
      </c>
      <c r="B18" s="7" t="n">
        <v>1122</v>
      </c>
      <c r="C18" s="29" t="n">
        <f aca="false">B18*(C8/B8)*(1+Assumptions!B$92)</f>
        <v>1124.33047181493</v>
      </c>
      <c r="D18" s="29" t="n">
        <f aca="false">C18*(D8/C8)*(1+Assumptions!C$92)</f>
        <v>1154.846448348</v>
      </c>
      <c r="E18" s="29" t="n">
        <f aca="false">D18*(E8/D8)*(1+Assumptions!D$92)</f>
        <v>1185.63947638461</v>
      </c>
      <c r="F18" s="29" t="n">
        <f aca="false">E18*(F8/E8)*(1+Assumptions!E$92)</f>
        <v>1216.71156354038</v>
      </c>
      <c r="G18" s="29" t="n">
        <f aca="false">F18*(G8/F8)*(1+Assumptions!F$92)</f>
        <v>1248.06473058079</v>
      </c>
    </row>
    <row r="19" customFormat="false" ht="15" hidden="false" customHeight="false" outlineLevel="0" collapsed="false">
      <c r="A19" s="2" t="s">
        <v>206</v>
      </c>
      <c r="B19" s="7" t="n">
        <v>696</v>
      </c>
      <c r="C19" s="29" t="n">
        <f aca="false">B19*(C9/B9)*(1+Assumptions!B$93)</f>
        <v>717.227465590412</v>
      </c>
      <c r="D19" s="29" t="n">
        <f aca="false">C19*(D9/C9)*(1+Assumptions!C$93)</f>
        <v>746.155786286077</v>
      </c>
      <c r="E19" s="29" t="n">
        <f aca="false">D19*(E9/D9)*(1+Assumptions!D$93)</f>
        <v>775.590950649097</v>
      </c>
      <c r="F19" s="29" t="n">
        <f aca="false">E19*(F9/E9)*(1+Assumptions!E$93)</f>
        <v>805.540202720748</v>
      </c>
      <c r="G19" s="29" t="n">
        <f aca="false">F19*(G9/F9)*(1+Assumptions!F$93)</f>
        <v>836.010880738768</v>
      </c>
    </row>
    <row r="20" customFormat="false" ht="15" hidden="false" customHeight="false" outlineLevel="0" collapsed="false">
      <c r="A20" s="2" t="s">
        <v>207</v>
      </c>
      <c r="B20" s="7" t="n">
        <v>489</v>
      </c>
      <c r="C20" s="29" t="n">
        <f aca="false">B20*(C10/B10)*(1+Assumptions!B$94)</f>
        <v>479.22</v>
      </c>
      <c r="D20" s="29" t="n">
        <f aca="false">C20*(D10/C10)*(1+Assumptions!C$94)</f>
        <v>481.6161</v>
      </c>
      <c r="E20" s="29" t="n">
        <f aca="false">D20*(E10/D10)*(1+Assumptions!D$94)</f>
        <v>484.0241805</v>
      </c>
      <c r="F20" s="29" t="n">
        <f aca="false">E20*(F10/E10)*(1+Assumptions!E$94)</f>
        <v>486.4443014025</v>
      </c>
      <c r="G20" s="29" t="n">
        <f aca="false">F20*(G10/F10)*(1+Assumptions!F$94)</f>
        <v>488.876522909512</v>
      </c>
    </row>
    <row r="21" customFormat="false" ht="15" hidden="false" customHeight="false" outlineLevel="0" collapsed="false">
      <c r="A21" s="3" t="s">
        <v>211</v>
      </c>
      <c r="B21" s="30" t="n">
        <f aca="false">SUM(B15:B20)</f>
        <v>7934</v>
      </c>
      <c r="C21" s="30" t="n">
        <f aca="false">SUM(C15:C20)</f>
        <v>8009.51581245795</v>
      </c>
      <c r="D21" s="30" t="n">
        <f aca="false">SUM(D15:D20)</f>
        <v>8291.43323240392</v>
      </c>
      <c r="E21" s="30" t="n">
        <f aca="false">SUM(E15:E20)</f>
        <v>8575.63652609893</v>
      </c>
      <c r="F21" s="30" t="n">
        <f aca="false">SUM(F15:F20)</f>
        <v>8834.48291837339</v>
      </c>
      <c r="G21" s="30" t="n">
        <f aca="false">SUM(G15:G20)</f>
        <v>9095.50048196217</v>
      </c>
    </row>
    <row r="22" customFormat="false" ht="15" hidden="false" customHeight="false" outlineLevel="0" collapsed="false">
      <c r="A22" s="2" t="s">
        <v>212</v>
      </c>
      <c r="C22" s="28" t="n">
        <f aca="false">C21/B21-1</f>
        <v>0.0095180000577193</v>
      </c>
      <c r="D22" s="28" t="n">
        <f aca="false">D21/C21-1</f>
        <v>0.0351978105227637</v>
      </c>
      <c r="E22" s="28" t="n">
        <f aca="false">E21/D21-1</f>
        <v>0.0342767391027534</v>
      </c>
      <c r="F22" s="28" t="n">
        <f aca="false">F21/E21-1</f>
        <v>0.0301839276287759</v>
      </c>
      <c r="G22" s="28" t="n">
        <f aca="false">G21/F21-1</f>
        <v>0.0295453130647785</v>
      </c>
    </row>
    <row r="23" customFormat="false" ht="15" hidden="false" customHeight="false" outlineLevel="0" collapsed="false">
      <c r="A23" s="3" t="s">
        <v>213</v>
      </c>
      <c r="B23" s="31" t="n">
        <f aca="false">B21/B11</f>
        <v>5749.27536231884</v>
      </c>
      <c r="C23" s="31" t="n">
        <f aca="false">C21/C11</f>
        <v>5631.28385738699</v>
      </c>
      <c r="D23" s="31" t="n">
        <f aca="false">D21/D11</f>
        <v>5651.48384248372</v>
      </c>
      <c r="E23" s="31" t="n">
        <f aca="false">E21/E11</f>
        <v>5671.99862830427</v>
      </c>
      <c r="F23" s="31" t="n">
        <f aca="false">F21/F11</f>
        <v>5695.53254468427</v>
      </c>
      <c r="G23" s="31" t="n">
        <f aca="false">G21/G11</f>
        <v>5719.27152120615</v>
      </c>
    </row>
    <row r="25" customFormat="false" ht="15" hidden="false" customHeight="false" outlineLevel="0" collapsed="false">
      <c r="A25" s="23" t="s">
        <v>214</v>
      </c>
      <c r="B25" s="19" t="s">
        <v>200</v>
      </c>
      <c r="C25" s="19" t="s">
        <v>131</v>
      </c>
      <c r="D25" s="19" t="s">
        <v>132</v>
      </c>
      <c r="E25" s="19" t="s">
        <v>133</v>
      </c>
      <c r="F25" s="19" t="s">
        <v>134</v>
      </c>
      <c r="G25" s="19" t="s">
        <v>135</v>
      </c>
    </row>
    <row r="26" customFormat="false" ht="15" hidden="false" customHeight="false" outlineLevel="0" collapsed="false">
      <c r="A26" s="2" t="s">
        <v>202</v>
      </c>
      <c r="B26" s="29" t="n">
        <f aca="false">B15*Assumptions!$B$69-B36</f>
        <v>424.723260234158</v>
      </c>
      <c r="C26" s="29" t="n">
        <f aca="false">B26*(C5/B5)*(1+Assumptions!B$84)</f>
        <v>433.587368713243</v>
      </c>
      <c r="D26" s="29" t="n">
        <f aca="false">C26*(D5/C5)*(1+Assumptions!C$84)</f>
        <v>451.41396407611</v>
      </c>
      <c r="E26" s="29" t="n">
        <f aca="false">D26*(E5/D5)*(1+Assumptions!D$84)</f>
        <v>469.407985708389</v>
      </c>
      <c r="F26" s="29" t="n">
        <f aca="false">E26*(F5/E5)*(1+Assumptions!E$84)</f>
        <v>485.311285554894</v>
      </c>
      <c r="G26" s="29" t="n">
        <f aca="false">F26*(G5/F5)*(1+Assumptions!F$84)</f>
        <v>501.361883200221</v>
      </c>
    </row>
    <row r="27" customFormat="false" ht="15" hidden="false" customHeight="false" outlineLevel="0" collapsed="false">
      <c r="A27" s="2" t="s">
        <v>203</v>
      </c>
      <c r="B27" s="29" t="n">
        <f aca="false">B16*Assumptions!$B$69-B37</f>
        <v>335.948941450497</v>
      </c>
      <c r="C27" s="29" t="n">
        <f aca="false">B27*(C6/B6)*(1+Assumptions!B$84)</f>
        <v>342.715404051088</v>
      </c>
      <c r="D27" s="29" t="n">
        <f aca="false">C27*(D6/C6)*(1+Assumptions!C$84)</f>
        <v>358.197727165792</v>
      </c>
      <c r="E27" s="29" t="n">
        <f aca="false">D27*(E6/D6)*(1+Assumptions!D$84)</f>
        <v>373.826305626542</v>
      </c>
      <c r="F27" s="29" t="n">
        <f aca="false">E27*(F6/E6)*(1+Assumptions!E$84)</f>
        <v>386.820859373912</v>
      </c>
      <c r="G27" s="29" t="n">
        <f aca="false">F27*(G6/F6)*(1+Assumptions!F$84)</f>
        <v>399.936013001114</v>
      </c>
    </row>
    <row r="28" customFormat="false" ht="15" hidden="false" customHeight="false" outlineLevel="0" collapsed="false">
      <c r="A28" s="2" t="s">
        <v>204</v>
      </c>
      <c r="B28" s="29" t="n">
        <f aca="false">B17*Assumptions!$B$69-B38</f>
        <v>186.114882335073</v>
      </c>
      <c r="C28" s="29" t="n">
        <f aca="false">B28*(C7/B7)*(1+Assumptions!B$84)</f>
        <v>187.326422342526</v>
      </c>
      <c r="D28" s="29" t="n">
        <f aca="false">C28*(D7/C7)*(1+Assumptions!C$84)</f>
        <v>193.127123005334</v>
      </c>
      <c r="E28" s="29" t="n">
        <f aca="false">D28*(E7/D7)*(1+Assumptions!D$84)</f>
        <v>198.981147514211</v>
      </c>
      <c r="F28" s="29" t="n">
        <f aca="false">E28*(F7/E7)*(1+Assumptions!E$84)</f>
        <v>204.888884090102</v>
      </c>
      <c r="G28" s="29" t="n">
        <f aca="false">F28*(G7/F7)*(1+Assumptions!F$84)</f>
        <v>210.850723503064</v>
      </c>
    </row>
    <row r="29" customFormat="false" ht="15" hidden="false" customHeight="false" outlineLevel="0" collapsed="false">
      <c r="A29" s="2" t="s">
        <v>205</v>
      </c>
      <c r="B29" s="29" t="n">
        <f aca="false">B18*Assumptions!$B$69-B39</f>
        <v>167.566608898193</v>
      </c>
      <c r="C29" s="29" t="n">
        <f aca="false">B29*(C8/B8)*(1+Assumptions!B$84)</f>
        <v>168.77136379669</v>
      </c>
      <c r="D29" s="29" t="n">
        <f aca="false">C29*(D8/C8)*(1+Assumptions!C$84)</f>
        <v>173.352065917804</v>
      </c>
      <c r="E29" s="29" t="n">
        <f aca="false">D29*(E8/D8)*(1+Assumptions!D$84)</f>
        <v>177.974355776033</v>
      </c>
      <c r="F29" s="29" t="n">
        <f aca="false">E29*(F8/E8)*(1+Assumptions!E$84)</f>
        <v>182.638534731197</v>
      </c>
      <c r="G29" s="29" t="n">
        <f aca="false">F29*(G8/F8)*(1+Assumptions!F$84)</f>
        <v>187.344906117018</v>
      </c>
    </row>
    <row r="30" customFormat="false" ht="15" hidden="false" customHeight="false" outlineLevel="0" collapsed="false">
      <c r="A30" s="2" t="s">
        <v>206</v>
      </c>
      <c r="B30" s="29" t="n">
        <f aca="false">B19*Assumptions!$B$69-B40</f>
        <v>87.5477360010184</v>
      </c>
      <c r="C30" s="29" t="n">
        <f aca="false">B30*(C9/B9)*(1+Assumptions!B$84)</f>
        <v>89.7622288953269</v>
      </c>
      <c r="D30" s="29" t="n">
        <f aca="false">C30*(D9/C9)*(1+Assumptions!C$84)</f>
        <v>92.9203667158917</v>
      </c>
      <c r="E30" s="29" t="n">
        <f aca="false">D30*(E9/D9)*(1+Assumptions!D$84)</f>
        <v>96.1078418589398</v>
      </c>
      <c r="F30" s="29" t="n">
        <f aca="false">E30*(F9/E9)*(1+Assumptions!E$84)</f>
        <v>99.3248687442505</v>
      </c>
      <c r="G30" s="29" t="n">
        <f aca="false">F30*(G9/F9)*(1+Assumptions!F$84)</f>
        <v>102.571663202368</v>
      </c>
    </row>
    <row r="31" customFormat="false" ht="15" hidden="false" customHeight="false" outlineLevel="0" collapsed="false">
      <c r="A31" s="2" t="s">
        <v>207</v>
      </c>
      <c r="B31" s="29" t="n">
        <f aca="false">B20*Assumptions!$B$69-B41</f>
        <v>141.317607621405</v>
      </c>
      <c r="C31" s="29" t="n">
        <f aca="false">B31*(C10/B10)*(1+Assumptions!B$84)</f>
        <v>139.197843507084</v>
      </c>
      <c r="D31" s="29" t="n">
        <f aca="false">C31*(D10/C10)*(1+Assumptions!C$84)</f>
        <v>139.893832724619</v>
      </c>
      <c r="E31" s="29" t="n">
        <f aca="false">D31*(E10/D10)*(1+Assumptions!D$84)</f>
        <v>140.593301888242</v>
      </c>
      <c r="F31" s="29" t="n">
        <f aca="false">E31*(F10/E10)*(1+Assumptions!E$84)</f>
        <v>141.296268397684</v>
      </c>
      <c r="G31" s="29" t="n">
        <f aca="false">F31*(G10/F10)*(1+Assumptions!F$84)</f>
        <v>142.002749739672</v>
      </c>
    </row>
    <row r="32" customFormat="false" ht="15" hidden="false" customHeight="false" outlineLevel="0" collapsed="false">
      <c r="A32" s="3" t="s">
        <v>215</v>
      </c>
      <c r="B32" s="30" t="n">
        <f aca="false">SUM(B26:B31)</f>
        <v>1343.21903654034</v>
      </c>
      <c r="C32" s="30" t="n">
        <f aca="false">SUM(C26:C31)</f>
        <v>1361.36063130596</v>
      </c>
      <c r="D32" s="30" t="n">
        <f aca="false">SUM(D26:D31)</f>
        <v>1408.90507960555</v>
      </c>
      <c r="E32" s="30" t="n">
        <f aca="false">SUM(E26:E31)</f>
        <v>1456.89093837236</v>
      </c>
      <c r="F32" s="30" t="n">
        <f aca="false">SUM(F26:F31)</f>
        <v>1500.28070089204</v>
      </c>
      <c r="G32" s="30" t="n">
        <f aca="false">SUM(G26:G31)</f>
        <v>1544.06793876346</v>
      </c>
    </row>
    <row r="33" customFormat="false" ht="15" hidden="false" customHeight="false" outlineLevel="0" collapsed="false">
      <c r="A33" s="2" t="s">
        <v>216</v>
      </c>
      <c r="C33" s="28" t="n">
        <f aca="false">C32/B32-1</f>
        <v>0.0135060584105029</v>
      </c>
      <c r="D33" s="28" t="n">
        <f aca="false">D32/C32-1</f>
        <v>0.0349242127370639</v>
      </c>
      <c r="E33" s="28" t="n">
        <f aca="false">E32/D32-1</f>
        <v>0.0340589720779778</v>
      </c>
      <c r="F33" s="28" t="n">
        <f aca="false">F32/E32-1</f>
        <v>0.0297824369531439</v>
      </c>
      <c r="G33" s="28" t="n">
        <f aca="false">G32/F32-1</f>
        <v>0.0291860302178009</v>
      </c>
    </row>
    <row r="35" customFormat="false" ht="15" hidden="false" customHeight="false" outlineLevel="0" collapsed="false">
      <c r="A35" s="23" t="s">
        <v>217</v>
      </c>
      <c r="B35" s="19" t="s">
        <v>200</v>
      </c>
      <c r="C35" s="19" t="s">
        <v>131</v>
      </c>
      <c r="D35" s="19" t="s">
        <v>132</v>
      </c>
      <c r="E35" s="19" t="s">
        <v>133</v>
      </c>
      <c r="F35" s="19" t="s">
        <v>134</v>
      </c>
      <c r="G35" s="19" t="s">
        <v>135</v>
      </c>
    </row>
    <row r="36" customFormat="false" ht="15" hidden="false" customHeight="false" outlineLevel="0" collapsed="false">
      <c r="A36" s="2" t="s">
        <v>202</v>
      </c>
      <c r="B36" s="7" t="n">
        <v>357.5</v>
      </c>
      <c r="C36" s="29" t="n">
        <f aca="false">C15*Assumptions!B$85-C26</f>
        <v>361.980196501556</v>
      </c>
      <c r="D36" s="29" t="n">
        <f aca="false">D15*Assumptions!C$85-D26</f>
        <v>379.966220988785</v>
      </c>
      <c r="E36" s="29" t="n">
        <f aca="false">E15*Assumptions!D$85-E26</f>
        <v>395.112230957707</v>
      </c>
      <c r="F36" s="29" t="n">
        <f aca="false">F15*Assumptions!E$85-F26</f>
        <v>408.498429048179</v>
      </c>
      <c r="G36" s="29" t="n">
        <f aca="false">G15*Assumptions!F$85-G26</f>
        <v>422.008611313782</v>
      </c>
    </row>
    <row r="37" customFormat="false" ht="15" hidden="false" customHeight="false" outlineLevel="0" collapsed="false">
      <c r="A37" s="3" t="s">
        <v>203</v>
      </c>
      <c r="B37" s="32" t="n">
        <v>70.7</v>
      </c>
      <c r="C37" s="29" t="n">
        <f aca="false">C16*Assumptions!B$85-C27</f>
        <v>62.1837265127979</v>
      </c>
      <c r="D37" s="29" t="n">
        <f aca="false">D16*Assumptions!C$85-D27</f>
        <v>64.4652580242724</v>
      </c>
      <c r="E37" s="29" t="n">
        <f aca="false">E16*Assumptions!D$85-E27</f>
        <v>65.0834027704239</v>
      </c>
      <c r="F37" s="29" t="n">
        <f aca="false">F16*Assumptions!E$85-F27</f>
        <v>65.0862275885757</v>
      </c>
      <c r="G37" s="29" t="n">
        <f aca="false">G16*Assumptions!F$85-G27</f>
        <v>64.9684525268946</v>
      </c>
    </row>
    <row r="38" customFormat="false" ht="15" hidden="false" customHeight="false" outlineLevel="0" collapsed="false">
      <c r="A38" s="2" t="s">
        <v>204</v>
      </c>
      <c r="B38" s="7" t="n">
        <v>132.4</v>
      </c>
      <c r="C38" s="29" t="n">
        <f aca="false">C17*Assumptions!B$85-C28</f>
        <v>130.443858812363</v>
      </c>
      <c r="D38" s="29" t="n">
        <f aca="false">D17*Assumptions!C$85-D28</f>
        <v>135.710683949874</v>
      </c>
      <c r="E38" s="29" t="n">
        <f aca="false">E17*Assumptions!D$85-E28</f>
        <v>139.824314690063</v>
      </c>
      <c r="F38" s="29" t="n">
        <f aca="false">F17*Assumptions!E$85-F28</f>
        <v>143.975688970555</v>
      </c>
      <c r="G38" s="29" t="n">
        <f aca="false">G17*Assumptions!F$85-G28</f>
        <v>148.165081385985</v>
      </c>
    </row>
    <row r="39" customFormat="false" ht="15" hidden="false" customHeight="false" outlineLevel="0" collapsed="false">
      <c r="A39" s="2" t="s">
        <v>205</v>
      </c>
      <c r="B39" s="7" t="n">
        <v>133</v>
      </c>
      <c r="C39" s="29" t="n">
        <f aca="false">C18*Assumptions!B$85-C29</f>
        <v>131.295212321796</v>
      </c>
      <c r="D39" s="29" t="n">
        <f aca="false">D18*Assumptions!C$85-D29</f>
        <v>136.013603224871</v>
      </c>
      <c r="E39" s="29" t="n">
        <f aca="false">E18*Assumptions!D$85-E29</f>
        <v>139.640293771874</v>
      </c>
      <c r="F39" s="29" t="n">
        <f aca="false">F18*Assumptions!E$85-F29</f>
        <v>143.299850884267</v>
      </c>
      <c r="G39" s="29" t="n">
        <f aca="false">G18*Assumptions!F$85-G29</f>
        <v>146.992512560439</v>
      </c>
    </row>
    <row r="40" customFormat="false" ht="15" hidden="false" customHeight="false" outlineLevel="0" collapsed="false">
      <c r="A40" s="2" t="s">
        <v>206</v>
      </c>
      <c r="B40" s="7" t="n">
        <v>98.9</v>
      </c>
      <c r="C40" s="29" t="n">
        <f aca="false">C19*Assumptions!B$85-C30</f>
        <v>101.654792427992</v>
      </c>
      <c r="D40" s="29" t="n">
        <f aca="false">D19*Assumptions!C$85-D30</f>
        <v>106.963335952354</v>
      </c>
      <c r="E40" s="29" t="n">
        <f aca="false">E19*Assumptions!D$85-E30</f>
        <v>111.66109034135</v>
      </c>
      <c r="F40" s="29" t="n">
        <f aca="false">F19*Assumptions!E$85-F30</f>
        <v>116.467009208458</v>
      </c>
      <c r="G40" s="29" t="n">
        <f aca="false">G19*Assumptions!F$85-G30</f>
        <v>121.382842524587</v>
      </c>
    </row>
    <row r="41" customFormat="false" ht="15" hidden="false" customHeight="false" outlineLevel="0" collapsed="false">
      <c r="A41" s="2" t="s">
        <v>207</v>
      </c>
      <c r="B41" s="7" t="n">
        <v>-10.3219999999998</v>
      </c>
      <c r="C41" s="29" t="n">
        <f aca="false">C20*Assumptions!B$85-C31</f>
        <v>-11.3013680381068</v>
      </c>
      <c r="D41" s="29" t="n">
        <f aca="false">D20*Assumptions!C$85-D31</f>
        <v>-10.8762587782973</v>
      </c>
      <c r="E41" s="29" t="n">
        <f aca="false">E20*Assumptions!D$85-E31</f>
        <v>-10.9306400721888</v>
      </c>
      <c r="F41" s="29" t="n">
        <f aca="false">F20*Assumptions!E$85-F31</f>
        <v>-10.9852932725498</v>
      </c>
      <c r="G41" s="29" t="n">
        <f aca="false">G20*Assumptions!F$85-G31</f>
        <v>-11.0402197389125</v>
      </c>
    </row>
    <row r="42" customFormat="false" ht="15" hidden="false" customHeight="false" outlineLevel="0" collapsed="false">
      <c r="A42" s="3" t="s">
        <v>218</v>
      </c>
      <c r="B42" s="30" t="n">
        <f aca="false">SUM(B36:B41)</f>
        <v>782.178</v>
      </c>
      <c r="C42" s="30" t="n">
        <f aca="false">SUM(C36:C41)</f>
        <v>776.256418538397</v>
      </c>
      <c r="D42" s="30" t="n">
        <f aca="false">SUM(D36:D41)</f>
        <v>812.242843361859</v>
      </c>
      <c r="E42" s="30" t="n">
        <f aca="false">SUM(E36:E41)</f>
        <v>840.390692459229</v>
      </c>
      <c r="F42" s="30" t="n">
        <f aca="false">SUM(F36:F41)</f>
        <v>866.341912427485</v>
      </c>
      <c r="G42" s="30" t="n">
        <f aca="false">SUM(G36:G41)</f>
        <v>892.477280572776</v>
      </c>
    </row>
    <row r="43" customFormat="false" ht="15" hidden="false" customHeight="false" outlineLevel="0" collapsed="false">
      <c r="A43" s="3" t="s">
        <v>219</v>
      </c>
      <c r="B43" s="33" t="n">
        <f aca="false">B42/B21</f>
        <v>0.0985855810436098</v>
      </c>
      <c r="C43" s="33" t="n">
        <f aca="false">C42/C21</f>
        <v>0.0969167720888962</v>
      </c>
      <c r="D43" s="33" t="n">
        <f aca="false">D42/D21</f>
        <v>0.0979616937862463</v>
      </c>
      <c r="E43" s="33" t="n">
        <f aca="false">E42/E21</f>
        <v>0.09799747108003</v>
      </c>
      <c r="F43" s="33" t="n">
        <f aca="false">F42/F21</f>
        <v>0.0980636807419394</v>
      </c>
      <c r="G43" s="33" t="n">
        <f aca="false">G42/G21</f>
        <v>0.0981229435744301</v>
      </c>
    </row>
    <row r="45" customFormat="false" ht="15" hidden="false" customHeight="false" outlineLevel="0" collapsed="false">
      <c r="A45" s="3" t="s">
        <v>220</v>
      </c>
    </row>
    <row r="46" customFormat="false" ht="15" hidden="false" customHeight="false" outlineLevel="0" collapsed="false">
      <c r="B46" s="19" t="s">
        <v>34</v>
      </c>
      <c r="C46" s="19" t="s">
        <v>221</v>
      </c>
      <c r="D46" s="19" t="s">
        <v>222</v>
      </c>
      <c r="E46" s="19" t="s">
        <v>223</v>
      </c>
      <c r="F46" s="19" t="s">
        <v>224</v>
      </c>
      <c r="G46" s="19" t="s">
        <v>225</v>
      </c>
      <c r="H46" s="19" t="s">
        <v>226</v>
      </c>
      <c r="I46" s="19" t="s">
        <v>227</v>
      </c>
    </row>
    <row r="47" customFormat="false" ht="15" hidden="false" customHeight="false" outlineLevel="0" collapsed="false">
      <c r="A47" s="2" t="s">
        <v>202</v>
      </c>
      <c r="B47" s="7" t="n">
        <v>2920</v>
      </c>
      <c r="C47" s="13" t="n">
        <v>0.368037691092858</v>
      </c>
      <c r="D47" s="7" t="n">
        <v>357.5</v>
      </c>
      <c r="E47" s="13" t="n">
        <v>0.122431506849315</v>
      </c>
      <c r="F47" s="20" t="n">
        <v>116</v>
      </c>
      <c r="G47" s="13" t="n">
        <v>0.370689655172414</v>
      </c>
      <c r="H47" s="26" t="n">
        <v>526.27150584026</v>
      </c>
      <c r="I47" s="26" t="n">
        <v>5548.46684191622</v>
      </c>
    </row>
    <row r="48" customFormat="false" ht="15" hidden="false" customHeight="false" outlineLevel="0" collapsed="false">
      <c r="A48" s="3" t="s">
        <v>203</v>
      </c>
      <c r="B48" s="32" t="n">
        <v>1518</v>
      </c>
      <c r="C48" s="34" t="n">
        <v>0.191329183246219</v>
      </c>
      <c r="D48" s="32" t="n">
        <v>70.7</v>
      </c>
      <c r="E48" s="34" t="n">
        <v>0.0465744400527009</v>
      </c>
      <c r="F48" s="35" t="n">
        <v>65</v>
      </c>
      <c r="G48" s="34" t="n">
        <v>0.461538461538462</v>
      </c>
      <c r="H48" s="36" t="n">
        <v>338.149861300179</v>
      </c>
      <c r="I48" s="36" t="n">
        <v>4489.13388331233</v>
      </c>
    </row>
    <row r="49" customFormat="false" ht="15" hidden="false" customHeight="false" outlineLevel="0" collapsed="false">
      <c r="A49" s="2" t="s">
        <v>204</v>
      </c>
      <c r="B49" s="7" t="n">
        <v>1189</v>
      </c>
      <c r="C49" s="13" t="n">
        <v>0.149861922845688</v>
      </c>
      <c r="D49" s="7" t="n">
        <v>132.4</v>
      </c>
      <c r="E49" s="13" t="n">
        <v>0.111354079058032</v>
      </c>
      <c r="F49" s="20" t="n">
        <v>32</v>
      </c>
      <c r="G49" s="13" t="n">
        <v>0.65625</v>
      </c>
      <c r="H49" s="26" t="n">
        <v>212.115172427569</v>
      </c>
      <c r="I49" s="26" t="n">
        <v>5605.44531724154</v>
      </c>
    </row>
    <row r="50" customFormat="false" ht="15" hidden="false" customHeight="false" outlineLevel="0" collapsed="false">
      <c r="A50" s="2" t="s">
        <v>205</v>
      </c>
      <c r="B50" s="7" t="n">
        <v>1122</v>
      </c>
      <c r="C50" s="13" t="n">
        <v>0.141417222399379</v>
      </c>
      <c r="D50" s="7" t="n">
        <v>133</v>
      </c>
      <c r="E50" s="13" t="n">
        <v>0.118538324420677</v>
      </c>
      <c r="F50" s="20" t="n">
        <v>24</v>
      </c>
      <c r="G50" s="13" t="n">
        <v>0.458333333333333</v>
      </c>
      <c r="H50" s="26" t="n">
        <v>124.29185939627</v>
      </c>
      <c r="I50" s="26" t="n">
        <v>9027.13987424401</v>
      </c>
    </row>
    <row r="51" customFormat="false" ht="15" hidden="false" customHeight="false" outlineLevel="0" collapsed="false">
      <c r="A51" s="2" t="s">
        <v>206</v>
      </c>
      <c r="B51" s="7" t="n">
        <v>696</v>
      </c>
      <c r="C51" s="13" t="n">
        <v>0.0877240523974757</v>
      </c>
      <c r="D51" s="7" t="n">
        <v>98.9</v>
      </c>
      <c r="E51" s="13" t="n">
        <v>0.142097701149425</v>
      </c>
      <c r="F51" s="20" t="n">
        <v>17</v>
      </c>
      <c r="G51" s="13" t="n">
        <v>0.470588235294118</v>
      </c>
      <c r="H51" s="26" t="n">
        <v>89.566142507639</v>
      </c>
      <c r="I51" s="26" t="n">
        <v>7770.79352212404</v>
      </c>
    </row>
    <row r="52" customFormat="false" ht="15" hidden="false" customHeight="false" outlineLevel="0" collapsed="false">
      <c r="A52" s="2" t="s">
        <v>207</v>
      </c>
      <c r="B52" s="7" t="n">
        <v>489</v>
      </c>
      <c r="C52" s="13" t="n">
        <v>0.0616337092275368</v>
      </c>
      <c r="D52" s="7" t="n">
        <v>-10.3219999999998</v>
      </c>
      <c r="E52" s="13" t="n">
        <v>-0.0211083844580773</v>
      </c>
      <c r="F52" s="20" t="n">
        <v>13</v>
      </c>
      <c r="G52" s="13" t="n">
        <v>0.692307692307692</v>
      </c>
      <c r="H52" s="26" t="n">
        <v>89.6054585280823</v>
      </c>
      <c r="I52" s="26" t="n">
        <v>5457.25682377651</v>
      </c>
    </row>
    <row r="54" customFormat="false" ht="15" hidden="false" customHeight="false" outlineLevel="0" collapsed="false">
      <c r="A54" s="4" t="s">
        <v>228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10" min="2" style="0" width="13"/>
  </cols>
  <sheetData>
    <row r="1" customFormat="false" ht="16.15" hidden="false" customHeight="false" outlineLevel="0" collapsed="false">
      <c r="A1" s="1" t="s">
        <v>229</v>
      </c>
    </row>
    <row r="2" customFormat="false" ht="15" hidden="false" customHeight="false" outlineLevel="0" collapsed="false">
      <c r="A2" s="4" t="s">
        <v>230</v>
      </c>
    </row>
    <row r="4" customFormat="false" ht="15" hidden="false" customHeight="false" outlineLevel="0" collapsed="false">
      <c r="A4" s="3" t="s">
        <v>231</v>
      </c>
    </row>
    <row r="5" customFormat="false" ht="15" hidden="false" customHeight="false" outlineLevel="0" collapsed="false">
      <c r="B5" s="19" t="s">
        <v>232</v>
      </c>
      <c r="C5" s="19" t="s">
        <v>233</v>
      </c>
      <c r="D5" s="19" t="s">
        <v>234</v>
      </c>
    </row>
    <row r="6" customFormat="false" ht="15" hidden="false" customHeight="false" outlineLevel="0" collapsed="false">
      <c r="A6" s="2" t="s">
        <v>235</v>
      </c>
      <c r="B6" s="15" t="n">
        <f aca="false">Assumptions!$B$56</f>
        <v>1.30681818181818</v>
      </c>
      <c r="C6" s="15" t="n">
        <f aca="false">Assumptions!$B$55</f>
        <v>1.38</v>
      </c>
      <c r="D6" s="15" t="n">
        <f aca="false">Assumptions!$B$63</f>
        <v>1.399926</v>
      </c>
    </row>
    <row r="7" customFormat="false" ht="15" hidden="false" customHeight="false" outlineLevel="0" collapsed="false">
      <c r="A7" s="2" t="s">
        <v>236</v>
      </c>
      <c r="B7" s="9" t="n">
        <f aca="false">Assumptions!$B$25</f>
        <v>7620.802</v>
      </c>
      <c r="C7" s="9" t="n">
        <f aca="false">Assumptions!$B$12</f>
        <v>7933.97</v>
      </c>
      <c r="D7" s="7" t="n">
        <v>2020</v>
      </c>
    </row>
    <row r="8" customFormat="false" ht="15" hidden="false" customHeight="false" outlineLevel="0" collapsed="false">
      <c r="A8" s="3" t="s">
        <v>237</v>
      </c>
      <c r="B8" s="16" t="n">
        <f aca="false">Assumptions!$B$58</f>
        <v>5831.57022608696</v>
      </c>
      <c r="C8" s="16" t="n">
        <f aca="false">Assumptions!$B$57</f>
        <v>5749.25362318841</v>
      </c>
    </row>
    <row r="9" customFormat="false" ht="15" hidden="false" customHeight="false" outlineLevel="0" collapsed="false">
      <c r="A9" s="3" t="s">
        <v>238</v>
      </c>
      <c r="C9" s="17" t="n">
        <f aca="false">Assumptions!$B$59</f>
        <v>-0.0141156840622986</v>
      </c>
      <c r="D9" s="17" t="n">
        <f aca="false">Assumptions!$B$65</f>
        <v>-0.0808904607035722</v>
      </c>
    </row>
    <row r="10" customFormat="false" ht="15" hidden="false" customHeight="false" outlineLevel="0" collapsed="false">
      <c r="A10" s="4" t="s">
        <v>239</v>
      </c>
    </row>
    <row r="12" customFormat="false" ht="15" hidden="false" customHeight="false" outlineLevel="0" collapsed="false">
      <c r="A12" s="3" t="s">
        <v>240</v>
      </c>
    </row>
    <row r="13" customFormat="false" ht="15" hidden="false" customHeight="false" outlineLevel="0" collapsed="false">
      <c r="B13" s="19" t="s">
        <v>241</v>
      </c>
      <c r="C13" s="19" t="s">
        <v>242</v>
      </c>
      <c r="D13" s="19" t="s">
        <v>243</v>
      </c>
      <c r="E13" s="19" t="s">
        <v>244</v>
      </c>
    </row>
    <row r="14" customFormat="false" ht="15" hidden="false" customHeight="false" outlineLevel="0" collapsed="false">
      <c r="A14" s="2" t="s">
        <v>245</v>
      </c>
      <c r="B14" s="28" t="n">
        <f aca="false">Assumptions!$B$73</f>
        <v>0.0560000000000001</v>
      </c>
      <c r="C14" s="28" t="n">
        <f aca="false">Assumptions!$B$72</f>
        <v>0.0553040141606935</v>
      </c>
      <c r="D14" s="37" t="n">
        <f aca="false">Assumptions!$B$74</f>
        <v>-0.000659077499343352</v>
      </c>
      <c r="E14" s="28" t="n">
        <f aca="false">Assumptions!$B$59</f>
        <v>-0.0141156840622986</v>
      </c>
    </row>
    <row r="15" customFormat="false" ht="15" hidden="false" customHeight="false" outlineLevel="0" collapsed="false">
      <c r="A15" s="3" t="s">
        <v>246</v>
      </c>
      <c r="B15" s="38" t="n">
        <f aca="false">Assumptions!$B$64</f>
        <v>0.0564573192693594</v>
      </c>
      <c r="C15" s="38" t="n">
        <f aca="false">Assumptions!$B$75</f>
        <v>0.011</v>
      </c>
      <c r="D15" s="39" t="n">
        <f aca="false">Assumptions!$B$76</f>
        <v>-0.0430280697953775</v>
      </c>
      <c r="E15" s="38" t="n">
        <f aca="false">Assumptions!$B$65</f>
        <v>-0.0808904607035722</v>
      </c>
    </row>
    <row r="17" customFormat="false" ht="15" hidden="false" customHeight="false" outlineLevel="0" collapsed="false">
      <c r="A17" s="5" t="s">
        <v>247</v>
      </c>
    </row>
    <row r="18" customFormat="false" ht="15" hidden="false" customHeight="false" outlineLevel="0" collapsed="false">
      <c r="A18" s="4" t="s">
        <v>248</v>
      </c>
    </row>
    <row r="20" customFormat="false" ht="15" hidden="false" customHeight="false" outlineLevel="0" collapsed="false">
      <c r="A20" s="3" t="s">
        <v>249</v>
      </c>
    </row>
    <row r="21" customFormat="false" ht="15" hidden="false" customHeight="false" outlineLevel="0" collapsed="false">
      <c r="A21" s="2" t="s">
        <v>250</v>
      </c>
      <c r="B21" s="7" t="n">
        <v>2080.32955715757</v>
      </c>
    </row>
    <row r="22" customFormat="false" ht="15" hidden="false" customHeight="false" outlineLevel="0" collapsed="false">
      <c r="A22" s="2" t="s">
        <v>251</v>
      </c>
      <c r="B22" s="13" t="n">
        <v>0.223</v>
      </c>
    </row>
    <row r="23" customFormat="false" ht="15" hidden="false" customHeight="false" outlineLevel="0" collapsed="false">
      <c r="A23" s="2" t="s">
        <v>252</v>
      </c>
      <c r="B23" s="7" t="n">
        <v>2020</v>
      </c>
    </row>
    <row r="24" customFormat="false" ht="15" hidden="false" customHeight="false" outlineLevel="0" collapsed="false">
      <c r="A24" s="2" t="s">
        <v>253</v>
      </c>
      <c r="B24" s="7" t="n">
        <v>449</v>
      </c>
    </row>
    <row r="25" customFormat="false" ht="15" hidden="false" customHeight="false" outlineLevel="0" collapsed="false">
      <c r="A25" s="2" t="s">
        <v>254</v>
      </c>
      <c r="B25" s="7" t="n">
        <v>192</v>
      </c>
    </row>
    <row r="26" customFormat="false" ht="15" hidden="false" customHeight="false" outlineLevel="0" collapsed="false">
      <c r="A26" s="2" t="s">
        <v>255</v>
      </c>
      <c r="B26" s="13" t="n">
        <v>0.011</v>
      </c>
    </row>
    <row r="28" customFormat="false" ht="15" hidden="false" customHeight="false" outlineLevel="0" collapsed="false">
      <c r="A28" s="2" t="s">
        <v>256</v>
      </c>
      <c r="B28" s="29" t="n">
        <f aca="false">B24+B23*Assumptions!$B$14/Assumptions!$B$12-B25</f>
        <v>334.030422348459</v>
      </c>
    </row>
    <row r="29" customFormat="false" ht="15" hidden="false" customHeight="false" outlineLevel="0" collapsed="false">
      <c r="A29" s="2" t="s">
        <v>257</v>
      </c>
      <c r="B29" s="29" t="n">
        <f aca="false">B28/(1+B26)</f>
        <v>330.396065626566</v>
      </c>
    </row>
    <row r="30" customFormat="false" ht="15" hidden="false" customHeight="false" outlineLevel="0" collapsed="false">
      <c r="A30" s="2" t="s">
        <v>258</v>
      </c>
      <c r="B30" s="29" t="n">
        <f aca="false">B21*B22+B21*Assumptions!$B$14/Assumptions!$B$12-B29</f>
        <v>212.848447605626</v>
      </c>
    </row>
    <row r="31" customFormat="false" ht="15" hidden="false" customHeight="false" outlineLevel="0" collapsed="false">
      <c r="A31" s="3" t="s">
        <v>259</v>
      </c>
      <c r="B31" s="39" t="n">
        <f aca="false">B30/B21</f>
        <v>0.102314773576764</v>
      </c>
    </row>
    <row r="32" customFormat="false" ht="15" hidden="false" customHeight="false" outlineLevel="0" collapsed="false">
      <c r="A32" s="2" t="s">
        <v>260</v>
      </c>
      <c r="B32" s="28" t="n">
        <f aca="false">(B24+B23*Assumptions!$B$14/Assumptions!$B$12)/B23-(B21*B22+B21*Assumptions!$B$14/Assumptions!$B$12)/B21</f>
        <v>-0.000722772277227723</v>
      </c>
    </row>
    <row r="33" customFormat="false" ht="15" hidden="false" customHeight="false" outlineLevel="0" collapsed="false">
      <c r="A33" s="3" t="s">
        <v>261</v>
      </c>
      <c r="B33" s="33" t="n">
        <f aca="false">-(B28/B23-B29/B21)</f>
        <v>-0.00654249634904092</v>
      </c>
    </row>
    <row r="34" customFormat="false" ht="15" hidden="false" customHeight="false" outlineLevel="0" collapsed="false">
      <c r="A34" s="3" t="s">
        <v>262</v>
      </c>
      <c r="B34" s="39" t="n">
        <f aca="false">B25/B23</f>
        <v>0.0950495049504951</v>
      </c>
    </row>
    <row r="36" customFormat="false" ht="15" hidden="false" customHeight="false" outlineLevel="0" collapsed="false">
      <c r="A36" s="4" t="s">
        <v>263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10" min="2" style="0" width="13"/>
  </cols>
  <sheetData>
    <row r="1" customFormat="false" ht="16.15" hidden="false" customHeight="false" outlineLevel="0" collapsed="false">
      <c r="A1" s="1" t="s">
        <v>264</v>
      </c>
    </row>
    <row r="4" customFormat="false" ht="15" hidden="false" customHeight="false" outlineLevel="0" collapsed="false">
      <c r="B4" s="19" t="s">
        <v>200</v>
      </c>
      <c r="C4" s="19" t="s">
        <v>131</v>
      </c>
      <c r="D4" s="19" t="s">
        <v>132</v>
      </c>
      <c r="E4" s="19" t="s">
        <v>133</v>
      </c>
      <c r="F4" s="19" t="s">
        <v>134</v>
      </c>
      <c r="G4" s="19" t="s">
        <v>135</v>
      </c>
    </row>
    <row r="5" customFormat="false" ht="15" hidden="false" customHeight="false" outlineLevel="0" collapsed="false">
      <c r="A5" s="2" t="s">
        <v>222</v>
      </c>
      <c r="B5" s="7" t="n">
        <v>782.178</v>
      </c>
      <c r="C5" s="7" t="n">
        <v>776.257065773436</v>
      </c>
      <c r="D5" s="7" t="n">
        <v>812.24350034675</v>
      </c>
      <c r="E5" s="7" t="n">
        <v>840.391353566307</v>
      </c>
      <c r="F5" s="7" t="n">
        <v>866.342577696282</v>
      </c>
      <c r="G5" s="7" t="n">
        <v>892.477950043213</v>
      </c>
    </row>
    <row r="6" customFormat="false" ht="15" hidden="false" customHeight="false" outlineLevel="0" collapsed="false">
      <c r="A6" s="2" t="s">
        <v>265</v>
      </c>
      <c r="B6" s="7" t="n">
        <v>-277.8604114</v>
      </c>
      <c r="C6" s="7" t="n">
        <v>-286.196223742</v>
      </c>
      <c r="D6" s="7" t="n">
        <v>-294.78211045426</v>
      </c>
      <c r="E6" s="7" t="n">
        <v>-303.625573767888</v>
      </c>
      <c r="F6" s="7" t="n">
        <v>-312.734340980925</v>
      </c>
      <c r="G6" s="7" t="n">
        <v>-322.116371210352</v>
      </c>
    </row>
    <row r="7" customFormat="false" ht="15" hidden="false" customHeight="false" outlineLevel="0" collapsed="false">
      <c r="A7" s="2" t="s">
        <v>266</v>
      </c>
      <c r="B7" s="7" t="n">
        <v>-63.0667564</v>
      </c>
      <c r="C7" s="7" t="n">
        <v>-63.0667564</v>
      </c>
      <c r="D7" s="7" t="n">
        <v>-63.0667564</v>
      </c>
      <c r="E7" s="7" t="n">
        <v>-63.0667564</v>
      </c>
      <c r="F7" s="7" t="n">
        <v>-63.0667564</v>
      </c>
      <c r="G7" s="7" t="n">
        <v>-63.0667564</v>
      </c>
    </row>
    <row r="8" customFormat="false" ht="15" hidden="false" customHeight="false" outlineLevel="0" collapsed="false">
      <c r="A8" s="2" t="s">
        <v>267</v>
      </c>
      <c r="B8" s="7" t="n">
        <v>-27.499</v>
      </c>
      <c r="C8" s="7" t="n">
        <v>-26.6310710813931</v>
      </c>
      <c r="D8" s="7" t="n">
        <v>-29.7049323834282</v>
      </c>
      <c r="E8" s="7" t="n">
        <v>-31.9482517943429</v>
      </c>
      <c r="F8" s="7" t="n">
        <v>-34.0959065748808</v>
      </c>
      <c r="G8" s="7" t="n">
        <v>-36.1633442083147</v>
      </c>
    </row>
    <row r="9" customFormat="false" ht="15" hidden="false" customHeight="false" outlineLevel="0" collapsed="false">
      <c r="A9" s="2" t="s">
        <v>268</v>
      </c>
      <c r="B9" s="7" t="n">
        <v>-138.501</v>
      </c>
      <c r="C9" s="7" t="n">
        <v>-104.12377923056</v>
      </c>
      <c r="D9" s="7" t="n">
        <v>-107.788706097923</v>
      </c>
      <c r="E9" s="7" t="n">
        <v>-111.483349326972</v>
      </c>
      <c r="F9" s="7" t="n">
        <v>-114.848352840528</v>
      </c>
      <c r="G9" s="7" t="n">
        <v>-118.241581584167</v>
      </c>
    </row>
    <row r="10" customFormat="false" ht="15" hidden="false" customHeight="false" outlineLevel="0" collapsed="false">
      <c r="A10" s="3" t="s">
        <v>269</v>
      </c>
      <c r="B10" s="30" t="n">
        <f aca="false">SUM(B5:B9)</f>
        <v>275.2508322</v>
      </c>
      <c r="C10" s="30" t="n">
        <f aca="false">SUM(C5:C9)</f>
        <v>296.239235319483</v>
      </c>
      <c r="D10" s="30" t="n">
        <f aca="false">SUM(D5:D9)</f>
        <v>316.90099501114</v>
      </c>
      <c r="E10" s="30" t="n">
        <f aca="false">SUM(E5:E9)</f>
        <v>330.267422277104</v>
      </c>
      <c r="F10" s="30" t="n">
        <f aca="false">SUM(F5:F9)</f>
        <v>341.59722089995</v>
      </c>
      <c r="G10" s="30" t="n">
        <f aca="false">SUM(G5:G9)</f>
        <v>352.88989664038</v>
      </c>
    </row>
    <row r="11" customFormat="false" ht="15" hidden="false" customHeight="false" outlineLevel="0" collapsed="false">
      <c r="A11" s="2" t="s">
        <v>270</v>
      </c>
      <c r="B11" s="7" t="n">
        <v>196.9</v>
      </c>
      <c r="C11" s="7" t="n">
        <v>196.874880871341</v>
      </c>
      <c r="D11" s="7" t="n">
        <v>196.874880871341</v>
      </c>
      <c r="E11" s="7" t="n">
        <v>196.874880871341</v>
      </c>
      <c r="F11" s="7" t="n">
        <v>196.874880871341</v>
      </c>
      <c r="G11" s="7" t="n">
        <v>196.874880871341</v>
      </c>
    </row>
    <row r="12" customFormat="false" ht="15" hidden="false" customHeight="false" outlineLevel="0" collapsed="false">
      <c r="A12" s="3" t="s">
        <v>271</v>
      </c>
      <c r="B12" s="40" t="n">
        <f aca="false">B10/B11</f>
        <v>1.39792195124429</v>
      </c>
      <c r="C12" s="40" t="n">
        <f aca="false">C10/C11</f>
        <v>1.50470813751541</v>
      </c>
      <c r="D12" s="40" t="n">
        <f aca="false">D10/D11</f>
        <v>1.60965682167567</v>
      </c>
      <c r="E12" s="40" t="n">
        <f aca="false">E10/E11</f>
        <v>1.6775498266482</v>
      </c>
      <c r="F12" s="40" t="n">
        <f aca="false">F10/F11</f>
        <v>1.73509804495163</v>
      </c>
      <c r="G12" s="40" t="n">
        <f aca="false">G10/G11</f>
        <v>1.79245770246838</v>
      </c>
    </row>
    <row r="14" customFormat="false" ht="15" hidden="false" customHeight="false" outlineLevel="0" collapsed="false">
      <c r="A14" s="2" t="s">
        <v>272</v>
      </c>
      <c r="B14" s="25" t="n">
        <f aca="false">Assumptions!$B$23/Assumptions!$B$6*Assumptions!$B$7</f>
        <v>0.0727225328931446</v>
      </c>
    </row>
    <row r="15" customFormat="false" ht="15" hidden="false" customHeight="false" outlineLevel="0" collapsed="false">
      <c r="A15" s="2" t="s">
        <v>273</v>
      </c>
      <c r="B15" s="41" t="n">
        <f aca="false">Assumptions!$B$122</f>
        <v>0.07</v>
      </c>
    </row>
    <row r="16" customFormat="false" ht="15" hidden="false" customHeight="false" outlineLevel="0" collapsed="false">
      <c r="A16" s="3" t="s">
        <v>274</v>
      </c>
      <c r="B16" s="33" t="n">
        <f aca="false">B15/B14</f>
        <v>0.962562732830759</v>
      </c>
    </row>
    <row r="17" customFormat="false" ht="15" hidden="false" customHeight="false" outlineLevel="0" collapsed="false">
      <c r="A17" s="3" t="s">
        <v>275</v>
      </c>
      <c r="B17" s="40" t="n">
        <f aca="false">B10/B11</f>
        <v>1.39792195124429</v>
      </c>
    </row>
    <row r="18" customFormat="false" ht="15" hidden="false" customHeight="false" outlineLevel="0" collapsed="false">
      <c r="A18" s="2" t="s">
        <v>276</v>
      </c>
      <c r="B18" s="28" t="n">
        <f aca="false">Assumptions!$B$121</f>
        <v>0.75</v>
      </c>
    </row>
    <row r="19" customFormat="false" ht="15" hidden="false" customHeight="false" outlineLevel="0" collapsed="false">
      <c r="A19" s="2" t="s">
        <v>277</v>
      </c>
      <c r="B19" s="28" t="n">
        <f aca="false">Assumptions!$B$122/Assumptions!$B$5</f>
        <v>0.074468085106383</v>
      </c>
    </row>
    <row r="21" customFormat="false" ht="15" hidden="false" customHeight="false" outlineLevel="0" collapsed="false">
      <c r="A21" s="4" t="s">
        <v>278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10" min="2" style="0" width="13"/>
  </cols>
  <sheetData>
    <row r="1" customFormat="false" ht="16.15" hidden="false" customHeight="false" outlineLevel="0" collapsed="false">
      <c r="A1" s="1" t="s">
        <v>279</v>
      </c>
    </row>
    <row r="2" customFormat="false" ht="15" hidden="false" customHeight="false" outlineLevel="0" collapsed="false">
      <c r="A2" s="4" t="s">
        <v>280</v>
      </c>
    </row>
    <row r="4" customFormat="false" ht="15" hidden="false" customHeight="false" outlineLevel="0" collapsed="false">
      <c r="B4" s="19" t="s">
        <v>131</v>
      </c>
      <c r="C4" s="19" t="s">
        <v>132</v>
      </c>
      <c r="D4" s="19" t="s">
        <v>133</v>
      </c>
      <c r="E4" s="19" t="s">
        <v>134</v>
      </c>
      <c r="F4" s="19" t="s">
        <v>135</v>
      </c>
    </row>
    <row r="5" customFormat="false" ht="15" hidden="false" customHeight="false" outlineLevel="0" collapsed="false">
      <c r="A5" s="2" t="s">
        <v>281</v>
      </c>
      <c r="B5" s="42" t="n">
        <f aca="false">Segments!C$21</f>
        <v>8009.51581245795</v>
      </c>
      <c r="C5" s="42" t="n">
        <f aca="false">Segments!D$21</f>
        <v>8291.43323240392</v>
      </c>
      <c r="D5" s="42" t="n">
        <f aca="false">Segments!E$21</f>
        <v>8575.63652609893</v>
      </c>
      <c r="E5" s="42" t="n">
        <f aca="false">Segments!F$21</f>
        <v>8834.48291837339</v>
      </c>
      <c r="F5" s="42" t="n">
        <f aca="false">Segments!G$21</f>
        <v>9095.50048196217</v>
      </c>
    </row>
    <row r="6" customFormat="false" ht="15" hidden="false" customHeight="false" outlineLevel="0" collapsed="false">
      <c r="A6" s="2" t="s">
        <v>282</v>
      </c>
      <c r="B6" s="42" t="n">
        <f aca="false">Segments!C$42</f>
        <v>776.256418538397</v>
      </c>
      <c r="C6" s="42" t="n">
        <f aca="false">Segments!D$42</f>
        <v>812.242843361859</v>
      </c>
      <c r="D6" s="42" t="n">
        <f aca="false">Segments!E$42</f>
        <v>840.390692459229</v>
      </c>
      <c r="E6" s="42" t="n">
        <f aca="false">Segments!F$42</f>
        <v>866.341912427485</v>
      </c>
      <c r="F6" s="42" t="n">
        <f aca="false">Segments!G$42</f>
        <v>892.477280572776</v>
      </c>
    </row>
    <row r="7" customFormat="false" ht="15" hidden="false" customHeight="false" outlineLevel="0" collapsed="false">
      <c r="A7" s="2" t="s">
        <v>283</v>
      </c>
      <c r="B7" s="29" t="n">
        <f aca="false">-B5*Assumptions!B$108</f>
        <v>-392.466274810439</v>
      </c>
      <c r="C7" s="29" t="n">
        <f aca="false">-C5*Assumptions!C$108</f>
        <v>-404.621941741311</v>
      </c>
      <c r="D7" s="29" t="n">
        <f aca="false">-D5*Assumptions!D$108</f>
        <v>-415.918371515798</v>
      </c>
      <c r="E7" s="29" t="n">
        <f aca="false">-E5*Assumptions!E$108</f>
        <v>-425.822076665597</v>
      </c>
      <c r="F7" s="29" t="n">
        <f aca="false">-F5*Assumptions!F$108</f>
        <v>-436.584023134184</v>
      </c>
    </row>
    <row r="8" customFormat="false" ht="15" hidden="false" customHeight="false" outlineLevel="0" collapsed="false">
      <c r="A8" s="3" t="s">
        <v>284</v>
      </c>
      <c r="B8" s="43" t="n">
        <f aca="false">B6+B7</f>
        <v>383.790143727958</v>
      </c>
      <c r="C8" s="43" t="n">
        <f aca="false">C6+C7</f>
        <v>407.620901620548</v>
      </c>
      <c r="D8" s="43" t="n">
        <f aca="false">D6+D7</f>
        <v>424.472320943431</v>
      </c>
      <c r="E8" s="43" t="n">
        <f aca="false">E6+E7</f>
        <v>440.519835761888</v>
      </c>
      <c r="F8" s="43" t="n">
        <f aca="false">F6+F7</f>
        <v>455.893257438592</v>
      </c>
    </row>
    <row r="9" customFormat="false" ht="15" hidden="false" customHeight="false" outlineLevel="0" collapsed="false">
      <c r="A9" s="2" t="s">
        <v>285</v>
      </c>
      <c r="B9" s="29" t="n">
        <f aca="false">B8*(1-Assumptions!$B$47)</f>
        <v>337.735326480603</v>
      </c>
      <c r="C9" s="29" t="n">
        <f aca="false">C8*(1-Assumptions!$B$47)</f>
        <v>358.706393426082</v>
      </c>
      <c r="D9" s="29" t="n">
        <f aca="false">D8*(1-Assumptions!$B$47)</f>
        <v>373.535642430219</v>
      </c>
      <c r="E9" s="29" t="n">
        <f aca="false">E8*(1-Assumptions!$B$47)</f>
        <v>387.657455470461</v>
      </c>
      <c r="F9" s="29" t="n">
        <f aca="false">F8*(1-Assumptions!$B$47)</f>
        <v>401.186066545961</v>
      </c>
    </row>
    <row r="10" customFormat="false" ht="15" hidden="false" customHeight="false" outlineLevel="0" collapsed="false">
      <c r="A10" s="2" t="s">
        <v>286</v>
      </c>
      <c r="B10" s="29" t="n">
        <f aca="false">-B7</f>
        <v>392.466274810439</v>
      </c>
      <c r="C10" s="29" t="n">
        <f aca="false">-C7</f>
        <v>404.621941741311</v>
      </c>
      <c r="D10" s="29" t="n">
        <f aca="false">-D7</f>
        <v>415.918371515798</v>
      </c>
      <c r="E10" s="29" t="n">
        <f aca="false">-E7</f>
        <v>425.822076665597</v>
      </c>
      <c r="F10" s="29" t="n">
        <f aca="false">-F7</f>
        <v>436.584023134184</v>
      </c>
    </row>
    <row r="11" customFormat="false" ht="15" hidden="false" customHeight="false" outlineLevel="0" collapsed="false">
      <c r="A11" s="2" t="s">
        <v>287</v>
      </c>
      <c r="B11" s="29" t="n">
        <f aca="false">-B5*Assumptions!B$109</f>
        <v>-104.123705561953</v>
      </c>
      <c r="C11" s="29" t="n">
        <f aca="false">-C5*Assumptions!C$109</f>
        <v>-107.788632021251</v>
      </c>
      <c r="D11" s="29" t="n">
        <f aca="false">-D5*Assumptions!D$109</f>
        <v>-111.483274839286</v>
      </c>
      <c r="E11" s="29" t="n">
        <f aca="false">-E5*Assumptions!E$109</f>
        <v>-114.848277938854</v>
      </c>
      <c r="F11" s="29" t="n">
        <f aca="false">-F5*Assumptions!F$109</f>
        <v>-118.241506265508</v>
      </c>
    </row>
    <row r="12" customFormat="false" ht="15" hidden="false" customHeight="false" outlineLevel="0" collapsed="false">
      <c r="A12" s="2" t="s">
        <v>288</v>
      </c>
      <c r="B12" s="29" t="n">
        <f aca="false">-B5*Assumptions!B$110</f>
        <v>-248.294990186196</v>
      </c>
      <c r="C12" s="29" t="n">
        <f aca="false">-C5*Assumptions!C$110</f>
        <v>-252.88871358832</v>
      </c>
      <c r="D12" s="29" t="n">
        <f aca="false">-D5*Assumptions!D$110</f>
        <v>-252.981277519918</v>
      </c>
      <c r="E12" s="29" t="n">
        <f aca="false">-E5*Assumptions!E$110</f>
        <v>-251.782763173642</v>
      </c>
      <c r="F12" s="29" t="n">
        <f aca="false">-F5*Assumptions!F$110</f>
        <v>-251.945363350352</v>
      </c>
    </row>
    <row r="13" customFormat="false" ht="15" hidden="false" customHeight="false" outlineLevel="0" collapsed="false">
      <c r="A13" s="2" t="s">
        <v>289</v>
      </c>
      <c r="B13" s="29" t="n">
        <f aca="false">-(B5*Assumptions!B$111-Assumptions!$B$12*Assumptions!$B$39)</f>
        <v>-3.38445239811591</v>
      </c>
      <c r="C13" s="29" t="n">
        <f aca="false">-(C5*Assumptions!C$111-B5*Assumptions!B$111)</f>
        <v>-12.6299004135797</v>
      </c>
      <c r="D13" s="29" t="n">
        <f aca="false">-(D5*Assumptions!D$111-C5*Assumptions!C$111)</f>
        <v>-12.7323075575364</v>
      </c>
      <c r="E13" s="29" t="n">
        <f aca="false">-(E5*Assumptions!E$111-D5*Assumptions!D$111)</f>
        <v>-11.5963183738957</v>
      </c>
      <c r="F13" s="29" t="n">
        <f aca="false">-(F5*Assumptions!F$111-E5*Assumptions!E$111)</f>
        <v>-11.6935868487773</v>
      </c>
    </row>
    <row r="14" customFormat="false" ht="15" hidden="false" customHeight="false" outlineLevel="0" collapsed="false">
      <c r="A14" s="3" t="s">
        <v>290</v>
      </c>
      <c r="B14" s="30" t="n">
        <f aca="false">SUM(B9:B13)</f>
        <v>374.398453144777</v>
      </c>
      <c r="C14" s="30" t="n">
        <f aca="false">SUM(C9:C13)</f>
        <v>390.021089144243</v>
      </c>
      <c r="D14" s="30" t="n">
        <f aca="false">SUM(D9:D13)</f>
        <v>412.257154029277</v>
      </c>
      <c r="E14" s="30" t="n">
        <f aca="false">SUM(E9:E13)</f>
        <v>435.252172649667</v>
      </c>
      <c r="F14" s="30" t="n">
        <f aca="false">SUM(F9:F13)</f>
        <v>455.889633215507</v>
      </c>
    </row>
    <row r="15" customFormat="false" ht="15" hidden="false" customHeight="false" outlineLevel="0" collapsed="false">
      <c r="A15" s="2" t="s">
        <v>291</v>
      </c>
      <c r="B15" s="41" t="n">
        <f aca="false">(1+Assumptions!$B$51)^-1</f>
        <v>0.94662954628193</v>
      </c>
      <c r="C15" s="41" t="n">
        <f aca="false">(1+Assumptions!$B$51)^-2</f>
        <v>0.896107497893933</v>
      </c>
      <c r="D15" s="41" t="n">
        <f aca="false">(1+Assumptions!$B$51)^-3</f>
        <v>0.84828183415117</v>
      </c>
      <c r="E15" s="41" t="n">
        <f aca="false">(1+Assumptions!$B$51)^-4</f>
        <v>0.803008647781726</v>
      </c>
      <c r="F15" s="41" t="n">
        <f aca="false">(1+Assumptions!$B$51)^-5</f>
        <v>0.760151711910082</v>
      </c>
    </row>
    <row r="16" customFormat="false" ht="15" hidden="false" customHeight="false" outlineLevel="0" collapsed="false">
      <c r="A16" s="3" t="s">
        <v>292</v>
      </c>
      <c r="B16" s="43" t="n">
        <f aca="false">B14*B15</f>
        <v>354.416637829097</v>
      </c>
      <c r="C16" s="43" t="n">
        <f aca="false">C14*C15</f>
        <v>349.500822318914</v>
      </c>
      <c r="D16" s="43" t="n">
        <f aca="false">D14*D15</f>
        <v>349.710254761896</v>
      </c>
      <c r="E16" s="43" t="n">
        <f aca="false">E14*E15</f>
        <v>349.511258603467</v>
      </c>
      <c r="F16" s="43" t="n">
        <f aca="false">F14*F15</f>
        <v>346.545285130827</v>
      </c>
    </row>
    <row r="18" customFormat="false" ht="15" hidden="false" customHeight="false" outlineLevel="0" collapsed="false">
      <c r="A18" s="2" t="s">
        <v>293</v>
      </c>
      <c r="B18" s="29" t="n">
        <f aca="false">SUM(B16:F16)</f>
        <v>1749.6842586442</v>
      </c>
    </row>
    <row r="19" customFormat="false" ht="15" hidden="false" customHeight="false" outlineLevel="0" collapsed="false">
      <c r="A19" s="2" t="s">
        <v>294</v>
      </c>
      <c r="B19" s="29" t="n">
        <f aca="false">Assumptions!$B$114*F6</f>
        <v>6693.57960429582</v>
      </c>
    </row>
    <row r="20" customFormat="false" ht="15" hidden="false" customHeight="false" outlineLevel="0" collapsed="false">
      <c r="A20" s="2" t="s">
        <v>295</v>
      </c>
      <c r="B20" s="29" t="n">
        <f aca="false">B19*F15</f>
        <v>5088.13599501187</v>
      </c>
    </row>
    <row r="21" customFormat="false" ht="15" hidden="false" customHeight="false" outlineLevel="0" collapsed="false">
      <c r="A21" s="3" t="s">
        <v>296</v>
      </c>
      <c r="B21" s="30" t="n">
        <f aca="false">B18+B20</f>
        <v>6837.82025365607</v>
      </c>
    </row>
    <row r="22" customFormat="false" ht="15" hidden="false" customHeight="false" outlineLevel="0" collapsed="false">
      <c r="A22" s="2" t="s">
        <v>297</v>
      </c>
      <c r="B22" s="28" t="n">
        <f aca="false">B20/B21</f>
        <v>0.744116663828846</v>
      </c>
    </row>
    <row r="23" customFormat="false" ht="15" hidden="false" customHeight="false" outlineLevel="0" collapsed="false">
      <c r="A23" s="2" t="s">
        <v>298</v>
      </c>
      <c r="B23" s="29" t="n">
        <f aca="false">-Assumptions!$B$33</f>
        <v>-860.3958</v>
      </c>
    </row>
    <row r="24" customFormat="false" ht="15" hidden="false" customHeight="false" outlineLevel="0" collapsed="false">
      <c r="A24" s="2" t="s">
        <v>299</v>
      </c>
      <c r="B24" s="29" t="n">
        <f aca="false">-Assumptions!$B$34</f>
        <v>-1642.5738</v>
      </c>
    </row>
    <row r="25" customFormat="false" ht="15" hidden="false" customHeight="false" outlineLevel="0" collapsed="false">
      <c r="A25" s="3" t="s">
        <v>300</v>
      </c>
      <c r="B25" s="30" t="n">
        <f aca="false">B21+B23+B24</f>
        <v>4334.85065365607</v>
      </c>
    </row>
    <row r="26" customFormat="false" ht="15" hidden="false" customHeight="false" outlineLevel="0" collapsed="false">
      <c r="A26" s="2" t="s">
        <v>301</v>
      </c>
      <c r="B26" s="25" t="n">
        <f aca="false">B25/Assumptions!$B$6</f>
        <v>0.419681733161912</v>
      </c>
    </row>
    <row r="27" customFormat="false" ht="15" hidden="false" customHeight="false" outlineLevel="0" collapsed="false">
      <c r="A27" s="3" t="s">
        <v>302</v>
      </c>
      <c r="B27" s="44" t="n">
        <f aca="false">B26*Assumptions!$B$7</f>
        <v>1.54128116503712</v>
      </c>
    </row>
    <row r="28" customFormat="false" ht="15" hidden="false" customHeight="false" outlineLevel="0" collapsed="false">
      <c r="A28" s="2" t="s">
        <v>303</v>
      </c>
      <c r="B28" s="28" t="n">
        <f aca="false">B27/Assumptions!$B$5-1</f>
        <v>0.639660813869279</v>
      </c>
    </row>
    <row r="30" customFormat="false" ht="15" hidden="false" customHeight="false" outlineLevel="0" collapsed="false">
      <c r="A30" s="3" t="s">
        <v>304</v>
      </c>
    </row>
    <row r="31" customFormat="false" ht="15" hidden="false" customHeight="false" outlineLevel="0" collapsed="false">
      <c r="A31" s="2" t="s">
        <v>305</v>
      </c>
      <c r="B31" s="29" t="n">
        <f aca="false">F14*(1+Assumptions!$B$125)/(Assumptions!$B$51-Assumptions!$B$125)</f>
        <v>16220.0661297757</v>
      </c>
    </row>
    <row r="32" customFormat="false" ht="15" hidden="false" customHeight="false" outlineLevel="0" collapsed="false">
      <c r="A32" s="2" t="s">
        <v>306</v>
      </c>
      <c r="B32" s="28" t="n">
        <f aca="false">Assumptions!$B$51-Assumptions!$B$125</f>
        <v>0.0288794505756686</v>
      </c>
    </row>
    <row r="33" customFormat="false" ht="15" hidden="false" customHeight="false" outlineLevel="0" collapsed="false">
      <c r="A33" s="2" t="s">
        <v>307</v>
      </c>
      <c r="B33" s="45" t="n">
        <f aca="false">B31/B19</f>
        <v>2.42322749390565</v>
      </c>
    </row>
    <row r="34" customFormat="false" ht="15" hidden="false" customHeight="false" outlineLevel="0" collapsed="false">
      <c r="A34" s="2" t="s">
        <v>308</v>
      </c>
      <c r="B34" s="28" t="n">
        <f aca="false">(Assumptions!$B$51*B19-F14)/(B19+F14)</f>
        <v>-0.0109811358203895</v>
      </c>
    </row>
    <row r="36" customFormat="false" ht="15" hidden="false" customHeight="false" outlineLevel="0" collapsed="false">
      <c r="A36" s="4" t="s">
        <v>309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10" min="2" style="0" width="13"/>
  </cols>
  <sheetData>
    <row r="1" customFormat="false" ht="16.15" hidden="false" customHeight="false" outlineLevel="0" collapsed="false">
      <c r="A1" s="1" t="s">
        <v>310</v>
      </c>
    </row>
    <row r="4" customFormat="false" ht="15" hidden="false" customHeight="false" outlineLevel="0" collapsed="false">
      <c r="B4" s="19" t="s">
        <v>311</v>
      </c>
      <c r="C4" s="19" t="s">
        <v>312</v>
      </c>
      <c r="D4" s="19" t="s">
        <v>313</v>
      </c>
      <c r="E4" s="19" t="s">
        <v>314</v>
      </c>
      <c r="F4" s="19" t="s">
        <v>315</v>
      </c>
    </row>
    <row r="5" customFormat="false" ht="15" hidden="false" customHeight="false" outlineLevel="0" collapsed="false">
      <c r="A5" s="2" t="s">
        <v>316</v>
      </c>
      <c r="B5" s="6" t="n">
        <v>0.663954270076381</v>
      </c>
      <c r="C5" s="46" t="n">
        <f aca="false">DCF!$B$27</f>
        <v>1.54128116503712</v>
      </c>
      <c r="D5" s="6" t="n">
        <v>2.3901820296461</v>
      </c>
      <c r="E5" s="47" t="n">
        <f aca="false">Assumptions!$B$128</f>
        <v>0.3</v>
      </c>
      <c r="F5" s="48" t="n">
        <f aca="false">C5*E5</f>
        <v>0.462384349511137</v>
      </c>
    </row>
    <row r="6" customFormat="false" ht="15" hidden="false" customHeight="false" outlineLevel="0" collapsed="false">
      <c r="A6" s="2" t="s">
        <v>192</v>
      </c>
      <c r="B6" s="6" t="n">
        <v>0.904072130173023</v>
      </c>
      <c r="C6" s="46" t="n">
        <f aca="false">'Relative &amp; Normalized'!$C$11</f>
        <v>1.18007308349553</v>
      </c>
      <c r="D6" s="6" t="n">
        <v>1.45607748874033</v>
      </c>
      <c r="E6" s="47" t="n">
        <f aca="false">Assumptions!$B$129</f>
        <v>0.3</v>
      </c>
      <c r="F6" s="48" t="n">
        <f aca="false">C6*E6</f>
        <v>0.354021925048659</v>
      </c>
    </row>
    <row r="7" customFormat="false" ht="15" hidden="false" customHeight="false" outlineLevel="0" collapsed="false">
      <c r="A7" s="2" t="s">
        <v>317</v>
      </c>
      <c r="B7" s="6" t="n">
        <v>0.699436280580843</v>
      </c>
      <c r="C7" s="46" t="n">
        <f aca="false">'Dividend Discount'!$B$10</f>
        <v>1.1521416073367</v>
      </c>
      <c r="D7" s="6" t="n">
        <v>1.50205224996546</v>
      </c>
      <c r="E7" s="47" t="n">
        <f aca="false">Assumptions!$B$130</f>
        <v>0.25</v>
      </c>
      <c r="F7" s="48" t="n">
        <f aca="false">C7*E7</f>
        <v>0.288035401834174</v>
      </c>
    </row>
    <row r="8" customFormat="false" ht="15" hidden="false" customHeight="false" outlineLevel="0" collapsed="false">
      <c r="A8" s="2" t="s">
        <v>194</v>
      </c>
      <c r="B8" s="6" t="n">
        <v>0.911094070521104</v>
      </c>
      <c r="C8" s="6" t="n">
        <v>1.15957427157232</v>
      </c>
      <c r="D8" s="6" t="n">
        <v>1.40805447262353</v>
      </c>
      <c r="E8" s="47" t="n">
        <f aca="false">Assumptions!$B$131</f>
        <v>0.15</v>
      </c>
      <c r="F8" s="48" t="n">
        <f aca="false">C8*E8</f>
        <v>0.173936140735847</v>
      </c>
    </row>
    <row r="9" customFormat="false" ht="15" hidden="false" customHeight="false" outlineLevel="0" collapsed="false">
      <c r="A9" s="3" t="s">
        <v>318</v>
      </c>
      <c r="B9" s="44" t="n">
        <f aca="false">SUMPRODUCT(B5:B8,$E$5:$E$8)</f>
        <v>0.781931100798198</v>
      </c>
      <c r="C9" s="44" t="n">
        <f aca="false">SUMPRODUCT(C5:C8,$E$5:$E$8)</f>
        <v>1.27837781712982</v>
      </c>
      <c r="D9" s="44" t="n">
        <f aca="false">SUMPRODUCT(D5:D8,$E$5:$E$8)</f>
        <v>1.74059908890083</v>
      </c>
    </row>
    <row r="10" customFormat="false" ht="15" hidden="false" customHeight="false" outlineLevel="0" collapsed="false">
      <c r="A10" s="3" t="s">
        <v>303</v>
      </c>
      <c r="C10" s="49" t="n">
        <f aca="false">C9/Assumptions!$B$5-1</f>
        <v>0.359976401201933</v>
      </c>
    </row>
    <row r="12" customFormat="false" ht="15" hidden="false" customHeight="false" outlineLevel="0" collapsed="false">
      <c r="A12" s="4" t="s">
        <v>319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10" min="2" style="0" width="13"/>
  </cols>
  <sheetData>
    <row r="1" customFormat="false" ht="16.15" hidden="false" customHeight="false" outlineLevel="0" collapsed="false">
      <c r="A1" s="1" t="s">
        <v>320</v>
      </c>
    </row>
    <row r="4" customFormat="false" ht="15" hidden="false" customHeight="false" outlineLevel="0" collapsed="false">
      <c r="A4" s="3" t="s">
        <v>321</v>
      </c>
    </row>
    <row r="5" customFormat="false" ht="15" hidden="false" customHeight="false" outlineLevel="0" collapsed="false">
      <c r="B5" s="19" t="s">
        <v>322</v>
      </c>
      <c r="C5" s="19" t="s">
        <v>323</v>
      </c>
      <c r="D5" s="19" t="s">
        <v>324</v>
      </c>
    </row>
    <row r="6" customFormat="false" ht="15" hidden="false" customHeight="false" outlineLevel="0" collapsed="false">
      <c r="A6" s="2" t="s">
        <v>325</v>
      </c>
      <c r="B6" s="42" t="n">
        <f aca="false">DCF!$B$6</f>
        <v>776.256418538397</v>
      </c>
      <c r="C6" s="42" t="n">
        <f aca="false">DCF!$B$6</f>
        <v>776.256418538397</v>
      </c>
      <c r="D6" s="42" t="n">
        <f aca="false">DCF!$B$6</f>
        <v>776.256418538397</v>
      </c>
    </row>
    <row r="7" customFormat="false" ht="15" hidden="false" customHeight="false" outlineLevel="0" collapsed="false">
      <c r="A7" s="2" t="s">
        <v>326</v>
      </c>
      <c r="B7" s="50" t="n">
        <f aca="false">Assumptions!$B$115</f>
        <v>6.5</v>
      </c>
      <c r="C7" s="50" t="n">
        <f aca="false">Assumptions!$B$117</f>
        <v>7.5</v>
      </c>
      <c r="D7" s="50" t="n">
        <f aca="false">Assumptions!$B$116</f>
        <v>8.5</v>
      </c>
    </row>
    <row r="8" customFormat="false" ht="15" hidden="false" customHeight="false" outlineLevel="0" collapsed="false">
      <c r="A8" s="2" t="s">
        <v>327</v>
      </c>
      <c r="B8" s="29" t="n">
        <f aca="false">B6*B7</f>
        <v>5045.66672049958</v>
      </c>
      <c r="C8" s="29" t="n">
        <f aca="false">C6*C7</f>
        <v>5821.92313903798</v>
      </c>
      <c r="D8" s="29" t="n">
        <f aca="false">D6*D7</f>
        <v>6598.17955757638</v>
      </c>
    </row>
    <row r="9" customFormat="false" ht="15" hidden="false" customHeight="false" outlineLevel="0" collapsed="false">
      <c r="A9" s="2" t="s">
        <v>328</v>
      </c>
      <c r="B9" s="42" t="n">
        <f aca="false">-Assumptions!$B$32</f>
        <v>-2502.9696</v>
      </c>
      <c r="C9" s="42" t="n">
        <f aca="false">-Assumptions!$B$32</f>
        <v>-2502.9696</v>
      </c>
      <c r="D9" s="42" t="n">
        <f aca="false">-Assumptions!$B$32</f>
        <v>-2502.9696</v>
      </c>
    </row>
    <row r="10" customFormat="false" ht="15" hidden="false" customHeight="false" outlineLevel="0" collapsed="false">
      <c r="A10" s="3" t="s">
        <v>329</v>
      </c>
      <c r="B10" s="43" t="n">
        <f aca="false">B8+B9</f>
        <v>2542.69712049958</v>
      </c>
      <c r="C10" s="43" t="n">
        <f aca="false">C8+C9</f>
        <v>3318.95353903798</v>
      </c>
      <c r="D10" s="43" t="n">
        <f aca="false">D8+D9</f>
        <v>4095.20995757637</v>
      </c>
    </row>
    <row r="11" customFormat="false" ht="15" hidden="false" customHeight="false" outlineLevel="0" collapsed="false">
      <c r="A11" s="3" t="s">
        <v>330</v>
      </c>
      <c r="B11" s="44" t="n">
        <f aca="false">B10/Assumptions!$B$6*Assumptions!$B$7</f>
        <v>0.904070634340027</v>
      </c>
      <c r="C11" s="44" t="n">
        <f aca="false">C10/Assumptions!$B$6*Assumptions!$B$7</f>
        <v>1.18007308349553</v>
      </c>
      <c r="D11" s="44" t="n">
        <f aca="false">D10/Assumptions!$B$6*Assumptions!$B$7</f>
        <v>1.45607553265103</v>
      </c>
    </row>
    <row r="12" customFormat="false" ht="15" hidden="false" customHeight="false" outlineLevel="0" collapsed="false">
      <c r="A12" s="2" t="s">
        <v>303</v>
      </c>
      <c r="B12" s="28" t="n">
        <f aca="false">B11/Assumptions!$B$5-1</f>
        <v>-0.0382227294255028</v>
      </c>
      <c r="C12" s="28" t="n">
        <f aca="false">C11/Assumptions!$B$5-1</f>
        <v>0.25539689733567</v>
      </c>
      <c r="D12" s="28" t="n">
        <f aca="false">D11/Assumptions!$B$5-1</f>
        <v>0.549016524096842</v>
      </c>
    </row>
    <row r="14" customFormat="false" ht="15" hidden="false" customHeight="false" outlineLevel="0" collapsed="false">
      <c r="A14" s="3" t="s">
        <v>331</v>
      </c>
    </row>
    <row r="15" customFormat="false" ht="15" hidden="false" customHeight="false" outlineLevel="0" collapsed="false">
      <c r="A15" s="2" t="s">
        <v>332</v>
      </c>
      <c r="B15" s="29" t="n">
        <f aca="false">Assumptions!$B$9+Assumptions!$B$32</f>
        <v>5146.71800027229</v>
      </c>
    </row>
    <row r="16" customFormat="false" ht="15" hidden="false" customHeight="false" outlineLevel="0" collapsed="false">
      <c r="A16" s="2" t="s">
        <v>333</v>
      </c>
      <c r="B16" s="45" t="n">
        <f aca="false">B15/Assumptions!$B$20</f>
        <v>6.5799830732548</v>
      </c>
    </row>
    <row r="17" customFormat="false" ht="15" hidden="false" customHeight="false" outlineLevel="0" collapsed="false">
      <c r="A17" s="2" t="s">
        <v>334</v>
      </c>
      <c r="B17" s="45" t="n">
        <f aca="false">B15/DCF!$B$6</f>
        <v>6.6301777059222</v>
      </c>
    </row>
    <row r="18" customFormat="false" ht="15" hidden="false" customHeight="false" outlineLevel="0" collapsed="false">
      <c r="A18" s="2" t="s">
        <v>335</v>
      </c>
      <c r="B18" s="51" t="n">
        <f aca="false">B15/Assumptions!$B$117</f>
        <v>686.229066702973</v>
      </c>
    </row>
    <row r="19" customFormat="false" ht="15" hidden="false" customHeight="false" outlineLevel="0" collapsed="false">
      <c r="A19" s="2" t="s">
        <v>336</v>
      </c>
      <c r="B19" s="28" t="n">
        <f aca="false">B18/Assumptions!$B$20-1</f>
        <v>-0.122668923566027</v>
      </c>
    </row>
    <row r="20" customFormat="false" ht="15" hidden="false" customHeight="false" outlineLevel="0" collapsed="false">
      <c r="A20" s="2" t="s">
        <v>337</v>
      </c>
      <c r="B20" s="52" t="n">
        <f aca="false">B18/DCF!$B$5</f>
        <v>0.085676722884499</v>
      </c>
    </row>
    <row r="22" customFormat="false" ht="15" hidden="false" customHeight="false" outlineLevel="0" collapsed="false">
      <c r="A22" s="3" t="s">
        <v>338</v>
      </c>
    </row>
    <row r="23" customFormat="false" ht="15" hidden="false" customHeight="false" outlineLevel="0" collapsed="false">
      <c r="A23" s="2" t="s">
        <v>339</v>
      </c>
      <c r="B23" s="13" t="n">
        <v>0.101988869815663</v>
      </c>
    </row>
    <row r="24" customFormat="false" ht="15" hidden="false" customHeight="false" outlineLevel="0" collapsed="false">
      <c r="A24" s="2" t="s">
        <v>340</v>
      </c>
      <c r="B24" s="29" t="n">
        <f aca="false">B23*DCF!$B$5</f>
        <v>816.881465483265</v>
      </c>
    </row>
    <row r="25" customFormat="false" ht="15" hidden="false" customHeight="false" outlineLevel="0" collapsed="false">
      <c r="A25" s="2" t="s">
        <v>283</v>
      </c>
      <c r="B25" s="29" t="n">
        <f aca="false">-DCF!$B$5*Assumptions!B$108</f>
        <v>-392.466274810439</v>
      </c>
    </row>
    <row r="26" customFormat="false" ht="15" hidden="false" customHeight="false" outlineLevel="0" collapsed="false">
      <c r="A26" s="2" t="s">
        <v>341</v>
      </c>
      <c r="B26" s="7" t="n">
        <v>-160</v>
      </c>
    </row>
    <row r="27" customFormat="false" ht="15" hidden="false" customHeight="false" outlineLevel="0" collapsed="false">
      <c r="A27" s="3" t="s">
        <v>342</v>
      </c>
      <c r="B27" s="29" t="n">
        <f aca="false">B24+B25+B26</f>
        <v>264.415190672826</v>
      </c>
    </row>
    <row r="28" customFormat="false" ht="15" hidden="false" customHeight="false" outlineLevel="0" collapsed="false">
      <c r="A28" s="2" t="s">
        <v>343</v>
      </c>
      <c r="B28" s="41" t="n">
        <f aca="false">1-Assumptions!$B$124</f>
        <v>0.881</v>
      </c>
    </row>
    <row r="29" customFormat="false" ht="15" hidden="false" customHeight="false" outlineLevel="0" collapsed="false">
      <c r="A29" s="3" t="s">
        <v>344</v>
      </c>
      <c r="B29" s="29" t="n">
        <f aca="false">B27*B28</f>
        <v>232.94978298276</v>
      </c>
    </row>
    <row r="30" customFormat="false" ht="15" hidden="false" customHeight="false" outlineLevel="0" collapsed="false">
      <c r="A30" s="2" t="s">
        <v>345</v>
      </c>
      <c r="B30" s="25" t="n">
        <f aca="false">B29/Assumptions!$B$6*Assumptions!$B$7</f>
        <v>0.0828266396232111</v>
      </c>
    </row>
    <row r="31" customFormat="false" ht="15" hidden="false" customHeight="false" outlineLevel="0" collapsed="false">
      <c r="B31" s="19" t="s">
        <v>346</v>
      </c>
      <c r="C31" s="19" t="s">
        <v>347</v>
      </c>
      <c r="D31" s="19" t="s">
        <v>348</v>
      </c>
    </row>
    <row r="32" customFormat="false" ht="15" hidden="false" customHeight="false" outlineLevel="0" collapsed="false">
      <c r="A32" s="3" t="s">
        <v>330</v>
      </c>
      <c r="B32" s="53" t="n">
        <f aca="false">$B$30*11</f>
        <v>0.911093035855322</v>
      </c>
      <c r="C32" s="44" t="n">
        <f aca="false">$B$30*14</f>
        <v>1.15957295472496</v>
      </c>
      <c r="D32" s="53" t="n">
        <f aca="false">$B$30*17</f>
        <v>1.40805287359459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10" min="2" style="0" width="13"/>
  </cols>
  <sheetData>
    <row r="1" customFormat="false" ht="16.15" hidden="false" customHeight="false" outlineLevel="0" collapsed="false">
      <c r="A1" s="1" t="s">
        <v>349</v>
      </c>
    </row>
    <row r="2" customFormat="false" ht="15" hidden="false" customHeight="false" outlineLevel="0" collapsed="false">
      <c r="A2" s="4" t="s">
        <v>350</v>
      </c>
    </row>
    <row r="4" customFormat="false" ht="15" hidden="false" customHeight="false" outlineLevel="0" collapsed="false">
      <c r="B4" s="19" t="s">
        <v>131</v>
      </c>
      <c r="C4" s="19" t="s">
        <v>132</v>
      </c>
      <c r="D4" s="19" t="s">
        <v>133</v>
      </c>
      <c r="E4" s="19" t="s">
        <v>134</v>
      </c>
      <c r="F4" s="19" t="s">
        <v>135</v>
      </c>
      <c r="G4" s="19" t="s">
        <v>351</v>
      </c>
    </row>
    <row r="5" customFormat="false" ht="15" hidden="false" customHeight="false" outlineLevel="0" collapsed="false">
      <c r="A5" s="2" t="s">
        <v>352</v>
      </c>
      <c r="B5" s="54" t="n">
        <f aca="false">Assumptions!$B$120</f>
        <v>0.06</v>
      </c>
      <c r="C5" s="41" t="n">
        <f aca="false">B5*(1+Assumptions!$B$119)</f>
        <v>0.063</v>
      </c>
      <c r="D5" s="41" t="n">
        <f aca="false">C5*(1+Assumptions!$B$119)</f>
        <v>0.06615</v>
      </c>
      <c r="E5" s="41" t="n">
        <f aca="false">D5*(1+Assumptions!$B$119)</f>
        <v>0.0694575</v>
      </c>
      <c r="F5" s="41" t="n">
        <f aca="false">E5*(1+Assumptions!$B$119)</f>
        <v>0.072930375</v>
      </c>
      <c r="G5" s="48" t="n">
        <f aca="false">F5/Assumptions!$B$118</f>
        <v>1.21550625</v>
      </c>
    </row>
    <row r="6" customFormat="false" ht="15" hidden="false" customHeight="false" outlineLevel="0" collapsed="false">
      <c r="A6" s="2" t="s">
        <v>353</v>
      </c>
      <c r="B6" s="41" t="n">
        <f aca="false">(1+Assumptions!$B$48)^-1</f>
        <v>0.937370262097162</v>
      </c>
      <c r="C6" s="41" t="n">
        <f aca="false">(1+Assumptions!$B$48)^-2</f>
        <v>0.878663008264102</v>
      </c>
      <c r="D6" s="41" t="n">
        <f aca="false">(1+Assumptions!$B$48)^-3</f>
        <v>0.823632574351602</v>
      </c>
      <c r="E6" s="41" t="n">
        <f aca="false">(1+Assumptions!$B$48)^-4</f>
        <v>0.772048682091721</v>
      </c>
      <c r="F6" s="41" t="n">
        <f aca="false">(1+Assumptions!$B$48)^-5</f>
        <v>0.723695475484085</v>
      </c>
      <c r="G6" s="41" t="n">
        <f aca="false">(1+Assumptions!$B$48)^-5</f>
        <v>0.723695475484085</v>
      </c>
    </row>
    <row r="7" customFormat="false" ht="15" hidden="false" customHeight="false" outlineLevel="0" collapsed="false">
      <c r="A7" s="3" t="s">
        <v>354</v>
      </c>
      <c r="B7" s="55" t="n">
        <f aca="false">B5*B6</f>
        <v>0.0562422157258297</v>
      </c>
      <c r="C7" s="55" t="n">
        <f aca="false">C5*C6</f>
        <v>0.0553557695206384</v>
      </c>
      <c r="D7" s="55" t="n">
        <f aca="false">D5*D6</f>
        <v>0.0544832947933584</v>
      </c>
      <c r="E7" s="55" t="n">
        <f aca="false">E5*E6</f>
        <v>0.0536245713363857</v>
      </c>
      <c r="F7" s="55" t="n">
        <f aca="false">F5*F6</f>
        <v>0.0527793824128576</v>
      </c>
      <c r="G7" s="55" t="n">
        <f aca="false">G5*G6</f>
        <v>0.879656373547627</v>
      </c>
    </row>
    <row r="10" customFormat="false" ht="15" hidden="false" customHeight="false" outlineLevel="0" collapsed="false">
      <c r="A10" s="3" t="s">
        <v>355</v>
      </c>
      <c r="B10" s="44" t="n">
        <f aca="false">SUM(B7:G7)</f>
        <v>1.1521416073367</v>
      </c>
    </row>
    <row r="11" customFormat="false" ht="15" hidden="false" customHeight="false" outlineLevel="0" collapsed="false">
      <c r="A11" s="2" t="s">
        <v>303</v>
      </c>
      <c r="B11" s="28" t="n">
        <f aca="false">B10/Assumptions!$B$5-1</f>
        <v>0.225682560996486</v>
      </c>
    </row>
    <row r="13" customFormat="false" ht="15" hidden="false" customHeight="false" outlineLevel="0" collapsed="false">
      <c r="A13" s="2" t="s">
        <v>272</v>
      </c>
      <c r="B13" s="25" t="n">
        <f aca="false">Assumptions!$B$23/Assumptions!$B$6*Assumptions!$B$7</f>
        <v>0.0727225328931446</v>
      </c>
    </row>
    <row r="14" customFormat="false" ht="15" hidden="false" customHeight="false" outlineLevel="0" collapsed="false">
      <c r="A14" s="3" t="s">
        <v>356</v>
      </c>
      <c r="B14" s="39" t="n">
        <f aca="false">Assumptions!$B$122/B13</f>
        <v>0.962562732830759</v>
      </c>
    </row>
    <row r="15" customFormat="false" ht="15" hidden="false" customHeight="false" outlineLevel="0" collapsed="false">
      <c r="A15" s="2" t="s">
        <v>276</v>
      </c>
      <c r="B15" s="28" t="n">
        <f aca="false">Assumptions!$B$121</f>
        <v>0.75</v>
      </c>
    </row>
    <row r="16" customFormat="false" ht="15" hidden="false" customHeight="false" outlineLevel="0" collapsed="false">
      <c r="A16" s="2" t="s">
        <v>357</v>
      </c>
      <c r="B16" s="25" t="n">
        <f aca="false">'Income Statement'!E20</f>
        <v>0.0701010616622152</v>
      </c>
    </row>
    <row r="17" customFormat="false" ht="15" hidden="false" customHeight="false" outlineLevel="0" collapsed="false">
      <c r="A17" s="3" t="s">
        <v>358</v>
      </c>
      <c r="B17" s="44" t="n">
        <f aca="false">B16*B15</f>
        <v>0.0525757962466614</v>
      </c>
    </row>
    <row r="18" customFormat="false" ht="15" hidden="false" customHeight="false" outlineLevel="0" collapsed="false">
      <c r="A18" s="2" t="s">
        <v>277</v>
      </c>
      <c r="B18" s="28" t="n">
        <f aca="false">Assumptions!$B$122/Assumptions!$B$5</f>
        <v>0.074468085106383</v>
      </c>
    </row>
    <row r="19" customFormat="false" ht="15" hidden="false" customHeight="false" outlineLevel="0" collapsed="false">
      <c r="A19" s="2" t="s">
        <v>359</v>
      </c>
      <c r="B19" s="28" t="n">
        <f aca="false">B17/Assumptions!$B$5</f>
        <v>0.0559316981347462</v>
      </c>
    </row>
    <row r="21" customFormat="false" ht="15" hidden="false" customHeight="false" outlineLevel="0" collapsed="false">
      <c r="A21" s="4" t="s">
        <v>360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10" min="2" style="0" width="13"/>
  </cols>
  <sheetData>
    <row r="1" customFormat="false" ht="16.15" hidden="false" customHeight="false" outlineLevel="0" collapsed="false">
      <c r="A1" s="1" t="s">
        <v>361</v>
      </c>
    </row>
    <row r="4" customFormat="false" ht="15" hidden="false" customHeight="false" outlineLevel="0" collapsed="false">
      <c r="B4" s="19" t="s">
        <v>362</v>
      </c>
      <c r="C4" s="19" t="s">
        <v>363</v>
      </c>
      <c r="D4" s="19" t="s">
        <v>364</v>
      </c>
      <c r="E4" s="19" t="s">
        <v>131</v>
      </c>
      <c r="F4" s="19" t="s">
        <v>132</v>
      </c>
      <c r="G4" s="19" t="s">
        <v>133</v>
      </c>
      <c r="H4" s="19" t="s">
        <v>134</v>
      </c>
      <c r="I4" s="19" t="s">
        <v>135</v>
      </c>
    </row>
    <row r="5" customFormat="false" ht="15" hidden="false" customHeight="false" outlineLevel="0" collapsed="false">
      <c r="A5" s="2" t="s">
        <v>34</v>
      </c>
      <c r="B5" s="7" t="n">
        <v>7277.956</v>
      </c>
      <c r="C5" s="7" t="n">
        <v>7620.802</v>
      </c>
      <c r="D5" s="7" t="n">
        <v>7933.97</v>
      </c>
      <c r="E5" s="7" t="n">
        <f aca="false">DCF!B5</f>
        <v>8009.51581245795</v>
      </c>
      <c r="F5" s="7" t="n">
        <f aca="false">DCF!C5</f>
        <v>8291.43323240392</v>
      </c>
      <c r="G5" s="7" t="n">
        <f aca="false">DCF!D5</f>
        <v>8575.63652609893</v>
      </c>
      <c r="H5" s="7" t="n">
        <f aca="false">DCF!E5</f>
        <v>8834.48291837339</v>
      </c>
      <c r="I5" s="7" t="n">
        <f aca="false">DCF!F5</f>
        <v>9095.50048196217</v>
      </c>
    </row>
    <row r="6" customFormat="false" ht="15" hidden="false" customHeight="false" outlineLevel="0" collapsed="false">
      <c r="A6" s="2" t="s">
        <v>36</v>
      </c>
      <c r="B6" s="7" t="n">
        <v>1675.127</v>
      </c>
      <c r="C6" s="7" t="n">
        <v>1764.885</v>
      </c>
      <c r="D6" s="7" t="n">
        <v>1822.836</v>
      </c>
    </row>
    <row r="7" customFormat="false" ht="15" hidden="false" customHeight="false" outlineLevel="0" collapsed="false">
      <c r="A7" s="2" t="s">
        <v>365</v>
      </c>
      <c r="B7" s="28" t="n">
        <f aca="false">B6/B5</f>
        <v>0.230164485742975</v>
      </c>
      <c r="C7" s="28" t="n">
        <f aca="false">C6/C5</f>
        <v>0.231587830257235</v>
      </c>
      <c r="D7" s="28" t="n">
        <f aca="false">D6/D5</f>
        <v>0.229750805712651</v>
      </c>
    </row>
    <row r="8" customFormat="false" ht="15" hidden="false" customHeight="false" outlineLevel="0" collapsed="false">
      <c r="A8" s="2" t="s">
        <v>37</v>
      </c>
      <c r="B8" s="7" t="n">
        <v>273.167</v>
      </c>
      <c r="C8" s="7" t="n">
        <v>299.869</v>
      </c>
      <c r="D8" s="7" t="n">
        <v>302.553</v>
      </c>
    </row>
    <row r="9" customFormat="false" ht="15" hidden="false" customHeight="false" outlineLevel="0" collapsed="false">
      <c r="A9" s="2" t="s">
        <v>38</v>
      </c>
      <c r="B9" s="7" t="n">
        <v>-1580.173</v>
      </c>
      <c r="C9" s="7" t="n">
        <v>-1656.799</v>
      </c>
      <c r="D9" s="7" t="n">
        <v>-1731.157</v>
      </c>
    </row>
    <row r="10" customFormat="false" ht="15" hidden="false" customHeight="false" outlineLevel="0" collapsed="false">
      <c r="A10" s="3" t="s">
        <v>39</v>
      </c>
      <c r="B10" s="43" t="n">
        <f aca="false">B6+B8+B9</f>
        <v>368.121</v>
      </c>
      <c r="C10" s="43" t="n">
        <f aca="false">C6+C8+C9</f>
        <v>407.955</v>
      </c>
      <c r="D10" s="43" t="n">
        <f aca="false">D6+D8+D9</f>
        <v>394.232</v>
      </c>
      <c r="E10" s="43" t="n">
        <f aca="false">DCF!B8</f>
        <v>383.790143727958</v>
      </c>
      <c r="F10" s="43" t="n">
        <f aca="false">DCF!C8</f>
        <v>407.620901620548</v>
      </c>
      <c r="G10" s="43" t="n">
        <f aca="false">DCF!D8</f>
        <v>424.472320943431</v>
      </c>
      <c r="H10" s="43" t="n">
        <f aca="false">DCF!E8</f>
        <v>440.519835761888</v>
      </c>
      <c r="I10" s="43" t="n">
        <f aca="false">DCF!F8</f>
        <v>455.893257438592</v>
      </c>
    </row>
    <row r="11" customFormat="false" ht="15" hidden="false" customHeight="false" outlineLevel="0" collapsed="false">
      <c r="A11" s="2" t="s">
        <v>366</v>
      </c>
      <c r="B11" s="7" t="n">
        <v>384.879</v>
      </c>
      <c r="C11" s="7" t="n">
        <v>383.98</v>
      </c>
      <c r="D11" s="7" t="n">
        <v>387.946</v>
      </c>
      <c r="E11" s="7" t="n">
        <f aca="false">-DCF!B7</f>
        <v>392.466274810439</v>
      </c>
      <c r="F11" s="7" t="n">
        <f aca="false">-DCF!C7</f>
        <v>404.621941741311</v>
      </c>
      <c r="G11" s="7" t="n">
        <f aca="false">-DCF!D7</f>
        <v>415.918371515798</v>
      </c>
      <c r="H11" s="7" t="n">
        <f aca="false">-DCF!E7</f>
        <v>425.822076665597</v>
      </c>
      <c r="I11" s="7" t="n">
        <f aca="false">-DCF!F7</f>
        <v>436.584023134184</v>
      </c>
    </row>
    <row r="12" customFormat="false" ht="15" hidden="false" customHeight="false" outlineLevel="0" collapsed="false">
      <c r="A12" s="3" t="s">
        <v>222</v>
      </c>
      <c r="B12" s="43" t="n">
        <f aca="false">B10+B11</f>
        <v>753</v>
      </c>
      <c r="C12" s="43" t="n">
        <f aca="false">C10+C11</f>
        <v>791.935</v>
      </c>
      <c r="D12" s="43" t="n">
        <f aca="false">D10+D11</f>
        <v>782.178</v>
      </c>
      <c r="E12" s="43" t="n">
        <f aca="false">E10+E11</f>
        <v>776.256418538397</v>
      </c>
      <c r="F12" s="43" t="n">
        <f aca="false">F10+F11</f>
        <v>812.242843361859</v>
      </c>
      <c r="G12" s="43" t="n">
        <f aca="false">G10+G11</f>
        <v>840.390692459229</v>
      </c>
      <c r="H12" s="43" t="n">
        <f aca="false">H10+H11</f>
        <v>866.341912427485</v>
      </c>
      <c r="I12" s="43" t="n">
        <f aca="false">I10+I11</f>
        <v>892.477280572776</v>
      </c>
    </row>
    <row r="13" customFormat="false" ht="15" hidden="false" customHeight="false" outlineLevel="0" collapsed="false">
      <c r="A13" s="2" t="s">
        <v>367</v>
      </c>
      <c r="B13" s="28" t="n">
        <f aca="false">B12/B5</f>
        <v>0.103463115193332</v>
      </c>
      <c r="C13" s="28" t="n">
        <f aca="false">C12/C5</f>
        <v>0.103917540437345</v>
      </c>
      <c r="D13" s="28" t="n">
        <f aca="false">D12/D5</f>
        <v>0.0985859538163114</v>
      </c>
      <c r="E13" s="28" t="n">
        <f aca="false">E12/E5</f>
        <v>0.0969167720888962</v>
      </c>
      <c r="F13" s="28" t="n">
        <f aca="false">F12/F5</f>
        <v>0.0979616937862463</v>
      </c>
      <c r="G13" s="28" t="n">
        <f aca="false">G12/G5</f>
        <v>0.09799747108003</v>
      </c>
      <c r="H13" s="28" t="n">
        <f aca="false">H12/H5</f>
        <v>0.0980636807419394</v>
      </c>
      <c r="I13" s="28" t="n">
        <f aca="false">I12/I5</f>
        <v>0.0981229435744301</v>
      </c>
    </row>
    <row r="14" customFormat="false" ht="15" hidden="false" customHeight="false" outlineLevel="0" collapsed="false">
      <c r="A14" s="2" t="s">
        <v>44</v>
      </c>
      <c r="B14" s="7" t="n">
        <v>-153.403</v>
      </c>
      <c r="C14" s="7" t="n">
        <v>-169.375</v>
      </c>
      <c r="D14" s="7" t="n">
        <v>-162.201</v>
      </c>
      <c r="E14" s="7" t="n">
        <v>-160</v>
      </c>
      <c r="F14" s="7" t="n">
        <v>-158</v>
      </c>
      <c r="G14" s="7" t="n">
        <v>-156</v>
      </c>
      <c r="H14" s="7" t="n">
        <v>-154</v>
      </c>
      <c r="I14" s="7" t="n">
        <v>-152</v>
      </c>
    </row>
    <row r="15" customFormat="false" ht="15" hidden="false" customHeight="false" outlineLevel="0" collapsed="false">
      <c r="A15" s="3" t="s">
        <v>368</v>
      </c>
      <c r="B15" s="43" t="n">
        <f aca="false">B10+B14</f>
        <v>214.718</v>
      </c>
      <c r="C15" s="43" t="n">
        <f aca="false">C10+C14</f>
        <v>238.58</v>
      </c>
      <c r="D15" s="43" t="n">
        <f aca="false">D10+D14</f>
        <v>232.031</v>
      </c>
      <c r="E15" s="43" t="n">
        <f aca="false">E10+E14</f>
        <v>223.790143727958</v>
      </c>
      <c r="F15" s="43" t="n">
        <f aca="false">F10+F14</f>
        <v>249.620901620548</v>
      </c>
      <c r="G15" s="43" t="n">
        <f aca="false">G10+G14</f>
        <v>268.472320943431</v>
      </c>
      <c r="H15" s="43" t="n">
        <f aca="false">H10+H14</f>
        <v>286.519835761888</v>
      </c>
      <c r="I15" s="43" t="n">
        <f aca="false">I10+I14</f>
        <v>303.893257438592</v>
      </c>
    </row>
    <row r="16" customFormat="false" ht="15" hidden="false" customHeight="false" outlineLevel="0" collapsed="false">
      <c r="A16" s="2" t="s">
        <v>45</v>
      </c>
      <c r="B16" s="7" t="n">
        <v>-22.674</v>
      </c>
      <c r="C16" s="7" t="n">
        <v>-22.3</v>
      </c>
      <c r="D16" s="7" t="n">
        <v>-27.499</v>
      </c>
      <c r="E16" s="7" t="n">
        <f aca="false">-E15*Assumptions!$B$124</f>
        <v>-26.631027103627</v>
      </c>
      <c r="F16" s="7" t="n">
        <f aca="false">-F15*Assumptions!$B$124</f>
        <v>-29.7048872928452</v>
      </c>
      <c r="G16" s="7" t="n">
        <f aca="false">-G15*Assumptions!$B$124</f>
        <v>-31.9482061922683</v>
      </c>
      <c r="H16" s="7" t="n">
        <f aca="false">-H15*Assumptions!$B$124</f>
        <v>-34.0958604556646</v>
      </c>
      <c r="I16" s="7" t="n">
        <f aca="false">-I15*Assumptions!$B$124</f>
        <v>-36.1632976351924</v>
      </c>
    </row>
    <row r="17" customFormat="false" ht="15" hidden="false" customHeight="false" outlineLevel="0" collapsed="false">
      <c r="A17" s="3" t="s">
        <v>369</v>
      </c>
      <c r="B17" s="43" t="n">
        <f aca="false">B15+B16</f>
        <v>192.044</v>
      </c>
      <c r="C17" s="43" t="n">
        <f aca="false">C15+C16</f>
        <v>216.28</v>
      </c>
      <c r="D17" s="43" t="n">
        <f aca="false">D15+D16</f>
        <v>204.532</v>
      </c>
      <c r="E17" s="43" t="n">
        <f aca="false">E15+E16</f>
        <v>197.159116624331</v>
      </c>
      <c r="F17" s="43" t="n">
        <f aca="false">F15+F16</f>
        <v>219.916014327703</v>
      </c>
      <c r="G17" s="43" t="n">
        <f aca="false">G15+G16</f>
        <v>236.524114751163</v>
      </c>
      <c r="H17" s="43" t="n">
        <f aca="false">H15+H16</f>
        <v>252.423975306223</v>
      </c>
      <c r="I17" s="43" t="n">
        <f aca="false">I15+I16</f>
        <v>267.729959803399</v>
      </c>
    </row>
    <row r="18" customFormat="false" ht="15" hidden="false" customHeight="false" outlineLevel="0" collapsed="false">
      <c r="A18" s="2" t="s">
        <v>370</v>
      </c>
      <c r="B18" s="28" t="n">
        <f aca="false">-B16/B15</f>
        <v>0.105598971674475</v>
      </c>
      <c r="C18" s="28" t="n">
        <f aca="false">-C16/C15</f>
        <v>0.0934696956995557</v>
      </c>
      <c r="D18" s="28" t="n">
        <f aca="false">-D16/D15</f>
        <v>0.118514336446423</v>
      </c>
      <c r="E18" s="28" t="n">
        <f aca="false">-E16/E15</f>
        <v>0.119</v>
      </c>
      <c r="F18" s="28" t="n">
        <f aca="false">-F16/F15</f>
        <v>0.119</v>
      </c>
      <c r="G18" s="28" t="n">
        <f aca="false">-G16/G15</f>
        <v>0.119</v>
      </c>
      <c r="H18" s="28" t="n">
        <f aca="false">-H16/H15</f>
        <v>0.119</v>
      </c>
      <c r="I18" s="28" t="n">
        <f aca="false">-I16/I15</f>
        <v>0.119</v>
      </c>
    </row>
    <row r="19" customFormat="false" ht="15" hidden="false" customHeight="false" outlineLevel="0" collapsed="false">
      <c r="A19" s="2" t="s">
        <v>371</v>
      </c>
      <c r="B19" s="48" t="n">
        <f aca="false">B17/Assumptions!$B$6*100</f>
        <v>1.85928801711702</v>
      </c>
      <c r="C19" s="48" t="n">
        <f aca="false">C17/Assumptions!$B$6*100</f>
        <v>2.09393062184744</v>
      </c>
      <c r="D19" s="48" t="n">
        <f aca="false">D17/Assumptions!$B$6*100</f>
        <v>1.98019150151517</v>
      </c>
      <c r="E19" s="48" t="n">
        <f aca="false">E17/Assumptions!$B$6*100</f>
        <v>1.90881039243609</v>
      </c>
      <c r="F19" s="48" t="n">
        <f aca="false">F17/Assumptions!$B$6*100</f>
        <v>2.12913296021554</v>
      </c>
      <c r="G19" s="48" t="n">
        <f aca="false">G17/Assumptions!$B$6*100</f>
        <v>2.28992549788615</v>
      </c>
      <c r="H19" s="48" t="n">
        <f aca="false">H17/Assumptions!$B$6*100</f>
        <v>2.44386115952544</v>
      </c>
      <c r="I19" s="48" t="n">
        <f aca="false">I17/Assumptions!$B$6*100</f>
        <v>2.59204716672055</v>
      </c>
    </row>
    <row r="20" customFormat="false" ht="15" hidden="false" customHeight="false" outlineLevel="0" collapsed="false">
      <c r="A20" s="2" t="s">
        <v>372</v>
      </c>
      <c r="B20" s="25" t="n">
        <f aca="false">B17/Assumptions!$B$6*Assumptions!$B$7</f>
        <v>0.0682823524286226</v>
      </c>
      <c r="C20" s="25" t="n">
        <f aca="false">C17/Assumptions!$B$6*Assumptions!$B$7</f>
        <v>0.0768996020873471</v>
      </c>
      <c r="D20" s="25" t="n">
        <f aca="false">D17/Assumptions!$B$6*Assumptions!$B$7</f>
        <v>0.0727225328931446</v>
      </c>
      <c r="E20" s="25" t="n">
        <f aca="false">E17/Assumptions!$B$6*Assumptions!$B$7</f>
        <v>0.0701010616622152</v>
      </c>
      <c r="F20" s="25" t="n">
        <f aca="false">F17/Assumptions!$B$6*Assumptions!$B$7</f>
        <v>0.0781924079639156</v>
      </c>
      <c r="G20" s="25" t="n">
        <f aca="false">G17/Assumptions!$B$6*Assumptions!$B$7</f>
        <v>0.084097513909869</v>
      </c>
      <c r="H20" s="25" t="n">
        <f aca="false">H17/Assumptions!$B$6*Assumptions!$B$7</f>
        <v>0.0897508010835717</v>
      </c>
      <c r="I20" s="25" t="n">
        <f aca="false">I17/Assumptions!$B$6*Assumptions!$B$7</f>
        <v>0.0951929321978123</v>
      </c>
    </row>
    <row r="22" customFormat="false" ht="15" hidden="false" customHeight="false" outlineLevel="0" collapsed="false">
      <c r="A22" s="4" t="s">
        <v>373</v>
      </c>
    </row>
    <row r="23" customFormat="false" ht="15" hidden="false" customHeight="false" outlineLevel="0" collapsed="false">
      <c r="A23" s="4" t="s">
        <v>374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10" min="2" style="0" width="13"/>
  </cols>
  <sheetData>
    <row r="1" customFormat="false" ht="16.15" hidden="false" customHeight="false" outlineLevel="0" collapsed="false">
      <c r="A1" s="1" t="s">
        <v>375</v>
      </c>
    </row>
    <row r="4" customFormat="false" ht="15" hidden="false" customHeight="false" outlineLevel="0" collapsed="false">
      <c r="B4" s="19" t="s">
        <v>376</v>
      </c>
      <c r="C4" s="19" t="s">
        <v>377</v>
      </c>
      <c r="D4" s="19" t="s">
        <v>378</v>
      </c>
      <c r="E4" s="19" t="s">
        <v>379</v>
      </c>
    </row>
    <row r="5" customFormat="false" ht="15" hidden="false" customHeight="false" outlineLevel="0" collapsed="false">
      <c r="A5" s="2" t="s">
        <v>51</v>
      </c>
      <c r="B5" s="7" t="n">
        <v>277.694</v>
      </c>
      <c r="C5" s="7" t="n">
        <v>346.208</v>
      </c>
      <c r="D5" s="9" t="n">
        <f aca="false">Assumptions!$B$28</f>
        <v>329.543</v>
      </c>
    </row>
    <row r="6" customFormat="false" ht="15" hidden="false" customHeight="false" outlineLevel="0" collapsed="false">
      <c r="A6" s="2" t="s">
        <v>380</v>
      </c>
      <c r="B6" s="7" t="n">
        <v>1374.607</v>
      </c>
      <c r="C6" s="7" t="n">
        <v>1473.636</v>
      </c>
      <c r="D6" s="7" t="n">
        <v>1491.112</v>
      </c>
    </row>
    <row r="7" customFormat="false" ht="15" hidden="false" customHeight="false" outlineLevel="0" collapsed="false">
      <c r="A7" s="2" t="s">
        <v>381</v>
      </c>
      <c r="B7" s="7" t="n">
        <v>331.507</v>
      </c>
      <c r="C7" s="7" t="n">
        <v>411.605</v>
      </c>
      <c r="D7" s="7" t="n">
        <v>399.122</v>
      </c>
    </row>
    <row r="8" customFormat="false" ht="15" hidden="false" customHeight="false" outlineLevel="0" collapsed="false">
      <c r="A8" s="2" t="s">
        <v>382</v>
      </c>
      <c r="B8" s="7" t="n">
        <v>1380.024</v>
      </c>
    </row>
    <row r="9" customFormat="false" ht="15" hidden="false" customHeight="false" outlineLevel="0" collapsed="false">
      <c r="A9" s="2" t="s">
        <v>383</v>
      </c>
      <c r="B9" s="7" t="n">
        <v>1461.43</v>
      </c>
      <c r="C9" s="7" t="n">
        <v>1438.49</v>
      </c>
      <c r="D9" s="7" t="n">
        <v>1411.939</v>
      </c>
    </row>
    <row r="10" customFormat="false" ht="15" hidden="false" customHeight="false" outlineLevel="0" collapsed="false">
      <c r="A10" s="2" t="s">
        <v>52</v>
      </c>
      <c r="B10" s="7" t="n">
        <v>1868.395</v>
      </c>
      <c r="C10" s="7" t="n">
        <v>1726.393</v>
      </c>
      <c r="D10" s="9" t="n">
        <f aca="false">Assumptions!$B$29</f>
        <v>1765.769</v>
      </c>
    </row>
    <row r="11" customFormat="false" ht="15" hidden="false" customHeight="false" outlineLevel="0" collapsed="false">
      <c r="A11" s="3" t="s">
        <v>384</v>
      </c>
      <c r="B11" s="56" t="n">
        <v>8004.151</v>
      </c>
      <c r="C11" s="56" t="n">
        <v>5450.512</v>
      </c>
      <c r="D11" s="56" t="n">
        <v>5440.109</v>
      </c>
    </row>
    <row r="12" customFormat="false" ht="15" hidden="false" customHeight="false" outlineLevel="0" collapsed="false">
      <c r="A12" s="2" t="s">
        <v>385</v>
      </c>
      <c r="B12" s="7" t="n">
        <v>1129.003</v>
      </c>
      <c r="D12" s="9" t="n">
        <f aca="false">Assumptions!$B$35</f>
        <v>1189.9388</v>
      </c>
    </row>
    <row r="13" customFormat="false" ht="15" hidden="false" customHeight="false" outlineLevel="0" collapsed="false">
      <c r="A13" s="2" t="s">
        <v>386</v>
      </c>
      <c r="B13" s="7" t="n">
        <v>2001.102</v>
      </c>
      <c r="D13" s="9" t="n">
        <f aca="false">Assumptions!$B$34</f>
        <v>1642.5738</v>
      </c>
    </row>
    <row r="14" customFormat="false" ht="15" hidden="false" customHeight="false" outlineLevel="0" collapsed="false">
      <c r="A14" s="3" t="s">
        <v>387</v>
      </c>
      <c r="B14" s="56" t="n">
        <v>766.907</v>
      </c>
      <c r="C14" s="56" t="n">
        <v>992.856</v>
      </c>
      <c r="D14" s="56" t="n">
        <v>1004.763</v>
      </c>
    </row>
    <row r="15" customFormat="false" ht="15" hidden="false" customHeight="false" outlineLevel="0" collapsed="false">
      <c r="A15" s="2" t="s">
        <v>388</v>
      </c>
      <c r="D15" s="9" t="n">
        <f aca="false">Assumptions!$B$32</f>
        <v>2502.9696</v>
      </c>
      <c r="E15" s="7" t="n">
        <v>2503</v>
      </c>
    </row>
    <row r="16" customFormat="false" ht="15" hidden="false" customHeight="false" outlineLevel="0" collapsed="false">
      <c r="A16" s="3" t="s">
        <v>389</v>
      </c>
      <c r="D16" s="57" t="n">
        <f aca="false">D15/Assumptions!$B$20</f>
        <v>3.2</v>
      </c>
      <c r="E16" s="58" t="n">
        <v>3.3</v>
      </c>
    </row>
    <row r="17" customFormat="false" ht="15" hidden="false" customHeight="false" outlineLevel="0" collapsed="false">
      <c r="A17" s="2" t="s">
        <v>390</v>
      </c>
      <c r="D17" s="9" t="n">
        <f aca="false">Assumptions!$B$33</f>
        <v>860.3958</v>
      </c>
    </row>
    <row r="18" customFormat="false" ht="15" hidden="false" customHeight="false" outlineLevel="0" collapsed="false">
      <c r="A18" s="3" t="s">
        <v>389</v>
      </c>
      <c r="D18" s="57" t="n">
        <f aca="false">D17/Assumptions!$B$20</f>
        <v>1.1</v>
      </c>
      <c r="E18" s="58" t="n">
        <v>0.9</v>
      </c>
    </row>
    <row r="19" customFormat="false" ht="15" hidden="false" customHeight="false" outlineLevel="0" collapsed="false">
      <c r="A19" s="2" t="s">
        <v>391</v>
      </c>
      <c r="B19" s="9" t="n">
        <f aca="false">B6+B7-B8</f>
        <v>326.09</v>
      </c>
    </row>
    <row r="20" customFormat="false" ht="15" hidden="false" customHeight="false" outlineLevel="0" collapsed="false">
      <c r="A20" s="2" t="s">
        <v>392</v>
      </c>
      <c r="B20" s="12" t="n">
        <f aca="false">B19/'Income Statement'!B5</f>
        <v>0.0448051623285439</v>
      </c>
    </row>
    <row r="22" customFormat="false" ht="15" hidden="false" customHeight="false" outlineLevel="0" collapsed="false">
      <c r="A22" s="3" t="s">
        <v>393</v>
      </c>
    </row>
    <row r="23" customFormat="false" ht="15" hidden="false" customHeight="false" outlineLevel="0" collapsed="false">
      <c r="A23" s="4" t="s">
        <v>394</v>
      </c>
    </row>
    <row r="24" customFormat="false" ht="15" hidden="false" customHeight="false" outlineLevel="0" collapsed="false">
      <c r="A24" s="4" t="s">
        <v>395</v>
      </c>
    </row>
    <row r="25" customFormat="false" ht="15" hidden="false" customHeight="false" outlineLevel="0" collapsed="false">
      <c r="A25" s="4" t="s">
        <v>396</v>
      </c>
    </row>
    <row r="26" customFormat="false" ht="15" hidden="false" customHeight="false" outlineLevel="0" collapsed="false">
      <c r="A26" s="4" t="s">
        <v>397</v>
      </c>
    </row>
    <row r="27" customFormat="false" ht="15" hidden="false" customHeight="false" outlineLevel="0" collapsed="false">
      <c r="A27" s="4" t="s">
        <v>398</v>
      </c>
    </row>
    <row r="28" customFormat="false" ht="15" hidden="false" customHeight="false" outlineLevel="0" collapsed="false">
      <c r="A28" s="4"/>
    </row>
    <row r="29" customFormat="false" ht="15" hidden="false" customHeight="false" outlineLevel="0" collapsed="false">
      <c r="A29" s="3" t="s">
        <v>399</v>
      </c>
    </row>
    <row r="30" customFormat="false" ht="15" hidden="false" customHeight="false" outlineLevel="0" collapsed="false">
      <c r="A30" s="4" t="s">
        <v>400</v>
      </c>
    </row>
    <row r="31" customFormat="false" ht="15" hidden="false" customHeight="false" outlineLevel="0" collapsed="false">
      <c r="A31" s="4" t="s">
        <v>401</v>
      </c>
    </row>
    <row r="32" customFormat="false" ht="15" hidden="false" customHeight="false" outlineLevel="0" collapsed="false">
      <c r="A32" s="4" t="s">
        <v>402</v>
      </c>
    </row>
    <row r="33" customFormat="false" ht="15" hidden="false" customHeight="false" outlineLevel="0" collapsed="false">
      <c r="A33" s="4" t="s">
        <v>403</v>
      </c>
    </row>
    <row r="34" customFormat="false" ht="15" hidden="false" customHeight="false" outlineLevel="0" collapsed="false">
      <c r="A34" s="4"/>
    </row>
    <row r="35" customFormat="false" ht="15" hidden="false" customHeight="false" outlineLevel="0" collapsed="false">
      <c r="A35" s="4" t="s">
        <v>404</v>
      </c>
    </row>
    <row r="36" customFormat="false" ht="15" hidden="false" customHeight="false" outlineLevel="0" collapsed="false">
      <c r="A36" s="4" t="s">
        <v>405</v>
      </c>
    </row>
    <row r="37" customFormat="false" ht="15" hidden="false" customHeight="false" outlineLevel="0" collapsed="false">
      <c r="A37" s="4" t="s">
        <v>406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10" min="2" style="0" width="13"/>
  </cols>
  <sheetData>
    <row r="1" customFormat="false" ht="16.15" hidden="false" customHeight="false" outlineLevel="0" collapsed="false">
      <c r="A1" s="1" t="s">
        <v>407</v>
      </c>
    </row>
    <row r="4" customFormat="false" ht="15" hidden="false" customHeight="false" outlineLevel="0" collapsed="false">
      <c r="B4" s="19" t="s">
        <v>363</v>
      </c>
      <c r="C4" s="19" t="s">
        <v>364</v>
      </c>
    </row>
    <row r="5" customFormat="false" ht="15" hidden="false" customHeight="false" outlineLevel="0" collapsed="false">
      <c r="A5" s="2" t="s">
        <v>408</v>
      </c>
      <c r="B5" s="7" t="n">
        <v>358.129</v>
      </c>
      <c r="C5" s="7" t="n">
        <v>596.362</v>
      </c>
    </row>
    <row r="6" customFormat="false" ht="15" hidden="false" customHeight="false" outlineLevel="0" collapsed="false">
      <c r="A6" s="2" t="s">
        <v>409</v>
      </c>
      <c r="B6" s="7" t="n">
        <v>-141.712</v>
      </c>
      <c r="C6" s="7" t="n">
        <v>-138.501</v>
      </c>
    </row>
    <row r="7" customFormat="false" ht="15" hidden="false" customHeight="false" outlineLevel="0" collapsed="false">
      <c r="A7" s="2" t="s">
        <v>410</v>
      </c>
      <c r="B7" s="7" t="n">
        <v>-186.48</v>
      </c>
      <c r="C7" s="7" t="n">
        <v>-190.804</v>
      </c>
    </row>
    <row r="8" customFormat="false" ht="15" hidden="false" customHeight="false" outlineLevel="0" collapsed="false">
      <c r="A8" s="2" t="s">
        <v>411</v>
      </c>
      <c r="B8" s="7" t="n">
        <v>0</v>
      </c>
      <c r="C8" s="7" t="n">
        <v>-182.812</v>
      </c>
    </row>
    <row r="9" customFormat="false" ht="15" hidden="false" customHeight="false" outlineLevel="0" collapsed="false">
      <c r="A9" s="2" t="s">
        <v>412</v>
      </c>
      <c r="B9" s="7" t="n">
        <v>-151.386</v>
      </c>
      <c r="C9" s="7" t="n">
        <v>-484.091</v>
      </c>
    </row>
    <row r="11" customFormat="false" ht="15" hidden="false" customHeight="false" outlineLevel="0" collapsed="false">
      <c r="A11" s="3" t="s">
        <v>413</v>
      </c>
    </row>
    <row r="12" customFormat="false" ht="15" hidden="false" customHeight="false" outlineLevel="0" collapsed="false">
      <c r="A12" s="3" t="s">
        <v>414</v>
      </c>
    </row>
    <row r="13" customFormat="false" ht="15" hidden="false" customHeight="false" outlineLevel="0" collapsed="false">
      <c r="A13" s="2" t="s">
        <v>415</v>
      </c>
      <c r="B13" s="29" t="n">
        <f aca="false">Assumptions!$B$16*(1-Assumptions!$B$47)</f>
        <v>346.92416</v>
      </c>
    </row>
    <row r="14" customFormat="false" ht="15" hidden="false" customHeight="false" outlineLevel="0" collapsed="false">
      <c r="A14" s="2" t="s">
        <v>416</v>
      </c>
      <c r="B14" s="29" t="n">
        <f aca="false">Assumptions!$B$17+Assumptions!$B$18+Assumptions!$B$19</f>
        <v>387.946</v>
      </c>
    </row>
    <row r="15" customFormat="false" ht="15" hidden="false" customHeight="false" outlineLevel="0" collapsed="false">
      <c r="A15" s="2" t="s">
        <v>417</v>
      </c>
      <c r="B15" s="29" t="n">
        <f aca="false">C6</f>
        <v>-138.501</v>
      </c>
    </row>
    <row r="16" customFormat="false" ht="15" hidden="false" customHeight="false" outlineLevel="0" collapsed="false">
      <c r="A16" s="2" t="s">
        <v>418</v>
      </c>
      <c r="B16" s="29" t="n">
        <f aca="false">-Assumptions!$B$38</f>
        <v>-258.757</v>
      </c>
    </row>
    <row r="17" customFormat="false" ht="15" hidden="false" customHeight="false" outlineLevel="0" collapsed="false">
      <c r="A17" s="2" t="s">
        <v>419</v>
      </c>
      <c r="B17" s="29" t="n">
        <f aca="false">-Assumptions!$B$39*(Assumptions!$B$12-Assumptions!$B$25)</f>
        <v>-14.0299264</v>
      </c>
    </row>
    <row r="18" customFormat="false" ht="15" hidden="false" customHeight="false" outlineLevel="0" collapsed="false">
      <c r="A18" s="3" t="s">
        <v>420</v>
      </c>
      <c r="B18" s="30" t="n">
        <f aca="false">SUM(B13:B17)</f>
        <v>323.5822336</v>
      </c>
    </row>
    <row r="20" customFormat="false" ht="15" hidden="false" customHeight="false" outlineLevel="0" collapsed="false">
      <c r="A20" s="3" t="s">
        <v>421</v>
      </c>
    </row>
    <row r="21" customFormat="false" ht="15" hidden="false" customHeight="false" outlineLevel="0" collapsed="false">
      <c r="A21" s="2" t="s">
        <v>422</v>
      </c>
      <c r="B21" s="29" t="n">
        <f aca="false">C5</f>
        <v>596.362</v>
      </c>
    </row>
    <row r="22" customFormat="false" ht="15" hidden="false" customHeight="false" outlineLevel="0" collapsed="false">
      <c r="A22" s="2" t="s">
        <v>423</v>
      </c>
      <c r="B22" s="29" t="n">
        <f aca="false">Assumptions!$B$24*(1-Assumptions!$B$47)</f>
        <v>131.49048</v>
      </c>
    </row>
    <row r="23" customFormat="false" ht="15" hidden="false" customHeight="false" outlineLevel="0" collapsed="false">
      <c r="A23" s="2" t="s">
        <v>417</v>
      </c>
      <c r="B23" s="29" t="n">
        <f aca="false">C6</f>
        <v>-138.501</v>
      </c>
    </row>
    <row r="24" customFormat="false" ht="15" hidden="false" customHeight="false" outlineLevel="0" collapsed="false">
      <c r="A24" s="2" t="s">
        <v>418</v>
      </c>
      <c r="B24" s="29" t="n">
        <f aca="false">-Assumptions!$B$38</f>
        <v>-258.757</v>
      </c>
    </row>
    <row r="25" customFormat="false" ht="15" hidden="false" customHeight="false" outlineLevel="0" collapsed="false">
      <c r="A25" s="3" t="s">
        <v>424</v>
      </c>
      <c r="B25" s="30" t="n">
        <f aca="false">SUM(B21:B24)</f>
        <v>330.59448</v>
      </c>
    </row>
    <row r="27" customFormat="false" ht="15" hidden="false" customHeight="false" outlineLevel="0" collapsed="false">
      <c r="A27" s="3" t="s">
        <v>425</v>
      </c>
      <c r="B27" s="31" t="n">
        <f aca="false">B25-B18</f>
        <v>7.0122463999997</v>
      </c>
    </row>
    <row r="28" customFormat="false" ht="15" hidden="false" customHeight="false" outlineLevel="0" collapsed="false">
      <c r="A28" s="2" t="s">
        <v>426</v>
      </c>
      <c r="B28" s="28" t="n">
        <f aca="false">B27/B18</f>
        <v>0.0216706780282256</v>
      </c>
    </row>
    <row r="30" customFormat="false" ht="15" hidden="false" customHeight="false" outlineLevel="0" collapsed="false">
      <c r="A30" s="3" t="s">
        <v>427</v>
      </c>
    </row>
    <row r="31" customFormat="false" ht="15" hidden="false" customHeight="false" outlineLevel="0" collapsed="false">
      <c r="A31" s="2" t="s">
        <v>428</v>
      </c>
      <c r="B31" s="29" t="n">
        <f aca="false">Assumptions!$B$20-Assumptions!$B$24+Assumptions!$B$22-C5</f>
        <v>8.8960000000003</v>
      </c>
    </row>
    <row r="32" customFormat="false" ht="15" hidden="false" customHeight="false" outlineLevel="0" collapsed="false">
      <c r="A32" s="4" t="s">
        <v>429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10" min="2" style="0" width="13"/>
  </cols>
  <sheetData>
    <row r="1" customFormat="false" ht="16.15" hidden="false" customHeight="false" outlineLevel="0" collapsed="false">
      <c r="A1" s="1" t="s">
        <v>430</v>
      </c>
    </row>
    <row r="4" customFormat="false" ht="15" hidden="false" customHeight="false" outlineLevel="0" collapsed="false">
      <c r="A4" s="3" t="s">
        <v>431</v>
      </c>
    </row>
    <row r="5" customFormat="false" ht="15" hidden="false" customHeight="false" outlineLevel="0" collapsed="false">
      <c r="B5" s="19" t="s">
        <v>432</v>
      </c>
      <c r="C5" s="19" t="s">
        <v>433</v>
      </c>
      <c r="D5" s="19" t="s">
        <v>434</v>
      </c>
      <c r="E5" s="19" t="s">
        <v>435</v>
      </c>
      <c r="F5" s="19" t="s">
        <v>436</v>
      </c>
    </row>
    <row r="6" customFormat="false" ht="15" hidden="false" customHeight="false" outlineLevel="0" collapsed="false">
      <c r="A6" s="13" t="n">
        <v>0.0563794505756686</v>
      </c>
      <c r="B6" s="6" t="n">
        <v>1.17945771720764</v>
      </c>
      <c r="C6" s="6" t="n">
        <v>1.30006554868805</v>
      </c>
      <c r="D6" s="6" t="n">
        <v>1.54128121164888</v>
      </c>
      <c r="E6" s="6" t="n">
        <v>1.78249687460971</v>
      </c>
      <c r="F6" s="6" t="n">
        <v>2.02371253757053</v>
      </c>
    </row>
    <row r="7" customFormat="false" ht="15" hidden="false" customHeight="false" outlineLevel="0" collapsed="false">
      <c r="A7" s="13" t="n">
        <v>0.0623794505756686</v>
      </c>
      <c r="B7" s="6" t="n">
        <v>1.12861709683144</v>
      </c>
      <c r="C7" s="6" t="n">
        <v>1.24585739734027</v>
      </c>
      <c r="D7" s="6" t="n">
        <v>1.48033799835794</v>
      </c>
      <c r="E7" s="6" t="n">
        <v>1.71481859937561</v>
      </c>
      <c r="F7" s="6" t="n">
        <v>1.94929920039328</v>
      </c>
    </row>
    <row r="8" customFormat="false" ht="15" hidden="false" customHeight="false" outlineLevel="0" collapsed="false">
      <c r="A8" s="13" t="n">
        <v>0.0683794505756686</v>
      </c>
      <c r="B8" s="6" t="n">
        <v>1.07939335934021</v>
      </c>
      <c r="C8" s="6" t="n">
        <v>1.19337833227341</v>
      </c>
      <c r="D8" s="6" t="n">
        <v>1.42134827813981</v>
      </c>
      <c r="E8" s="6" t="n">
        <v>1.64931822400621</v>
      </c>
      <c r="F8" s="6" t="n">
        <v>1.87728816987261</v>
      </c>
    </row>
    <row r="9" customFormat="false" ht="15" hidden="false" customHeight="false" outlineLevel="0" collapsed="false">
      <c r="A9" s="13" t="n">
        <v>0.0743794505756686</v>
      </c>
      <c r="B9" s="6" t="n">
        <v>1.03172549113641</v>
      </c>
      <c r="C9" s="6" t="n">
        <v>1.1425630024075</v>
      </c>
      <c r="D9" s="6" t="n">
        <v>1.36423802494967</v>
      </c>
      <c r="E9" s="6" t="n">
        <v>1.58591304749184</v>
      </c>
      <c r="F9" s="6" t="n">
        <v>1.807588070034</v>
      </c>
    </row>
    <row r="10" customFormat="false" ht="15" hidden="false" customHeight="false" outlineLevel="0" collapsed="false">
      <c r="A10" s="13" t="n">
        <v>0.0803794505756686</v>
      </c>
      <c r="B10" s="59" t="n">
        <v>0.985555120037727</v>
      </c>
      <c r="C10" s="6" t="n">
        <v>1.09334888865249</v>
      </c>
      <c r="D10" s="6" t="n">
        <v>1.30893642588203</v>
      </c>
      <c r="E10" s="6" t="n">
        <v>1.52452396311156</v>
      </c>
      <c r="F10" s="6" t="n">
        <v>1.74011150034109</v>
      </c>
    </row>
    <row r="11" customFormat="false" ht="15" hidden="false" customHeight="false" outlineLevel="0" collapsed="false">
      <c r="A11" s="4" t="s">
        <v>437</v>
      </c>
    </row>
    <row r="13" customFormat="false" ht="15" hidden="false" customHeight="false" outlineLevel="0" collapsed="false">
      <c r="A13" s="3" t="s">
        <v>438</v>
      </c>
    </row>
    <row r="14" customFormat="false" ht="15" hidden="false" customHeight="false" outlineLevel="0" collapsed="false">
      <c r="A14" s="19" t="s">
        <v>77</v>
      </c>
      <c r="B14" s="19" t="s">
        <v>439</v>
      </c>
      <c r="C14" s="19" t="s">
        <v>440</v>
      </c>
      <c r="D14" s="19" t="s">
        <v>441</v>
      </c>
    </row>
    <row r="15" customFormat="false" ht="15" hidden="false" customHeight="false" outlineLevel="0" collapsed="false">
      <c r="A15" s="60" t="n">
        <v>0.49</v>
      </c>
      <c r="B15" s="61" t="n">
        <v>0.066863</v>
      </c>
      <c r="C15" s="61" t="n">
        <v>0.0564029612423601</v>
      </c>
      <c r="D15" s="62" t="n">
        <v>1.54103849734918</v>
      </c>
    </row>
    <row r="16" customFormat="false" ht="15" hidden="false" customHeight="false" outlineLevel="0" collapsed="false">
      <c r="A16" s="8" t="n">
        <v>0.66</v>
      </c>
      <c r="B16" s="13" t="n">
        <v>0.075142</v>
      </c>
      <c r="C16" s="13" t="n">
        <v>0.0603997745799213</v>
      </c>
      <c r="D16" s="6" t="n">
        <v>1.50022630462233</v>
      </c>
    </row>
    <row r="17" customFormat="false" ht="15" hidden="false" customHeight="false" outlineLevel="0" collapsed="false">
      <c r="A17" s="8" t="n">
        <v>0.85</v>
      </c>
      <c r="B17" s="13" t="n">
        <v>0.084395</v>
      </c>
      <c r="C17" s="13" t="n">
        <v>0.0648668012513131</v>
      </c>
      <c r="D17" s="6" t="n">
        <v>1.4556505659407</v>
      </c>
    </row>
    <row r="18" customFormat="false" ht="15" hidden="false" customHeight="false" outlineLevel="0" collapsed="false">
      <c r="A18" s="8" t="n">
        <v>1</v>
      </c>
      <c r="B18" s="13" t="n">
        <v>0.0917</v>
      </c>
      <c r="C18" s="13" t="n">
        <v>0.0683934012550436</v>
      </c>
      <c r="D18" s="6" t="n">
        <v>1.42121333847867</v>
      </c>
    </row>
    <row r="19" customFormat="false" ht="15" hidden="false" customHeight="false" outlineLevel="0" collapsed="false">
      <c r="A19" s="8" t="n">
        <v>1.2</v>
      </c>
      <c r="B19" s="13" t="n">
        <v>0.10144</v>
      </c>
      <c r="C19" s="13" t="n">
        <v>0.0730955345933508</v>
      </c>
      <c r="D19" s="6" t="n">
        <v>1.37630435285275</v>
      </c>
    </row>
    <row r="20" customFormat="false" ht="15" hidden="false" customHeight="false" outlineLevel="0" collapsed="false">
      <c r="A20" s="8" t="n">
        <v>1.4</v>
      </c>
      <c r="B20" s="13" t="n">
        <v>0.11118</v>
      </c>
      <c r="C20" s="13" t="n">
        <v>0.0777976679316581</v>
      </c>
      <c r="D20" s="6" t="n">
        <v>1.33251526963804</v>
      </c>
    </row>
    <row r="22" customFormat="false" ht="15" hidden="false" customHeight="false" outlineLevel="0" collapsed="false">
      <c r="A22" s="4" t="s">
        <v>442</v>
      </c>
    </row>
    <row r="24" customFormat="false" ht="15" hidden="false" customHeight="false" outlineLevel="0" collapsed="false">
      <c r="A24" s="3" t="s">
        <v>443</v>
      </c>
    </row>
    <row r="25" customFormat="false" ht="15" hidden="false" customHeight="false" outlineLevel="0" collapsed="false">
      <c r="A25" s="19" t="s">
        <v>444</v>
      </c>
      <c r="B25" s="19" t="s">
        <v>34</v>
      </c>
      <c r="C25" s="19" t="s">
        <v>445</v>
      </c>
      <c r="D25" s="19" t="s">
        <v>222</v>
      </c>
      <c r="E25" s="19" t="s">
        <v>223</v>
      </c>
      <c r="F25" s="19" t="s">
        <v>446</v>
      </c>
      <c r="G25" s="19" t="s">
        <v>447</v>
      </c>
    </row>
    <row r="26" customFormat="false" ht="15" hidden="false" customHeight="false" outlineLevel="0" collapsed="false">
      <c r="A26" s="13" t="n">
        <v>-0.08</v>
      </c>
      <c r="B26" s="7" t="n">
        <v>7523.12787614667</v>
      </c>
      <c r="C26" s="13" t="n">
        <v>-0.0517826666666668</v>
      </c>
      <c r="D26" s="7" t="n">
        <v>644.165047612745</v>
      </c>
      <c r="E26" s="13" t="n">
        <v>0.0856246309005563</v>
      </c>
      <c r="F26" s="6" t="n">
        <v>1.09386658940605</v>
      </c>
      <c r="G26" s="6" t="n">
        <v>0.827829214551747</v>
      </c>
    </row>
    <row r="27" customFormat="false" ht="15" hidden="false" customHeight="false" outlineLevel="0" collapsed="false">
      <c r="A27" s="13" t="n">
        <v>-0.06</v>
      </c>
      <c r="B27" s="7" t="n">
        <v>7686.67413432377</v>
      </c>
      <c r="C27" s="13" t="n">
        <v>-0.0311692463768117</v>
      </c>
      <c r="D27" s="7" t="n">
        <v>687.813038091002</v>
      </c>
      <c r="E27" s="13" t="n">
        <v>0.089481227650808</v>
      </c>
      <c r="F27" s="6" t="n">
        <v>1.24430645302902</v>
      </c>
      <c r="G27" s="6" t="n">
        <v>0.944223926257301</v>
      </c>
    </row>
    <row r="28" customFormat="false" ht="15" hidden="false" customHeight="false" outlineLevel="0" collapsed="false">
      <c r="A28" s="13" t="n">
        <v>-0.04</v>
      </c>
      <c r="B28" s="7" t="n">
        <v>7850.22039250087</v>
      </c>
      <c r="C28" s="13" t="n">
        <v>-0.0105558260869566</v>
      </c>
      <c r="D28" s="7" t="n">
        <v>731.46102856926</v>
      </c>
      <c r="E28" s="13" t="n">
        <v>0.0931771328697991</v>
      </c>
      <c r="F28" s="6" t="n">
        <v>1.39474631665198</v>
      </c>
      <c r="G28" s="6" t="n">
        <v>1.06061863796286</v>
      </c>
    </row>
    <row r="29" customFormat="false" ht="15" hidden="false" customHeight="false" outlineLevel="0" collapsed="false">
      <c r="A29" s="61" t="n">
        <v>-0.02</v>
      </c>
      <c r="B29" s="63" t="n">
        <v>8013.76665067797</v>
      </c>
      <c r="C29" s="61" t="n">
        <v>0.0100575942028984</v>
      </c>
      <c r="D29" s="63" t="n">
        <v>775.109019047518</v>
      </c>
      <c r="E29" s="61" t="n">
        <v>0.0967221848145457</v>
      </c>
      <c r="F29" s="62" t="n">
        <v>1.54518618027494</v>
      </c>
      <c r="G29" s="62" t="n">
        <v>1.17701334966841</v>
      </c>
    </row>
    <row r="30" customFormat="false" ht="15" hidden="false" customHeight="false" outlineLevel="0" collapsed="false">
      <c r="A30" s="13" t="n">
        <v>0</v>
      </c>
      <c r="B30" s="7" t="n">
        <v>8177.31290885507</v>
      </c>
      <c r="C30" s="13" t="n">
        <v>0.0306710144927536</v>
      </c>
      <c r="D30" s="7" t="n">
        <v>818.757009525775</v>
      </c>
      <c r="E30" s="13" t="n">
        <v>0.100125434681503</v>
      </c>
      <c r="F30" s="6" t="n">
        <v>1.6956260438979</v>
      </c>
      <c r="G30" s="6" t="n">
        <v>1.29340806137397</v>
      </c>
    </row>
    <row r="31" customFormat="false" ht="15" hidden="false" customHeight="false" outlineLevel="0" collapsed="false">
      <c r="A31" s="13" t="n">
        <v>0.02</v>
      </c>
      <c r="B31" s="7" t="n">
        <v>8340.85916703217</v>
      </c>
      <c r="C31" s="13" t="n">
        <v>0.0512844347826085</v>
      </c>
      <c r="D31" s="7" t="n">
        <v>862.405000004033</v>
      </c>
      <c r="E31" s="13" t="n">
        <v>0.103395223769363</v>
      </c>
      <c r="F31" s="6" t="n">
        <v>1.84606590752086</v>
      </c>
      <c r="G31" s="6" t="n">
        <v>1.40980277307952</v>
      </c>
    </row>
    <row r="33" customFormat="false" ht="15" hidden="false" customHeight="false" outlineLevel="0" collapsed="false">
      <c r="A33" s="4" t="s">
        <v>448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58"/>
    <col collapsed="false" customWidth="true" hidden="false" outlineLevel="0" max="10" min="3" style="0" width="13"/>
  </cols>
  <sheetData>
    <row r="1" customFormat="false" ht="16.15" hidden="false" customHeight="false" outlineLevel="0" collapsed="false">
      <c r="A1" s="1" t="s">
        <v>449</v>
      </c>
    </row>
    <row r="2" customFormat="false" ht="15" hidden="false" customHeight="false" outlineLevel="0" collapsed="false">
      <c r="A2" s="4" t="s">
        <v>450</v>
      </c>
    </row>
    <row r="4" customFormat="false" ht="15" hidden="false" customHeight="false" outlineLevel="0" collapsed="false">
      <c r="A4" s="2" t="s">
        <v>451</v>
      </c>
      <c r="B4" s="64" t="s">
        <v>452</v>
      </c>
    </row>
    <row r="5" customFormat="false" ht="15" hidden="false" customHeight="false" outlineLevel="0" collapsed="false">
      <c r="A5" s="2" t="s">
        <v>453</v>
      </c>
      <c r="B5" s="64" t="s">
        <v>454</v>
      </c>
    </row>
    <row r="6" customFormat="false" ht="15" hidden="false" customHeight="false" outlineLevel="0" collapsed="false">
      <c r="A6" s="2" t="s">
        <v>455</v>
      </c>
      <c r="B6" s="65" t="n">
        <v>10</v>
      </c>
    </row>
    <row r="7" customFormat="false" ht="15" hidden="false" customHeight="false" outlineLevel="0" collapsed="false">
      <c r="A7" s="2" t="s">
        <v>456</v>
      </c>
      <c r="B7" s="8" t="n">
        <v>1.049</v>
      </c>
    </row>
    <row r="8" customFormat="false" ht="15" hidden="false" customHeight="false" outlineLevel="0" collapsed="false">
      <c r="A8" s="2" t="s">
        <v>457</v>
      </c>
      <c r="B8" s="64" t="s">
        <v>458</v>
      </c>
    </row>
    <row r="9" customFormat="false" ht="15" hidden="false" customHeight="false" outlineLevel="0" collapsed="false">
      <c r="A9" s="2" t="s">
        <v>459</v>
      </c>
      <c r="B9" s="13" t="n">
        <v>0.0365</v>
      </c>
    </row>
    <row r="10" customFormat="false" ht="15" hidden="false" customHeight="false" outlineLevel="0" collapsed="false">
      <c r="A10" s="2" t="s">
        <v>460</v>
      </c>
      <c r="B10" s="13" t="n">
        <v>0.074468085106383</v>
      </c>
    </row>
    <row r="11" customFormat="false" ht="15" hidden="false" customHeight="false" outlineLevel="0" collapsed="false">
      <c r="A11" s="2" t="s">
        <v>461</v>
      </c>
      <c r="B11" s="13" t="n">
        <v>0.055931790498857</v>
      </c>
    </row>
    <row r="12" customFormat="false" ht="15" hidden="false" customHeight="false" outlineLevel="0" collapsed="false">
      <c r="A12" s="2" t="s">
        <v>462</v>
      </c>
      <c r="B12" s="24" t="n">
        <v>-0.0086116803245764</v>
      </c>
    </row>
    <row r="13" customFormat="false" ht="15" hidden="false" customHeight="false" outlineLevel="0" collapsed="false">
      <c r="A13" s="2" t="s">
        <v>463</v>
      </c>
      <c r="B13" s="13" t="n">
        <v>0.00225</v>
      </c>
    </row>
    <row r="14" customFormat="false" ht="15" hidden="false" customHeight="false" outlineLevel="0" collapsed="false">
      <c r="A14" s="2" t="s">
        <v>464</v>
      </c>
      <c r="B14" s="13" t="n">
        <v>0.165161296420573</v>
      </c>
    </row>
    <row r="16" customFormat="false" ht="15" hidden="false" customHeight="false" outlineLevel="0" collapsed="false">
      <c r="A16" s="3" t="s">
        <v>465</v>
      </c>
      <c r="B16" s="66" t="s">
        <v>466</v>
      </c>
    </row>
    <row r="17" customFormat="false" ht="15" hidden="false" customHeight="false" outlineLevel="0" collapsed="false">
      <c r="A17" s="3" t="s">
        <v>467</v>
      </c>
      <c r="B17" s="66" t="s">
        <v>468</v>
      </c>
    </row>
    <row r="18" customFormat="false" ht="15" hidden="false" customHeight="false" outlineLevel="0" collapsed="false">
      <c r="A18" s="3" t="s">
        <v>469</v>
      </c>
      <c r="B18" s="66" t="s">
        <v>470</v>
      </c>
    </row>
    <row r="20" customFormat="false" ht="15" hidden="false" customHeight="false" outlineLevel="0" collapsed="false">
      <c r="A20" s="3" t="s">
        <v>471</v>
      </c>
    </row>
    <row r="21" customFormat="false" ht="15" hidden="false" customHeight="false" outlineLevel="0" collapsed="false">
      <c r="B21" s="19" t="s">
        <v>472</v>
      </c>
      <c r="C21" s="19" t="s">
        <v>473</v>
      </c>
      <c r="D21" s="19" t="s">
        <v>474</v>
      </c>
    </row>
    <row r="22" customFormat="false" ht="15" hidden="false" customHeight="false" outlineLevel="0" collapsed="false">
      <c r="A22" s="2" t="s">
        <v>475</v>
      </c>
      <c r="B22" s="6" t="n">
        <v>0.802889008366307</v>
      </c>
      <c r="C22" s="6" t="n">
        <v>0.713446938783982</v>
      </c>
      <c r="D22" s="28" t="n">
        <f aca="false">C22/Assumptions!$B$5-1</f>
        <v>-0.241013894910657</v>
      </c>
    </row>
    <row r="23" customFormat="false" ht="15" hidden="false" customHeight="false" outlineLevel="0" collapsed="false">
      <c r="A23" s="2" t="s">
        <v>476</v>
      </c>
      <c r="B23" s="6" t="n">
        <v>0.883637151678278</v>
      </c>
      <c r="C23" s="6" t="n">
        <v>0.842261514401831</v>
      </c>
      <c r="D23" s="28" t="n">
        <f aca="false">C23/Assumptions!$B$5-1</f>
        <v>-0.103977112338477</v>
      </c>
    </row>
    <row r="24" customFormat="false" ht="15" hidden="false" customHeight="false" outlineLevel="0" collapsed="false">
      <c r="A24" s="3" t="s">
        <v>477</v>
      </c>
      <c r="B24" s="6" t="n">
        <v>0.937561021491286</v>
      </c>
      <c r="C24" s="6" t="n">
        <v>0.933264964376361</v>
      </c>
      <c r="D24" s="28" t="n">
        <f aca="false">C24/Assumptions!$B$5-1</f>
        <v>-0.0071649315145097</v>
      </c>
    </row>
    <row r="25" customFormat="false" ht="15" hidden="false" customHeight="false" outlineLevel="0" collapsed="false">
      <c r="A25" s="2" t="s">
        <v>478</v>
      </c>
      <c r="B25" s="6" t="n">
        <v>0.995709347886228</v>
      </c>
      <c r="C25" s="6" t="n">
        <v>1.03578285220144</v>
      </c>
      <c r="D25" s="28" t="n">
        <f aca="false">C25/Assumptions!$B$5-1</f>
        <v>0.101896651278122</v>
      </c>
    </row>
    <row r="26" customFormat="false" ht="15" hidden="false" customHeight="false" outlineLevel="0" collapsed="false">
      <c r="A26" s="2" t="s">
        <v>479</v>
      </c>
      <c r="B26" s="6" t="n">
        <v>1.09587752833605</v>
      </c>
      <c r="C26" s="6" t="n">
        <v>1.22284951905614</v>
      </c>
      <c r="D26" s="28" t="n">
        <f aca="false">C26/Assumptions!$B$5-1</f>
        <v>0.300903743676747</v>
      </c>
    </row>
    <row r="28" customFormat="false" ht="15" hidden="false" customHeight="false" outlineLevel="0" collapsed="false">
      <c r="A28" s="2" t="s">
        <v>480</v>
      </c>
      <c r="B28" s="13" t="n">
        <v>0.48048</v>
      </c>
    </row>
    <row r="29" customFormat="false" ht="15" hidden="false" customHeight="false" outlineLevel="0" collapsed="false">
      <c r="A29" s="2" t="s">
        <v>481</v>
      </c>
      <c r="B29" s="13" t="n">
        <v>0.25348</v>
      </c>
    </row>
    <row r="30" customFormat="false" ht="15" hidden="false" customHeight="false" outlineLevel="0" collapsed="false">
      <c r="A30" s="2" t="s">
        <v>482</v>
      </c>
      <c r="B30" s="13" t="n">
        <v>0.25926</v>
      </c>
    </row>
    <row r="31" customFormat="false" ht="15" hidden="false" customHeight="false" outlineLevel="0" collapsed="false">
      <c r="A31" s="2" t="s">
        <v>483</v>
      </c>
      <c r="B31" s="6" t="n">
        <v>0.977705777983492</v>
      </c>
    </row>
    <row r="32" customFormat="false" ht="15" hidden="false" customHeight="false" outlineLevel="0" collapsed="false">
      <c r="A32" s="2" t="s">
        <v>484</v>
      </c>
      <c r="B32" s="67" t="s">
        <v>485</v>
      </c>
    </row>
    <row r="33" customFormat="false" ht="15" hidden="false" customHeight="false" outlineLevel="0" collapsed="false">
      <c r="A33" s="2" t="s">
        <v>486</v>
      </c>
      <c r="B33" s="67" t="s">
        <v>487</v>
      </c>
    </row>
    <row r="35" customFormat="false" ht="15" hidden="false" customHeight="false" outlineLevel="0" collapsed="false">
      <c r="A35" s="3" t="s">
        <v>488</v>
      </c>
    </row>
    <row r="36" customFormat="false" ht="15" hidden="false" customHeight="false" outlineLevel="0" collapsed="false">
      <c r="B36" s="19" t="s">
        <v>303</v>
      </c>
      <c r="C36" s="19" t="s">
        <v>489</v>
      </c>
      <c r="D36" s="19" t="s">
        <v>490</v>
      </c>
    </row>
    <row r="37" customFormat="false" ht="15" hidden="false" customHeight="false" outlineLevel="0" collapsed="false">
      <c r="A37" s="2" t="s">
        <v>491</v>
      </c>
      <c r="B37" s="13" t="n">
        <v>0.382978723404255</v>
      </c>
      <c r="C37" s="13" t="n">
        <v>0.00252</v>
      </c>
      <c r="D37" s="13" t="n">
        <v>0.04304</v>
      </c>
    </row>
    <row r="38" customFormat="false" ht="15" hidden="false" customHeight="false" outlineLevel="0" collapsed="false">
      <c r="A38" s="2" t="s">
        <v>492</v>
      </c>
      <c r="B38" s="13" t="n">
        <v>0.276595744680851</v>
      </c>
      <c r="C38" s="13" t="n">
        <v>0.01168</v>
      </c>
      <c r="D38" s="13" t="n">
        <v>0.10666</v>
      </c>
    </row>
    <row r="39" customFormat="false" ht="15" hidden="false" customHeight="false" outlineLevel="0" collapsed="false">
      <c r="A39" s="2" t="s">
        <v>493</v>
      </c>
      <c r="B39" s="13" t="n">
        <v>0.170212765957447</v>
      </c>
      <c r="C39" s="13" t="n">
        <v>0.07162</v>
      </c>
      <c r="D39" s="13" t="n">
        <v>0.26702</v>
      </c>
    </row>
    <row r="40" customFormat="false" ht="15" hidden="false" customHeight="false" outlineLevel="0" collapsed="false">
      <c r="A40" s="2" t="s">
        <v>494</v>
      </c>
      <c r="B40" s="13" t="n">
        <v>0.117021276595745</v>
      </c>
      <c r="C40" s="13" t="n">
        <v>0.17896</v>
      </c>
      <c r="D40" s="13" t="n">
        <v>0.41352</v>
      </c>
    </row>
    <row r="41" customFormat="false" ht="15" hidden="false" customHeight="false" outlineLevel="0" collapsed="false">
      <c r="A41" s="2" t="s">
        <v>495</v>
      </c>
      <c r="B41" s="13" t="n">
        <v>0.0638297872340425</v>
      </c>
      <c r="C41" s="13" t="n">
        <v>0.40398</v>
      </c>
      <c r="D41" s="13" t="n">
        <v>0.6181</v>
      </c>
    </row>
    <row r="42" customFormat="false" ht="15" hidden="false" customHeight="false" outlineLevel="0" collapsed="false">
      <c r="A42" s="2" t="s">
        <v>496</v>
      </c>
      <c r="B42" s="13" t="n">
        <v>0.0106382978723405</v>
      </c>
      <c r="C42" s="13" t="n">
        <v>0.7911</v>
      </c>
      <c r="D42" s="13" t="n">
        <v>0.87672</v>
      </c>
    </row>
    <row r="43" customFormat="false" ht="15" hidden="false" customHeight="false" outlineLevel="0" collapsed="false">
      <c r="A43" s="2" t="s">
        <v>497</v>
      </c>
      <c r="B43" s="13" t="n">
        <v>-0.0425531914893617</v>
      </c>
      <c r="C43" s="13" t="n">
        <v>0.54248</v>
      </c>
      <c r="D43" s="13" t="n">
        <v>0.72902</v>
      </c>
    </row>
    <row r="44" customFormat="false" ht="15" hidden="false" customHeight="false" outlineLevel="0" collapsed="false">
      <c r="A44" s="2" t="s">
        <v>498</v>
      </c>
      <c r="B44" s="13" t="n">
        <v>-0.0957446808510638</v>
      </c>
      <c r="C44" s="13" t="n">
        <v>0.22128</v>
      </c>
      <c r="D44" s="13" t="n">
        <v>0.4792</v>
      </c>
    </row>
    <row r="45" customFormat="false" ht="15" hidden="false" customHeight="false" outlineLevel="0" collapsed="false">
      <c r="A45" s="2" t="s">
        <v>499</v>
      </c>
      <c r="B45" s="13" t="n">
        <v>-0.148936170212766</v>
      </c>
      <c r="C45" s="13" t="n">
        <v>0.07014</v>
      </c>
      <c r="D45" s="13" t="n">
        <v>0.27824</v>
      </c>
    </row>
    <row r="46" customFormat="false" ht="15" hidden="false" customHeight="false" outlineLevel="0" collapsed="false">
      <c r="A46" s="2" t="s">
        <v>500</v>
      </c>
      <c r="B46" s="13" t="n">
        <v>-0.202127659574468</v>
      </c>
      <c r="C46" s="13" t="n">
        <v>0.0193</v>
      </c>
      <c r="D46" s="13" t="n">
        <v>0.14188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6"/>
    <col collapsed="false" customWidth="true" hidden="false" outlineLevel="0" max="10" min="2" style="0" width="13"/>
  </cols>
  <sheetData>
    <row r="1" customFormat="false" ht="16.15" hidden="false" customHeight="false" outlineLevel="0" collapsed="false">
      <c r="A1" s="1" t="s">
        <v>501</v>
      </c>
    </row>
    <row r="4" customFormat="false" ht="15" hidden="false" customHeight="false" outlineLevel="0" collapsed="false">
      <c r="B4" s="19" t="s">
        <v>502</v>
      </c>
      <c r="C4" s="19" t="s">
        <v>503</v>
      </c>
      <c r="D4" s="19" t="s">
        <v>504</v>
      </c>
    </row>
    <row r="5" customFormat="false" ht="15" hidden="false" customHeight="false" outlineLevel="0" collapsed="false">
      <c r="A5" s="68" t="s">
        <v>505</v>
      </c>
      <c r="B5" s="13" t="n">
        <v>0.7</v>
      </c>
      <c r="C5" s="69" t="n">
        <v>-0.02</v>
      </c>
      <c r="D5" s="70" t="n">
        <f aca="false">B5*C5</f>
        <v>-0.014</v>
      </c>
    </row>
    <row r="6" customFormat="false" ht="15" hidden="false" customHeight="false" outlineLevel="0" collapsed="false">
      <c r="A6" s="68" t="s">
        <v>506</v>
      </c>
      <c r="B6" s="13" t="n">
        <v>0.45</v>
      </c>
      <c r="C6" s="69" t="n">
        <v>-0.03</v>
      </c>
      <c r="D6" s="70" t="n">
        <f aca="false">B6*C6</f>
        <v>-0.0135</v>
      </c>
    </row>
    <row r="7" customFormat="false" ht="15" hidden="false" customHeight="false" outlineLevel="0" collapsed="false">
      <c r="A7" s="68" t="s">
        <v>507</v>
      </c>
      <c r="B7" s="13" t="n">
        <v>0.35</v>
      </c>
      <c r="C7" s="69" t="n">
        <v>0.03</v>
      </c>
      <c r="D7" s="70" t="n">
        <f aca="false">B7*C7</f>
        <v>0.0105</v>
      </c>
    </row>
    <row r="8" customFormat="false" ht="15" hidden="false" customHeight="false" outlineLevel="0" collapsed="false">
      <c r="A8" s="68" t="s">
        <v>508</v>
      </c>
      <c r="B8" s="13" t="n">
        <v>0.55</v>
      </c>
      <c r="C8" s="69" t="n">
        <v>0.025</v>
      </c>
      <c r="D8" s="70" t="n">
        <f aca="false">B8*C8</f>
        <v>0.01375</v>
      </c>
    </row>
    <row r="9" customFormat="false" ht="15" hidden="false" customHeight="false" outlineLevel="0" collapsed="false">
      <c r="A9" s="68" t="s">
        <v>509</v>
      </c>
      <c r="B9" s="13" t="n">
        <v>0.15</v>
      </c>
      <c r="C9" s="69" t="n">
        <v>-0.035</v>
      </c>
      <c r="D9" s="70" t="n">
        <f aca="false">B9*C9</f>
        <v>-0.00525</v>
      </c>
    </row>
    <row r="10" customFormat="false" ht="15" hidden="false" customHeight="false" outlineLevel="0" collapsed="false">
      <c r="A10" s="68" t="s">
        <v>510</v>
      </c>
      <c r="B10" s="13" t="n">
        <v>0.5</v>
      </c>
      <c r="C10" s="69" t="n">
        <v>0.015</v>
      </c>
      <c r="D10" s="70" t="n">
        <f aca="false">B10*C10</f>
        <v>0.0075</v>
      </c>
    </row>
    <row r="11" customFormat="false" ht="15" hidden="false" customHeight="false" outlineLevel="0" collapsed="false">
      <c r="A11" s="68" t="s">
        <v>511</v>
      </c>
      <c r="B11" s="13" t="n">
        <v>0.6</v>
      </c>
      <c r="C11" s="69" t="n">
        <v>0.015</v>
      </c>
      <c r="D11" s="70" t="n">
        <f aca="false">B11*C11</f>
        <v>0.009</v>
      </c>
    </row>
    <row r="12" customFormat="false" ht="15" hidden="false" customHeight="false" outlineLevel="0" collapsed="false">
      <c r="A12" s="68" t="s">
        <v>512</v>
      </c>
      <c r="B12" s="13" t="n">
        <v>0.25</v>
      </c>
      <c r="C12" s="69" t="n">
        <v>-0.025</v>
      </c>
      <c r="D12" s="70" t="n">
        <f aca="false">B12*C12</f>
        <v>-0.00625</v>
      </c>
    </row>
    <row r="13" customFormat="false" ht="15" hidden="false" customHeight="false" outlineLevel="0" collapsed="false">
      <c r="A13" s="68" t="s">
        <v>513</v>
      </c>
      <c r="B13" s="13" t="n">
        <v>0.1</v>
      </c>
      <c r="C13" s="69" t="n">
        <v>-0.025</v>
      </c>
      <c r="D13" s="70" t="n">
        <f aca="false">B13*C13</f>
        <v>-0.0025</v>
      </c>
    </row>
    <row r="14" customFormat="false" ht="15" hidden="false" customHeight="false" outlineLevel="0" collapsed="false">
      <c r="A14" s="68" t="s">
        <v>514</v>
      </c>
      <c r="B14" s="13" t="n">
        <v>0.15</v>
      </c>
      <c r="C14" s="69" t="n">
        <v>0.02</v>
      </c>
      <c r="D14" s="70" t="n">
        <f aca="false">B14*C14</f>
        <v>0.003</v>
      </c>
    </row>
    <row r="15" customFormat="false" ht="15" hidden="false" customHeight="false" outlineLevel="0" collapsed="false">
      <c r="A15" s="3" t="s">
        <v>515</v>
      </c>
      <c r="D15" s="71" t="n">
        <f aca="false">SUM(D5:D14)</f>
        <v>0.00225</v>
      </c>
    </row>
    <row r="17" customFormat="false" ht="15" hidden="false" customHeight="false" outlineLevel="0" collapsed="false">
      <c r="A17" s="4" t="s">
        <v>516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10" min="2" style="0" width="13"/>
  </cols>
  <sheetData>
    <row r="1" customFormat="false" ht="16.15" hidden="false" customHeight="false" outlineLevel="0" collapsed="false">
      <c r="A1" s="1" t="s">
        <v>517</v>
      </c>
    </row>
    <row r="4" customFormat="false" ht="15" hidden="false" customHeight="false" outlineLevel="0" collapsed="false">
      <c r="A4" s="2" t="s">
        <v>518</v>
      </c>
      <c r="B4" s="48" t="n">
        <f aca="false">Assumptions!$B$5</f>
        <v>0.94</v>
      </c>
    </row>
    <row r="5" customFormat="false" ht="15" hidden="false" customHeight="false" outlineLevel="0" collapsed="false">
      <c r="A5" s="2" t="s">
        <v>519</v>
      </c>
      <c r="B5" s="6" t="n">
        <v>2.04</v>
      </c>
    </row>
    <row r="6" customFormat="false" ht="15" hidden="false" customHeight="false" outlineLevel="0" collapsed="false">
      <c r="A6" s="2" t="s">
        <v>520</v>
      </c>
      <c r="B6" s="28" t="n">
        <f aca="false">B4/B5-1</f>
        <v>-0.53921568627451</v>
      </c>
    </row>
    <row r="7" customFormat="false" ht="15" hidden="false" customHeight="false" outlineLevel="0" collapsed="false">
      <c r="A7" s="2" t="s">
        <v>521</v>
      </c>
      <c r="B7" s="67" t="s">
        <v>522</v>
      </c>
    </row>
    <row r="8" customFormat="false" ht="15" hidden="false" customHeight="false" outlineLevel="0" collapsed="false">
      <c r="A8" s="2" t="s">
        <v>272</v>
      </c>
      <c r="B8" s="25" t="n">
        <f aca="false">'Income Statement'!D20</f>
        <v>0.0727225328931446</v>
      </c>
    </row>
    <row r="9" customFormat="false" ht="15" hidden="false" customHeight="false" outlineLevel="0" collapsed="false">
      <c r="A9" s="2" t="s">
        <v>357</v>
      </c>
      <c r="B9" s="25" t="n">
        <f aca="false">'Income Statement'!E20</f>
        <v>0.0701010616622152</v>
      </c>
    </row>
    <row r="10" customFormat="false" ht="15" hidden="false" customHeight="false" outlineLevel="0" collapsed="false">
      <c r="A10" s="2" t="s">
        <v>523</v>
      </c>
      <c r="B10" s="45" t="n">
        <f aca="false">B4/B8</f>
        <v>12.9258424122988</v>
      </c>
    </row>
    <row r="11" customFormat="false" ht="15" hidden="false" customHeight="false" outlineLevel="0" collapsed="false">
      <c r="A11" s="2" t="s">
        <v>524</v>
      </c>
      <c r="B11" s="45" t="n">
        <f aca="false">B4/B9</f>
        <v>13.4092120391761</v>
      </c>
    </row>
    <row r="12" customFormat="false" ht="15" hidden="false" customHeight="false" outlineLevel="0" collapsed="false">
      <c r="A12" s="2" t="s">
        <v>525</v>
      </c>
      <c r="B12" s="28" t="n">
        <f aca="false">Assumptions!$B$122/B4</f>
        <v>0.074468085106383</v>
      </c>
    </row>
    <row r="13" customFormat="false" ht="15" hidden="false" customHeight="false" outlineLevel="0" collapsed="false">
      <c r="A13" s="2" t="s">
        <v>526</v>
      </c>
      <c r="B13" s="28" t="n">
        <f aca="false">'Dividend Discount'!B18/B4</f>
        <v>0.07922136713445</v>
      </c>
    </row>
    <row r="14" customFormat="false" ht="15" hidden="false" customHeight="false" outlineLevel="0" collapsed="false">
      <c r="A14" s="2" t="s">
        <v>527</v>
      </c>
      <c r="B14" s="45" t="n">
        <f aca="false">'Relative &amp; Normalized'!B16</f>
        <v>6.5799830732548</v>
      </c>
    </row>
    <row r="15" customFormat="false" ht="15" hidden="false" customHeight="false" outlineLevel="0" collapsed="false">
      <c r="A15" s="2" t="s">
        <v>528</v>
      </c>
      <c r="B15" s="45" t="n">
        <f aca="false">'Relative &amp; Normalized'!B17</f>
        <v>6.6301777059222</v>
      </c>
    </row>
    <row r="17" customFormat="false" ht="15" hidden="false" customHeight="false" outlineLevel="0" collapsed="false">
      <c r="A17" s="2" t="s">
        <v>529</v>
      </c>
      <c r="B17" s="13" t="n">
        <v>0.0990712655805064</v>
      </c>
    </row>
    <row r="18" customFormat="false" ht="15" hidden="false" customHeight="false" outlineLevel="0" collapsed="false">
      <c r="A18" s="2" t="s">
        <v>440</v>
      </c>
      <c r="B18" s="28" t="n">
        <f aca="false">Assumptions!$B$51</f>
        <v>0.0563794505756686</v>
      </c>
    </row>
    <row r="19" customFormat="false" ht="15" hidden="false" customHeight="false" outlineLevel="0" collapsed="false">
      <c r="A19" s="2" t="s">
        <v>530</v>
      </c>
      <c r="B19" s="28" t="n">
        <f aca="false">B17-B18</f>
        <v>0.0426918150048378</v>
      </c>
    </row>
    <row r="20" customFormat="false" ht="15" hidden="false" customHeight="false" outlineLevel="0" collapsed="false">
      <c r="A20" s="2" t="s">
        <v>531</v>
      </c>
      <c r="B20" s="13" t="n">
        <v>0.203562432135738</v>
      </c>
    </row>
    <row r="22" customFormat="false" ht="15" hidden="false" customHeight="false" outlineLevel="0" collapsed="false">
      <c r="A22" s="2" t="s">
        <v>532</v>
      </c>
      <c r="B22" s="67" t="s">
        <v>533</v>
      </c>
    </row>
    <row r="23" customFormat="false" ht="15" hidden="false" customHeight="false" outlineLevel="0" collapsed="false">
      <c r="A23" s="2" t="s">
        <v>534</v>
      </c>
      <c r="B23" s="6" t="n">
        <v>1.38</v>
      </c>
    </row>
    <row r="24" customFormat="false" ht="15" hidden="false" customHeight="false" outlineLevel="0" collapsed="false">
      <c r="A24" s="2" t="s">
        <v>535</v>
      </c>
      <c r="B24" s="13" t="n">
        <v>0.302</v>
      </c>
    </row>
    <row r="25" customFormat="false" ht="15" hidden="false" customHeight="false" outlineLevel="0" collapsed="false">
      <c r="A25" s="2" t="s">
        <v>536</v>
      </c>
      <c r="B25" s="13" t="n">
        <v>0.079</v>
      </c>
    </row>
    <row r="26" customFormat="false" ht="15" hidden="false" customHeight="false" outlineLevel="0" collapsed="false">
      <c r="A26" s="2" t="s">
        <v>537</v>
      </c>
      <c r="B26" s="13" t="n">
        <v>0.61</v>
      </c>
    </row>
    <row r="27" customFormat="false" ht="15" hidden="false" customHeight="false" outlineLevel="0" collapsed="false">
      <c r="A27" s="2" t="s">
        <v>538</v>
      </c>
      <c r="B27" s="65" t="n">
        <v>8.4</v>
      </c>
    </row>
    <row r="28" customFormat="false" ht="15" hidden="false" customHeight="false" outlineLevel="0" collapsed="false">
      <c r="A28" s="2" t="s">
        <v>539</v>
      </c>
      <c r="B28" s="13" t="n">
        <v>0.67</v>
      </c>
    </row>
    <row r="29" customFormat="false" ht="15" hidden="false" customHeight="false" outlineLevel="0" collapsed="false">
      <c r="A29" s="2" t="s">
        <v>540</v>
      </c>
      <c r="B29" s="67" t="s">
        <v>541</v>
      </c>
    </row>
    <row r="30" customFormat="false" ht="15" hidden="false" customHeight="false" outlineLevel="0" collapsed="false">
      <c r="A30" s="2" t="s">
        <v>542</v>
      </c>
      <c r="B30" s="13" t="n">
        <v>0.122</v>
      </c>
    </row>
    <row r="31" customFormat="false" ht="15" hidden="false" customHeight="false" outlineLevel="0" collapsed="false">
      <c r="A31" s="2" t="s">
        <v>543</v>
      </c>
      <c r="B31" s="13" t="n">
        <v>0.047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4" min="2" style="0" width="13"/>
    <col collapsed="false" customWidth="true" hidden="false" outlineLevel="0" max="5" min="5" style="0" width="48"/>
    <col collapsed="false" customWidth="true" hidden="false" outlineLevel="0" max="10" min="6" style="0" width="13"/>
  </cols>
  <sheetData>
    <row r="1" customFormat="false" ht="16.15" hidden="false" customHeight="false" outlineLevel="0" collapsed="false">
      <c r="A1" s="1" t="s">
        <v>544</v>
      </c>
    </row>
    <row r="4" customFormat="false" ht="15" hidden="false" customHeight="false" outlineLevel="0" collapsed="false">
      <c r="B4" s="19" t="s">
        <v>545</v>
      </c>
      <c r="C4" s="19" t="s">
        <v>546</v>
      </c>
      <c r="D4" s="19" t="s">
        <v>547</v>
      </c>
      <c r="E4" s="19" t="s">
        <v>548</v>
      </c>
    </row>
    <row r="5" customFormat="false" ht="15" hidden="false" customHeight="false" outlineLevel="0" collapsed="false">
      <c r="A5" s="3" t="s">
        <v>549</v>
      </c>
      <c r="B5" s="45" t="n">
        <f aca="false">'Relative &amp; Normalized'!B17</f>
        <v>6.6301777059222</v>
      </c>
      <c r="C5" s="13" t="n">
        <v>0.0986</v>
      </c>
      <c r="D5" s="13" t="n">
        <v>0.0745</v>
      </c>
      <c r="E5" s="4" t="s">
        <v>550</v>
      </c>
    </row>
    <row r="6" customFormat="false" ht="15" hidden="false" customHeight="false" outlineLevel="0" collapsed="false">
      <c r="A6" s="2" t="s">
        <v>551</v>
      </c>
      <c r="B6" s="11" t="n">
        <v>8.9</v>
      </c>
      <c r="C6" s="13" t="n">
        <v>0.065</v>
      </c>
      <c r="D6" s="13" t="n">
        <v>0.067</v>
      </c>
      <c r="E6" s="4" t="s">
        <v>552</v>
      </c>
    </row>
    <row r="7" customFormat="false" ht="15" hidden="false" customHeight="false" outlineLevel="0" collapsed="false">
      <c r="A7" s="2" t="s">
        <v>553</v>
      </c>
      <c r="C7" s="13" t="n">
        <v>0.2</v>
      </c>
      <c r="D7" s="13" t="n">
        <v>0.046</v>
      </c>
      <c r="E7" s="4" t="s">
        <v>554</v>
      </c>
    </row>
    <row r="8" customFormat="false" ht="15" hidden="false" customHeight="false" outlineLevel="0" collapsed="false">
      <c r="A8" s="2" t="s">
        <v>555</v>
      </c>
      <c r="E8" s="4" t="s">
        <v>556</v>
      </c>
    </row>
    <row r="9" customFormat="false" ht="15" hidden="false" customHeight="false" outlineLevel="0" collapsed="false">
      <c r="A9" s="2" t="s">
        <v>557</v>
      </c>
      <c r="B9" s="11" t="n">
        <v>6.5</v>
      </c>
      <c r="E9" s="4" t="s">
        <v>558</v>
      </c>
    </row>
    <row r="10" customFormat="false" ht="15" hidden="false" customHeight="false" outlineLevel="0" collapsed="false">
      <c r="A10" s="2" t="s">
        <v>559</v>
      </c>
      <c r="B10" s="11" t="n">
        <v>5.5</v>
      </c>
      <c r="E10" s="4" t="s">
        <v>558</v>
      </c>
    </row>
    <row r="11" customFormat="false" ht="15" hidden="false" customHeight="false" outlineLevel="0" collapsed="false">
      <c r="A11" s="2" t="s">
        <v>560</v>
      </c>
      <c r="E11" s="4" t="s">
        <v>558</v>
      </c>
    </row>
    <row r="12" customFormat="false" ht="15" hidden="false" customHeight="false" outlineLevel="0" collapsed="false">
      <c r="A12" s="2" t="s">
        <v>561</v>
      </c>
      <c r="E12" s="4" t="s">
        <v>562</v>
      </c>
    </row>
    <row r="13" customFormat="false" ht="15" hidden="false" customHeight="false" outlineLevel="0" collapsed="false">
      <c r="A13" s="2" t="s">
        <v>563</v>
      </c>
      <c r="E13" s="4" t="s">
        <v>564</v>
      </c>
    </row>
    <row r="14" customFormat="false" ht="15" hidden="false" customHeight="false" outlineLevel="0" collapsed="false">
      <c r="A14" s="2" t="s">
        <v>565</v>
      </c>
      <c r="E14" s="4" t="s">
        <v>566</v>
      </c>
    </row>
    <row r="16" customFormat="false" ht="15" hidden="false" customHeight="false" outlineLevel="0" collapsed="false">
      <c r="A16" s="4" t="s">
        <v>567</v>
      </c>
    </row>
    <row r="17" customFormat="false" ht="15" hidden="false" customHeight="false" outlineLevel="0" collapsed="false">
      <c r="A17" s="4" t="s">
        <v>568</v>
      </c>
    </row>
    <row r="18" customFormat="false" ht="15" hidden="false" customHeight="false" outlineLevel="0" collapsed="false">
      <c r="A18" s="4" t="s">
        <v>569</v>
      </c>
    </row>
    <row r="19" customFormat="false" ht="15" hidden="false" customHeight="false" outlineLevel="0" collapsed="false">
      <c r="A19" s="4"/>
    </row>
    <row r="20" customFormat="false" ht="15" hidden="false" customHeight="false" outlineLevel="0" collapsed="false">
      <c r="A20" s="4" t="s">
        <v>570</v>
      </c>
    </row>
    <row r="21" customFormat="false" ht="15" hidden="false" customHeight="false" outlineLevel="0" collapsed="false">
      <c r="A21" s="4" t="s">
        <v>571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22"/>
    <col collapsed="false" customWidth="true" hidden="false" outlineLevel="0" max="3" min="3" style="0" width="104"/>
    <col collapsed="false" customWidth="true" hidden="false" outlineLevel="0" max="4" min="4" style="0" width="34"/>
    <col collapsed="false" customWidth="true" hidden="false" outlineLevel="0" max="5" min="5" style="0" width="12"/>
    <col collapsed="false" customWidth="true" hidden="false" outlineLevel="0" max="10" min="6" style="0" width="13"/>
  </cols>
  <sheetData>
    <row r="1" customFormat="false" ht="16.15" hidden="false" customHeight="false" outlineLevel="0" collapsed="false">
      <c r="A1" s="1" t="s">
        <v>572</v>
      </c>
    </row>
    <row r="4" customFormat="false" ht="15" hidden="false" customHeight="false" outlineLevel="0" collapsed="false">
      <c r="A4" s="19" t="s">
        <v>573</v>
      </c>
      <c r="B4" s="19" t="s">
        <v>574</v>
      </c>
      <c r="C4" s="19" t="s">
        <v>575</v>
      </c>
      <c r="D4" s="19" t="s">
        <v>576</v>
      </c>
      <c r="E4" s="19" t="s">
        <v>577</v>
      </c>
    </row>
    <row r="5" customFormat="false" ht="19.4" hidden="false" customHeight="false" outlineLevel="0" collapsed="false">
      <c r="A5" s="72" t="s">
        <v>578</v>
      </c>
      <c r="B5" s="72" t="s">
        <v>579</v>
      </c>
      <c r="C5" s="73" t="s">
        <v>580</v>
      </c>
      <c r="D5" s="72" t="s">
        <v>581</v>
      </c>
      <c r="E5" s="72" t="s">
        <v>582</v>
      </c>
    </row>
    <row r="6" customFormat="false" ht="28.35" hidden="false" customHeight="false" outlineLevel="0" collapsed="false">
      <c r="A6" s="72" t="s">
        <v>578</v>
      </c>
      <c r="B6" s="72" t="s">
        <v>579</v>
      </c>
      <c r="C6" s="73" t="s">
        <v>583</v>
      </c>
      <c r="D6" s="72" t="s">
        <v>584</v>
      </c>
      <c r="E6" s="72" t="s">
        <v>585</v>
      </c>
    </row>
    <row r="7" customFormat="false" ht="19.4" hidden="false" customHeight="false" outlineLevel="0" collapsed="false">
      <c r="A7" s="72" t="s">
        <v>578</v>
      </c>
      <c r="B7" s="72" t="s">
        <v>586</v>
      </c>
      <c r="C7" s="73" t="s">
        <v>587</v>
      </c>
      <c r="D7" s="72" t="s">
        <v>588</v>
      </c>
      <c r="E7" s="72" t="s">
        <v>589</v>
      </c>
    </row>
    <row r="8" customFormat="false" ht="19.4" hidden="false" customHeight="false" outlineLevel="0" collapsed="false">
      <c r="A8" s="72" t="s">
        <v>578</v>
      </c>
      <c r="B8" s="72" t="s">
        <v>579</v>
      </c>
      <c r="C8" s="73" t="s">
        <v>590</v>
      </c>
      <c r="D8" s="72" t="s">
        <v>591</v>
      </c>
      <c r="E8" s="72" t="s">
        <v>585</v>
      </c>
    </row>
    <row r="9" customFormat="false" ht="19.4" hidden="false" customHeight="false" outlineLevel="0" collapsed="false">
      <c r="A9" s="72" t="s">
        <v>592</v>
      </c>
      <c r="B9" s="72" t="s">
        <v>586</v>
      </c>
      <c r="C9" s="73" t="s">
        <v>593</v>
      </c>
      <c r="D9" s="72" t="s">
        <v>594</v>
      </c>
      <c r="E9" s="72" t="s">
        <v>589</v>
      </c>
    </row>
    <row r="10" customFormat="false" ht="19.4" hidden="false" customHeight="false" outlineLevel="0" collapsed="false">
      <c r="A10" s="72" t="s">
        <v>592</v>
      </c>
      <c r="B10" s="72" t="s">
        <v>595</v>
      </c>
      <c r="C10" s="73" t="s">
        <v>596</v>
      </c>
      <c r="D10" s="72" t="s">
        <v>597</v>
      </c>
      <c r="E10" s="72" t="s">
        <v>598</v>
      </c>
    </row>
    <row r="11" customFormat="false" ht="19.4" hidden="false" customHeight="false" outlineLevel="0" collapsed="false">
      <c r="A11" s="72" t="s">
        <v>592</v>
      </c>
      <c r="B11" s="72" t="s">
        <v>579</v>
      </c>
      <c r="C11" s="73" t="s">
        <v>599</v>
      </c>
      <c r="D11" s="72" t="s">
        <v>600</v>
      </c>
      <c r="E11" s="72" t="s">
        <v>585</v>
      </c>
    </row>
    <row r="12" customFormat="false" ht="19.4" hidden="false" customHeight="false" outlineLevel="0" collapsed="false">
      <c r="A12" s="72" t="s">
        <v>601</v>
      </c>
      <c r="B12" s="72" t="s">
        <v>586</v>
      </c>
      <c r="C12" s="73" t="s">
        <v>602</v>
      </c>
      <c r="D12" s="72" t="s">
        <v>603</v>
      </c>
      <c r="E12" s="72" t="s">
        <v>604</v>
      </c>
    </row>
    <row r="13" customFormat="false" ht="19.4" hidden="false" customHeight="false" outlineLevel="0" collapsed="false">
      <c r="A13" s="72" t="s">
        <v>601</v>
      </c>
      <c r="B13" s="72" t="s">
        <v>579</v>
      </c>
      <c r="C13" s="73" t="s">
        <v>605</v>
      </c>
      <c r="D13" s="72" t="s">
        <v>606</v>
      </c>
      <c r="E13" s="72" t="s">
        <v>585</v>
      </c>
    </row>
    <row r="14" customFormat="false" ht="28.35" hidden="false" customHeight="false" outlineLevel="0" collapsed="false">
      <c r="A14" s="72" t="s">
        <v>601</v>
      </c>
      <c r="B14" s="72" t="s">
        <v>579</v>
      </c>
      <c r="C14" s="73" t="s">
        <v>607</v>
      </c>
      <c r="D14" s="72" t="s">
        <v>608</v>
      </c>
      <c r="E14" s="72" t="s">
        <v>589</v>
      </c>
    </row>
    <row r="15" customFormat="false" ht="19.4" hidden="false" customHeight="false" outlineLevel="0" collapsed="false">
      <c r="A15" s="72" t="s">
        <v>601</v>
      </c>
      <c r="B15" s="72" t="s">
        <v>595</v>
      </c>
      <c r="C15" s="73" t="s">
        <v>609</v>
      </c>
      <c r="D15" s="72" t="s">
        <v>610</v>
      </c>
      <c r="E15" s="72" t="s">
        <v>585</v>
      </c>
    </row>
    <row r="16" customFormat="false" ht="28.35" hidden="false" customHeight="false" outlineLevel="0" collapsed="false">
      <c r="A16" s="72" t="s">
        <v>601</v>
      </c>
      <c r="B16" s="72" t="s">
        <v>579</v>
      </c>
      <c r="C16" s="73" t="s">
        <v>611</v>
      </c>
      <c r="D16" s="72" t="s">
        <v>612</v>
      </c>
      <c r="E16" s="72" t="s">
        <v>589</v>
      </c>
    </row>
    <row r="17" customFormat="false" ht="28.35" hidden="false" customHeight="false" outlineLevel="0" collapsed="false">
      <c r="A17" s="72" t="s">
        <v>613</v>
      </c>
      <c r="B17" s="72" t="s">
        <v>595</v>
      </c>
      <c r="C17" s="73" t="s">
        <v>614</v>
      </c>
      <c r="D17" s="72" t="s">
        <v>597</v>
      </c>
      <c r="E17" s="72" t="s">
        <v>598</v>
      </c>
    </row>
    <row r="18" customFormat="false" ht="19.4" hidden="false" customHeight="false" outlineLevel="0" collapsed="false">
      <c r="A18" s="72" t="s">
        <v>613</v>
      </c>
      <c r="B18" s="72" t="s">
        <v>579</v>
      </c>
      <c r="C18" s="73" t="s">
        <v>615</v>
      </c>
      <c r="D18" s="72" t="s">
        <v>616</v>
      </c>
      <c r="E18" s="72" t="s">
        <v>585</v>
      </c>
    </row>
    <row r="19" customFormat="false" ht="19.4" hidden="false" customHeight="false" outlineLevel="0" collapsed="false">
      <c r="A19" s="72" t="s">
        <v>613</v>
      </c>
      <c r="B19" s="72" t="s">
        <v>617</v>
      </c>
      <c r="C19" s="73" t="s">
        <v>618</v>
      </c>
      <c r="D19" s="72" t="s">
        <v>619</v>
      </c>
      <c r="E19" s="72" t="s">
        <v>585</v>
      </c>
    </row>
    <row r="20" customFormat="false" ht="28.35" hidden="false" customHeight="false" outlineLevel="0" collapsed="false">
      <c r="A20" s="72" t="s">
        <v>613</v>
      </c>
      <c r="B20" s="72" t="s">
        <v>586</v>
      </c>
      <c r="C20" s="73" t="s">
        <v>620</v>
      </c>
      <c r="D20" s="72" t="s">
        <v>621</v>
      </c>
      <c r="E20" s="72" t="s">
        <v>622</v>
      </c>
    </row>
    <row r="21" customFormat="false" ht="28.35" hidden="false" customHeight="false" outlineLevel="0" collapsed="false">
      <c r="A21" s="72" t="s">
        <v>613</v>
      </c>
      <c r="B21" s="72" t="s">
        <v>579</v>
      </c>
      <c r="C21" s="73" t="s">
        <v>623</v>
      </c>
      <c r="D21" s="72" t="s">
        <v>624</v>
      </c>
      <c r="E21" s="72" t="s">
        <v>598</v>
      </c>
    </row>
    <row r="22" customFormat="false" ht="28.35" hidden="false" customHeight="false" outlineLevel="0" collapsed="false">
      <c r="A22" s="72" t="s">
        <v>613</v>
      </c>
      <c r="B22" s="72" t="s">
        <v>579</v>
      </c>
      <c r="C22" s="73" t="s">
        <v>625</v>
      </c>
      <c r="D22" s="72" t="s">
        <v>626</v>
      </c>
      <c r="E22" s="72" t="s">
        <v>598</v>
      </c>
    </row>
    <row r="23" customFormat="false" ht="19.4" hidden="false" customHeight="false" outlineLevel="0" collapsed="false">
      <c r="A23" s="72" t="s">
        <v>613</v>
      </c>
      <c r="B23" s="72" t="s">
        <v>586</v>
      </c>
      <c r="C23" s="73" t="s">
        <v>627</v>
      </c>
      <c r="D23" s="72" t="s">
        <v>628</v>
      </c>
      <c r="E23" s="72" t="s">
        <v>585</v>
      </c>
    </row>
    <row r="24" customFormat="false" ht="19.4" hidden="false" customHeight="false" outlineLevel="0" collapsed="false">
      <c r="A24" s="74" t="s">
        <v>613</v>
      </c>
      <c r="B24" s="74" t="s">
        <v>629</v>
      </c>
      <c r="C24" s="75" t="s">
        <v>630</v>
      </c>
      <c r="D24" s="74" t="s">
        <v>631</v>
      </c>
      <c r="E24" s="74" t="s">
        <v>589</v>
      </c>
    </row>
    <row r="25" customFormat="false" ht="19.4" hidden="false" customHeight="false" outlineLevel="0" collapsed="false">
      <c r="A25" s="74" t="s">
        <v>613</v>
      </c>
      <c r="B25" s="74" t="s">
        <v>629</v>
      </c>
      <c r="C25" s="75" t="s">
        <v>632</v>
      </c>
      <c r="D25" s="74" t="s">
        <v>631</v>
      </c>
      <c r="E25" s="74" t="s">
        <v>589</v>
      </c>
    </row>
    <row r="26" customFormat="false" ht="28.35" hidden="false" customHeight="false" outlineLevel="0" collapsed="false">
      <c r="A26" s="72" t="s">
        <v>592</v>
      </c>
      <c r="B26" s="72" t="s">
        <v>595</v>
      </c>
      <c r="C26" s="73" t="s">
        <v>633</v>
      </c>
      <c r="D26" s="72" t="s">
        <v>634</v>
      </c>
      <c r="E26" s="72" t="s">
        <v>582</v>
      </c>
    </row>
    <row r="27" customFormat="false" ht="28.35" hidden="false" customHeight="false" outlineLevel="0" collapsed="false">
      <c r="A27" s="72" t="s">
        <v>613</v>
      </c>
      <c r="B27" s="72" t="s">
        <v>617</v>
      </c>
      <c r="C27" s="73" t="s">
        <v>635</v>
      </c>
      <c r="D27" s="72" t="s">
        <v>636</v>
      </c>
      <c r="E27" s="72" t="s">
        <v>585</v>
      </c>
    </row>
    <row r="28" customFormat="false" ht="28.35" hidden="false" customHeight="false" outlineLevel="0" collapsed="false">
      <c r="A28" s="72" t="s">
        <v>613</v>
      </c>
      <c r="B28" s="72" t="s">
        <v>595</v>
      </c>
      <c r="C28" s="73" t="s">
        <v>637</v>
      </c>
      <c r="D28" s="72" t="s">
        <v>636</v>
      </c>
      <c r="E28" s="72" t="s">
        <v>585</v>
      </c>
    </row>
    <row r="29" customFormat="false" ht="28.35" hidden="false" customHeight="false" outlineLevel="0" collapsed="false">
      <c r="A29" s="72" t="s">
        <v>613</v>
      </c>
      <c r="B29" s="72" t="s">
        <v>595</v>
      </c>
      <c r="C29" s="73" t="s">
        <v>638</v>
      </c>
      <c r="D29" s="72" t="s">
        <v>639</v>
      </c>
      <c r="E29" s="72" t="s">
        <v>640</v>
      </c>
    </row>
    <row r="30" customFormat="false" ht="28.35" hidden="false" customHeight="false" outlineLevel="0" collapsed="false">
      <c r="A30" s="72" t="s">
        <v>613</v>
      </c>
      <c r="B30" s="72" t="s">
        <v>641</v>
      </c>
      <c r="C30" s="73" t="s">
        <v>642</v>
      </c>
      <c r="D30" s="72" t="s">
        <v>636</v>
      </c>
      <c r="E30" s="72" t="s">
        <v>585</v>
      </c>
    </row>
    <row r="32" customFormat="false" ht="15" hidden="false" customHeight="false" outlineLevel="0" collapsed="false">
      <c r="A32" s="4" t="s">
        <v>643</v>
      </c>
    </row>
    <row r="34" customFormat="false" ht="15" hidden="false" customHeight="false" outlineLevel="0" collapsed="false">
      <c r="A34" s="4" t="s">
        <v>644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68"/>
    <col collapsed="false" customWidth="true" hidden="false" outlineLevel="0" max="10" min="3" style="0" width="13"/>
  </cols>
  <sheetData>
    <row r="1" customFormat="false" ht="16.15" hidden="false" customHeight="false" outlineLevel="0" collapsed="false">
      <c r="A1" s="1" t="s">
        <v>645</v>
      </c>
    </row>
    <row r="4" customFormat="false" ht="15" hidden="false" customHeight="false" outlineLevel="0" collapsed="false">
      <c r="B4" s="19" t="s">
        <v>646</v>
      </c>
    </row>
    <row r="5" customFormat="false" ht="15" hidden="false" customHeight="false" outlineLevel="0" collapsed="false">
      <c r="A5" s="2" t="s">
        <v>647</v>
      </c>
      <c r="B5" s="67" t="s">
        <v>648</v>
      </c>
    </row>
    <row r="6" customFormat="false" ht="15" hidden="false" customHeight="false" outlineLevel="0" collapsed="false">
      <c r="A6" s="2" t="s">
        <v>649</v>
      </c>
      <c r="B6" s="67" t="s">
        <v>650</v>
      </c>
    </row>
    <row r="7" customFormat="false" ht="15" hidden="false" customHeight="false" outlineLevel="0" collapsed="false">
      <c r="A7" s="2" t="s">
        <v>651</v>
      </c>
      <c r="B7" s="67" t="s">
        <v>652</v>
      </c>
    </row>
    <row r="8" customFormat="false" ht="15" hidden="false" customHeight="false" outlineLevel="0" collapsed="false">
      <c r="A8" s="2" t="s">
        <v>653</v>
      </c>
      <c r="B8" s="6" t="n">
        <v>0.94</v>
      </c>
    </row>
    <row r="9" customFormat="false" ht="15" hidden="false" customHeight="false" outlineLevel="0" collapsed="false">
      <c r="A9" s="2" t="s">
        <v>451</v>
      </c>
      <c r="B9" s="67" t="s">
        <v>654</v>
      </c>
    </row>
    <row r="10" customFormat="false" ht="15" hidden="false" customHeight="false" outlineLevel="0" collapsed="false">
      <c r="A10" s="2" t="s">
        <v>655</v>
      </c>
      <c r="B10" s="67" t="s">
        <v>656</v>
      </c>
    </row>
    <row r="11" customFormat="false" ht="15" hidden="false" customHeight="false" outlineLevel="0" collapsed="false">
      <c r="A11" s="2" t="s">
        <v>457</v>
      </c>
      <c r="B11" s="67" t="s">
        <v>657</v>
      </c>
    </row>
    <row r="12" customFormat="false" ht="15" hidden="false" customHeight="false" outlineLevel="0" collapsed="false">
      <c r="A12" s="2" t="s">
        <v>658</v>
      </c>
      <c r="B12" s="67" t="s">
        <v>659</v>
      </c>
    </row>
    <row r="13" customFormat="false" ht="15" hidden="false" customHeight="false" outlineLevel="0" collapsed="false">
      <c r="A13" s="2" t="s">
        <v>660</v>
      </c>
      <c r="B13" s="67" t="s">
        <v>661</v>
      </c>
    </row>
    <row r="14" customFormat="false" ht="15" hidden="false" customHeight="false" outlineLevel="0" collapsed="false">
      <c r="A14" s="3" t="s">
        <v>662</v>
      </c>
      <c r="B14" s="76" t="s">
        <v>663</v>
      </c>
    </row>
    <row r="15" customFormat="false" ht="15" hidden="false" customHeight="false" outlineLevel="0" collapsed="false">
      <c r="A15" s="3" t="s">
        <v>469</v>
      </c>
      <c r="B15" s="76" t="s">
        <v>664</v>
      </c>
    </row>
    <row r="16" customFormat="false" ht="15" hidden="false" customHeight="false" outlineLevel="0" collapsed="false">
      <c r="A16" s="2" t="s">
        <v>484</v>
      </c>
      <c r="B16" s="67" t="s">
        <v>485</v>
      </c>
    </row>
    <row r="17" customFormat="false" ht="15" hidden="false" customHeight="false" outlineLevel="0" collapsed="false">
      <c r="A17" s="2" t="s">
        <v>486</v>
      </c>
      <c r="B17" s="67" t="s">
        <v>487</v>
      </c>
    </row>
    <row r="18" customFormat="false" ht="15" hidden="false" customHeight="false" outlineLevel="0" collapsed="false">
      <c r="A18" s="2" t="s">
        <v>665</v>
      </c>
      <c r="B18" s="67" t="s">
        <v>666</v>
      </c>
    </row>
    <row r="19" customFormat="false" ht="15" hidden="false" customHeight="false" outlineLevel="0" collapsed="false">
      <c r="A19" s="2" t="s">
        <v>667</v>
      </c>
      <c r="B19" s="67" t="s">
        <v>668</v>
      </c>
    </row>
    <row r="20" customFormat="false" ht="15" hidden="false" customHeight="false" outlineLevel="0" collapsed="false">
      <c r="A20" s="2" t="s">
        <v>669</v>
      </c>
      <c r="B20" s="67" t="s">
        <v>670</v>
      </c>
    </row>
    <row r="22" customFormat="false" ht="15" hidden="false" customHeight="false" outlineLevel="0" collapsed="false">
      <c r="A22" s="4" t="s">
        <v>671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2026-07-12T16:58:18Z</dcterms:created>
  <dc:creator>openpyxl</dc:creator>
  <dc:description/>
  <dc:language>en-US</dc:language>
  <cp:lastModifiedBy/>
  <dcterms:modified xsi:type="dcterms:W3CDTF">2026-07-12T16:58:18Z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