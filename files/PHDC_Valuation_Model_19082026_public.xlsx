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3">
    <numFmt numFmtId="164" formatCode="0.0%"/>
    <numFmt numFmtId="165" formatCode="0.00&quot;x&quot;"/>
    <numFmt numFmtId="166" formatCode="0.0000"/>
  </numFmts>
  <fonts count="13">
    <font>
      <name val="Calibri"/>
      <family val="2"/>
      <color theme="1"/>
      <sz val="11"/>
      <scheme val="minor"/>
    </font>
    <font>
      <b val="1"/>
      <color rgb="00FFFFFF"/>
      <sz val="11"/>
    </font>
    <font>
      <b val="1"/>
      <color rgb="00896F36"/>
      <sz val="10"/>
    </font>
    <font>
      <color rgb="001C3A36"/>
      <sz val="10"/>
    </font>
    <font>
      <b val="1"/>
      <color rgb="001C3A36"/>
      <sz val="13"/>
    </font>
    <font>
      <i val="1"/>
      <color rgb="006E7B77"/>
      <sz val="9.5"/>
    </font>
    <font>
      <b val="1"/>
      <color rgb="001C3A36"/>
      <sz val="10"/>
    </font>
    <font>
      <color rgb="001F4E9C"/>
      <sz val="10"/>
    </font>
    <font>
      <color rgb="001A7A55"/>
      <sz val="10"/>
    </font>
    <font>
      <b val="1"/>
      <color rgb="001C3A36"/>
      <sz val="11"/>
    </font>
    <font>
      <color rgb="006E7B77"/>
      <sz val="9"/>
    </font>
    <font>
      <color rgb="006E7B77"/>
      <sz val="8"/>
    </font>
    <font>
      <b val="1"/>
      <color rgb="00B5483A"/>
      <sz val="10"/>
    </font>
  </fonts>
  <fills count="5">
    <fill>
      <patternFill/>
    </fill>
    <fill>
      <patternFill patternType="gray125"/>
    </fill>
    <fill>
      <patternFill patternType="solid">
        <fgColor rgb="001C3A36"/>
      </patternFill>
    </fill>
    <fill>
      <patternFill patternType="solid">
        <fgColor rgb="00EAF0EE"/>
      </patternFill>
    </fill>
    <fill>
      <patternFill patternType="solid">
        <fgColor rgb="00F6F1E6"/>
      </patternFill>
    </fill>
  </fills>
  <borders count="2">
    <border>
      <left/>
      <right/>
      <top/>
      <bottom/>
      <diagonal/>
    </border>
    <border>
      <left style="thin">
        <color rgb="00C9D4D1"/>
      </left>
      <right style="thin">
        <color rgb="00C9D4D1"/>
      </right>
      <top style="thin">
        <color rgb="00C9D4D1"/>
      </top>
      <bottom style="thin">
        <color rgb="00C9D4D1"/>
      </bottom>
    </border>
  </borders>
  <cellStyleXfs count="1">
    <xf numFmtId="0" fontId="0" fillId="0" borderId="0"/>
  </cellStyleXfs>
  <cellXfs count="35">
    <xf numFmtId="0" fontId="0" fillId="0" borderId="0" pivotButton="0" quotePrefix="0" xfId="0"/>
    <xf numFmtId="0" fontId="1" fillId="2"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3" borderId="1" applyAlignment="1" pivotButton="0" quotePrefix="0" xfId="0">
      <alignment vertical="center" wrapText="1"/>
    </xf>
    <xf numFmtId="0" fontId="3" fillId="0" borderId="0" pivotButton="0" quotePrefix="0" xfId="0"/>
    <xf numFmtId="4" fontId="8" fillId="0" borderId="0" pivotButton="0" quotePrefix="0" xfId="0"/>
    <xf numFmtId="4" fontId="7" fillId="0" borderId="0" pivotButton="0" quotePrefix="0" xfId="0"/>
    <xf numFmtId="0" fontId="6" fillId="4" borderId="0" pivotButton="0" quotePrefix="0" xfId="0"/>
    <xf numFmtId="4" fontId="9" fillId="4" borderId="0" pivotButton="0" quotePrefix="0" xfId="0"/>
    <xf numFmtId="164" fontId="3" fillId="0" borderId="0" pivotButton="0" quotePrefix="0" xfId="0"/>
    <xf numFmtId="10" fontId="7" fillId="0" borderId="0" pivotButton="0" quotePrefix="0" xfId="0"/>
    <xf numFmtId="0" fontId="10" fillId="0" borderId="0" applyAlignment="1" pivotButton="0" quotePrefix="0" xfId="0">
      <alignment vertical="top" wrapText="1"/>
    </xf>
    <xf numFmtId="3" fontId="7" fillId="0" borderId="0" pivotButton="0" quotePrefix="0" xfId="0"/>
    <xf numFmtId="3" fontId="6" fillId="4" borderId="0" pivotButton="0" quotePrefix="0" xfId="0"/>
    <xf numFmtId="3" fontId="8" fillId="0" borderId="0" pivotButton="0" quotePrefix="0" xfId="0"/>
    <xf numFmtId="4" fontId="6" fillId="4" borderId="0" pivotButton="0" quotePrefix="0" xfId="0"/>
    <xf numFmtId="164" fontId="7" fillId="0" borderId="0" pivotButton="0" quotePrefix="0" xfId="0"/>
    <xf numFmtId="0" fontId="11" fillId="0" borderId="0" applyAlignment="1" pivotButton="0" quotePrefix="0" xfId="0">
      <alignment vertical="top" wrapText="1"/>
    </xf>
    <xf numFmtId="3" fontId="7" fillId="4" borderId="0" pivotButton="0" quotePrefix="0" xfId="0"/>
    <xf numFmtId="4" fontId="3" fillId="0" borderId="0" pivotButton="0" quotePrefix="0" xfId="0"/>
    <xf numFmtId="0" fontId="10" fillId="0" borderId="0" pivotButton="0" quotePrefix="0" xfId="0"/>
    <xf numFmtId="164" fontId="6" fillId="4" borderId="0" pivotButton="0" quotePrefix="0" xfId="0"/>
    <xf numFmtId="165" fontId="7" fillId="0" borderId="0" pivotButton="0" quotePrefix="0" xfId="0"/>
    <xf numFmtId="3" fontId="3" fillId="0" borderId="0" pivotButton="0" quotePrefix="0" xfId="0"/>
    <xf numFmtId="3" fontId="3" fillId="4" borderId="0" pivotButton="0" quotePrefix="0" xfId="0"/>
    <xf numFmtId="166" fontId="7" fillId="0" borderId="0" pivotButton="0" quotePrefix="0" xfId="0"/>
    <xf numFmtId="164" fontId="8" fillId="0" borderId="0" pivotButton="0" quotePrefix="0" xfId="0"/>
    <xf numFmtId="0" fontId="6" fillId="0" borderId="0" pivotButton="0" quotePrefix="0" xfId="0"/>
    <xf numFmtId="3" fontId="6" fillId="0" borderId="0" pivotButton="0" quotePrefix="0" xfId="0"/>
    <xf numFmtId="3" fontId="12" fillId="0" borderId="0" pivotButton="0" quotePrefix="0" xfId="0"/>
    <xf numFmtId="0" fontId="7" fillId="0" borderId="0" pivotButton="0" quotePrefix="0" xfId="0"/>
    <xf numFmtId="165" fontId="6"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showGridLines="0" workbookViewId="0">
      <pane ySplit="4" topLeftCell="A5" activePane="bottomLeft" state="frozen"/>
      <selection pane="bottomLeft" activeCell="A1" sqref="A1"/>
    </sheetView>
  </sheetViews>
  <sheetFormatPr baseColWidth="8" defaultRowHeight="15"/>
  <cols>
    <col width="118" customWidth="1" min="1" max="1"/>
  </cols>
  <sheetData>
    <row r="1">
      <c r="A1" s="1" t="inlineStr">
        <is>
          <t>READ FIRST — DISCLOSURE, DISCLAIMER AND HOW TO USE THIS MODEL</t>
        </is>
      </c>
    </row>
    <row r="3">
      <c r="A3" s="2" t="inlineStr">
        <is>
          <t>NATURE OF THIS WORKBOOK</t>
        </is>
      </c>
    </row>
    <row r="4" ht="46" customHeight="1">
      <c r="A4" s="3" t="inlineStr">
        <is>
          <t>This workbook is an educational valuation model and an expression of the preparer's personal analytical opinion, built exclusively from documents Palm Hills Developments itself issued and from assumptions stated on the Assumptions sheet. It is shared free of charge so that its methodology can be examined, stress-tested and critiqued — you are invited to change the assumptions and see how the outputs respond.</t>
        </is>
      </c>
    </row>
    <row r="6">
      <c r="A6" s="2" t="inlineStr">
        <is>
          <t>NO ADVICE, NO RECOMMENDATION, NO SOLICITATION</t>
        </is>
      </c>
    </row>
    <row r="7" ht="46" customHeight="1">
      <c r="A7" s="3" t="inlineStr">
        <is>
          <t>Nothing in this workbook constitutes investment advice, financial consultancy, securities analysis services, a research recommendation, a rating, a price target, an offer, or a solicitation to buy, sell, hold or otherwise deal in any security.</t>
        </is>
      </c>
    </row>
    <row r="9">
      <c r="A9" s="2" t="inlineStr">
        <is>
          <t>NO LICENSED ACTIVITY</t>
        </is>
      </c>
    </row>
    <row r="10" ht="46" customHeight="1">
      <c r="A10" s="3" t="inlineStr">
        <is>
          <t>The preparer is not licensed or registered with the Egyptian Financial Regulatory Authority or any other securities regulator, does not manage money, and does not accept clients, fees or funds of any kind.</t>
        </is>
      </c>
    </row>
    <row r="12">
      <c r="A12" s="2" t="inlineStr">
        <is>
          <t>ESTIMATES AND UNCERTAINTY</t>
        </is>
      </c>
    </row>
    <row r="13" ht="46" customHeight="1">
      <c r="A13" s="3" t="inlineStr">
        <is>
          <t>All values are model outputs resting on explicit, subjective assumptions; they are illustrative, highly uncertain, and likely to prove wrong in material respects. Outputs are ranges and distributions because no single number should be relied on.</t>
        </is>
      </c>
    </row>
    <row r="15">
      <c r="A15" s="2" t="inlineStr">
        <is>
          <t>NO LIABILITY</t>
        </is>
      </c>
    </row>
    <row r="16" ht="46" customHeight="1">
      <c r="A16" s="3" t="inlineStr">
        <is>
          <t>To the maximum extent permitted by applicable law, the preparer accepts no liability for any decision made or action taken or not taken, or for any loss or damage of any kind incurred, by any person in reliance on any part of this workbook.</t>
        </is>
      </c>
    </row>
    <row r="18">
      <c r="A18" s="2" t="inlineStr">
        <is>
          <t>HOW TO USE THIS MODEL</t>
        </is>
      </c>
    </row>
    <row r="19" ht="46" customHeight="1">
      <c r="A19" s="3" t="inlineStr">
        <is>
          <t>BLUE cells are hardcoded inputs you can overwrite. BLACK cells are formulas on the same sheet. GREEN cells link across sheets. Change the cost of capital, the crux ratio, the volume path or the float treatment on the Assumptions sheet and the DCF, the bridge and the Summary recompute. The Monte Carlo sheet is the last published price cone, carried forward unchanged by this fundamentals-only refresh; its rows do not recalculate.</t>
        </is>
      </c>
    </row>
    <row r="21">
      <c r="A21" s="2" t="inlineStr">
        <is>
          <t>THE CONTESTED JUDGEMENT</t>
        </is>
      </c>
    </row>
    <row r="22" ht="46" customHeight="1">
      <c r="A22" s="3" t="inlineStr">
        <is>
          <t>The company holds EGP 34,337 mn of customers' maintenance money for residents' associations that have not been legally constituted. Whether that float is permanent operating funding or restricted third-party money is worth more than any other assumption in this model. Cell B43 on Assumptions switches between the two. The two answers are never averaged.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showGridLines="0" workbookViewId="0">
      <pane ySplit="4" topLeftCell="A5" activePane="bottomLeft" state="frozen"/>
      <selection pane="bottomLeft" activeCell="A1" sqref="A1"/>
    </sheetView>
  </sheetViews>
  <sheetFormatPr baseColWidth="8" defaultRowHeight="15"/>
  <cols>
    <col width="52" customWidth="1" min="1" max="1"/>
    <col width="16" customWidth="1" min="2" max="2"/>
    <col width="16" customWidth="1" min="3" max="3"/>
    <col width="42" customWidth="1" min="4" max="4"/>
  </cols>
  <sheetData>
    <row r="1">
      <c r="A1" s="4" t="inlineStr">
        <is>
          <t>PALM HILLS DEVELOPMENTS (EGX:PHDC) — VALUATION SUMMARY</t>
        </is>
      </c>
    </row>
    <row r="2" ht="30" customHeight="1">
      <c r="A2" s="5" t="inlineStr">
        <is>
          <t>Fundamental refresh, 19 August 2026. Fundamentals as of the 30 June 2026 reviewed statements; price sections carried forward from 22 July 2026.</t>
        </is>
      </c>
    </row>
    <row r="4">
      <c r="A4" s="6" t="inlineStr">
        <is>
          <t>HEADLINE — VALUE PER SHARE (EGP)</t>
        </is>
      </c>
      <c r="B4" s="6" t="inlineStr">
        <is>
          <t>Framing A</t>
        </is>
      </c>
      <c r="C4" s="6" t="inlineStr">
        <is>
          <t>Framing B</t>
        </is>
      </c>
      <c r="D4" s="6" t="inlineStr">
        <is>
          <t>Note</t>
        </is>
      </c>
    </row>
    <row r="5">
      <c r="A5" s="7" t="inlineStr">
        <is>
          <t>Cash-flow lens, normalised cost of capital</t>
        </is>
      </c>
      <c r="B5" s="8">
        <f>'Fundamental Valuation'!B12</f>
        <v/>
      </c>
      <c r="C5" s="8">
        <f>'Fundamental Valuation'!C12</f>
        <v/>
      </c>
      <c r="D5" s="7" t="inlineStr">
        <is>
          <t>discount path glides to the terminal rate</t>
        </is>
      </c>
    </row>
    <row r="6">
      <c r="A6" s="7" t="inlineStr">
        <is>
          <t>Cash-flow lens, spot cost of capital held constant</t>
        </is>
      </c>
      <c r="B6" s="9" t="n">
        <v>11.67095009677406</v>
      </c>
      <c r="C6" s="9" t="n">
        <v>-4.824715105117767</v>
      </c>
      <c r="D6" s="7" t="inlineStr">
        <is>
          <t>the other end of the cost-of-capital range</t>
        </is>
      </c>
    </row>
    <row r="7">
      <c r="A7" s="7" t="inlineStr">
        <is>
          <t>Book value and sustainable return</t>
        </is>
      </c>
      <c r="B7" s="9" t="n">
        <v>7.186582549219455</v>
      </c>
      <c r="C7" s="9" t="n">
        <v>7.186582549219455</v>
      </c>
      <c r="D7" s="7" t="inlineStr">
        <is>
          <t>independent of the contested judgement</t>
        </is>
      </c>
    </row>
    <row r="8">
      <c r="A8" s="7" t="inlineStr">
        <is>
          <t>Relative multiples</t>
        </is>
      </c>
      <c r="B8" s="9" t="n">
        <v>10.91447837435128</v>
      </c>
      <c r="C8" s="9" t="n">
        <v>10.91447837435128</v>
      </c>
      <c r="D8" s="7" t="inlineStr">
        <is>
          <t>independent of the contested judgement</t>
        </is>
      </c>
    </row>
    <row r="9">
      <c r="A9" s="7" t="inlineStr">
        <is>
          <t>Normalised earnings power</t>
        </is>
      </c>
      <c r="B9" s="9" t="n">
        <v>11.95154263471201</v>
      </c>
      <c r="C9" s="9" t="n">
        <v>11.95154263471201</v>
      </c>
      <c r="D9" s="7" t="inlineStr">
        <is>
          <t>independent of the contested judgement</t>
        </is>
      </c>
    </row>
    <row r="11">
      <c r="A11" s="10" t="inlineStr">
        <is>
          <t>WEIGHTED CENTRE</t>
        </is>
      </c>
      <c r="B11" s="11" t="n">
        <v>15.81532878350382</v>
      </c>
      <c r="C11" s="11" t="n">
        <v>5.791420814795392</v>
      </c>
      <c r="D11" s="10" t="inlineStr">
        <is>
          <t>the two are published side by side, never averaged</t>
        </is>
      </c>
    </row>
    <row r="12">
      <c r="A12" s="7" t="inlineStr">
        <is>
          <t>Weighted low</t>
        </is>
      </c>
      <c r="B12" s="9" t="n">
        <v>9.812630383512513</v>
      </c>
      <c r="C12" s="9" t="n">
        <v>2.389581042661193</v>
      </c>
    </row>
    <row r="13">
      <c r="A13" s="7" t="inlineStr">
        <is>
          <t>Weighted high</t>
        </is>
      </c>
      <c r="B13" s="9" t="n">
        <v>21.81802718349513</v>
      </c>
      <c r="C13" s="9" t="n">
        <v>9.193260586929592</v>
      </c>
    </row>
    <row r="15">
      <c r="A15" s="7" t="inlineStr">
        <is>
          <t>Market price (close 22-Jul-2026)</t>
        </is>
      </c>
      <c r="B15" s="8">
        <f>Assumptions!B4</f>
        <v/>
      </c>
    </row>
    <row r="16">
      <c r="A16" s="7" t="inlineStr">
        <is>
          <t>Base against market</t>
        </is>
      </c>
      <c r="B16" s="12">
        <f>B11/B15-1</f>
        <v/>
      </c>
      <c r="C16" s="12">
        <f>C11/B15-1</f>
        <v/>
      </c>
    </row>
    <row r="18">
      <c r="A18" s="6" t="inlineStr">
        <is>
          <t>WHAT THE NUMBER RESTS ON</t>
        </is>
      </c>
      <c r="B18" s="6" t="inlineStr">
        <is>
          <t>Value</t>
        </is>
      </c>
      <c r="C18" s="6" t="inlineStr"/>
      <c r="D18" s="6" t="inlineStr">
        <is>
          <t>Source</t>
        </is>
      </c>
    </row>
    <row r="19">
      <c r="A19" s="7" t="inlineStr">
        <is>
          <t>Weighted cost of capital, spot, credit-swap basis</t>
        </is>
      </c>
      <c r="B19" s="13" t="n">
        <v>0.2588901205117614</v>
      </c>
      <c r="D19" s="14" t="inlineStr">
        <is>
          <t>built on the Assumptions sheet from the central bank auction and the country file</t>
        </is>
      </c>
    </row>
    <row r="20">
      <c r="A20" s="7" t="inlineStr">
        <is>
          <t>Weighted cost of capital, terminal</t>
        </is>
      </c>
      <c r="B20" s="13" t="n">
        <v>0.1479432369601155</v>
      </c>
      <c r="D20" s="14" t="inlineStr">
        <is>
          <t>normalised on the central bank inflation target for the fourth quarter of 2028</t>
        </is>
      </c>
    </row>
    <row r="21">
      <c r="A21" s="7" t="inlineStr">
        <is>
          <t>Beta</t>
        </is>
      </c>
      <c r="B21" s="9" t="n">
        <v>1.055527132818015</v>
      </c>
      <c r="D21" s="14" t="inlineStr">
        <is>
          <t>own-stock weekly regression against the exchange index</t>
        </is>
      </c>
    </row>
    <row r="22">
      <c r="A22" s="7" t="inlineStr">
        <is>
          <t>Revenue per EGP of build cost (the crux)</t>
        </is>
      </c>
      <c r="B22" s="9" t="n">
        <v>3.118618804441342</v>
      </c>
      <c r="D22" s="14" t="inlineStr">
        <is>
          <t>measured on the reviewed half-year</t>
        </is>
      </c>
    </row>
    <row r="23">
      <c r="A23" s="7" t="inlineStr">
        <is>
          <t>Residents' Association float, EGP mn</t>
        </is>
      </c>
      <c r="B23" s="15" t="n">
        <v>34337.384836</v>
      </c>
      <c r="D23" s="14" t="inlineStr">
        <is>
          <t>note 63 of the reviewed statements</t>
        </is>
      </c>
    </row>
    <row r="24">
      <c r="A24" s="7" t="inlineStr">
        <is>
          <t>Net debt, company definition, EGP mn</t>
        </is>
      </c>
      <c r="B24" s="15" t="n">
        <v>5659.636394999998</v>
      </c>
      <c r="D24" s="14" t="inlineStr">
        <is>
          <t>note 34 less cash and treasury bills</t>
        </is>
      </c>
    </row>
    <row r="25">
      <c r="A25" s="7" t="inlineStr">
        <is>
          <t>Return on invested capital</t>
        </is>
      </c>
      <c r="B25" s="13" t="n">
        <v>0.1126142719809829</v>
      </c>
      <c r="D25" s="14" t="inlineStr">
        <is>
          <t>computed from the model's own capital</t>
        </is>
      </c>
    </row>
    <row r="26">
      <c r="A26" s="7" t="inlineStr">
        <is>
          <t>Shares outstanding after treasury, mn</t>
        </is>
      </c>
      <c r="B26" s="15" t="n">
        <v>2824.470164</v>
      </c>
      <c r="D26" s="14" t="inlineStr">
        <is>
          <t>note 62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showGridLines="0" workbookViewId="0">
      <pane ySplit="4" topLeftCell="A5" activePane="bottomLeft" state="frozen"/>
      <selection pane="bottomLeft" activeCell="A1" sqref="A1"/>
    </sheetView>
  </sheetViews>
  <sheetFormatPr baseColWidth="8" defaultRowHeight="15"/>
  <cols>
    <col width="46" customWidth="1" min="1" max="1"/>
    <col width="17" customWidth="1" min="2" max="2"/>
    <col width="17" customWidth="1" min="3" max="3"/>
    <col width="40" customWidth="1" min="4" max="4"/>
  </cols>
  <sheetData>
    <row r="1">
      <c r="A1" s="4" t="inlineStr">
        <is>
          <t>FUNDAMENTAL VALUATION — THE BRIDGE FROM FIRM TO EQUITY</t>
        </is>
      </c>
    </row>
    <row r="2" ht="30" customHeight="1">
      <c r="A2" s="5" t="inlineStr">
        <is>
          <t>Both framings of the contested judgement, computed in full. Column B is framing A; column C is framing B.</t>
        </is>
      </c>
    </row>
    <row r="4">
      <c r="A4" s="6" t="inlineStr">
        <is>
          <t>EGP mn</t>
        </is>
      </c>
      <c r="B4" s="6" t="inlineStr">
        <is>
          <t>Framing A — float is operating funding</t>
        </is>
      </c>
      <c r="C4" s="6" t="inlineStr">
        <is>
          <t>Framing B — float restricted</t>
        </is>
      </c>
      <c r="D4" s="6" t="inlineStr">
        <is>
          <t>Note</t>
        </is>
      </c>
    </row>
    <row r="5">
      <c r="A5" s="7" t="inlineStr">
        <is>
          <t>Present value of the explicit forecast</t>
        </is>
      </c>
      <c r="B5" s="15" t="n">
        <v>27110.8144435658</v>
      </c>
      <c r="C5" s="15" t="n">
        <v>5423.731446672893</v>
      </c>
      <c r="D5" s="7" t="inlineStr">
        <is>
          <t>sum of the discounted free cash flows on the DCF sheet</t>
        </is>
      </c>
    </row>
    <row r="6">
      <c r="A6" s="7" t="inlineStr">
        <is>
          <t>Present value of the terminal value</t>
        </is>
      </c>
      <c r="B6" s="15" t="n">
        <v>77890.84994736247</v>
      </c>
      <c r="C6" s="15" t="n">
        <v>39660.70315922607</v>
      </c>
      <c r="D6" s="7" t="inlineStr">
        <is>
          <t>reinvestment-consistent, so growth is charged for</t>
        </is>
      </c>
    </row>
    <row r="7">
      <c r="A7" s="10" t="inlineStr">
        <is>
          <t>ENTERPRISE VALUE</t>
        </is>
      </c>
      <c r="B7" s="16">
        <f>B5+B6</f>
        <v/>
      </c>
      <c r="C7" s="16">
        <f>C5+C6</f>
        <v/>
      </c>
    </row>
    <row r="8">
      <c r="A8" s="7" t="inlineStr">
        <is>
          <t>Less net debt</t>
        </is>
      </c>
      <c r="B8" s="15" t="n">
        <v>-5659.636394999998</v>
      </c>
      <c r="C8" s="15" t="n">
        <v>-24983.021231</v>
      </c>
      <c r="D8" s="7" t="inlineStr">
        <is>
          <t>company definition in A; restricted definition in B</t>
        </is>
      </c>
    </row>
    <row r="9">
      <c r="A9" s="7" t="inlineStr">
        <is>
          <t>Less non-controlling interests</t>
        </is>
      </c>
      <c r="B9" s="15" t="n">
        <v>-1723.04881</v>
      </c>
      <c r="C9" s="15" t="n">
        <v>-1723.04881</v>
      </c>
    </row>
    <row r="10">
      <c r="A10" s="10" t="inlineStr">
        <is>
          <t>EQUITY VALUE</t>
        </is>
      </c>
      <c r="B10" s="16">
        <f>SUM(B7:B9)</f>
        <v/>
      </c>
      <c r="C10" s="16">
        <f>SUM(C7:C9)</f>
        <v/>
      </c>
    </row>
    <row r="11">
      <c r="A11" s="7" t="inlineStr">
        <is>
          <t>Shares outstanding after treasury, mn</t>
        </is>
      </c>
      <c r="B11" s="17">
        <f>Assumptions!B5</f>
        <v/>
      </c>
      <c r="C11" s="17">
        <f>Assumptions!B5</f>
        <v/>
      </c>
    </row>
    <row r="12">
      <c r="A12" s="10" t="inlineStr">
        <is>
          <t>VALUE PER SHARE, EGP</t>
        </is>
      </c>
      <c r="B12" s="18">
        <f>B10/B11</f>
        <v/>
      </c>
      <c r="C12" s="18">
        <f>C10/C11</f>
        <v/>
      </c>
    </row>
    <row r="14">
      <c r="A14" s="6" t="inlineStr">
        <is>
          <t>THE FOUR LENSES</t>
        </is>
      </c>
      <c r="B14" s="6" t="inlineStr">
        <is>
          <t>Low</t>
        </is>
      </c>
      <c r="C14" s="6" t="inlineStr">
        <is>
          <t>High</t>
        </is>
      </c>
      <c r="D14" s="6" t="inlineStr">
        <is>
          <t>Weight</t>
        </is>
      </c>
    </row>
    <row r="15">
      <c r="A15" s="7" t="inlineStr">
        <is>
          <t>Cash flow, framing A</t>
        </is>
      </c>
      <c r="B15" s="9" t="n">
        <v>11.67095009677406</v>
      </c>
      <c r="C15" s="9" t="n">
        <v>34.56187303026094</v>
      </c>
      <c r="D15" s="19" t="n">
        <v>0.45</v>
      </c>
    </row>
    <row r="16">
      <c r="A16" s="7" t="inlineStr">
        <is>
          <t>Book value and sustainable return</t>
        </is>
      </c>
      <c r="B16" s="9" t="n">
        <v>4.349428968453261</v>
      </c>
      <c r="C16" s="9" t="n">
        <v>10.02373612998565</v>
      </c>
      <c r="D16" s="19" t="n">
        <v>0.2</v>
      </c>
    </row>
    <row r="17">
      <c r="A17" s="7" t="inlineStr">
        <is>
          <t>Relative multiples</t>
        </is>
      </c>
      <c r="B17" s="9" t="n">
        <v>9.683888477837998</v>
      </c>
      <c r="C17" s="9" t="n">
        <v>12.14506827086456</v>
      </c>
      <c r="D17" s="19" t="n">
        <v>0.2</v>
      </c>
    </row>
    <row r="18">
      <c r="A18" s="7" t="inlineStr">
        <is>
          <t>Normalised earnings power</t>
        </is>
      </c>
      <c r="B18" s="9" t="n">
        <v>11.69359567137291</v>
      </c>
      <c r="C18" s="9" t="n">
        <v>12.20948959805112</v>
      </c>
      <c r="D18" s="19" t="n">
        <v>0.15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showGridLines="0" workbookViewId="0">
      <pane ySplit="4" topLeftCell="A5" activePane="bottomLeft" state="frozen"/>
      <selection pane="bottomLeft" activeCell="A1" sqref="A1"/>
    </sheetView>
  </sheetViews>
  <sheetFormatPr baseColWidth="8" defaultRowHeight="15"/>
  <cols>
    <col width="46" customWidth="1" min="1" max="1"/>
    <col width="15" customWidth="1" min="2" max="2"/>
    <col width="13" customWidth="1" min="3" max="3"/>
    <col width="80" customWidth="1" min="4" max="4"/>
  </cols>
  <sheetData>
    <row r="1">
      <c r="A1" s="4" t="inlineStr">
        <is>
          <t>ASSUMPTIONS — every blue cell is an input you can overwrite</t>
        </is>
      </c>
    </row>
    <row r="2" ht="30" customHeight="1">
      <c r="A2" s="5" t="inlineStr">
        <is>
          <t>Layer, date and source for each. The model recomputes off these.</t>
        </is>
      </c>
    </row>
    <row r="3">
      <c r="A3" s="6" t="inlineStr">
        <is>
          <t>Input</t>
        </is>
      </c>
      <c r="B3" s="6" t="inlineStr">
        <is>
          <t>Value</t>
        </is>
      </c>
      <c r="C3" s="6" t="inlineStr">
        <is>
          <t>Date</t>
        </is>
      </c>
      <c r="D3" s="6" t="inlineStr">
        <is>
          <t>Source and construction</t>
        </is>
      </c>
    </row>
    <row r="4">
      <c r="A4" s="7" t="inlineStr">
        <is>
          <t>Market price, EGP</t>
        </is>
      </c>
      <c r="B4" s="9" t="n">
        <v>15.01</v>
      </c>
      <c r="C4" s="7" t="inlineStr">
        <is>
          <t>22-Jul-2026</t>
        </is>
      </c>
      <c r="D4" s="20" t="inlineStr">
        <is>
          <t>assets/data.js, TICKERS.PHDC — published cone and technical read carried forward unchanged by this fundamentals-only refresh — published spot, close of 22-Jul-2026. This refresh does not touch it</t>
        </is>
      </c>
    </row>
    <row r="5">
      <c r="A5" s="7" t="inlineStr">
        <is>
          <t>Shares outstanding after treasury, mn</t>
        </is>
      </c>
      <c r="B5" s="15" t="n">
        <v>2824.470164</v>
      </c>
      <c r="C5" s="7" t="inlineStr">
        <is>
          <t>30-Jun-2026</t>
        </is>
      </c>
      <c r="D5" s="20" t="inlineStr">
        <is>
          <t>Interim consolidated financial statements as of 30 June 2026, Palm Hills Developments Company S.A.E — limited review report, Forvis Mazars Mostafa Shawki, Cairo 17-Aug-2026 (COMPANY_OFFICIAL) — note 62: outstanding shares after treasury</t>
        </is>
      </c>
    </row>
    <row r="6" ht="26" customHeight="1">
      <c r="A6" s="7" t="inlineStr">
        <is>
          <t>rf obs</t>
        </is>
      </c>
      <c r="B6" s="13" t="n">
        <v>0.23269</v>
      </c>
      <c r="C6" s="7" t="inlineStr">
        <is>
          <t>17-Aug-2026</t>
        </is>
      </c>
      <c r="D6" s="20" t="inlineStr">
        <is>
          <t>Central Bank of Egypt, EGP Treasury Fixed Coupon Bonds auction result, auction date 17-Aug-2026, issue 18-Aug-2026 — accepted weighted-average yields (PRIMARY_MARKET_DATA) — three-year bond, accepted weighted-average yield 23.269% (22 accepted bids, EGP 18.881bn accepted of EGP 39.684bn submitted: the deepest accepted print in the auction). The two-year cleared at 22.691% on a single accepted bid and the five-year at 19.700% on a single accepted bid; neither is a usable clearing level</t>
        </is>
      </c>
    </row>
    <row r="7" ht="26" customHeight="1">
      <c r="A7" s="7" t="inlineStr">
        <is>
          <t>ds rating</t>
        </is>
      </c>
      <c r="B7" s="13" t="n">
        <v>0.05970183</v>
      </c>
      <c r="C7" s="7" t="inlineStr">
        <is>
          <t>30-Jun-2026</t>
        </is>
      </c>
      <c r="D7" s="20" t="inlineStr">
        <is>
          <t>Damodaran country default spreads and risk premiums, ORIGINAL file ctrypremJuly26.xlsx sheet 'ERPs by country', Egypt row — CDS spreads as of 30-Jun-2026, rating default spreads updated 30-Jun-2026 (PRIMARY_MARKET_DATA) — rating-based adjusted default spread, Moody's Caa1</t>
        </is>
      </c>
    </row>
    <row r="8" ht="26" customHeight="1">
      <c r="A8" s="7" t="inlineStr">
        <is>
          <t>ds cds</t>
        </is>
      </c>
      <c r="B8" s="13" t="n">
        <v>0.0342</v>
      </c>
      <c r="C8" s="7" t="inlineStr">
        <is>
          <t>30-Jun-2026</t>
        </is>
      </c>
      <c r="D8" s="20" t="inlineStr">
        <is>
          <t>Damodaran country default spreads and risk premiums, ORIGINAL file ctrypremJuly26.xlsx sheet 'ERPs by country', Egypt row — CDS spreads as of 30-Jun-2026, rating default spreads updated 30-Jun-2026 (PRIMARY_MARKET_DATA) — sovereign CDS net of Swiss CDS (gross 3.55%)</t>
        </is>
      </c>
    </row>
    <row r="9" ht="26" customHeight="1">
      <c r="A9" s="7" t="inlineStr">
        <is>
          <t>erp rating</t>
        </is>
      </c>
      <c r="B9" s="13" t="n">
        <v>0.13480623</v>
      </c>
      <c r="C9" s="7" t="inlineStr">
        <is>
          <t>30-Jun-2026</t>
        </is>
      </c>
      <c r="D9" s="20" t="inlineStr">
        <is>
          <t>Damodaran country default spreads and risk premiums, ORIGINAL file ctrypremJuly26.xlsx sheet 'ERPs by country', Egypt row — CDS spreads as of 30-Jun-2026, rating default spreads updated 30-Jun-2026 (PRIMARY_MARKET_DATA) — total equity risk premium, rating basis</t>
        </is>
      </c>
    </row>
    <row r="10" ht="26" customHeight="1">
      <c r="A10" s="7" t="inlineStr">
        <is>
          <t>erp cds</t>
        </is>
      </c>
      <c r="B10" s="13" t="n">
        <v>0.09516375000000001</v>
      </c>
      <c r="C10" s="7" t="inlineStr">
        <is>
          <t>30-Jun-2026</t>
        </is>
      </c>
      <c r="D10" s="20" t="inlineStr">
        <is>
          <t>Damodaran country default spreads and risk premiums, ORIGINAL file ctrypremJuly26.xlsx sheet 'ERPs by country', Egypt row — CDS spreads as of 30-Jun-2026, rating default spreads updated 30-Jun-2026 (PRIMARY_MARKET_DATA) — total equity risk premium, CDS basis</t>
        </is>
      </c>
    </row>
    <row r="11" ht="26" customHeight="1">
      <c r="A11" s="7" t="inlineStr">
        <is>
          <t>beta val</t>
        </is>
      </c>
      <c r="B11" s="13" t="n">
        <v>1.055527132818015</v>
      </c>
      <c r="C11" s="7" t="inlineStr">
        <is>
          <t>22-Jul-2026</t>
        </is>
      </c>
      <c r="D11" s="20" t="inlineStr">
        <is>
          <t>engine/beta_regression.own_stock_beta('PHDC','EG','EGX') — Dimson-adjusted weekly own-stock regression against EGX30 read from engine/raw_indices/EG/EGX30.csv (PRIMARY_MARKET_DATA) — Dimson-adjusted weekly beta, 255 observations over 4.93 years to 16-Jul-2026, R-squared 29.8%, standard error 0.182, passes the usability gate</t>
        </is>
      </c>
    </row>
    <row r="12" ht="26" customHeight="1">
      <c r="A12" s="7" t="inlineStr">
        <is>
          <t>taxrate stat</t>
        </is>
      </c>
      <c r="B12" s="13" t="n">
        <v>0.225</v>
      </c>
      <c r="C12" s="7" t="inlineStr">
        <is>
          <t>30-Jun-2026</t>
        </is>
      </c>
      <c r="D12" s="20" t="inlineStr">
        <is>
          <t>Interim consolidated financial statements as of 30 June 2026, Palm Hills Developments Company S.A.E — limited review report, Forvis Mazars Mostafa Shawki, Cairo 17-Aug-2026 (COMPANY_OFFICIAL) — note 70a, tax at 22.5%; Damodaran corporate tax rate for Egypt agrees</t>
        </is>
      </c>
    </row>
    <row r="13" ht="26" customHeight="1">
      <c r="A13" s="7" t="inlineStr">
        <is>
          <t>rf term</t>
        </is>
      </c>
      <c r="B13" s="13" t="n">
        <v>0.105</v>
      </c>
      <c r="C13" s="7" t="inlineStr">
        <is>
          <t>06-Aug-2026</t>
        </is>
      </c>
      <c r="D13" s="20" t="inlineStr">
        <is>
          <t>Terminal risk-free rate, normalised from the Central Bank of Egypt's longest published inflation target (5% for Q4-2028) plus a standard emerging-market real-rate convention. Same construction and same value as the ARCC study of 06-Aug-2026 (input rf_term) — the house prior for Egypt</t>
        </is>
      </c>
    </row>
    <row r="14" ht="26" customHeight="1">
      <c r="A14" s="7" t="inlineStr">
        <is>
          <t>erp term</t>
        </is>
      </c>
      <c r="B14" s="13" t="n">
        <v>0.07000000000000001</v>
      </c>
      <c r="C14" s="7" t="inlineStr">
        <is>
          <t>06-Aug-2026</t>
        </is>
      </c>
      <c r="D14" s="20" t="inlineStr">
        <is>
          <t>Terminal equity risk premium, normalised below the currently elevated Egypt level. Same value and construction as the ARCC study of 06-Aug-2026 (input erp_term)</t>
        </is>
      </c>
    </row>
    <row r="15" ht="26" customHeight="1">
      <c r="A15" s="7" t="inlineStr">
        <is>
          <t>term g</t>
        </is>
      </c>
      <c r="B15" s="13" t="n">
        <v>0.08</v>
      </c>
      <c r="C15" s="7" t="inlineStr">
        <is>
          <t>19-Aug-2026</t>
        </is>
      </c>
      <c r="D15" s="20" t="inlineStr">
        <is>
          <t>Terminal nominal growth: the central bank's 5% long-run inflation target plus about 3% real. Held below the terminal weighted cost of capital under both cost-of-capital framings and made reinvestment-consistent through the return on capital the model itself computes</t>
        </is>
      </c>
    </row>
    <row r="16" ht="26" customHeight="1">
      <c r="A16" s="7" t="inlineStr">
        <is>
          <t>ra target ratio</t>
        </is>
      </c>
      <c r="B16" s="13" t="n">
        <v>1</v>
      </c>
      <c r="C16" s="7" t="inlineStr">
        <is>
          <t>30-Jun-2026</t>
        </is>
      </c>
      <c r="D16" s="20" t="inlineStr">
        <is>
          <t>Steady-state Residents' Association balance per Egyptian pound of annual revenue. Not asserted: solved from the company's own disclosed movements. Per pound of revenue growth the balance rose 0.98x in FY2023 (EGP 3777mn on EGP 3862mn), 1.04x in FY2024 (EGP 10048mn on EGP 9705mn) and 1.32x in H1-2026 on a like-for-like basis (EGP 5215mn on EGP 3949mn). The study carries the bottom of that measured incremental range, which lets the balance keep building toward 1.0x annual revenue and then hold there — a bounded float rather than an unbounded one</t>
        </is>
      </c>
    </row>
    <row r="17" ht="26" customHeight="1">
      <c r="A17" s="7" t="inlineStr">
        <is>
          <t>maint share</t>
        </is>
      </c>
      <c r="B17" s="13" t="n">
        <v>0.437</v>
      </c>
      <c r="C17" s="7" t="inlineStr">
        <is>
          <t>30-Jun-2026</t>
        </is>
      </c>
      <c r="D17" s="20" t="inlineStr">
        <is>
          <t>Share of the Residents' Association balance represented by maintenance-deposit checks rather than collected cash: EGP 15.014bn of notes receivable (note 41 footnote) against the EGP 34.337bn liability (note 63). Disclosed as stocks, not as period movements</t>
        </is>
      </c>
    </row>
    <row r="18" ht="26" customHeight="1">
      <c r="A18" s="7" t="inlineStr">
        <is>
          <t>hcount growth</t>
        </is>
      </c>
      <c r="B18" s="13" t="n">
        <v>0.02</v>
      </c>
      <c r="C18" s="7" t="inlineStr">
        <is>
          <t>19-Aug-2026</t>
        </is>
      </c>
      <c r="D18" s="20" t="inlineStr">
        <is>
          <t>Real headcount growth carried in the salary line on top of wage escalation</t>
        </is>
      </c>
    </row>
    <row r="19" ht="26" customHeight="1">
      <c r="A19" s="7" t="inlineStr">
        <is>
          <t>tbill wavg yld</t>
        </is>
      </c>
      <c r="B19" s="13" t="n">
        <v>0.191033</v>
      </c>
      <c r="C19" s="7" t="inlineStr">
        <is>
          <t>30-Jun-2026</t>
        </is>
      </c>
      <c r="D19" s="20" t="inlineStr">
        <is>
          <t>Interim consolidated financial statements as of 30 June 2026, Palm Hills Developments Company S.A.E — limited review report, Forvis Mazars Mostafa Shawki, Cairo 17-Aug-2026 (COMPANY_OFFICIAL) — note 47: face-value-weighted average return rate across the thirteen holding entities (range 18.41%-19.33%)</t>
        </is>
      </c>
    </row>
    <row r="20" ht="26" customHeight="1">
      <c r="A20" s="7" t="inlineStr">
        <is>
          <t>cpi urban</t>
        </is>
      </c>
      <c r="B20" s="13" t="n">
        <v>0.149</v>
      </c>
      <c r="C20" s="7" t="inlineStr">
        <is>
          <t>10-Aug-2026</t>
        </is>
      </c>
      <c r="D20" s="20" t="inlineStr">
        <is>
          <t>Central Agency for Public Mobilization and Statistics urban headline inflation 14.9% for July 2026 (14.3% June); Central Bank of Egypt annual core 14.7% July 2026 (COUNTRY)</t>
        </is>
      </c>
    </row>
    <row r="21" ht="26" customHeight="1">
      <c r="A21" s="7" t="inlineStr">
        <is>
          <t>cbe deposit</t>
        </is>
      </c>
      <c r="B21" s="13" t="n">
        <v>0.19</v>
      </c>
      <c r="C21" s="7" t="inlineStr">
        <is>
          <t>09-Jul-2026</t>
        </is>
      </c>
      <c r="D21" s="20" t="inlineStr">
        <is>
          <t>Central Bank of Egypt Monetary Policy Committee, 9-Jul-2026 — overnight deposit rate held at 19.00% after 825bp of cuts between April 2025 and February 2026 (COUNTRY)</t>
        </is>
      </c>
    </row>
    <row r="22" ht="26" customHeight="1">
      <c r="A22" s="7" t="inlineStr">
        <is>
          <t>usdegp</t>
        </is>
      </c>
      <c r="B22" s="9" t="n">
        <v>50.52</v>
      </c>
      <c r="C22" s="7" t="inlineStr">
        <is>
          <t>19-Aug-2026</t>
        </is>
      </c>
      <c r="D22" s="20" t="inlineStr">
        <is>
          <t>USD/EGP mid-market 50.52 on 19-Aug-2026; 30-day range 49.65-51.36 (COUNTRY)</t>
        </is>
      </c>
    </row>
    <row r="23">
      <c r="A23" s="7" t="inlineStr">
        <is>
          <t>Crux — revenue per EGP of build cost</t>
        </is>
      </c>
      <c r="B23" s="9" t="n">
        <v>3.118618804441342</v>
      </c>
      <c r="C23" s="7" t="inlineStr">
        <is>
          <t>30-Jun-2026</t>
        </is>
      </c>
      <c r="D23" s="20" t="inlineStr">
        <is>
          <t>measured: real-estate revenue over the construction cost charged to the income statement in the reviewed half-year</t>
        </is>
      </c>
    </row>
    <row r="24">
      <c r="A24" s="7" t="inlineStr">
        <is>
          <t>Land and partners' share, per EGP of revenue</t>
        </is>
      </c>
      <c r="B24" s="13" t="n">
        <v>0.3708199821166205</v>
      </c>
      <c r="C24" s="7" t="inlineStr">
        <is>
          <t>30-Jun-2026</t>
        </is>
      </c>
      <c r="D24" s="20" t="inlineStr">
        <is>
          <t>the residual of the disclosed cost of real estate development after the construction block; the split into its two parts is not identified</t>
        </is>
      </c>
    </row>
    <row r="25">
      <c r="A25" s="2" t="inlineStr">
        <is>
          <t>FLOAT TREATMENT — 1 = framing A, 0 = framing B</t>
        </is>
      </c>
      <c r="B25" s="15" t="n">
        <v>1</v>
      </c>
      <c r="C25" s="7" t="inlineStr">
        <is>
          <t>switch</t>
        </is>
      </c>
      <c r="D25" s="20" t="inlineStr">
        <is>
          <t>the contested judgement. Setting this to 0 removes the float from the cash flows and moves the net-debt definition to the restricted one</t>
        </is>
      </c>
    </row>
    <row r="27">
      <c r="A27" s="6" t="inlineStr">
        <is>
          <t>Path</t>
        </is>
      </c>
      <c r="B27" s="6" t="inlineStr">
        <is>
          <t>FY2027</t>
        </is>
      </c>
      <c r="C27" s="6" t="inlineStr">
        <is>
          <t>FY2028</t>
        </is>
      </c>
      <c r="D27" s="6" t="inlineStr">
        <is>
          <t>FY2029</t>
        </is>
      </c>
      <c r="E27" s="6" t="inlineStr">
        <is>
          <t>FY2030</t>
        </is>
      </c>
      <c r="F27" s="6" t="inlineStr">
        <is>
          <t>FY2031</t>
        </is>
      </c>
    </row>
    <row r="28">
      <c r="A28" s="7" t="inlineStr">
        <is>
          <t>Real construction volume growth</t>
        </is>
      </c>
      <c r="B28" s="19" t="n">
        <v>0.12</v>
      </c>
      <c r="C28" s="19" t="n">
        <v>0.09</v>
      </c>
      <c r="D28" s="19" t="n">
        <v>0.06</v>
      </c>
      <c r="E28" s="19" t="n">
        <v>0.04</v>
      </c>
      <c r="F28" s="19" t="n">
        <v>0.03</v>
      </c>
    </row>
    <row r="29">
      <c r="A29" s="7" t="inlineStr">
        <is>
          <t>Selling-price escalation</t>
        </is>
      </c>
      <c r="B29" s="19" t="n">
        <v>0.09</v>
      </c>
      <c r="C29" s="19" t="n">
        <v>0.08</v>
      </c>
      <c r="D29" s="19" t="n">
        <v>0.075</v>
      </c>
      <c r="E29" s="19" t="n">
        <v>0.07000000000000001</v>
      </c>
      <c r="F29" s="19" t="n">
        <v>0.065</v>
      </c>
    </row>
    <row r="30">
      <c r="A30" s="7" t="inlineStr">
        <is>
          <t>Steel escalator</t>
        </is>
      </c>
      <c r="B30" s="19" t="n">
        <v>0.06</v>
      </c>
      <c r="C30" s="19" t="n">
        <v>0.06</v>
      </c>
      <c r="D30" s="19" t="n">
        <v>0.055</v>
      </c>
      <c r="E30" s="19" t="n">
        <v>0.05</v>
      </c>
      <c r="F30" s="19" t="n">
        <v>0.045</v>
      </c>
    </row>
    <row r="31">
      <c r="A31" s="7" t="inlineStr">
        <is>
          <t>Cement escalator</t>
        </is>
      </c>
      <c r="B31" s="19" t="n">
        <v>0.09</v>
      </c>
      <c r="C31" s="19" t="n">
        <v>0.08</v>
      </c>
      <c r="D31" s="19" t="n">
        <v>0.07000000000000001</v>
      </c>
      <c r="E31" s="19" t="n">
        <v>0.065</v>
      </c>
      <c r="F31" s="19" t="n">
        <v>0.06</v>
      </c>
    </row>
    <row r="32">
      <c r="A32" s="7" t="inlineStr">
        <is>
          <t>Finishing escalator</t>
        </is>
      </c>
      <c r="B32" s="19" t="n">
        <v>0.115</v>
      </c>
      <c r="C32" s="19" t="n">
        <v>0.1</v>
      </c>
      <c r="D32" s="19" t="n">
        <v>0.09</v>
      </c>
      <c r="E32" s="19" t="n">
        <v>0.08</v>
      </c>
      <c r="F32" s="19" t="n">
        <v>0.07000000000000001</v>
      </c>
    </row>
    <row r="33">
      <c r="A33" s="7" t="inlineStr">
        <is>
          <t>Site labour escalator</t>
        </is>
      </c>
      <c r="B33" s="19" t="n">
        <v>0.135</v>
      </c>
      <c r="C33" s="19" t="n">
        <v>0.12</v>
      </c>
      <c r="D33" s="19" t="n">
        <v>0.11</v>
      </c>
      <c r="E33" s="19" t="n">
        <v>0.1</v>
      </c>
      <c r="F33" s="19" t="n">
        <v>0.09</v>
      </c>
    </row>
    <row r="34">
      <c r="A34" s="7" t="inlineStr">
        <is>
          <t>Weighted build-cost escalator</t>
        </is>
      </c>
      <c r="B34" s="12" t="n">
        <v>0.10225</v>
      </c>
      <c r="C34" s="12" t="n">
        <v>0.092</v>
      </c>
      <c r="D34" s="12" t="n">
        <v>0.08325</v>
      </c>
      <c r="E34" s="12" t="n">
        <v>0.0755</v>
      </c>
      <c r="F34" s="12" t="n">
        <v>0.06775</v>
      </c>
    </row>
    <row r="35">
      <c r="A35" s="7" t="inlineStr">
        <is>
          <t>Cost-class weights: steel / cement / finishing / labour</t>
        </is>
      </c>
      <c r="B35" s="19" t="n">
        <v>0.25</v>
      </c>
      <c r="C35" s="19" t="n">
        <v>0.2</v>
      </c>
      <c r="D35" s="19" t="n">
        <v>0.25</v>
      </c>
      <c r="E35" s="19" t="n">
        <v>0.3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
  <sheetViews>
    <sheetView showGridLines="0" workbookViewId="0">
      <pane ySplit="4" topLeftCell="A5" activePane="bottomLeft" state="frozen"/>
      <selection pane="bottomLeft" activeCell="A1" sqref="A1"/>
    </sheetView>
  </sheetViews>
  <sheetFormatPr baseColWidth="8" defaultRowHeight="15"/>
  <cols>
    <col width="54" customWidth="1" min="1" max="1"/>
    <col width="18" customWidth="1" min="2" max="2"/>
    <col width="18" customWidth="1" min="3" max="3"/>
    <col width="46" customWidth="1" min="4" max="4"/>
  </cols>
  <sheetData>
    <row r="1">
      <c r="A1" s="4" t="inlineStr">
        <is>
          <t>BRIDGE — WHAT IS AND IS NOT INSIDE THE ENTERPRISE</t>
        </is>
      </c>
    </row>
    <row r="2" ht="30" customHeight="1">
      <c r="A2" s="5" t="inlineStr">
        <is>
          <t>The three definitions of net debt, and the float that separates them.</t>
        </is>
      </c>
    </row>
    <row r="4">
      <c r="A4" s="6" t="inlineStr">
        <is>
          <t>EGP mn</t>
        </is>
      </c>
      <c r="B4" s="6" t="inlineStr">
        <is>
          <t>Amount</t>
        </is>
      </c>
      <c r="C4" s="6" t="inlineStr">
        <is>
          <t>In the enterprise?</t>
        </is>
      </c>
      <c r="D4" s="6" t="inlineStr">
        <is>
          <t>Note</t>
        </is>
      </c>
    </row>
    <row r="5">
      <c r="A5" s="7" t="inlineStr">
        <is>
          <t>Credit facilities (overdrafts)</t>
        </is>
      </c>
      <c r="B5" s="15" t="n">
        <v>13922.422891</v>
      </c>
      <c r="C5" s="7" t="inlineStr">
        <is>
          <t>debt</t>
        </is>
      </c>
      <c r="D5" s="14" t="inlineStr">
        <is>
          <t>note 50</t>
        </is>
      </c>
    </row>
    <row r="6">
      <c r="A6" s="7" t="inlineStr">
        <is>
          <t>Loans, long and short term</t>
        </is>
      </c>
      <c r="B6" s="15" t="n">
        <v>10886.431887</v>
      </c>
      <c r="C6" s="7" t="inlineStr">
        <is>
          <t>debt</t>
        </is>
      </c>
      <c r="D6" s="14" t="inlineStr">
        <is>
          <t>note 51</t>
        </is>
      </c>
    </row>
    <row r="7">
      <c r="A7" s="7" t="inlineStr">
        <is>
          <t>Banks — credit balances</t>
        </is>
      </c>
      <c r="B7" s="15" t="n">
        <v>1529.842495</v>
      </c>
      <c r="C7" s="7" t="inlineStr">
        <is>
          <t>debt</t>
        </is>
      </c>
      <c r="D7" s="14" t="inlineStr">
        <is>
          <t>note 49</t>
        </is>
      </c>
    </row>
    <row r="8">
      <c r="A8" s="7" t="inlineStr">
        <is>
          <t>Lease obligations</t>
        </is>
      </c>
      <c r="B8" s="15" t="n">
        <v>141.593473</v>
      </c>
      <c r="C8" s="7" t="inlineStr">
        <is>
          <t>debt</t>
        </is>
      </c>
      <c r="D8" s="14" t="inlineStr">
        <is>
          <t>note 55</t>
        </is>
      </c>
    </row>
    <row r="9">
      <c r="A9" s="10" t="inlineStr">
        <is>
          <t>INTEREST-BEARING OBLIGATIONS</t>
        </is>
      </c>
      <c r="B9" s="21" t="n">
        <v>26480.290746</v>
      </c>
      <c r="C9" s="7" t="inlineStr">
        <is>
          <t>debt</t>
        </is>
      </c>
      <c r="D9" s="14" t="inlineStr">
        <is>
          <t>note 34 — the company's own schedule</t>
        </is>
      </c>
    </row>
    <row r="10">
      <c r="A10" s="7" t="inlineStr">
        <is>
          <t>Notes payable to the land authority and under sale-and-leaseback</t>
        </is>
      </c>
      <c r="B10" s="15" t="n">
        <v>8795.176149000001</v>
      </c>
      <c r="C10" s="7" t="inlineStr">
        <is>
          <t>debt-like</t>
        </is>
      </c>
      <c r="D10" s="14" t="inlineStr">
        <is>
          <t>note 52 — carried only in the broad definition</t>
        </is>
      </c>
    </row>
    <row r="11">
      <c r="A11" s="7" t="inlineStr">
        <is>
          <t>Land purchase liabilities</t>
        </is>
      </c>
      <c r="B11" s="15" t="n">
        <v>76.747274</v>
      </c>
      <c r="C11" s="7" t="inlineStr">
        <is>
          <t>debt-like</t>
        </is>
      </c>
      <c r="D11" s="14" t="inlineStr">
        <is>
          <t>note 56</t>
        </is>
      </c>
    </row>
    <row r="12">
      <c r="A12" s="7" t="inlineStr">
        <is>
          <t>Cash and cash equivalents</t>
        </is>
      </c>
      <c r="B12" s="15" t="n">
        <v>-7804.246906</v>
      </c>
      <c r="C12" s="7" t="inlineStr">
        <is>
          <t>asset</t>
        </is>
      </c>
      <c r="D12" s="14" t="inlineStr">
        <is>
          <t>note 48</t>
        </is>
      </c>
    </row>
    <row r="13">
      <c r="A13" s="7" t="inlineStr">
        <is>
          <t>Treasury bills and bonds at amortised cost</t>
        </is>
      </c>
      <c r="B13" s="15" t="n">
        <v>-13016.407445</v>
      </c>
      <c r="C13" s="7" t="inlineStr">
        <is>
          <t>asset</t>
        </is>
      </c>
      <c r="D13" s="14" t="inlineStr">
        <is>
          <t>note 47, average return 19.10%</t>
        </is>
      </c>
    </row>
    <row r="14">
      <c r="A14" s="7" t="inlineStr">
        <is>
          <t>Residents' Association balance</t>
        </is>
      </c>
      <c r="B14" s="15" t="n">
        <v>34337.384836</v>
      </c>
      <c r="C14" s="7" t="inlineStr">
        <is>
          <t>the contested judgement</t>
        </is>
      </c>
      <c r="D14" s="14" t="inlineStr">
        <is>
          <t>note 63 — matched by maintenance-deposit notes receivable of EGP 15,014 mn and by the invested proceeds</t>
        </is>
      </c>
    </row>
    <row r="15">
      <c r="A15" s="7" t="inlineStr">
        <is>
          <t>Non-controlling interests</t>
        </is>
      </c>
      <c r="B15" s="15" t="n">
        <v>1723.04881</v>
      </c>
      <c r="C15" s="7" t="inlineStr">
        <is>
          <t>deducted</t>
        </is>
      </c>
      <c r="D15" s="14" t="inlineStr">
        <is>
          <t>balance sheet</t>
        </is>
      </c>
    </row>
    <row r="17">
      <c r="A17" s="6" t="inlineStr">
        <is>
          <t>Net debt on each definition</t>
        </is>
      </c>
      <c r="B17" s="6" t="inlineStr">
        <is>
          <t>EGP mn</t>
        </is>
      </c>
      <c r="C17" s="6" t="inlineStr">
        <is>
          <t>EGP per share</t>
        </is>
      </c>
      <c r="D17" s="6" t="inlineStr">
        <is>
          <t>Used where</t>
        </is>
      </c>
    </row>
    <row r="18">
      <c r="A18" s="7" t="inlineStr">
        <is>
          <t>Company definition — interest-bearing less cash and treasury bills</t>
        </is>
      </c>
      <c r="B18" s="15" t="n">
        <v>5659.636394999998</v>
      </c>
      <c r="C18" s="22">
        <f>B18/Assumptions!$B$5</f>
        <v/>
      </c>
      <c r="D18" s="7" t="inlineStr">
        <is>
          <t>framing A</t>
        </is>
      </c>
    </row>
    <row r="19">
      <c r="A19" s="7" t="inlineStr">
        <is>
          <t>Broad — also carrying notes payable and land liabilities</t>
        </is>
      </c>
      <c r="B19" s="15" t="n">
        <v>14531.559818</v>
      </c>
      <c r="C19" s="22">
        <f>B19/Assumptions!$B$5</f>
        <v/>
      </c>
      <c r="D19" s="7" t="inlineStr">
        <is>
          <t>disclosed only</t>
        </is>
      </c>
    </row>
    <row r="20">
      <c r="A20" s="7" t="inlineStr">
        <is>
          <t>Restricted — the invested residents' money is not the enterprise's</t>
        </is>
      </c>
      <c r="B20" s="15" t="n">
        <v>24983.021231</v>
      </c>
      <c r="C20" s="22">
        <f>B20/Assumptions!$B$5</f>
        <v/>
      </c>
      <c r="D20" s="7" t="inlineStr">
        <is>
          <t>framing 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showGridLines="0" workbookViewId="0">
      <pane ySplit="4" topLeftCell="A5" activePane="bottomLeft" state="frozen"/>
      <selection pane="bottomLeft" activeCell="A1" sqref="A1"/>
    </sheetView>
  </sheetViews>
  <sheetFormatPr baseColWidth="8" defaultRowHeight="15"/>
  <cols>
    <col width="40" customWidth="1" min="1" max="1"/>
    <col width="16" customWidth="1" min="2" max="2"/>
    <col width="16" customWidth="1" min="3" max="3"/>
    <col width="14" customWidth="1" min="4" max="4"/>
    <col width="14" customWidth="1" min="5" max="5"/>
    <col width="14" customWidth="1" min="6" max="6"/>
    <col width="14" customWidth="1" min="7" max="7"/>
    <col width="52" customWidth="1" min="8" max="8"/>
  </cols>
  <sheetData>
    <row r="1">
      <c r="A1" s="4" t="inlineStr">
        <is>
          <t>SEGMENTS — REVENUE AND COST BY ACTIVITY</t>
        </is>
      </c>
    </row>
    <row r="2" ht="30" customHeight="1">
      <c r="A2" s="5" t="inlineStr">
        <is>
          <t>Notes 64 and 65 of the reviewed statements. The two foot exactly to the face of the income statement, which the model asserts.</t>
        </is>
      </c>
    </row>
    <row r="4">
      <c r="A4" s="6" t="inlineStr">
        <is>
          <t>Activity</t>
        </is>
      </c>
      <c r="B4" s="6" t="inlineStr">
        <is>
          <t>Revenue H1-2026</t>
        </is>
      </c>
      <c r="C4" s="6" t="inlineStr">
        <is>
          <t>Revenue H1-2025</t>
        </is>
      </c>
      <c r="D4" s="6" t="inlineStr">
        <is>
          <t>Cost H1-2026</t>
        </is>
      </c>
      <c r="E4" s="6" t="inlineStr">
        <is>
          <t>Cost H1-2025</t>
        </is>
      </c>
      <c r="F4" s="6" t="inlineStr">
        <is>
          <t>Margin H1-2026</t>
        </is>
      </c>
      <c r="G4" s="6" t="inlineStr">
        <is>
          <t>Margin H1-2025</t>
        </is>
      </c>
    </row>
    <row r="5">
      <c r="A5" s="7" t="inlineStr">
        <is>
          <t>Real estate development</t>
        </is>
      </c>
      <c r="B5" s="15" t="n">
        <v>17546.530343</v>
      </c>
      <c r="C5" s="15" t="n">
        <v>13857.5845</v>
      </c>
      <c r="D5" s="15" t="n">
        <v>12132.982745</v>
      </c>
      <c r="E5" s="15" t="n">
        <v>8530.838610999999</v>
      </c>
      <c r="F5" s="12">
        <f>1-D5/B5</f>
        <v/>
      </c>
      <c r="G5" s="12">
        <f>1-E5/C5</f>
        <v/>
      </c>
    </row>
    <row r="6">
      <c r="A6" s="7" t="inlineStr">
        <is>
          <t>Commercial and service activities</t>
        </is>
      </c>
      <c r="B6" s="15" t="n">
        <v>767.493219</v>
      </c>
      <c r="C6" s="15" t="n">
        <v>286.777627</v>
      </c>
      <c r="D6" s="15" t="n">
        <v>250.320947</v>
      </c>
      <c r="E6" s="15" t="n">
        <v>203.994948</v>
      </c>
      <c r="F6" s="12">
        <f>1-D6/B6</f>
        <v/>
      </c>
      <c r="G6" s="12">
        <f>1-E6/C6</f>
        <v/>
      </c>
    </row>
    <row r="7">
      <c r="A7" s="7" t="inlineStr">
        <is>
          <t>Owners' share, hotels</t>
        </is>
      </c>
      <c r="B7" s="15" t="n">
        <v>128.142748</v>
      </c>
      <c r="C7" s="15" t="n">
        <v>92.024925</v>
      </c>
      <c r="D7" s="15" t="n">
        <v>0</v>
      </c>
      <c r="E7" s="15" t="n">
        <v>0</v>
      </c>
      <c r="F7" s="12">
        <f>1-D7/B7</f>
        <v/>
      </c>
      <c r="G7" s="12">
        <f>1-E7/C7</f>
        <v/>
      </c>
    </row>
    <row r="8">
      <c r="A8" s="7" t="inlineStr">
        <is>
          <t>Palm Hills club</t>
        </is>
      </c>
      <c r="B8" s="15" t="n">
        <v>384.671093</v>
      </c>
      <c r="C8" s="15" t="n">
        <v>307.675656</v>
      </c>
      <c r="D8" s="15" t="n">
        <v>145.385459</v>
      </c>
      <c r="E8" s="15" t="n">
        <v>118.669883</v>
      </c>
      <c r="F8" s="12">
        <f>1-D8/B8</f>
        <v/>
      </c>
      <c r="G8" s="12">
        <f>1-E8/C8</f>
        <v/>
      </c>
    </row>
    <row r="9">
      <c r="A9" s="7" t="inlineStr">
        <is>
          <t>Other activities</t>
        </is>
      </c>
      <c r="B9" s="15" t="n">
        <v>701.280324</v>
      </c>
      <c r="C9" s="15" t="n">
        <v>1035.066457</v>
      </c>
      <c r="D9" s="15" t="n">
        <v>0</v>
      </c>
      <c r="E9" s="15" t="n">
        <v>0</v>
      </c>
      <c r="F9" s="12">
        <f>1-D9/B9</f>
        <v/>
      </c>
      <c r="G9" s="12">
        <f>1-E9/C9</f>
        <v/>
      </c>
    </row>
    <row r="10">
      <c r="A10" s="7" t="inlineStr">
        <is>
          <t>Depreciation of fixed assets, Macor</t>
        </is>
      </c>
      <c r="B10" s="15" t="n">
        <v>0</v>
      </c>
      <c r="C10" s="15" t="n">
        <v>0</v>
      </c>
      <c r="D10" s="15" t="n">
        <v>10.583017</v>
      </c>
      <c r="E10" s="15" t="n">
        <v>6.390921</v>
      </c>
      <c r="F10" s="23" t="inlineStr">
        <is>
          <t>no revenue line</t>
        </is>
      </c>
      <c r="G10" s="23" t="inlineStr">
        <is>
          <t>no revenue line</t>
        </is>
      </c>
    </row>
    <row r="11">
      <c r="A11" s="10" t="inlineStr">
        <is>
          <t>TOTAL</t>
        </is>
      </c>
      <c r="B11" s="16">
        <f>SUM(B5:B10)</f>
        <v/>
      </c>
      <c r="C11" s="16">
        <f>SUM(C5:C10)</f>
        <v/>
      </c>
      <c r="D11" s="16">
        <f>SUM(D5:D10)</f>
        <v/>
      </c>
      <c r="E11" s="16">
        <f>SUM(E5:E10)</f>
        <v/>
      </c>
      <c r="F11" s="24">
        <f>1-D11/B11</f>
        <v/>
      </c>
      <c r="G11" s="24">
        <f>1-E11/C11</f>
        <v/>
      </c>
    </row>
    <row r="13">
      <c r="A13" s="2" t="inlineStr">
        <is>
          <t>THE DEVELOPMENT COST BLOCK, DECOMPOSED</t>
        </is>
      </c>
    </row>
    <row r="14">
      <c r="A14" s="7" t="inlineStr">
        <is>
          <t>Construction cost charged to the income statement</t>
        </is>
      </c>
      <c r="B14" s="15" t="n">
        <v>5626.378677000001</v>
      </c>
      <c r="H14" s="14" t="inlineStr">
        <is>
          <t>note 43: the movement in the cumulative charge</t>
        </is>
      </c>
    </row>
    <row r="15">
      <c r="A15" s="7" t="inlineStr">
        <is>
          <t>Land and partners' share, together</t>
        </is>
      </c>
      <c r="B15" s="15" t="n">
        <v>6506.604067999999</v>
      </c>
      <c r="H15" s="14" t="inlineStr">
        <is>
          <t>the residual — not separable from anything the company publishes</t>
        </is>
      </c>
    </row>
    <row r="16">
      <c r="A16" s="7" t="inlineStr">
        <is>
          <t>Cost of real estate development</t>
        </is>
      </c>
      <c r="B16" s="15" t="n">
        <v>12132.982745</v>
      </c>
      <c r="H16" s="14" t="inlineStr">
        <is>
          <t>note 65</t>
        </is>
      </c>
    </row>
    <row r="17">
      <c r="A17" s="7" t="inlineStr">
        <is>
          <t>Real-estate revenue</t>
        </is>
      </c>
      <c r="B17" s="15" t="n">
        <v>17546.530343</v>
      </c>
      <c r="H17" s="14" t="inlineStr">
        <is>
          <t>note 64</t>
        </is>
      </c>
    </row>
    <row r="18">
      <c r="A18" s="7" t="inlineStr">
        <is>
          <t>Revenue per EGP of build cost (the crux)</t>
        </is>
      </c>
      <c r="B18" s="15" t="n">
        <v>3.118618804441342</v>
      </c>
      <c r="H18" s="14" t="inlineStr">
        <is>
          <t>the ratio the study sensitises</t>
        </is>
      </c>
    </row>
    <row r="19">
      <c r="A19" s="7" t="inlineStr">
        <is>
          <t>Real-estate gross margin — AN OUTPUT</t>
        </is>
      </c>
      <c r="B19" s="19" t="n">
        <v>0.3085252464262644</v>
      </c>
      <c r="H19" s="14" t="inlineStr">
        <is>
          <t>one less the two cost rates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
  <sheetViews>
    <sheetView showGridLines="0" workbookViewId="0">
      <pane ySplit="4" topLeftCell="A5" activePane="bottomLeft" state="frozen"/>
      <selection pane="bottomLeft" activeCell="A1" sqref="A1"/>
    </sheetView>
  </sheetViews>
  <sheetFormatPr baseColWidth="8" defaultRowHeight="15"/>
  <cols>
    <col width="44" customWidth="1" min="1" max="1"/>
    <col width="16" customWidth="1" min="2" max="2"/>
    <col width="16" customWidth="1" min="3" max="3"/>
    <col width="46" customWidth="1" min="4" max="4"/>
  </cols>
  <sheetData>
    <row r="1">
      <c r="A1" s="4" t="inlineStr">
        <is>
          <t>RELATIVE MULTIPLES AND NORMALISED EARNINGS POWER</t>
        </is>
      </c>
    </row>
    <row r="4">
      <c r="A4" s="6" t="inlineStr">
        <is>
          <t>Relative lens</t>
        </is>
      </c>
      <c r="B4" s="6" t="inlineStr">
        <is>
          <t>Multiple</t>
        </is>
      </c>
      <c r="C4" s="6" t="inlineStr">
        <is>
          <t>Value per share, EGP</t>
        </is>
      </c>
      <c r="D4" s="6" t="inlineStr">
        <is>
          <t>Note</t>
        </is>
      </c>
    </row>
    <row r="5">
      <c r="A5" s="7" t="inlineStr">
        <is>
          <t>Median Egyptian peer, price to earnings</t>
        </is>
      </c>
      <c r="B5" s="25" t="n">
        <v>6.8</v>
      </c>
      <c r="C5" s="9" t="n">
        <v>9.683888477837998</v>
      </c>
      <c r="D5" s="14" t="inlineStr">
        <is>
          <t>five listed Egyptian developers</t>
        </is>
      </c>
    </row>
    <row r="6">
      <c r="A6" s="7" t="inlineStr">
        <is>
          <t>Median Gulf peer, price to earnings</t>
        </is>
      </c>
      <c r="B6" s="25" t="n">
        <v>7.1</v>
      </c>
      <c r="C6" s="9" t="n">
        <v>10.11111885186026</v>
      </c>
      <c r="D6" s="14" t="inlineStr">
        <is>
          <t>Emaar Properties and Aldar</t>
        </is>
      </c>
    </row>
    <row r="7">
      <c r="A7" s="7" t="inlineStr">
        <is>
          <t>All peers, price to earnings</t>
        </is>
      </c>
      <c r="B7" s="25" t="n">
        <v>7</v>
      </c>
      <c r="C7" s="9" t="n">
        <v>9.968708727186174</v>
      </c>
      <c r="D7" s="14" t="inlineStr">
        <is>
          <t>inside and outside the country</t>
        </is>
      </c>
    </row>
    <row r="8">
      <c r="A8" s="7" t="inlineStr">
        <is>
          <t>Gulf peer, enterprise value to EBITDA</t>
        </is>
      </c>
      <c r="B8" s="25" t="n">
        <v>5.1</v>
      </c>
      <c r="C8" s="9" t="n">
        <v>12.14506827086456</v>
      </c>
      <c r="D8" s="14" t="inlineStr">
        <is>
          <t>bridged to equity at the company net-debt definition</t>
        </is>
      </c>
    </row>
    <row r="9">
      <c r="A9" s="7" t="inlineStr">
        <is>
          <t>Palm Hills, trailing price to earnings</t>
        </is>
      </c>
      <c r="B9" s="25" t="n">
        <v>10.53998094191058</v>
      </c>
    </row>
    <row r="11">
      <c r="A11" s="6" t="inlineStr">
        <is>
          <t>Normalised earnings power</t>
        </is>
      </c>
      <c r="B11" s="6" t="inlineStr">
        <is>
          <t>Value</t>
        </is>
      </c>
      <c r="C11" s="6" t="inlineStr"/>
      <c r="D11" s="6" t="inlineStr">
        <is>
          <t>Note</t>
        </is>
      </c>
    </row>
    <row r="12">
      <c r="A12" s="7" t="inlineStr">
        <is>
          <t>Revenue base, trailing twelve months, EGP mn</t>
        </is>
      </c>
      <c r="B12" s="15" t="n">
        <v>40144.988562</v>
      </c>
      <c r="D12" s="14" t="inlineStr">
        <is>
          <t>the current scale, not a forecast year</t>
        </is>
      </c>
    </row>
    <row r="13">
      <c r="A13" s="7" t="inlineStr">
        <is>
          <t>Mid-cycle margin</t>
        </is>
      </c>
      <c r="B13" s="19" t="n">
        <v>0.2069743487758463</v>
      </c>
      <c r="D13" s="14" t="inlineStr">
        <is>
          <t>average of 2023, 2024 and the reviewed half of 2026</t>
        </is>
      </c>
    </row>
    <row r="14">
      <c r="A14" s="7" t="inlineStr">
        <is>
          <t>Earnings before interest, tax and depreciation, EGP mn</t>
        </is>
      </c>
      <c r="B14" s="15" t="n">
        <v>8308.982864233747</v>
      </c>
      <c r="D14" s="14" t="inlineStr"/>
    </row>
    <row r="15">
      <c r="A15" s="7" t="inlineStr">
        <is>
          <t>Depreciation and amortisation, EGP mn</t>
        </is>
      </c>
      <c r="B15" s="15" t="n">
        <v>-558.357818</v>
      </c>
      <c r="D15" s="14" t="inlineStr"/>
    </row>
    <row r="16">
      <c r="A16" s="7" t="inlineStr">
        <is>
          <t>Discount unwinding on instalment receivables, EGP mn</t>
        </is>
      </c>
      <c r="B16" s="15" t="n">
        <v>1046.38792</v>
      </c>
      <c r="D16" s="14" t="inlineStr">
        <is>
          <t>real income on the customer financing the balance sheet already carries</t>
        </is>
      </c>
    </row>
    <row r="17">
      <c r="A17" s="7" t="inlineStr">
        <is>
          <t>Return on the treasury-bill book, EGP mn</t>
        </is>
      </c>
      <c r="B17" s="15" t="n">
        <v>911.212134</v>
      </c>
      <c r="D17" s="14" t="inlineStr"/>
    </row>
    <row r="18">
      <c r="A18" s="7" t="inlineStr">
        <is>
          <t>Interest, EGP mn</t>
        </is>
      </c>
      <c r="B18" s="15" t="n">
        <v>-3060.330771538527</v>
      </c>
      <c r="D18" s="14" t="inlineStr">
        <is>
          <t>at the measured all-in rate, net of the capitalised share</t>
        </is>
      </c>
    </row>
    <row r="19">
      <c r="A19" s="7" t="inlineStr">
        <is>
          <t>Profit before tax, EGP mn</t>
        </is>
      </c>
      <c r="B19" s="15" t="n">
        <v>6647.894328695218</v>
      </c>
      <c r="D19" s="14" t="inlineStr"/>
    </row>
    <row r="20">
      <c r="A20" s="7" t="inlineStr">
        <is>
          <t>Profit after tax, EGP mn</t>
        </is>
      </c>
      <c r="B20" s="15" t="n">
        <v>4857.090012304753</v>
      </c>
      <c r="D20" s="14" t="inlineStr"/>
    </row>
    <row r="21">
      <c r="A21" s="7" t="inlineStr">
        <is>
          <t>Earnings per share, EGP</t>
        </is>
      </c>
      <c r="B21" s="9" t="n">
        <v>1.719646422260722</v>
      </c>
      <c r="D21" s="14" t="inlineStr"/>
    </row>
    <row r="22">
      <c r="A22" s="7" t="inlineStr">
        <is>
          <t>Value at the peer range, EGP</t>
        </is>
      </c>
      <c r="B22" s="9" t="n">
        <v>11.69359567137291</v>
      </c>
      <c r="D22" s="14" t="inlineStr">
        <is>
          <t>low end</t>
        </is>
      </c>
    </row>
    <row r="23">
      <c r="A23" s="7" t="inlineStr">
        <is>
          <t>Value at the peer range, EGP</t>
        </is>
      </c>
      <c r="B23" s="9" t="n">
        <v>12.20948959805112</v>
      </c>
      <c r="D23" s="14" t="inlineStr">
        <is>
          <t>high end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9"/>
  <sheetViews>
    <sheetView showGridLines="0" workbookViewId="0">
      <pane ySplit="4" topLeftCell="A5" activePane="bottomLeft" state="frozen"/>
      <selection pane="bottomLeft" activeCell="A1" sqref="A1"/>
    </sheetView>
  </sheetViews>
  <sheetFormatPr baseColWidth="8" defaultRowHeight="15"/>
  <cols>
    <col width="44" customWidth="1" min="1" max="1"/>
    <col width="13" customWidth="1" min="2" max="2"/>
    <col width="13" customWidth="1" min="3" max="3"/>
    <col width="13" customWidth="1" min="4" max="4"/>
    <col width="13" customWidth="1" min="5" max="5"/>
    <col width="13" customWidth="1" min="6" max="6"/>
    <col width="13" customWidth="1" min="7" max="7"/>
    <col width="15" customWidth="1" min="8" max="8"/>
  </cols>
  <sheetData>
    <row r="1">
      <c r="A1" s="4" t="inlineStr">
        <is>
          <t>DISCOUNTED CASH FLOW — FRAMING A</t>
        </is>
      </c>
    </row>
    <row r="2" ht="30" customHeight="1">
      <c r="A2" s="5" t="inlineStr">
        <is>
          <t>The full waterfall to free cash flow to the firm. Column H totals. Interest is excluded because this is a pre-financing measure.</t>
        </is>
      </c>
    </row>
    <row r="4">
      <c r="A4" s="6" t="inlineStr">
        <is>
          <t>EGP mn</t>
        </is>
      </c>
      <c r="B4" s="6" t="inlineStr">
        <is>
          <t>H2-2026E</t>
        </is>
      </c>
      <c r="C4" s="6" t="inlineStr">
        <is>
          <t>FY2027E</t>
        </is>
      </c>
      <c r="D4" s="6" t="inlineStr">
        <is>
          <t>FY2028E</t>
        </is>
      </c>
      <c r="E4" s="6" t="inlineStr">
        <is>
          <t>FY2029E</t>
        </is>
      </c>
      <c r="F4" s="6" t="inlineStr">
        <is>
          <t>FY2030E</t>
        </is>
      </c>
      <c r="G4" s="6" t="inlineStr">
        <is>
          <t>FY2031E</t>
        </is>
      </c>
      <c r="H4" s="6" t="inlineStr">
        <is>
          <t>Total</t>
        </is>
      </c>
    </row>
    <row r="5">
      <c r="A5" s="7" t="inlineStr">
        <is>
          <t>Revenue</t>
        </is>
      </c>
      <c r="B5" s="15" t="n">
        <v>21414.43183498447</v>
      </c>
      <c r="C5" s="15" t="n">
        <v>47321.53374975041</v>
      </c>
      <c r="D5" s="15" t="n">
        <v>55706.90953020618</v>
      </c>
      <c r="E5" s="15" t="n">
        <v>63478.02340966994</v>
      </c>
      <c r="F5" s="15" t="n">
        <v>70638.34445028073</v>
      </c>
      <c r="G5" s="15" t="n">
        <v>77486.73194473544</v>
      </c>
      <c r="H5" s="26">
        <f>SUM(B5:G5)</f>
        <v/>
      </c>
    </row>
    <row r="6">
      <c r="A6" s="7" t="inlineStr">
        <is>
          <t>Earnings before interest, tax and depreciation</t>
        </is>
      </c>
      <c r="B6" s="15" t="n">
        <v>5008.300052276063</v>
      </c>
      <c r="C6" s="15" t="n">
        <v>10927.2065275271</v>
      </c>
      <c r="D6" s="15" t="n">
        <v>12756.53324191566</v>
      </c>
      <c r="E6" s="15" t="n">
        <v>14420.39346220497</v>
      </c>
      <c r="F6" s="15" t="n">
        <v>15931.56108482185</v>
      </c>
      <c r="G6" s="15" t="n">
        <v>17388.979307659</v>
      </c>
      <c r="H6" s="26">
        <f>SUM(B6:G6)</f>
        <v/>
      </c>
    </row>
    <row r="7">
      <c r="A7" s="7" t="inlineStr">
        <is>
          <t xml:space="preserve">  margin</t>
        </is>
      </c>
      <c r="B7" s="12" t="n">
        <v>0.2338749909812723</v>
      </c>
      <c r="C7" s="12" t="n">
        <v>0.230914039796623</v>
      </c>
      <c r="D7" s="12" t="n">
        <v>0.2289937343409552</v>
      </c>
      <c r="E7" s="12" t="n">
        <v>0.2271714317432296</v>
      </c>
      <c r="F7" s="12" t="n">
        <v>0.2255370112196696</v>
      </c>
      <c r="G7" s="12" t="n">
        <v>0.2244123461041182</v>
      </c>
    </row>
    <row r="8">
      <c r="A8" s="7" t="inlineStr">
        <is>
          <t>Depreciation and amortisation</t>
        </is>
      </c>
      <c r="B8" s="15" t="n">
        <v>-306.1461324703039</v>
      </c>
      <c r="C8" s="15" t="n">
        <v>-676.5206124395665</v>
      </c>
      <c r="D8" s="15" t="n">
        <v>-796.4000649638577</v>
      </c>
      <c r="E8" s="15" t="n">
        <v>-907.4978740263158</v>
      </c>
      <c r="F8" s="15" t="n">
        <v>-1009.863634216484</v>
      </c>
      <c r="G8" s="15" t="n">
        <v>-1107.769913553773</v>
      </c>
      <c r="H8" s="26">
        <f>SUM(B8:G8)</f>
        <v/>
      </c>
    </row>
    <row r="9">
      <c r="A9" s="7" t="inlineStr">
        <is>
          <t>Operating profit</t>
        </is>
      </c>
      <c r="B9" s="15" t="n">
        <v>5775.500913678706</v>
      </c>
      <c r="C9" s="15" t="n">
        <v>12622.56420665971</v>
      </c>
      <c r="D9" s="15" t="n">
        <v>14752.30830179057</v>
      </c>
      <c r="E9" s="15" t="n">
        <v>16694.57914293243</v>
      </c>
      <c r="F9" s="15" t="n">
        <v>18462.27491033537</v>
      </c>
      <c r="G9" s="15" t="n">
        <v>20165.04583855605</v>
      </c>
      <c r="H9" s="26">
        <f>SUM(B9:G9)</f>
        <v/>
      </c>
    </row>
    <row r="10">
      <c r="A10" s="7" t="inlineStr">
        <is>
          <t>Tax at the measured effective rate</t>
        </is>
      </c>
      <c r="B10" s="15" t="n">
        <v>-1555.799694482039</v>
      </c>
      <c r="C10" s="15" t="n">
        <v>-3400.255982955523</v>
      </c>
      <c r="D10" s="15" t="n">
        <v>-3973.964698797281</v>
      </c>
      <c r="E10" s="15" t="n">
        <v>-4497.172023393676</v>
      </c>
      <c r="F10" s="15" t="n">
        <v>-4973.352457951163</v>
      </c>
      <c r="G10" s="15" t="n">
        <v>-5432.04349263256</v>
      </c>
      <c r="H10" s="26">
        <f>SUM(B10:G10)</f>
        <v/>
      </c>
    </row>
    <row r="11">
      <c r="A11" s="7" t="inlineStr">
        <is>
          <t>Operating profit after tax</t>
        </is>
      </c>
      <c r="B11" s="15" t="n">
        <v>4219.701219196667</v>
      </c>
      <c r="C11" s="15" t="n">
        <v>9222.308223704191</v>
      </c>
      <c r="D11" s="15" t="n">
        <v>10778.34360299329</v>
      </c>
      <c r="E11" s="15" t="n">
        <v>12197.40711953875</v>
      </c>
      <c r="F11" s="15" t="n">
        <v>13488.9224523842</v>
      </c>
      <c r="G11" s="15" t="n">
        <v>14733.00234592349</v>
      </c>
      <c r="H11" s="26">
        <f>SUM(B11:G11)</f>
        <v/>
      </c>
    </row>
    <row r="12">
      <c r="A12" s="7" t="inlineStr">
        <is>
          <t>Add back depreciation and amortisation</t>
        </is>
      </c>
      <c r="B12" s="15" t="n">
        <v>306.1461324703039</v>
      </c>
      <c r="C12" s="15" t="n">
        <v>676.5206124395665</v>
      </c>
      <c r="D12" s="15" t="n">
        <v>796.4000649638577</v>
      </c>
      <c r="E12" s="15" t="n">
        <v>907.4978740263158</v>
      </c>
      <c r="F12" s="15" t="n">
        <v>1009.863634216484</v>
      </c>
      <c r="G12" s="15" t="n">
        <v>1107.769913553773</v>
      </c>
      <c r="H12" s="26">
        <f>SUM(B12:G12)</f>
        <v/>
      </c>
    </row>
    <row r="13">
      <c r="A13" s="7" t="inlineStr">
        <is>
          <t>Capital expenditure</t>
        </is>
      </c>
      <c r="B13" s="15" t="n">
        <v>-364.4770833225078</v>
      </c>
      <c r="C13" s="15" t="n">
        <v>-805.4201359327894</v>
      </c>
      <c r="D13" s="15" t="n">
        <v>-948.1405840200798</v>
      </c>
      <c r="E13" s="15" t="n">
        <v>-1080.406195490881</v>
      </c>
      <c r="F13" s="15" t="n">
        <v>-1202.276014342252</v>
      </c>
      <c r="G13" s="15" t="n">
        <v>-1318.836673932734</v>
      </c>
      <c r="H13" s="26">
        <f>SUM(B13:G13)</f>
        <v/>
      </c>
    </row>
    <row r="14">
      <c r="A14" s="7" t="inlineStr">
        <is>
          <t>Change in working capital</t>
        </is>
      </c>
      <c r="B14" s="15" t="n">
        <v>-6323.889162528882</v>
      </c>
      <c r="C14" s="15" t="n">
        <v>-7276.83079253092</v>
      </c>
      <c r="D14" s="15" t="n">
        <v>-13711.66157449964</v>
      </c>
      <c r="E14" s="15" t="n">
        <v>-12711.18546826593</v>
      </c>
      <c r="F14" s="15" t="n">
        <v>-11690.91437738293</v>
      </c>
      <c r="G14" s="15" t="n">
        <v>-11097.05936378177</v>
      </c>
      <c r="H14" s="26">
        <f>SUM(B14:G14)</f>
        <v/>
      </c>
    </row>
    <row r="15">
      <c r="A15" s="7" t="inlineStr">
        <is>
          <t>Residents' Association float</t>
        </is>
      </c>
      <c r="B15" s="15" t="n">
        <v>4179.256396928868</v>
      </c>
      <c r="C15" s="15" t="n">
        <v>4993.239120396589</v>
      </c>
      <c r="D15" s="15" t="n">
        <v>8831.720393177136</v>
      </c>
      <c r="E15" s="15" t="n">
        <v>8579.909757147194</v>
      </c>
      <c r="F15" s="15" t="n">
        <v>8294.390165721314</v>
      </c>
      <c r="G15" s="15" t="n">
        <v>8270.83127536434</v>
      </c>
      <c r="H15" s="26">
        <f>SUM(B15:G15)</f>
        <v/>
      </c>
    </row>
    <row r="16">
      <c r="A16" s="10" t="inlineStr">
        <is>
          <t>FREE CASH FLOW TO THE FIRM</t>
        </is>
      </c>
      <c r="B16" s="16" t="n">
        <v>2016.73750274445</v>
      </c>
      <c r="C16" s="16" t="n">
        <v>6809.817028076637</v>
      </c>
      <c r="D16" s="16" t="n">
        <v>5746.661902614564</v>
      </c>
      <c r="E16" s="16" t="n">
        <v>7893.223086955448</v>
      </c>
      <c r="F16" s="16" t="n">
        <v>9899.985860596822</v>
      </c>
      <c r="G16" s="16" t="n">
        <v>11695.70749712711</v>
      </c>
      <c r="H16" s="27">
        <f>SUM(B16:G16)</f>
        <v/>
      </c>
    </row>
    <row r="17">
      <c r="A17" s="7" t="inlineStr">
        <is>
          <t>Discount factor</t>
        </is>
      </c>
      <c r="B17" s="28" t="n">
        <v>0.9440674925839239</v>
      </c>
      <c r="C17" s="28" t="n">
        <v>0.808603055356909</v>
      </c>
      <c r="D17" s="28" t="n">
        <v>0.6779486998808611</v>
      </c>
      <c r="E17" s="28" t="n">
        <v>0.5899556142647324</v>
      </c>
      <c r="F17" s="28" t="n">
        <v>0.5334081704799706</v>
      </c>
      <c r="G17" s="28" t="n">
        <v>0.5016466670581897</v>
      </c>
    </row>
    <row r="18">
      <c r="A18" s="7" t="inlineStr">
        <is>
          <t>Present value</t>
        </is>
      </c>
      <c r="B18" s="26">
        <f>B16*B17</f>
        <v/>
      </c>
      <c r="C18" s="26">
        <f>C16*C17</f>
        <v/>
      </c>
      <c r="D18" s="26">
        <f>D16*D17</f>
        <v/>
      </c>
      <c r="E18" s="26">
        <f>E16*E17</f>
        <v/>
      </c>
      <c r="F18" s="26">
        <f>F16*F17</f>
        <v/>
      </c>
      <c r="G18" s="26">
        <f>G16*G17</f>
        <v/>
      </c>
      <c r="H18" s="16">
        <f>SUM(B18:G18)</f>
        <v/>
      </c>
    </row>
    <row r="20">
      <c r="A20" s="2" t="inlineStr">
        <is>
          <t>TERMINAL VALUE</t>
        </is>
      </c>
    </row>
    <row r="21">
      <c r="A21" s="7" t="inlineStr">
        <is>
          <t>Return on invested capital, from the model's own year-five capital</t>
        </is>
      </c>
      <c r="B21" s="13" t="n">
        <v>0.1126142719809829</v>
      </c>
    </row>
    <row r="22">
      <c r="A22" s="7" t="inlineStr">
        <is>
          <t>Terminal growth</t>
        </is>
      </c>
      <c r="B22" s="19" t="n">
        <v>0.08</v>
      </c>
    </row>
    <row r="23">
      <c r="A23" s="7" t="inlineStr">
        <is>
          <t>Implied reinvestment rate</t>
        </is>
      </c>
      <c r="B23" s="19" t="n">
        <v>0.7103895322744663</v>
      </c>
    </row>
    <row r="24">
      <c r="A24" s="7" t="inlineStr">
        <is>
          <t>Terminal free cash flow, EGP mn</t>
        </is>
      </c>
      <c r="B24" s="15" t="n">
        <v>11303.03187646177</v>
      </c>
    </row>
    <row r="25">
      <c r="A25" s="7" t="inlineStr">
        <is>
          <t>Terminal cost of capital</t>
        </is>
      </c>
      <c r="B25" s="13" t="n">
        <v>0.1479432369601155</v>
      </c>
    </row>
    <row r="26">
      <c r="A26" s="7" t="inlineStr">
        <is>
          <t>Terminal value, EGP mn</t>
        </is>
      </c>
      <c r="B26" s="15" t="n">
        <v>166359.9260526395</v>
      </c>
    </row>
    <row r="27">
      <c r="A27" s="7" t="inlineStr">
        <is>
          <t>Terminal discount factor</t>
        </is>
      </c>
      <c r="B27" s="28" t="n">
        <v>0.4682068079467426</v>
      </c>
    </row>
    <row r="28">
      <c r="A28" s="10" t="inlineStr">
        <is>
          <t>Present value of the terminal value, EGP mn</t>
        </is>
      </c>
      <c r="H28" s="16">
        <f>B26*B27</f>
        <v/>
      </c>
    </row>
    <row r="29">
      <c r="A29" s="10" t="inlineStr">
        <is>
          <t>ENTERPRISE VALUE, EGP mn</t>
        </is>
      </c>
      <c r="H29" s="16">
        <f>H18+H28</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5"/>
  <sheetViews>
    <sheetView showGridLines="0" workbookViewId="0">
      <pane ySplit="4" topLeftCell="A5" activePane="bottomLeft" state="frozen"/>
      <selection pane="bottomLeft"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4" t="inlineStr">
        <is>
          <t>CONSOLIDATED INCOME STATEMENT — HISTORY AND FORECAST</t>
        </is>
      </c>
    </row>
    <row r="2" ht="30" customHeight="1">
      <c r="A2" s="5" t="inlineStr">
        <is>
          <t>History from the company's own statements. Forecast columns are the model, stated before financing. Blanks are figures no obtained official document carries.</t>
        </is>
      </c>
    </row>
    <row r="4">
      <c r="A4" s="6" t="inlineStr">
        <is>
          <t>EGP mn</t>
        </is>
      </c>
      <c r="B4" s="6" t="inlineStr">
        <is>
          <t>FY2023</t>
        </is>
      </c>
      <c r="C4" s="6" t="inlineStr">
        <is>
          <t>FY2024</t>
        </is>
      </c>
      <c r="D4" s="6" t="inlineStr">
        <is>
          <t>FY2025</t>
        </is>
      </c>
      <c r="E4" s="6" t="inlineStr">
        <is>
          <t>H1-2025</t>
        </is>
      </c>
      <c r="F4" s="6" t="inlineStr">
        <is>
          <t>H1-2026</t>
        </is>
      </c>
      <c r="G4" s="6" t="inlineStr">
        <is>
          <t>FY2027E</t>
        </is>
      </c>
      <c r="H4" s="6" t="inlineStr">
        <is>
          <t>FY2028E</t>
        </is>
      </c>
      <c r="I4" s="6" t="inlineStr">
        <is>
          <t>FY2029E</t>
        </is>
      </c>
      <c r="J4" s="6" t="inlineStr">
        <is>
          <t>FY2030E</t>
        </is>
      </c>
      <c r="K4" s="6" t="inlineStr">
        <is>
          <t>FY2031E</t>
        </is>
      </c>
    </row>
    <row r="5">
      <c r="A5" s="7" t="inlineStr">
        <is>
          <t>Revenue</t>
        </is>
      </c>
      <c r="B5" s="15" t="n">
        <v>17462.108314</v>
      </c>
      <c r="C5" s="15" t="n">
        <v>27167.304497</v>
      </c>
      <c r="D5" s="15" t="n">
        <v>36196</v>
      </c>
      <c r="E5" s="15" t="n">
        <v>15579.129165</v>
      </c>
      <c r="F5" s="15" t="n">
        <v>19528.117727</v>
      </c>
      <c r="G5" s="17" t="n">
        <v>47321.53374975041</v>
      </c>
      <c r="H5" s="17" t="n">
        <v>55706.90953020618</v>
      </c>
      <c r="I5" s="17" t="n">
        <v>63478.02340966994</v>
      </c>
      <c r="J5" s="17" t="n">
        <v>70638.34445028073</v>
      </c>
      <c r="K5" s="17" t="n">
        <v>77486.73194473544</v>
      </c>
    </row>
    <row r="6">
      <c r="A6" s="7" t="inlineStr">
        <is>
          <t>Cost of revenues</t>
        </is>
      </c>
      <c r="B6" s="15" t="n">
        <v>-11907.22449</v>
      </c>
      <c r="C6" s="15" t="n">
        <v>-17739.913618</v>
      </c>
      <c r="E6" s="15" t="n">
        <v>-8859.894362999999</v>
      </c>
      <c r="F6" s="15" t="n">
        <v>-12539.272168</v>
      </c>
      <c r="G6" s="17" t="n">
        <v>-30920.0026004154</v>
      </c>
      <c r="H6" s="17" t="n">
        <v>-36578.7434654071</v>
      </c>
      <c r="I6" s="17" t="n">
        <v>-41824.64436557859</v>
      </c>
      <c r="J6" s="17" t="n">
        <v>-46650.03660767162</v>
      </c>
      <c r="K6" s="17" t="n">
        <v>-51232.04357321953</v>
      </c>
    </row>
    <row r="7">
      <c r="A7" s="7" t="inlineStr">
        <is>
          <t>Gross profit</t>
        </is>
      </c>
      <c r="B7" s="15" t="n">
        <v>5507.635295</v>
      </c>
      <c r="C7" s="15" t="n">
        <v>9330.096385999999</v>
      </c>
      <c r="E7" s="15" t="n">
        <v>6664.688497</v>
      </c>
      <c r="F7" s="15" t="n">
        <v>6926.022076</v>
      </c>
      <c r="G7" s="17" t="n">
        <v>16401.53114933501</v>
      </c>
      <c r="H7" s="17" t="n">
        <v>19128.16606479909</v>
      </c>
      <c r="I7" s="17" t="n">
        <v>21653.37904409135</v>
      </c>
      <c r="J7" s="17" t="n">
        <v>23988.3078426091</v>
      </c>
      <c r="K7" s="17" t="n">
        <v>26254.68837151591</v>
      </c>
    </row>
    <row r="8">
      <c r="A8" s="7" t="inlineStr">
        <is>
          <t xml:space="preserve">  gross margin</t>
        </is>
      </c>
      <c r="B8" s="19" t="n">
        <v>0.315404944005778</v>
      </c>
      <c r="C8" s="19" t="n">
        <v>0.3434310675551302</v>
      </c>
      <c r="E8" s="19" t="n">
        <v>0.4277959587094803</v>
      </c>
      <c r="F8" s="19" t="n">
        <v>0.3546692094355787</v>
      </c>
      <c r="G8" s="29" t="n">
        <v>0.3465976237387174</v>
      </c>
      <c r="H8" s="29" t="n">
        <v>0.3433715175749813</v>
      </c>
      <c r="I8" s="29" t="n">
        <v>0.3411161514016641</v>
      </c>
      <c r="J8" s="29" t="n">
        <v>0.3395932907161129</v>
      </c>
      <c r="K8" s="29" t="n">
        <v>0.3388281801617481</v>
      </c>
    </row>
    <row r="9">
      <c r="A9" s="7" t="inlineStr">
        <is>
          <t>Administrative, selling and marketing</t>
        </is>
      </c>
      <c r="B9" s="15" t="n">
        <v>-2060.4617</v>
      </c>
      <c r="C9" s="15" t="n">
        <v>-3435.754971</v>
      </c>
      <c r="E9" s="15" t="n">
        <v>-2206.171375</v>
      </c>
      <c r="F9" s="15" t="n">
        <v>-2845.851571</v>
      </c>
      <c r="G9" s="17" t="n">
        <v>-6823.054246615886</v>
      </c>
      <c r="H9" s="17" t="n">
        <v>-7977.442263722144</v>
      </c>
      <c r="I9" s="17" t="n">
        <v>-9077.197333817912</v>
      </c>
      <c r="J9" s="17" t="n">
        <v>-10119.7946753703</v>
      </c>
      <c r="K9" s="17" t="n">
        <v>-11134.75643732135</v>
      </c>
    </row>
    <row r="10">
      <c r="A10" s="7" t="inlineStr">
        <is>
          <t>Earnings before interest, tax and depreciation</t>
        </is>
      </c>
      <c r="B10" s="15" t="n">
        <v>3433.069541</v>
      </c>
      <c r="C10" s="15" t="n">
        <v>5870.862794999999</v>
      </c>
      <c r="D10" s="15" t="n">
        <v>8552</v>
      </c>
      <c r="E10" s="15" t="n">
        <v>4444.438043</v>
      </c>
      <c r="F10" s="15" t="n">
        <v>4066.176901</v>
      </c>
      <c r="G10" s="17" t="n">
        <v>10927.2065275271</v>
      </c>
      <c r="H10" s="17" t="n">
        <v>12756.53324191566</v>
      </c>
      <c r="I10" s="17" t="n">
        <v>14420.39346220497</v>
      </c>
      <c r="J10" s="17" t="n">
        <v>15931.56108482185</v>
      </c>
      <c r="K10" s="17" t="n">
        <v>17388.979307659</v>
      </c>
    </row>
    <row r="11">
      <c r="A11" s="7" t="inlineStr">
        <is>
          <t xml:space="preserve">  margin</t>
        </is>
      </c>
      <c r="B11" s="19" t="n">
        <v>0.1966010907312712</v>
      </c>
      <c r="C11" s="19" t="n">
        <v>0.2161003052639359</v>
      </c>
      <c r="D11" s="19" t="n">
        <v>0.2362692010166869</v>
      </c>
      <c r="E11" s="19" t="n">
        <v>0.2852815453244238</v>
      </c>
      <c r="F11" s="19" t="n">
        <v>0.2082216503323316</v>
      </c>
      <c r="G11" s="29" t="n">
        <v>0.230914039796623</v>
      </c>
      <c r="H11" s="29" t="n">
        <v>0.2289937343409552</v>
      </c>
      <c r="I11" s="29" t="n">
        <v>0.2271714317432296</v>
      </c>
      <c r="J11" s="29" t="n">
        <v>0.2255370112196696</v>
      </c>
      <c r="K11" s="29" t="n">
        <v>0.2244123461041182</v>
      </c>
    </row>
    <row r="12">
      <c r="A12" s="7" t="inlineStr">
        <is>
          <t>Depreciation and amortisation</t>
        </is>
      </c>
      <c r="G12" s="17" t="n">
        <v>-676.5206124395665</v>
      </c>
      <c r="H12" s="17" t="n">
        <v>-796.4000649638577</v>
      </c>
      <c r="I12" s="17" t="n">
        <v>-907.4978740263158</v>
      </c>
      <c r="J12" s="17" t="n">
        <v>-1009.863634216484</v>
      </c>
      <c r="K12" s="17" t="n">
        <v>-1107.769913553773</v>
      </c>
    </row>
    <row r="13">
      <c r="A13" s="7" t="inlineStr">
        <is>
          <t>Finance costs and interest</t>
        </is>
      </c>
      <c r="B13" s="15" t="n">
        <v>-1503.563734</v>
      </c>
      <c r="C13" s="15" t="n">
        <v>-2311.395503</v>
      </c>
      <c r="E13" s="15" t="n">
        <v>-1337.781283</v>
      </c>
      <c r="F13" s="15" t="n">
        <v>-1676.543172</v>
      </c>
    </row>
    <row r="14">
      <c r="A14" s="7" t="inlineStr">
        <is>
          <t>Profit before tax</t>
        </is>
      </c>
      <c r="B14" s="15" t="n">
        <v>2300.703847</v>
      </c>
      <c r="C14" s="15" t="n">
        <v>4320.598449</v>
      </c>
      <c r="E14" s="15" t="n">
        <v>3587.60631</v>
      </c>
      <c r="F14" s="15" t="n">
        <v>3137.778462</v>
      </c>
    </row>
    <row r="15">
      <c r="A15" s="7" t="inlineStr">
        <is>
          <t>Attributable profit</t>
        </is>
      </c>
      <c r="B15" s="15" t="n">
        <v>1581.511689</v>
      </c>
      <c r="C15" s="15" t="n">
        <v>3254.945443</v>
      </c>
      <c r="D15" s="15" t="n">
        <v>4216.657655</v>
      </c>
      <c r="E15" s="15" t="n">
        <v>2443.380942</v>
      </c>
      <c r="F15" s="15" t="n">
        <v>2264.822717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2"/>
  <sheetViews>
    <sheetView showGridLines="0" workbookViewId="0">
      <pane ySplit="4" topLeftCell="A5" activePane="bottomLeft" state="frozen"/>
      <selection pane="bottomLeft" activeCell="A1" sqref="A1"/>
    </sheetView>
  </sheetViews>
  <sheetFormatPr baseColWidth="8" defaultRowHeight="15"/>
  <cols>
    <col width="46" customWidth="1" min="1" max="1"/>
    <col width="17" customWidth="1" min="2" max="2"/>
    <col width="17" customWidth="1" min="3" max="3"/>
    <col width="40" customWidth="1" min="4" max="4"/>
  </cols>
  <sheetData>
    <row r="1">
      <c r="A1" s="4" t="inlineStr">
        <is>
          <t>CONSOLIDATED BALANCE SHEET</t>
        </is>
      </c>
    </row>
    <row r="2" ht="30" customHeight="1">
      <c r="A2" s="5" t="inlineStr">
        <is>
          <t>Read from the face of the reviewed statements. The identity holds in both columns, which the model asserts before it will emit a number.</t>
        </is>
      </c>
    </row>
    <row r="4">
      <c r="A4" s="6" t="inlineStr">
        <is>
          <t>EGP mn</t>
        </is>
      </c>
      <c r="B4" s="6" t="inlineStr">
        <is>
          <t>30 Jun 2026</t>
        </is>
      </c>
      <c r="C4" s="6" t="inlineStr">
        <is>
          <t>31 Dec 2025</t>
        </is>
      </c>
      <c r="D4" s="6" t="inlineStr">
        <is>
          <t>Note</t>
        </is>
      </c>
    </row>
    <row r="5">
      <c r="A5" s="7" t="inlineStr">
        <is>
          <t>Investments in associates</t>
        </is>
      </c>
      <c r="B5" s="15" t="n">
        <v>3898.477847</v>
      </c>
      <c r="C5" s="15" t="n">
        <v>3611.619739</v>
      </c>
      <c r="D5" s="23" t="inlineStr"/>
    </row>
    <row r="6">
      <c r="A6" s="7" t="inlineStr">
        <is>
          <t>Investment property</t>
        </is>
      </c>
      <c r="B6" s="15" t="n">
        <v>1008.419552</v>
      </c>
      <c r="C6" s="15" t="n">
        <v>1032.530185</v>
      </c>
      <c r="D6" s="23" t="inlineStr"/>
    </row>
    <row r="7">
      <c r="A7" s="7" t="inlineStr">
        <is>
          <t>Fixed assets, net</t>
        </is>
      </c>
      <c r="B7" s="15" t="n">
        <v>5637.373917</v>
      </c>
      <c r="C7" s="15" t="n">
        <v>4521.970936</v>
      </c>
      <c r="D7" s="23" t="inlineStr"/>
    </row>
    <row r="8">
      <c r="A8" s="7" t="inlineStr">
        <is>
          <t>Notes receivable, long term</t>
        </is>
      </c>
      <c r="B8" s="15" t="n">
        <v>55707.502096</v>
      </c>
      <c r="C8" s="15" t="n">
        <v>54801.316199</v>
      </c>
      <c r="D8" s="23" t="inlineStr">
        <is>
          <t>note 41</t>
        </is>
      </c>
    </row>
    <row r="9">
      <c r="A9" s="7" t="inlineStr">
        <is>
          <t>Notes receivable, long term, undelivered units</t>
        </is>
      </c>
      <c r="B9" s="15" t="n">
        <v>1033.560158</v>
      </c>
      <c r="C9" s="15" t="n">
        <v>1518.490219</v>
      </c>
      <c r="D9" s="23" t="inlineStr">
        <is>
          <t>note 42</t>
        </is>
      </c>
    </row>
    <row r="10">
      <c r="A10" s="10" t="inlineStr">
        <is>
          <t>TOTAL NON-CURRENT ASSETS</t>
        </is>
      </c>
      <c r="B10" s="21" t="n">
        <v>67800.794295</v>
      </c>
      <c r="C10" s="21" t="n">
        <v>65900.16327400001</v>
      </c>
      <c r="D10" s="23" t="inlineStr"/>
    </row>
    <row r="11">
      <c r="A11" s="7" t="inlineStr">
        <is>
          <t>Work in progress</t>
        </is>
      </c>
      <c r="B11" s="15" t="n">
        <v>23915.93058</v>
      </c>
      <c r="C11" s="15" t="n">
        <v>17570.90888</v>
      </c>
      <c r="D11" s="23" t="inlineStr">
        <is>
          <t>note 43</t>
        </is>
      </c>
    </row>
    <row r="12">
      <c r="A12" s="7" t="inlineStr">
        <is>
          <t>Accounts receivable</t>
        </is>
      </c>
      <c r="B12" s="15" t="n">
        <v>35055.008362</v>
      </c>
      <c r="C12" s="15" t="n">
        <v>28118.116247</v>
      </c>
      <c r="D12" s="23" t="inlineStr">
        <is>
          <t>note 44</t>
        </is>
      </c>
    </row>
    <row r="13">
      <c r="A13" s="7" t="inlineStr">
        <is>
          <t>Debtors and other debit balances</t>
        </is>
      </c>
      <c r="B13" s="15" t="n">
        <v>14932.335834</v>
      </c>
      <c r="C13" s="15" t="n">
        <v>12921.978854</v>
      </c>
      <c r="D13" s="23" t="inlineStr">
        <is>
          <t>note 45</t>
        </is>
      </c>
    </row>
    <row r="14">
      <c r="A14" s="7" t="inlineStr">
        <is>
          <t>Suppliers — advance payments</t>
        </is>
      </c>
      <c r="B14" s="15" t="n">
        <v>10490.853035</v>
      </c>
      <c r="C14" s="15" t="n">
        <v>9056.244671</v>
      </c>
      <c r="D14" s="23" t="inlineStr"/>
    </row>
    <row r="15">
      <c r="A15" s="7" t="inlineStr">
        <is>
          <t>Treasury bills and bonds at amortised cost</t>
        </is>
      </c>
      <c r="B15" s="15" t="n">
        <v>13016.407445</v>
      </c>
      <c r="C15" s="15" t="n">
        <v>9581.528351000001</v>
      </c>
      <c r="D15" s="23" t="inlineStr">
        <is>
          <t>note 47</t>
        </is>
      </c>
    </row>
    <row r="16">
      <c r="A16" s="7" t="inlineStr">
        <is>
          <t>Notes receivable, short term</t>
        </is>
      </c>
      <c r="B16" s="15" t="n">
        <v>20530.518157</v>
      </c>
      <c r="C16" s="15" t="n">
        <v>18137.718924</v>
      </c>
      <c r="D16" s="23" t="inlineStr">
        <is>
          <t>note 41</t>
        </is>
      </c>
    </row>
    <row r="17">
      <c r="A17" s="7" t="inlineStr">
        <is>
          <t>Cash and cash equivalents</t>
        </is>
      </c>
      <c r="B17" s="15" t="n">
        <v>7804.246906</v>
      </c>
      <c r="C17" s="15" t="n">
        <v>9419.526158999999</v>
      </c>
      <c r="D17" s="23" t="inlineStr">
        <is>
          <t>note 48</t>
        </is>
      </c>
    </row>
    <row r="18">
      <c r="A18" s="10" t="inlineStr">
        <is>
          <t>TOTAL ASSETS</t>
        </is>
      </c>
      <c r="B18" s="21" t="n">
        <v>194767.286727</v>
      </c>
      <c r="C18" s="21" t="n">
        <v>172129.812858</v>
      </c>
      <c r="D18" s="23" t="inlineStr"/>
    </row>
    <row r="19">
      <c r="A19" s="7" t="inlineStr">
        <is>
          <t>Controlling equity</t>
        </is>
      </c>
      <c r="B19" s="15" t="n">
        <v>18910.859404</v>
      </c>
      <c r="C19" s="15" t="n">
        <v>17431.419763</v>
      </c>
      <c r="D19" s="23" t="inlineStr"/>
    </row>
    <row r="20">
      <c r="A20" s="7" t="inlineStr">
        <is>
          <t>Non-controlling interests</t>
        </is>
      </c>
      <c r="B20" s="15" t="n">
        <v>1723.04881</v>
      </c>
      <c r="C20" s="15" t="n">
        <v>1334.33214</v>
      </c>
      <c r="D20" s="23" t="inlineStr"/>
    </row>
    <row r="21">
      <c r="A21" s="7" t="inlineStr">
        <is>
          <t>Loans, long term</t>
        </is>
      </c>
      <c r="B21" s="15" t="n">
        <v>10236.280237</v>
      </c>
      <c r="C21" s="15" t="n">
        <v>10543.120329</v>
      </c>
      <c r="D21" s="23" t="inlineStr">
        <is>
          <t>note 51</t>
        </is>
      </c>
    </row>
    <row r="22">
      <c r="A22" s="7" t="inlineStr">
        <is>
          <t>Notes payable, long term</t>
        </is>
      </c>
      <c r="B22" s="15" t="n">
        <v>4016.714644</v>
      </c>
      <c r="C22" s="15" t="n">
        <v>4505.024909</v>
      </c>
      <c r="D22" s="23" t="inlineStr">
        <is>
          <t>note 52</t>
        </is>
      </c>
    </row>
    <row r="23">
      <c r="A23" s="7" t="inlineStr">
        <is>
          <t>Residents' Association</t>
        </is>
      </c>
      <c r="B23" s="15" t="n">
        <v>34337.384836</v>
      </c>
      <c r="C23" s="15" t="n">
        <v>29122.769947</v>
      </c>
      <c r="D23" s="23" t="inlineStr">
        <is>
          <t>note 63 — the contested judgement</t>
        </is>
      </c>
    </row>
    <row r="24">
      <c r="A24" s="7" t="inlineStr">
        <is>
          <t>Joint arrangement, partners' share, long term</t>
        </is>
      </c>
      <c r="B24" s="15" t="n">
        <v>3530.990688</v>
      </c>
      <c r="C24" s="15" t="n">
        <v>3991.865312</v>
      </c>
      <c r="D24" s="23" t="inlineStr">
        <is>
          <t>note 58</t>
        </is>
      </c>
    </row>
    <row r="25">
      <c r="A25" s="7" t="inlineStr">
        <is>
          <t>Banks — credit balances</t>
        </is>
      </c>
      <c r="B25" s="15" t="n">
        <v>1529.842495</v>
      </c>
      <c r="C25" s="15" t="n">
        <v>938.770898</v>
      </c>
      <c r="D25" s="23" t="inlineStr">
        <is>
          <t>note 49</t>
        </is>
      </c>
    </row>
    <row r="26">
      <c r="A26" s="7" t="inlineStr">
        <is>
          <t>Credit facilities</t>
        </is>
      </c>
      <c r="B26" s="15" t="n">
        <v>13922.422891</v>
      </c>
      <c r="C26" s="15" t="n">
        <v>11337.531976</v>
      </c>
      <c r="D26" s="23" t="inlineStr">
        <is>
          <t>note 50</t>
        </is>
      </c>
    </row>
    <row r="27">
      <c r="A27" s="7" t="inlineStr">
        <is>
          <t>Notes payable, short term</t>
        </is>
      </c>
      <c r="B27" s="15" t="n">
        <v>4778.461505</v>
      </c>
      <c r="C27" s="15" t="n">
        <v>4875.673642</v>
      </c>
      <c r="D27" s="23" t="inlineStr">
        <is>
          <t>note 52</t>
        </is>
      </c>
    </row>
    <row r="28">
      <c r="A28" s="7" t="inlineStr">
        <is>
          <t>Advances from customers</t>
        </is>
      </c>
      <c r="B28" s="15" t="n">
        <v>83483.29121700001</v>
      </c>
      <c r="C28" s="15" t="n">
        <v>69354.08407500001</v>
      </c>
      <c r="D28" s="23" t="inlineStr">
        <is>
          <t>note 53</t>
        </is>
      </c>
    </row>
    <row r="29">
      <c r="A29" s="7" t="inlineStr">
        <is>
          <t>Creditors and other credit balances</t>
        </is>
      </c>
      <c r="B29" s="15" t="n">
        <v>6608.427292</v>
      </c>
      <c r="C29" s="15" t="n">
        <v>5121.712447</v>
      </c>
      <c r="D29" s="23" t="inlineStr">
        <is>
          <t>note 59</t>
        </is>
      </c>
    </row>
    <row r="30">
      <c r="A30" s="7" t="inlineStr">
        <is>
          <t>Suppliers and contractors</t>
        </is>
      </c>
      <c r="B30" s="15" t="n">
        <v>5740.130394</v>
      </c>
      <c r="C30" s="15" t="n">
        <v>3807.042889</v>
      </c>
      <c r="D30" s="23" t="inlineStr"/>
    </row>
    <row r="31">
      <c r="A31" s="10" t="inlineStr">
        <is>
          <t>TOTAL LIABILITIES</t>
        </is>
      </c>
      <c r="B31" s="21" t="n">
        <v>174133.378513</v>
      </c>
      <c r="C31" s="21" t="n">
        <v>153364.060955</v>
      </c>
      <c r="D31" s="23" t="inlineStr"/>
    </row>
    <row r="32">
      <c r="A32" s="30" t="inlineStr">
        <is>
          <t>CHECK: total liabilities plus equity less total assets</t>
        </is>
      </c>
      <c r="B32" s="31">
        <f>B31+B19+B20-B18</f>
        <v/>
      </c>
      <c r="C32" s="31">
        <f>C31+C19+C20-C18</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7"/>
  <sheetViews>
    <sheetView showGridLines="0" workbookViewId="0">
      <pane ySplit="4" topLeftCell="A5" activePane="bottomLeft" state="frozen"/>
      <selection pane="bottomLeft" activeCell="A1" sqref="A1"/>
    </sheetView>
  </sheetViews>
  <sheetFormatPr baseColWidth="8" defaultRowHeight="15"/>
  <cols>
    <col width="48" customWidth="1" min="1" max="1"/>
    <col width="16" customWidth="1" min="2" max="2"/>
    <col width="16" customWidth="1" min="3" max="3"/>
    <col width="44" customWidth="1" min="4" max="4"/>
  </cols>
  <sheetData>
    <row r="1">
      <c r="A1" s="4" t="inlineStr">
        <is>
          <t>CASH FLOW — WHAT THE FLOAT DOES</t>
        </is>
      </c>
    </row>
    <row r="2" ht="30" customHeight="1">
      <c r="A2" s="5" t="inlineStr">
        <is>
          <t>The single most important table in this workbook. Strip the movement in the Residents' Association balance out of reported operating cash flow and it is negative in every period the company has disclosed.</t>
        </is>
      </c>
    </row>
    <row r="4">
      <c r="A4" s="6" t="inlineStr">
        <is>
          <t>EGP mn</t>
        </is>
      </c>
      <c r="B4" s="6" t="inlineStr">
        <is>
          <t>Reported operating cash flow</t>
        </is>
      </c>
      <c r="C4" s="6" t="inlineStr">
        <is>
          <t>Residents' Association movement</t>
        </is>
      </c>
      <c r="D4" s="6" t="inlineStr">
        <is>
          <t>Operating cash flow without it</t>
        </is>
      </c>
    </row>
    <row r="5">
      <c r="A5" s="7" t="inlineStr">
        <is>
          <t>H1-2026</t>
        </is>
      </c>
      <c r="B5" s="15" t="n">
        <v>1499.068217</v>
      </c>
      <c r="C5" s="15" t="n">
        <v>5214.614889</v>
      </c>
      <c r="D5" s="32">
        <f>B5-C5</f>
        <v/>
      </c>
    </row>
    <row r="6">
      <c r="A6" s="7" t="inlineStr">
        <is>
          <t>H1-2025</t>
        </is>
      </c>
      <c r="B6" s="15" t="n">
        <v>494.411464</v>
      </c>
      <c r="C6" s="15" t="n">
        <v>6086.710848</v>
      </c>
      <c r="D6" s="32">
        <f>B6-C6</f>
        <v/>
      </c>
    </row>
    <row r="7">
      <c r="A7" s="7" t="inlineStr">
        <is>
          <t>FY2024</t>
        </is>
      </c>
      <c r="B7" s="15" t="n">
        <v>3084.378488</v>
      </c>
      <c r="C7" s="15" t="n">
        <v>10047.698341</v>
      </c>
      <c r="D7" s="32">
        <f>B7-C7</f>
        <v/>
      </c>
    </row>
    <row r="8">
      <c r="A8" s="7" t="inlineStr">
        <is>
          <t>FY2023</t>
        </is>
      </c>
      <c r="B8" s="15" t="n">
        <v>753.224012</v>
      </c>
      <c r="C8" s="15" t="n">
        <v>3777.492521</v>
      </c>
      <c r="D8" s="32">
        <f>B8-C8</f>
        <v/>
      </c>
    </row>
    <row r="10">
      <c r="A10" s="2" t="inlineStr">
        <is>
          <t>RECONCILIATION OF THE MODEL TO THE LAST REPORTED PERIOD</t>
        </is>
      </c>
    </row>
    <row r="11">
      <c r="A11" s="7" t="inlineStr">
        <is>
          <t>Reported unlevered cash flow, H1-2026</t>
        </is>
      </c>
      <c r="B11" s="15" t="n">
        <v>3821.679701</v>
      </c>
      <c r="D11" s="14" t="inlineStr">
        <is>
          <t>operating cash flow plus interest paid plus capitalised interest, less capital expenditure</t>
        </is>
      </c>
    </row>
    <row r="12">
      <c r="A12" s="7" t="inlineStr">
        <is>
          <t>Add back: income-tax payable unwound in the period</t>
        </is>
      </c>
      <c r="B12" s="15" t="n">
        <v>990.0879370000001</v>
      </c>
      <c r="D12" s="14" t="inlineStr">
        <is>
          <t>the balance fell from EGP 1,977 mn to EGP 986 mn — not a run-rate item</t>
        </is>
      </c>
    </row>
    <row r="13">
      <c r="A13" s="7" t="inlineStr">
        <is>
          <t>Add back: partners' share paid down in the period</t>
        </is>
      </c>
      <c r="B13" s="15" t="n">
        <v>1611.041788</v>
      </c>
      <c r="D13" s="14" t="inlineStr">
        <is>
          <t>note 58 balance fell over the half</t>
        </is>
      </c>
    </row>
    <row r="14">
      <c r="A14" s="7" t="inlineStr">
        <is>
          <t>Like-for-like reported unlevered cash flow</t>
        </is>
      </c>
      <c r="B14" s="15" t="n">
        <v>6422.809426</v>
      </c>
      <c r="D14" s="14" t="inlineStr"/>
    </row>
    <row r="15">
      <c r="A15" s="7" t="inlineStr">
        <is>
          <t>Model, second half of 2026, framing A</t>
        </is>
      </c>
      <c r="B15" s="15" t="n">
        <v>2016.73750274445</v>
      </c>
      <c r="D15" s="14" t="inlineStr"/>
    </row>
    <row r="16">
      <c r="A16" s="7" t="inlineStr">
        <is>
          <t>Residual</t>
        </is>
      </c>
      <c r="B16" s="15" t="n">
        <v>4406.07192325555</v>
      </c>
      <c r="D16" s="14" t="inlineStr">
        <is>
          <t>disclosed rather than tuned away: the difference between a ratio-driven roll and one actual half-year of a working-capital-driven developer</t>
        </is>
      </c>
    </row>
    <row r="17">
      <c r="A17" s="7" t="inlineStr">
        <is>
          <t>Income-statement reconciliation gap</t>
        </is>
      </c>
      <c r="B17" s="13" t="n">
        <v>-0.01275987606287854</v>
      </c>
      <c r="D17" s="14" t="inlineStr">
        <is>
          <t>where the model should be tight, and is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44" customWidth="1" min="1" max="1"/>
    <col width="13" customWidth="1" min="2" max="2"/>
    <col width="13" customWidth="1" min="3" max="3"/>
    <col width="13" customWidth="1" min="4" max="4"/>
    <col width="13" customWidth="1" min="5" max="5"/>
    <col width="13" customWidth="1" min="6" max="6"/>
    <col width="13" customWidth="1" min="7" max="7"/>
  </cols>
  <sheetData>
    <row r="1">
      <c r="A1" s="4" t="inlineStr">
        <is>
          <t>SUMMARY FINANCIALS — THE FORECAST IN ONE PLACE</t>
        </is>
      </c>
    </row>
    <row r="4">
      <c r="A4" s="6" t="inlineStr">
        <is>
          <t>EGP mn</t>
        </is>
      </c>
      <c r="B4" s="6" t="inlineStr">
        <is>
          <t>H2-2026E</t>
        </is>
      </c>
      <c r="C4" s="6" t="inlineStr">
        <is>
          <t>FY2027E</t>
        </is>
      </c>
      <c r="D4" s="6" t="inlineStr">
        <is>
          <t>FY2028E</t>
        </is>
      </c>
      <c r="E4" s="6" t="inlineStr">
        <is>
          <t>FY2029E</t>
        </is>
      </c>
      <c r="F4" s="6" t="inlineStr">
        <is>
          <t>FY2030E</t>
        </is>
      </c>
      <c r="G4" s="6" t="inlineStr">
        <is>
          <t>FY2031E</t>
        </is>
      </c>
    </row>
    <row r="5">
      <c r="A5" s="7" t="inlineStr">
        <is>
          <t>Revenue</t>
        </is>
      </c>
      <c r="B5" s="17" t="n">
        <v>21414.43183498447</v>
      </c>
      <c r="C5" s="17" t="n">
        <v>47321.53374975041</v>
      </c>
      <c r="D5" s="17" t="n">
        <v>55706.90953020618</v>
      </c>
      <c r="E5" s="17" t="n">
        <v>63478.02340966994</v>
      </c>
      <c r="F5" s="17" t="n">
        <v>70638.34445028073</v>
      </c>
      <c r="G5" s="17" t="n">
        <v>77486.73194473544</v>
      </c>
    </row>
    <row r="6">
      <c r="A6" s="7" t="inlineStr">
        <is>
          <t>Real-estate revenue</t>
        </is>
      </c>
      <c r="B6" s="17" t="n">
        <v>19387.12953525102</v>
      </c>
      <c r="C6" s="17" t="n">
        <v>42841.60848546881</v>
      </c>
      <c r="D6" s="17" t="n">
        <v>50433.14150909388</v>
      </c>
      <c r="E6" s="17" t="n">
        <v>57468.56474961248</v>
      </c>
      <c r="F6" s="17" t="n">
        <v>63951.01885336878</v>
      </c>
      <c r="G6" s="17" t="n">
        <v>70151.07013120288</v>
      </c>
    </row>
    <row r="7">
      <c r="A7" s="7" t="inlineStr">
        <is>
          <t>Construction cost charged to income</t>
        </is>
      </c>
      <c r="B7" s="17" t="n">
        <v>6251.41058243875</v>
      </c>
      <c r="C7" s="17" t="n">
        <v>13891.75400866008</v>
      </c>
      <c r="D7" s="17" t="n">
        <v>16535.07696142793</v>
      </c>
      <c r="E7" s="17" t="n">
        <v>18986.31944557481</v>
      </c>
      <c r="F7" s="17" t="n">
        <v>21236.57802626434</v>
      </c>
      <c r="G7" s="17" t="n">
        <v>23355.61687317006</v>
      </c>
    </row>
    <row r="8">
      <c r="A8" s="7" t="inlineStr">
        <is>
          <t>Land and partners' share</t>
        </is>
      </c>
      <c r="B8" s="17" t="n">
        <v>7189.135027554388</v>
      </c>
      <c r="C8" s="17" t="n">
        <v>15886.5244924288</v>
      </c>
      <c r="D8" s="17" t="n">
        <v>18701.61663248719</v>
      </c>
      <c r="E8" s="17" t="n">
        <v>21310.49215271915</v>
      </c>
      <c r="F8" s="17" t="n">
        <v>23714.31566754587</v>
      </c>
      <c r="G8" s="17" t="n">
        <v>26013.41857151444</v>
      </c>
    </row>
    <row r="9">
      <c r="A9" s="7" t="inlineStr">
        <is>
          <t>Gross margin</t>
        </is>
      </c>
      <c r="B9" s="29" t="n">
        <v>0.3482076097803711</v>
      </c>
      <c r="C9" s="29" t="n">
        <v>0.3465976237387174</v>
      </c>
      <c r="D9" s="29" t="n">
        <v>0.3433715175749813</v>
      </c>
      <c r="E9" s="29" t="n">
        <v>0.3411161514016641</v>
      </c>
      <c r="F9" s="29" t="n">
        <v>0.3395932907161129</v>
      </c>
      <c r="G9" s="29" t="n">
        <v>0.3388281801617481</v>
      </c>
    </row>
    <row r="10">
      <c r="A10" s="7" t="inlineStr">
        <is>
          <t>Real-estate gross margin</t>
        </is>
      </c>
      <c r="B10" s="29" t="n">
        <v>0.3067284362259709</v>
      </c>
      <c r="C10" s="29" t="n">
        <v>0.3049215574809895</v>
      </c>
      <c r="D10" s="29" t="n">
        <v>0.3013186856987405</v>
      </c>
      <c r="E10" s="29" t="n">
        <v>0.2988025405912771</v>
      </c>
      <c r="F10" s="29" t="n">
        <v>0.2971043386051962</v>
      </c>
      <c r="G10" s="29" t="n">
        <v>0.2962468661939146</v>
      </c>
    </row>
    <row r="11">
      <c r="A11" s="7" t="inlineStr">
        <is>
          <t>Earnings before interest, tax and depreciation</t>
        </is>
      </c>
      <c r="B11" s="17" t="n">
        <v>5008.300052276063</v>
      </c>
      <c r="C11" s="17" t="n">
        <v>10927.2065275271</v>
      </c>
      <c r="D11" s="17" t="n">
        <v>12756.53324191566</v>
      </c>
      <c r="E11" s="17" t="n">
        <v>14420.39346220497</v>
      </c>
      <c r="F11" s="17" t="n">
        <v>15931.56108482185</v>
      </c>
      <c r="G11" s="17" t="n">
        <v>17388.979307659</v>
      </c>
    </row>
    <row r="12">
      <c r="A12" s="7" t="inlineStr">
        <is>
          <t>Operating profit after tax</t>
        </is>
      </c>
      <c r="B12" s="17" t="n">
        <v>4219.701219196667</v>
      </c>
      <c r="C12" s="17" t="n">
        <v>9222.308223704191</v>
      </c>
      <c r="D12" s="17" t="n">
        <v>10778.34360299329</v>
      </c>
      <c r="E12" s="17" t="n">
        <v>12197.40711953875</v>
      </c>
      <c r="F12" s="17" t="n">
        <v>13488.9224523842</v>
      </c>
      <c r="G12" s="17" t="n">
        <v>14733.00234592349</v>
      </c>
    </row>
    <row r="13">
      <c r="A13" s="7" t="inlineStr">
        <is>
          <t>Working capital employed</t>
        </is>
      </c>
      <c r="B13" s="17" t="n">
        <v>67490.47266352887</v>
      </c>
      <c r="C13" s="17" t="n">
        <v>74767.30345605979</v>
      </c>
      <c r="D13" s="17" t="n">
        <v>88478.96503055943</v>
      </c>
      <c r="E13" s="17" t="n">
        <v>101190.1504988254</v>
      </c>
      <c r="F13" s="17" t="n">
        <v>112881.0648762083</v>
      </c>
      <c r="G13" s="17" t="n">
        <v>123978.1242399901</v>
      </c>
    </row>
    <row r="14">
      <c r="A14" s="7" t="inlineStr">
        <is>
          <t>Residents' Association movement</t>
        </is>
      </c>
      <c r="B14" s="17" t="n">
        <v>4179.256396928868</v>
      </c>
      <c r="C14" s="17" t="n">
        <v>4993.239120396589</v>
      </c>
      <c r="D14" s="17" t="n">
        <v>8831.720393177136</v>
      </c>
      <c r="E14" s="17" t="n">
        <v>8579.909757147194</v>
      </c>
      <c r="F14" s="17" t="n">
        <v>8294.390165721314</v>
      </c>
      <c r="G14" s="17" t="n">
        <v>8270.83127536434</v>
      </c>
    </row>
    <row r="15">
      <c r="A15" s="7" t="inlineStr">
        <is>
          <t>Free cash flow to the firm</t>
        </is>
      </c>
      <c r="B15" s="17" t="n">
        <v>2016.73750274445</v>
      </c>
      <c r="C15" s="17" t="n">
        <v>6809.817028076637</v>
      </c>
      <c r="D15" s="17" t="n">
        <v>5746.661902614564</v>
      </c>
      <c r="E15" s="17" t="n">
        <v>7893.223086955448</v>
      </c>
      <c r="F15" s="17" t="n">
        <v>9899.985860596822</v>
      </c>
      <c r="G15" s="17" t="n">
        <v>11695.70749712711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6" customWidth="1" min="7" max="7"/>
  </cols>
  <sheetData>
    <row r="1">
      <c r="A1" s="4" t="inlineStr">
        <is>
          <t>PROBABILITY MAP — CARRIED FORWARD UNCHANGED</t>
        </is>
      </c>
    </row>
    <row r="2" ht="30" customHeight="1">
      <c r="A2" s="5" t="inlineStr">
        <is>
          <t>This is a fundamentals-only refresh. The rows below are the last published price cone and they do not recalculate. Data as of 2026-07-22, computed on 2026-07-28.</t>
        </is>
      </c>
    </row>
    <row r="4">
      <c r="A4" s="6" t="inlineStr">
        <is>
          <t>Horizon</t>
        </is>
      </c>
      <c r="B4" s="6" t="inlineStr">
        <is>
          <t>5%</t>
        </is>
      </c>
      <c r="C4" s="6" t="inlineStr">
        <is>
          <t>25%</t>
        </is>
      </c>
      <c r="D4" s="6" t="inlineStr">
        <is>
          <t>Median</t>
        </is>
      </c>
      <c r="E4" s="6" t="inlineStr">
        <is>
          <t>75%</t>
        </is>
      </c>
      <c r="F4" s="6" t="inlineStr">
        <is>
          <t>95%</t>
        </is>
      </c>
      <c r="G4" s="6" t="inlineStr">
        <is>
          <t>Resolves</t>
        </is>
      </c>
    </row>
    <row r="5">
      <c r="A5" s="7" t="inlineStr">
        <is>
          <t>One month</t>
        </is>
      </c>
      <c r="B5" s="9" t="n">
        <v>12.89</v>
      </c>
      <c r="C5" s="9" t="n">
        <v>14.32</v>
      </c>
      <c r="D5" s="9" t="n">
        <v>15.23</v>
      </c>
      <c r="E5" s="9" t="n">
        <v>16.22</v>
      </c>
      <c r="F5" s="9" t="n">
        <v>18.01</v>
      </c>
      <c r="G5" s="7" t="inlineStr">
        <is>
          <t>2026-08-23</t>
        </is>
      </c>
    </row>
    <row r="6">
      <c r="A6" s="7" t="inlineStr">
        <is>
          <t>Three months</t>
        </is>
      </c>
      <c r="B6" s="9" t="n">
        <v>11.52</v>
      </c>
      <c r="C6" s="9" t="n">
        <v>14.01</v>
      </c>
      <c r="D6" s="9" t="n">
        <v>15.72</v>
      </c>
      <c r="E6" s="9" t="n">
        <v>17.59</v>
      </c>
      <c r="F6" s="9" t="n">
        <v>21.39</v>
      </c>
      <c r="G6" s="7" t="inlineStr">
        <is>
          <t>2026-10-22</t>
        </is>
      </c>
    </row>
    <row r="8">
      <c r="A8" s="6" t="inlineStr">
        <is>
          <t>Level, EGP</t>
        </is>
      </c>
      <c r="B8" s="6" t="inlineStr">
        <is>
          <t>Touch within one month</t>
        </is>
      </c>
      <c r="C8" s="6" t="inlineStr">
        <is>
          <t>Touch within three months</t>
        </is>
      </c>
    </row>
    <row r="9">
      <c r="A9" s="9" t="n">
        <v>20</v>
      </c>
      <c r="B9" s="19" t="n">
        <v>0.01</v>
      </c>
      <c r="C9" s="19" t="n">
        <v>0.15</v>
      </c>
    </row>
    <row r="10">
      <c r="A10" s="9" t="n">
        <v>18.5</v>
      </c>
      <c r="B10" s="19" t="n">
        <v>0.05</v>
      </c>
      <c r="C10" s="19" t="n">
        <v>0.28</v>
      </c>
    </row>
    <row r="11">
      <c r="A11" s="9" t="n">
        <v>17.5</v>
      </c>
      <c r="B11" s="19" t="n">
        <v>0.12</v>
      </c>
      <c r="C11" s="19" t="n">
        <v>0.42</v>
      </c>
    </row>
    <row r="12">
      <c r="A12" s="9" t="n">
        <v>16.5</v>
      </c>
      <c r="B12" s="19" t="n">
        <v>0.31</v>
      </c>
      <c r="C12" s="19" t="n">
        <v>0.62</v>
      </c>
    </row>
    <row r="13">
      <c r="A13" s="9" t="n">
        <v>15.55</v>
      </c>
      <c r="B13" s="19" t="n">
        <v>0.66</v>
      </c>
      <c r="C13" s="19" t="n">
        <v>0.83</v>
      </c>
    </row>
    <row r="15">
      <c r="A15" s="7" t="inlineStr">
        <is>
          <t>Anchor price, EGP</t>
        </is>
      </c>
      <c r="B15" s="9" t="n">
        <v>15.01</v>
      </c>
    </row>
    <row r="16">
      <c r="A16" s="7" t="inlineStr">
        <is>
          <t>Fundamental base from this refresh, EGP</t>
        </is>
      </c>
      <c r="B16" s="8">
        <f>'Fundamental Valuation'!B12</f>
        <v/>
      </c>
    </row>
    <row r="17">
      <c r="A17" s="7" t="inlineStr">
        <is>
          <t>Technical read, data as of</t>
        </is>
      </c>
      <c r="B17" s="33" t="inlineStr">
        <is>
          <t>2026-07-22</t>
        </is>
      </c>
    </row>
    <row r="18">
      <c r="A18" s="7" t="inlineStr">
        <is>
          <t>Technical read, computed on</t>
        </is>
      </c>
      <c r="B18" s="33" t="inlineStr">
        <is>
          <t>2026-08-17</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5"/>
  <sheetViews>
    <sheetView showGridLines="0" workbookViewId="0">
      <pane ySplit="4" topLeftCell="A5" activePane="bottomLeft" state="frozen"/>
      <selection pane="bottomLeft"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62" customWidth="1" min="7" max="7"/>
  </cols>
  <sheetData>
    <row r="1">
      <c r="A1" s="4" t="inlineStr">
        <is>
          <t>SENSITIVITY — FAIR VALUE PER SHARE, EGP</t>
        </is>
      </c>
    </row>
    <row r="2" ht="30" customHeight="1">
      <c r="A2" s="5" t="inlineStr">
        <is>
          <t>The crux against the cost of capital, computed separately under each framing.</t>
        </is>
      </c>
    </row>
    <row r="4">
      <c r="A4" s="2" t="inlineStr">
        <is>
          <t>FRAMING A — float is operating funding</t>
        </is>
      </c>
    </row>
    <row r="5">
      <c r="A5" s="6" t="inlineStr">
        <is>
          <t>Cost-of-capital shift</t>
        </is>
      </c>
      <c r="B5" s="6" t="inlineStr">
        <is>
          <t>2.81x</t>
        </is>
      </c>
      <c r="C5" s="6" t="inlineStr">
        <is>
          <t>2.96x</t>
        </is>
      </c>
      <c r="D5" s="6" t="inlineStr">
        <is>
          <t>3.12x</t>
        </is>
      </c>
      <c r="E5" s="6" t="inlineStr">
        <is>
          <t>3.27x</t>
        </is>
      </c>
      <c r="F5" s="6" t="inlineStr">
        <is>
          <t>3.43x</t>
        </is>
      </c>
    </row>
    <row r="6">
      <c r="A6" s="7" t="inlineStr">
        <is>
          <t>-200 bp</t>
        </is>
      </c>
      <c r="B6" s="9" t="n">
        <v>37.74176046271313</v>
      </c>
      <c r="C6" s="9" t="n">
        <v>44.46922449313289</v>
      </c>
      <c r="D6" s="9" t="n">
        <v>50.52394212051068</v>
      </c>
      <c r="E6" s="9" t="n">
        <v>56.00201997385255</v>
      </c>
      <c r="F6" s="9" t="n">
        <v>60.98209074961781</v>
      </c>
    </row>
    <row r="7">
      <c r="A7" s="7" t="inlineStr">
        <is>
          <t>-100 bp</t>
        </is>
      </c>
      <c r="B7" s="9" t="n">
        <v>30.38177465458185</v>
      </c>
      <c r="C7" s="9" t="n">
        <v>36.0524002749578</v>
      </c>
      <c r="D7" s="9" t="n">
        <v>41.1559633332962</v>
      </c>
      <c r="E7" s="9" t="n">
        <v>45.77347276703097</v>
      </c>
      <c r="F7" s="9" t="n">
        <v>49.97120861588069</v>
      </c>
    </row>
    <row r="8">
      <c r="A8" s="7" t="inlineStr">
        <is>
          <t>+0 bp</t>
        </is>
      </c>
      <c r="B8" s="9" t="n">
        <v>25.20288360386633</v>
      </c>
      <c r="C8" s="9" t="n">
        <v>30.12866751249506</v>
      </c>
      <c r="D8" s="9" t="n">
        <v>34.56187303026094</v>
      </c>
      <c r="E8" s="9" t="n">
        <v>38.57286849871582</v>
      </c>
      <c r="F8" s="9" t="n">
        <v>42.21922801549292</v>
      </c>
    </row>
    <row r="9">
      <c r="A9" s="7" t="inlineStr">
        <is>
          <t>+100 bp</t>
        </is>
      </c>
      <c r="B9" s="9" t="n">
        <v>21.36474982929822</v>
      </c>
      <c r="C9" s="9" t="n">
        <v>25.737508276808</v>
      </c>
      <c r="D9" s="9" t="n">
        <v>29.67299087956681</v>
      </c>
      <c r="E9" s="9" t="n">
        <v>33.23366561539625</v>
      </c>
      <c r="F9" s="9" t="n">
        <v>36.47064264796842</v>
      </c>
    </row>
    <row r="10">
      <c r="A10" s="7" t="inlineStr">
        <is>
          <t>+200 bp</t>
        </is>
      </c>
      <c r="B10" s="9" t="n">
        <v>18.40931150929126</v>
      </c>
      <c r="C10" s="9" t="n">
        <v>22.35535065838804</v>
      </c>
      <c r="D10" s="9" t="n">
        <v>25.90678589257516</v>
      </c>
      <c r="E10" s="9" t="n">
        <v>29.11998919969688</v>
      </c>
      <c r="F10" s="9" t="n">
        <v>32.04108311526202</v>
      </c>
    </row>
    <row r="12">
      <c r="A12" s="2" t="inlineStr">
        <is>
          <t>FRAMING B — float restricted</t>
        </is>
      </c>
    </row>
    <row r="13">
      <c r="A13" s="6" t="inlineStr">
        <is>
          <t>Cost-of-capital shift</t>
        </is>
      </c>
      <c r="B13" s="6" t="inlineStr">
        <is>
          <t>2.81x</t>
        </is>
      </c>
      <c r="C13" s="6" t="inlineStr">
        <is>
          <t>2.96x</t>
        </is>
      </c>
      <c r="D13" s="6" t="inlineStr">
        <is>
          <t>3.12x</t>
        </is>
      </c>
      <c r="E13" s="6" t="inlineStr">
        <is>
          <t>3.27x</t>
        </is>
      </c>
      <c r="F13" s="6" t="inlineStr">
        <is>
          <t>3.43x</t>
        </is>
      </c>
    </row>
    <row r="14">
      <c r="A14" s="7" t="inlineStr">
        <is>
          <t>-200 bp</t>
        </is>
      </c>
      <c r="B14" s="9" t="n">
        <v>1.739950297132685</v>
      </c>
      <c r="C14" s="9" t="n">
        <v>8.467414327552465</v>
      </c>
      <c r="D14" s="9" t="n">
        <v>14.52213195493028</v>
      </c>
      <c r="E14" s="9" t="n">
        <v>20.0002098082721</v>
      </c>
      <c r="F14" s="9" t="n">
        <v>24.98028058403738</v>
      </c>
    </row>
    <row r="15">
      <c r="A15" s="7" t="inlineStr">
        <is>
          <t>-100 bp</t>
        </is>
      </c>
      <c r="B15" s="9" t="n">
        <v>-0.9649098859333094</v>
      </c>
      <c r="C15" s="9" t="n">
        <v>4.70571573444268</v>
      </c>
      <c r="D15" s="9" t="n">
        <v>9.809278792781079</v>
      </c>
      <c r="E15" s="9" t="n">
        <v>14.42678822651582</v>
      </c>
      <c r="F15" s="9" t="n">
        <v>18.62452407536555</v>
      </c>
    </row>
    <row r="16">
      <c r="A16" s="7" t="inlineStr">
        <is>
          <t>+0 bp</t>
        </is>
      </c>
      <c r="B16" s="9" t="n">
        <v>-2.852153277390461</v>
      </c>
      <c r="C16" s="9" t="n">
        <v>2.073630631238296</v>
      </c>
      <c r="D16" s="9" t="n">
        <v>6.50683614900418</v>
      </c>
      <c r="E16" s="9" t="n">
        <v>10.51783161745903</v>
      </c>
      <c r="F16" s="9" t="n">
        <v>14.16419113423614</v>
      </c>
    </row>
    <row r="17">
      <c r="A17" s="7" t="inlineStr">
        <is>
          <t>+100 bp</t>
        </is>
      </c>
      <c r="B17" s="9" t="n">
        <v>-4.237497885920042</v>
      </c>
      <c r="C17" s="9" t="n">
        <v>0.1352605615897539</v>
      </c>
      <c r="D17" s="9" t="n">
        <v>4.070743164348578</v>
      </c>
      <c r="E17" s="9" t="n">
        <v>7.631417900177986</v>
      </c>
      <c r="F17" s="9" t="n">
        <v>10.86839493275015</v>
      </c>
    </row>
    <row r="18">
      <c r="A18" s="7" t="inlineStr">
        <is>
          <t>+200 bp</t>
        </is>
      </c>
      <c r="B18" s="9" t="n">
        <v>-5.293001641710862</v>
      </c>
      <c r="C18" s="9" t="n">
        <v>-1.346962492614061</v>
      </c>
      <c r="D18" s="9" t="n">
        <v>2.204472741573064</v>
      </c>
      <c r="E18" s="9" t="n">
        <v>5.417676048694747</v>
      </c>
      <c r="F18" s="9" t="n">
        <v>8.3387699642599</v>
      </c>
    </row>
    <row r="20">
      <c r="A20" s="2" t="inlineStr">
        <is>
          <t>SINGLE-DRIVER RANGES</t>
        </is>
      </c>
    </row>
    <row r="21">
      <c r="A21" s="6" t="inlineStr">
        <is>
          <t>Driver</t>
        </is>
      </c>
      <c r="B21" s="6" t="inlineStr">
        <is>
          <t>Low</t>
        </is>
      </c>
      <c r="C21" s="6" t="inlineStr">
        <is>
          <t>High</t>
        </is>
      </c>
      <c r="D21" s="6" t="inlineStr"/>
      <c r="E21" s="6" t="inlineStr"/>
      <c r="F21" s="6" t="inlineStr"/>
      <c r="G21" s="6" t="inlineStr">
        <is>
          <t>Note</t>
        </is>
      </c>
    </row>
    <row r="22">
      <c r="A22" s="7" t="inlineStr">
        <is>
          <t>Real volume growth</t>
        </is>
      </c>
      <c r="B22" s="9" t="n">
        <v>25.04538456677433</v>
      </c>
      <c r="C22" s="9" t="n">
        <v>40.19069353658928</v>
      </c>
      <c r="G22" s="14" t="inlineStr">
        <is>
          <t>low is no real growth at all, high is half again the base path. More volume is worth more because most of the capital funding it is customer money, not shareholder money</t>
        </is>
      </c>
    </row>
    <row r="23">
      <c r="A23" s="7" t="inlineStr">
        <is>
          <t>Build-cost escalation</t>
        </is>
      </c>
      <c r="B23" s="9" t="n">
        <v>27.51295790336243</v>
      </c>
      <c r="C23" s="9" t="n">
        <v>41.13597260935839</v>
      </c>
      <c r="G23" s="14" t="inlineStr">
        <is>
          <t>two hundred basis points either way on all four classes together</t>
        </is>
      </c>
    </row>
    <row r="24">
      <c r="A24" s="7" t="inlineStr">
        <is>
          <t>Cost of capital</t>
        </is>
      </c>
      <c r="B24" s="9" t="n">
        <v>18.40931150929126</v>
      </c>
      <c r="C24" s="9" t="n">
        <v>60.98209074961781</v>
      </c>
      <c r="G24" s="14" t="inlineStr">
        <is>
          <t>two hundred basis points either way on the whole path</t>
        </is>
      </c>
    </row>
    <row r="25">
      <c r="A25" s="7" t="inlineStr">
        <is>
          <t>The contested judgement</t>
        </is>
      </c>
      <c r="B25" s="9" t="n">
        <v>5.791420814795392</v>
      </c>
      <c r="C25" s="9" t="n">
        <v>15.81532878350382</v>
      </c>
      <c r="G25" s="14" t="inlineStr">
        <is>
          <t>the largest single item in the model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7"/>
  <sheetViews>
    <sheetView showGridLines="0" workbookViewId="0">
      <pane ySplit="4" topLeftCell="A5" activePane="bottomLeft" state="frozen"/>
      <selection pane="bottomLeft" activeCell="A1" sqref="A1"/>
    </sheetView>
  </sheetViews>
  <sheetFormatPr baseColWidth="8" defaultRowHeight="15"/>
  <cols>
    <col width="48" customWidth="1" min="1" max="1"/>
    <col width="16" customWidth="1" min="2" max="2"/>
    <col width="46" customWidth="1" min="3" max="3"/>
  </cols>
  <sheetData>
    <row r="1">
      <c r="A1" s="4" t="inlineStr">
        <is>
          <t>PER-SHARE FIGURES, RATIOS AND THE WORKING-CAPITAL CYCLE</t>
        </is>
      </c>
    </row>
    <row r="4">
      <c r="A4" s="6" t="inlineStr">
        <is>
          <t>Measure</t>
        </is>
      </c>
      <c r="B4" s="6" t="inlineStr">
        <is>
          <t>Value</t>
        </is>
      </c>
      <c r="C4" s="6" t="inlineStr">
        <is>
          <t>Construction</t>
        </is>
      </c>
    </row>
    <row r="5">
      <c r="A5" s="7" t="inlineStr">
        <is>
          <t>Market price, EGP</t>
        </is>
      </c>
      <c r="B5" s="9" t="n">
        <v>15.01</v>
      </c>
      <c r="C5" s="14" t="inlineStr">
        <is>
          <t>close of 22-Jul-2026</t>
        </is>
      </c>
    </row>
    <row r="6">
      <c r="A6" s="7" t="inlineStr">
        <is>
          <t>Shares outstanding after treasury, mn</t>
        </is>
      </c>
      <c r="B6" s="15" t="n">
        <v>2824.470164</v>
      </c>
      <c r="C6" s="14" t="inlineStr">
        <is>
          <t>note 62</t>
        </is>
      </c>
    </row>
    <row r="7">
      <c r="A7" s="7" t="inlineStr">
        <is>
          <t>Market value, EGP mn</t>
        </is>
      </c>
      <c r="B7" s="15" t="n">
        <v>42395.29716164</v>
      </c>
      <c r="C7" s="14" t="inlineStr">
        <is>
          <t>price times shares</t>
        </is>
      </c>
    </row>
    <row r="8">
      <c r="A8" s="7" t="inlineStr">
        <is>
          <t>Book value per share, EGP</t>
        </is>
      </c>
      <c r="B8" s="9" t="n">
        <v>6.695365256476471</v>
      </c>
      <c r="C8" s="14" t="inlineStr">
        <is>
          <t>controlling equity over shares</t>
        </is>
      </c>
    </row>
    <row r="9">
      <c r="A9" s="7" t="inlineStr">
        <is>
          <t>Trailing earnings per share, EGP</t>
        </is>
      </c>
      <c r="B9" s="9" t="n">
        <v>1.424101246740882</v>
      </c>
      <c r="C9" s="14" t="inlineStr">
        <is>
          <t>trailing twelve months over the weighted average share count</t>
        </is>
      </c>
    </row>
    <row r="10">
      <c r="A10" s="7" t="inlineStr">
        <is>
          <t>Price to book</t>
        </is>
      </c>
      <c r="B10" s="25" t="n">
        <v>2.241849312922955</v>
      </c>
      <c r="C10" s="14" t="inlineStr"/>
    </row>
    <row r="11">
      <c r="A11" s="7" t="inlineStr">
        <is>
          <t>Price to earnings</t>
        </is>
      </c>
      <c r="B11" s="25" t="n">
        <v>10.53998094191058</v>
      </c>
      <c r="C11" s="14" t="inlineStr"/>
    </row>
    <row r="12">
      <c r="A12" s="7" t="inlineStr">
        <is>
          <t>Price to sales</t>
        </is>
      </c>
      <c r="B12" s="25" t="n">
        <v>1.056054533336449</v>
      </c>
      <c r="C12" s="14" t="inlineStr"/>
    </row>
    <row r="13">
      <c r="A13" s="7" t="inlineStr">
        <is>
          <t>Enterprise value to EBITDA, company net-debt basis</t>
        </is>
      </c>
      <c r="B13" s="25" t="n">
        <v>5.879186305249586</v>
      </c>
      <c r="C13" s="14" t="inlineStr"/>
    </row>
    <row r="14">
      <c r="A14" s="7" t="inlineStr">
        <is>
          <t>Enterprise value to EBITDA, broad net-debt basis</t>
        </is>
      </c>
      <c r="B14" s="25" t="n">
        <v>6.964604322283083</v>
      </c>
      <c r="C14" s="14" t="inlineStr"/>
    </row>
    <row r="15">
      <c r="A15" s="7" t="inlineStr">
        <is>
          <t>Return on equity, trailing</t>
        </is>
      </c>
      <c r="B15" s="19" t="n">
        <v>0.2222259870628438</v>
      </c>
      <c r="C15" s="14" t="inlineStr">
        <is>
          <t>on average controlling equity</t>
        </is>
      </c>
    </row>
    <row r="16">
      <c r="A16" s="7" t="inlineStr">
        <is>
          <t>Debt to equity, interest-bearing</t>
        </is>
      </c>
      <c r="B16" s="19" t="n">
        <v>1.400269029571386</v>
      </c>
      <c r="C16" s="14" t="inlineStr"/>
    </row>
    <row r="17">
      <c r="A17" s="7" t="inlineStr">
        <is>
          <t>Debt to equity, broad</t>
        </is>
      </c>
      <c r="B17" s="19" t="n">
        <v>1.869413410239957</v>
      </c>
      <c r="C17" s="14" t="inlineStr"/>
    </row>
    <row r="18">
      <c r="A18" s="7" t="inlineStr">
        <is>
          <t>Dividend yield</t>
        </is>
      </c>
      <c r="B18" s="19" t="n">
        <v>0.03236642240690734</v>
      </c>
      <c r="C18" s="14" t="inlineStr">
        <is>
          <t>EGP 686 mn paid in the half, annualised</t>
        </is>
      </c>
    </row>
    <row r="19">
      <c r="A19" s="7" t="inlineStr">
        <is>
          <t>Days sales outstanding</t>
        </is>
      </c>
      <c r="B19" s="15" t="n">
        <v>1056.247048600021</v>
      </c>
      <c r="C19" s="14" t="inlineStr">
        <is>
          <t>all receivables over annualised revenue</t>
        </is>
      </c>
    </row>
    <row r="20">
      <c r="A20" s="7" t="inlineStr">
        <is>
          <t>Days inventory outstanding</t>
        </is>
      </c>
      <c r="B20" s="15" t="n">
        <v>348.0790011072993</v>
      </c>
      <c r="C20" s="14" t="inlineStr">
        <is>
          <t>work in progress over annualised cost</t>
        </is>
      </c>
    </row>
    <row r="21">
      <c r="A21" s="7" t="inlineStr">
        <is>
          <t>Days payables outstanding</t>
        </is>
      </c>
      <c r="B21" s="15" t="n">
        <v>211.5508307465506</v>
      </c>
      <c r="C21" s="14" t="inlineStr">
        <is>
          <t>contractors and notes payable</t>
        </is>
      </c>
    </row>
    <row r="22">
      <c r="A22" s="7" t="inlineStr">
        <is>
          <t>Gross cash conversion cycle, days</t>
        </is>
      </c>
      <c r="B22" s="15" t="n">
        <v>1192.77521896077</v>
      </c>
      <c r="C22" s="14" t="inlineStr"/>
    </row>
    <row r="23">
      <c r="A23" s="7" t="inlineStr">
        <is>
          <t>Customer advances, days</t>
        </is>
      </c>
      <c r="B23" s="15" t="n">
        <v>1215.038675528851</v>
      </c>
      <c r="C23" s="14" t="inlineStr"/>
    </row>
    <row r="24">
      <c r="A24" s="7" t="inlineStr">
        <is>
          <t>NET CASH CONVERSION CYCLE, days</t>
        </is>
      </c>
      <c r="B24" s="15" t="n">
        <v>-22.26345656808121</v>
      </c>
      <c r="C24" s="14" t="inlineStr">
        <is>
          <t>negative: the customer funds the build. This is the whole financial architecture</t>
        </is>
      </c>
    </row>
    <row r="25">
      <c r="A25" s="7" t="inlineStr">
        <is>
          <t>Realised all-in cost of debt</t>
        </is>
      </c>
      <c r="B25" s="13" t="n">
        <v>0.2096630791873609</v>
      </c>
      <c r="C25" s="14" t="inlineStr">
        <is>
          <t>interest paid and capitalised over average interest-bearing obligations, annualised</t>
        </is>
      </c>
    </row>
    <row r="26">
      <c r="A26" s="7" t="inlineStr">
        <is>
          <t>Measured corporate credit spread</t>
        </is>
      </c>
      <c r="B26" s="13" t="n">
        <v>0.01863007918736093</v>
      </c>
      <c r="C26" s="14" t="inlineStr">
        <is>
          <t>the company's own borrowing cost less the return on its own treasury-bill book</t>
        </is>
      </c>
    </row>
    <row r="27">
      <c r="A27" s="7" t="inlineStr">
        <is>
          <t>Share of interest capitalised into work in progress</t>
        </is>
      </c>
      <c r="B27" s="19" t="n">
        <v>0.4487816583345405</v>
      </c>
      <c r="C27" s="14"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1"/>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22" customWidth="1" min="3" max="3"/>
    <col width="16" customWidth="1" min="4" max="4"/>
    <col width="16" customWidth="1" min="5" max="5"/>
    <col width="46" customWidth="1" min="6" max="6"/>
  </cols>
  <sheetData>
    <row r="1">
      <c r="A1" s="4" t="inlineStr">
        <is>
          <t>PEERS AND THE SECTOR</t>
        </is>
      </c>
    </row>
    <row r="2" ht="30" customHeight="1">
      <c r="A2" s="5" t="inlineStr">
        <is>
          <t>Peer multiples are market-data quotes and are used to price other companies only. No aggregator figure enters any Palm Hills historical.</t>
        </is>
      </c>
    </row>
    <row r="4">
      <c r="A4" s="6" t="inlineStr">
        <is>
          <t>Company</t>
        </is>
      </c>
      <c r="B4" s="6" t="inlineStr">
        <is>
          <t>Listing</t>
        </is>
      </c>
      <c r="C4" s="6" t="inlineStr">
        <is>
          <t>Market value, EGP mn</t>
        </is>
      </c>
      <c r="D4" s="6" t="inlineStr">
        <is>
          <t>Price to earnings</t>
        </is>
      </c>
      <c r="E4" s="6" t="inlineStr">
        <is>
          <t>EV to EBITDA</t>
        </is>
      </c>
      <c r="F4" s="6" t="inlineStr">
        <is>
          <t>Note</t>
        </is>
      </c>
    </row>
    <row r="5">
      <c r="A5" s="7" t="inlineStr">
        <is>
          <t>Talaat Moustafa Group Holding</t>
        </is>
      </c>
      <c r="B5" s="7" t="inlineStr">
        <is>
          <t>EGX:TMGH</t>
        </is>
      </c>
      <c r="C5" s="15" t="n">
        <v>156630</v>
      </c>
      <c r="D5" s="25" t="n">
        <v>10.2</v>
      </c>
      <c r="F5" s="23" t="inlineStr">
        <is>
          <t>Egypt</t>
        </is>
      </c>
    </row>
    <row r="6">
      <c r="A6" s="7" t="inlineStr">
        <is>
          <t>Emaar Misr for Development</t>
        </is>
      </c>
      <c r="B6" s="7" t="inlineStr">
        <is>
          <t>EGX:EMFD</t>
        </is>
      </c>
      <c r="C6" s="15" t="n">
        <v>54600</v>
      </c>
      <c r="D6" s="25" t="n">
        <v>6.1</v>
      </c>
      <c r="F6" s="23" t="inlineStr">
        <is>
          <t>Egypt</t>
        </is>
      </c>
    </row>
    <row r="7">
      <c r="A7" s="7" t="inlineStr">
        <is>
          <t>SODIC</t>
        </is>
      </c>
      <c r="B7" s="7" t="inlineStr">
        <is>
          <t>EGX:OCDI</t>
        </is>
      </c>
      <c r="C7" s="15" t="n">
        <v>24100</v>
      </c>
      <c r="D7" s="25" t="n">
        <v>6.1</v>
      </c>
      <c r="F7" s="23" t="inlineStr">
        <is>
          <t>Egypt</t>
        </is>
      </c>
    </row>
    <row r="8">
      <c r="A8" s="7" t="inlineStr">
        <is>
          <t>Heliopolis Housing</t>
        </is>
      </c>
      <c r="B8" s="7" t="inlineStr">
        <is>
          <t>EGX:HELI</t>
        </is>
      </c>
      <c r="C8" s="15" t="n">
        <v>22670</v>
      </c>
      <c r="D8" s="25" t="n">
        <v>7.5</v>
      </c>
      <c r="F8" s="23" t="inlineStr">
        <is>
          <t>Egypt</t>
        </is>
      </c>
    </row>
    <row r="9">
      <c r="A9" s="7" t="inlineStr">
        <is>
          <t>Madinet Masr</t>
        </is>
      </c>
      <c r="B9" s="7" t="inlineStr">
        <is>
          <t>EGX:MASR</t>
        </is>
      </c>
      <c r="C9" s="15" t="n">
        <v>16500</v>
      </c>
      <c r="F9" s="23" t="inlineStr">
        <is>
          <t>Egypt</t>
        </is>
      </c>
    </row>
    <row r="10">
      <c r="A10" s="7" t="inlineStr">
        <is>
          <t>Emaar Properties</t>
        </is>
      </c>
      <c r="B10" s="7" t="inlineStr">
        <is>
          <t>DFM:EMAAR</t>
        </is>
      </c>
      <c r="D10" s="25" t="n">
        <v>6.5</v>
      </c>
      <c r="E10" s="25" t="n">
        <v>3.6</v>
      </c>
      <c r="F10" s="23" t="inlineStr">
        <is>
          <t>United Arab Emirates</t>
        </is>
      </c>
    </row>
    <row r="11">
      <c r="A11" s="7" t="inlineStr">
        <is>
          <t>Aldar Properties</t>
        </is>
      </c>
      <c r="B11" s="7" t="inlineStr">
        <is>
          <t>ADX:ALDAR</t>
        </is>
      </c>
      <c r="D11" s="25" t="n">
        <v>7.7</v>
      </c>
      <c r="E11" s="25" t="n">
        <v>6.6</v>
      </c>
      <c r="F11" s="23" t="inlineStr">
        <is>
          <t>United Arab Emirates</t>
        </is>
      </c>
    </row>
    <row r="12">
      <c r="A12" s="10" t="inlineStr">
        <is>
          <t>Palm Hills Developments</t>
        </is>
      </c>
      <c r="B12" s="10" t="inlineStr">
        <is>
          <t>EGX:PHDC</t>
        </is>
      </c>
      <c r="C12" s="16" t="n">
        <v>42395.29716164</v>
      </c>
      <c r="D12" s="34" t="n">
        <v>10.53998094191058</v>
      </c>
      <c r="E12" s="34" t="n">
        <v>5.879186305249586</v>
      </c>
      <c r="F12" s="10" t="inlineStr">
        <is>
          <t>computed from the statements at the published price</t>
        </is>
      </c>
    </row>
    <row r="14">
      <c r="A14" s="2" t="inlineStr">
        <is>
          <t>THE EGYPTIAN MARKET IN THE FIRST HALF OF 2026</t>
        </is>
      </c>
    </row>
    <row r="15">
      <c r="A15" s="7" t="inlineStr">
        <is>
          <t>Sales of the ten largest developers, EGP mn</t>
        </is>
      </c>
      <c r="B15" s="15" t="n">
        <v>670000</v>
      </c>
      <c r="F15" s="14" t="inlineStr">
        <is>
          <t>H1-2026</t>
        </is>
      </c>
    </row>
    <row r="16">
      <c r="A16" s="7" t="inlineStr">
        <is>
          <t>Same measure a year earlier, EGP mn</t>
        </is>
      </c>
      <c r="B16" s="15" t="n">
        <v>651000</v>
      </c>
      <c r="F16" s="14" t="inlineStr">
        <is>
          <t>H1-2025</t>
        </is>
      </c>
    </row>
    <row r="17">
      <c r="A17" s="7" t="inlineStr">
        <is>
          <t>Change in value</t>
        </is>
      </c>
      <c r="B17" s="19" t="n">
        <v>0.02918586789554523</v>
      </c>
      <c r="F17" s="14" t="inlineStr"/>
    </row>
    <row r="18">
      <c r="A18" s="7" t="inlineStr">
        <is>
          <t>Change in units</t>
        </is>
      </c>
      <c r="B18" s="19" t="n">
        <v>-0.05</v>
      </c>
      <c r="F18" s="14" t="inlineStr">
        <is>
          <t>about 39,000 units</t>
        </is>
      </c>
    </row>
    <row r="19">
      <c r="A19" s="7" t="inlineStr">
        <is>
          <t>Implied change in the average ticket</t>
        </is>
      </c>
      <c r="B19" s="19" t="n">
        <v>0.08335354515320548</v>
      </c>
      <c r="F19" s="14" t="inlineStr">
        <is>
          <t>the dated anchor for the selling-price escalator</t>
        </is>
      </c>
    </row>
    <row r="20">
      <c r="A20" s="7" t="inlineStr">
        <is>
          <t>Palm Hills H1-2026 sales, EGP mn</t>
        </is>
      </c>
      <c r="B20" s="15" t="n">
        <v>94000</v>
      </c>
      <c r="F20" s="14" t="inlineStr">
        <is>
          <t>SECONDARY AND UNVERIFIED — the company release could not be obtained; no driver reads it</t>
        </is>
      </c>
    </row>
    <row r="21">
      <c r="A21" s="7" t="inlineStr">
        <is>
          <t>Palm Hills share of the top ten</t>
        </is>
      </c>
      <c r="B21" s="19" t="n">
        <v>0.1402985074626866</v>
      </c>
      <c r="F21" s="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2026-08-19T13:48:06Z</dcterms:created>
  <dcterms:modified xmlns:dcterms="http://purl.org/dc/terms/" xmlns:xsi="http://www.w3.org/2001/XMLSchema-instance" xsi:type="dcterms:W3CDTF">2026-08-19T13:48:06Z</dcterms:modified>
</cp:coreProperties>
</file>